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C:\chatGPT\20260615_MATLAB\"/>
    </mc:Choice>
  </mc:AlternateContent>
  <xr:revisionPtr revIDLastSave="0" documentId="13_ncr:1_{42352948-36FD-4F39-980C-7FD228D42DB7}" xr6:coauthVersionLast="47" xr6:coauthVersionMax="47" xr10:uidLastSave="{00000000-0000-0000-0000-000000000000}"/>
  <bookViews>
    <workbookView xWindow="-120" yWindow="-120" windowWidth="29040" windowHeight="15720" tabRatio="497" activeTab="4" xr2:uid="{00000000-000D-0000-FFFF-FFFF00000000}"/>
  </bookViews>
  <sheets>
    <sheet name="SatProp" sheetId="1" r:id="rId1"/>
    <sheet name="Cp_T_low" sheetId="2" r:id="rId2"/>
    <sheet name="Cp_T_mid" sheetId="3" r:id="rId3"/>
    <sheet name="Cp_T_high" sheetId="4" r:id="rId4"/>
    <sheet name="tm" sheetId="5" r:id="rId5"/>
    <sheet name="Log" sheetId="6" r:id="rId6"/>
    <sheet name="TM_import_log" sheetId="7" r:id="rId7"/>
  </sheets>
  <functionGroups builtInGroupCount="19"/>
  <definedNames>
    <definedName name="L_tot">#REF!</definedName>
    <definedName name="solver_adj" localSheetId="4" hidden="1">tm!$AP$225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tm!$AY$225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O237" i="5" l="1"/>
  <c r="Y237" i="5"/>
  <c r="P237" i="5"/>
  <c r="O237" i="5"/>
  <c r="BO236" i="5"/>
  <c r="Y236" i="5"/>
  <c r="P236" i="5"/>
  <c r="O236" i="5"/>
  <c r="BO235" i="5"/>
  <c r="Y235" i="5"/>
  <c r="P235" i="5"/>
  <c r="O235" i="5"/>
  <c r="BO234" i="5"/>
  <c r="Y234" i="5"/>
  <c r="P234" i="5"/>
  <c r="O234" i="5"/>
  <c r="BO233" i="5"/>
  <c r="Y233" i="5"/>
  <c r="P233" i="5"/>
  <c r="O233" i="5"/>
  <c r="BO232" i="5"/>
  <c r="Y232" i="5"/>
  <c r="P232" i="5"/>
  <c r="O232" i="5"/>
  <c r="BO231" i="5"/>
  <c r="Y231" i="5"/>
  <c r="P231" i="5"/>
  <c r="O231" i="5"/>
  <c r="BO230" i="5"/>
  <c r="Y230" i="5"/>
  <c r="P230" i="5"/>
  <c r="O230" i="5"/>
  <c r="BO229" i="5"/>
  <c r="Y229" i="5"/>
  <c r="P229" i="5"/>
  <c r="O229" i="5"/>
  <c r="BO228" i="5"/>
  <c r="Y228" i="5"/>
  <c r="P228" i="5"/>
  <c r="O228" i="5"/>
  <c r="BO227" i="5"/>
  <c r="Y227" i="5"/>
  <c r="P227" i="5"/>
  <c r="O227" i="5"/>
  <c r="BO226" i="5"/>
  <c r="Y226" i="5"/>
  <c r="P226" i="5"/>
  <c r="O226" i="5"/>
  <c r="BO225" i="5"/>
  <c r="Y225" i="5"/>
  <c r="P225" i="5"/>
  <c r="O225" i="5"/>
  <c r="BO224" i="5"/>
  <c r="Y224" i="5"/>
  <c r="P224" i="5"/>
  <c r="O224" i="5"/>
  <c r="BO223" i="5"/>
  <c r="Y223" i="5"/>
  <c r="P223" i="5"/>
  <c r="O223" i="5"/>
  <c r="BO222" i="5"/>
  <c r="Y222" i="5"/>
  <c r="P222" i="5"/>
  <c r="O222" i="5"/>
  <c r="BO221" i="5"/>
  <c r="Y221" i="5"/>
  <c r="P221" i="5"/>
  <c r="O221" i="5"/>
  <c r="BO220" i="5"/>
  <c r="Y220" i="5"/>
  <c r="P220" i="5"/>
  <c r="O220" i="5"/>
  <c r="BO219" i="5"/>
  <c r="Y219" i="5"/>
  <c r="P219" i="5"/>
  <c r="O219" i="5"/>
  <c r="BO218" i="5"/>
  <c r="Y218" i="5"/>
  <c r="P218" i="5"/>
  <c r="O218" i="5"/>
  <c r="BO217" i="5"/>
  <c r="Y217" i="5"/>
  <c r="P217" i="5"/>
  <c r="O217" i="5"/>
  <c r="BO216" i="5"/>
  <c r="Y216" i="5"/>
  <c r="P216" i="5"/>
  <c r="O216" i="5"/>
  <c r="BO215" i="5"/>
  <c r="Y215" i="5"/>
  <c r="P215" i="5"/>
  <c r="O215" i="5"/>
  <c r="BO214" i="5"/>
  <c r="Y214" i="5"/>
  <c r="P214" i="5"/>
  <c r="O214" i="5"/>
  <c r="BO213" i="5"/>
  <c r="Y213" i="5"/>
  <c r="P213" i="5"/>
  <c r="O213" i="5"/>
  <c r="BO212" i="5"/>
  <c r="Y212" i="5"/>
  <c r="P212" i="5"/>
  <c r="O212" i="5"/>
  <c r="BO211" i="5"/>
  <c r="Y211" i="5"/>
  <c r="P211" i="5"/>
  <c r="O211" i="5"/>
  <c r="BO210" i="5"/>
  <c r="Y210" i="5"/>
  <c r="P210" i="5"/>
  <c r="O210" i="5"/>
  <c r="BO209" i="5"/>
  <c r="Y209" i="5"/>
  <c r="P209" i="5"/>
  <c r="O209" i="5"/>
  <c r="BO208" i="5"/>
  <c r="Y208" i="5"/>
  <c r="P208" i="5"/>
  <c r="O208" i="5"/>
  <c r="BO207" i="5"/>
  <c r="Y207" i="5"/>
  <c r="P207" i="5"/>
  <c r="O207" i="5"/>
  <c r="BO206" i="5"/>
  <c r="Y206" i="5"/>
  <c r="P206" i="5"/>
  <c r="O206" i="5"/>
  <c r="BO205" i="5"/>
  <c r="Y205" i="5"/>
  <c r="P205" i="5"/>
  <c r="O205" i="5"/>
  <c r="BO204" i="5"/>
  <c r="Y204" i="5"/>
  <c r="P204" i="5"/>
  <c r="O204" i="5"/>
  <c r="BO203" i="5"/>
  <c r="Y203" i="5"/>
  <c r="P203" i="5"/>
  <c r="O203" i="5"/>
  <c r="BO202" i="5"/>
  <c r="Y202" i="5"/>
  <c r="P202" i="5"/>
  <c r="O202" i="5"/>
  <c r="BO201" i="5"/>
  <c r="Y201" i="5"/>
  <c r="P201" i="5"/>
  <c r="O201" i="5"/>
  <c r="BO200" i="5"/>
  <c r="Y200" i="5"/>
  <c r="P200" i="5"/>
  <c r="O200" i="5"/>
  <c r="BO199" i="5"/>
  <c r="Y199" i="5"/>
  <c r="P199" i="5"/>
  <c r="O199" i="5"/>
  <c r="BO198" i="5"/>
  <c r="Y198" i="5"/>
  <c r="P198" i="5"/>
  <c r="O198" i="5"/>
  <c r="BO197" i="5"/>
  <c r="Y197" i="5"/>
  <c r="P197" i="5"/>
  <c r="O197" i="5"/>
  <c r="BO196" i="5"/>
  <c r="Y196" i="5"/>
  <c r="P196" i="5"/>
  <c r="O196" i="5"/>
  <c r="BO195" i="5"/>
  <c r="Y195" i="5"/>
  <c r="P195" i="5"/>
  <c r="O195" i="5"/>
  <c r="BO194" i="5"/>
  <c r="Y194" i="5"/>
  <c r="P194" i="5"/>
  <c r="O194" i="5"/>
  <c r="BO193" i="5"/>
  <c r="Y193" i="5"/>
  <c r="P193" i="5"/>
  <c r="O193" i="5"/>
  <c r="BO192" i="5"/>
  <c r="Y192" i="5"/>
  <c r="P192" i="5"/>
  <c r="O192" i="5"/>
  <c r="BO191" i="5"/>
  <c r="Y191" i="5"/>
  <c r="P191" i="5"/>
  <c r="O191" i="5"/>
  <c r="BO190" i="5"/>
  <c r="Y190" i="5"/>
  <c r="P190" i="5"/>
  <c r="O190" i="5"/>
  <c r="BO189" i="5"/>
  <c r="Y189" i="5"/>
  <c r="P189" i="5"/>
  <c r="O189" i="5"/>
  <c r="BO188" i="5"/>
  <c r="Y188" i="5"/>
  <c r="P188" i="5"/>
  <c r="O188" i="5"/>
  <c r="BO187" i="5"/>
  <c r="Y187" i="5"/>
  <c r="P187" i="5"/>
  <c r="O187" i="5"/>
  <c r="BO186" i="5"/>
  <c r="Y186" i="5"/>
  <c r="P186" i="5"/>
  <c r="O186" i="5"/>
  <c r="BO185" i="5"/>
  <c r="Y185" i="5"/>
  <c r="P185" i="5"/>
  <c r="O185" i="5"/>
  <c r="BO184" i="5"/>
  <c r="Y184" i="5"/>
  <c r="P184" i="5"/>
  <c r="O184" i="5"/>
  <c r="BO183" i="5"/>
  <c r="Y183" i="5"/>
  <c r="P183" i="5"/>
  <c r="O183" i="5"/>
  <c r="BO182" i="5"/>
  <c r="Y182" i="5"/>
  <c r="P182" i="5"/>
  <c r="O182" i="5"/>
  <c r="BO181" i="5"/>
  <c r="Y181" i="5"/>
  <c r="P181" i="5"/>
  <c r="O181" i="5"/>
  <c r="BO180" i="5"/>
  <c r="Y180" i="5"/>
  <c r="P180" i="5"/>
  <c r="O180" i="5"/>
  <c r="BO179" i="5"/>
  <c r="Y179" i="5"/>
  <c r="P179" i="5"/>
  <c r="O179" i="5"/>
  <c r="BO178" i="5"/>
  <c r="Y178" i="5"/>
  <c r="P178" i="5"/>
  <c r="O178" i="5"/>
  <c r="BO177" i="5"/>
  <c r="Y177" i="5"/>
  <c r="P177" i="5"/>
  <c r="O177" i="5"/>
  <c r="BO176" i="5"/>
  <c r="Y176" i="5"/>
  <c r="P176" i="5"/>
  <c r="O176" i="5"/>
  <c r="BO175" i="5"/>
  <c r="Y175" i="5"/>
  <c r="P175" i="5"/>
  <c r="O175" i="5"/>
  <c r="BO174" i="5"/>
  <c r="Y174" i="5"/>
  <c r="P174" i="5"/>
  <c r="O174" i="5"/>
  <c r="BO173" i="5"/>
  <c r="Y173" i="5"/>
  <c r="P173" i="5"/>
  <c r="O173" i="5"/>
  <c r="BO172" i="5"/>
  <c r="Y172" i="5"/>
  <c r="P172" i="5"/>
  <c r="O172" i="5"/>
  <c r="BO171" i="5"/>
  <c r="Y171" i="5"/>
  <c r="P171" i="5"/>
  <c r="O171" i="5"/>
  <c r="BO170" i="5"/>
  <c r="Y170" i="5"/>
  <c r="P170" i="5"/>
  <c r="O170" i="5"/>
  <c r="BO169" i="5"/>
  <c r="Y169" i="5"/>
  <c r="P169" i="5"/>
  <c r="O169" i="5"/>
  <c r="BO168" i="5"/>
  <c r="Y168" i="5"/>
  <c r="P168" i="5"/>
  <c r="O168" i="5"/>
  <c r="BO167" i="5"/>
  <c r="Y167" i="5"/>
  <c r="P167" i="5"/>
  <c r="O167" i="5"/>
  <c r="BO166" i="5"/>
  <c r="Y166" i="5"/>
  <c r="P166" i="5"/>
  <c r="O166" i="5"/>
  <c r="BO165" i="5"/>
  <c r="Y165" i="5"/>
  <c r="P165" i="5"/>
  <c r="O165" i="5"/>
  <c r="BO164" i="5"/>
  <c r="Y164" i="5"/>
  <c r="P164" i="5"/>
  <c r="O164" i="5"/>
  <c r="BO163" i="5"/>
  <c r="Y163" i="5"/>
  <c r="P163" i="5"/>
  <c r="O163" i="5"/>
  <c r="BO162" i="5"/>
  <c r="Y162" i="5"/>
  <c r="P162" i="5"/>
  <c r="O162" i="5"/>
  <c r="BO161" i="5"/>
  <c r="Y161" i="5"/>
  <c r="P161" i="5"/>
  <c r="O161" i="5"/>
  <c r="BO160" i="5"/>
  <c r="Y160" i="5"/>
  <c r="P160" i="5"/>
  <c r="O160" i="5"/>
  <c r="BO159" i="5"/>
  <c r="Y159" i="5"/>
  <c r="P159" i="5"/>
  <c r="O159" i="5"/>
  <c r="BO158" i="5"/>
  <c r="Y158" i="5"/>
  <c r="P158" i="5"/>
  <c r="O158" i="5"/>
  <c r="BO157" i="5"/>
  <c r="Y157" i="5"/>
  <c r="P157" i="5"/>
  <c r="O157" i="5"/>
  <c r="BO156" i="5"/>
  <c r="Y156" i="5"/>
  <c r="P156" i="5"/>
  <c r="O156" i="5"/>
  <c r="BO155" i="5"/>
  <c r="Y155" i="5"/>
  <c r="P155" i="5"/>
  <c r="O155" i="5"/>
  <c r="BO154" i="5"/>
  <c r="Y154" i="5"/>
  <c r="P154" i="5"/>
  <c r="O154" i="5"/>
  <c r="BO153" i="5"/>
  <c r="Y153" i="5"/>
  <c r="P153" i="5"/>
  <c r="O153" i="5"/>
  <c r="BO152" i="5"/>
  <c r="Y152" i="5"/>
  <c r="P152" i="5"/>
  <c r="O152" i="5"/>
  <c r="BO151" i="5"/>
  <c r="Y151" i="5"/>
  <c r="P151" i="5"/>
  <c r="O151" i="5"/>
  <c r="BO150" i="5"/>
  <c r="Y150" i="5"/>
  <c r="P150" i="5"/>
  <c r="O150" i="5"/>
  <c r="BO149" i="5"/>
  <c r="Y149" i="5"/>
  <c r="P149" i="5"/>
  <c r="O149" i="5"/>
  <c r="BO148" i="5"/>
  <c r="Y148" i="5"/>
  <c r="P148" i="5"/>
  <c r="O148" i="5"/>
  <c r="BO147" i="5"/>
  <c r="Y147" i="5"/>
  <c r="P147" i="5"/>
  <c r="O147" i="5"/>
  <c r="BO146" i="5"/>
  <c r="Y146" i="5"/>
  <c r="P146" i="5"/>
  <c r="O146" i="5"/>
  <c r="BO145" i="5"/>
  <c r="Y145" i="5"/>
  <c r="P145" i="5"/>
  <c r="O145" i="5"/>
  <c r="BO144" i="5"/>
  <c r="Y144" i="5"/>
  <c r="P144" i="5"/>
  <c r="O144" i="5"/>
  <c r="BO143" i="5"/>
  <c r="Y143" i="5"/>
  <c r="P143" i="5"/>
  <c r="O143" i="5"/>
  <c r="BO142" i="5"/>
  <c r="Y142" i="5"/>
  <c r="P142" i="5"/>
  <c r="O142" i="5"/>
  <c r="BO141" i="5"/>
  <c r="Y141" i="5"/>
  <c r="P141" i="5"/>
  <c r="O141" i="5"/>
  <c r="BO140" i="5"/>
  <c r="Y140" i="5"/>
  <c r="P140" i="5"/>
  <c r="O140" i="5"/>
  <c r="BO139" i="5"/>
  <c r="Y139" i="5"/>
  <c r="P139" i="5"/>
  <c r="O139" i="5"/>
  <c r="BO138" i="5"/>
  <c r="Y138" i="5"/>
  <c r="P138" i="5"/>
  <c r="O138" i="5"/>
  <c r="BO137" i="5"/>
  <c r="Y137" i="5"/>
  <c r="P137" i="5"/>
  <c r="O137" i="5"/>
  <c r="BO136" i="5"/>
  <c r="Y136" i="5"/>
  <c r="P136" i="5"/>
  <c r="O136" i="5"/>
  <c r="BO135" i="5"/>
  <c r="Y135" i="5"/>
  <c r="P135" i="5"/>
  <c r="O135" i="5"/>
  <c r="BO134" i="5"/>
  <c r="Y134" i="5"/>
  <c r="P134" i="5"/>
  <c r="O134" i="5"/>
  <c r="BO133" i="5"/>
  <c r="Y133" i="5"/>
  <c r="P133" i="5"/>
  <c r="O133" i="5"/>
  <c r="BO132" i="5"/>
  <c r="Y132" i="5"/>
  <c r="P132" i="5"/>
  <c r="O132" i="5"/>
  <c r="BO131" i="5"/>
  <c r="Y131" i="5"/>
  <c r="P131" i="5"/>
  <c r="O131" i="5"/>
  <c r="BO130" i="5"/>
  <c r="Y130" i="5"/>
  <c r="P130" i="5"/>
  <c r="O130" i="5"/>
  <c r="BO129" i="5"/>
  <c r="Y129" i="5"/>
  <c r="P129" i="5"/>
  <c r="O129" i="5"/>
  <c r="BO128" i="5"/>
  <c r="Y128" i="5"/>
  <c r="P128" i="5"/>
  <c r="O128" i="5"/>
  <c r="BO127" i="5"/>
  <c r="Y127" i="5"/>
  <c r="P127" i="5"/>
  <c r="O127" i="5"/>
  <c r="BO126" i="5"/>
  <c r="Y126" i="5"/>
  <c r="P126" i="5"/>
  <c r="O126" i="5"/>
  <c r="BO125" i="5"/>
  <c r="Y125" i="5"/>
  <c r="P125" i="5"/>
  <c r="O125" i="5"/>
  <c r="BO124" i="5"/>
  <c r="Y124" i="5"/>
  <c r="P124" i="5"/>
  <c r="O124" i="5"/>
  <c r="BO123" i="5"/>
  <c r="Y123" i="5"/>
  <c r="P123" i="5"/>
  <c r="O123" i="5"/>
  <c r="BO122" i="5"/>
  <c r="Y122" i="5"/>
  <c r="P122" i="5"/>
  <c r="O122" i="5"/>
  <c r="BO121" i="5"/>
  <c r="Y121" i="5"/>
  <c r="P121" i="5"/>
  <c r="O121" i="5"/>
  <c r="BO120" i="5"/>
  <c r="Y120" i="5"/>
  <c r="P120" i="5"/>
  <c r="O120" i="5"/>
  <c r="BO119" i="5"/>
  <c r="Y119" i="5"/>
  <c r="P119" i="5"/>
  <c r="O119" i="5"/>
  <c r="BO118" i="5"/>
  <c r="Y118" i="5"/>
  <c r="P118" i="5"/>
  <c r="O118" i="5"/>
  <c r="BO117" i="5"/>
  <c r="Y117" i="5"/>
  <c r="P117" i="5"/>
  <c r="O117" i="5"/>
  <c r="BO116" i="5"/>
  <c r="Y116" i="5"/>
  <c r="P116" i="5"/>
  <c r="O116" i="5"/>
  <c r="BO115" i="5"/>
  <c r="Y115" i="5"/>
  <c r="P115" i="5"/>
  <c r="O115" i="5"/>
  <c r="BO114" i="5"/>
  <c r="Y114" i="5"/>
  <c r="P114" i="5"/>
  <c r="O114" i="5"/>
  <c r="BO113" i="5"/>
  <c r="Y113" i="5"/>
  <c r="P113" i="5"/>
  <c r="O113" i="5"/>
  <c r="BO112" i="5"/>
  <c r="Y112" i="5"/>
  <c r="P112" i="5"/>
  <c r="O112" i="5"/>
  <c r="BO111" i="5"/>
  <c r="Y111" i="5"/>
  <c r="P111" i="5"/>
  <c r="O111" i="5"/>
  <c r="BO110" i="5"/>
  <c r="Y110" i="5"/>
  <c r="P110" i="5"/>
  <c r="O110" i="5"/>
  <c r="BO109" i="5"/>
  <c r="Y109" i="5"/>
  <c r="P109" i="5"/>
  <c r="O109" i="5"/>
  <c r="BO108" i="5"/>
  <c r="Y108" i="5"/>
  <c r="P108" i="5"/>
  <c r="O108" i="5"/>
  <c r="BO107" i="5"/>
  <c r="Y107" i="5"/>
  <c r="P107" i="5"/>
  <c r="O107" i="5"/>
  <c r="BO106" i="5"/>
  <c r="Y106" i="5"/>
  <c r="P106" i="5"/>
  <c r="O106" i="5"/>
  <c r="BO105" i="5"/>
  <c r="Y105" i="5"/>
  <c r="P105" i="5"/>
  <c r="O105" i="5"/>
  <c r="BO104" i="5"/>
  <c r="Y104" i="5"/>
  <c r="P104" i="5"/>
  <c r="O104" i="5"/>
  <c r="BO103" i="5"/>
  <c r="Y103" i="5"/>
  <c r="P103" i="5"/>
  <c r="O103" i="5"/>
  <c r="BO102" i="5"/>
  <c r="Y102" i="5"/>
  <c r="P102" i="5"/>
  <c r="O102" i="5"/>
  <c r="BO101" i="5"/>
  <c r="Y101" i="5"/>
  <c r="P101" i="5"/>
  <c r="O101" i="5"/>
  <c r="BO100" i="5"/>
  <c r="Y100" i="5"/>
  <c r="P100" i="5"/>
  <c r="O100" i="5"/>
  <c r="BO99" i="5"/>
  <c r="Y99" i="5"/>
  <c r="P99" i="5"/>
  <c r="O99" i="5"/>
  <c r="BO98" i="5"/>
  <c r="Y98" i="5"/>
  <c r="P98" i="5"/>
  <c r="O98" i="5"/>
  <c r="BO97" i="5"/>
  <c r="Y97" i="5"/>
  <c r="P97" i="5"/>
  <c r="O97" i="5"/>
  <c r="BO96" i="5"/>
  <c r="Y96" i="5"/>
  <c r="P96" i="5"/>
  <c r="O96" i="5"/>
  <c r="BO95" i="5"/>
  <c r="Y95" i="5"/>
  <c r="P95" i="5"/>
  <c r="O95" i="5"/>
  <c r="BO94" i="5"/>
  <c r="Y94" i="5"/>
  <c r="P94" i="5"/>
  <c r="O94" i="5"/>
  <c r="BO93" i="5"/>
  <c r="Y93" i="5"/>
  <c r="P93" i="5"/>
  <c r="O93" i="5"/>
  <c r="BO92" i="5"/>
  <c r="Y92" i="5"/>
  <c r="P92" i="5"/>
  <c r="O92" i="5"/>
  <c r="BO91" i="5"/>
  <c r="Y91" i="5"/>
  <c r="P91" i="5"/>
  <c r="O91" i="5"/>
  <c r="BO90" i="5"/>
  <c r="Y90" i="5"/>
  <c r="P90" i="5"/>
  <c r="O90" i="5"/>
  <c r="BO89" i="5"/>
  <c r="Y89" i="5"/>
  <c r="P89" i="5"/>
  <c r="O89" i="5"/>
  <c r="BO88" i="5"/>
  <c r="Y88" i="5"/>
  <c r="P88" i="5"/>
  <c r="O88" i="5"/>
  <c r="BO87" i="5"/>
  <c r="Y87" i="5"/>
  <c r="BO86" i="5"/>
  <c r="Y86" i="5"/>
  <c r="BO85" i="5"/>
  <c r="Y85" i="5"/>
  <c r="BO84" i="5"/>
  <c r="Y84" i="5"/>
  <c r="BO83" i="5"/>
  <c r="Y83" i="5"/>
  <c r="BO82" i="5"/>
  <c r="Y82" i="5"/>
  <c r="BO81" i="5"/>
  <c r="Y81" i="5"/>
  <c r="BO80" i="5"/>
  <c r="Y80" i="5"/>
  <c r="BO79" i="5"/>
  <c r="Y79" i="5"/>
  <c r="BO78" i="5"/>
  <c r="Y78" i="5"/>
  <c r="BO77" i="5"/>
  <c r="Y77" i="5"/>
  <c r="BO76" i="5"/>
  <c r="Y76" i="5"/>
  <c r="BO75" i="5"/>
  <c r="Y75" i="5"/>
  <c r="BO74" i="5"/>
  <c r="Y74" i="5"/>
  <c r="BO73" i="5"/>
  <c r="Y73" i="5"/>
  <c r="BO72" i="5"/>
  <c r="Y72" i="5"/>
  <c r="BO71" i="5"/>
  <c r="Y71" i="5"/>
  <c r="BO70" i="5"/>
  <c r="Y70" i="5"/>
  <c r="BO69" i="5"/>
  <c r="Y69" i="5"/>
  <c r="BO68" i="5"/>
  <c r="Y68" i="5"/>
  <c r="BO67" i="5"/>
  <c r="Y67" i="5"/>
  <c r="BO66" i="5"/>
  <c r="Y66" i="5"/>
  <c r="BO65" i="5"/>
  <c r="Y65" i="5"/>
  <c r="BO64" i="5"/>
  <c r="Y64" i="5"/>
  <c r="BO63" i="5"/>
  <c r="Y63" i="5"/>
  <c r="BO62" i="5"/>
  <c r="Y62" i="5"/>
  <c r="BO61" i="5"/>
  <c r="Y61" i="5"/>
  <c r="BO60" i="5"/>
  <c r="Y60" i="5"/>
  <c r="BO59" i="5"/>
  <c r="Y59" i="5"/>
  <c r="BO58" i="5"/>
  <c r="Y58" i="5"/>
  <c r="BO57" i="5"/>
  <c r="Y57" i="5"/>
  <c r="BO56" i="5"/>
  <c r="Y56" i="5"/>
  <c r="BO55" i="5"/>
  <c r="Y55" i="5"/>
  <c r="BO54" i="5"/>
  <c r="Y54" i="5"/>
  <c r="BO53" i="5"/>
  <c r="Y53" i="5"/>
  <c r="BO52" i="5"/>
  <c r="Y52" i="5"/>
  <c r="BO51" i="5"/>
  <c r="Y51" i="5"/>
  <c r="BO50" i="5"/>
  <c r="Y50" i="5"/>
  <c r="BO49" i="5"/>
  <c r="Y49" i="5"/>
  <c r="BO48" i="5"/>
  <c r="Y48" i="5"/>
  <c r="BO47" i="5"/>
  <c r="Y47" i="5"/>
  <c r="BO46" i="5"/>
  <c r="Y46" i="5"/>
  <c r="BO45" i="5"/>
  <c r="Y45" i="5"/>
  <c r="BO44" i="5"/>
  <c r="Y44" i="5"/>
  <c r="BO43" i="5"/>
  <c r="Y43" i="5"/>
  <c r="BO42" i="5"/>
  <c r="Y42" i="5"/>
  <c r="BO41" i="5"/>
  <c r="Y41" i="5"/>
  <c r="BO40" i="5"/>
  <c r="Y40" i="5"/>
  <c r="BO39" i="5"/>
  <c r="Y39" i="5"/>
  <c r="BO38" i="5"/>
  <c r="Y38" i="5"/>
  <c r="BO37" i="5"/>
  <c r="Y37" i="5"/>
  <c r="BO36" i="5"/>
  <c r="Y36" i="5"/>
  <c r="BO35" i="5"/>
  <c r="Y35" i="5"/>
  <c r="BO34" i="5"/>
  <c r="Y34" i="5"/>
  <c r="BO33" i="5"/>
  <c r="Y33" i="5"/>
  <c r="BO32" i="5"/>
  <c r="Y32" i="5"/>
  <c r="BO31" i="5"/>
  <c r="Y31" i="5"/>
  <c r="BO30" i="5"/>
  <c r="Y30" i="5"/>
  <c r="BO29" i="5"/>
  <c r="Y29" i="5"/>
  <c r="BO28" i="5"/>
  <c r="Y28" i="5"/>
  <c r="BO27" i="5"/>
  <c r="Y27" i="5"/>
  <c r="BO26" i="5"/>
  <c r="Y26" i="5"/>
  <c r="BO25" i="5"/>
  <c r="Y25" i="5"/>
  <c r="BO24" i="5"/>
  <c r="Y24" i="5"/>
  <c r="BO23" i="5"/>
  <c r="Y23" i="5"/>
  <c r="BO22" i="5"/>
  <c r="Y22" i="5"/>
  <c r="BO21" i="5"/>
  <c r="Y21" i="5"/>
  <c r="BO20" i="5"/>
  <c r="Y20" i="5"/>
  <c r="BO19" i="5"/>
  <c r="Y19" i="5"/>
  <c r="BO18" i="5"/>
  <c r="Y18" i="5"/>
  <c r="BO17" i="5"/>
  <c r="Y17" i="5"/>
  <c r="BO16" i="5"/>
  <c r="Y16" i="5"/>
  <c r="BO15" i="5"/>
  <c r="Y15" i="5"/>
  <c r="BO14" i="5"/>
  <c r="Y14" i="5"/>
  <c r="BO13" i="5"/>
  <c r="Y13" i="5"/>
  <c r="BO12" i="5"/>
  <c r="Y12" i="5"/>
  <c r="BO11" i="5"/>
  <c r="Y11" i="5"/>
  <c r="BO10" i="5"/>
  <c r="Y10" i="5"/>
  <c r="BO9" i="5"/>
  <c r="Y9" i="5"/>
  <c r="BO8" i="5"/>
  <c r="Y8" i="5"/>
  <c r="BO7" i="5"/>
  <c r="Y7" i="5"/>
  <c r="BO6" i="5"/>
  <c r="Y6" i="5"/>
  <c r="BO5" i="5"/>
  <c r="Y5" i="5"/>
  <c r="BO4" i="5"/>
  <c r="Y4" i="5"/>
  <c r="BO3" i="5"/>
  <c r="Y3" i="5"/>
  <c r="BO2" i="5"/>
  <c r="Y2" i="5"/>
  <c r="H237" i="5"/>
  <c r="C236" i="5"/>
  <c r="I235" i="5"/>
  <c r="C234" i="5"/>
  <c r="J233" i="5"/>
  <c r="D232" i="5"/>
  <c r="J231" i="5"/>
  <c r="D230" i="5"/>
  <c r="J229" i="5"/>
  <c r="E228" i="5"/>
  <c r="K227" i="5"/>
  <c r="D226" i="5"/>
  <c r="I225" i="5" a="1"/>
  <c r="E224" i="5" a="1"/>
  <c r="J223" i="5" a="1"/>
  <c r="G222" i="5" a="1"/>
  <c r="J219" i="5" a="1"/>
  <c r="E218" i="5" a="1"/>
  <c r="C215" i="5" a="1"/>
  <c r="I214" i="5" a="1"/>
  <c r="D213" i="5" a="1"/>
  <c r="K212" i="5" a="1"/>
  <c r="G211" i="5" a="1"/>
  <c r="F209" i="5" a="1"/>
  <c r="J207" i="5" a="1"/>
  <c r="D206" i="5" a="1"/>
  <c r="K205" i="5" a="1"/>
  <c r="D204" i="5" a="1"/>
  <c r="J203" i="5" a="1"/>
  <c r="D202" i="5" a="1"/>
  <c r="J201" i="5" a="1"/>
  <c r="D200" i="5" a="1"/>
  <c r="J199" i="5" a="1"/>
  <c r="D198" i="5" a="1"/>
  <c r="I197" i="5" a="1"/>
  <c r="G195" i="5" a="1"/>
  <c r="C194" i="5" a="1"/>
  <c r="H193" i="5" a="1"/>
  <c r="C192" i="5" a="1"/>
  <c r="H191" i="5" a="1"/>
  <c r="C190" i="5" a="1"/>
  <c r="H189" i="5" a="1"/>
  <c r="G183" i="5" a="1"/>
  <c r="H181" i="5" a="1"/>
  <c r="C180" i="5" a="1"/>
  <c r="I179" i="5" a="1"/>
  <c r="C178" i="5" a="1"/>
  <c r="H177" i="5" a="1"/>
  <c r="J175" i="5" a="1"/>
  <c r="G174" i="5" a="1"/>
  <c r="F172" i="5" a="1"/>
  <c r="K171" i="5" a="1"/>
  <c r="C169" i="5" a="1"/>
  <c r="H168" i="5" a="1"/>
  <c r="J166" i="5" a="1"/>
  <c r="F165" i="5" a="1"/>
  <c r="K164" i="5" a="1"/>
  <c r="F163" i="5" a="1"/>
  <c r="L162" i="5" a="1"/>
  <c r="E161" i="5" a="1"/>
  <c r="K160" i="5" a="1"/>
  <c r="G159" i="5" a="1"/>
  <c r="H157" i="5" a="1"/>
  <c r="D156" i="5" a="1"/>
  <c r="J155" i="5" a="1"/>
  <c r="E154" i="5" a="1"/>
  <c r="J153" i="5" a="1"/>
  <c r="E152" i="5" a="1"/>
  <c r="K151" i="5" a="1"/>
  <c r="G150" i="5" a="1"/>
  <c r="C149" i="5" a="1"/>
  <c r="H148" i="5" a="1"/>
  <c r="G237" i="5"/>
  <c r="H235" i="5"/>
  <c r="I233" i="5"/>
  <c r="C232" i="5"/>
  <c r="I231" i="5"/>
  <c r="C230" i="5"/>
  <c r="I229" i="5"/>
  <c r="D228" i="5"/>
  <c r="J227" i="5"/>
  <c r="C226" i="5"/>
  <c r="H225" i="5" a="1"/>
  <c r="D224" i="5" a="1"/>
  <c r="I223" i="5" a="1"/>
  <c r="F222" i="5" a="1"/>
  <c r="D221" i="5" a="1"/>
  <c r="K220" i="5" a="1"/>
  <c r="I219" i="5" a="1"/>
  <c r="D218" i="5" a="1"/>
  <c r="J217" i="5" a="1"/>
  <c r="F216" i="5" a="1"/>
  <c r="H214" i="5" a="1"/>
  <c r="J212" i="5" a="1"/>
  <c r="F211" i="5" a="1"/>
  <c r="L210" i="5" a="1"/>
  <c r="L208" i="5" a="1"/>
  <c r="D208" i="5" a="1"/>
  <c r="I207" i="5" a="1"/>
  <c r="C206" i="5" a="1"/>
  <c r="J205" i="5" a="1"/>
  <c r="C204" i="5" a="1"/>
  <c r="I203" i="5" a="1"/>
  <c r="C202" i="5" a="1"/>
  <c r="I201" i="5" a="1"/>
  <c r="C200" i="5" a="1"/>
  <c r="I199" i="5" a="1"/>
  <c r="C198" i="5" a="1"/>
  <c r="H197" i="5" a="1"/>
  <c r="F195" i="5" a="1"/>
  <c r="L194" i="5" a="1"/>
  <c r="G193" i="5" a="1"/>
  <c r="G191" i="5" a="1"/>
  <c r="G189" i="5" a="1"/>
  <c r="L188" i="5" a="1"/>
  <c r="G187" i="5" a="1"/>
  <c r="L186" i="5" a="1"/>
  <c r="G185" i="5" a="1"/>
  <c r="L184" i="5" a="1"/>
  <c r="F183" i="5" a="1"/>
  <c r="G181" i="5" a="1"/>
  <c r="H179" i="5" a="1"/>
  <c r="G177" i="5" a="1"/>
  <c r="C176" i="5" a="1"/>
  <c r="F174" i="5" a="1"/>
  <c r="L173" i="5" a="1"/>
  <c r="E172" i="5" a="1"/>
  <c r="G170" i="5" a="1"/>
  <c r="L169" i="5" a="1"/>
  <c r="G168" i="5" a="1"/>
  <c r="I166" i="5" a="1"/>
  <c r="E165" i="5" a="1"/>
  <c r="J164" i="5" a="1"/>
  <c r="K162" i="5" a="1"/>
  <c r="D161" i="5" a="1"/>
  <c r="L158" i="5" a="1"/>
  <c r="G157" i="5" a="1"/>
  <c r="C156" i="5" a="1"/>
  <c r="I155" i="5" a="1"/>
  <c r="D154" i="5" a="1"/>
  <c r="I153" i="5" a="1"/>
  <c r="J151" i="5" a="1"/>
  <c r="G148" i="5" a="1"/>
  <c r="F237" i="5"/>
  <c r="G235" i="5"/>
  <c r="H233" i="5"/>
  <c r="H231" i="5"/>
  <c r="H229" i="5"/>
  <c r="C228" i="5"/>
  <c r="I227" i="5"/>
  <c r="G225" i="5" a="1"/>
  <c r="C224" i="5" a="1"/>
  <c r="H223" i="5" a="1"/>
  <c r="E222" i="5" a="1"/>
  <c r="L221" i="5" a="1"/>
  <c r="H219" i="5" a="1"/>
  <c r="C218" i="5" a="1"/>
  <c r="I217" i="5" a="1"/>
  <c r="L215" i="5" a="1"/>
  <c r="G214" i="5" a="1"/>
  <c r="C213" i="5" a="1"/>
  <c r="I212" i="5" a="1"/>
  <c r="E211" i="5" a="1"/>
  <c r="K210" i="5" a="1"/>
  <c r="E209" i="5" a="1"/>
  <c r="K208" i="5" a="1"/>
  <c r="C208" i="5" a="1"/>
  <c r="H207" i="5" a="1"/>
  <c r="I205" i="5" a="1"/>
  <c r="H203" i="5" a="1"/>
  <c r="H201" i="5" a="1"/>
  <c r="H199" i="5" a="1"/>
  <c r="G197" i="5" a="1"/>
  <c r="L196" i="5" a="1"/>
  <c r="K194" i="5" a="1"/>
  <c r="F193" i="5" a="1"/>
  <c r="L192" i="5" a="1"/>
  <c r="F191" i="5" a="1"/>
  <c r="L190" i="5" a="1"/>
  <c r="F189" i="5" a="1"/>
  <c r="K188" i="5" a="1"/>
  <c r="F187" i="5" a="1"/>
  <c r="K186" i="5" a="1"/>
  <c r="F185" i="5" a="1"/>
  <c r="K184" i="5" a="1"/>
  <c r="L182" i="5" a="1"/>
  <c r="L180" i="5" a="1"/>
  <c r="F177" i="5" a="1"/>
  <c r="L176" i="5" a="1"/>
  <c r="I175" i="5" a="1"/>
  <c r="E174" i="5" a="1"/>
  <c r="K173" i="5" a="1"/>
  <c r="D172" i="5" a="1"/>
  <c r="J171" i="5" a="1"/>
  <c r="F170" i="5" a="1"/>
  <c r="K169" i="5" a="1"/>
  <c r="L167" i="5" a="1"/>
  <c r="H166" i="5" a="1"/>
  <c r="D165" i="5" a="1"/>
  <c r="I164" i="5" a="1"/>
  <c r="E163" i="5" a="1"/>
  <c r="J162" i="5" a="1"/>
  <c r="C161" i="5" a="1"/>
  <c r="J160" i="5" a="1"/>
  <c r="F159" i="5" a="1"/>
  <c r="K158" i="5" a="1"/>
  <c r="L156" i="5" a="1"/>
  <c r="H155" i="5" a="1"/>
  <c r="C154" i="5" a="1"/>
  <c r="H153" i="5" a="1"/>
  <c r="D152" i="5" a="1"/>
  <c r="I151" i="5" a="1"/>
  <c r="F150" i="5" a="1"/>
  <c r="L149" i="5" a="1"/>
  <c r="E237" i="5"/>
  <c r="L236" i="5"/>
  <c r="F235" i="5"/>
  <c r="L234" i="5"/>
  <c r="G233" i="5"/>
  <c r="G231" i="5"/>
  <c r="G229" i="5"/>
  <c r="H227" i="5"/>
  <c r="G223" i="5" a="1"/>
  <c r="D222" i="5" a="1"/>
  <c r="K221" i="5" a="1"/>
  <c r="C221" i="5" a="1"/>
  <c r="J220" i="5" a="1"/>
  <c r="G219" i="5" a="1"/>
  <c r="H217" i="5" a="1"/>
  <c r="E216" i="5" a="1"/>
  <c r="K215" i="5" a="1"/>
  <c r="F214" i="5" a="1"/>
  <c r="L213" i="5" a="1"/>
  <c r="D211" i="5" a="1"/>
  <c r="J210" i="5" a="1"/>
  <c r="G207" i="5" a="1"/>
  <c r="H205" i="5" a="1"/>
  <c r="G203" i="5" a="1"/>
  <c r="G201" i="5" a="1"/>
  <c r="G199" i="5" a="1"/>
  <c r="L198" i="5" a="1"/>
  <c r="F197" i="5" a="1"/>
  <c r="K196" i="5" a="1"/>
  <c r="E195" i="5" a="1"/>
  <c r="J194" i="5" a="1"/>
  <c r="E193" i="5" a="1"/>
  <c r="K192" i="5" a="1"/>
  <c r="K190" i="5" a="1"/>
  <c r="E189" i="5" a="1"/>
  <c r="J188" i="5" a="1"/>
  <c r="E187" i="5" a="1"/>
  <c r="J186" i="5" a="1"/>
  <c r="E185" i="5" a="1"/>
  <c r="J184" i="5" a="1"/>
  <c r="E183" i="5" a="1"/>
  <c r="K182" i="5" a="1"/>
  <c r="F181" i="5" a="1"/>
  <c r="G179" i="5" a="1"/>
  <c r="L178" i="5" a="1"/>
  <c r="E177" i="5" a="1"/>
  <c r="K176" i="5" a="1"/>
  <c r="H175" i="5" a="1"/>
  <c r="J173" i="5" a="1"/>
  <c r="C172" i="5" a="1"/>
  <c r="I171" i="5" a="1"/>
  <c r="E170" i="5" a="1"/>
  <c r="J169" i="5" a="1"/>
  <c r="F168" i="5" a="1"/>
  <c r="K167" i="5" a="1"/>
  <c r="G166" i="5" a="1"/>
  <c r="C165" i="5" a="1"/>
  <c r="H164" i="5" a="1"/>
  <c r="D163" i="5" a="1"/>
  <c r="I162" i="5" a="1"/>
  <c r="I160" i="5" a="1"/>
  <c r="E159" i="5" a="1"/>
  <c r="J158" i="5" a="1"/>
  <c r="F157" i="5" a="1"/>
  <c r="K156" i="5" a="1"/>
  <c r="G155" i="5" a="1"/>
  <c r="L154" i="5" a="1"/>
  <c r="G153" i="5" a="1"/>
  <c r="C152" i="5" a="1"/>
  <c r="H151" i="5" a="1"/>
  <c r="E150" i="5" a="1"/>
  <c r="K149" i="5" a="1"/>
  <c r="E148" i="5" a="1"/>
  <c r="D237" i="5"/>
  <c r="K236" i="5"/>
  <c r="E235" i="5"/>
  <c r="K234" i="5"/>
  <c r="F233" i="5"/>
  <c r="L232" i="5"/>
  <c r="F231" i="5"/>
  <c r="L230" i="5"/>
  <c r="F229" i="5"/>
  <c r="G227" i="5"/>
  <c r="L226" i="5"/>
  <c r="F225" i="5" a="1"/>
  <c r="L224" i="5" a="1"/>
  <c r="F223" i="5" a="1"/>
  <c r="I220" i="5" a="1"/>
  <c r="F219" i="5" a="1"/>
  <c r="L218" i="5" a="1"/>
  <c r="G217" i="5" a="1"/>
  <c r="J215" i="5" a="1"/>
  <c r="E214" i="5" a="1"/>
  <c r="H212" i="5" a="1"/>
  <c r="C211" i="5" a="1"/>
  <c r="I210" i="5" a="1"/>
  <c r="D209" i="5" a="1"/>
  <c r="J208" i="5" a="1"/>
  <c r="F207" i="5" a="1"/>
  <c r="L206" i="5" a="1"/>
  <c r="G205" i="5" a="1"/>
  <c r="L204" i="5" a="1"/>
  <c r="F203" i="5" a="1"/>
  <c r="L202" i="5" a="1"/>
  <c r="F201" i="5" a="1"/>
  <c r="L200" i="5" a="1"/>
  <c r="F199" i="5" a="1"/>
  <c r="K198" i="5" a="1"/>
  <c r="E197" i="5" a="1"/>
  <c r="J196" i="5" a="1"/>
  <c r="D195" i="5" a="1"/>
  <c r="I194" i="5" a="1"/>
  <c r="D193" i="5" a="1"/>
  <c r="J192" i="5" a="1"/>
  <c r="E191" i="5" a="1"/>
  <c r="J190" i="5" a="1"/>
  <c r="D189" i="5" a="1"/>
  <c r="I188" i="5" a="1"/>
  <c r="D187" i="5" a="1"/>
  <c r="I186" i="5" a="1"/>
  <c r="D185" i="5" a="1"/>
  <c r="I184" i="5" a="1"/>
  <c r="D183" i="5" a="1"/>
  <c r="J182" i="5" a="1"/>
  <c r="E181" i="5" a="1"/>
  <c r="K180" i="5" a="1"/>
  <c r="F179" i="5" a="1"/>
  <c r="K178" i="5" a="1"/>
  <c r="D177" i="5" a="1"/>
  <c r="J176" i="5" a="1"/>
  <c r="G175" i="5" a="1"/>
  <c r="D174" i="5" a="1"/>
  <c r="I173" i="5" a="1"/>
  <c r="H171" i="5" a="1"/>
  <c r="D170" i="5" a="1"/>
  <c r="I169" i="5" a="1"/>
  <c r="E168" i="5" a="1"/>
  <c r="J167" i="5" a="1"/>
  <c r="F166" i="5" a="1"/>
  <c r="L165" i="5" a="1"/>
  <c r="C163" i="5" a="1"/>
  <c r="H162" i="5" a="1"/>
  <c r="H160" i="5" a="1"/>
  <c r="D159" i="5" a="1"/>
  <c r="I158" i="5" a="1"/>
  <c r="E157" i="5" a="1"/>
  <c r="J156" i="5" a="1"/>
  <c r="F155" i="5" a="1"/>
  <c r="K154" i="5" a="1"/>
  <c r="F153" i="5" a="1"/>
  <c r="L152" i="5" a="1"/>
  <c r="G151" i="5" a="1"/>
  <c r="D150" i="5" a="1"/>
  <c r="J149" i="5" a="1"/>
  <c r="I236" i="5"/>
  <c r="C235" i="5"/>
  <c r="I234" i="5"/>
  <c r="D233" i="5"/>
  <c r="J232" i="5"/>
  <c r="D231" i="5"/>
  <c r="J230" i="5"/>
  <c r="D229" i="5"/>
  <c r="K228" i="5"/>
  <c r="E227" i="5"/>
  <c r="J226" i="5"/>
  <c r="J224" i="5" a="1"/>
  <c r="I221" i="5" a="1"/>
  <c r="G220" i="5" a="1"/>
  <c r="D219" i="5" a="1"/>
  <c r="K218" i="5" a="1"/>
  <c r="F217" i="5" a="1"/>
  <c r="K216" i="5" a="1"/>
  <c r="C216" i="5" a="1"/>
  <c r="H215" i="5" a="1"/>
  <c r="D214" i="5" a="1"/>
  <c r="J213" i="5" a="1"/>
  <c r="F212" i="5" a="1"/>
  <c r="L211" i="5" a="1"/>
  <c r="G210" i="5" a="1"/>
  <c r="L209" i="5" a="1"/>
  <c r="I208" i="5" a="1"/>
  <c r="D207" i="5" a="1"/>
  <c r="J206" i="5" a="1"/>
  <c r="E205" i="5" a="1"/>
  <c r="J204" i="5" a="1"/>
  <c r="D203" i="5" a="1"/>
  <c r="J202" i="5" a="1"/>
  <c r="D201" i="5" a="1"/>
  <c r="J200" i="5" a="1"/>
  <c r="D199" i="5" a="1"/>
  <c r="I198" i="5" a="1"/>
  <c r="C197" i="5" a="1"/>
  <c r="H196" i="5" a="1"/>
  <c r="G194" i="5" a="1"/>
  <c r="H192" i="5" a="1"/>
  <c r="C191" i="5" a="1"/>
  <c r="H190" i="5" a="1"/>
  <c r="G188" i="5" a="1"/>
  <c r="G186" i="5" a="1"/>
  <c r="G184" i="5" a="1"/>
  <c r="H182" i="5" a="1"/>
  <c r="C181" i="5" a="1"/>
  <c r="I180" i="5" a="1"/>
  <c r="D179" i="5" a="1"/>
  <c r="I178" i="5" a="1"/>
  <c r="H176" i="5" a="1"/>
  <c r="L174" i="5" a="1"/>
  <c r="G173" i="5" a="1"/>
  <c r="L172" i="5" a="1"/>
  <c r="C168" i="5" a="1"/>
  <c r="H167" i="5" a="1"/>
  <c r="D166" i="5" a="1"/>
  <c r="L163" i="5" a="1"/>
  <c r="F162" i="5" a="1"/>
  <c r="K161" i="5" a="1"/>
  <c r="F160" i="5" a="1"/>
  <c r="G158" i="5" a="1"/>
  <c r="C157" i="5" a="1"/>
  <c r="H156" i="5" a="1"/>
  <c r="D155" i="5" a="1"/>
  <c r="I154" i="5" a="1"/>
  <c r="D153" i="5" a="1"/>
  <c r="K152" i="5" a="1"/>
  <c r="E151" i="5" a="1"/>
  <c r="L150" i="5" a="1"/>
  <c r="C150" i="5" a="1"/>
  <c r="H149" i="5" a="1"/>
  <c r="H236" i="5"/>
  <c r="H234" i="5"/>
  <c r="C233" i="5"/>
  <c r="I232" i="5"/>
  <c r="C231" i="5"/>
  <c r="I230" i="5"/>
  <c r="C229" i="5"/>
  <c r="J228" i="5"/>
  <c r="D227" i="5"/>
  <c r="I226" i="5"/>
  <c r="D225" i="5" a="1"/>
  <c r="I224" i="5" a="1"/>
  <c r="D223" i="5" a="1"/>
  <c r="K222" i="5" a="1"/>
  <c r="H221" i="5" a="1"/>
  <c r="F220" i="5" a="1"/>
  <c r="J218" i="5" a="1"/>
  <c r="E217" i="5" a="1"/>
  <c r="J216" i="5" a="1"/>
  <c r="G215" i="5" a="1"/>
  <c r="C214" i="5" a="1"/>
  <c r="I213" i="5" a="1"/>
  <c r="E212" i="5" a="1"/>
  <c r="K211" i="5" a="1"/>
  <c r="F210" i="5" a="1"/>
  <c r="K209" i="5" a="1"/>
  <c r="H208" i="5" a="1"/>
  <c r="C207" i="5" a="1"/>
  <c r="I206" i="5" a="1"/>
  <c r="D205" i="5" a="1"/>
  <c r="I204" i="5" a="1"/>
  <c r="C203" i="5" a="1"/>
  <c r="I202" i="5" a="1"/>
  <c r="C201" i="5" a="1"/>
  <c r="I200" i="5" a="1"/>
  <c r="C199" i="5" a="1"/>
  <c r="H198" i="5" a="1"/>
  <c r="G196" i="5" a="1"/>
  <c r="L195" i="5" a="1"/>
  <c r="F194" i="5" a="1"/>
  <c r="G190" i="5" a="1"/>
  <c r="L187" i="5" a="1"/>
  <c r="F186" i="5" a="1"/>
  <c r="L185" i="5" a="1"/>
  <c r="F184" i="5" a="1"/>
  <c r="L183" i="5" a="1"/>
  <c r="G182" i="5" a="1"/>
  <c r="H180" i="5" a="1"/>
  <c r="C179" i="5" a="1"/>
  <c r="H178" i="5" a="1"/>
  <c r="G176" i="5" a="1"/>
  <c r="E175" i="5" a="1"/>
  <c r="K174" i="5" a="1"/>
  <c r="F173" i="5" a="1"/>
  <c r="K172" i="5" a="1"/>
  <c r="F171" i="5" a="1"/>
  <c r="L170" i="5" a="1"/>
  <c r="G169" i="5" a="1"/>
  <c r="G167" i="5" a="1"/>
  <c r="C166" i="5" a="1"/>
  <c r="J165" i="5" a="1"/>
  <c r="F164" i="5" a="1"/>
  <c r="K163" i="5" a="1"/>
  <c r="E162" i="5" a="1"/>
  <c r="J161" i="5" a="1"/>
  <c r="L159" i="5" a="1"/>
  <c r="G156" i="5" a="1"/>
  <c r="C155" i="5" a="1"/>
  <c r="J152" i="5" a="1"/>
  <c r="K150" i="5" a="1"/>
  <c r="G149" i="5" a="1"/>
  <c r="L237" i="5"/>
  <c r="G236" i="5"/>
  <c r="G234" i="5"/>
  <c r="H232" i="5"/>
  <c r="H230" i="5"/>
  <c r="I228" i="5"/>
  <c r="C227" i="5"/>
  <c r="H226" i="5"/>
  <c r="C225" i="5" a="1"/>
  <c r="H224" i="5" a="1"/>
  <c r="C223" i="5" a="1"/>
  <c r="G221" i="5" a="1"/>
  <c r="E220" i="5" a="1"/>
  <c r="L219" i="5" a="1"/>
  <c r="C219" i="5" a="1"/>
  <c r="I218" i="5" a="1"/>
  <c r="D217" i="5" a="1"/>
  <c r="I216" i="5" a="1"/>
  <c r="H213" i="5" a="1"/>
  <c r="D212" i="5" a="1"/>
  <c r="J211" i="5" a="1"/>
  <c r="E210" i="5" a="1"/>
  <c r="J209" i="5" a="1"/>
  <c r="G208" i="5" a="1"/>
  <c r="H206" i="5" a="1"/>
  <c r="C205" i="5" a="1"/>
  <c r="H204" i="5" a="1"/>
  <c r="H202" i="5" a="1"/>
  <c r="H200" i="5" a="1"/>
  <c r="G198" i="5" a="1"/>
  <c r="F196" i="5" a="1"/>
  <c r="K195" i="5" a="1"/>
  <c r="L193" i="5" a="1"/>
  <c r="G192" i="5" a="1"/>
  <c r="L191" i="5" a="1"/>
  <c r="L189" i="5" a="1"/>
  <c r="F188" i="5" a="1"/>
  <c r="K187" i="5" a="1"/>
  <c r="E186" i="5" a="1"/>
  <c r="K185" i="5" a="1"/>
  <c r="K183" i="5" a="1"/>
  <c r="F182" i="5" a="1"/>
  <c r="L181" i="5" a="1"/>
  <c r="G180" i="5" a="1"/>
  <c r="L179" i="5" a="1"/>
  <c r="G178" i="5" a="1"/>
  <c r="L177" i="5" a="1"/>
  <c r="D175" i="5" a="1"/>
  <c r="J174" i="5" a="1"/>
  <c r="E173" i="5" a="1"/>
  <c r="J172" i="5" a="1"/>
  <c r="E171" i="5" a="1"/>
  <c r="K170" i="5" a="1"/>
  <c r="L168" i="5" a="1"/>
  <c r="F167" i="5" a="1"/>
  <c r="L166" i="5" a="1"/>
  <c r="I165" i="5" a="1"/>
  <c r="E164" i="5" a="1"/>
  <c r="J163" i="5" a="1"/>
  <c r="D162" i="5" a="1"/>
  <c r="I161" i="5" a="1"/>
  <c r="E160" i="5" a="1"/>
  <c r="K159" i="5" a="1"/>
  <c r="F158" i="5" a="1"/>
  <c r="L157" i="5" a="1"/>
  <c r="H154" i="5" a="1"/>
  <c r="C153" i="5" a="1"/>
  <c r="I152" i="5" a="1"/>
  <c r="D151" i="5" a="1"/>
  <c r="J150" i="5" a="1"/>
  <c r="F149" i="5" a="1"/>
  <c r="L148" i="5" a="1"/>
  <c r="K237" i="5"/>
  <c r="F236" i="5"/>
  <c r="L235" i="5"/>
  <c r="F234" i="5"/>
  <c r="G232" i="5"/>
  <c r="G230" i="5"/>
  <c r="H228" i="5"/>
  <c r="G226" i="5"/>
  <c r="L225" i="5" a="1"/>
  <c r="G224" i="5" a="1"/>
  <c r="J222" i="5" a="1"/>
  <c r="D220" i="5" a="1"/>
  <c r="H218" i="5" a="1"/>
  <c r="C217" i="5" a="1"/>
  <c r="F215" i="5" a="1"/>
  <c r="L214" i="5" a="1"/>
  <c r="G213" i="5" a="1"/>
  <c r="I211" i="5" a="1"/>
  <c r="D210" i="5" a="1"/>
  <c r="I209" i="5" a="1"/>
  <c r="F208" i="5" a="1"/>
  <c r="G206" i="5" a="1"/>
  <c r="G204" i="5" a="1"/>
  <c r="L203" i="5" a="1"/>
  <c r="G202" i="5" a="1"/>
  <c r="L201" i="5" a="1"/>
  <c r="G200" i="5" a="1"/>
  <c r="L199" i="5" a="1"/>
  <c r="F198" i="5" a="1"/>
  <c r="L197" i="5" a="1"/>
  <c r="E196" i="5" a="1"/>
  <c r="J195" i="5" a="1"/>
  <c r="E194" i="5" a="1"/>
  <c r="K193" i="5" a="1"/>
  <c r="F192" i="5" a="1"/>
  <c r="K191" i="5" a="1"/>
  <c r="F190" i="5" a="1"/>
  <c r="K189" i="5" a="1"/>
  <c r="E188" i="5" a="1"/>
  <c r="J187" i="5" a="1"/>
  <c r="D186" i="5" a="1"/>
  <c r="J185" i="5" a="1"/>
  <c r="E184" i="5" a="1"/>
  <c r="J183" i="5" a="1"/>
  <c r="E182" i="5" a="1"/>
  <c r="K181" i="5" a="1"/>
  <c r="F180" i="5" a="1"/>
  <c r="K179" i="5" a="1"/>
  <c r="F178" i="5" a="1"/>
  <c r="K177" i="5" a="1"/>
  <c r="F176" i="5" a="1"/>
  <c r="I174" i="5" a="1"/>
  <c r="D173" i="5" a="1"/>
  <c r="I172" i="5" a="1"/>
  <c r="J170" i="5" a="1"/>
  <c r="F169" i="5" a="1"/>
  <c r="K168" i="5" a="1"/>
  <c r="E167" i="5" a="1"/>
  <c r="H165" i="5" a="1"/>
  <c r="D164" i="5" a="1"/>
  <c r="I163" i="5" a="1"/>
  <c r="C162" i="5" a="1"/>
  <c r="H161" i="5" a="1"/>
  <c r="D160" i="5" a="1"/>
  <c r="J159" i="5" a="1"/>
  <c r="E158" i="5" a="1"/>
  <c r="K157" i="5" a="1"/>
  <c r="F156" i="5" a="1"/>
  <c r="L155" i="5" a="1"/>
  <c r="G154" i="5" a="1"/>
  <c r="H152" i="5" a="1"/>
  <c r="E149" i="5" a="1"/>
  <c r="J237" i="5"/>
  <c r="E236" i="5"/>
  <c r="K235" i="5"/>
  <c r="E234" i="5"/>
  <c r="L233" i="5"/>
  <c r="F232" i="5"/>
  <c r="L231" i="5"/>
  <c r="F230" i="5"/>
  <c r="L229" i="5"/>
  <c r="G228" i="5"/>
  <c r="F226" i="5"/>
  <c r="K225" i="5" a="1"/>
  <c r="L223" i="5" a="1"/>
  <c r="I222" i="5" a="1"/>
  <c r="F221" i="5" a="1"/>
  <c r="K219" i="5" a="1"/>
  <c r="G218" i="5" a="1"/>
  <c r="L217" i="5" a="1"/>
  <c r="H216" i="5" a="1"/>
  <c r="E215" i="5" a="1"/>
  <c r="K214" i="5" a="1"/>
  <c r="F213" i="5" a="1"/>
  <c r="C212" i="5" a="1"/>
  <c r="H211" i="5" a="1"/>
  <c r="C210" i="5" a="1"/>
  <c r="H209" i="5" a="1"/>
  <c r="L207" i="5" a="1"/>
  <c r="F206" i="5" a="1"/>
  <c r="L205" i="5" a="1"/>
  <c r="F204" i="5" a="1"/>
  <c r="F202" i="5" a="1"/>
  <c r="K201" i="5" a="1"/>
  <c r="F200" i="5" a="1"/>
  <c r="E198" i="5" a="1"/>
  <c r="K197" i="5" a="1"/>
  <c r="D196" i="5" a="1"/>
  <c r="I195" i="5" a="1"/>
  <c r="D194" i="5" a="1"/>
  <c r="J193" i="5" a="1"/>
  <c r="E192" i="5" a="1"/>
  <c r="J191" i="5" a="1"/>
  <c r="E190" i="5" a="1"/>
  <c r="J189" i="5" a="1"/>
  <c r="D188" i="5" a="1"/>
  <c r="I187" i="5" a="1"/>
  <c r="C186" i="5" a="1"/>
  <c r="I185" i="5" a="1"/>
  <c r="D184" i="5" a="1"/>
  <c r="I183" i="5" a="1"/>
  <c r="D182" i="5" a="1"/>
  <c r="J181" i="5" a="1"/>
  <c r="E180" i="5" a="1"/>
  <c r="J179" i="5" a="1"/>
  <c r="E178" i="5" a="1"/>
  <c r="J177" i="5" a="1"/>
  <c r="E176" i="5" a="1"/>
  <c r="L175" i="5" a="1"/>
  <c r="C175" i="5" a="1"/>
  <c r="H174" i="5" a="1"/>
  <c r="C173" i="5" a="1"/>
  <c r="H172" i="5" a="1"/>
  <c r="D171" i="5" a="1"/>
  <c r="I170" i="5" a="1"/>
  <c r="E169" i="5" a="1"/>
  <c r="J168" i="5" a="1"/>
  <c r="D167" i="5" a="1"/>
  <c r="K166" i="5" a="1"/>
  <c r="G165" i="5" a="1"/>
  <c r="C164" i="5" a="1"/>
  <c r="H163" i="5" a="1"/>
  <c r="G161" i="5" a="1"/>
  <c r="C160" i="5" a="1"/>
  <c r="I159" i="5" a="1"/>
  <c r="D158" i="5" a="1"/>
  <c r="J157" i="5" a="1"/>
  <c r="F154" i="5" a="1"/>
  <c r="L153" i="5" a="1"/>
  <c r="G152" i="5" a="1"/>
  <c r="C151" i="5" a="1"/>
  <c r="I150" i="5" a="1"/>
  <c r="D149" i="5" a="1"/>
  <c r="J148" i="5" a="1"/>
  <c r="J236" i="5"/>
  <c r="E231" i="5"/>
  <c r="K224" i="5" a="1"/>
  <c r="E219" i="5" a="1"/>
  <c r="L212" i="5" a="1"/>
  <c r="K206" i="5" a="1"/>
  <c r="E201" i="5" a="1"/>
  <c r="E166" i="5" a="1"/>
  <c r="G162" i="5" a="1"/>
  <c r="L151" i="5" a="1"/>
  <c r="I149" i="5" a="1"/>
  <c r="F147" i="5" a="1"/>
  <c r="K146" i="5" a="1"/>
  <c r="F145" i="5" a="1"/>
  <c r="E143" i="5" a="1"/>
  <c r="J142" i="5" a="1"/>
  <c r="K140" i="5" a="1"/>
  <c r="L138" i="5" a="1"/>
  <c r="E137" i="5" a="1"/>
  <c r="L136" i="5" a="1"/>
  <c r="G134" i="5" a="1"/>
  <c r="C133" i="5" a="1"/>
  <c r="C131" i="5" a="1"/>
  <c r="I130" i="5" a="1"/>
  <c r="C129" i="5" a="1"/>
  <c r="I128" i="5" a="1"/>
  <c r="D127" i="5" a="1"/>
  <c r="I126" i="5" a="1"/>
  <c r="D125" i="5" a="1"/>
  <c r="I124" i="5" a="1"/>
  <c r="C123" i="5" a="1"/>
  <c r="I122" i="5" a="1"/>
  <c r="D121" i="5" a="1"/>
  <c r="I120" i="5" a="1"/>
  <c r="I118" i="5" a="1"/>
  <c r="D117" i="5" a="1"/>
  <c r="H115" i="5" a="1"/>
  <c r="K113" i="5" a="1"/>
  <c r="H112" i="5" a="1"/>
  <c r="E111" i="5" a="1"/>
  <c r="J110" i="5" a="1"/>
  <c r="G109" i="5" a="1"/>
  <c r="G107" i="5" a="1"/>
  <c r="L106" i="5" a="1"/>
  <c r="G105" i="5" a="1"/>
  <c r="L104" i="5" a="1"/>
  <c r="G103" i="5" a="1"/>
  <c r="F101" i="5" a="1"/>
  <c r="L100" i="5" a="1"/>
  <c r="F99" i="5" a="1"/>
  <c r="K98" i="5" a="1"/>
  <c r="G97" i="5" a="1"/>
  <c r="E96" i="5" a="1"/>
  <c r="L95" i="5" a="1"/>
  <c r="J94" i="5" a="1"/>
  <c r="F93" i="5" a="1"/>
  <c r="L92" i="5" a="1"/>
  <c r="C92" i="5" a="1"/>
  <c r="H91" i="5" a="1"/>
  <c r="D90" i="5" a="1"/>
  <c r="J89" i="5" a="1"/>
  <c r="G88" i="5" a="1"/>
  <c r="J87" i="5" a="1"/>
  <c r="C86" i="5" a="1"/>
  <c r="H85" i="5" a="1"/>
  <c r="L84" i="5" a="1"/>
  <c r="E80" i="5" a="1"/>
  <c r="I79" i="5" a="1"/>
  <c r="H77" i="5" a="1"/>
  <c r="L76" i="5" a="1"/>
  <c r="J73" i="5" a="1"/>
  <c r="E72" i="5" a="1"/>
  <c r="H71" i="5" a="1"/>
  <c r="L70" i="5" a="1"/>
  <c r="D236" i="5"/>
  <c r="K229" i="5"/>
  <c r="F224" i="5" a="1"/>
  <c r="K217" i="5" a="1"/>
  <c r="G212" i="5" a="1"/>
  <c r="E206" i="5" a="1"/>
  <c r="K199" i="5" a="1"/>
  <c r="L164" i="5" a="1"/>
  <c r="L160" i="5" a="1"/>
  <c r="H158" i="5" a="1"/>
  <c r="I156" i="5" a="1"/>
  <c r="F151" i="5" a="1"/>
  <c r="E147" i="5" a="1"/>
  <c r="J146" i="5" a="1"/>
  <c r="E145" i="5" a="1"/>
  <c r="K144" i="5" a="1"/>
  <c r="D143" i="5" a="1"/>
  <c r="D141" i="5" a="1"/>
  <c r="F139" i="5" a="1"/>
  <c r="K138" i="5" a="1"/>
  <c r="K136" i="5" a="1"/>
  <c r="I135" i="5" a="1"/>
  <c r="F134" i="5" a="1"/>
  <c r="I132" i="5" a="1"/>
  <c r="H130" i="5" a="1"/>
  <c r="H128" i="5" a="1"/>
  <c r="C127" i="5" a="1"/>
  <c r="H126" i="5" a="1"/>
  <c r="C125" i="5" a="1"/>
  <c r="H124" i="5" a="1"/>
  <c r="H122" i="5" a="1"/>
  <c r="C121" i="5" a="1"/>
  <c r="H120" i="5" a="1"/>
  <c r="H118" i="5" a="1"/>
  <c r="C117" i="5" a="1"/>
  <c r="J116" i="5" a="1"/>
  <c r="G115" i="5" a="1"/>
  <c r="D114" i="5" a="1"/>
  <c r="J113" i="5" a="1"/>
  <c r="D111" i="5" a="1"/>
  <c r="I110" i="5" a="1"/>
  <c r="L108" i="5" a="1"/>
  <c r="F107" i="5" a="1"/>
  <c r="K106" i="5" a="1"/>
  <c r="F105" i="5" a="1"/>
  <c r="K104" i="5" a="1"/>
  <c r="F103" i="5" a="1"/>
  <c r="L102" i="5" a="1"/>
  <c r="E101" i="5" a="1"/>
  <c r="K100" i="5" a="1"/>
  <c r="E99" i="5" a="1"/>
  <c r="D96" i="5" a="1"/>
  <c r="K95" i="5" a="1"/>
  <c r="I94" i="5" a="1"/>
  <c r="E93" i="5" a="1"/>
  <c r="K92" i="5" a="1"/>
  <c r="G91" i="5" a="1"/>
  <c r="C90" i="5" a="1"/>
  <c r="I89" i="5" a="1"/>
  <c r="F88" i="5" a="1"/>
  <c r="I87" i="5" a="1"/>
  <c r="G85" i="5" a="1"/>
  <c r="K84" i="5" a="1"/>
  <c r="E83" i="5" a="1"/>
  <c r="J82" i="5" a="1"/>
  <c r="D80" i="5" a="1"/>
  <c r="H79" i="5" a="1"/>
  <c r="L78" i="5" a="1"/>
  <c r="G77" i="5" a="1"/>
  <c r="G75" i="5" a="1"/>
  <c r="D74" i="5" a="1"/>
  <c r="D72" i="5" a="1"/>
  <c r="K70" i="5" a="1"/>
  <c r="J234" i="5"/>
  <c r="E229" i="5"/>
  <c r="L222" i="5" a="1"/>
  <c r="K204" i="5" a="1"/>
  <c r="E199" i="5" a="1"/>
  <c r="H185" i="5" a="1"/>
  <c r="H183" i="5" a="1"/>
  <c r="I181" i="5" a="1"/>
  <c r="G164" i="5" a="1"/>
  <c r="G160" i="5" a="1"/>
  <c r="C158" i="5" a="1"/>
  <c r="E156" i="5" a="1"/>
  <c r="D147" i="5" a="1"/>
  <c r="I146" i="5" a="1"/>
  <c r="D145" i="5" a="1"/>
  <c r="J144" i="5" a="1"/>
  <c r="C143" i="5" a="1"/>
  <c r="I142" i="5" a="1"/>
  <c r="C141" i="5" a="1"/>
  <c r="J140" i="5" a="1"/>
  <c r="E139" i="5" a="1"/>
  <c r="J138" i="5" a="1"/>
  <c r="D137" i="5" a="1"/>
  <c r="H135" i="5" a="1"/>
  <c r="L133" i="5" a="1"/>
  <c r="H132" i="5" a="1"/>
  <c r="G130" i="5" a="1"/>
  <c r="G128" i="5" a="1"/>
  <c r="G126" i="5" a="1"/>
  <c r="G124" i="5" a="1"/>
  <c r="G122" i="5" a="1"/>
  <c r="G120" i="5" a="1"/>
  <c r="L119" i="5" a="1"/>
  <c r="G118" i="5" a="1"/>
  <c r="I116" i="5" a="1"/>
  <c r="F115" i="5" a="1"/>
  <c r="C114" i="5" a="1"/>
  <c r="G112" i="5" a="1"/>
  <c r="C111" i="5" a="1"/>
  <c r="H110" i="5" a="1"/>
  <c r="F109" i="5" a="1"/>
  <c r="K108" i="5" a="1"/>
  <c r="E107" i="5" a="1"/>
  <c r="E105" i="5" a="1"/>
  <c r="J104" i="5" a="1"/>
  <c r="E103" i="5" a="1"/>
  <c r="K102" i="5" a="1"/>
  <c r="J100" i="5" a="1"/>
  <c r="D99" i="5" a="1"/>
  <c r="J98" i="5" a="1"/>
  <c r="F97" i="5" a="1"/>
  <c r="C96" i="5" a="1"/>
  <c r="J95" i="5" a="1"/>
  <c r="F91" i="5" a="1"/>
  <c r="L90" i="5" a="1"/>
  <c r="H89" i="5" a="1"/>
  <c r="E88" i="5" a="1"/>
  <c r="H87" i="5" a="1"/>
  <c r="L86" i="5" a="1"/>
  <c r="F85" i="5" a="1"/>
  <c r="J84" i="5" a="1"/>
  <c r="D83" i="5" a="1"/>
  <c r="I82" i="5" a="1"/>
  <c r="L81" i="5" a="1"/>
  <c r="C80" i="5" a="1"/>
  <c r="G79" i="5" a="1"/>
  <c r="K78" i="5" a="1"/>
  <c r="F77" i="5" a="1"/>
  <c r="K76" i="5" a="1"/>
  <c r="F75" i="5" a="1"/>
  <c r="L74" i="5" a="1"/>
  <c r="C74" i="5" a="1"/>
  <c r="I73" i="5" a="1"/>
  <c r="C72" i="5" a="1"/>
  <c r="G71" i="5" a="1"/>
  <c r="D234" i="5"/>
  <c r="L227" i="5"/>
  <c r="H222" i="5" a="1"/>
  <c r="I215" i="5" a="1"/>
  <c r="E204" i="5" a="1"/>
  <c r="J197" i="5" a="1"/>
  <c r="H195" i="5" a="1"/>
  <c r="I193" i="5" a="1"/>
  <c r="I191" i="5" a="1"/>
  <c r="I189" i="5" a="1"/>
  <c r="H187" i="5" a="1"/>
  <c r="C185" i="5" a="1"/>
  <c r="C183" i="5" a="1"/>
  <c r="D181" i="5" a="1"/>
  <c r="E179" i="5" a="1"/>
  <c r="I177" i="5" a="1"/>
  <c r="L171" i="5" a="1"/>
  <c r="J154" i="5" a="1"/>
  <c r="C147" i="5" a="1"/>
  <c r="H146" i="5" a="1"/>
  <c r="C145" i="5" a="1"/>
  <c r="I144" i="5" a="1"/>
  <c r="H142" i="5" a="1"/>
  <c r="D139" i="5" a="1"/>
  <c r="I138" i="5" a="1"/>
  <c r="J136" i="5" a="1"/>
  <c r="G135" i="5" a="1"/>
  <c r="E134" i="5" a="1"/>
  <c r="K133" i="5" a="1"/>
  <c r="G132" i="5" a="1"/>
  <c r="L131" i="5" a="1"/>
  <c r="F130" i="5" a="1"/>
  <c r="L129" i="5" a="1"/>
  <c r="F128" i="5" a="1"/>
  <c r="L127" i="5" a="1"/>
  <c r="F126" i="5" a="1"/>
  <c r="L125" i="5" a="1"/>
  <c r="L123" i="5" a="1"/>
  <c r="F122" i="5" a="1"/>
  <c r="L121" i="5" a="1"/>
  <c r="F120" i="5" a="1"/>
  <c r="K119" i="5" a="1"/>
  <c r="F118" i="5" a="1"/>
  <c r="L117" i="5" a="1"/>
  <c r="H116" i="5" a="1"/>
  <c r="E115" i="5" a="1"/>
  <c r="I113" i="5" a="1"/>
  <c r="F112" i="5" a="1"/>
  <c r="L111" i="5" a="1"/>
  <c r="E109" i="5" a="1"/>
  <c r="J108" i="5" a="1"/>
  <c r="D107" i="5" a="1"/>
  <c r="J106" i="5" a="1"/>
  <c r="D105" i="5" a="1"/>
  <c r="I104" i="5" a="1"/>
  <c r="D103" i="5" a="1"/>
  <c r="J102" i="5" a="1"/>
  <c r="D101" i="5" a="1"/>
  <c r="I100" i="5" a="1"/>
  <c r="C99" i="5" a="1"/>
  <c r="I98" i="5" a="1"/>
  <c r="E97" i="5" a="1"/>
  <c r="L96" i="5" a="1"/>
  <c r="I95" i="5" a="1"/>
  <c r="H94" i="5" a="1"/>
  <c r="D93" i="5" a="1"/>
  <c r="J92" i="5" a="1"/>
  <c r="E91" i="5" a="1"/>
  <c r="D88" i="5" a="1"/>
  <c r="G87" i="5" a="1"/>
  <c r="K86" i="5" a="1"/>
  <c r="E85" i="5" a="1"/>
  <c r="I84" i="5" a="1"/>
  <c r="C83" i="5" a="1"/>
  <c r="H82" i="5" a="1"/>
  <c r="K81" i="5" a="1"/>
  <c r="F79" i="5" a="1"/>
  <c r="J78" i="5" a="1"/>
  <c r="J76" i="5" a="1"/>
  <c r="K74" i="5" a="1"/>
  <c r="H73" i="5" a="1"/>
  <c r="L72" i="5" a="1"/>
  <c r="F71" i="5" a="1"/>
  <c r="I70" i="5" a="1"/>
  <c r="C237" i="5"/>
  <c r="K230" i="5"/>
  <c r="E225" i="5" a="1"/>
  <c r="C220" i="5" a="1"/>
  <c r="E213" i="5" a="1"/>
  <c r="E207" i="5" a="1"/>
  <c r="K200" i="5" a="1"/>
  <c r="K165" i="5" a="1"/>
  <c r="L161" i="5" a="1"/>
  <c r="F152" i="5" a="1"/>
  <c r="H150" i="5" a="1"/>
  <c r="K148" i="5" a="1"/>
  <c r="L147" i="5" a="1"/>
  <c r="E146" i="5" a="1"/>
  <c r="K145" i="5" a="1"/>
  <c r="F144" i="5" a="1"/>
  <c r="K143" i="5" a="1"/>
  <c r="E142" i="5" a="1"/>
  <c r="J141" i="5" a="1"/>
  <c r="G140" i="5" a="1"/>
  <c r="L139" i="5" a="1"/>
  <c r="F138" i="5" a="1"/>
  <c r="K137" i="5" a="1"/>
  <c r="G136" i="5" a="1"/>
  <c r="L134" i="5" a="1"/>
  <c r="C134" i="5" a="1"/>
  <c r="H133" i="5" a="1"/>
  <c r="D132" i="5" a="1"/>
  <c r="I131" i="5" a="1"/>
  <c r="I129" i="5" a="1"/>
  <c r="C128" i="5" a="1"/>
  <c r="C126" i="5" a="1"/>
  <c r="I125" i="5" a="1"/>
  <c r="D124" i="5" a="1"/>
  <c r="I123" i="5" a="1"/>
  <c r="C122" i="5" a="1"/>
  <c r="I121" i="5" a="1"/>
  <c r="C120" i="5" a="1"/>
  <c r="H119" i="5" a="1"/>
  <c r="C118" i="5" a="1"/>
  <c r="I117" i="5" a="1"/>
  <c r="E116" i="5" a="1"/>
  <c r="C115" i="5" a="1"/>
  <c r="J114" i="5" a="1"/>
  <c r="G113" i="5" a="1"/>
  <c r="J111" i="5" a="1"/>
  <c r="F110" i="5" a="1"/>
  <c r="K109" i="5" a="1"/>
  <c r="G108" i="5" a="1"/>
  <c r="G106" i="5" a="1"/>
  <c r="G104" i="5" a="1"/>
  <c r="L103" i="5" a="1"/>
  <c r="G102" i="5" a="1"/>
  <c r="L101" i="5" a="1"/>
  <c r="F100" i="5" a="1"/>
  <c r="K99" i="5" a="1"/>
  <c r="F98" i="5" a="1"/>
  <c r="L97" i="5" a="1"/>
  <c r="C97" i="5" a="1"/>
  <c r="I96" i="5" a="1"/>
  <c r="G95" i="5" a="1"/>
  <c r="F94" i="5" a="1"/>
  <c r="K93" i="5" a="1"/>
  <c r="C91" i="5" a="1"/>
  <c r="I90" i="5" a="1"/>
  <c r="E89" i="5" a="1"/>
  <c r="K88" i="5" a="1"/>
  <c r="E87" i="5" a="1"/>
  <c r="H86" i="5" a="1"/>
  <c r="L85" i="5" a="1"/>
  <c r="C85" i="5" a="1"/>
  <c r="G84" i="5" a="1"/>
  <c r="K83" i="5" a="1"/>
  <c r="E82" i="5" a="1"/>
  <c r="H81" i="5" a="1"/>
  <c r="K80" i="5" a="1"/>
  <c r="D79" i="5" a="1"/>
  <c r="G78" i="5" a="1"/>
  <c r="L77" i="5" a="1"/>
  <c r="C77" i="5" a="1"/>
  <c r="G76" i="5" a="1"/>
  <c r="D75" i="5" a="1"/>
  <c r="I74" i="5" a="1"/>
  <c r="E73" i="5" a="1"/>
  <c r="C71" i="5" a="1"/>
  <c r="D235" i="5"/>
  <c r="L228" i="5"/>
  <c r="E223" i="5" a="1"/>
  <c r="L216" i="5" a="1"/>
  <c r="F205" i="5" a="1"/>
  <c r="J198" i="5" a="1"/>
  <c r="H184" i="5" a="1"/>
  <c r="I182" i="5" a="1"/>
  <c r="J180" i="5" a="1"/>
  <c r="C159" i="5" a="1"/>
  <c r="D157" i="5" a="1"/>
  <c r="K155" i="5" a="1"/>
  <c r="F148" i="5" a="1"/>
  <c r="J147" i="5" a="1"/>
  <c r="D146" i="5" a="1"/>
  <c r="D144" i="5" a="1"/>
  <c r="I143" i="5" a="1"/>
  <c r="C142" i="5" a="1"/>
  <c r="H141" i="5" a="1"/>
  <c r="E140" i="5" a="1"/>
  <c r="J139" i="5" a="1"/>
  <c r="D138" i="5" a="1"/>
  <c r="I137" i="5" a="1"/>
  <c r="D135" i="5" a="1"/>
  <c r="J134" i="5" a="1"/>
  <c r="F133" i="5" a="1"/>
  <c r="G131" i="5" a="1"/>
  <c r="L130" i="5" a="1"/>
  <c r="G129" i="5" a="1"/>
  <c r="L128" i="5" a="1"/>
  <c r="H127" i="5" a="1"/>
  <c r="H125" i="5" a="1"/>
  <c r="G123" i="5" a="1"/>
  <c r="G121" i="5" a="1"/>
  <c r="F119" i="5" a="1"/>
  <c r="L118" i="5" a="1"/>
  <c r="H117" i="5" a="1"/>
  <c r="K115" i="5" a="1"/>
  <c r="H114" i="5" a="1"/>
  <c r="E113" i="5" a="1"/>
  <c r="K112" i="5" a="1"/>
  <c r="H111" i="5" a="1"/>
  <c r="D110" i="5" a="1"/>
  <c r="E108" i="5" a="1"/>
  <c r="K107" i="5" a="1"/>
  <c r="K105" i="5" a="1"/>
  <c r="E104" i="5" a="1"/>
  <c r="E102" i="5" a="1"/>
  <c r="J101" i="5" a="1"/>
  <c r="D100" i="5" a="1"/>
  <c r="J99" i="5" a="1"/>
  <c r="J97" i="5" a="1"/>
  <c r="H96" i="5" a="1"/>
  <c r="F95" i="5" a="1"/>
  <c r="D94" i="5" a="1"/>
  <c r="I93" i="5" a="1"/>
  <c r="L91" i="5" a="1"/>
  <c r="G90" i="5" a="1"/>
  <c r="D89" i="5" a="1"/>
  <c r="J88" i="5" a="1"/>
  <c r="C87" i="5" a="1"/>
  <c r="F86" i="5" a="1"/>
  <c r="E84" i="5" a="1"/>
  <c r="I83" i="5" a="1"/>
  <c r="C82" i="5" a="1"/>
  <c r="F81" i="5" a="1"/>
  <c r="I80" i="5" a="1"/>
  <c r="L79" i="5" a="1"/>
  <c r="F78" i="5" a="1"/>
  <c r="J77" i="5" a="1"/>
  <c r="K75" i="5" a="1"/>
  <c r="G74" i="5" a="1"/>
  <c r="D73" i="5" a="1"/>
  <c r="L71" i="5" a="1"/>
  <c r="K233" i="5"/>
  <c r="F228" i="5"/>
  <c r="J221" i="5" a="1"/>
  <c r="G216" i="5" a="1"/>
  <c r="K203" i="5" a="1"/>
  <c r="I196" i="5" a="1"/>
  <c r="H194" i="5" a="1"/>
  <c r="I192" i="5" a="1"/>
  <c r="I190" i="5" a="1"/>
  <c r="H188" i="5" a="1"/>
  <c r="H186" i="5" a="1"/>
  <c r="C184" i="5" a="1"/>
  <c r="C182" i="5" a="1"/>
  <c r="D180" i="5" a="1"/>
  <c r="J178" i="5" a="1"/>
  <c r="I176" i="5" a="1"/>
  <c r="G172" i="5" a="1"/>
  <c r="E155" i="5" a="1"/>
  <c r="D148" i="5" a="1"/>
  <c r="I147" i="5" a="1"/>
  <c r="C146" i="5" a="1"/>
  <c r="I145" i="5" a="1"/>
  <c r="C144" i="5" a="1"/>
  <c r="H143" i="5" a="1"/>
  <c r="G141" i="5" a="1"/>
  <c r="D140" i="5" a="1"/>
  <c r="I139" i="5" a="1"/>
  <c r="C138" i="5" a="1"/>
  <c r="H137" i="5" a="1"/>
  <c r="E136" i="5" a="1"/>
  <c r="K135" i="5" a="1"/>
  <c r="L132" i="5" a="1"/>
  <c r="F131" i="5" a="1"/>
  <c r="F129" i="5" a="1"/>
  <c r="K128" i="5" a="1"/>
  <c r="G127" i="5" a="1"/>
  <c r="L126" i="5" a="1"/>
  <c r="G125" i="5" a="1"/>
  <c r="L124" i="5" a="1"/>
  <c r="F123" i="5" a="1"/>
  <c r="L122" i="5" a="1"/>
  <c r="L120" i="5" a="1"/>
  <c r="E119" i="5" a="1"/>
  <c r="K118" i="5" a="1"/>
  <c r="G117" i="5" a="1"/>
  <c r="C116" i="5" a="1"/>
  <c r="J115" i="5" a="1"/>
  <c r="G114" i="5" a="1"/>
  <c r="C110" i="5" a="1"/>
  <c r="I109" i="5" a="1"/>
  <c r="D108" i="5" a="1"/>
  <c r="J107" i="5" a="1"/>
  <c r="E106" i="5" a="1"/>
  <c r="J105" i="5" a="1"/>
  <c r="D104" i="5" a="1"/>
  <c r="J103" i="5" a="1"/>
  <c r="D102" i="5" a="1"/>
  <c r="I101" i="5" a="1"/>
  <c r="C100" i="5" a="1"/>
  <c r="I99" i="5" a="1"/>
  <c r="D98" i="5" a="1"/>
  <c r="I97" i="5" a="1"/>
  <c r="G96" i="5" a="1"/>
  <c r="E95" i="5" a="1"/>
  <c r="L94" i="5" a="1"/>
  <c r="C94" i="5" a="1"/>
  <c r="H93" i="5" a="1"/>
  <c r="F92" i="5" a="1"/>
  <c r="K91" i="5" a="1"/>
  <c r="F90" i="5" a="1"/>
  <c r="L89" i="5" a="1"/>
  <c r="C89" i="5" a="1"/>
  <c r="I88" i="5" a="1"/>
  <c r="E86" i="5" a="1"/>
  <c r="J85" i="5" a="1"/>
  <c r="D84" i="5" a="1"/>
  <c r="H83" i="5" a="1"/>
  <c r="L82" i="5" a="1"/>
  <c r="E81" i="5" a="1"/>
  <c r="H80" i="5" a="1"/>
  <c r="K79" i="5" a="1"/>
  <c r="E78" i="5" a="1"/>
  <c r="E76" i="5" a="1"/>
  <c r="J75" i="5" a="1"/>
  <c r="F74" i="5" a="1"/>
  <c r="L73" i="5" a="1"/>
  <c r="C73" i="5" a="1"/>
  <c r="H72" i="5" a="1"/>
  <c r="K71" i="5" a="1"/>
  <c r="E233" i="5"/>
  <c r="K226" i="5"/>
  <c r="E221" i="5" a="1"/>
  <c r="D216" i="5" a="1"/>
  <c r="J214" i="5" a="1"/>
  <c r="E203" i="5" a="1"/>
  <c r="C196" i="5" a="1"/>
  <c r="D192" i="5" a="1"/>
  <c r="D190" i="5" a="1"/>
  <c r="C188" i="5" a="1"/>
  <c r="D178" i="5" a="1"/>
  <c r="D176" i="5" a="1"/>
  <c r="H170" i="5" a="1"/>
  <c r="I168" i="5" a="1"/>
  <c r="K153" i="5" a="1"/>
  <c r="C148" i="5" a="1"/>
  <c r="H147" i="5" a="1"/>
  <c r="H145" i="5" a="1"/>
  <c r="G143" i="5" a="1"/>
  <c r="L142" i="5" a="1"/>
  <c r="F141" i="5" a="1"/>
  <c r="L140" i="5" a="1"/>
  <c r="C140" i="5" a="1"/>
  <c r="H139" i="5" a="1"/>
  <c r="G137" i="5" a="1"/>
  <c r="D136" i="5" a="1"/>
  <c r="C135" i="5" a="1"/>
  <c r="I134" i="5" a="1"/>
  <c r="E133" i="5" a="1"/>
  <c r="K132" i="5" a="1"/>
  <c r="E131" i="5" a="1"/>
  <c r="K130" i="5" a="1"/>
  <c r="E129" i="5" a="1"/>
  <c r="J128" i="5" a="1"/>
  <c r="F127" i="5" a="1"/>
  <c r="K126" i="5" a="1"/>
  <c r="F125" i="5" a="1"/>
  <c r="K124" i="5" a="1"/>
  <c r="E123" i="5" a="1"/>
  <c r="K122" i="5" a="1"/>
  <c r="F121" i="5" a="1"/>
  <c r="K120" i="5" a="1"/>
  <c r="D119" i="5" a="1"/>
  <c r="J118" i="5" a="1"/>
  <c r="F117" i="5" a="1"/>
  <c r="L116" i="5" a="1"/>
  <c r="I115" i="5" a="1"/>
  <c r="F114" i="5" a="1"/>
  <c r="D113" i="5" a="1"/>
  <c r="J112" i="5" a="1"/>
  <c r="G111" i="5" a="1"/>
  <c r="L110" i="5" a="1"/>
  <c r="H109" i="5" a="1"/>
  <c r="I107" i="5" a="1"/>
  <c r="D106" i="5" a="1"/>
  <c r="I105" i="5" a="1"/>
  <c r="C104" i="5" a="1"/>
  <c r="I103" i="5" a="1"/>
  <c r="C102" i="5" a="1"/>
  <c r="H101" i="5" a="1"/>
  <c r="H99" i="5" a="1"/>
  <c r="C98" i="5" a="1"/>
  <c r="H97" i="5" a="1"/>
  <c r="D95" i="5" a="1"/>
  <c r="K94" i="5" a="1"/>
  <c r="E92" i="5" a="1"/>
  <c r="J91" i="5" a="1"/>
  <c r="E90" i="5" a="1"/>
  <c r="H88" i="5" a="1"/>
  <c r="L87" i="5" a="1"/>
  <c r="C84" i="5" a="1"/>
  <c r="G83" i="5" a="1"/>
  <c r="D81" i="5" a="1"/>
  <c r="G80" i="5" a="1"/>
  <c r="D78" i="5" a="1"/>
  <c r="I77" i="5" a="1"/>
  <c r="D76" i="5" a="1"/>
  <c r="I75" i="5" a="1"/>
  <c r="K73" i="5" a="1"/>
  <c r="G72" i="5" a="1"/>
  <c r="J71" i="5" a="1"/>
  <c r="K231" i="5"/>
  <c r="E226" i="5"/>
  <c r="H210" i="5" a="1"/>
  <c r="E208" i="5" a="1"/>
  <c r="C174" i="5" a="1"/>
  <c r="C170" i="5" a="1"/>
  <c r="D168" i="5" a="1"/>
  <c r="E153" i="5" a="1"/>
  <c r="G147" i="5" a="1"/>
  <c r="L146" i="5" a="1"/>
  <c r="G145" i="5" a="1"/>
  <c r="L144" i="5" a="1"/>
  <c r="F143" i="5" a="1"/>
  <c r="K142" i="5" a="1"/>
  <c r="E141" i="5" a="1"/>
  <c r="G139" i="5" a="1"/>
  <c r="F137" i="5" a="1"/>
  <c r="C136" i="5" a="1"/>
  <c r="J135" i="5" a="1"/>
  <c r="H134" i="5" a="1"/>
  <c r="D133" i="5" a="1"/>
  <c r="J132" i="5" a="1"/>
  <c r="D131" i="5" a="1"/>
  <c r="J130" i="5" a="1"/>
  <c r="D129" i="5" a="1"/>
  <c r="E127" i="5" a="1"/>
  <c r="J126" i="5" a="1"/>
  <c r="E125" i="5" a="1"/>
  <c r="J124" i="5" a="1"/>
  <c r="D123" i="5" a="1"/>
  <c r="J122" i="5" a="1"/>
  <c r="E121" i="5" a="1"/>
  <c r="J120" i="5" a="1"/>
  <c r="C119" i="5" a="1"/>
  <c r="E117" i="5" a="1"/>
  <c r="K116" i="5" a="1"/>
  <c r="E114" i="5" a="1"/>
  <c r="L113" i="5" a="1"/>
  <c r="C113" i="5" a="1"/>
  <c r="I112" i="5" a="1"/>
  <c r="F111" i="5" a="1"/>
  <c r="K110" i="5" a="1"/>
  <c r="C108" i="5" a="1"/>
  <c r="H107" i="5" a="1"/>
  <c r="C106" i="5" a="1"/>
  <c r="H105" i="5" a="1"/>
  <c r="H103" i="5" a="1"/>
  <c r="G101" i="5" a="1"/>
  <c r="G99" i="5" a="1"/>
  <c r="L98" i="5" a="1"/>
  <c r="F96" i="5" a="1"/>
  <c r="C95" i="5" a="1"/>
  <c r="G93" i="5" a="1"/>
  <c r="D92" i="5" a="1"/>
  <c r="I91" i="5" a="1"/>
  <c r="K89" i="5" a="1"/>
  <c r="K87" i="5" a="1"/>
  <c r="D86" i="5" a="1"/>
  <c r="I85" i="5" a="1"/>
  <c r="F83" i="5" a="1"/>
  <c r="K82" i="5" a="1"/>
  <c r="C81" i="5" a="1"/>
  <c r="F80" i="5" a="1"/>
  <c r="J79" i="5" a="1"/>
  <c r="C78" i="5" a="1"/>
  <c r="C76" i="5" a="1"/>
  <c r="H75" i="5" a="1"/>
  <c r="E74" i="5" a="1"/>
  <c r="L220" i="5" a="1"/>
  <c r="D215" i="5" a="1"/>
  <c r="K207" i="5" a="1"/>
  <c r="E202" i="5" a="1"/>
  <c r="D197" i="5" a="1"/>
  <c r="C189" i="5" a="1"/>
  <c r="K175" i="5" a="1"/>
  <c r="G142" i="5" a="1"/>
  <c r="C139" i="5" a="1"/>
  <c r="K134" i="5" a="1"/>
  <c r="J131" i="5" a="1"/>
  <c r="K123" i="5" a="1"/>
  <c r="E120" i="5" a="1"/>
  <c r="I111" i="5" a="1"/>
  <c r="H108" i="5" a="1"/>
  <c r="K101" i="5" a="1"/>
  <c r="E98" i="5" a="1"/>
  <c r="K96" i="5" a="1"/>
  <c r="L93" i="5" a="1"/>
  <c r="H90" i="5" a="1"/>
  <c r="F82" i="5" a="1"/>
  <c r="F70" i="5" a="1"/>
  <c r="I69" i="5" a="1"/>
  <c r="L68" i="5" a="1"/>
  <c r="C67" i="5" a="1"/>
  <c r="G66" i="5" a="1"/>
  <c r="J65" i="5" a="1"/>
  <c r="E63" i="5" a="1"/>
  <c r="I62" i="5" a="1"/>
  <c r="L61" i="5" a="1"/>
  <c r="D60" i="5" a="1"/>
  <c r="H59" i="5" a="1"/>
  <c r="L58" i="5" a="1"/>
  <c r="J56" i="5" a="1"/>
  <c r="F54" i="5" a="1"/>
  <c r="C52" i="5" a="1"/>
  <c r="G51" i="5" a="1"/>
  <c r="J50" i="5" a="1"/>
  <c r="F48" i="5" a="1"/>
  <c r="I47" i="5" a="1"/>
  <c r="D46" i="5" a="1"/>
  <c r="H45" i="5" a="1"/>
  <c r="C44" i="5" a="1"/>
  <c r="F43" i="5" a="1"/>
  <c r="J42" i="5" a="1"/>
  <c r="D41" i="5" a="1"/>
  <c r="H40" i="5" a="1"/>
  <c r="K39" i="5" a="1"/>
  <c r="D38" i="5" a="1"/>
  <c r="G35" i="5" a="1"/>
  <c r="L34" i="5" a="1"/>
  <c r="F33" i="5" a="1"/>
  <c r="C32" i="5" a="1"/>
  <c r="D30" i="5" a="1"/>
  <c r="I29" i="5" a="1"/>
  <c r="H28" i="5" a="1"/>
  <c r="E27" i="5" a="1"/>
  <c r="I26" i="5" a="1"/>
  <c r="J24" i="5" a="1"/>
  <c r="K22" i="5" a="1"/>
  <c r="E21" i="5" a="1"/>
  <c r="K20" i="5" a="1"/>
  <c r="E19" i="5" a="1"/>
  <c r="J18" i="5" a="1"/>
  <c r="C17" i="5" a="1"/>
  <c r="F16" i="5" a="1"/>
  <c r="I15" i="5" a="1"/>
  <c r="L14" i="5" a="1"/>
  <c r="I12" i="5" a="1"/>
  <c r="E10" i="5" a="1"/>
  <c r="H9" i="5" a="1"/>
  <c r="K8" i="5" a="1"/>
  <c r="C7" i="5" a="1"/>
  <c r="G6" i="5" a="1"/>
  <c r="J5" i="5" a="1"/>
  <c r="E3" i="5" a="1"/>
  <c r="I2" i="5" a="1"/>
  <c r="F6" i="5" a="1"/>
  <c r="I5" i="5" a="1"/>
  <c r="L4" i="5" a="1"/>
  <c r="D3" i="5" a="1"/>
  <c r="H2" i="5" a="1"/>
  <c r="J235" i="5"/>
  <c r="J225" i="5" a="1"/>
  <c r="H220" i="5" a="1"/>
  <c r="F175" i="5" a="1"/>
  <c r="I157" i="5" a="1"/>
  <c r="L145" i="5" a="1"/>
  <c r="F142" i="5" a="1"/>
  <c r="L137" i="5" a="1"/>
  <c r="D134" i="5" a="1"/>
  <c r="H131" i="5" a="1"/>
  <c r="J123" i="5" a="1"/>
  <c r="D120" i="5" a="1"/>
  <c r="F108" i="5" a="1"/>
  <c r="I106" i="5" a="1"/>
  <c r="C101" i="5" a="1"/>
  <c r="J96" i="5" a="1"/>
  <c r="J93" i="5" a="1"/>
  <c r="J86" i="5" a="1"/>
  <c r="H84" i="5" a="1"/>
  <c r="D82" i="5" a="1"/>
  <c r="L75" i="5" a="1"/>
  <c r="E70" i="5" a="1"/>
  <c r="H69" i="5" a="1"/>
  <c r="K68" i="5" a="1"/>
  <c r="F66" i="5" a="1"/>
  <c r="I65" i="5" a="1"/>
  <c r="D63" i="5" a="1"/>
  <c r="H62" i="5" a="1"/>
  <c r="K61" i="5" a="1"/>
  <c r="C60" i="5" a="1"/>
  <c r="G59" i="5" a="1"/>
  <c r="K58" i="5" a="1"/>
  <c r="E57" i="5" a="1"/>
  <c r="I56" i="5" a="1"/>
  <c r="L55" i="5" a="1"/>
  <c r="J53" i="5" a="1"/>
  <c r="F51" i="5" a="1"/>
  <c r="I50" i="5" a="1"/>
  <c r="E48" i="5" a="1"/>
  <c r="H47" i="5" a="1"/>
  <c r="C46" i="5" a="1"/>
  <c r="G45" i="5" a="1"/>
  <c r="L44" i="5" a="1"/>
  <c r="E43" i="5" a="1"/>
  <c r="I42" i="5" a="1"/>
  <c r="C41" i="5" a="1"/>
  <c r="G40" i="5" a="1"/>
  <c r="C38" i="5" a="1"/>
  <c r="G37" i="5" a="1"/>
  <c r="L36" i="5" a="1"/>
  <c r="F35" i="5" a="1"/>
  <c r="K34" i="5" a="1"/>
  <c r="K32" i="5" a="1"/>
  <c r="G31" i="5" a="1"/>
  <c r="L30" i="5" a="1"/>
  <c r="C30" i="5" a="1"/>
  <c r="G28" i="5" a="1"/>
  <c r="H26" i="5" a="1"/>
  <c r="D25" i="5" a="1"/>
  <c r="E23" i="5" a="1"/>
  <c r="J22" i="5" a="1"/>
  <c r="J20" i="5" a="1"/>
  <c r="D19" i="5" a="1"/>
  <c r="I18" i="5" a="1"/>
  <c r="E16" i="5" a="1"/>
  <c r="H15" i="5" a="1"/>
  <c r="K14" i="5" a="1"/>
  <c r="D13" i="5" a="1"/>
  <c r="H12" i="5" a="1"/>
  <c r="L11" i="5" a="1"/>
  <c r="D10" i="5" a="1"/>
  <c r="G9" i="5" a="1"/>
  <c r="J8" i="5" a="1"/>
  <c r="E230" i="5"/>
  <c r="G209" i="5" a="1"/>
  <c r="J145" i="5" a="1"/>
  <c r="D142" i="5" a="1"/>
  <c r="J137" i="5" a="1"/>
  <c r="K129" i="5" a="1"/>
  <c r="E126" i="5" a="1"/>
  <c r="H123" i="5" a="1"/>
  <c r="E118" i="5" a="1"/>
  <c r="L115" i="5" a="1"/>
  <c r="L112" i="5" a="1"/>
  <c r="L109" i="5" a="1"/>
  <c r="H106" i="5" a="1"/>
  <c r="L99" i="5" a="1"/>
  <c r="C93" i="5" a="1"/>
  <c r="L88" i="5" a="1"/>
  <c r="I86" i="5" a="1"/>
  <c r="F84" i="5" a="1"/>
  <c r="K77" i="5" a="1"/>
  <c r="E75" i="5" a="1"/>
  <c r="G73" i="5" a="1"/>
  <c r="D70" i="5" a="1"/>
  <c r="G69" i="5" a="1"/>
  <c r="J68" i="5" a="1"/>
  <c r="E66" i="5" a="1"/>
  <c r="H65" i="5" a="1"/>
  <c r="L64" i="5" a="1"/>
  <c r="C63" i="5" a="1"/>
  <c r="G62" i="5" a="1"/>
  <c r="J61" i="5" a="1"/>
  <c r="F59" i="5" a="1"/>
  <c r="J58" i="5" a="1"/>
  <c r="D57" i="5" a="1"/>
  <c r="H56" i="5" a="1"/>
  <c r="K55" i="5" a="1"/>
  <c r="E54" i="5" a="1"/>
  <c r="I53" i="5" a="1"/>
  <c r="E51" i="5" a="1"/>
  <c r="H50" i="5" a="1"/>
  <c r="L49" i="5" a="1"/>
  <c r="D48" i="5" a="1"/>
  <c r="G47" i="5" a="1"/>
  <c r="L46" i="5" a="1"/>
  <c r="F45" i="5" a="1"/>
  <c r="K44" i="5" a="1"/>
  <c r="H42" i="5" a="1"/>
  <c r="L41" i="5" a="1"/>
  <c r="F40" i="5" a="1"/>
  <c r="J39" i="5" a="1"/>
  <c r="F37" i="5" a="1"/>
  <c r="K36" i="5" a="1"/>
  <c r="J34" i="5" a="1"/>
  <c r="E33" i="5" a="1"/>
  <c r="J32" i="5" a="1"/>
  <c r="F31" i="5" a="1"/>
  <c r="K30" i="5" a="1"/>
  <c r="H29" i="5" a="1"/>
  <c r="L27" i="5" a="1"/>
  <c r="D27" i="5" a="1"/>
  <c r="G26" i="5" a="1"/>
  <c r="L25" i="5" a="1"/>
  <c r="C25" i="5" a="1"/>
  <c r="I24" i="5" a="1"/>
  <c r="D21" i="5" a="1"/>
  <c r="I20" i="5" a="1"/>
  <c r="C19" i="5" a="1"/>
  <c r="H18" i="5" a="1"/>
  <c r="L17" i="5" a="1"/>
  <c r="D16" i="5" a="1"/>
  <c r="G15" i="5" a="1"/>
  <c r="J14" i="5" a="1"/>
  <c r="C13" i="5" a="1"/>
  <c r="G12" i="5" a="1"/>
  <c r="K11" i="5" a="1"/>
  <c r="C10" i="5" a="1"/>
  <c r="F9" i="5" a="1"/>
  <c r="E6" i="5" a="1"/>
  <c r="H5" i="5" a="1"/>
  <c r="C3" i="5" a="1"/>
  <c r="G2" i="5" a="1"/>
  <c r="J143" i="5" a="1"/>
  <c r="K232" i="5"/>
  <c r="C222" i="5" a="1"/>
  <c r="C209" i="5" a="1"/>
  <c r="D191" i="5" a="1"/>
  <c r="C177" i="5" a="1"/>
  <c r="I167" i="5" a="1"/>
  <c r="C137" i="5" a="1"/>
  <c r="J129" i="5" a="1"/>
  <c r="D126" i="5" a="1"/>
  <c r="K121" i="5" a="1"/>
  <c r="D118" i="5" a="1"/>
  <c r="D115" i="5" a="1"/>
  <c r="E112" i="5" a="1"/>
  <c r="J109" i="5" a="1"/>
  <c r="F106" i="5" a="1"/>
  <c r="H104" i="5" a="1"/>
  <c r="G86" i="5" a="1"/>
  <c r="E77" i="5" a="1"/>
  <c r="F73" i="5" a="1"/>
  <c r="I71" i="5" a="1"/>
  <c r="C70" i="5" a="1"/>
  <c r="F69" i="5" a="1"/>
  <c r="I68" i="5" a="1"/>
  <c r="L67" i="5" a="1"/>
  <c r="D66" i="5" a="1"/>
  <c r="G65" i="5" a="1"/>
  <c r="K64" i="5" a="1"/>
  <c r="F62" i="5" a="1"/>
  <c r="I61" i="5" a="1"/>
  <c r="E59" i="5" a="1"/>
  <c r="I58" i="5" a="1"/>
  <c r="C57" i="5" a="1"/>
  <c r="G56" i="5" a="1"/>
  <c r="J55" i="5" a="1"/>
  <c r="D54" i="5" a="1"/>
  <c r="H53" i="5" a="1"/>
  <c r="L52" i="5" a="1"/>
  <c r="D51" i="5" a="1"/>
  <c r="G50" i="5" a="1"/>
  <c r="K49" i="5" a="1"/>
  <c r="C48" i="5" a="1"/>
  <c r="F47" i="5" a="1"/>
  <c r="K46" i="5" a="1"/>
  <c r="E45" i="5" a="1"/>
  <c r="J44" i="5" a="1"/>
  <c r="D43" i="5" a="1"/>
  <c r="G42" i="5" a="1"/>
  <c r="K41" i="5" a="1"/>
  <c r="E40" i="5" a="1"/>
  <c r="I39" i="5" a="1"/>
  <c r="E37" i="5" a="1"/>
  <c r="J36" i="5" a="1"/>
  <c r="E35" i="5" a="1"/>
  <c r="I34" i="5" a="1"/>
  <c r="D33" i="5" a="1"/>
  <c r="E31" i="5" a="1"/>
  <c r="J30" i="5" a="1"/>
  <c r="G29" i="5" a="1"/>
  <c r="F28" i="5" a="1"/>
  <c r="C27" i="5" a="1"/>
  <c r="F26" i="5" a="1"/>
  <c r="K25" i="5" a="1"/>
  <c r="D23" i="5" a="1"/>
  <c r="I22" i="5" a="1"/>
  <c r="H20" i="5" a="1"/>
  <c r="G18" i="5" a="1"/>
  <c r="K17" i="5" a="1"/>
  <c r="C16" i="5" a="1"/>
  <c r="F15" i="5" a="1"/>
  <c r="I14" i="5" a="1"/>
  <c r="L13" i="5" a="1"/>
  <c r="F12" i="5" a="1"/>
  <c r="J11" i="5" a="1"/>
  <c r="E9" i="5" a="1"/>
  <c r="I8" i="5" a="1"/>
  <c r="L7" i="5" a="1"/>
  <c r="D6" i="5" a="1"/>
  <c r="G5" i="5" a="1"/>
  <c r="K4" i="5" a="1"/>
  <c r="F2" i="5" a="1"/>
  <c r="H169" i="5" a="1"/>
  <c r="H140" i="5" a="1"/>
  <c r="I237" i="5"/>
  <c r="E232" i="5"/>
  <c r="F227" i="5"/>
  <c r="C167" i="5" a="1"/>
  <c r="H159" i="5" a="1"/>
  <c r="L143" i="5" a="1"/>
  <c r="I140" i="5" a="1"/>
  <c r="L135" i="5" a="1"/>
  <c r="F132" i="5" a="1"/>
  <c r="H129" i="5" a="1"/>
  <c r="J121" i="5" a="1"/>
  <c r="D112" i="5" a="1"/>
  <c r="D109" i="5" a="1"/>
  <c r="C88" i="5" a="1"/>
  <c r="J81" i="5" a="1"/>
  <c r="E79" i="5" a="1"/>
  <c r="D77" i="5" a="1"/>
  <c r="C75" i="5" a="1"/>
  <c r="E71" i="5" a="1"/>
  <c r="E69" i="5" a="1"/>
  <c r="H68" i="5" a="1"/>
  <c r="K67" i="5" a="1"/>
  <c r="C66" i="5" a="1"/>
  <c r="F65" i="5" a="1"/>
  <c r="J64" i="5" a="1"/>
  <c r="E62" i="5" a="1"/>
  <c r="H61" i="5" a="1"/>
  <c r="L60" i="5" a="1"/>
  <c r="D59" i="5" a="1"/>
  <c r="H58" i="5" a="1"/>
  <c r="F56" i="5" a="1"/>
  <c r="I55" i="5" a="1"/>
  <c r="C54" i="5" a="1"/>
  <c r="G53" i="5" a="1"/>
  <c r="K52" i="5" a="1"/>
  <c r="C51" i="5" a="1"/>
  <c r="F50" i="5" a="1"/>
  <c r="J49" i="5" a="1"/>
  <c r="D45" i="5" a="1"/>
  <c r="I44" i="5" a="1"/>
  <c r="C43" i="5" a="1"/>
  <c r="J41" i="5" a="1"/>
  <c r="D40" i="5" a="1"/>
  <c r="H39" i="5" a="1"/>
  <c r="L38" i="5" a="1"/>
  <c r="I36" i="5" a="1"/>
  <c r="D35" i="5" a="1"/>
  <c r="H34" i="5" a="1"/>
  <c r="I32" i="5" a="1"/>
  <c r="K27" i="5" a="1"/>
  <c r="E26" i="5" a="1"/>
  <c r="J25" i="5" a="1"/>
  <c r="H24" i="5" a="1"/>
  <c r="L23" i="5" a="1"/>
  <c r="C23" i="5" a="1"/>
  <c r="H22" i="5" a="1"/>
  <c r="L21" i="5" a="1"/>
  <c r="C21" i="5" a="1"/>
  <c r="G20" i="5" a="1"/>
  <c r="L19" i="5" a="1"/>
  <c r="F18" i="5" a="1"/>
  <c r="E15" i="5" a="1"/>
  <c r="H14" i="5" a="1"/>
  <c r="K13" i="5" a="1"/>
  <c r="E12" i="5" a="1"/>
  <c r="I11" i="5" a="1"/>
  <c r="L10" i="5" a="1"/>
  <c r="D9" i="5" a="1"/>
  <c r="H8" i="5" a="1"/>
  <c r="K7" i="5" a="1"/>
  <c r="C6" i="5" a="1"/>
  <c r="F5" i="5" a="1"/>
  <c r="J4" i="5" a="1"/>
  <c r="E2" i="5" a="1"/>
  <c r="C193" i="5" a="1"/>
  <c r="D169" i="5" a="1"/>
  <c r="I148" i="5" a="1"/>
  <c r="G146" i="5" a="1"/>
  <c r="F140" i="5" a="1"/>
  <c r="H138" i="5" a="1"/>
  <c r="F135" i="5" a="1"/>
  <c r="C132" i="5" a="1"/>
  <c r="J127" i="5" a="1"/>
  <c r="E124" i="5" a="1"/>
  <c r="J119" i="5" a="1"/>
  <c r="G116" i="5" a="1"/>
  <c r="L107" i="5" a="1"/>
  <c r="H102" i="5" a="1"/>
  <c r="J83" i="5" a="1"/>
  <c r="G81" i="5" a="1"/>
  <c r="C69" i="5" a="1"/>
  <c r="F68" i="5" a="1"/>
  <c r="I67" i="5" a="1"/>
  <c r="D65" i="5" a="1"/>
  <c r="H64" i="5" a="1"/>
  <c r="K63" i="5" a="1"/>
  <c r="C62" i="5" a="1"/>
  <c r="J60" i="5" a="1"/>
  <c r="K57" i="5" a="1"/>
  <c r="D56" i="5" a="1"/>
  <c r="G55" i="5" a="1"/>
  <c r="L54" i="5" a="1"/>
  <c r="E53" i="5" a="1"/>
  <c r="I52" i="5" a="1"/>
  <c r="L51" i="5" a="1"/>
  <c r="H49" i="5" a="1"/>
  <c r="K48" i="5" a="1"/>
  <c r="D47" i="5" a="1"/>
  <c r="I46" i="5" a="1"/>
  <c r="C45" i="5" a="1"/>
  <c r="H44" i="5" a="1"/>
  <c r="L43" i="5" a="1"/>
  <c r="E42" i="5" a="1"/>
  <c r="F39" i="5" a="1"/>
  <c r="J38" i="5" a="1"/>
  <c r="C37" i="5" a="1"/>
  <c r="G36" i="5" a="1"/>
  <c r="C35" i="5" a="1"/>
  <c r="K33" i="5" a="1"/>
  <c r="G32" i="5" a="1"/>
  <c r="L31" i="5" a="1"/>
  <c r="D28" i="5" a="1"/>
  <c r="J27" i="5" a="1"/>
  <c r="C26" i="5" a="1"/>
  <c r="F24" i="5" a="1"/>
  <c r="J23" i="5" a="1"/>
  <c r="F22" i="5" a="1"/>
  <c r="J21" i="5" a="1"/>
  <c r="E20" i="5" a="1"/>
  <c r="J19" i="5" a="1"/>
  <c r="D18" i="5" a="1"/>
  <c r="I17" i="5" a="1"/>
  <c r="L16" i="5" a="1"/>
  <c r="C15" i="5" a="1"/>
  <c r="F14" i="5" a="1"/>
  <c r="J13" i="5" a="1"/>
  <c r="G11" i="5" a="1"/>
  <c r="K10" i="5" a="1"/>
  <c r="F8" i="5" a="1"/>
  <c r="I7" i="5" a="1"/>
  <c r="L6" i="5" a="1"/>
  <c r="D5" i="5" a="1"/>
  <c r="H4" i="5" a="1"/>
  <c r="K3" i="5" a="1"/>
  <c r="C2" i="5" a="1"/>
  <c r="G171" i="5" a="1"/>
  <c r="F161" i="5" a="1"/>
  <c r="C171" i="5" a="1"/>
  <c r="K141" i="5" a="1"/>
  <c r="E138" i="5" a="1"/>
  <c r="I133" i="5" a="1"/>
  <c r="D130" i="5" a="1"/>
  <c r="K125" i="5" a="1"/>
  <c r="G119" i="5" a="1"/>
  <c r="D116" i="5" a="1"/>
  <c r="L105" i="5" a="1"/>
  <c r="G100" i="5" a="1"/>
  <c r="I92" i="5" a="1"/>
  <c r="F89" i="5" a="1"/>
  <c r="F87" i="5" a="1"/>
  <c r="I78" i="5" a="1"/>
  <c r="H76" i="5" a="1"/>
  <c r="J74" i="5" a="1"/>
  <c r="J72" i="5" a="1"/>
  <c r="D68" i="5" a="1"/>
  <c r="G67" i="5" a="1"/>
  <c r="K66" i="5" a="1"/>
  <c r="F64" i="5" a="1"/>
  <c r="I63" i="5" a="1"/>
  <c r="E61" i="5" a="1"/>
  <c r="H60" i="5" a="1"/>
  <c r="L59" i="5" a="1"/>
  <c r="E58" i="5" a="1"/>
  <c r="I57" i="5" a="1"/>
  <c r="E55" i="5" a="1"/>
  <c r="J54" i="5" a="1"/>
  <c r="C53" i="5" a="1"/>
  <c r="G52" i="5" a="1"/>
  <c r="K51" i="5" a="1"/>
  <c r="C50" i="5" a="1"/>
  <c r="F49" i="5" a="1"/>
  <c r="I48" i="5" a="1"/>
  <c r="G46" i="5" a="1"/>
  <c r="K45" i="5" a="1"/>
  <c r="F44" i="5" a="1"/>
  <c r="J43" i="5" a="1"/>
  <c r="C42" i="5" a="1"/>
  <c r="G41" i="5" a="1"/>
  <c r="L40" i="5" a="1"/>
  <c r="H38" i="5" a="1"/>
  <c r="K37" i="5" a="1"/>
  <c r="F36" i="5" a="1"/>
  <c r="K35" i="5" a="1"/>
  <c r="E34" i="5" a="1"/>
  <c r="F32" i="5" a="1"/>
  <c r="J31" i="5" a="1"/>
  <c r="G30" i="5" a="1"/>
  <c r="D29" i="5" a="1"/>
  <c r="H27" i="5" a="1"/>
  <c r="G25" i="5" a="1"/>
  <c r="H23" i="5" a="1"/>
  <c r="D22" i="5" a="1"/>
  <c r="H19" i="5" a="1"/>
  <c r="G17" i="5" a="1"/>
  <c r="J16" i="5" a="1"/>
  <c r="D14" i="5" a="1"/>
  <c r="H13" i="5" a="1"/>
  <c r="L12" i="5" a="1"/>
  <c r="E11" i="5" a="1"/>
  <c r="I10" i="5" a="1"/>
  <c r="L9" i="5" a="1"/>
  <c r="D8" i="5" a="1"/>
  <c r="G7" i="5" a="1"/>
  <c r="J6" i="5" a="1"/>
  <c r="F4" i="5" a="1"/>
  <c r="I3" i="5" a="1"/>
  <c r="L2" i="5" a="1"/>
  <c r="G70" i="5" a="1"/>
  <c r="J47" i="5" a="1"/>
  <c r="H35" i="5" a="1"/>
  <c r="K213" i="5" a="1"/>
  <c r="C195" i="5" a="1"/>
  <c r="C187" i="5" a="1"/>
  <c r="H144" i="5" a="1"/>
  <c r="I141" i="5" a="1"/>
  <c r="I136" i="5" a="1"/>
  <c r="G133" i="5" a="1"/>
  <c r="C130" i="5" a="1"/>
  <c r="J125" i="5" a="1"/>
  <c r="E122" i="5" a="1"/>
  <c r="K117" i="5" a="1"/>
  <c r="L114" i="5" a="1"/>
  <c r="F113" i="5" a="1"/>
  <c r="E110" i="5" a="1"/>
  <c r="C105" i="5" a="1"/>
  <c r="E100" i="5" a="1"/>
  <c r="H92" i="5" a="1"/>
  <c r="D85" i="5" a="1"/>
  <c r="L80" i="5" a="1"/>
  <c r="H78" i="5" a="1"/>
  <c r="F76" i="5" a="1"/>
  <c r="H74" i="5" a="1"/>
  <c r="I72" i="5" a="1"/>
  <c r="J70" i="5" a="1"/>
  <c r="L69" i="5" a="1"/>
  <c r="C68" i="5" a="1"/>
  <c r="F67" i="5" a="1"/>
  <c r="J66" i="5" a="1"/>
  <c r="E64" i="5" a="1"/>
  <c r="H63" i="5" a="1"/>
  <c r="L62" i="5" a="1"/>
  <c r="D61" i="5" a="1"/>
  <c r="G60" i="5" a="1"/>
  <c r="K59" i="5" a="1"/>
  <c r="D58" i="5" a="1"/>
  <c r="H57" i="5" a="1"/>
  <c r="D55" i="5" a="1"/>
  <c r="I54" i="5" a="1"/>
  <c r="F52" i="5" a="1"/>
  <c r="J51" i="5" a="1"/>
  <c r="E49" i="5" a="1"/>
  <c r="H48" i="5" a="1"/>
  <c r="L47" i="5" a="1"/>
  <c r="F46" i="5" a="1"/>
  <c r="J45" i="5" a="1"/>
  <c r="I43" i="5" a="1"/>
  <c r="F41" i="5" a="1"/>
  <c r="K40" i="5" a="1"/>
  <c r="D39" i="5" a="1"/>
  <c r="G38" i="5" a="1"/>
  <c r="J37" i="5" a="1"/>
  <c r="E36" i="5" a="1"/>
  <c r="J35" i="5" a="1"/>
  <c r="I33" i="5" a="1"/>
  <c r="E32" i="5" a="1"/>
  <c r="F30" i="5" a="1"/>
  <c r="L29" i="5" a="1"/>
  <c r="C29" i="5" a="1"/>
  <c r="J28" i="5" a="1"/>
  <c r="G27" i="5" a="1"/>
  <c r="L26" i="5" a="1"/>
  <c r="F25" i="5" a="1"/>
  <c r="D24" i="5" a="1"/>
  <c r="G23" i="5" a="1"/>
  <c r="H21" i="5" a="1"/>
  <c r="C20" i="5" a="1"/>
  <c r="G19" i="5" a="1"/>
  <c r="F17" i="5" a="1"/>
  <c r="I16" i="5" a="1"/>
  <c r="L15" i="5" a="1"/>
  <c r="C14" i="5" a="1"/>
  <c r="G13" i="5" a="1"/>
  <c r="K12" i="5" a="1"/>
  <c r="D11" i="5" a="1"/>
  <c r="H10" i="5" a="1"/>
  <c r="K9" i="5" a="1"/>
  <c r="C8" i="5" a="1"/>
  <c r="F7" i="5" a="1"/>
  <c r="I6" i="5" a="1"/>
  <c r="E4" i="5" a="1"/>
  <c r="H3" i="5" a="1"/>
  <c r="K2" i="5" a="1"/>
  <c r="I59" i="5" a="1"/>
  <c r="K56" i="5" a="1"/>
  <c r="C55" i="5" a="1"/>
  <c r="K50" i="5" a="1"/>
  <c r="C49" i="5" a="1"/>
  <c r="K42" i="5" a="1"/>
  <c r="L39" i="5" a="1"/>
  <c r="C36" i="5" a="1"/>
  <c r="L32" i="5" a="1"/>
  <c r="H31" i="5" a="1"/>
  <c r="K223" i="5" a="1"/>
  <c r="F218" i="5" a="1"/>
  <c r="E200" i="5" a="1"/>
  <c r="H173" i="5" a="1"/>
  <c r="G163" i="5" a="1"/>
  <c r="G144" i="5" a="1"/>
  <c r="H136" i="5" a="1"/>
  <c r="E128" i="5" a="1"/>
  <c r="D122" i="5" a="1"/>
  <c r="J117" i="5" a="1"/>
  <c r="K114" i="5" a="1"/>
  <c r="K111" i="5" a="1"/>
  <c r="K103" i="5" a="1"/>
  <c r="H98" i="5" a="1"/>
  <c r="H95" i="5" a="1"/>
  <c r="G92" i="5" a="1"/>
  <c r="K90" i="5" a="1"/>
  <c r="D87" i="5" a="1"/>
  <c r="J80" i="5" a="1"/>
  <c r="F72" i="5" a="1"/>
  <c r="H70" i="5" a="1"/>
  <c r="K69" i="5" a="1"/>
  <c r="E67" i="5" a="1"/>
  <c r="I66" i="5" a="1"/>
  <c r="L65" i="5" a="1"/>
  <c r="D64" i="5" a="1"/>
  <c r="G63" i="5" a="1"/>
  <c r="K62" i="5" a="1"/>
  <c r="C61" i="5" a="1"/>
  <c r="F60" i="5" a="1"/>
  <c r="J59" i="5" a="1"/>
  <c r="G57" i="5" a="1"/>
  <c r="L56" i="5" a="1"/>
  <c r="H54" i="5" a="1"/>
  <c r="L53" i="5" a="1"/>
  <c r="E52" i="5" a="1"/>
  <c r="I51" i="5" a="1"/>
  <c r="L50" i="5" a="1"/>
  <c r="D49" i="5" a="1"/>
  <c r="K47" i="5" a="1"/>
  <c r="E44" i="5" a="1"/>
  <c r="H43" i="5" a="1"/>
  <c r="L42" i="5" a="1"/>
  <c r="J40" i="5" a="1"/>
  <c r="C39" i="5" a="1"/>
  <c r="F38" i="5" a="1"/>
  <c r="I37" i="5" a="1"/>
  <c r="D36" i="5" a="1"/>
  <c r="I35" i="5" a="1"/>
  <c r="D34" i="5" a="1"/>
  <c r="H33" i="5" a="1"/>
  <c r="D32" i="5" a="1"/>
  <c r="I31" i="5" a="1"/>
  <c r="E30" i="5" a="1"/>
  <c r="K29" i="5" a="1"/>
  <c r="I28" i="5" a="1"/>
  <c r="K26" i="5" a="1"/>
  <c r="L24" i="5" a="1"/>
  <c r="C24" i="5" a="1"/>
  <c r="L22" i="5" a="1"/>
  <c r="C22" i="5" a="1"/>
  <c r="G21" i="5" a="1"/>
  <c r="L18" i="5" a="1"/>
  <c r="E17" i="5" a="1"/>
  <c r="H16" i="5" a="1"/>
  <c r="K15" i="5" a="1"/>
  <c r="F13" i="5" a="1"/>
  <c r="J12" i="5" a="1"/>
  <c r="C11" i="5" a="1"/>
  <c r="G10" i="5" a="1"/>
  <c r="J9" i="5" a="1"/>
  <c r="E7" i="5" a="1"/>
  <c r="H6" i="5" a="1"/>
  <c r="L5" i="5" a="1"/>
  <c r="D4" i="5" a="1"/>
  <c r="G3" i="5" a="1"/>
  <c r="J2" i="5" a="1"/>
  <c r="G54" i="5" a="1"/>
  <c r="H51" i="5" a="1"/>
  <c r="G48" i="5" a="1"/>
  <c r="I45" i="5" a="1"/>
  <c r="D44" i="5" a="1"/>
  <c r="E41" i="5" a="1"/>
  <c r="E38" i="5" a="1"/>
  <c r="C34" i="5" a="1"/>
  <c r="K202" i="5" a="1"/>
  <c r="K147" i="5" a="1"/>
  <c r="E144" i="5" a="1"/>
  <c r="K139" i="5" a="1"/>
  <c r="F136" i="5" a="1"/>
  <c r="K131" i="5" a="1"/>
  <c r="D128" i="5" a="1"/>
  <c r="I114" i="5" a="1"/>
  <c r="I108" i="5" a="1"/>
  <c r="C103" i="5" a="1"/>
  <c r="G98" i="5" a="1"/>
  <c r="J90" i="5" a="1"/>
  <c r="G82" i="5" a="1"/>
  <c r="J69" i="5" a="1"/>
  <c r="D67" i="5" a="1"/>
  <c r="H66" i="5" a="1"/>
  <c r="K65" i="5" a="1"/>
  <c r="C64" i="5" a="1"/>
  <c r="F63" i="5" a="1"/>
  <c r="J62" i="5" a="1"/>
  <c r="E60" i="5" a="1"/>
  <c r="C58" i="5" a="1"/>
  <c r="F57" i="5" a="1"/>
  <c r="K53" i="5" a="1"/>
  <c r="D52" i="5" a="1"/>
  <c r="E46" i="5" a="1"/>
  <c r="G43" i="5" a="1"/>
  <c r="I40" i="5" a="1"/>
  <c r="H37" i="5" a="1"/>
  <c r="G33" i="5" a="1"/>
  <c r="J29" i="5" a="1"/>
  <c r="E132" i="5" a="1"/>
  <c r="F124" i="5" a="1"/>
  <c r="G64" i="5" a="1"/>
  <c r="G61" i="5" a="1"/>
  <c r="C56" i="5" a="1"/>
  <c r="D53" i="5" a="1"/>
  <c r="D50" i="5" a="1"/>
  <c r="E39" i="5" a="1"/>
  <c r="D31" i="5" a="1"/>
  <c r="G14" i="5" a="1"/>
  <c r="D12" i="5" a="1"/>
  <c r="K5" i="5" a="1"/>
  <c r="J3" i="5" a="1"/>
  <c r="G58" i="5" a="1"/>
  <c r="E47" i="5" a="1"/>
  <c r="L33" i="5" a="1"/>
  <c r="E14" i="5" a="1"/>
  <c r="E5" i="5" a="1"/>
  <c r="K28" i="5" a="1"/>
  <c r="K18" i="5" a="1"/>
  <c r="H100" i="5" a="1"/>
  <c r="J63" i="5" a="1"/>
  <c r="H52" i="5" a="1"/>
  <c r="I38" i="5" a="1"/>
  <c r="E28" i="5" a="1"/>
  <c r="D20" i="5" a="1"/>
  <c r="D7" i="5" a="1"/>
  <c r="G110" i="5" a="1"/>
  <c r="L57" i="5" a="1"/>
  <c r="L35" i="5" a="1"/>
  <c r="C28" i="5" a="1"/>
  <c r="H11" i="5" a="1"/>
  <c r="I76" i="5" a="1"/>
  <c r="J57" i="5" a="1"/>
  <c r="K43" i="5" a="1"/>
  <c r="D2" i="5" a="1"/>
  <c r="C124" i="5" a="1"/>
  <c r="I119" i="5" a="1"/>
  <c r="L83" i="5" a="1"/>
  <c r="F61" i="5" a="1"/>
  <c r="H36" i="5" a="1"/>
  <c r="C31" i="5" a="1"/>
  <c r="C12" i="5" a="1"/>
  <c r="F3" i="5" a="1"/>
  <c r="K38" i="5" a="1"/>
  <c r="F20" i="5" a="1"/>
  <c r="H7" i="5" a="1"/>
  <c r="K72" i="5" a="1"/>
  <c r="K60" i="5" a="1"/>
  <c r="G49" i="5" a="1"/>
  <c r="I30" i="5" a="1"/>
  <c r="K24" i="5" a="1"/>
  <c r="E18" i="5" a="1"/>
  <c r="I60" i="5" a="1"/>
  <c r="J46" i="5" a="1"/>
  <c r="G24" i="5" a="1"/>
  <c r="C18" i="5" a="1"/>
  <c r="H46" i="5" a="1"/>
  <c r="I4" i="5" a="1"/>
  <c r="F116" i="5" a="1"/>
  <c r="F58" i="5" a="1"/>
  <c r="C47" i="5" a="1"/>
  <c r="I41" i="5" a="1"/>
  <c r="J33" i="5" a="1"/>
  <c r="L28" i="5" a="1"/>
  <c r="L20" i="5" a="1"/>
  <c r="K16" i="5" a="1"/>
  <c r="J7" i="5" a="1"/>
  <c r="C5" i="5" a="1"/>
  <c r="H121" i="5" a="1"/>
  <c r="H113" i="5" a="1"/>
  <c r="D69" i="5" a="1"/>
  <c r="L66" i="5" a="1"/>
  <c r="L63" i="5" a="1"/>
  <c r="H55" i="5" a="1"/>
  <c r="J52" i="5" a="1"/>
  <c r="I49" i="5" a="1"/>
  <c r="G44" i="5" a="1"/>
  <c r="H41" i="5" a="1"/>
  <c r="C33" i="5" a="1"/>
  <c r="J26" i="5" a="1"/>
  <c r="G16" i="5" a="1"/>
  <c r="I9" i="5" a="1"/>
  <c r="F55" i="5" a="1"/>
  <c r="D26" i="5" a="1"/>
  <c r="G22" i="5" a="1"/>
  <c r="C9" i="5" a="1"/>
  <c r="H30" i="5" a="1"/>
  <c r="E22" i="5" a="1"/>
  <c r="G68" i="5" a="1"/>
  <c r="E24" i="5" a="1"/>
  <c r="L141" i="5" a="1"/>
  <c r="I102" i="5" a="1"/>
  <c r="K97" i="5" a="1"/>
  <c r="I81" i="5" a="1"/>
  <c r="F11" i="5" a="1"/>
  <c r="G138" i="5" a="1"/>
  <c r="J133" i="5" a="1"/>
  <c r="F102" i="5" a="1"/>
  <c r="D97" i="5" a="1"/>
  <c r="D71" i="5" a="1"/>
  <c r="E68" i="5" a="1"/>
  <c r="E65" i="5" a="1"/>
  <c r="K54" i="5" a="1"/>
  <c r="L48" i="5" a="1"/>
  <c r="C40" i="5" a="1"/>
  <c r="H32" i="5" a="1"/>
  <c r="E13" i="5" a="1"/>
  <c r="K6" i="5" a="1"/>
  <c r="G4" i="5" a="1"/>
  <c r="F146" i="5" a="1"/>
  <c r="C112" i="5" a="1"/>
  <c r="C107" i="5" a="1"/>
  <c r="G89" i="5" a="1"/>
  <c r="K85" i="5" a="1"/>
  <c r="C65" i="5" a="1"/>
  <c r="J48" i="5" a="1"/>
  <c r="L37" i="5" a="1"/>
  <c r="K21" i="5" a="1"/>
  <c r="K19" i="5" a="1"/>
  <c r="J15" i="5" a="1"/>
  <c r="L8" i="5" a="1"/>
  <c r="C4" i="5" a="1"/>
  <c r="G34" i="5" a="1"/>
  <c r="I27" i="5" a="1"/>
  <c r="K23" i="5" a="1"/>
  <c r="I21" i="5" a="1"/>
  <c r="J17" i="5" a="1"/>
  <c r="D15" i="5" a="1"/>
  <c r="F21" i="5" a="1"/>
  <c r="I127" i="5" a="1"/>
  <c r="D91" i="5" a="1"/>
  <c r="H67" i="5" a="1"/>
  <c r="E56" i="5" a="1"/>
  <c r="D42" i="5" a="1"/>
  <c r="E29" i="5" a="1"/>
  <c r="F10" i="5" a="1"/>
  <c r="G8" i="5" a="1"/>
  <c r="C79" i="5" a="1"/>
  <c r="E50" i="5" a="1"/>
  <c r="K31" i="5" a="1"/>
  <c r="E130" i="5" a="1"/>
  <c r="F104" i="5" a="1"/>
  <c r="G94" i="5" a="1"/>
  <c r="D62" i="5" a="1"/>
  <c r="C59" i="5" a="1"/>
  <c r="D37" i="5" a="1"/>
  <c r="I25" i="5" a="1"/>
  <c r="I19" i="5" a="1"/>
  <c r="F19" i="5" a="1"/>
  <c r="E25" i="5" a="1"/>
  <c r="D17" i="5" a="1"/>
  <c r="I13" i="5" a="1"/>
  <c r="E135" i="5" a="1"/>
  <c r="K127" i="5" a="1"/>
  <c r="C109" i="5" a="1"/>
  <c r="E94" i="5" a="1"/>
  <c r="J67" i="5" a="1"/>
  <c r="L45" i="5" a="1"/>
  <c r="F42" i="5" a="1"/>
  <c r="F34" i="5" a="1"/>
  <c r="F29" i="5" a="1"/>
  <c r="F27" i="5" a="1"/>
  <c r="H25" i="5" a="1"/>
  <c r="I23" i="5" a="1"/>
  <c r="H17" i="5" a="1"/>
  <c r="J10" i="5" a="1"/>
  <c r="E8" i="5" a="1"/>
  <c r="I64" i="5" a="1"/>
  <c r="F53" i="5" a="1"/>
  <c r="G39" i="5" a="1"/>
  <c r="F23" i="5" a="1"/>
  <c r="L3" i="5" a="1"/>
  <c r="L3" i="5" l="1"/>
  <c r="F23" i="5"/>
  <c r="G39" i="5"/>
  <c r="F53" i="5"/>
  <c r="I64" i="5"/>
  <c r="W64" i="5" s="1"/>
  <c r="E8" i="5"/>
  <c r="J10" i="5"/>
  <c r="H17" i="5"/>
  <c r="I23" i="5"/>
  <c r="H25" i="5"/>
  <c r="F27" i="5"/>
  <c r="F29" i="5"/>
  <c r="F34" i="5"/>
  <c r="F42" i="5"/>
  <c r="L45" i="5"/>
  <c r="J67" i="5"/>
  <c r="E94" i="5"/>
  <c r="AQ94" i="5" s="1"/>
  <c r="BA94" i="5" s="1"/>
  <c r="C109" i="5"/>
  <c r="BL109" i="5" s="1"/>
  <c r="K127" i="5"/>
  <c r="E135" i="5"/>
  <c r="AB135" i="5" s="1"/>
  <c r="I13" i="5"/>
  <c r="D17" i="5"/>
  <c r="E25" i="5"/>
  <c r="F19" i="5"/>
  <c r="I19" i="5"/>
  <c r="W19" i="5" s="1"/>
  <c r="I25" i="5"/>
  <c r="W25" i="5" s="1"/>
  <c r="D37" i="5"/>
  <c r="C59" i="5"/>
  <c r="D62" i="5"/>
  <c r="AQ62" i="5" s="1"/>
  <c r="BA62" i="5" s="1"/>
  <c r="G94" i="5"/>
  <c r="F104" i="5"/>
  <c r="E130" i="5"/>
  <c r="AH130" i="5" s="1"/>
  <c r="AI130" i="5" s="1"/>
  <c r="K31" i="5"/>
  <c r="E50" i="5"/>
  <c r="C79" i="5"/>
  <c r="G8" i="5"/>
  <c r="F10" i="5"/>
  <c r="E29" i="5"/>
  <c r="D42" i="5"/>
  <c r="E56" i="5"/>
  <c r="AH56" i="5" s="1"/>
  <c r="AI56" i="5" s="1"/>
  <c r="H67" i="5"/>
  <c r="D91" i="5"/>
  <c r="I127" i="5"/>
  <c r="W127" i="5" s="1"/>
  <c r="F21" i="5"/>
  <c r="AZ21" i="5" s="1"/>
  <c r="D15" i="5"/>
  <c r="J17" i="5"/>
  <c r="I21" i="5"/>
  <c r="W21" i="5" s="1"/>
  <c r="K23" i="5"/>
  <c r="I27" i="5"/>
  <c r="W27" i="5" s="1"/>
  <c r="G34" i="5"/>
  <c r="C4" i="5"/>
  <c r="L8" i="5"/>
  <c r="J15" i="5"/>
  <c r="K19" i="5"/>
  <c r="U19" i="5" s="1"/>
  <c r="K21" i="5"/>
  <c r="L37" i="5"/>
  <c r="J48" i="5"/>
  <c r="C65" i="5"/>
  <c r="BL65" i="5" s="1"/>
  <c r="BN65" i="5" s="1"/>
  <c r="K85" i="5"/>
  <c r="U85" i="5" s="1"/>
  <c r="G89" i="5"/>
  <c r="C107" i="5"/>
  <c r="BL107" i="5" s="1"/>
  <c r="C112" i="5"/>
  <c r="F146" i="5"/>
  <c r="G4" i="5"/>
  <c r="K6" i="5"/>
  <c r="E13" i="5"/>
  <c r="AH13" i="5" s="1"/>
  <c r="AI13" i="5" s="1"/>
  <c r="H32" i="5"/>
  <c r="C40" i="5"/>
  <c r="L48" i="5"/>
  <c r="K54" i="5"/>
  <c r="E65" i="5"/>
  <c r="AH65" i="5" s="1"/>
  <c r="AI65" i="5" s="1"/>
  <c r="E68" i="5"/>
  <c r="D71" i="5"/>
  <c r="D97" i="5"/>
  <c r="F102" i="5"/>
  <c r="J133" i="5"/>
  <c r="G138" i="5"/>
  <c r="AZ138" i="5" s="1"/>
  <c r="F11" i="5"/>
  <c r="I81" i="5"/>
  <c r="W81" i="5" s="1"/>
  <c r="K97" i="5"/>
  <c r="I102" i="5"/>
  <c r="L141" i="5"/>
  <c r="E24" i="5"/>
  <c r="AH24" i="5" s="1"/>
  <c r="AI24" i="5" s="1"/>
  <c r="AJ24" i="5" s="1"/>
  <c r="G68" i="5"/>
  <c r="E22" i="5"/>
  <c r="H30" i="5"/>
  <c r="C9" i="5"/>
  <c r="G22" i="5"/>
  <c r="D26" i="5"/>
  <c r="F55" i="5"/>
  <c r="I9" i="5"/>
  <c r="W9" i="5" s="1"/>
  <c r="G16" i="5"/>
  <c r="J26" i="5"/>
  <c r="C33" i="5"/>
  <c r="H41" i="5"/>
  <c r="G44" i="5"/>
  <c r="I49" i="5"/>
  <c r="W49" i="5" s="1"/>
  <c r="J52" i="5"/>
  <c r="H55" i="5"/>
  <c r="L63" i="5"/>
  <c r="L66" i="5"/>
  <c r="Z66" i="5" s="1"/>
  <c r="AA66" i="5" s="1"/>
  <c r="D69" i="5"/>
  <c r="H113" i="5"/>
  <c r="H121" i="5"/>
  <c r="C5" i="5"/>
  <c r="BL5" i="5" s="1"/>
  <c r="J7" i="5"/>
  <c r="AL7" i="5" s="1"/>
  <c r="K16" i="5"/>
  <c r="L20" i="5"/>
  <c r="L28" i="5"/>
  <c r="J33" i="5"/>
  <c r="I41" i="5"/>
  <c r="W41" i="5" s="1"/>
  <c r="C47" i="5"/>
  <c r="BL47" i="5" s="1"/>
  <c r="F58" i="5"/>
  <c r="AZ58" i="5" s="1"/>
  <c r="F116" i="5"/>
  <c r="I4" i="5"/>
  <c r="W4" i="5" s="1"/>
  <c r="H46" i="5"/>
  <c r="C18" i="5"/>
  <c r="G24" i="5"/>
  <c r="J46" i="5"/>
  <c r="I60" i="5"/>
  <c r="W60" i="5" s="1"/>
  <c r="E18" i="5"/>
  <c r="AH18" i="5" s="1"/>
  <c r="AI18" i="5" s="1"/>
  <c r="K24" i="5"/>
  <c r="I30" i="5"/>
  <c r="W30" i="5" s="1"/>
  <c r="G49" i="5"/>
  <c r="K60" i="5"/>
  <c r="K72" i="5"/>
  <c r="H7" i="5"/>
  <c r="F20" i="5"/>
  <c r="AZ20" i="5" s="1"/>
  <c r="K38" i="5"/>
  <c r="AL38" i="5" s="1"/>
  <c r="F3" i="5"/>
  <c r="C12" i="5"/>
  <c r="C31" i="5"/>
  <c r="H36" i="5"/>
  <c r="F61" i="5"/>
  <c r="L83" i="5"/>
  <c r="I119" i="5"/>
  <c r="W119" i="5" s="1"/>
  <c r="C124" i="5"/>
  <c r="D2" i="5"/>
  <c r="K43" i="5"/>
  <c r="U43" i="5" s="1"/>
  <c r="J57" i="5"/>
  <c r="I76" i="5"/>
  <c r="H11" i="5"/>
  <c r="C28" i="5"/>
  <c r="L35" i="5"/>
  <c r="L57" i="5"/>
  <c r="G110" i="5"/>
  <c r="D7" i="5"/>
  <c r="D20" i="5"/>
  <c r="E28" i="5"/>
  <c r="I38" i="5"/>
  <c r="W38" i="5" s="1"/>
  <c r="H52" i="5"/>
  <c r="J63" i="5"/>
  <c r="AL63" i="5" s="1"/>
  <c r="H100" i="5"/>
  <c r="K18" i="5"/>
  <c r="K28" i="5"/>
  <c r="U28" i="5" s="1"/>
  <c r="E5" i="5"/>
  <c r="E14" i="5"/>
  <c r="L33" i="5"/>
  <c r="E47" i="5"/>
  <c r="G58" i="5"/>
  <c r="J3" i="5"/>
  <c r="K5" i="5"/>
  <c r="D12" i="5"/>
  <c r="G14" i="5"/>
  <c r="AZ14" i="5" s="1"/>
  <c r="D31" i="5"/>
  <c r="AQ31" i="5" s="1"/>
  <c r="E39" i="5"/>
  <c r="D50" i="5"/>
  <c r="D53" i="5"/>
  <c r="C56" i="5"/>
  <c r="G61" i="5"/>
  <c r="G64" i="5"/>
  <c r="F124" i="5"/>
  <c r="E132" i="5"/>
  <c r="J29" i="5"/>
  <c r="G33" i="5"/>
  <c r="H37" i="5"/>
  <c r="I40" i="5"/>
  <c r="W40" i="5" s="1"/>
  <c r="G43" i="5"/>
  <c r="E46" i="5"/>
  <c r="AH46" i="5" s="1"/>
  <c r="AI46" i="5" s="1"/>
  <c r="D52" i="5"/>
  <c r="K53" i="5"/>
  <c r="U53" i="5" s="1"/>
  <c r="F57" i="5"/>
  <c r="C58" i="5"/>
  <c r="E60" i="5"/>
  <c r="J62" i="5"/>
  <c r="F63" i="5"/>
  <c r="C64" i="5"/>
  <c r="K65" i="5"/>
  <c r="AL65" i="5" s="1"/>
  <c r="H66" i="5"/>
  <c r="D67" i="5"/>
  <c r="J69" i="5"/>
  <c r="G82" i="5"/>
  <c r="J90" i="5"/>
  <c r="G98" i="5"/>
  <c r="C103" i="5"/>
  <c r="BL103" i="5" s="1"/>
  <c r="I108" i="5"/>
  <c r="W108" i="5" s="1"/>
  <c r="I114" i="5"/>
  <c r="D128" i="5"/>
  <c r="K131" i="5"/>
  <c r="F136" i="5"/>
  <c r="AZ136" i="5" s="1"/>
  <c r="K139" i="5"/>
  <c r="AL139" i="5" s="1"/>
  <c r="E144" i="5"/>
  <c r="K147" i="5"/>
  <c r="K202" i="5"/>
  <c r="C34" i="5"/>
  <c r="E38" i="5"/>
  <c r="E41" i="5"/>
  <c r="D44" i="5"/>
  <c r="I45" i="5"/>
  <c r="G48" i="5"/>
  <c r="H51" i="5"/>
  <c r="G54" i="5"/>
  <c r="AZ54" i="5" s="1"/>
  <c r="J2" i="5"/>
  <c r="AL2" i="5" s="1"/>
  <c r="G3" i="5"/>
  <c r="D4" i="5"/>
  <c r="L5" i="5"/>
  <c r="H6" i="5"/>
  <c r="E7" i="5"/>
  <c r="J9" i="5"/>
  <c r="G10" i="5"/>
  <c r="C11" i="5"/>
  <c r="BL11" i="5" s="1"/>
  <c r="J12" i="5"/>
  <c r="F13" i="5"/>
  <c r="K15" i="5"/>
  <c r="H16" i="5"/>
  <c r="E17" i="5"/>
  <c r="AH17" i="5" s="1"/>
  <c r="AI17" i="5" s="1"/>
  <c r="L18" i="5"/>
  <c r="G21" i="5"/>
  <c r="C22" i="5"/>
  <c r="L22" i="5"/>
  <c r="C24" i="5"/>
  <c r="BL24" i="5" s="1"/>
  <c r="L24" i="5"/>
  <c r="K26" i="5"/>
  <c r="I28" i="5"/>
  <c r="W28" i="5" s="1"/>
  <c r="K29" i="5"/>
  <c r="U29" i="5" s="1"/>
  <c r="E30" i="5"/>
  <c r="I31" i="5"/>
  <c r="W31" i="5" s="1"/>
  <c r="Z31" i="5" s="1"/>
  <c r="AA31" i="5" s="1"/>
  <c r="D32" i="5"/>
  <c r="AW32" i="5" s="1"/>
  <c r="H33" i="5"/>
  <c r="D34" i="5"/>
  <c r="I35" i="5"/>
  <c r="W35" i="5" s="1"/>
  <c r="D36" i="5"/>
  <c r="I37" i="5"/>
  <c r="W37" i="5" s="1"/>
  <c r="F38" i="5"/>
  <c r="C39" i="5"/>
  <c r="J40" i="5"/>
  <c r="L42" i="5"/>
  <c r="H43" i="5"/>
  <c r="E44" i="5"/>
  <c r="AQ44" i="5" s="1"/>
  <c r="K47" i="5"/>
  <c r="D49" i="5"/>
  <c r="L50" i="5"/>
  <c r="I51" i="5"/>
  <c r="W51" i="5" s="1"/>
  <c r="E52" i="5"/>
  <c r="L53" i="5"/>
  <c r="H54" i="5"/>
  <c r="L56" i="5"/>
  <c r="AB56" i="5" s="1"/>
  <c r="G57" i="5"/>
  <c r="J59" i="5"/>
  <c r="F60" i="5"/>
  <c r="AZ60" i="5" s="1"/>
  <c r="C61" i="5"/>
  <c r="BL61" i="5" s="1"/>
  <c r="K62" i="5"/>
  <c r="U62" i="5" s="1"/>
  <c r="G63" i="5"/>
  <c r="AZ63" i="5" s="1"/>
  <c r="D64" i="5"/>
  <c r="L65" i="5"/>
  <c r="I66" i="5"/>
  <c r="W66" i="5" s="1"/>
  <c r="E67" i="5"/>
  <c r="AH67" i="5" s="1"/>
  <c r="AI67" i="5" s="1"/>
  <c r="K69" i="5"/>
  <c r="H70" i="5"/>
  <c r="F72" i="5"/>
  <c r="AZ72" i="5" s="1"/>
  <c r="J80" i="5"/>
  <c r="D87" i="5"/>
  <c r="K90" i="5"/>
  <c r="G92" i="5"/>
  <c r="H95" i="5"/>
  <c r="H98" i="5"/>
  <c r="K103" i="5"/>
  <c r="K111" i="5"/>
  <c r="K114" i="5"/>
  <c r="J117" i="5"/>
  <c r="D122" i="5"/>
  <c r="E128" i="5"/>
  <c r="H136" i="5"/>
  <c r="G144" i="5"/>
  <c r="AZ144" i="5" s="1"/>
  <c r="G163" i="5"/>
  <c r="H173" i="5"/>
  <c r="E200" i="5"/>
  <c r="F218" i="5"/>
  <c r="K223" i="5"/>
  <c r="H31" i="5"/>
  <c r="L32" i="5"/>
  <c r="C36" i="5"/>
  <c r="L39" i="5"/>
  <c r="K42" i="5"/>
  <c r="U42" i="5" s="1"/>
  <c r="C49" i="5"/>
  <c r="K50" i="5"/>
  <c r="C55" i="5"/>
  <c r="K56" i="5"/>
  <c r="I59" i="5"/>
  <c r="W59" i="5" s="1"/>
  <c r="K2" i="5"/>
  <c r="H3" i="5"/>
  <c r="E4" i="5"/>
  <c r="I6" i="5"/>
  <c r="W6" i="5" s="1"/>
  <c r="F7" i="5"/>
  <c r="C8" i="5"/>
  <c r="BL8" i="5" s="1"/>
  <c r="K9" i="5"/>
  <c r="H10" i="5"/>
  <c r="D11" i="5"/>
  <c r="K12" i="5"/>
  <c r="G13" i="5"/>
  <c r="C14" i="5"/>
  <c r="L15" i="5"/>
  <c r="I16" i="5"/>
  <c r="W16" i="5" s="1"/>
  <c r="F17" i="5"/>
  <c r="G19" i="5"/>
  <c r="C20" i="5"/>
  <c r="H21" i="5"/>
  <c r="G23" i="5"/>
  <c r="D24" i="5"/>
  <c r="F25" i="5"/>
  <c r="AZ25" i="5" s="1"/>
  <c r="L26" i="5"/>
  <c r="Z26" i="5" s="1"/>
  <c r="AA26" i="5" s="1"/>
  <c r="G27" i="5"/>
  <c r="J28" i="5"/>
  <c r="C29" i="5"/>
  <c r="BL29" i="5" s="1"/>
  <c r="L29" i="5"/>
  <c r="F30" i="5"/>
  <c r="E32" i="5"/>
  <c r="I33" i="5"/>
  <c r="W33" i="5" s="1"/>
  <c r="J35" i="5"/>
  <c r="E36" i="5"/>
  <c r="AH36" i="5" s="1"/>
  <c r="AI36" i="5" s="1"/>
  <c r="AD36" i="5" s="1"/>
  <c r="J37" i="5"/>
  <c r="G38" i="5"/>
  <c r="D39" i="5"/>
  <c r="K40" i="5"/>
  <c r="F41" i="5"/>
  <c r="I43" i="5"/>
  <c r="J45" i="5"/>
  <c r="F46" i="5"/>
  <c r="L47" i="5"/>
  <c r="H48" i="5"/>
  <c r="E49" i="5"/>
  <c r="J51" i="5"/>
  <c r="F52" i="5"/>
  <c r="I54" i="5"/>
  <c r="D55" i="5"/>
  <c r="H57" i="5"/>
  <c r="D58" i="5"/>
  <c r="K59" i="5"/>
  <c r="U59" i="5" s="1"/>
  <c r="G60" i="5"/>
  <c r="D61" i="5"/>
  <c r="L62" i="5"/>
  <c r="H63" i="5"/>
  <c r="E64" i="5"/>
  <c r="AQ64" i="5" s="1"/>
  <c r="J66" i="5"/>
  <c r="F67" i="5"/>
  <c r="AZ67" i="5" s="1"/>
  <c r="C68" i="5"/>
  <c r="L69" i="5"/>
  <c r="AQ69" i="5" s="1"/>
  <c r="BA69" i="5" s="1"/>
  <c r="J70" i="5"/>
  <c r="AL70" i="5" s="1"/>
  <c r="I72" i="5"/>
  <c r="W72" i="5" s="1"/>
  <c r="H74" i="5"/>
  <c r="F76" i="5"/>
  <c r="H78" i="5"/>
  <c r="L80" i="5"/>
  <c r="D85" i="5"/>
  <c r="H92" i="5"/>
  <c r="E100" i="5"/>
  <c r="C105" i="5"/>
  <c r="E110" i="5"/>
  <c r="AQ110" i="5" s="1"/>
  <c r="F113" i="5"/>
  <c r="AZ113" i="5" s="1"/>
  <c r="L114" i="5"/>
  <c r="AQ114" i="5" s="1"/>
  <c r="BA114" i="5" s="1"/>
  <c r="K117" i="5"/>
  <c r="E122" i="5"/>
  <c r="AH122" i="5" s="1"/>
  <c r="AI122" i="5" s="1"/>
  <c r="J125" i="5"/>
  <c r="C130" i="5"/>
  <c r="BL130" i="5" s="1"/>
  <c r="BN130" i="5" s="1"/>
  <c r="G133" i="5"/>
  <c r="I136" i="5"/>
  <c r="W136" i="5" s="1"/>
  <c r="I141" i="5"/>
  <c r="W141" i="5" s="1"/>
  <c r="H144" i="5"/>
  <c r="C187" i="5"/>
  <c r="C195" i="5"/>
  <c r="BL195" i="5" s="1"/>
  <c r="K213" i="5"/>
  <c r="U213" i="5" s="1"/>
  <c r="H35" i="5"/>
  <c r="J47" i="5"/>
  <c r="G70" i="5"/>
  <c r="L2" i="5"/>
  <c r="I3" i="5"/>
  <c r="W3" i="5" s="1"/>
  <c r="F4" i="5"/>
  <c r="J6" i="5"/>
  <c r="G7" i="5"/>
  <c r="D8" i="5"/>
  <c r="L9" i="5"/>
  <c r="I10" i="5"/>
  <c r="W10" i="5" s="1"/>
  <c r="Z10" i="5" s="1"/>
  <c r="AA10" i="5" s="1"/>
  <c r="E11" i="5"/>
  <c r="AH11" i="5" s="1"/>
  <c r="AI11" i="5" s="1"/>
  <c r="L12" i="5"/>
  <c r="H13" i="5"/>
  <c r="D14" i="5"/>
  <c r="J16" i="5"/>
  <c r="G17" i="5"/>
  <c r="H19" i="5"/>
  <c r="D22" i="5"/>
  <c r="H23" i="5"/>
  <c r="G25" i="5"/>
  <c r="H27" i="5"/>
  <c r="D29" i="5"/>
  <c r="AQ29" i="5" s="1"/>
  <c r="G30" i="5"/>
  <c r="J31" i="5"/>
  <c r="F32" i="5"/>
  <c r="E34" i="5"/>
  <c r="AH34" i="5" s="1"/>
  <c r="AI34" i="5" s="1"/>
  <c r="K35" i="5"/>
  <c r="F36" i="5"/>
  <c r="K37" i="5"/>
  <c r="U37" i="5" s="1"/>
  <c r="H38" i="5"/>
  <c r="L40" i="5"/>
  <c r="G41" i="5"/>
  <c r="C42" i="5"/>
  <c r="J43" i="5"/>
  <c r="AL43" i="5" s="1"/>
  <c r="F44" i="5"/>
  <c r="AZ44" i="5" s="1"/>
  <c r="K45" i="5"/>
  <c r="G46" i="5"/>
  <c r="I48" i="5"/>
  <c r="W48" i="5" s="1"/>
  <c r="F49" i="5"/>
  <c r="C50" i="5"/>
  <c r="K51" i="5"/>
  <c r="G52" i="5"/>
  <c r="C53" i="5"/>
  <c r="J54" i="5"/>
  <c r="E55" i="5"/>
  <c r="AH55" i="5" s="1"/>
  <c r="AI55" i="5" s="1"/>
  <c r="I57" i="5"/>
  <c r="E58" i="5"/>
  <c r="AH58" i="5" s="1"/>
  <c r="AI58" i="5" s="1"/>
  <c r="AJ58" i="5" s="1"/>
  <c r="L59" i="5"/>
  <c r="H60" i="5"/>
  <c r="E61" i="5"/>
  <c r="I63" i="5"/>
  <c r="W63" i="5" s="1"/>
  <c r="F64" i="5"/>
  <c r="K66" i="5"/>
  <c r="G67" i="5"/>
  <c r="D68" i="5"/>
  <c r="J72" i="5"/>
  <c r="J74" i="5"/>
  <c r="H76" i="5"/>
  <c r="I78" i="5"/>
  <c r="W78" i="5" s="1"/>
  <c r="F87" i="5"/>
  <c r="F89" i="5"/>
  <c r="I92" i="5"/>
  <c r="W92" i="5" s="1"/>
  <c r="G100" i="5"/>
  <c r="L105" i="5"/>
  <c r="D116" i="5"/>
  <c r="G119" i="5"/>
  <c r="K125" i="5"/>
  <c r="U125" i="5" s="1"/>
  <c r="D130" i="5"/>
  <c r="I133" i="5"/>
  <c r="E138" i="5"/>
  <c r="AQ138" i="5" s="1"/>
  <c r="K141" i="5"/>
  <c r="C171" i="5"/>
  <c r="F161" i="5"/>
  <c r="AZ161" i="5" s="1"/>
  <c r="G171" i="5"/>
  <c r="C2" i="5"/>
  <c r="K3" i="5"/>
  <c r="H4" i="5"/>
  <c r="D5" i="5"/>
  <c r="L6" i="5"/>
  <c r="I7" i="5"/>
  <c r="W7" i="5" s="1"/>
  <c r="F8" i="5"/>
  <c r="K10" i="5"/>
  <c r="G11" i="5"/>
  <c r="J13" i="5"/>
  <c r="F14" i="5"/>
  <c r="C15" i="5"/>
  <c r="L16" i="5"/>
  <c r="I17" i="5"/>
  <c r="W17" i="5" s="1"/>
  <c r="D18" i="5"/>
  <c r="J19" i="5"/>
  <c r="E20" i="5"/>
  <c r="AB20" i="5" s="1"/>
  <c r="J21" i="5"/>
  <c r="F22" i="5"/>
  <c r="AZ22" i="5" s="1"/>
  <c r="J23" i="5"/>
  <c r="F24" i="5"/>
  <c r="AZ24" i="5" s="1"/>
  <c r="C26" i="5"/>
  <c r="J27" i="5"/>
  <c r="D28" i="5"/>
  <c r="L31" i="5"/>
  <c r="G32" i="5"/>
  <c r="K33" i="5"/>
  <c r="C35" i="5"/>
  <c r="BL35" i="5" s="1"/>
  <c r="G36" i="5"/>
  <c r="AZ36" i="5" s="1"/>
  <c r="C37" i="5"/>
  <c r="BL37" i="5" s="1"/>
  <c r="BP37" i="5" s="1"/>
  <c r="J38" i="5"/>
  <c r="F39" i="5"/>
  <c r="AZ39" i="5" s="1"/>
  <c r="E42" i="5"/>
  <c r="L43" i="5"/>
  <c r="AB43" i="5" s="1"/>
  <c r="H44" i="5"/>
  <c r="C45" i="5"/>
  <c r="BL45" i="5" s="1"/>
  <c r="I46" i="5"/>
  <c r="W46" i="5" s="1"/>
  <c r="D47" i="5"/>
  <c r="K48" i="5"/>
  <c r="H49" i="5"/>
  <c r="L51" i="5"/>
  <c r="I52" i="5"/>
  <c r="W52" i="5" s="1"/>
  <c r="E53" i="5"/>
  <c r="L54" i="5"/>
  <c r="G55" i="5"/>
  <c r="AZ55" i="5" s="1"/>
  <c r="D56" i="5"/>
  <c r="K57" i="5"/>
  <c r="J60" i="5"/>
  <c r="C62" i="5"/>
  <c r="K63" i="5"/>
  <c r="H64" i="5"/>
  <c r="D65" i="5"/>
  <c r="I67" i="5"/>
  <c r="W67" i="5" s="1"/>
  <c r="Z67" i="5" s="1"/>
  <c r="AA67" i="5" s="1"/>
  <c r="F68" i="5"/>
  <c r="C69" i="5"/>
  <c r="BL69" i="5" s="1"/>
  <c r="G81" i="5"/>
  <c r="J83" i="5"/>
  <c r="H102" i="5"/>
  <c r="L107" i="5"/>
  <c r="G116" i="5"/>
  <c r="J119" i="5"/>
  <c r="E124" i="5"/>
  <c r="AH124" i="5" s="1"/>
  <c r="AI124" i="5" s="1"/>
  <c r="J127" i="5"/>
  <c r="C132" i="5"/>
  <c r="F135" i="5"/>
  <c r="AZ135" i="5" s="1"/>
  <c r="H138" i="5"/>
  <c r="F140" i="5"/>
  <c r="G146" i="5"/>
  <c r="AZ146" i="5" s="1"/>
  <c r="I148" i="5"/>
  <c r="W148" i="5" s="1"/>
  <c r="D169" i="5"/>
  <c r="AQ169" i="5" s="1"/>
  <c r="C193" i="5"/>
  <c r="E2" i="5"/>
  <c r="J4" i="5"/>
  <c r="F5" i="5"/>
  <c r="C6" i="5"/>
  <c r="K7" i="5"/>
  <c r="H8" i="5"/>
  <c r="D9" i="5"/>
  <c r="L10" i="5"/>
  <c r="I11" i="5"/>
  <c r="W11" i="5" s="1"/>
  <c r="E12" i="5"/>
  <c r="AH12" i="5" s="1"/>
  <c r="AI12" i="5" s="1"/>
  <c r="K13" i="5"/>
  <c r="H14" i="5"/>
  <c r="E15" i="5"/>
  <c r="AH15" i="5" s="1"/>
  <c r="AI15" i="5" s="1"/>
  <c r="F18" i="5"/>
  <c r="L19" i="5"/>
  <c r="G20" i="5"/>
  <c r="C21" i="5"/>
  <c r="BL21" i="5" s="1"/>
  <c r="BN21" i="5" s="1"/>
  <c r="L21" i="5"/>
  <c r="AQ21" i="5" s="1"/>
  <c r="BA21" i="5" s="1"/>
  <c r="H22" i="5"/>
  <c r="C23" i="5"/>
  <c r="L23" i="5"/>
  <c r="H24" i="5"/>
  <c r="J25" i="5"/>
  <c r="E26" i="5"/>
  <c r="AH26" i="5" s="1"/>
  <c r="AI26" i="5" s="1"/>
  <c r="K27" i="5"/>
  <c r="I32" i="5"/>
  <c r="W32" i="5" s="1"/>
  <c r="H34" i="5"/>
  <c r="D35" i="5"/>
  <c r="I36" i="5"/>
  <c r="W36" i="5" s="1"/>
  <c r="L38" i="5"/>
  <c r="AB38" i="5" s="1"/>
  <c r="H39" i="5"/>
  <c r="D40" i="5"/>
  <c r="J41" i="5"/>
  <c r="C43" i="5"/>
  <c r="BL43" i="5" s="1"/>
  <c r="I44" i="5"/>
  <c r="W44" i="5" s="1"/>
  <c r="D45" i="5"/>
  <c r="J49" i="5"/>
  <c r="F50" i="5"/>
  <c r="C51" i="5"/>
  <c r="K52" i="5"/>
  <c r="U52" i="5" s="1"/>
  <c r="G53" i="5"/>
  <c r="C54" i="5"/>
  <c r="I55" i="5"/>
  <c r="W55" i="5" s="1"/>
  <c r="F56" i="5"/>
  <c r="AZ56" i="5" s="1"/>
  <c r="H58" i="5"/>
  <c r="D59" i="5"/>
  <c r="L60" i="5"/>
  <c r="H61" i="5"/>
  <c r="E62" i="5"/>
  <c r="J64" i="5"/>
  <c r="F65" i="5"/>
  <c r="C66" i="5"/>
  <c r="BL66" i="5" s="1"/>
  <c r="BP66" i="5" s="1"/>
  <c r="K67" i="5"/>
  <c r="H68" i="5"/>
  <c r="E69" i="5"/>
  <c r="E71" i="5"/>
  <c r="C75" i="5"/>
  <c r="D77" i="5"/>
  <c r="E79" i="5"/>
  <c r="J81" i="5"/>
  <c r="C88" i="5"/>
  <c r="D109" i="5"/>
  <c r="D112" i="5"/>
  <c r="J121" i="5"/>
  <c r="H129" i="5"/>
  <c r="F132" i="5"/>
  <c r="L135" i="5"/>
  <c r="I140" i="5"/>
  <c r="W140" i="5" s="1"/>
  <c r="L143" i="5"/>
  <c r="H159" i="5"/>
  <c r="C167" i="5"/>
  <c r="AZ227" i="5"/>
  <c r="W237" i="5"/>
  <c r="H140" i="5"/>
  <c r="H169" i="5"/>
  <c r="F2" i="5"/>
  <c r="K4" i="5"/>
  <c r="G5" i="5"/>
  <c r="AZ5" i="5" s="1"/>
  <c r="D6" i="5"/>
  <c r="L7" i="5"/>
  <c r="I8" i="5"/>
  <c r="W8" i="5" s="1"/>
  <c r="Z8" i="5" s="1"/>
  <c r="AA8" i="5" s="1"/>
  <c r="E9" i="5"/>
  <c r="J11" i="5"/>
  <c r="F12" i="5"/>
  <c r="AZ12" i="5" s="1"/>
  <c r="L13" i="5"/>
  <c r="I14" i="5"/>
  <c r="W14" i="5" s="1"/>
  <c r="F15" i="5"/>
  <c r="C16" i="5"/>
  <c r="BL16" i="5" s="1"/>
  <c r="K17" i="5"/>
  <c r="G18" i="5"/>
  <c r="H20" i="5"/>
  <c r="I22" i="5"/>
  <c r="W22" i="5" s="1"/>
  <c r="D23" i="5"/>
  <c r="K25" i="5"/>
  <c r="U25" i="5" s="1"/>
  <c r="F26" i="5"/>
  <c r="AZ26" i="5" s="1"/>
  <c r="C27" i="5"/>
  <c r="F28" i="5"/>
  <c r="G29" i="5"/>
  <c r="J30" i="5"/>
  <c r="E31" i="5"/>
  <c r="D33" i="5"/>
  <c r="I34" i="5"/>
  <c r="E35" i="5"/>
  <c r="AH35" i="5" s="1"/>
  <c r="AI35" i="5" s="1"/>
  <c r="J36" i="5"/>
  <c r="E37" i="5"/>
  <c r="AH37" i="5" s="1"/>
  <c r="AI37" i="5" s="1"/>
  <c r="I39" i="5"/>
  <c r="W39" i="5" s="1"/>
  <c r="E40" i="5"/>
  <c r="AH40" i="5" s="1"/>
  <c r="AI40" i="5" s="1"/>
  <c r="K41" i="5"/>
  <c r="G42" i="5"/>
  <c r="AZ42" i="5" s="1"/>
  <c r="D43" i="5"/>
  <c r="J44" i="5"/>
  <c r="E45" i="5"/>
  <c r="AH45" i="5" s="1"/>
  <c r="AI45" i="5" s="1"/>
  <c r="K46" i="5"/>
  <c r="F47" i="5"/>
  <c r="AZ47" i="5" s="1"/>
  <c r="C48" i="5"/>
  <c r="K49" i="5"/>
  <c r="G50" i="5"/>
  <c r="D51" i="5"/>
  <c r="L52" i="5"/>
  <c r="Z52" i="5" s="1"/>
  <c r="AA52" i="5" s="1"/>
  <c r="H53" i="5"/>
  <c r="D54" i="5"/>
  <c r="J55" i="5"/>
  <c r="G56" i="5"/>
  <c r="C57" i="5"/>
  <c r="I58" i="5"/>
  <c r="W58" i="5" s="1"/>
  <c r="E59" i="5"/>
  <c r="AH59" i="5" s="1"/>
  <c r="AI59" i="5" s="1"/>
  <c r="I61" i="5"/>
  <c r="W61" i="5" s="1"/>
  <c r="F62" i="5"/>
  <c r="AZ62" i="5" s="1"/>
  <c r="K64" i="5"/>
  <c r="G65" i="5"/>
  <c r="AZ65" i="5" s="1"/>
  <c r="D66" i="5"/>
  <c r="L67" i="5"/>
  <c r="I68" i="5"/>
  <c r="W68" i="5" s="1"/>
  <c r="F69" i="5"/>
  <c r="C70" i="5"/>
  <c r="I71" i="5"/>
  <c r="W71" i="5" s="1"/>
  <c r="F73" i="5"/>
  <c r="E77" i="5"/>
  <c r="G86" i="5"/>
  <c r="H104" i="5"/>
  <c r="F106" i="5"/>
  <c r="AZ106" i="5" s="1"/>
  <c r="J109" i="5"/>
  <c r="AL109" i="5" s="1"/>
  <c r="E112" i="5"/>
  <c r="AH112" i="5" s="1"/>
  <c r="AI112" i="5" s="1"/>
  <c r="D115" i="5"/>
  <c r="D118" i="5"/>
  <c r="K121" i="5"/>
  <c r="D126" i="5"/>
  <c r="J129" i="5"/>
  <c r="C137" i="5"/>
  <c r="I167" i="5"/>
  <c r="W167" i="5" s="1"/>
  <c r="C177" i="5"/>
  <c r="BL177" i="5" s="1"/>
  <c r="D191" i="5"/>
  <c r="C209" i="5"/>
  <c r="BL209" i="5" s="1"/>
  <c r="BN209" i="5" s="1"/>
  <c r="C222" i="5"/>
  <c r="J143" i="5"/>
  <c r="AL143" i="5" s="1"/>
  <c r="G2" i="5"/>
  <c r="C3" i="5"/>
  <c r="BL3" i="5" s="1"/>
  <c r="H5" i="5"/>
  <c r="E6" i="5"/>
  <c r="F9" i="5"/>
  <c r="C10" i="5"/>
  <c r="K11" i="5"/>
  <c r="G12" i="5"/>
  <c r="C13" i="5"/>
  <c r="BL13" i="5" s="1"/>
  <c r="J14" i="5"/>
  <c r="AL14" i="5" s="1"/>
  <c r="G15" i="5"/>
  <c r="AZ15" i="5" s="1"/>
  <c r="D16" i="5"/>
  <c r="AQ16" i="5" s="1"/>
  <c r="L17" i="5"/>
  <c r="H18" i="5"/>
  <c r="C19" i="5"/>
  <c r="I20" i="5"/>
  <c r="W20" i="5" s="1"/>
  <c r="D21" i="5"/>
  <c r="I24" i="5"/>
  <c r="W24" i="5" s="1"/>
  <c r="C25" i="5"/>
  <c r="L25" i="5"/>
  <c r="G26" i="5"/>
  <c r="D27" i="5"/>
  <c r="L27" i="5"/>
  <c r="H29" i="5"/>
  <c r="K30" i="5"/>
  <c r="F31" i="5"/>
  <c r="AZ31" i="5" s="1"/>
  <c r="J32" i="5"/>
  <c r="E33" i="5"/>
  <c r="J34" i="5"/>
  <c r="K36" i="5"/>
  <c r="F37" i="5"/>
  <c r="AZ37" i="5" s="1"/>
  <c r="J39" i="5"/>
  <c r="F40" i="5"/>
  <c r="L41" i="5"/>
  <c r="H42" i="5"/>
  <c r="K44" i="5"/>
  <c r="AL44" i="5" s="1"/>
  <c r="F45" i="5"/>
  <c r="L46" i="5"/>
  <c r="G47" i="5"/>
  <c r="D48" i="5"/>
  <c r="L49" i="5"/>
  <c r="H50" i="5"/>
  <c r="E51" i="5"/>
  <c r="AH51" i="5" s="1"/>
  <c r="AI51" i="5" s="1"/>
  <c r="I53" i="5"/>
  <c r="W53" i="5" s="1"/>
  <c r="E54" i="5"/>
  <c r="AH54" i="5" s="1"/>
  <c r="AI54" i="5" s="1"/>
  <c r="K55" i="5"/>
  <c r="H56" i="5"/>
  <c r="D57" i="5"/>
  <c r="J58" i="5"/>
  <c r="F59" i="5"/>
  <c r="AZ59" i="5" s="1"/>
  <c r="J61" i="5"/>
  <c r="G62" i="5"/>
  <c r="C63" i="5"/>
  <c r="BL63" i="5" s="1"/>
  <c r="L64" i="5"/>
  <c r="H65" i="5"/>
  <c r="E66" i="5"/>
  <c r="AH66" i="5" s="1"/>
  <c r="AI66" i="5" s="1"/>
  <c r="J68" i="5"/>
  <c r="G69" i="5"/>
  <c r="D70" i="5"/>
  <c r="G73" i="5"/>
  <c r="AZ73" i="5" s="1"/>
  <c r="E75" i="5"/>
  <c r="K77" i="5"/>
  <c r="U77" i="5" s="1"/>
  <c r="F84" i="5"/>
  <c r="I86" i="5"/>
  <c r="W86" i="5" s="1"/>
  <c r="L88" i="5"/>
  <c r="C93" i="5"/>
  <c r="L99" i="5"/>
  <c r="H106" i="5"/>
  <c r="L109" i="5"/>
  <c r="L112" i="5"/>
  <c r="L115" i="5"/>
  <c r="E118" i="5"/>
  <c r="H123" i="5"/>
  <c r="E126" i="5"/>
  <c r="AH126" i="5" s="1"/>
  <c r="AI126" i="5" s="1"/>
  <c r="K129" i="5"/>
  <c r="J137" i="5"/>
  <c r="D142" i="5"/>
  <c r="J145" i="5"/>
  <c r="G209" i="5"/>
  <c r="AH230" i="5"/>
  <c r="AI230" i="5" s="1"/>
  <c r="J8" i="5"/>
  <c r="G9" i="5"/>
  <c r="AZ9" i="5" s="1"/>
  <c r="D10" i="5"/>
  <c r="AQ10" i="5" s="1"/>
  <c r="L11" i="5"/>
  <c r="H12" i="5"/>
  <c r="D13" i="5"/>
  <c r="K14" i="5"/>
  <c r="H15" i="5"/>
  <c r="E16" i="5"/>
  <c r="I18" i="5"/>
  <c r="W18" i="5" s="1"/>
  <c r="D19" i="5"/>
  <c r="J20" i="5"/>
  <c r="J22" i="5"/>
  <c r="E23" i="5"/>
  <c r="AH23" i="5" s="1"/>
  <c r="AI23" i="5" s="1"/>
  <c r="D25" i="5"/>
  <c r="AQ25" i="5" s="1"/>
  <c r="H26" i="5"/>
  <c r="G28" i="5"/>
  <c r="C30" i="5"/>
  <c r="BL30" i="5" s="1"/>
  <c r="L30" i="5"/>
  <c r="G31" i="5"/>
  <c r="K32" i="5"/>
  <c r="U32" i="5" s="1"/>
  <c r="K34" i="5"/>
  <c r="F35" i="5"/>
  <c r="AZ35" i="5" s="1"/>
  <c r="L36" i="5"/>
  <c r="G37" i="5"/>
  <c r="C38" i="5"/>
  <c r="G40" i="5"/>
  <c r="C41" i="5"/>
  <c r="BL41" i="5" s="1"/>
  <c r="I42" i="5"/>
  <c r="W42" i="5" s="1"/>
  <c r="E43" i="5"/>
  <c r="L44" i="5"/>
  <c r="G45" i="5"/>
  <c r="C46" i="5"/>
  <c r="H47" i="5"/>
  <c r="E48" i="5"/>
  <c r="I50" i="5"/>
  <c r="W50" i="5" s="1"/>
  <c r="F51" i="5"/>
  <c r="J53" i="5"/>
  <c r="AL53" i="5" s="1"/>
  <c r="L55" i="5"/>
  <c r="I56" i="5"/>
  <c r="E57" i="5"/>
  <c r="AH57" i="5" s="1"/>
  <c r="AI57" i="5" s="1"/>
  <c r="K58" i="5"/>
  <c r="U58" i="5" s="1"/>
  <c r="G59" i="5"/>
  <c r="C60" i="5"/>
  <c r="K61" i="5"/>
  <c r="H62" i="5"/>
  <c r="D63" i="5"/>
  <c r="I65" i="5"/>
  <c r="W65" i="5" s="1"/>
  <c r="F66" i="5"/>
  <c r="AZ66" i="5" s="1"/>
  <c r="K68" i="5"/>
  <c r="H69" i="5"/>
  <c r="E70" i="5"/>
  <c r="L75" i="5"/>
  <c r="D82" i="5"/>
  <c r="H84" i="5"/>
  <c r="J86" i="5"/>
  <c r="J93" i="5"/>
  <c r="J96" i="5"/>
  <c r="C101" i="5"/>
  <c r="I106" i="5"/>
  <c r="W106" i="5" s="1"/>
  <c r="F108" i="5"/>
  <c r="D120" i="5"/>
  <c r="J123" i="5"/>
  <c r="H131" i="5"/>
  <c r="D134" i="5"/>
  <c r="L137" i="5"/>
  <c r="F142" i="5"/>
  <c r="L145" i="5"/>
  <c r="I157" i="5"/>
  <c r="W157" i="5" s="1"/>
  <c r="F175" i="5"/>
  <c r="H220" i="5"/>
  <c r="J225" i="5"/>
  <c r="H2" i="5"/>
  <c r="D3" i="5"/>
  <c r="AQ3" i="5" s="1"/>
  <c r="L4" i="5"/>
  <c r="AQ4" i="5" s="1"/>
  <c r="I5" i="5"/>
  <c r="W5" i="5" s="1"/>
  <c r="Z5" i="5" s="1"/>
  <c r="AA5" i="5" s="1"/>
  <c r="F6" i="5"/>
  <c r="AZ6" i="5" s="1"/>
  <c r="I2" i="5"/>
  <c r="W2" i="5" s="1"/>
  <c r="Z2" i="5" s="1"/>
  <c r="AA2" i="5" s="1"/>
  <c r="E3" i="5"/>
  <c r="J5" i="5"/>
  <c r="G6" i="5"/>
  <c r="C7" i="5"/>
  <c r="BL7" i="5" s="1"/>
  <c r="K8" i="5"/>
  <c r="H9" i="5"/>
  <c r="E10" i="5"/>
  <c r="I12" i="5"/>
  <c r="W12" i="5" s="1"/>
  <c r="L14" i="5"/>
  <c r="I15" i="5"/>
  <c r="F16" i="5"/>
  <c r="C17" i="5"/>
  <c r="BL17" i="5" s="1"/>
  <c r="BP17" i="5" s="1"/>
  <c r="J18" i="5"/>
  <c r="E19" i="5"/>
  <c r="AH19" i="5" s="1"/>
  <c r="AI19" i="5" s="1"/>
  <c r="K20" i="5"/>
  <c r="U20" i="5" s="1"/>
  <c r="E21" i="5"/>
  <c r="K22" i="5"/>
  <c r="J24" i="5"/>
  <c r="I26" i="5"/>
  <c r="W26" i="5" s="1"/>
  <c r="E27" i="5"/>
  <c r="AH27" i="5" s="1"/>
  <c r="AI27" i="5" s="1"/>
  <c r="H28" i="5"/>
  <c r="I29" i="5"/>
  <c r="AL29" i="5" s="1"/>
  <c r="D30" i="5"/>
  <c r="C32" i="5"/>
  <c r="BL32" i="5" s="1"/>
  <c r="F33" i="5"/>
  <c r="L34" i="5"/>
  <c r="G35" i="5"/>
  <c r="D38" i="5"/>
  <c r="K39" i="5"/>
  <c r="U39" i="5" s="1"/>
  <c r="H40" i="5"/>
  <c r="D41" i="5"/>
  <c r="J42" i="5"/>
  <c r="F43" i="5"/>
  <c r="AZ43" i="5" s="1"/>
  <c r="C44" i="5"/>
  <c r="H45" i="5"/>
  <c r="D46" i="5"/>
  <c r="I47" i="5"/>
  <c r="W47" i="5" s="1"/>
  <c r="F48" i="5"/>
  <c r="J50" i="5"/>
  <c r="G51" i="5"/>
  <c r="C52" i="5"/>
  <c r="BL52" i="5" s="1"/>
  <c r="BN52" i="5" s="1"/>
  <c r="F54" i="5"/>
  <c r="J56" i="5"/>
  <c r="L58" i="5"/>
  <c r="H59" i="5"/>
  <c r="D60" i="5"/>
  <c r="L61" i="5"/>
  <c r="AB61" i="5" s="1"/>
  <c r="I62" i="5"/>
  <c r="W62" i="5" s="1"/>
  <c r="E63" i="5"/>
  <c r="AH63" i="5" s="1"/>
  <c r="AI63" i="5" s="1"/>
  <c r="J65" i="5"/>
  <c r="G66" i="5"/>
  <c r="C67" i="5"/>
  <c r="L68" i="5"/>
  <c r="Z68" i="5" s="1"/>
  <c r="AA68" i="5" s="1"/>
  <c r="I69" i="5"/>
  <c r="W69" i="5" s="1"/>
  <c r="F70" i="5"/>
  <c r="F82" i="5"/>
  <c r="AZ82" i="5" s="1"/>
  <c r="H90" i="5"/>
  <c r="L93" i="5"/>
  <c r="K96" i="5"/>
  <c r="E98" i="5"/>
  <c r="K101" i="5"/>
  <c r="H108" i="5"/>
  <c r="I111" i="5"/>
  <c r="W111" i="5" s="1"/>
  <c r="E120" i="5"/>
  <c r="K123" i="5"/>
  <c r="U123" i="5" s="1"/>
  <c r="J131" i="5"/>
  <c r="K134" i="5"/>
  <c r="C139" i="5"/>
  <c r="G142" i="5"/>
  <c r="AZ142" i="5" s="1"/>
  <c r="K175" i="5"/>
  <c r="C189" i="5"/>
  <c r="BL189" i="5" s="1"/>
  <c r="BN189" i="5" s="1"/>
  <c r="D197" i="5"/>
  <c r="E202" i="5"/>
  <c r="K207" i="5"/>
  <c r="D215" i="5"/>
  <c r="L220" i="5"/>
  <c r="E74" i="5"/>
  <c r="H75" i="5"/>
  <c r="C76" i="5"/>
  <c r="C78" i="5"/>
  <c r="J79" i="5"/>
  <c r="F80" i="5"/>
  <c r="AZ80" i="5" s="1"/>
  <c r="C81" i="5"/>
  <c r="K82" i="5"/>
  <c r="U82" i="5" s="1"/>
  <c r="F83" i="5"/>
  <c r="I85" i="5"/>
  <c r="W85" i="5" s="1"/>
  <c r="D86" i="5"/>
  <c r="K87" i="5"/>
  <c r="K89" i="5"/>
  <c r="I91" i="5"/>
  <c r="W91" i="5" s="1"/>
  <c r="D92" i="5"/>
  <c r="G93" i="5"/>
  <c r="C95" i="5"/>
  <c r="F96" i="5"/>
  <c r="AZ96" i="5" s="1"/>
  <c r="L98" i="5"/>
  <c r="G99" i="5"/>
  <c r="G101" i="5"/>
  <c r="H103" i="5"/>
  <c r="H105" i="5"/>
  <c r="C106" i="5"/>
  <c r="BL106" i="5" s="1"/>
  <c r="H107" i="5"/>
  <c r="C108" i="5"/>
  <c r="BL108" i="5" s="1"/>
  <c r="K110" i="5"/>
  <c r="F111" i="5"/>
  <c r="AZ111" i="5" s="1"/>
  <c r="I112" i="5"/>
  <c r="W112" i="5" s="1"/>
  <c r="C113" i="5"/>
  <c r="L113" i="5"/>
  <c r="E114" i="5"/>
  <c r="AH114" i="5" s="1"/>
  <c r="AI114" i="5" s="1"/>
  <c r="K116" i="5"/>
  <c r="E117" i="5"/>
  <c r="AH117" i="5" s="1"/>
  <c r="AI117" i="5" s="1"/>
  <c r="C119" i="5"/>
  <c r="J120" i="5"/>
  <c r="E121" i="5"/>
  <c r="J122" i="5"/>
  <c r="D123" i="5"/>
  <c r="J124" i="5"/>
  <c r="E125" i="5"/>
  <c r="J126" i="5"/>
  <c r="E127" i="5"/>
  <c r="D129" i="5"/>
  <c r="J130" i="5"/>
  <c r="D131" i="5"/>
  <c r="J132" i="5"/>
  <c r="D133" i="5"/>
  <c r="H134" i="5"/>
  <c r="J135" i="5"/>
  <c r="C136" i="5"/>
  <c r="BL136" i="5" s="1"/>
  <c r="BN136" i="5" s="1"/>
  <c r="F137" i="5"/>
  <c r="G139" i="5"/>
  <c r="E141" i="5"/>
  <c r="AH141" i="5" s="1"/>
  <c r="AI141" i="5" s="1"/>
  <c r="K142" i="5"/>
  <c r="F143" i="5"/>
  <c r="L144" i="5"/>
  <c r="G145" i="5"/>
  <c r="L146" i="5"/>
  <c r="G147" i="5"/>
  <c r="E153" i="5"/>
  <c r="D168" i="5"/>
  <c r="C170" i="5"/>
  <c r="C174" i="5"/>
  <c r="E208" i="5"/>
  <c r="H210" i="5"/>
  <c r="AH226" i="5"/>
  <c r="AI226" i="5" s="1"/>
  <c r="J71" i="5"/>
  <c r="G72" i="5"/>
  <c r="K73" i="5"/>
  <c r="U73" i="5" s="1"/>
  <c r="I75" i="5"/>
  <c r="W75" i="5" s="1"/>
  <c r="D76" i="5"/>
  <c r="I77" i="5"/>
  <c r="W77" i="5" s="1"/>
  <c r="D78" i="5"/>
  <c r="G80" i="5"/>
  <c r="D81" i="5"/>
  <c r="AQ81" i="5" s="1"/>
  <c r="BA81" i="5" s="1"/>
  <c r="G83" i="5"/>
  <c r="C84" i="5"/>
  <c r="L87" i="5"/>
  <c r="AQ87" i="5" s="1"/>
  <c r="BA87" i="5" s="1"/>
  <c r="H88" i="5"/>
  <c r="E90" i="5"/>
  <c r="J91" i="5"/>
  <c r="E92" i="5"/>
  <c r="K94" i="5"/>
  <c r="D95" i="5"/>
  <c r="H97" i="5"/>
  <c r="C98" i="5"/>
  <c r="BL98" i="5" s="1"/>
  <c r="H99" i="5"/>
  <c r="H101" i="5"/>
  <c r="C102" i="5"/>
  <c r="I103" i="5"/>
  <c r="W103" i="5" s="1"/>
  <c r="C104" i="5"/>
  <c r="I105" i="5"/>
  <c r="W105" i="5" s="1"/>
  <c r="D106" i="5"/>
  <c r="I107" i="5"/>
  <c r="W107" i="5" s="1"/>
  <c r="H109" i="5"/>
  <c r="L110" i="5"/>
  <c r="G111" i="5"/>
  <c r="J112" i="5"/>
  <c r="D113" i="5"/>
  <c r="AQ113" i="5" s="1"/>
  <c r="F114" i="5"/>
  <c r="AZ114" i="5" s="1"/>
  <c r="I115" i="5"/>
  <c r="L116" i="5"/>
  <c r="F117" i="5"/>
  <c r="J118" i="5"/>
  <c r="D119" i="5"/>
  <c r="K120" i="5"/>
  <c r="F121" i="5"/>
  <c r="K122" i="5"/>
  <c r="E123" i="5"/>
  <c r="AH123" i="5" s="1"/>
  <c r="AI123" i="5" s="1"/>
  <c r="K124" i="5"/>
  <c r="F125" i="5"/>
  <c r="K126" i="5"/>
  <c r="F127" i="5"/>
  <c r="AZ127" i="5" s="1"/>
  <c r="J128" i="5"/>
  <c r="E129" i="5"/>
  <c r="K130" i="5"/>
  <c r="E131" i="5"/>
  <c r="K132" i="5"/>
  <c r="E133" i="5"/>
  <c r="I134" i="5"/>
  <c r="W134" i="5" s="1"/>
  <c r="Z134" i="5" s="1"/>
  <c r="AA134" i="5" s="1"/>
  <c r="C135" i="5"/>
  <c r="D136" i="5"/>
  <c r="G137" i="5"/>
  <c r="H139" i="5"/>
  <c r="C140" i="5"/>
  <c r="BL140" i="5" s="1"/>
  <c r="L140" i="5"/>
  <c r="F141" i="5"/>
  <c r="AZ141" i="5" s="1"/>
  <c r="L142" i="5"/>
  <c r="G143" i="5"/>
  <c r="H145" i="5"/>
  <c r="H147" i="5"/>
  <c r="C148" i="5"/>
  <c r="K153" i="5"/>
  <c r="I168" i="5"/>
  <c r="W168" i="5" s="1"/>
  <c r="H170" i="5"/>
  <c r="D176" i="5"/>
  <c r="D178" i="5"/>
  <c r="C188" i="5"/>
  <c r="BL188" i="5" s="1"/>
  <c r="D190" i="5"/>
  <c r="D192" i="5"/>
  <c r="C196" i="5"/>
  <c r="E203" i="5"/>
  <c r="AH203" i="5" s="1"/>
  <c r="AI203" i="5" s="1"/>
  <c r="J214" i="5"/>
  <c r="D216" i="5"/>
  <c r="E221" i="5"/>
  <c r="U226" i="5"/>
  <c r="AH233" i="5"/>
  <c r="AI233" i="5" s="1"/>
  <c r="AJ233" i="5" s="1"/>
  <c r="K71" i="5"/>
  <c r="H72" i="5"/>
  <c r="C73" i="5"/>
  <c r="L73" i="5"/>
  <c r="F74" i="5"/>
  <c r="J75" i="5"/>
  <c r="E76" i="5"/>
  <c r="E78" i="5"/>
  <c r="AH78" i="5" s="1"/>
  <c r="AI78" i="5" s="1"/>
  <c r="K79" i="5"/>
  <c r="H80" i="5"/>
  <c r="E81" i="5"/>
  <c r="AH81" i="5" s="1"/>
  <c r="AI81" i="5" s="1"/>
  <c r="L82" i="5"/>
  <c r="H83" i="5"/>
  <c r="D84" i="5"/>
  <c r="J85" i="5"/>
  <c r="E86" i="5"/>
  <c r="AH86" i="5" s="1"/>
  <c r="AI86" i="5" s="1"/>
  <c r="I88" i="5"/>
  <c r="W88" i="5" s="1"/>
  <c r="C89" i="5"/>
  <c r="L89" i="5"/>
  <c r="F90" i="5"/>
  <c r="K91" i="5"/>
  <c r="F92" i="5"/>
  <c r="H93" i="5"/>
  <c r="C94" i="5"/>
  <c r="L94" i="5"/>
  <c r="E95" i="5"/>
  <c r="G96" i="5"/>
  <c r="I97" i="5"/>
  <c r="W97" i="5" s="1"/>
  <c r="D98" i="5"/>
  <c r="I99" i="5"/>
  <c r="W99" i="5" s="1"/>
  <c r="C100" i="5"/>
  <c r="BL100" i="5" s="1"/>
  <c r="I101" i="5"/>
  <c r="W101" i="5" s="1"/>
  <c r="D102" i="5"/>
  <c r="AQ102" i="5" s="1"/>
  <c r="J103" i="5"/>
  <c r="D104" i="5"/>
  <c r="J105" i="5"/>
  <c r="AL105" i="5" s="1"/>
  <c r="E106" i="5"/>
  <c r="AH106" i="5" s="1"/>
  <c r="AI106" i="5" s="1"/>
  <c r="J107" i="5"/>
  <c r="AL107" i="5" s="1"/>
  <c r="D108" i="5"/>
  <c r="I109" i="5"/>
  <c r="W109" i="5" s="1"/>
  <c r="C110" i="5"/>
  <c r="BL110" i="5" s="1"/>
  <c r="G114" i="5"/>
  <c r="J115" i="5"/>
  <c r="C116" i="5"/>
  <c r="G117" i="5"/>
  <c r="K118" i="5"/>
  <c r="E119" i="5"/>
  <c r="AH119" i="5" s="1"/>
  <c r="AI119" i="5" s="1"/>
  <c r="AD119" i="5" s="1"/>
  <c r="L120" i="5"/>
  <c r="L122" i="5"/>
  <c r="F123" i="5"/>
  <c r="AZ123" i="5" s="1"/>
  <c r="L124" i="5"/>
  <c r="G125" i="5"/>
  <c r="L126" i="5"/>
  <c r="G127" i="5"/>
  <c r="K128" i="5"/>
  <c r="F129" i="5"/>
  <c r="F131" i="5"/>
  <c r="L132" i="5"/>
  <c r="K135" i="5"/>
  <c r="E136" i="5"/>
  <c r="H137" i="5"/>
  <c r="C138" i="5"/>
  <c r="BL138" i="5" s="1"/>
  <c r="BP138" i="5" s="1"/>
  <c r="I139" i="5"/>
  <c r="W139" i="5" s="1"/>
  <c r="D140" i="5"/>
  <c r="G141" i="5"/>
  <c r="H143" i="5"/>
  <c r="C144" i="5"/>
  <c r="I145" i="5"/>
  <c r="W145" i="5" s="1"/>
  <c r="C146" i="5"/>
  <c r="I147" i="5"/>
  <c r="W147" i="5" s="1"/>
  <c r="D148" i="5"/>
  <c r="E155" i="5"/>
  <c r="AH155" i="5" s="1"/>
  <c r="AI155" i="5" s="1"/>
  <c r="G172" i="5"/>
  <c r="I176" i="5"/>
  <c r="W176" i="5" s="1"/>
  <c r="J178" i="5"/>
  <c r="D180" i="5"/>
  <c r="C182" i="5"/>
  <c r="C184" i="5"/>
  <c r="H186" i="5"/>
  <c r="H188" i="5"/>
  <c r="I190" i="5"/>
  <c r="I192" i="5"/>
  <c r="W192" i="5" s="1"/>
  <c r="H194" i="5"/>
  <c r="I196" i="5"/>
  <c r="W196" i="5" s="1"/>
  <c r="K203" i="5"/>
  <c r="AL203" i="5" s="1"/>
  <c r="G216" i="5"/>
  <c r="AZ216" i="5" s="1"/>
  <c r="J221" i="5"/>
  <c r="AZ228" i="5"/>
  <c r="AL233" i="5"/>
  <c r="L71" i="5"/>
  <c r="D73" i="5"/>
  <c r="G74" i="5"/>
  <c r="AZ74" i="5" s="1"/>
  <c r="K75" i="5"/>
  <c r="AL75" i="5" s="1"/>
  <c r="J77" i="5"/>
  <c r="F78" i="5"/>
  <c r="L79" i="5"/>
  <c r="I80" i="5"/>
  <c r="F81" i="5"/>
  <c r="C82" i="5"/>
  <c r="I83" i="5"/>
  <c r="W83" i="5" s="1"/>
  <c r="E84" i="5"/>
  <c r="AH84" i="5" s="1"/>
  <c r="AI84" i="5" s="1"/>
  <c r="F86" i="5"/>
  <c r="C87" i="5"/>
  <c r="J88" i="5"/>
  <c r="D89" i="5"/>
  <c r="G90" i="5"/>
  <c r="L91" i="5"/>
  <c r="I93" i="5"/>
  <c r="D94" i="5"/>
  <c r="F95" i="5"/>
  <c r="AZ95" i="5" s="1"/>
  <c r="H96" i="5"/>
  <c r="J97" i="5"/>
  <c r="J99" i="5"/>
  <c r="D100" i="5"/>
  <c r="J101" i="5"/>
  <c r="E102" i="5"/>
  <c r="E104" i="5"/>
  <c r="K105" i="5"/>
  <c r="K107" i="5"/>
  <c r="E108" i="5"/>
  <c r="D110" i="5"/>
  <c r="H111" i="5"/>
  <c r="K112" i="5"/>
  <c r="E113" i="5"/>
  <c r="AH113" i="5" s="1"/>
  <c r="AI113" i="5" s="1"/>
  <c r="H114" i="5"/>
  <c r="K115" i="5"/>
  <c r="H117" i="5"/>
  <c r="L118" i="5"/>
  <c r="F119" i="5"/>
  <c r="AZ119" i="5" s="1"/>
  <c r="G121" i="5"/>
  <c r="G123" i="5"/>
  <c r="H125" i="5"/>
  <c r="H127" i="5"/>
  <c r="L128" i="5"/>
  <c r="AQ128" i="5" s="1"/>
  <c r="G129" i="5"/>
  <c r="AZ129" i="5" s="1"/>
  <c r="L130" i="5"/>
  <c r="G131" i="5"/>
  <c r="F133" i="5"/>
  <c r="J134" i="5"/>
  <c r="D135" i="5"/>
  <c r="I137" i="5"/>
  <c r="W137" i="5" s="1"/>
  <c r="D138" i="5"/>
  <c r="J139" i="5"/>
  <c r="E140" i="5"/>
  <c r="H141" i="5"/>
  <c r="C142" i="5"/>
  <c r="BL142" i="5" s="1"/>
  <c r="BN142" i="5" s="1"/>
  <c r="I143" i="5"/>
  <c r="W143" i="5" s="1"/>
  <c r="D144" i="5"/>
  <c r="D146" i="5"/>
  <c r="J147" i="5"/>
  <c r="F148" i="5"/>
  <c r="K155" i="5"/>
  <c r="D157" i="5"/>
  <c r="C159" i="5"/>
  <c r="J180" i="5"/>
  <c r="I182" i="5"/>
  <c r="W182" i="5" s="1"/>
  <c r="Z182" i="5" s="1"/>
  <c r="AA182" i="5" s="1"/>
  <c r="H184" i="5"/>
  <c r="J198" i="5"/>
  <c r="F205" i="5"/>
  <c r="AZ205" i="5" s="1"/>
  <c r="L216" i="5"/>
  <c r="E223" i="5"/>
  <c r="AQ228" i="5"/>
  <c r="BA228" i="5" s="1"/>
  <c r="C71" i="5"/>
  <c r="E73" i="5"/>
  <c r="AH73" i="5" s="1"/>
  <c r="AI73" i="5" s="1"/>
  <c r="I74" i="5"/>
  <c r="W74" i="5" s="1"/>
  <c r="D75" i="5"/>
  <c r="G76" i="5"/>
  <c r="C77" i="5"/>
  <c r="L77" i="5"/>
  <c r="G78" i="5"/>
  <c r="D79" i="5"/>
  <c r="K80" i="5"/>
  <c r="H81" i="5"/>
  <c r="E82" i="5"/>
  <c r="K83" i="5"/>
  <c r="U83" i="5" s="1"/>
  <c r="G84" i="5"/>
  <c r="C85" i="5"/>
  <c r="L85" i="5"/>
  <c r="AB85" i="5" s="1"/>
  <c r="AW85" i="5" s="1"/>
  <c r="H86" i="5"/>
  <c r="E87" i="5"/>
  <c r="K88" i="5"/>
  <c r="E89" i="5"/>
  <c r="AH89" i="5" s="1"/>
  <c r="AI89" i="5" s="1"/>
  <c r="I90" i="5"/>
  <c r="W90" i="5" s="1"/>
  <c r="C91" i="5"/>
  <c r="K93" i="5"/>
  <c r="F94" i="5"/>
  <c r="G95" i="5"/>
  <c r="I96" i="5"/>
  <c r="W96" i="5" s="1"/>
  <c r="C97" i="5"/>
  <c r="L97" i="5"/>
  <c r="F98" i="5"/>
  <c r="K99" i="5"/>
  <c r="U99" i="5" s="1"/>
  <c r="F100" i="5"/>
  <c r="AZ100" i="5" s="1"/>
  <c r="L101" i="5"/>
  <c r="G102" i="5"/>
  <c r="AZ102" i="5" s="1"/>
  <c r="L103" i="5"/>
  <c r="G104" i="5"/>
  <c r="G106" i="5"/>
  <c r="G108" i="5"/>
  <c r="K109" i="5"/>
  <c r="F110" i="5"/>
  <c r="AZ110" i="5" s="1"/>
  <c r="J111" i="5"/>
  <c r="G113" i="5"/>
  <c r="J114" i="5"/>
  <c r="C115" i="5"/>
  <c r="E116" i="5"/>
  <c r="I117" i="5"/>
  <c r="W117" i="5" s="1"/>
  <c r="C118" i="5"/>
  <c r="H119" i="5"/>
  <c r="C120" i="5"/>
  <c r="I121" i="5"/>
  <c r="W121" i="5" s="1"/>
  <c r="C122" i="5"/>
  <c r="I123" i="5"/>
  <c r="D124" i="5"/>
  <c r="I125" i="5"/>
  <c r="W125" i="5" s="1"/>
  <c r="C126" i="5"/>
  <c r="C128" i="5"/>
  <c r="I129" i="5"/>
  <c r="I131" i="5"/>
  <c r="W131" i="5" s="1"/>
  <c r="D132" i="5"/>
  <c r="H133" i="5"/>
  <c r="C134" i="5"/>
  <c r="L134" i="5"/>
  <c r="G136" i="5"/>
  <c r="K137" i="5"/>
  <c r="U137" i="5" s="1"/>
  <c r="F138" i="5"/>
  <c r="L139" i="5"/>
  <c r="G140" i="5"/>
  <c r="J141" i="5"/>
  <c r="E142" i="5"/>
  <c r="K143" i="5"/>
  <c r="F144" i="5"/>
  <c r="K145" i="5"/>
  <c r="E146" i="5"/>
  <c r="AH146" i="5" s="1"/>
  <c r="AI146" i="5" s="1"/>
  <c r="L147" i="5"/>
  <c r="K148" i="5"/>
  <c r="H150" i="5"/>
  <c r="F152" i="5"/>
  <c r="L161" i="5"/>
  <c r="K165" i="5"/>
  <c r="K200" i="5"/>
  <c r="E207" i="5"/>
  <c r="E213" i="5"/>
  <c r="C220" i="5"/>
  <c r="E225" i="5"/>
  <c r="AL230" i="5"/>
  <c r="BL237" i="5"/>
  <c r="I70" i="5"/>
  <c r="W70" i="5" s="1"/>
  <c r="F71" i="5"/>
  <c r="L72" i="5"/>
  <c r="H73" i="5"/>
  <c r="K74" i="5"/>
  <c r="J76" i="5"/>
  <c r="J78" i="5"/>
  <c r="F79" i="5"/>
  <c r="K81" i="5"/>
  <c r="H82" i="5"/>
  <c r="C83" i="5"/>
  <c r="I84" i="5"/>
  <c r="W84" i="5" s="1"/>
  <c r="E85" i="5"/>
  <c r="AH85" i="5" s="1"/>
  <c r="AI85" i="5" s="1"/>
  <c r="K86" i="5"/>
  <c r="G87" i="5"/>
  <c r="D88" i="5"/>
  <c r="E91" i="5"/>
  <c r="Z91" i="5" s="1"/>
  <c r="AA91" i="5" s="1"/>
  <c r="J92" i="5"/>
  <c r="D93" i="5"/>
  <c r="H94" i="5"/>
  <c r="I95" i="5"/>
  <c r="W95" i="5" s="1"/>
  <c r="L96" i="5"/>
  <c r="E97" i="5"/>
  <c r="I98" i="5"/>
  <c r="W98" i="5" s="1"/>
  <c r="C99" i="5"/>
  <c r="I100" i="5"/>
  <c r="W100" i="5" s="1"/>
  <c r="D101" i="5"/>
  <c r="J102" i="5"/>
  <c r="D103" i="5"/>
  <c r="I104" i="5"/>
  <c r="D105" i="5"/>
  <c r="AQ105" i="5" s="1"/>
  <c r="J106" i="5"/>
  <c r="D107" i="5"/>
  <c r="J108" i="5"/>
  <c r="E109" i="5"/>
  <c r="L111" i="5"/>
  <c r="F112" i="5"/>
  <c r="I113" i="5"/>
  <c r="E115" i="5"/>
  <c r="AH115" i="5" s="1"/>
  <c r="AI115" i="5" s="1"/>
  <c r="H116" i="5"/>
  <c r="L117" i="5"/>
  <c r="F118" i="5"/>
  <c r="AZ118" i="5" s="1"/>
  <c r="K119" i="5"/>
  <c r="F120" i="5"/>
  <c r="L121" i="5"/>
  <c r="F122" i="5"/>
  <c r="L123" i="5"/>
  <c r="L125" i="5"/>
  <c r="F126" i="5"/>
  <c r="L127" i="5"/>
  <c r="AB127" i="5" s="1"/>
  <c r="F128" i="5"/>
  <c r="L129" i="5"/>
  <c r="F130" i="5"/>
  <c r="AZ130" i="5" s="1"/>
  <c r="L131" i="5"/>
  <c r="G132" i="5"/>
  <c r="K133" i="5"/>
  <c r="E134" i="5"/>
  <c r="AH134" i="5" s="1"/>
  <c r="AI134" i="5" s="1"/>
  <c r="G135" i="5"/>
  <c r="J136" i="5"/>
  <c r="I138" i="5"/>
  <c r="W138" i="5" s="1"/>
  <c r="D139" i="5"/>
  <c r="H142" i="5"/>
  <c r="I144" i="5"/>
  <c r="W144" i="5" s="1"/>
  <c r="C145" i="5"/>
  <c r="BL145" i="5" s="1"/>
  <c r="H146" i="5"/>
  <c r="C147" i="5"/>
  <c r="BL147" i="5" s="1"/>
  <c r="BN147" i="5" s="1"/>
  <c r="J154" i="5"/>
  <c r="L171" i="5"/>
  <c r="I177" i="5"/>
  <c r="E179" i="5"/>
  <c r="D181" i="5"/>
  <c r="C183" i="5"/>
  <c r="C185" i="5"/>
  <c r="H187" i="5"/>
  <c r="I189" i="5"/>
  <c r="W189" i="5" s="1"/>
  <c r="I191" i="5"/>
  <c r="W191" i="5" s="1"/>
  <c r="I193" i="5"/>
  <c r="H195" i="5"/>
  <c r="J197" i="5"/>
  <c r="E204" i="5"/>
  <c r="AH204" i="5" s="1"/>
  <c r="AI204" i="5" s="1"/>
  <c r="I215" i="5"/>
  <c r="W215" i="5" s="1"/>
  <c r="H222" i="5"/>
  <c r="G71" i="5"/>
  <c r="C72" i="5"/>
  <c r="I73" i="5"/>
  <c r="W73" i="5" s="1"/>
  <c r="C74" i="5"/>
  <c r="L74" i="5"/>
  <c r="F75" i="5"/>
  <c r="K76" i="5"/>
  <c r="F77" i="5"/>
  <c r="AZ77" i="5" s="1"/>
  <c r="K78" i="5"/>
  <c r="AL78" i="5" s="1"/>
  <c r="G79" i="5"/>
  <c r="C80" i="5"/>
  <c r="L81" i="5"/>
  <c r="I82" i="5"/>
  <c r="W82" i="5" s="1"/>
  <c r="D83" i="5"/>
  <c r="J84" i="5"/>
  <c r="F85" i="5"/>
  <c r="L86" i="5"/>
  <c r="H87" i="5"/>
  <c r="E88" i="5"/>
  <c r="H89" i="5"/>
  <c r="L90" i="5"/>
  <c r="F91" i="5"/>
  <c r="AZ91" i="5" s="1"/>
  <c r="J95" i="5"/>
  <c r="C96" i="5"/>
  <c r="BL96" i="5" s="1"/>
  <c r="F97" i="5"/>
  <c r="J98" i="5"/>
  <c r="D99" i="5"/>
  <c r="J100" i="5"/>
  <c r="K102" i="5"/>
  <c r="E103" i="5"/>
  <c r="J104" i="5"/>
  <c r="E105" i="5"/>
  <c r="E107" i="5"/>
  <c r="K108" i="5"/>
  <c r="U108" i="5" s="1"/>
  <c r="F109" i="5"/>
  <c r="H110" i="5"/>
  <c r="C111" i="5"/>
  <c r="G112" i="5"/>
  <c r="C114" i="5"/>
  <c r="F115" i="5"/>
  <c r="AZ115" i="5" s="1"/>
  <c r="I116" i="5"/>
  <c r="W116" i="5" s="1"/>
  <c r="G118" i="5"/>
  <c r="L119" i="5"/>
  <c r="G120" i="5"/>
  <c r="AZ120" i="5" s="1"/>
  <c r="G122" i="5"/>
  <c r="G124" i="5"/>
  <c r="AZ124" i="5" s="1"/>
  <c r="G126" i="5"/>
  <c r="AZ126" i="5" s="1"/>
  <c r="G128" i="5"/>
  <c r="G130" i="5"/>
  <c r="H132" i="5"/>
  <c r="L133" i="5"/>
  <c r="H135" i="5"/>
  <c r="D137" i="5"/>
  <c r="J138" i="5"/>
  <c r="E139" i="5"/>
  <c r="J140" i="5"/>
  <c r="C141" i="5"/>
  <c r="I142" i="5"/>
  <c r="W142" i="5" s="1"/>
  <c r="C143" i="5"/>
  <c r="J144" i="5"/>
  <c r="D145" i="5"/>
  <c r="I146" i="5"/>
  <c r="W146" i="5" s="1"/>
  <c r="D147" i="5"/>
  <c r="E156" i="5"/>
  <c r="AH156" i="5" s="1"/>
  <c r="AI156" i="5" s="1"/>
  <c r="C158" i="5"/>
  <c r="G160" i="5"/>
  <c r="AZ160" i="5" s="1"/>
  <c r="G164" i="5"/>
  <c r="I181" i="5"/>
  <c r="W181" i="5" s="1"/>
  <c r="H183" i="5"/>
  <c r="H185" i="5"/>
  <c r="E199" i="5"/>
  <c r="AB199" i="5" s="1"/>
  <c r="K204" i="5"/>
  <c r="L222" i="5"/>
  <c r="K70" i="5"/>
  <c r="D72" i="5"/>
  <c r="D74" i="5"/>
  <c r="AQ74" i="5" s="1"/>
  <c r="BA74" i="5" s="1"/>
  <c r="G75" i="5"/>
  <c r="G77" i="5"/>
  <c r="L78" i="5"/>
  <c r="AQ78" i="5" s="1"/>
  <c r="H79" i="5"/>
  <c r="D80" i="5"/>
  <c r="AQ80" i="5" s="1"/>
  <c r="J82" i="5"/>
  <c r="E83" i="5"/>
  <c r="AH83" i="5" s="1"/>
  <c r="AI83" i="5" s="1"/>
  <c r="K84" i="5"/>
  <c r="U84" i="5" s="1"/>
  <c r="G85" i="5"/>
  <c r="I87" i="5"/>
  <c r="W87" i="5" s="1"/>
  <c r="F88" i="5"/>
  <c r="AZ88" i="5" s="1"/>
  <c r="I89" i="5"/>
  <c r="W89" i="5" s="1"/>
  <c r="C90" i="5"/>
  <c r="G91" i="5"/>
  <c r="K92" i="5"/>
  <c r="E93" i="5"/>
  <c r="I94" i="5"/>
  <c r="W94" i="5" s="1"/>
  <c r="K95" i="5"/>
  <c r="D96" i="5"/>
  <c r="E99" i="5"/>
  <c r="K100" i="5"/>
  <c r="E101" i="5"/>
  <c r="AH101" i="5" s="1"/>
  <c r="AI101" i="5" s="1"/>
  <c r="L102" i="5"/>
  <c r="F103" i="5"/>
  <c r="AZ103" i="5" s="1"/>
  <c r="K104" i="5"/>
  <c r="F105" i="5"/>
  <c r="AZ105" i="5" s="1"/>
  <c r="K106" i="5"/>
  <c r="F107" i="5"/>
  <c r="L108" i="5"/>
  <c r="I110" i="5"/>
  <c r="W110" i="5" s="1"/>
  <c r="D111" i="5"/>
  <c r="J113" i="5"/>
  <c r="D114" i="5"/>
  <c r="G115" i="5"/>
  <c r="J116" i="5"/>
  <c r="C117" i="5"/>
  <c r="H118" i="5"/>
  <c r="H120" i="5"/>
  <c r="C121" i="5"/>
  <c r="H122" i="5"/>
  <c r="H124" i="5"/>
  <c r="C125" i="5"/>
  <c r="H126" i="5"/>
  <c r="C127" i="5"/>
  <c r="BL127" i="5" s="1"/>
  <c r="H128" i="5"/>
  <c r="H130" i="5"/>
  <c r="I132" i="5"/>
  <c r="W132" i="5" s="1"/>
  <c r="F134" i="5"/>
  <c r="AZ134" i="5" s="1"/>
  <c r="I135" i="5"/>
  <c r="AL135" i="5" s="1"/>
  <c r="K136" i="5"/>
  <c r="U136" i="5" s="1"/>
  <c r="K138" i="5"/>
  <c r="F139" i="5"/>
  <c r="AZ139" i="5" s="1"/>
  <c r="D141" i="5"/>
  <c r="AQ141" i="5" s="1"/>
  <c r="D143" i="5"/>
  <c r="K144" i="5"/>
  <c r="E145" i="5"/>
  <c r="J146" i="5"/>
  <c r="E147" i="5"/>
  <c r="AH147" i="5" s="1"/>
  <c r="AI147" i="5" s="1"/>
  <c r="F151" i="5"/>
  <c r="I156" i="5"/>
  <c r="W156" i="5" s="1"/>
  <c r="H158" i="5"/>
  <c r="L160" i="5"/>
  <c r="L164" i="5"/>
  <c r="K199" i="5"/>
  <c r="E206" i="5"/>
  <c r="AH206" i="5" s="1"/>
  <c r="AI206" i="5" s="1"/>
  <c r="G212" i="5"/>
  <c r="K217" i="5"/>
  <c r="F224" i="5"/>
  <c r="L70" i="5"/>
  <c r="H71" i="5"/>
  <c r="E72" i="5"/>
  <c r="J73" i="5"/>
  <c r="AL73" i="5" s="1"/>
  <c r="L76" i="5"/>
  <c r="H77" i="5"/>
  <c r="I79" i="5"/>
  <c r="W79" i="5" s="1"/>
  <c r="E80" i="5"/>
  <c r="L84" i="5"/>
  <c r="H85" i="5"/>
  <c r="C86" i="5"/>
  <c r="BL86" i="5" s="1"/>
  <c r="BP86" i="5" s="1"/>
  <c r="J87" i="5"/>
  <c r="G88" i="5"/>
  <c r="J89" i="5"/>
  <c r="D90" i="5"/>
  <c r="H91" i="5"/>
  <c r="C92" i="5"/>
  <c r="L92" i="5"/>
  <c r="F93" i="5"/>
  <c r="AZ93" i="5" s="1"/>
  <c r="J94" i="5"/>
  <c r="L95" i="5"/>
  <c r="AQ95" i="5" s="1"/>
  <c r="BA95" i="5" s="1"/>
  <c r="E96" i="5"/>
  <c r="G97" i="5"/>
  <c r="K98" i="5"/>
  <c r="F99" i="5"/>
  <c r="L100" i="5"/>
  <c r="F101" i="5"/>
  <c r="G103" i="5"/>
  <c r="L104" i="5"/>
  <c r="G105" i="5"/>
  <c r="L106" i="5"/>
  <c r="G107" i="5"/>
  <c r="AZ107" i="5" s="1"/>
  <c r="G109" i="5"/>
  <c r="J110" i="5"/>
  <c r="E111" i="5"/>
  <c r="H112" i="5"/>
  <c r="K113" i="5"/>
  <c r="H115" i="5"/>
  <c r="D117" i="5"/>
  <c r="I118" i="5"/>
  <c r="I120" i="5"/>
  <c r="W120" i="5" s="1"/>
  <c r="D121" i="5"/>
  <c r="I122" i="5"/>
  <c r="C123" i="5"/>
  <c r="I124" i="5"/>
  <c r="D125" i="5"/>
  <c r="I126" i="5"/>
  <c r="D127" i="5"/>
  <c r="I128" i="5"/>
  <c r="W128" i="5" s="1"/>
  <c r="C129" i="5"/>
  <c r="BL129" i="5" s="1"/>
  <c r="BP129" i="5" s="1"/>
  <c r="I130" i="5"/>
  <c r="W130" i="5" s="1"/>
  <c r="C131" i="5"/>
  <c r="BL131" i="5" s="1"/>
  <c r="BP131" i="5" s="1"/>
  <c r="C133" i="5"/>
  <c r="BL133" i="5" s="1"/>
  <c r="BN133" i="5" s="1"/>
  <c r="G134" i="5"/>
  <c r="L136" i="5"/>
  <c r="E137" i="5"/>
  <c r="L138" i="5"/>
  <c r="K140" i="5"/>
  <c r="AL140" i="5" s="1"/>
  <c r="J142" i="5"/>
  <c r="E143" i="5"/>
  <c r="F145" i="5"/>
  <c r="K146" i="5"/>
  <c r="F147" i="5"/>
  <c r="AZ147" i="5" s="1"/>
  <c r="I149" i="5"/>
  <c r="W149" i="5" s="1"/>
  <c r="L151" i="5"/>
  <c r="G162" i="5"/>
  <c r="E166" i="5"/>
  <c r="E201" i="5"/>
  <c r="AH201" i="5" s="1"/>
  <c r="AI201" i="5" s="1"/>
  <c r="AJ201" i="5" s="1"/>
  <c r="K206" i="5"/>
  <c r="AL206" i="5" s="1"/>
  <c r="L212" i="5"/>
  <c r="E219" i="5"/>
  <c r="AH219" i="5" s="1"/>
  <c r="AI219" i="5" s="1"/>
  <c r="K224" i="5"/>
  <c r="AH231" i="5"/>
  <c r="AI231" i="5" s="1"/>
  <c r="AD231" i="5" s="1"/>
  <c r="J148" i="5"/>
  <c r="D149" i="5"/>
  <c r="I150" i="5"/>
  <c r="C151" i="5"/>
  <c r="G152" i="5"/>
  <c r="L153" i="5"/>
  <c r="F154" i="5"/>
  <c r="J157" i="5"/>
  <c r="D158" i="5"/>
  <c r="I159" i="5"/>
  <c r="C160" i="5"/>
  <c r="G161" i="5"/>
  <c r="H163" i="5"/>
  <c r="C164" i="5"/>
  <c r="G165" i="5"/>
  <c r="K166" i="5"/>
  <c r="D167" i="5"/>
  <c r="J168" i="5"/>
  <c r="E169" i="5"/>
  <c r="AH169" i="5" s="1"/>
  <c r="AI169" i="5" s="1"/>
  <c r="I170" i="5"/>
  <c r="W170" i="5" s="1"/>
  <c r="Z170" i="5" s="1"/>
  <c r="AA170" i="5" s="1"/>
  <c r="D171" i="5"/>
  <c r="AQ171" i="5" s="1"/>
  <c r="H172" i="5"/>
  <c r="C173" i="5"/>
  <c r="H174" i="5"/>
  <c r="C175" i="5"/>
  <c r="L175" i="5"/>
  <c r="E176" i="5"/>
  <c r="J177" i="5"/>
  <c r="E178" i="5"/>
  <c r="J179" i="5"/>
  <c r="E180" i="5"/>
  <c r="AH180" i="5" s="1"/>
  <c r="AI180" i="5" s="1"/>
  <c r="J181" i="5"/>
  <c r="D182" i="5"/>
  <c r="I183" i="5"/>
  <c r="D184" i="5"/>
  <c r="I185" i="5"/>
  <c r="W185" i="5" s="1"/>
  <c r="C186" i="5"/>
  <c r="I187" i="5"/>
  <c r="W187" i="5" s="1"/>
  <c r="D188" i="5"/>
  <c r="J189" i="5"/>
  <c r="E190" i="5"/>
  <c r="AH190" i="5" s="1"/>
  <c r="AI190" i="5" s="1"/>
  <c r="J191" i="5"/>
  <c r="AL191" i="5" s="1"/>
  <c r="E192" i="5"/>
  <c r="AH192" i="5" s="1"/>
  <c r="AI192" i="5" s="1"/>
  <c r="J193" i="5"/>
  <c r="D194" i="5"/>
  <c r="I195" i="5"/>
  <c r="W195" i="5" s="1"/>
  <c r="D196" i="5"/>
  <c r="K197" i="5"/>
  <c r="E198" i="5"/>
  <c r="AH198" i="5" s="1"/>
  <c r="AI198" i="5" s="1"/>
  <c r="F200" i="5"/>
  <c r="K201" i="5"/>
  <c r="F202" i="5"/>
  <c r="F204" i="5"/>
  <c r="L205" i="5"/>
  <c r="F206" i="5"/>
  <c r="L207" i="5"/>
  <c r="H209" i="5"/>
  <c r="C210" i="5"/>
  <c r="H211" i="5"/>
  <c r="C212" i="5"/>
  <c r="F213" i="5"/>
  <c r="K214" i="5"/>
  <c r="E215" i="5"/>
  <c r="AH215" i="5" s="1"/>
  <c r="AI215" i="5" s="1"/>
  <c r="H216" i="5"/>
  <c r="L217" i="5"/>
  <c r="G218" i="5"/>
  <c r="K219" i="5"/>
  <c r="U219" i="5" s="1"/>
  <c r="F221" i="5"/>
  <c r="I222" i="5"/>
  <c r="W222" i="5" s="1"/>
  <c r="Z222" i="5" s="1"/>
  <c r="AA222" i="5" s="1"/>
  <c r="L223" i="5"/>
  <c r="K225" i="5"/>
  <c r="AZ226" i="5"/>
  <c r="AB229" i="5"/>
  <c r="AW229" i="5" s="1"/>
  <c r="AZ230" i="5"/>
  <c r="AZ232" i="5"/>
  <c r="AH234" i="5"/>
  <c r="AI234" i="5" s="1"/>
  <c r="AD234" i="5" s="1"/>
  <c r="E149" i="5"/>
  <c r="H152" i="5"/>
  <c r="G154" i="5"/>
  <c r="L155" i="5"/>
  <c r="F156" i="5"/>
  <c r="K157" i="5"/>
  <c r="U157" i="5" s="1"/>
  <c r="E158" i="5"/>
  <c r="AH158" i="5" s="1"/>
  <c r="AI158" i="5" s="1"/>
  <c r="J159" i="5"/>
  <c r="D160" i="5"/>
  <c r="H161" i="5"/>
  <c r="C162" i="5"/>
  <c r="I163" i="5"/>
  <c r="W163" i="5" s="1"/>
  <c r="D164" i="5"/>
  <c r="H165" i="5"/>
  <c r="E167" i="5"/>
  <c r="AH167" i="5" s="1"/>
  <c r="AI167" i="5" s="1"/>
  <c r="K168" i="5"/>
  <c r="F169" i="5"/>
  <c r="AZ169" i="5" s="1"/>
  <c r="J170" i="5"/>
  <c r="I172" i="5"/>
  <c r="W172" i="5" s="1"/>
  <c r="D173" i="5"/>
  <c r="I174" i="5"/>
  <c r="W174" i="5" s="1"/>
  <c r="F176" i="5"/>
  <c r="K177" i="5"/>
  <c r="AL177" i="5" s="1"/>
  <c r="F178" i="5"/>
  <c r="AZ178" i="5" s="1"/>
  <c r="K179" i="5"/>
  <c r="U179" i="5" s="1"/>
  <c r="F180" i="5"/>
  <c r="AZ180" i="5" s="1"/>
  <c r="K181" i="5"/>
  <c r="U181" i="5" s="1"/>
  <c r="E182" i="5"/>
  <c r="AH182" i="5" s="1"/>
  <c r="AI182" i="5" s="1"/>
  <c r="J183" i="5"/>
  <c r="E184" i="5"/>
  <c r="J185" i="5"/>
  <c r="D186" i="5"/>
  <c r="J187" i="5"/>
  <c r="E188" i="5"/>
  <c r="K189" i="5"/>
  <c r="F190" i="5"/>
  <c r="K191" i="5"/>
  <c r="U191" i="5" s="1"/>
  <c r="F192" i="5"/>
  <c r="AZ192" i="5" s="1"/>
  <c r="K193" i="5"/>
  <c r="E194" i="5"/>
  <c r="AH194" i="5" s="1"/>
  <c r="AI194" i="5" s="1"/>
  <c r="AJ194" i="5" s="1"/>
  <c r="J195" i="5"/>
  <c r="E196" i="5"/>
  <c r="AH196" i="5" s="1"/>
  <c r="AI196" i="5" s="1"/>
  <c r="L197" i="5"/>
  <c r="F198" i="5"/>
  <c r="L199" i="5"/>
  <c r="G200" i="5"/>
  <c r="L201" i="5"/>
  <c r="G202" i="5"/>
  <c r="L203" i="5"/>
  <c r="G204" i="5"/>
  <c r="AZ204" i="5" s="1"/>
  <c r="G206" i="5"/>
  <c r="F208" i="5"/>
  <c r="I209" i="5"/>
  <c r="W209" i="5" s="1"/>
  <c r="Z209" i="5" s="1"/>
  <c r="AA209" i="5" s="1"/>
  <c r="D210" i="5"/>
  <c r="I211" i="5"/>
  <c r="W211" i="5" s="1"/>
  <c r="G213" i="5"/>
  <c r="L214" i="5"/>
  <c r="F215" i="5"/>
  <c r="C217" i="5"/>
  <c r="BL217" i="5" s="1"/>
  <c r="H218" i="5"/>
  <c r="D220" i="5"/>
  <c r="J222" i="5"/>
  <c r="G224" i="5"/>
  <c r="L225" i="5"/>
  <c r="Z225" i="5" s="1"/>
  <c r="AA225" i="5" s="1"/>
  <c r="AL237" i="5"/>
  <c r="L148" i="5"/>
  <c r="F149" i="5"/>
  <c r="J150" i="5"/>
  <c r="D151" i="5"/>
  <c r="I152" i="5"/>
  <c r="W152" i="5" s="1"/>
  <c r="C153" i="5"/>
  <c r="H154" i="5"/>
  <c r="L157" i="5"/>
  <c r="F158" i="5"/>
  <c r="AZ158" i="5" s="1"/>
  <c r="K159" i="5"/>
  <c r="U159" i="5" s="1"/>
  <c r="E160" i="5"/>
  <c r="Z160" i="5" s="1"/>
  <c r="AA160" i="5" s="1"/>
  <c r="I161" i="5"/>
  <c r="D162" i="5"/>
  <c r="AQ162" i="5" s="1"/>
  <c r="J163" i="5"/>
  <c r="E164" i="5"/>
  <c r="I165" i="5"/>
  <c r="W165" i="5" s="1"/>
  <c r="L166" i="5"/>
  <c r="F167" i="5"/>
  <c r="AZ167" i="5" s="1"/>
  <c r="L168" i="5"/>
  <c r="K170" i="5"/>
  <c r="E171" i="5"/>
  <c r="J172" i="5"/>
  <c r="E173" i="5"/>
  <c r="AQ173" i="5" s="1"/>
  <c r="BA173" i="5" s="1"/>
  <c r="J174" i="5"/>
  <c r="AL174" i="5" s="1"/>
  <c r="D175" i="5"/>
  <c r="AQ175" i="5" s="1"/>
  <c r="L177" i="5"/>
  <c r="G178" i="5"/>
  <c r="L179" i="5"/>
  <c r="G180" i="5"/>
  <c r="L181" i="5"/>
  <c r="F182" i="5"/>
  <c r="K183" i="5"/>
  <c r="K185" i="5"/>
  <c r="E186" i="5"/>
  <c r="AH186" i="5" s="1"/>
  <c r="AI186" i="5" s="1"/>
  <c r="K187" i="5"/>
  <c r="AL187" i="5" s="1"/>
  <c r="F188" i="5"/>
  <c r="AZ188" i="5" s="1"/>
  <c r="L189" i="5"/>
  <c r="L191" i="5"/>
  <c r="G192" i="5"/>
  <c r="L193" i="5"/>
  <c r="K195" i="5"/>
  <c r="F196" i="5"/>
  <c r="AZ196" i="5" s="1"/>
  <c r="G198" i="5"/>
  <c r="H200" i="5"/>
  <c r="H202" i="5"/>
  <c r="H204" i="5"/>
  <c r="C205" i="5"/>
  <c r="H206" i="5"/>
  <c r="G208" i="5"/>
  <c r="AZ208" i="5" s="1"/>
  <c r="J209" i="5"/>
  <c r="E210" i="5"/>
  <c r="J211" i="5"/>
  <c r="D212" i="5"/>
  <c r="H213" i="5"/>
  <c r="I216" i="5"/>
  <c r="W216" i="5" s="1"/>
  <c r="D217" i="5"/>
  <c r="I218" i="5"/>
  <c r="W218" i="5" s="1"/>
  <c r="Z218" i="5" s="1"/>
  <c r="AA218" i="5" s="1"/>
  <c r="C219" i="5"/>
  <c r="L219" i="5"/>
  <c r="E220" i="5"/>
  <c r="G221" i="5"/>
  <c r="C223" i="5"/>
  <c r="H224" i="5"/>
  <c r="C225" i="5"/>
  <c r="BL225" i="5" s="1"/>
  <c r="BL227" i="5"/>
  <c r="W228" i="5"/>
  <c r="Z228" i="5" s="1"/>
  <c r="AA228" i="5" s="1"/>
  <c r="AZ236" i="5"/>
  <c r="G149" i="5"/>
  <c r="K150" i="5"/>
  <c r="AL150" i="5" s="1"/>
  <c r="J152" i="5"/>
  <c r="AL152" i="5" s="1"/>
  <c r="C155" i="5"/>
  <c r="G156" i="5"/>
  <c r="L159" i="5"/>
  <c r="J161" i="5"/>
  <c r="E162" i="5"/>
  <c r="AH162" i="5" s="1"/>
  <c r="AI162" i="5" s="1"/>
  <c r="K163" i="5"/>
  <c r="F164" i="5"/>
  <c r="J165" i="5"/>
  <c r="C166" i="5"/>
  <c r="G167" i="5"/>
  <c r="G169" i="5"/>
  <c r="L170" i="5"/>
  <c r="F171" i="5"/>
  <c r="AZ171" i="5" s="1"/>
  <c r="K172" i="5"/>
  <c r="F173" i="5"/>
  <c r="AZ173" i="5" s="1"/>
  <c r="K174" i="5"/>
  <c r="E175" i="5"/>
  <c r="AH175" i="5" s="1"/>
  <c r="AI175" i="5" s="1"/>
  <c r="G176" i="5"/>
  <c r="H178" i="5"/>
  <c r="C179" i="5"/>
  <c r="H180" i="5"/>
  <c r="G182" i="5"/>
  <c r="L183" i="5"/>
  <c r="F184" i="5"/>
  <c r="AZ184" i="5" s="1"/>
  <c r="L185" i="5"/>
  <c r="F186" i="5"/>
  <c r="AZ186" i="5" s="1"/>
  <c r="L187" i="5"/>
  <c r="G190" i="5"/>
  <c r="F194" i="5"/>
  <c r="L195" i="5"/>
  <c r="G196" i="5"/>
  <c r="H198" i="5"/>
  <c r="C199" i="5"/>
  <c r="BL199" i="5" s="1"/>
  <c r="I200" i="5"/>
  <c r="W200" i="5" s="1"/>
  <c r="C201" i="5"/>
  <c r="I202" i="5"/>
  <c r="W202" i="5" s="1"/>
  <c r="C203" i="5"/>
  <c r="BL203" i="5" s="1"/>
  <c r="BP203" i="5" s="1"/>
  <c r="I204" i="5"/>
  <c r="D205" i="5"/>
  <c r="I206" i="5"/>
  <c r="W206" i="5" s="1"/>
  <c r="C207" i="5"/>
  <c r="H208" i="5"/>
  <c r="K209" i="5"/>
  <c r="F210" i="5"/>
  <c r="K211" i="5"/>
  <c r="E212" i="5"/>
  <c r="I213" i="5"/>
  <c r="C214" i="5"/>
  <c r="G215" i="5"/>
  <c r="J216" i="5"/>
  <c r="E217" i="5"/>
  <c r="J218" i="5"/>
  <c r="F220" i="5"/>
  <c r="H221" i="5"/>
  <c r="K222" i="5"/>
  <c r="D223" i="5"/>
  <c r="I224" i="5"/>
  <c r="W224" i="5" s="1"/>
  <c r="D225" i="5"/>
  <c r="W226" i="5"/>
  <c r="Z226" i="5" s="1"/>
  <c r="AA226" i="5" s="1"/>
  <c r="BL229" i="5"/>
  <c r="BP229" i="5" s="1"/>
  <c r="W230" i="5"/>
  <c r="Z230" i="5" s="1"/>
  <c r="AA230" i="5" s="1"/>
  <c r="BL231" i="5"/>
  <c r="W232" i="5"/>
  <c r="Z232" i="5" s="1"/>
  <c r="AA232" i="5" s="1"/>
  <c r="BL233" i="5"/>
  <c r="BP233" i="5" s="1"/>
  <c r="H149" i="5"/>
  <c r="C150" i="5"/>
  <c r="L150" i="5"/>
  <c r="E151" i="5"/>
  <c r="AH151" i="5" s="1"/>
  <c r="AI151" i="5" s="1"/>
  <c r="K152" i="5"/>
  <c r="D153" i="5"/>
  <c r="I154" i="5"/>
  <c r="D155" i="5"/>
  <c r="H156" i="5"/>
  <c r="C157" i="5"/>
  <c r="G158" i="5"/>
  <c r="F160" i="5"/>
  <c r="K161" i="5"/>
  <c r="F162" i="5"/>
  <c r="L163" i="5"/>
  <c r="D166" i="5"/>
  <c r="H167" i="5"/>
  <c r="C168" i="5"/>
  <c r="L172" i="5"/>
  <c r="G173" i="5"/>
  <c r="L174" i="5"/>
  <c r="H176" i="5"/>
  <c r="I178" i="5"/>
  <c r="W178" i="5" s="1"/>
  <c r="D179" i="5"/>
  <c r="I180" i="5"/>
  <c r="C181" i="5"/>
  <c r="H182" i="5"/>
  <c r="G184" i="5"/>
  <c r="G186" i="5"/>
  <c r="G188" i="5"/>
  <c r="H190" i="5"/>
  <c r="C191" i="5"/>
  <c r="BL191" i="5" s="1"/>
  <c r="H192" i="5"/>
  <c r="G194" i="5"/>
  <c r="H196" i="5"/>
  <c r="C197" i="5"/>
  <c r="I198" i="5"/>
  <c r="W198" i="5" s="1"/>
  <c r="D199" i="5"/>
  <c r="J200" i="5"/>
  <c r="D201" i="5"/>
  <c r="J202" i="5"/>
  <c r="D203" i="5"/>
  <c r="J204" i="5"/>
  <c r="E205" i="5"/>
  <c r="AH205" i="5" s="1"/>
  <c r="AI205" i="5" s="1"/>
  <c r="J206" i="5"/>
  <c r="D207" i="5"/>
  <c r="I208" i="5"/>
  <c r="W208" i="5" s="1"/>
  <c r="L209" i="5"/>
  <c r="G210" i="5"/>
  <c r="L211" i="5"/>
  <c r="F212" i="5"/>
  <c r="AZ212" i="5" s="1"/>
  <c r="J213" i="5"/>
  <c r="D214" i="5"/>
  <c r="H215" i="5"/>
  <c r="C216" i="5"/>
  <c r="BL216" i="5" s="1"/>
  <c r="K216" i="5"/>
  <c r="F217" i="5"/>
  <c r="AZ217" i="5" s="1"/>
  <c r="K218" i="5"/>
  <c r="AL218" i="5" s="1"/>
  <c r="D219" i="5"/>
  <c r="G220" i="5"/>
  <c r="I221" i="5"/>
  <c r="W221" i="5" s="1"/>
  <c r="J224" i="5"/>
  <c r="AB227" i="5"/>
  <c r="U228" i="5"/>
  <c r="AQ229" i="5"/>
  <c r="BA229" i="5" s="1"/>
  <c r="W234" i="5"/>
  <c r="BL235" i="5"/>
  <c r="W236" i="5"/>
  <c r="J149" i="5"/>
  <c r="D150" i="5"/>
  <c r="AQ150" i="5" s="1"/>
  <c r="G151" i="5"/>
  <c r="L152" i="5"/>
  <c r="F153" i="5"/>
  <c r="K154" i="5"/>
  <c r="F155" i="5"/>
  <c r="J156" i="5"/>
  <c r="E157" i="5"/>
  <c r="I158" i="5"/>
  <c r="D159" i="5"/>
  <c r="H160" i="5"/>
  <c r="H162" i="5"/>
  <c r="C163" i="5"/>
  <c r="L165" i="5"/>
  <c r="F166" i="5"/>
  <c r="J167" i="5"/>
  <c r="E168" i="5"/>
  <c r="I169" i="5"/>
  <c r="W169" i="5" s="1"/>
  <c r="D170" i="5"/>
  <c r="H171" i="5"/>
  <c r="I173" i="5"/>
  <c r="W173" i="5" s="1"/>
  <c r="D174" i="5"/>
  <c r="G175" i="5"/>
  <c r="J176" i="5"/>
  <c r="D177" i="5"/>
  <c r="AQ177" i="5" s="1"/>
  <c r="K178" i="5"/>
  <c r="F179" i="5"/>
  <c r="K180" i="5"/>
  <c r="E181" i="5"/>
  <c r="J182" i="5"/>
  <c r="D183" i="5"/>
  <c r="I184" i="5"/>
  <c r="W184" i="5" s="1"/>
  <c r="D185" i="5"/>
  <c r="I186" i="5"/>
  <c r="W186" i="5" s="1"/>
  <c r="D187" i="5"/>
  <c r="I188" i="5"/>
  <c r="D189" i="5"/>
  <c r="J190" i="5"/>
  <c r="E191" i="5"/>
  <c r="AH191" i="5" s="1"/>
  <c r="AI191" i="5" s="1"/>
  <c r="J192" i="5"/>
  <c r="D193" i="5"/>
  <c r="I194" i="5"/>
  <c r="W194" i="5" s="1"/>
  <c r="D195" i="5"/>
  <c r="J196" i="5"/>
  <c r="E197" i="5"/>
  <c r="K198" i="5"/>
  <c r="AL198" i="5" s="1"/>
  <c r="F199" i="5"/>
  <c r="L200" i="5"/>
  <c r="Z200" i="5" s="1"/>
  <c r="AA200" i="5" s="1"/>
  <c r="F201" i="5"/>
  <c r="AZ201" i="5" s="1"/>
  <c r="L202" i="5"/>
  <c r="F203" i="5"/>
  <c r="L204" i="5"/>
  <c r="G205" i="5"/>
  <c r="L206" i="5"/>
  <c r="F207" i="5"/>
  <c r="AZ207" i="5" s="1"/>
  <c r="J208" i="5"/>
  <c r="D209" i="5"/>
  <c r="I210" i="5"/>
  <c r="W210" i="5" s="1"/>
  <c r="C211" i="5"/>
  <c r="BL211" i="5" s="1"/>
  <c r="BP211" i="5" s="1"/>
  <c r="H212" i="5"/>
  <c r="E214" i="5"/>
  <c r="J215" i="5"/>
  <c r="G217" i="5"/>
  <c r="L218" i="5"/>
  <c r="F219" i="5"/>
  <c r="I220" i="5"/>
  <c r="W220" i="5" s="1"/>
  <c r="F223" i="5"/>
  <c r="L224" i="5"/>
  <c r="F225" i="5"/>
  <c r="AZ225" i="5" s="1"/>
  <c r="AZ231" i="5"/>
  <c r="AZ233" i="5"/>
  <c r="AL234" i="5"/>
  <c r="AH235" i="5"/>
  <c r="AI235" i="5" s="1"/>
  <c r="AJ235" i="5" s="1"/>
  <c r="E148" i="5"/>
  <c r="AH148" i="5" s="1"/>
  <c r="AI148" i="5" s="1"/>
  <c r="K149" i="5"/>
  <c r="E150" i="5"/>
  <c r="AH150" i="5" s="1"/>
  <c r="AI150" i="5" s="1"/>
  <c r="H151" i="5"/>
  <c r="C152" i="5"/>
  <c r="G153" i="5"/>
  <c r="AZ153" i="5" s="1"/>
  <c r="L154" i="5"/>
  <c r="G155" i="5"/>
  <c r="K156" i="5"/>
  <c r="U156" i="5" s="1"/>
  <c r="F157" i="5"/>
  <c r="AZ157" i="5" s="1"/>
  <c r="J158" i="5"/>
  <c r="E159" i="5"/>
  <c r="AH159" i="5" s="1"/>
  <c r="AI159" i="5" s="1"/>
  <c r="I160" i="5"/>
  <c r="W160" i="5" s="1"/>
  <c r="I162" i="5"/>
  <c r="W162" i="5" s="1"/>
  <c r="D163" i="5"/>
  <c r="H164" i="5"/>
  <c r="C165" i="5"/>
  <c r="BL165" i="5" s="1"/>
  <c r="BP165" i="5" s="1"/>
  <c r="G166" i="5"/>
  <c r="K167" i="5"/>
  <c r="F168" i="5"/>
  <c r="AZ168" i="5" s="1"/>
  <c r="J169" i="5"/>
  <c r="E170" i="5"/>
  <c r="I171" i="5"/>
  <c r="W171" i="5" s="1"/>
  <c r="C172" i="5"/>
  <c r="J173" i="5"/>
  <c r="H175" i="5"/>
  <c r="K176" i="5"/>
  <c r="E177" i="5"/>
  <c r="AH177" i="5" s="1"/>
  <c r="AI177" i="5" s="1"/>
  <c r="L178" i="5"/>
  <c r="G179" i="5"/>
  <c r="F181" i="5"/>
  <c r="K182" i="5"/>
  <c r="U182" i="5" s="1"/>
  <c r="E183" i="5"/>
  <c r="AH183" i="5" s="1"/>
  <c r="AI183" i="5" s="1"/>
  <c r="J184" i="5"/>
  <c r="E185" i="5"/>
  <c r="AH185" i="5" s="1"/>
  <c r="AI185" i="5" s="1"/>
  <c r="J186" i="5"/>
  <c r="E187" i="5"/>
  <c r="J188" i="5"/>
  <c r="E189" i="5"/>
  <c r="AH189" i="5" s="1"/>
  <c r="AI189" i="5" s="1"/>
  <c r="K190" i="5"/>
  <c r="K192" i="5"/>
  <c r="E193" i="5"/>
  <c r="AH193" i="5" s="1"/>
  <c r="AI193" i="5" s="1"/>
  <c r="J194" i="5"/>
  <c r="E195" i="5"/>
  <c r="K196" i="5"/>
  <c r="F197" i="5"/>
  <c r="L198" i="5"/>
  <c r="AB198" i="5" s="1"/>
  <c r="G199" i="5"/>
  <c r="G201" i="5"/>
  <c r="G203" i="5"/>
  <c r="H205" i="5"/>
  <c r="G207" i="5"/>
  <c r="J210" i="5"/>
  <c r="D211" i="5"/>
  <c r="L213" i="5"/>
  <c r="F214" i="5"/>
  <c r="AZ214" i="5" s="1"/>
  <c r="K215" i="5"/>
  <c r="E216" i="5"/>
  <c r="H217" i="5"/>
  <c r="G219" i="5"/>
  <c r="J220" i="5"/>
  <c r="C221" i="5"/>
  <c r="K221" i="5"/>
  <c r="D222" i="5"/>
  <c r="G223" i="5"/>
  <c r="AQ234" i="5"/>
  <c r="BA234" i="5" s="1"/>
  <c r="L149" i="5"/>
  <c r="F150" i="5"/>
  <c r="I151" i="5"/>
  <c r="D152" i="5"/>
  <c r="H153" i="5"/>
  <c r="C154" i="5"/>
  <c r="H155" i="5"/>
  <c r="L156" i="5"/>
  <c r="K158" i="5"/>
  <c r="F159" i="5"/>
  <c r="J160" i="5"/>
  <c r="C161" i="5"/>
  <c r="BL161" i="5" s="1"/>
  <c r="BP161" i="5" s="1"/>
  <c r="J162" i="5"/>
  <c r="E163" i="5"/>
  <c r="Z163" i="5" s="1"/>
  <c r="AA163" i="5" s="1"/>
  <c r="I164" i="5"/>
  <c r="W164" i="5" s="1"/>
  <c r="D165" i="5"/>
  <c r="H166" i="5"/>
  <c r="L167" i="5"/>
  <c r="K169" i="5"/>
  <c r="F170" i="5"/>
  <c r="J171" i="5"/>
  <c r="D172" i="5"/>
  <c r="K173" i="5"/>
  <c r="E174" i="5"/>
  <c r="I175" i="5"/>
  <c r="W175" i="5" s="1"/>
  <c r="L176" i="5"/>
  <c r="AB176" i="5" s="1"/>
  <c r="F177" i="5"/>
  <c r="L180" i="5"/>
  <c r="AB180" i="5" s="1"/>
  <c r="AW180" i="5" s="1"/>
  <c r="L182" i="5"/>
  <c r="AB182" i="5" s="1"/>
  <c r="K184" i="5"/>
  <c r="F185" i="5"/>
  <c r="K186" i="5"/>
  <c r="F187" i="5"/>
  <c r="K188" i="5"/>
  <c r="F189" i="5"/>
  <c r="AZ189" i="5" s="1"/>
  <c r="L190" i="5"/>
  <c r="F191" i="5"/>
  <c r="L192" i="5"/>
  <c r="AQ192" i="5" s="1"/>
  <c r="F193" i="5"/>
  <c r="AZ193" i="5" s="1"/>
  <c r="K194" i="5"/>
  <c r="AL194" i="5" s="1"/>
  <c r="L196" i="5"/>
  <c r="G197" i="5"/>
  <c r="H199" i="5"/>
  <c r="H201" i="5"/>
  <c r="H203" i="5"/>
  <c r="I205" i="5"/>
  <c r="W205" i="5" s="1"/>
  <c r="H207" i="5"/>
  <c r="C208" i="5"/>
  <c r="BL208" i="5" s="1"/>
  <c r="K208" i="5"/>
  <c r="AL208" i="5" s="1"/>
  <c r="E209" i="5"/>
  <c r="AB209" i="5" s="1"/>
  <c r="K210" i="5"/>
  <c r="E211" i="5"/>
  <c r="AB211" i="5" s="1"/>
  <c r="I212" i="5"/>
  <c r="W212" i="5" s="1"/>
  <c r="C213" i="5"/>
  <c r="BL213" i="5" s="1"/>
  <c r="G214" i="5"/>
  <c r="L215" i="5"/>
  <c r="I217" i="5"/>
  <c r="W217" i="5" s="1"/>
  <c r="C218" i="5"/>
  <c r="H219" i="5"/>
  <c r="L221" i="5"/>
  <c r="E222" i="5"/>
  <c r="H223" i="5"/>
  <c r="C224" i="5"/>
  <c r="BL224" i="5" s="1"/>
  <c r="BN224" i="5" s="1"/>
  <c r="G225" i="5"/>
  <c r="W227" i="5"/>
  <c r="AZ237" i="5"/>
  <c r="G148" i="5"/>
  <c r="J151" i="5"/>
  <c r="I153" i="5"/>
  <c r="W153" i="5" s="1"/>
  <c r="D154" i="5"/>
  <c r="I155" i="5"/>
  <c r="W155" i="5" s="1"/>
  <c r="C156" i="5"/>
  <c r="G157" i="5"/>
  <c r="L158" i="5"/>
  <c r="D161" i="5"/>
  <c r="K162" i="5"/>
  <c r="J164" i="5"/>
  <c r="E165" i="5"/>
  <c r="I166" i="5"/>
  <c r="W166" i="5" s="1"/>
  <c r="G168" i="5"/>
  <c r="L169" i="5"/>
  <c r="G170" i="5"/>
  <c r="E172" i="5"/>
  <c r="L173" i="5"/>
  <c r="F174" i="5"/>
  <c r="C176" i="5"/>
  <c r="G177" i="5"/>
  <c r="H179" i="5"/>
  <c r="G181" i="5"/>
  <c r="F183" i="5"/>
  <c r="AZ183" i="5" s="1"/>
  <c r="L184" i="5"/>
  <c r="G185" i="5"/>
  <c r="L186" i="5"/>
  <c r="G187" i="5"/>
  <c r="L188" i="5"/>
  <c r="G189" i="5"/>
  <c r="G191" i="5"/>
  <c r="G193" i="5"/>
  <c r="L194" i="5"/>
  <c r="F195" i="5"/>
  <c r="AZ195" i="5" s="1"/>
  <c r="H197" i="5"/>
  <c r="C198" i="5"/>
  <c r="I199" i="5"/>
  <c r="W199" i="5" s="1"/>
  <c r="C200" i="5"/>
  <c r="I201" i="5"/>
  <c r="W201" i="5" s="1"/>
  <c r="C202" i="5"/>
  <c r="I203" i="5"/>
  <c r="W203" i="5" s="1"/>
  <c r="C204" i="5"/>
  <c r="J205" i="5"/>
  <c r="C206" i="5"/>
  <c r="I207" i="5"/>
  <c r="W207" i="5" s="1"/>
  <c r="D208" i="5"/>
  <c r="L208" i="5"/>
  <c r="AB208" i="5" s="1"/>
  <c r="L210" i="5"/>
  <c r="F211" i="5"/>
  <c r="J212" i="5"/>
  <c r="H214" i="5"/>
  <c r="F216" i="5"/>
  <c r="J217" i="5"/>
  <c r="D218" i="5"/>
  <c r="I219" i="5"/>
  <c r="W219" i="5" s="1"/>
  <c r="K220" i="5"/>
  <c r="AL220" i="5" s="1"/>
  <c r="D221" i="5"/>
  <c r="AQ221" i="5" s="1"/>
  <c r="F222" i="5"/>
  <c r="I223" i="5"/>
  <c r="W223" i="5" s="1"/>
  <c r="D224" i="5"/>
  <c r="AQ224" i="5" s="1"/>
  <c r="BA224" i="5" s="1"/>
  <c r="H225" i="5"/>
  <c r="BL226" i="5"/>
  <c r="W229" i="5"/>
  <c r="W231" i="5"/>
  <c r="W233" i="5"/>
  <c r="H148" i="5"/>
  <c r="C149" i="5"/>
  <c r="G150" i="5"/>
  <c r="K151" i="5"/>
  <c r="E152" i="5"/>
  <c r="J153" i="5"/>
  <c r="AL153" i="5" s="1"/>
  <c r="E154" i="5"/>
  <c r="AH154" i="5" s="1"/>
  <c r="AI154" i="5" s="1"/>
  <c r="J155" i="5"/>
  <c r="D156" i="5"/>
  <c r="H157" i="5"/>
  <c r="G159" i="5"/>
  <c r="K160" i="5"/>
  <c r="E161" i="5"/>
  <c r="L162" i="5"/>
  <c r="F163" i="5"/>
  <c r="K164" i="5"/>
  <c r="AL164" i="5" s="1"/>
  <c r="F165" i="5"/>
  <c r="AZ165" i="5" s="1"/>
  <c r="J166" i="5"/>
  <c r="H168" i="5"/>
  <c r="C169" i="5"/>
  <c r="K171" i="5"/>
  <c r="F172" i="5"/>
  <c r="G174" i="5"/>
  <c r="J175" i="5"/>
  <c r="H177" i="5"/>
  <c r="C178" i="5"/>
  <c r="I179" i="5"/>
  <c r="C180" i="5"/>
  <c r="H181" i="5"/>
  <c r="G183" i="5"/>
  <c r="H189" i="5"/>
  <c r="C190" i="5"/>
  <c r="H191" i="5"/>
  <c r="C192" i="5"/>
  <c r="BL192" i="5" s="1"/>
  <c r="H193" i="5"/>
  <c r="C194" i="5"/>
  <c r="G195" i="5"/>
  <c r="I197" i="5"/>
  <c r="D198" i="5"/>
  <c r="J199" i="5"/>
  <c r="AL199" i="5" s="1"/>
  <c r="D200" i="5"/>
  <c r="J201" i="5"/>
  <c r="AL201" i="5" s="1"/>
  <c r="D202" i="5"/>
  <c r="J203" i="5"/>
  <c r="D204" i="5"/>
  <c r="K205" i="5"/>
  <c r="D206" i="5"/>
  <c r="J207" i="5"/>
  <c r="F209" i="5"/>
  <c r="G211" i="5"/>
  <c r="K212" i="5"/>
  <c r="AL212" i="5" s="1"/>
  <c r="D213" i="5"/>
  <c r="AQ213" i="5" s="1"/>
  <c r="I214" i="5"/>
  <c r="C215" i="5"/>
  <c r="E218" i="5"/>
  <c r="J219" i="5"/>
  <c r="G222" i="5"/>
  <c r="J223" i="5"/>
  <c r="E224" i="5"/>
  <c r="I225" i="5"/>
  <c r="W225" i="5" s="1"/>
  <c r="AH228" i="5"/>
  <c r="AI228" i="5" s="1"/>
  <c r="W235" i="5"/>
  <c r="Z235" i="5" s="1"/>
  <c r="AA235" i="5" s="1"/>
  <c r="BL236" i="5"/>
  <c r="U188" i="5"/>
  <c r="U135" i="5"/>
  <c r="U227" i="5"/>
  <c r="U231" i="5"/>
  <c r="U233" i="5"/>
  <c r="U237" i="5"/>
  <c r="U183" i="5"/>
  <c r="U204" i="5"/>
  <c r="U230" i="5"/>
  <c r="U236" i="5"/>
  <c r="U149" i="5"/>
  <c r="BL72" i="5"/>
  <c r="BL28" i="5"/>
  <c r="AH53" i="5"/>
  <c r="AI53" i="5" s="1"/>
  <c r="AD53" i="5" s="1"/>
  <c r="AB53" i="5"/>
  <c r="BN16" i="5"/>
  <c r="BP16" i="5"/>
  <c r="AH76" i="5"/>
  <c r="AI76" i="5" s="1"/>
  <c r="AZ90" i="5"/>
  <c r="AJ84" i="5"/>
  <c r="AD84" i="5"/>
  <c r="BP52" i="5"/>
  <c r="AL24" i="5"/>
  <c r="U24" i="5"/>
  <c r="AZ89" i="5"/>
  <c r="AL33" i="5"/>
  <c r="AZ75" i="5"/>
  <c r="Z81" i="5"/>
  <c r="BP103" i="5"/>
  <c r="BN103" i="5"/>
  <c r="AQ133" i="5"/>
  <c r="AQ190" i="5"/>
  <c r="BA190" i="5" s="1"/>
  <c r="AZ52" i="5"/>
  <c r="AZ70" i="5"/>
  <c r="AZ131" i="5"/>
  <c r="BL182" i="5"/>
  <c r="AZ19" i="5"/>
  <c r="AZ32" i="5"/>
  <c r="AZ133" i="5"/>
  <c r="AL142" i="5"/>
  <c r="Z32" i="5"/>
  <c r="AA32" i="5" s="1"/>
  <c r="AZ34" i="5"/>
  <c r="AQ45" i="5"/>
  <c r="BA45" i="5" s="1"/>
  <c r="AB32" i="5"/>
  <c r="AZ33" i="5"/>
  <c r="U41" i="5"/>
  <c r="BL62" i="5"/>
  <c r="BN62" i="5" s="1"/>
  <c r="AZ11" i="5"/>
  <c r="AZ29" i="5"/>
  <c r="AZ30" i="5"/>
  <c r="BL144" i="5"/>
  <c r="BN144" i="5" s="1"/>
  <c r="AB161" i="5"/>
  <c r="U163" i="5"/>
  <c r="AH188" i="5"/>
  <c r="AI188" i="5" s="1"/>
  <c r="U207" i="5"/>
  <c r="AJ228" i="5"/>
  <c r="Z234" i="5"/>
  <c r="AA234" i="5" s="1"/>
  <c r="AB234" i="5"/>
  <c r="AL28" i="5"/>
  <c r="BL49" i="5"/>
  <c r="Z127" i="5"/>
  <c r="AA127" i="5" s="1"/>
  <c r="U199" i="5"/>
  <c r="AL231" i="5"/>
  <c r="BN233" i="5"/>
  <c r="AZ45" i="5"/>
  <c r="AZ84" i="5"/>
  <c r="BL207" i="5"/>
  <c r="Z229" i="5"/>
  <c r="AA229" i="5" s="1"/>
  <c r="BL39" i="5"/>
  <c r="AZ51" i="5"/>
  <c r="AZ148" i="5"/>
  <c r="U154" i="5"/>
  <c r="BL197" i="5"/>
  <c r="BN227" i="5"/>
  <c r="BP227" i="5"/>
  <c r="Z231" i="5"/>
  <c r="AL19" i="5"/>
  <c r="AQ38" i="5"/>
  <c r="BA38" i="5" s="1"/>
  <c r="AZ61" i="5"/>
  <c r="Z85" i="5"/>
  <c r="AA85" i="5" s="1"/>
  <c r="AB123" i="5"/>
  <c r="AB147" i="5"/>
  <c r="AW147" i="5" s="1"/>
  <c r="Z147" i="5"/>
  <c r="AA147" i="5" s="1"/>
  <c r="AZ163" i="5"/>
  <c r="U120" i="5"/>
  <c r="U127" i="5"/>
  <c r="U128" i="5"/>
  <c r="AL133" i="5"/>
  <c r="AZ151" i="5"/>
  <c r="U153" i="5"/>
  <c r="U155" i="5"/>
  <c r="U161" i="5"/>
  <c r="AL228" i="5"/>
  <c r="U234" i="5"/>
  <c r="AZ149" i="5"/>
  <c r="U152" i="5"/>
  <c r="U176" i="5"/>
  <c r="AZ190" i="5"/>
  <c r="AL229" i="5"/>
  <c r="AL232" i="5"/>
  <c r="BL234" i="5"/>
  <c r="AL235" i="5"/>
  <c r="Z236" i="5"/>
  <c r="AA236" i="5" s="1"/>
  <c r="U100" i="5"/>
  <c r="BL104" i="5"/>
  <c r="AZ116" i="5"/>
  <c r="U116" i="5"/>
  <c r="AL125" i="5"/>
  <c r="U113" i="5"/>
  <c r="BP130" i="5"/>
  <c r="AZ145" i="5"/>
  <c r="U174" i="5"/>
  <c r="AZ182" i="5"/>
  <c r="AL217" i="5"/>
  <c r="U222" i="5"/>
  <c r="U117" i="5"/>
  <c r="BP133" i="5"/>
  <c r="AZ143" i="5"/>
  <c r="AZ222" i="5"/>
  <c r="AZ223" i="5"/>
  <c r="BL150" i="5"/>
  <c r="U180" i="5"/>
  <c r="AZ213" i="5"/>
  <c r="AZ220" i="5"/>
  <c r="AL227" i="5"/>
  <c r="U229" i="5"/>
  <c r="BN229" i="5"/>
  <c r="U232" i="5"/>
  <c r="AZ234" i="5"/>
  <c r="AB236" i="5"/>
  <c r="AW236" i="5" s="1"/>
  <c r="U103" i="5"/>
  <c r="U105" i="5"/>
  <c r="U114" i="5"/>
  <c r="U130" i="5"/>
  <c r="U132" i="5"/>
  <c r="AQ134" i="5"/>
  <c r="BA134" i="5" s="1"/>
  <c r="AQ226" i="5"/>
  <c r="AZ99" i="5"/>
  <c r="U111" i="5"/>
  <c r="AZ112" i="5"/>
  <c r="U124" i="5"/>
  <c r="U131" i="5"/>
  <c r="U133" i="5"/>
  <c r="U158" i="5"/>
  <c r="AB169" i="5"/>
  <c r="AZ170" i="5"/>
  <c r="U129" i="5"/>
  <c r="AZ185" i="5"/>
  <c r="AZ235" i="5"/>
  <c r="AZ98" i="5"/>
  <c r="U102" i="5"/>
  <c r="AZ104" i="5"/>
  <c r="AQ109" i="5"/>
  <c r="U115" i="5"/>
  <c r="W133" i="5"/>
  <c r="U134" i="5"/>
  <c r="U147" i="5"/>
  <c r="AZ179" i="5"/>
  <c r="AH5" i="5"/>
  <c r="AI5" i="5" s="1"/>
  <c r="AZ10" i="5"/>
  <c r="BP13" i="5"/>
  <c r="BN13" i="5"/>
  <c r="AL9" i="5"/>
  <c r="AB13" i="5"/>
  <c r="AQ13" i="5"/>
  <c r="AH22" i="5"/>
  <c r="AI22" i="5" s="1"/>
  <c r="U7" i="5"/>
  <c r="AL4" i="5"/>
  <c r="U4" i="5"/>
  <c r="BL6" i="5"/>
  <c r="AH8" i="5"/>
  <c r="AI8" i="5" s="1"/>
  <c r="Z4" i="5"/>
  <c r="AA4" i="5" s="1"/>
  <c r="AZ8" i="5"/>
  <c r="AQ9" i="5"/>
  <c r="BL15" i="5"/>
  <c r="AQ15" i="5"/>
  <c r="AB15" i="5"/>
  <c r="AB29" i="5"/>
  <c r="AH6" i="5"/>
  <c r="AI6" i="5" s="1"/>
  <c r="BL4" i="5"/>
  <c r="BL12" i="5"/>
  <c r="AQ12" i="5"/>
  <c r="AB12" i="5"/>
  <c r="BL20" i="5"/>
  <c r="BP7" i="5"/>
  <c r="BN7" i="5"/>
  <c r="BL2" i="5"/>
  <c r="AH4" i="5"/>
  <c r="AI4" i="5" s="1"/>
  <c r="U5" i="5"/>
  <c r="U14" i="5"/>
  <c r="AD18" i="5"/>
  <c r="AJ18" i="5"/>
  <c r="BL9" i="5"/>
  <c r="AQ2" i="5"/>
  <c r="AB2" i="5"/>
  <c r="AZ4" i="5"/>
  <c r="AQ5" i="5"/>
  <c r="AB5" i="5"/>
  <c r="BL14" i="5"/>
  <c r="AL16" i="5"/>
  <c r="U16" i="5"/>
  <c r="BL10" i="5"/>
  <c r="U2" i="5"/>
  <c r="AQ7" i="5"/>
  <c r="Z7" i="5"/>
  <c r="AA7" i="5" s="1"/>
  <c r="AB7" i="5"/>
  <c r="AH7" i="5"/>
  <c r="AI7" i="5" s="1"/>
  <c r="AH2" i="5"/>
  <c r="AI2" i="5" s="1"/>
  <c r="AQ8" i="5"/>
  <c r="AB8" i="5"/>
  <c r="AQ22" i="5"/>
  <c r="AZ2" i="5"/>
  <c r="Z3" i="5"/>
  <c r="AA3" i="5" s="1"/>
  <c r="AB3" i="5"/>
  <c r="AH10" i="5"/>
  <c r="AI10" i="5" s="1"/>
  <c r="AH14" i="5"/>
  <c r="AI14" i="5" s="1"/>
  <c r="BL19" i="5"/>
  <c r="AB4" i="5"/>
  <c r="AJ26" i="5"/>
  <c r="AD26" i="5"/>
  <c r="AL27" i="5"/>
  <c r="U27" i="5"/>
  <c r="AD65" i="5"/>
  <c r="AJ65" i="5"/>
  <c r="U107" i="5"/>
  <c r="BP28" i="5"/>
  <c r="BN28" i="5"/>
  <c r="AD46" i="5"/>
  <c r="AB10" i="5"/>
  <c r="AJ19" i="5"/>
  <c r="AD19" i="5"/>
  <c r="AL20" i="5"/>
  <c r="BL23" i="5"/>
  <c r="U23" i="5"/>
  <c r="AO32" i="5"/>
  <c r="BL36" i="5"/>
  <c r="AH48" i="5"/>
  <c r="AI48" i="5" s="1"/>
  <c r="Z48" i="5"/>
  <c r="AA48" i="5" s="1"/>
  <c r="AH16" i="5"/>
  <c r="AI16" i="5" s="1"/>
  <c r="BL31" i="5"/>
  <c r="AL36" i="5"/>
  <c r="U36" i="5"/>
  <c r="AH41" i="5"/>
  <c r="AI41" i="5" s="1"/>
  <c r="AQ46" i="5"/>
  <c r="Z46" i="5"/>
  <c r="AB46" i="5"/>
  <c r="BL54" i="5"/>
  <c r="AL72" i="5"/>
  <c r="U72" i="5"/>
  <c r="Z18" i="5"/>
  <c r="AA18" i="5" s="1"/>
  <c r="BP21" i="5"/>
  <c r="AQ33" i="5"/>
  <c r="AB33" i="5"/>
  <c r="Z33" i="5"/>
  <c r="AA33" i="5" s="1"/>
  <c r="AL37" i="5"/>
  <c r="AZ41" i="5"/>
  <c r="AH43" i="5"/>
  <c r="AI43" i="5" s="1"/>
  <c r="AB31" i="5"/>
  <c r="U17" i="5"/>
  <c r="AB18" i="5"/>
  <c r="AH33" i="5"/>
  <c r="AI33" i="5" s="1"/>
  <c r="U33" i="5"/>
  <c r="AJ35" i="5"/>
  <c r="AD35" i="5"/>
  <c r="AQ36" i="5"/>
  <c r="AH3" i="5"/>
  <c r="AI3" i="5" s="1"/>
  <c r="BL34" i="5"/>
  <c r="AJ46" i="5"/>
  <c r="Z17" i="5"/>
  <c r="AA17" i="5" s="1"/>
  <c r="BN17" i="5"/>
  <c r="Z21" i="5"/>
  <c r="AA21" i="5" s="1"/>
  <c r="BP30" i="5"/>
  <c r="BN30" i="5"/>
  <c r="AQ34" i="5"/>
  <c r="AB34" i="5"/>
  <c r="AL21" i="5"/>
  <c r="U21" i="5"/>
  <c r="AH31" i="5"/>
  <c r="AI31" i="5" s="1"/>
  <c r="AB22" i="5"/>
  <c r="AB17" i="5"/>
  <c r="AH20" i="5"/>
  <c r="AI20" i="5" s="1"/>
  <c r="AH21" i="5"/>
  <c r="AI21" i="5" s="1"/>
  <c r="AH29" i="5"/>
  <c r="AI29" i="5" s="1"/>
  <c r="W43" i="5"/>
  <c r="U3" i="5"/>
  <c r="U9" i="5"/>
  <c r="Z16" i="5"/>
  <c r="AA16" i="5" s="1"/>
  <c r="Z19" i="5"/>
  <c r="AA19" i="5" s="1"/>
  <c r="Z22" i="5"/>
  <c r="AA22" i="5" s="1"/>
  <c r="BP35" i="5"/>
  <c r="BN35" i="5"/>
  <c r="AJ36" i="5"/>
  <c r="AQ49" i="5"/>
  <c r="BL18" i="5"/>
  <c r="AQ18" i="5"/>
  <c r="BP24" i="5"/>
  <c r="BN24" i="5"/>
  <c r="AH25" i="5"/>
  <c r="AI25" i="5" s="1"/>
  <c r="AL30" i="5"/>
  <c r="U30" i="5"/>
  <c r="AH32" i="5"/>
  <c r="AI32" i="5" s="1"/>
  <c r="U44" i="5"/>
  <c r="AO61" i="5"/>
  <c r="AR61" i="5" s="1"/>
  <c r="AW61" i="5"/>
  <c r="AB19" i="5"/>
  <c r="BL22" i="5"/>
  <c r="AQ35" i="5"/>
  <c r="AB35" i="5"/>
  <c r="Z35" i="5"/>
  <c r="AA35" i="5" s="1"/>
  <c r="AQ41" i="5"/>
  <c r="Z44" i="5"/>
  <c r="AA44" i="5" s="1"/>
  <c r="AB44" i="5"/>
  <c r="BP45" i="5"/>
  <c r="BN45" i="5"/>
  <c r="BP47" i="5"/>
  <c r="BN47" i="5"/>
  <c r="AZ48" i="5"/>
  <c r="AZ49" i="5"/>
  <c r="AL52" i="5"/>
  <c r="U63" i="5"/>
  <c r="BP69" i="5"/>
  <c r="BN69" i="5"/>
  <c r="AL46" i="5"/>
  <c r="U46" i="5"/>
  <c r="AQ47" i="5"/>
  <c r="AB47" i="5"/>
  <c r="Z47" i="5"/>
  <c r="AA47" i="5" s="1"/>
  <c r="AB26" i="5"/>
  <c r="AQ26" i="5"/>
  <c r="AL32" i="5"/>
  <c r="AL58" i="5"/>
  <c r="BP63" i="5"/>
  <c r="BN63" i="5"/>
  <c r="AD24" i="5"/>
  <c r="BN37" i="5"/>
  <c r="AH47" i="5"/>
  <c r="AI47" i="5" s="1"/>
  <c r="BL60" i="5"/>
  <c r="AL39" i="5"/>
  <c r="AJ53" i="5"/>
  <c r="AB60" i="5"/>
  <c r="Z25" i="5"/>
  <c r="AA25" i="5" s="1"/>
  <c r="U34" i="5"/>
  <c r="AH38" i="5"/>
  <c r="AI38" i="5" s="1"/>
  <c r="BL42" i="5"/>
  <c r="AB45" i="5"/>
  <c r="AA46" i="5"/>
  <c r="AL49" i="5"/>
  <c r="U49" i="5"/>
  <c r="Z36" i="5"/>
  <c r="AA36" i="5" s="1"/>
  <c r="BL48" i="5"/>
  <c r="AL48" i="5"/>
  <c r="U48" i="5"/>
  <c r="BL51" i="5"/>
  <c r="BL57" i="5"/>
  <c r="AB25" i="5"/>
  <c r="U38" i="5"/>
  <c r="AB57" i="5"/>
  <c r="AD66" i="5"/>
  <c r="AJ66" i="5"/>
  <c r="AH68" i="5"/>
  <c r="AI68" i="5" s="1"/>
  <c r="AB36" i="5"/>
  <c r="BL46" i="5"/>
  <c r="BL64" i="5"/>
  <c r="AZ68" i="5"/>
  <c r="AQ73" i="5"/>
  <c r="Z73" i="5"/>
  <c r="AA73" i="5" s="1"/>
  <c r="AB73" i="5"/>
  <c r="AL51" i="5"/>
  <c r="BL58" i="5"/>
  <c r="Z61" i="5"/>
  <c r="AA61" i="5" s="1"/>
  <c r="BL73" i="5"/>
  <c r="AL59" i="5"/>
  <c r="BP62" i="5"/>
  <c r="AQ63" i="5"/>
  <c r="AQ71" i="5"/>
  <c r="AB71" i="5"/>
  <c r="Z71" i="5"/>
  <c r="AA71" i="5" s="1"/>
  <c r="AQ72" i="5"/>
  <c r="AB72" i="5"/>
  <c r="Z83" i="5"/>
  <c r="AA83" i="5" s="1"/>
  <c r="AQ83" i="5"/>
  <c r="U51" i="5"/>
  <c r="BL53" i="5"/>
  <c r="BL56" i="5"/>
  <c r="BL59" i="5"/>
  <c r="AH60" i="5"/>
  <c r="AI60" i="5" s="1"/>
  <c r="AH61" i="5"/>
  <c r="AI61" i="5" s="1"/>
  <c r="AZ64" i="5"/>
  <c r="U70" i="5"/>
  <c r="AD73" i="5"/>
  <c r="BL83" i="5"/>
  <c r="BL85" i="5"/>
  <c r="BL89" i="5"/>
  <c r="AL95" i="5"/>
  <c r="U95" i="5"/>
  <c r="U104" i="5"/>
  <c r="AQ53" i="5"/>
  <c r="AQ59" i="5"/>
  <c r="Z63" i="5"/>
  <c r="AA63" i="5" s="1"/>
  <c r="AH64" i="5"/>
  <c r="AI64" i="5" s="1"/>
  <c r="AL67" i="5"/>
  <c r="U67" i="5"/>
  <c r="AL69" i="5"/>
  <c r="U69" i="5"/>
  <c r="BL71" i="5"/>
  <c r="Z72" i="5"/>
  <c r="AA72" i="5" s="1"/>
  <c r="AB75" i="5"/>
  <c r="AQ75" i="5"/>
  <c r="Z75" i="5"/>
  <c r="AA75" i="5" s="1"/>
  <c r="BL76" i="5"/>
  <c r="BL87" i="5"/>
  <c r="U65" i="5"/>
  <c r="AQ67" i="5"/>
  <c r="BL92" i="5"/>
  <c r="AH52" i="5"/>
  <c r="AI52" i="5" s="1"/>
  <c r="AL54" i="5"/>
  <c r="U54" i="5"/>
  <c r="AD55" i="5"/>
  <c r="U57" i="5"/>
  <c r="AD58" i="5"/>
  <c r="AB63" i="5"/>
  <c r="AQ65" i="5"/>
  <c r="AB65" i="5"/>
  <c r="AL66" i="5"/>
  <c r="U66" i="5"/>
  <c r="BN66" i="5"/>
  <c r="AQ68" i="5"/>
  <c r="AB68" i="5"/>
  <c r="BL70" i="5"/>
  <c r="AH71" i="5"/>
  <c r="AI71" i="5" s="1"/>
  <c r="AH72" i="5"/>
  <c r="AI72" i="5" s="1"/>
  <c r="AJ73" i="5"/>
  <c r="AB83" i="5"/>
  <c r="AD85" i="5"/>
  <c r="Z86" i="5"/>
  <c r="AA86" i="5" s="1"/>
  <c r="AQ86" i="5"/>
  <c r="AH90" i="5"/>
  <c r="AI90" i="5" s="1"/>
  <c r="AQ90" i="5"/>
  <c r="AH99" i="5"/>
  <c r="AI99" i="5" s="1"/>
  <c r="BL50" i="5"/>
  <c r="Z53" i="5"/>
  <c r="AA53" i="5" s="1"/>
  <c r="AL61" i="5"/>
  <c r="AB66" i="5"/>
  <c r="Z69" i="5"/>
  <c r="AA69" i="5" s="1"/>
  <c r="AZ71" i="5"/>
  <c r="BL79" i="5"/>
  <c r="U80" i="5"/>
  <c r="AA81" i="5"/>
  <c r="AH82" i="5"/>
  <c r="AI82" i="5" s="1"/>
  <c r="AJ86" i="5"/>
  <c r="AD86" i="5"/>
  <c r="AQ61" i="5"/>
  <c r="AA62" i="5"/>
  <c r="AD63" i="5"/>
  <c r="BL67" i="5"/>
  <c r="AB67" i="5"/>
  <c r="AB69" i="5"/>
  <c r="AD83" i="5"/>
  <c r="AJ83" i="5"/>
  <c r="Z50" i="5"/>
  <c r="AA50" i="5" s="1"/>
  <c r="U61" i="5"/>
  <c r="Z62" i="5"/>
  <c r="AJ63" i="5"/>
  <c r="Z65" i="5"/>
  <c r="AA65" i="5" s="1"/>
  <c r="BL80" i="5"/>
  <c r="AL82" i="5"/>
  <c r="AJ85" i="5"/>
  <c r="AB86" i="5"/>
  <c r="AB62" i="5"/>
  <c r="AJ67" i="5"/>
  <c r="AH69" i="5"/>
  <c r="AI69" i="5" s="1"/>
  <c r="BP72" i="5"/>
  <c r="BN72" i="5"/>
  <c r="AH77" i="5"/>
  <c r="AI77" i="5" s="1"/>
  <c r="AJ81" i="5"/>
  <c r="AD81" i="5"/>
  <c r="AH75" i="5"/>
  <c r="AI75" i="5" s="1"/>
  <c r="BL82" i="5"/>
  <c r="AL84" i="5"/>
  <c r="AL87" i="5"/>
  <c r="AB92" i="5"/>
  <c r="Z92" i="5"/>
  <c r="AA92" i="5" s="1"/>
  <c r="BP98" i="5"/>
  <c r="BN98" i="5"/>
  <c r="BP107" i="5"/>
  <c r="BN107" i="5"/>
  <c r="BP108" i="5"/>
  <c r="BN108" i="5"/>
  <c r="BP109" i="5"/>
  <c r="BN109" i="5"/>
  <c r="BL88" i="5"/>
  <c r="Z89" i="5"/>
  <c r="AA89" i="5" s="1"/>
  <c r="AH92" i="5"/>
  <c r="AI92" i="5" s="1"/>
  <c r="U93" i="5"/>
  <c r="AH97" i="5"/>
  <c r="AI97" i="5" s="1"/>
  <c r="AB97" i="5"/>
  <c r="Z97" i="5"/>
  <c r="AA97" i="5" s="1"/>
  <c r="AL98" i="5"/>
  <c r="U98" i="5"/>
  <c r="AJ101" i="5"/>
  <c r="AB102" i="5"/>
  <c r="BA109" i="5"/>
  <c r="AH110" i="5"/>
  <c r="AI110" i="5" s="1"/>
  <c r="AB110" i="5"/>
  <c r="BL93" i="5"/>
  <c r="U94" i="5"/>
  <c r="BP100" i="5"/>
  <c r="BN100" i="5"/>
  <c r="AH103" i="5"/>
  <c r="AI103" i="5" s="1"/>
  <c r="BP106" i="5"/>
  <c r="BN106" i="5"/>
  <c r="AH109" i="5"/>
  <c r="AI109" i="5" s="1"/>
  <c r="AB109" i="5"/>
  <c r="AQ76" i="5"/>
  <c r="AH98" i="5"/>
  <c r="AI98" i="5" s="1"/>
  <c r="AQ98" i="5"/>
  <c r="AB98" i="5"/>
  <c r="Z98" i="5"/>
  <c r="AA98" i="5" s="1"/>
  <c r="AZ101" i="5"/>
  <c r="AH102" i="5"/>
  <c r="AI102" i="5" s="1"/>
  <c r="AL83" i="5"/>
  <c r="U87" i="5"/>
  <c r="AH93" i="5"/>
  <c r="AI93" i="5" s="1"/>
  <c r="AH94" i="5"/>
  <c r="AI94" i="5" s="1"/>
  <c r="AB94" i="5"/>
  <c r="AH100" i="5"/>
  <c r="AI100" i="5" s="1"/>
  <c r="AD101" i="5"/>
  <c r="AL81" i="5"/>
  <c r="AL85" i="5"/>
  <c r="BL91" i="5"/>
  <c r="AH95" i="5"/>
  <c r="AI95" i="5" s="1"/>
  <c r="BN96" i="5"/>
  <c r="BP96" i="5"/>
  <c r="BL78" i="5"/>
  <c r="AZ83" i="5"/>
  <c r="AQ85" i="5"/>
  <c r="BN86" i="5"/>
  <c r="AL96" i="5"/>
  <c r="U96" i="5"/>
  <c r="AQ97" i="5"/>
  <c r="AB76" i="5"/>
  <c r="U81" i="5"/>
  <c r="BL81" i="5"/>
  <c r="BL90" i="5"/>
  <c r="AQ92" i="5"/>
  <c r="AL101" i="5"/>
  <c r="U101" i="5"/>
  <c r="AO85" i="5"/>
  <c r="AQ93" i="5"/>
  <c r="AH96" i="5"/>
  <c r="AI96" i="5" s="1"/>
  <c r="AB96" i="5"/>
  <c r="Z96" i="5"/>
  <c r="AA96" i="5" s="1"/>
  <c r="BP110" i="5"/>
  <c r="BN110" i="5"/>
  <c r="U109" i="5"/>
  <c r="AH131" i="5"/>
  <c r="AI131" i="5" s="1"/>
  <c r="AL108" i="5"/>
  <c r="Z139" i="5"/>
  <c r="AA139" i="5" s="1"/>
  <c r="BL111" i="5"/>
  <c r="BL114" i="5"/>
  <c r="BL99" i="5"/>
  <c r="BL105" i="5"/>
  <c r="U110" i="5"/>
  <c r="AL111" i="5"/>
  <c r="BL120" i="5"/>
  <c r="BL122" i="5"/>
  <c r="BL125" i="5"/>
  <c r="BL117" i="5"/>
  <c r="AD134" i="5"/>
  <c r="AJ134" i="5"/>
  <c r="BL112" i="5"/>
  <c r="AH120" i="5"/>
  <c r="AI120" i="5" s="1"/>
  <c r="Z100" i="5"/>
  <c r="AA100" i="5" s="1"/>
  <c r="Z103" i="5"/>
  <c r="AA103" i="5" s="1"/>
  <c r="Z106" i="5"/>
  <c r="AA106" i="5" s="1"/>
  <c r="Z108" i="5"/>
  <c r="AA108" i="5" s="1"/>
  <c r="AB100" i="5"/>
  <c r="AB103" i="5"/>
  <c r="U112" i="5"/>
  <c r="AL116" i="5"/>
  <c r="U118" i="5"/>
  <c r="AB150" i="5"/>
  <c r="AL100" i="5"/>
  <c r="AL103" i="5"/>
  <c r="AB114" i="5"/>
  <c r="W123" i="5"/>
  <c r="Z123" i="5" s="1"/>
  <c r="AA123" i="5" s="1"/>
  <c r="AL123" i="5"/>
  <c r="AL134" i="5"/>
  <c r="Z109" i="5"/>
  <c r="AA109" i="5" s="1"/>
  <c r="Z116" i="5"/>
  <c r="AA116" i="5" s="1"/>
  <c r="AB116" i="5"/>
  <c r="AL117" i="5"/>
  <c r="AD117" i="5"/>
  <c r="AJ117" i="5"/>
  <c r="BL119" i="5"/>
  <c r="AL121" i="5"/>
  <c r="U121" i="5"/>
  <c r="AQ124" i="5"/>
  <c r="AH127" i="5"/>
  <c r="AI127" i="5" s="1"/>
  <c r="BA133" i="5"/>
  <c r="AH142" i="5"/>
  <c r="AI142" i="5" s="1"/>
  <c r="BP145" i="5"/>
  <c r="BN145" i="5"/>
  <c r="AQ126" i="5"/>
  <c r="AB145" i="5"/>
  <c r="Z145" i="5"/>
  <c r="AA145" i="5" s="1"/>
  <c r="AQ145" i="5"/>
  <c r="AL128" i="5"/>
  <c r="AL131" i="5"/>
  <c r="AH133" i="5"/>
  <c r="AI133" i="5" s="1"/>
  <c r="AB133" i="5"/>
  <c r="BP136" i="5"/>
  <c r="AL137" i="5"/>
  <c r="AJ146" i="5"/>
  <c r="AD146" i="5"/>
  <c r="AB128" i="5"/>
  <c r="BN131" i="5"/>
  <c r="AH145" i="5"/>
  <c r="AI145" i="5" s="1"/>
  <c r="BL151" i="5"/>
  <c r="AZ162" i="5"/>
  <c r="AH128" i="5"/>
  <c r="AI128" i="5" s="1"/>
  <c r="BN129" i="5"/>
  <c r="BL134" i="5"/>
  <c r="AQ129" i="5"/>
  <c r="AB129" i="5"/>
  <c r="W135" i="5"/>
  <c r="BL164" i="5"/>
  <c r="AQ122" i="5"/>
  <c r="AB124" i="5"/>
  <c r="AL132" i="5"/>
  <c r="BL137" i="5"/>
  <c r="AH129" i="5"/>
  <c r="AI129" i="5" s="1"/>
  <c r="AQ123" i="5"/>
  <c r="AB125" i="5"/>
  <c r="AB126" i="5"/>
  <c r="AL127" i="5"/>
  <c r="AL130" i="5"/>
  <c r="Z133" i="5"/>
  <c r="AA133" i="5" s="1"/>
  <c r="BL135" i="5"/>
  <c r="AL141" i="5"/>
  <c r="BL143" i="5"/>
  <c r="AQ127" i="5"/>
  <c r="BL141" i="5"/>
  <c r="AL144" i="5"/>
  <c r="BP150" i="5"/>
  <c r="BN150" i="5"/>
  <c r="AD162" i="5"/>
  <c r="AJ162" i="5"/>
  <c r="AB163" i="5"/>
  <c r="AQ163" i="5"/>
  <c r="BL158" i="5"/>
  <c r="BL173" i="5"/>
  <c r="AD177" i="5"/>
  <c r="AJ177" i="5"/>
  <c r="U139" i="5"/>
  <c r="BP144" i="5"/>
  <c r="AL146" i="5"/>
  <c r="Z149" i="5"/>
  <c r="AA149" i="5" s="1"/>
  <c r="AQ152" i="5"/>
  <c r="AB152" i="5"/>
  <c r="Z164" i="5"/>
  <c r="AA164" i="5" s="1"/>
  <c r="AB165" i="5"/>
  <c r="U140" i="5"/>
  <c r="BL156" i="5"/>
  <c r="AQ156" i="5"/>
  <c r="Z156" i="5"/>
  <c r="AA156" i="5" s="1"/>
  <c r="AL160" i="5"/>
  <c r="U160" i="5"/>
  <c r="AH164" i="5"/>
  <c r="AI164" i="5" s="1"/>
  <c r="AH137" i="5"/>
  <c r="AI137" i="5" s="1"/>
  <c r="U141" i="5"/>
  <c r="AH143" i="5"/>
  <c r="AI143" i="5" s="1"/>
  <c r="AL145" i="5"/>
  <c r="AQ146" i="5"/>
  <c r="AQ151" i="5"/>
  <c r="AB151" i="5"/>
  <c r="U142" i="5"/>
  <c r="AH144" i="5"/>
  <c r="AI144" i="5" s="1"/>
  <c r="AJ147" i="5"/>
  <c r="AD147" i="5"/>
  <c r="BL152" i="5"/>
  <c r="AQ154" i="5"/>
  <c r="AB154" i="5"/>
  <c r="BL160" i="5"/>
  <c r="AB160" i="5"/>
  <c r="AQ160" i="5"/>
  <c r="AB134" i="5"/>
  <c r="U143" i="5"/>
  <c r="U146" i="5"/>
  <c r="AL147" i="5"/>
  <c r="AJ148" i="5"/>
  <c r="AH149" i="5"/>
  <c r="AI149" i="5" s="1"/>
  <c r="AH172" i="5"/>
  <c r="AI172" i="5" s="1"/>
  <c r="AL136" i="5"/>
  <c r="U144" i="5"/>
  <c r="AQ147" i="5"/>
  <c r="BL153" i="5"/>
  <c r="AQ155" i="5"/>
  <c r="AH160" i="5"/>
  <c r="AI160" i="5" s="1"/>
  <c r="BL178" i="5"/>
  <c r="U145" i="5"/>
  <c r="AO147" i="5"/>
  <c r="AB157" i="5"/>
  <c r="AH161" i="5"/>
  <c r="AI161" i="5" s="1"/>
  <c r="AB162" i="5"/>
  <c r="Z162" i="5"/>
  <c r="Z146" i="5"/>
  <c r="AA146" i="5" s="1"/>
  <c r="AQ149" i="5"/>
  <c r="AB149" i="5"/>
  <c r="AD156" i="5"/>
  <c r="AH157" i="5"/>
  <c r="AI157" i="5" s="1"/>
  <c r="U148" i="5"/>
  <c r="AQ168" i="5"/>
  <c r="BL171" i="5"/>
  <c r="AZ172" i="5"/>
  <c r="BL174" i="5"/>
  <c r="AD175" i="5"/>
  <c r="AJ175" i="5"/>
  <c r="AO169" i="5"/>
  <c r="AR169" i="5" s="1"/>
  <c r="AW169" i="5"/>
  <c r="Z174" i="5"/>
  <c r="AA174" i="5" s="1"/>
  <c r="BN177" i="5"/>
  <c r="BP177" i="5"/>
  <c r="BL196" i="5"/>
  <c r="AL155" i="5"/>
  <c r="AL163" i="5"/>
  <c r="Z168" i="5"/>
  <c r="AA168" i="5" s="1"/>
  <c r="U169" i="5"/>
  <c r="U170" i="5"/>
  <c r="U171" i="5"/>
  <c r="AB177" i="5"/>
  <c r="AL178" i="5"/>
  <c r="U178" i="5"/>
  <c r="AL180" i="5"/>
  <c r="W180" i="5"/>
  <c r="Z180" i="5" s="1"/>
  <c r="AA180" i="5" s="1"/>
  <c r="AD185" i="5"/>
  <c r="AJ185" i="5"/>
  <c r="AD186" i="5"/>
  <c r="BP188" i="5"/>
  <c r="BN188" i="5"/>
  <c r="AQ191" i="5"/>
  <c r="AB191" i="5"/>
  <c r="Z191" i="5"/>
  <c r="AB168" i="5"/>
  <c r="U177" i="5"/>
  <c r="AQ178" i="5"/>
  <c r="AB178" i="5"/>
  <c r="Z178" i="5"/>
  <c r="AA178" i="5" s="1"/>
  <c r="AL182" i="5"/>
  <c r="U190" i="5"/>
  <c r="U166" i="5"/>
  <c r="U167" i="5"/>
  <c r="BL167" i="5"/>
  <c r="Z169" i="5"/>
  <c r="AA169" i="5" s="1"/>
  <c r="AB173" i="5"/>
  <c r="Z173" i="5"/>
  <c r="AA173" i="5" s="1"/>
  <c r="AH168" i="5"/>
  <c r="AI168" i="5" s="1"/>
  <c r="AH173" i="5"/>
  <c r="AI173" i="5" s="1"/>
  <c r="U173" i="5"/>
  <c r="Z177" i="5"/>
  <c r="AA177" i="5" s="1"/>
  <c r="AQ179" i="5"/>
  <c r="AB179" i="5"/>
  <c r="BL181" i="5"/>
  <c r="AL181" i="5"/>
  <c r="BP182" i="5"/>
  <c r="BN182" i="5"/>
  <c r="BL185" i="5"/>
  <c r="AD189" i="5"/>
  <c r="AJ189" i="5"/>
  <c r="AH202" i="5"/>
  <c r="AI202" i="5" s="1"/>
  <c r="AA162" i="5"/>
  <c r="AQ176" i="5"/>
  <c r="Z176" i="5"/>
  <c r="AA176" i="5" s="1"/>
  <c r="BL184" i="5"/>
  <c r="U186" i="5"/>
  <c r="BN161" i="5"/>
  <c r="BN165" i="5"/>
  <c r="BL169" i="5"/>
  <c r="AH170" i="5"/>
  <c r="AI170" i="5" s="1"/>
  <c r="BL170" i="5"/>
  <c r="BL175" i="5"/>
  <c r="AD191" i="5"/>
  <c r="AJ191" i="5"/>
  <c r="BL162" i="5"/>
  <c r="BL166" i="5"/>
  <c r="AH174" i="5"/>
  <c r="AI174" i="5" s="1"/>
  <c r="W177" i="5"/>
  <c r="Z175" i="5"/>
  <c r="AA175" i="5" s="1"/>
  <c r="AH178" i="5"/>
  <c r="AI178" i="5" s="1"/>
  <c r="AH179" i="5"/>
  <c r="AI179" i="5" s="1"/>
  <c r="Z186" i="5"/>
  <c r="AA186" i="5" s="1"/>
  <c r="AJ193" i="5"/>
  <c r="BL194" i="5"/>
  <c r="BP199" i="5"/>
  <c r="BN199" i="5"/>
  <c r="AB186" i="5"/>
  <c r="AB190" i="5"/>
  <c r="U194" i="5"/>
  <c r="AB202" i="5"/>
  <c r="AH181" i="5"/>
  <c r="AI181" i="5" s="1"/>
  <c r="AH187" i="5"/>
  <c r="AI187" i="5" s="1"/>
  <c r="AB195" i="5"/>
  <c r="AH176" i="5"/>
  <c r="AI176" i="5" s="1"/>
  <c r="AD194" i="5"/>
  <c r="U195" i="5"/>
  <c r="AH199" i="5"/>
  <c r="AI199" i="5" s="1"/>
  <c r="AH200" i="5"/>
  <c r="AI200" i="5" s="1"/>
  <c r="AJ198" i="5"/>
  <c r="AQ185" i="5"/>
  <c r="AB197" i="5"/>
  <c r="AQ197" i="5"/>
  <c r="BP197" i="5"/>
  <c r="BN197" i="5"/>
  <c r="AQ204" i="5"/>
  <c r="AB204" i="5"/>
  <c r="AA191" i="5"/>
  <c r="U197" i="5"/>
  <c r="BL187" i="5"/>
  <c r="BL190" i="5"/>
  <c r="AL192" i="5"/>
  <c r="BL183" i="5"/>
  <c r="AB188" i="5"/>
  <c r="BP192" i="5"/>
  <c r="BN192" i="5"/>
  <c r="BL193" i="5"/>
  <c r="Z198" i="5"/>
  <c r="AA198" i="5" s="1"/>
  <c r="BL186" i="5"/>
  <c r="AB193" i="5"/>
  <c r="AQ193" i="5"/>
  <c r="AH197" i="5"/>
  <c r="AI197" i="5" s="1"/>
  <c r="AL200" i="5"/>
  <c r="U192" i="5"/>
  <c r="U201" i="5"/>
  <c r="U200" i="5"/>
  <c r="AL202" i="5"/>
  <c r="U202" i="5"/>
  <c r="AL211" i="5"/>
  <c r="U211" i="5"/>
  <c r="AD198" i="5"/>
  <c r="AD201" i="5"/>
  <c r="AD203" i="5"/>
  <c r="BL205" i="5"/>
  <c r="U205" i="5"/>
  <c r="AH210" i="5"/>
  <c r="AI210" i="5" s="1"/>
  <c r="AH218" i="5"/>
  <c r="AI218" i="5" s="1"/>
  <c r="AJ203" i="5"/>
  <c r="BL204" i="5"/>
  <c r="AH211" i="5"/>
  <c r="AI211" i="5" s="1"/>
  <c r="AQ199" i="5"/>
  <c r="AQ202" i="5"/>
  <c r="BP208" i="5"/>
  <c r="BN208" i="5"/>
  <c r="Z199" i="5"/>
  <c r="AA199" i="5" s="1"/>
  <c r="Z202" i="5"/>
  <c r="AA202" i="5" s="1"/>
  <c r="Z207" i="5"/>
  <c r="AA207" i="5" s="1"/>
  <c r="Z208" i="5"/>
  <c r="AA208" i="5" s="1"/>
  <c r="AQ208" i="5"/>
  <c r="AH212" i="5"/>
  <c r="AI212" i="5" s="1"/>
  <c r="AB216" i="5"/>
  <c r="AQ216" i="5"/>
  <c r="Z216" i="5"/>
  <c r="AA216" i="5" s="1"/>
  <c r="AB215" i="5"/>
  <c r="AQ215" i="5"/>
  <c r="Z215" i="5"/>
  <c r="AA215" i="5" s="1"/>
  <c r="AB225" i="5"/>
  <c r="AQ225" i="5"/>
  <c r="Z203" i="5"/>
  <c r="AA203" i="5" s="1"/>
  <c r="BL220" i="5"/>
  <c r="AB203" i="5"/>
  <c r="AL205" i="5"/>
  <c r="BL218" i="5"/>
  <c r="BL221" i="5"/>
  <c r="AQ222" i="5"/>
  <c r="AD230" i="5"/>
  <c r="AJ230" i="5"/>
  <c r="AB235" i="5"/>
  <c r="AQ235" i="5"/>
  <c r="AO234" i="5"/>
  <c r="AW234" i="5"/>
  <c r="AX234" i="5" s="1"/>
  <c r="AB218" i="5"/>
  <c r="AQ218" i="5"/>
  <c r="AH222" i="5"/>
  <c r="AI222" i="5" s="1"/>
  <c r="AH224" i="5"/>
  <c r="AI224" i="5" s="1"/>
  <c r="U206" i="5"/>
  <c r="Z212" i="5"/>
  <c r="AA212" i="5" s="1"/>
  <c r="AQ212" i="5"/>
  <c r="AH213" i="5"/>
  <c r="AI213" i="5" s="1"/>
  <c r="AL221" i="5"/>
  <c r="BP225" i="5"/>
  <c r="BN225" i="5"/>
  <c r="AL225" i="5"/>
  <c r="AH208" i="5"/>
  <c r="AI208" i="5" s="1"/>
  <c r="BP209" i="5"/>
  <c r="U209" i="5"/>
  <c r="AH216" i="5"/>
  <c r="AI216" i="5" s="1"/>
  <c r="Z221" i="5"/>
  <c r="AA221" i="5" s="1"/>
  <c r="AB224" i="5"/>
  <c r="BL228" i="5"/>
  <c r="U208" i="5"/>
  <c r="Z233" i="5"/>
  <c r="AA233" i="5" s="1"/>
  <c r="AB233" i="5"/>
  <c r="AQ233" i="5"/>
  <c r="AB222" i="5"/>
  <c r="BN226" i="5"/>
  <c r="BP226" i="5"/>
  <c r="AH227" i="5"/>
  <c r="AI227" i="5" s="1"/>
  <c r="Z227" i="5"/>
  <c r="AA227" i="5" s="1"/>
  <c r="AH209" i="5"/>
  <c r="AI209" i="5" s="1"/>
  <c r="AQ209" i="5"/>
  <c r="U217" i="5"/>
  <c r="BL219" i="5"/>
  <c r="BL223" i="5"/>
  <c r="BA226" i="5"/>
  <c r="AW227" i="5"/>
  <c r="AO227" i="5"/>
  <c r="AB212" i="5"/>
  <c r="AL219" i="5"/>
  <c r="AL224" i="5"/>
  <c r="AZ209" i="5"/>
  <c r="AB221" i="5"/>
  <c r="BL222" i="5"/>
  <c r="AL226" i="5"/>
  <c r="BB229" i="5"/>
  <c r="BL230" i="5"/>
  <c r="AZ210" i="5"/>
  <c r="U214" i="5"/>
  <c r="Z219" i="5"/>
  <c r="AA219" i="5" s="1"/>
  <c r="AQ227" i="5"/>
  <c r="AZ229" i="5"/>
  <c r="U225" i="5"/>
  <c r="AD226" i="5"/>
  <c r="AO229" i="5"/>
  <c r="AR229" i="5" s="1"/>
  <c r="BL232" i="5"/>
  <c r="AQ230" i="5"/>
  <c r="AB230" i="5"/>
  <c r="U235" i="5"/>
  <c r="Z237" i="5"/>
  <c r="AA237" i="5" s="1"/>
  <c r="AH221" i="5"/>
  <c r="AI221" i="5" s="1"/>
  <c r="AH229" i="5"/>
  <c r="AI229" i="5" s="1"/>
  <c r="AJ231" i="5"/>
  <c r="AH236" i="5"/>
  <c r="AI236" i="5" s="1"/>
  <c r="AX229" i="5"/>
  <c r="AQ231" i="5"/>
  <c r="AB231" i="5"/>
  <c r="AL236" i="5"/>
  <c r="U220" i="5"/>
  <c r="AH223" i="5"/>
  <c r="AI223" i="5" s="1"/>
  <c r="AH232" i="5"/>
  <c r="AI232" i="5" s="1"/>
  <c r="U221" i="5"/>
  <c r="AJ226" i="5"/>
  <c r="AJ234" i="5"/>
  <c r="AH225" i="5"/>
  <c r="AI225" i="5" s="1"/>
  <c r="AB228" i="5"/>
  <c r="AO236" i="5"/>
  <c r="AR236" i="5" s="1"/>
  <c r="AH237" i="5"/>
  <c r="AI237" i="5" s="1"/>
  <c r="U223" i="5"/>
  <c r="AD228" i="5"/>
  <c r="AQ232" i="5"/>
  <c r="AB232" i="5"/>
  <c r="AQ236" i="5"/>
  <c r="BP237" i="5"/>
  <c r="BN237" i="5"/>
  <c r="U224" i="5"/>
  <c r="AB226" i="5"/>
  <c r="AA231" i="5"/>
  <c r="AQ237" i="5"/>
  <c r="AB237" i="5"/>
  <c r="AK234" i="5"/>
  <c r="AK5" i="5" a="1"/>
  <c r="AK29" i="5" a="1"/>
  <c r="AK14" i="5" a="1"/>
  <c r="AK33" i="5" a="1"/>
  <c r="AK84" i="5" a="1"/>
  <c r="AK226" i="5"/>
  <c r="AK85" i="5" a="1"/>
  <c r="AK19" i="5" a="1"/>
  <c r="AK34" i="5" a="1"/>
  <c r="AK124" i="5" a="1"/>
  <c r="AK82" i="5" a="1"/>
  <c r="AK134" i="5" a="1"/>
  <c r="AK24" i="5" a="1"/>
  <c r="AK4" i="5" a="1"/>
  <c r="AK73" i="5" a="1"/>
  <c r="AK127" i="5" a="1"/>
  <c r="AK101" i="5" a="1"/>
  <c r="AK129" i="5" a="1"/>
  <c r="AK114" i="5" a="1"/>
  <c r="AK149" i="5" a="1"/>
  <c r="AK145" i="5" a="1"/>
  <c r="AK154" i="5" a="1"/>
  <c r="AK17" i="5" a="1"/>
  <c r="AK120" i="5" a="1"/>
  <c r="AK236" i="5"/>
  <c r="AK221" i="5" a="1"/>
  <c r="AM226" i="5"/>
  <c r="AK117" i="5" a="1"/>
  <c r="AK237" i="5"/>
  <c r="AE226" i="5"/>
  <c r="AK72" i="5" a="1"/>
  <c r="AK176" i="5" a="1"/>
  <c r="AK109" i="5" a="1"/>
  <c r="AK123" i="5" a="1"/>
  <c r="AK66" i="5" a="1"/>
  <c r="AK81" i="5" a="1"/>
  <c r="AK115" i="5" a="1"/>
  <c r="AK191" i="5" a="1"/>
  <c r="AK182" i="5" a="1"/>
  <c r="AK25" i="5" a="1"/>
  <c r="AK67" i="5" a="1"/>
  <c r="AK52" i="5" a="1"/>
  <c r="AK148" i="5" a="1"/>
  <c r="AE234" i="5"/>
  <c r="AK53" i="5" a="1"/>
  <c r="AK54" i="5" a="1"/>
  <c r="AK230" i="5"/>
  <c r="AK183" i="5" a="1"/>
  <c r="AK227" i="5"/>
  <c r="AK156" i="5" a="1"/>
  <c r="AK204" i="5" a="1"/>
  <c r="AK137" i="5" a="1"/>
  <c r="AK83" i="5" a="1"/>
  <c r="AK57" i="5" a="1"/>
  <c r="AM234" i="5"/>
  <c r="AK228" i="5"/>
  <c r="AK235" i="5"/>
  <c r="AK160" i="5" a="1"/>
  <c r="AK173" i="5" a="1"/>
  <c r="AK231" i="5"/>
  <c r="AM235" i="5"/>
  <c r="AK233" i="5"/>
  <c r="AM233" i="5" s="1"/>
  <c r="AM230" i="5"/>
  <c r="AE230" i="5"/>
  <c r="AM228" i="5"/>
  <c r="AE228" i="5"/>
  <c r="AM231" i="5"/>
  <c r="AE231" i="5"/>
  <c r="AF231" i="5" l="1"/>
  <c r="AN231" i="5"/>
  <c r="AN228" i="5"/>
  <c r="AF230" i="5"/>
  <c r="AN230" i="5"/>
  <c r="AN233" i="5"/>
  <c r="AN235" i="5"/>
  <c r="AK173" i="5"/>
  <c r="AK160" i="5"/>
  <c r="AN234" i="5"/>
  <c r="AK57" i="5"/>
  <c r="AK83" i="5"/>
  <c r="AK137" i="5"/>
  <c r="AK204" i="5"/>
  <c r="AK156" i="5"/>
  <c r="AK183" i="5"/>
  <c r="AK54" i="5"/>
  <c r="AK53" i="5"/>
  <c r="AK148" i="5"/>
  <c r="AK52" i="5"/>
  <c r="AK67" i="5"/>
  <c r="AK25" i="5"/>
  <c r="AK182" i="5"/>
  <c r="AK191" i="5"/>
  <c r="AK115" i="5"/>
  <c r="AK81" i="5"/>
  <c r="AK66" i="5"/>
  <c r="AK123" i="5"/>
  <c r="AK109" i="5"/>
  <c r="AK176" i="5"/>
  <c r="AK72" i="5"/>
  <c r="AF226" i="5"/>
  <c r="AK117" i="5"/>
  <c r="AN226" i="5"/>
  <c r="AK221" i="5"/>
  <c r="AK120" i="5"/>
  <c r="AK17" i="5"/>
  <c r="AK154" i="5"/>
  <c r="AK145" i="5"/>
  <c r="AK149" i="5"/>
  <c r="AK114" i="5"/>
  <c r="AK129" i="5"/>
  <c r="AK101" i="5"/>
  <c r="AK127" i="5"/>
  <c r="AK73" i="5"/>
  <c r="AK4" i="5"/>
  <c r="AK24" i="5"/>
  <c r="AK134" i="5"/>
  <c r="AK82" i="5"/>
  <c r="AK124" i="5"/>
  <c r="AK34" i="5"/>
  <c r="AK19" i="5"/>
  <c r="AK85" i="5"/>
  <c r="AK84" i="5"/>
  <c r="AK33" i="5"/>
  <c r="AK14" i="5"/>
  <c r="AK29" i="5"/>
  <c r="AK5" i="5"/>
  <c r="AO135" i="5"/>
  <c r="AR135" i="5" s="1"/>
  <c r="AS135" i="5" s="1"/>
  <c r="AW135" i="5"/>
  <c r="AX135" i="5" s="1"/>
  <c r="AQ217" i="5"/>
  <c r="Z217" i="5"/>
  <c r="AA217" i="5" s="1"/>
  <c r="AB217" i="5"/>
  <c r="AH217" i="5"/>
  <c r="AI217" i="5" s="1"/>
  <c r="AB159" i="5"/>
  <c r="AQ159" i="5"/>
  <c r="BA159" i="5" s="1"/>
  <c r="AQ189" i="5"/>
  <c r="Z189" i="5"/>
  <c r="AA189" i="5" s="1"/>
  <c r="AQ148" i="5"/>
  <c r="AX148" i="5" s="1"/>
  <c r="Z148" i="5"/>
  <c r="AA148" i="5" s="1"/>
  <c r="Z184" i="5"/>
  <c r="AA184" i="5" s="1"/>
  <c r="AQ184" i="5"/>
  <c r="AB184" i="5"/>
  <c r="AB223" i="5"/>
  <c r="AQ223" i="5"/>
  <c r="BA223" i="5" s="1"/>
  <c r="W183" i="5"/>
  <c r="Z183" i="5" s="1"/>
  <c r="AA183" i="5" s="1"/>
  <c r="AL183" i="5"/>
  <c r="AB111" i="5"/>
  <c r="Z111" i="5"/>
  <c r="AA111" i="5" s="1"/>
  <c r="AH111" i="5"/>
  <c r="AI111" i="5" s="1"/>
  <c r="AQ210" i="5"/>
  <c r="BA210" i="5" s="1"/>
  <c r="AB210" i="5"/>
  <c r="Z210" i="5"/>
  <c r="AA210" i="5" s="1"/>
  <c r="BL198" i="5"/>
  <c r="AQ165" i="5"/>
  <c r="AH165" i="5"/>
  <c r="AI165" i="5" s="1"/>
  <c r="U184" i="5"/>
  <c r="AL184" i="5"/>
  <c r="AB167" i="5"/>
  <c r="Z167" i="5"/>
  <c r="AA167" i="5" s="1"/>
  <c r="AQ167" i="5"/>
  <c r="BA167" i="5" s="1"/>
  <c r="AB214" i="5"/>
  <c r="AH214" i="5"/>
  <c r="AI214" i="5" s="1"/>
  <c r="BL163" i="5"/>
  <c r="BL157" i="5"/>
  <c r="BP231" i="5"/>
  <c r="BN231" i="5"/>
  <c r="W204" i="5"/>
  <c r="Z204" i="5" s="1"/>
  <c r="AA204" i="5" s="1"/>
  <c r="AJ204" i="5"/>
  <c r="AL172" i="5"/>
  <c r="U172" i="5"/>
  <c r="AH220" i="5"/>
  <c r="AI220" i="5" s="1"/>
  <c r="AQ220" i="5"/>
  <c r="Z220" i="5"/>
  <c r="AA220" i="5" s="1"/>
  <c r="AZ156" i="5"/>
  <c r="AD235" i="5"/>
  <c r="U164" i="5"/>
  <c r="AQ219" i="5"/>
  <c r="Z155" i="5"/>
  <c r="AA155" i="5" s="1"/>
  <c r="AD233" i="5"/>
  <c r="AL207" i="5"/>
  <c r="AQ196" i="5"/>
  <c r="Z187" i="5"/>
  <c r="AA187" i="5" s="1"/>
  <c r="AQ187" i="5"/>
  <c r="AB187" i="5"/>
  <c r="W159" i="5"/>
  <c r="Z159" i="5" s="1"/>
  <c r="AA159" i="5" s="1"/>
  <c r="AL159" i="5"/>
  <c r="W126" i="5"/>
  <c r="Z126" i="5" s="1"/>
  <c r="AA126" i="5" s="1"/>
  <c r="AD126" i="5"/>
  <c r="AJ126" i="5"/>
  <c r="Z223" i="5"/>
  <c r="AA223" i="5" s="1"/>
  <c r="AJ183" i="5"/>
  <c r="BL201" i="5"/>
  <c r="AB171" i="5"/>
  <c r="AH171" i="5"/>
  <c r="AI171" i="5" s="1"/>
  <c r="Z171" i="5"/>
  <c r="AA171" i="5" s="1"/>
  <c r="AQ153" i="5"/>
  <c r="Z153" i="5"/>
  <c r="AA153" i="5" s="1"/>
  <c r="AB153" i="5"/>
  <c r="Z78" i="5"/>
  <c r="AA78" i="5" s="1"/>
  <c r="AB78" i="5"/>
  <c r="AW78" i="5" s="1"/>
  <c r="AX78" i="5" s="1"/>
  <c r="AH88" i="5"/>
  <c r="AI88" i="5" s="1"/>
  <c r="AB88" i="5"/>
  <c r="AQ88" i="5"/>
  <c r="BA88" i="5" s="1"/>
  <c r="Z88" i="5"/>
  <c r="AA88" i="5" s="1"/>
  <c r="U165" i="5"/>
  <c r="AL165" i="5"/>
  <c r="AH87" i="5"/>
  <c r="AI87" i="5" s="1"/>
  <c r="AB87" i="5"/>
  <c r="Z87" i="5"/>
  <c r="AA87" i="5" s="1"/>
  <c r="Z79" i="5"/>
  <c r="AA79" i="5" s="1"/>
  <c r="AB79" i="5"/>
  <c r="AQ79" i="5"/>
  <c r="AB120" i="5"/>
  <c r="AQ120" i="5"/>
  <c r="Z120" i="5"/>
  <c r="AA120" i="5" s="1"/>
  <c r="BL139" i="5"/>
  <c r="U68" i="5"/>
  <c r="AL68" i="5"/>
  <c r="Z112" i="5"/>
  <c r="AA112" i="5" s="1"/>
  <c r="AB112" i="5"/>
  <c r="AL10" i="5"/>
  <c r="U10" i="5"/>
  <c r="BL68" i="5"/>
  <c r="U15" i="5"/>
  <c r="AL15" i="5"/>
  <c r="AW199" i="5"/>
  <c r="AO199" i="5"/>
  <c r="AR199" i="5" s="1"/>
  <c r="BN32" i="5"/>
  <c r="BP32" i="5"/>
  <c r="AL196" i="5"/>
  <c r="U196" i="5"/>
  <c r="Z136" i="5"/>
  <c r="AA136" i="5" s="1"/>
  <c r="AB136" i="5"/>
  <c r="AW136" i="5" s="1"/>
  <c r="AX136" i="5" s="1"/>
  <c r="AQ136" i="5"/>
  <c r="BA136" i="5" s="1"/>
  <c r="U92" i="5"/>
  <c r="AL92" i="5"/>
  <c r="BL94" i="5"/>
  <c r="AZ137" i="5"/>
  <c r="AB58" i="5"/>
  <c r="Z58" i="5"/>
  <c r="AA58" i="5" s="1"/>
  <c r="AQ58" i="5"/>
  <c r="BL38" i="5"/>
  <c r="BP38" i="5" s="1"/>
  <c r="BL75" i="5"/>
  <c r="AQ23" i="5"/>
  <c r="AB23" i="5"/>
  <c r="AQ54" i="5"/>
  <c r="BA54" i="5" s="1"/>
  <c r="AB54" i="5"/>
  <c r="AJ54" i="5"/>
  <c r="AD54" i="5"/>
  <c r="W54" i="5"/>
  <c r="Z54" i="5" s="1"/>
  <c r="AA54" i="5" s="1"/>
  <c r="U50" i="5"/>
  <c r="AL50" i="5"/>
  <c r="AH30" i="5"/>
  <c r="AI30" i="5" s="1"/>
  <c r="AB30" i="5"/>
  <c r="AL97" i="5"/>
  <c r="U97" i="5"/>
  <c r="AB37" i="5"/>
  <c r="AQ37" i="5"/>
  <c r="Z138" i="5"/>
  <c r="AA138" i="5" s="1"/>
  <c r="BP236" i="5"/>
  <c r="BN236" i="5"/>
  <c r="W161" i="5"/>
  <c r="AL161" i="5"/>
  <c r="AL210" i="5"/>
  <c r="U210" i="5"/>
  <c r="W151" i="5"/>
  <c r="Z151" i="5" s="1"/>
  <c r="AA151" i="5" s="1"/>
  <c r="AD151" i="5"/>
  <c r="AJ151" i="5"/>
  <c r="BP235" i="5"/>
  <c r="BN235" i="5"/>
  <c r="W154" i="5"/>
  <c r="Z154" i="5" s="1"/>
  <c r="AA154" i="5" s="1"/>
  <c r="AD154" i="5"/>
  <c r="AJ154" i="5"/>
  <c r="U106" i="5"/>
  <c r="AL106" i="5"/>
  <c r="AB117" i="5"/>
  <c r="AQ117" i="5"/>
  <c r="BL126" i="5"/>
  <c r="BN126" i="5" s="1"/>
  <c r="AH140" i="5"/>
  <c r="AI140" i="5" s="1"/>
  <c r="Z140" i="5"/>
  <c r="AA140" i="5" s="1"/>
  <c r="AB140" i="5"/>
  <c r="AQ140" i="5"/>
  <c r="AQ143" i="5"/>
  <c r="AB143" i="5"/>
  <c r="Z143" i="5"/>
  <c r="AA143" i="5" s="1"/>
  <c r="AD57" i="5"/>
  <c r="W57" i="5"/>
  <c r="Z57" i="5" s="1"/>
  <c r="AA57" i="5" s="1"/>
  <c r="AJ57" i="5"/>
  <c r="AH135" i="5"/>
  <c r="AI135" i="5" s="1"/>
  <c r="AQ135" i="5"/>
  <c r="BA135" i="5" s="1"/>
  <c r="AL157" i="5"/>
  <c r="AL156" i="5"/>
  <c r="U150" i="5"/>
  <c r="Z104" i="5"/>
  <c r="AA104" i="5" s="1"/>
  <c r="AB130" i="5"/>
  <c r="AO130" i="5" s="1"/>
  <c r="BL210" i="5"/>
  <c r="AQ194" i="5"/>
  <c r="Z194" i="5"/>
  <c r="AA194" i="5" s="1"/>
  <c r="AB194" i="5"/>
  <c r="AZ177" i="5"/>
  <c r="AL215" i="5"/>
  <c r="U215" i="5"/>
  <c r="Z172" i="5"/>
  <c r="AA172" i="5" s="1"/>
  <c r="AQ172" i="5"/>
  <c r="AB172" i="5"/>
  <c r="Z205" i="5"/>
  <c r="AA205" i="5" s="1"/>
  <c r="AB205" i="5"/>
  <c r="AB166" i="5"/>
  <c r="Z166" i="5"/>
  <c r="AA166" i="5" s="1"/>
  <c r="AQ166" i="5"/>
  <c r="AH166" i="5"/>
  <c r="AI166" i="5" s="1"/>
  <c r="AD166" i="5" s="1"/>
  <c r="AL138" i="5"/>
  <c r="U138" i="5"/>
  <c r="AH139" i="5"/>
  <c r="AI139" i="5" s="1"/>
  <c r="AB139" i="5"/>
  <c r="AQ139" i="5"/>
  <c r="AH108" i="5"/>
  <c r="AI108" i="5" s="1"/>
  <c r="AH136" i="5"/>
  <c r="AI136" i="5" s="1"/>
  <c r="U55" i="5"/>
  <c r="AL55" i="5"/>
  <c r="AL64" i="5"/>
  <c r="U64" i="5"/>
  <c r="BP224" i="5"/>
  <c r="AQ205" i="5"/>
  <c r="AB148" i="5"/>
  <c r="AL186" i="5"/>
  <c r="AD182" i="5"/>
  <c r="U198" i="5"/>
  <c r="BL172" i="5"/>
  <c r="BL180" i="5"/>
  <c r="BN180" i="5" s="1"/>
  <c r="BL154" i="5"/>
  <c r="AL57" i="5"/>
  <c r="U151" i="5"/>
  <c r="AL151" i="5"/>
  <c r="BP216" i="5"/>
  <c r="BN216" i="5"/>
  <c r="AQ183" i="5"/>
  <c r="BA183" i="5" s="1"/>
  <c r="AB183" i="5"/>
  <c r="AL185" i="5"/>
  <c r="U185" i="5"/>
  <c r="AQ106" i="5"/>
  <c r="BA106" i="5" s="1"/>
  <c r="AB106" i="5"/>
  <c r="BL121" i="5"/>
  <c r="AQ119" i="5"/>
  <c r="AB119" i="5"/>
  <c r="Z119" i="5"/>
  <c r="AA119" i="5" s="1"/>
  <c r="W193" i="5"/>
  <c r="Z193" i="5" s="1"/>
  <c r="AA193" i="5" s="1"/>
  <c r="AD193" i="5"/>
  <c r="AH91" i="5"/>
  <c r="AI91" i="5" s="1"/>
  <c r="AB91" i="5"/>
  <c r="BL77" i="5"/>
  <c r="AQ82" i="5"/>
  <c r="Z82" i="5"/>
  <c r="AA82" i="5" s="1"/>
  <c r="AB82" i="5"/>
  <c r="AH138" i="5"/>
  <c r="AI138" i="5" s="1"/>
  <c r="AB138" i="5"/>
  <c r="AD204" i="5"/>
  <c r="AJ182" i="5"/>
  <c r="BL40" i="5"/>
  <c r="BP40" i="5" s="1"/>
  <c r="AD196" i="5"/>
  <c r="AJ196" i="5"/>
  <c r="W213" i="5"/>
  <c r="AL213" i="5"/>
  <c r="W122" i="5"/>
  <c r="AD122" i="5"/>
  <c r="AB164" i="5"/>
  <c r="AQ164" i="5"/>
  <c r="BA164" i="5" s="1"/>
  <c r="U76" i="5"/>
  <c r="AL76" i="5"/>
  <c r="U74" i="5"/>
  <c r="AL74" i="5"/>
  <c r="W93" i="5"/>
  <c r="Z93" i="5" s="1"/>
  <c r="AA93" i="5" s="1"/>
  <c r="AL93" i="5"/>
  <c r="AB41" i="5"/>
  <c r="Z41" i="5"/>
  <c r="AA41" i="5" s="1"/>
  <c r="AQ130" i="5"/>
  <c r="Z130" i="5"/>
  <c r="AA130" i="5" s="1"/>
  <c r="AD183" i="5"/>
  <c r="AD59" i="5"/>
  <c r="AJ59" i="5"/>
  <c r="U218" i="5"/>
  <c r="AH184" i="5"/>
  <c r="AI184" i="5" s="1"/>
  <c r="AL222" i="5"/>
  <c r="AL209" i="5"/>
  <c r="AL204" i="5"/>
  <c r="Z165" i="5"/>
  <c r="AA165" i="5" s="1"/>
  <c r="AJ122" i="5"/>
  <c r="AL99" i="5"/>
  <c r="AB189" i="5"/>
  <c r="BL215" i="5"/>
  <c r="AB196" i="5"/>
  <c r="AW196" i="5" s="1"/>
  <c r="AW182" i="5"/>
  <c r="AO182" i="5"/>
  <c r="AR182" i="5" s="1"/>
  <c r="AS182" i="5" s="1"/>
  <c r="AW198" i="5"/>
  <c r="AX198" i="5" s="1"/>
  <c r="AO198" i="5"/>
  <c r="W188" i="5"/>
  <c r="Z188" i="5" s="1"/>
  <c r="AA188" i="5" s="1"/>
  <c r="AJ188" i="5"/>
  <c r="AQ174" i="5"/>
  <c r="AB174" i="5"/>
  <c r="AB185" i="5"/>
  <c r="BL155" i="5"/>
  <c r="AL168" i="5"/>
  <c r="AZ221" i="5"/>
  <c r="AQ207" i="5"/>
  <c r="BA207" i="5" s="1"/>
  <c r="AL124" i="5"/>
  <c r="AD124" i="5"/>
  <c r="AJ124" i="5"/>
  <c r="AB84" i="5"/>
  <c r="Z84" i="5"/>
  <c r="AA84" i="5" s="1"/>
  <c r="AQ84" i="5"/>
  <c r="AB108" i="5"/>
  <c r="AQ108" i="5"/>
  <c r="AH107" i="5"/>
  <c r="AI107" i="5" s="1"/>
  <c r="AB107" i="5"/>
  <c r="AB90" i="5"/>
  <c r="AW90" i="5" s="1"/>
  <c r="AX90" i="5" s="1"/>
  <c r="Z90" i="5"/>
  <c r="AA90" i="5" s="1"/>
  <c r="AL119" i="5"/>
  <c r="U119" i="5"/>
  <c r="Z142" i="5"/>
  <c r="AA142" i="5" s="1"/>
  <c r="AB142" i="5"/>
  <c r="W129" i="5"/>
  <c r="Z129" i="5" s="1"/>
  <c r="AA129" i="5" s="1"/>
  <c r="AL129" i="5"/>
  <c r="AH116" i="5"/>
  <c r="AI116" i="5" s="1"/>
  <c r="AQ116" i="5"/>
  <c r="AB101" i="5"/>
  <c r="AW101" i="5" s="1"/>
  <c r="AX101" i="5" s="1"/>
  <c r="Z101" i="5"/>
  <c r="AA101" i="5" s="1"/>
  <c r="AQ101" i="5"/>
  <c r="AZ81" i="5"/>
  <c r="BN140" i="5"/>
  <c r="BP140" i="5"/>
  <c r="W115" i="5"/>
  <c r="AL115" i="5"/>
  <c r="AJ115" i="5"/>
  <c r="BL102" i="5"/>
  <c r="BL84" i="5"/>
  <c r="BN84" i="5" s="1"/>
  <c r="BL113" i="5"/>
  <c r="AL175" i="5"/>
  <c r="U175" i="5"/>
  <c r="AB93" i="5"/>
  <c r="BL44" i="5"/>
  <c r="W15" i="5"/>
  <c r="Z15" i="5" s="1"/>
  <c r="AA15" i="5" s="1"/>
  <c r="AD15" i="5"/>
  <c r="AB70" i="5"/>
  <c r="Z70" i="5"/>
  <c r="AA70" i="5" s="1"/>
  <c r="W56" i="5"/>
  <c r="AD56" i="5"/>
  <c r="AJ56" i="5"/>
  <c r="Z12" i="5"/>
  <c r="AA12" i="5" s="1"/>
  <c r="AW123" i="5"/>
  <c r="AO123" i="5"/>
  <c r="AR123" i="5" s="1"/>
  <c r="AS123" i="5" s="1"/>
  <c r="W214" i="5"/>
  <c r="Z214" i="5" s="1"/>
  <c r="AA214" i="5" s="1"/>
  <c r="AL214" i="5"/>
  <c r="AH152" i="5"/>
  <c r="AI152" i="5" s="1"/>
  <c r="Z152" i="5"/>
  <c r="AA152" i="5" s="1"/>
  <c r="AL162" i="5"/>
  <c r="U162" i="5"/>
  <c r="AZ197" i="5"/>
  <c r="AZ199" i="5"/>
  <c r="AL216" i="5"/>
  <c r="BP191" i="5"/>
  <c r="BN191" i="5"/>
  <c r="BL214" i="5"/>
  <c r="AB170" i="5"/>
  <c r="AQ170" i="5"/>
  <c r="AJ186" i="5"/>
  <c r="AL193" i="5"/>
  <c r="AZ206" i="5"/>
  <c r="AD192" i="5"/>
  <c r="AJ192" i="5"/>
  <c r="AZ154" i="5"/>
  <c r="AQ137" i="5"/>
  <c r="BA137" i="5" s="1"/>
  <c r="Z137" i="5"/>
  <c r="AA137" i="5" s="1"/>
  <c r="AH80" i="5"/>
  <c r="AI80" i="5" s="1"/>
  <c r="AB80" i="5"/>
  <c r="AW80" i="5" s="1"/>
  <c r="Z80" i="5"/>
  <c r="AA80" i="5" s="1"/>
  <c r="Z105" i="5"/>
  <c r="AA105" i="5" s="1"/>
  <c r="AB105" i="5"/>
  <c r="AH105" i="5"/>
  <c r="AI105" i="5" s="1"/>
  <c r="AB131" i="5"/>
  <c r="Z131" i="5"/>
  <c r="AA131" i="5" s="1"/>
  <c r="W104" i="5"/>
  <c r="AL104" i="5"/>
  <c r="BL128" i="5"/>
  <c r="BL115" i="5"/>
  <c r="U88" i="5"/>
  <c r="AL88" i="5"/>
  <c r="AQ77" i="5"/>
  <c r="Z77" i="5"/>
  <c r="AA77" i="5" s="1"/>
  <c r="W80" i="5"/>
  <c r="AL80" i="5"/>
  <c r="AB122" i="5"/>
  <c r="Z122" i="5"/>
  <c r="AA122" i="5" s="1"/>
  <c r="Z94" i="5"/>
  <c r="AA94" i="5" s="1"/>
  <c r="AL71" i="5"/>
  <c r="U71" i="5"/>
  <c r="AL126" i="5"/>
  <c r="U126" i="5"/>
  <c r="AH125" i="5"/>
  <c r="AI125" i="5" s="1"/>
  <c r="Z125" i="5"/>
  <c r="AA125" i="5" s="1"/>
  <c r="AQ125" i="5"/>
  <c r="BN39" i="5"/>
  <c r="BP39" i="5"/>
  <c r="W179" i="5"/>
  <c r="Z179" i="5" s="1"/>
  <c r="AA179" i="5" s="1"/>
  <c r="AL179" i="5"/>
  <c r="BL206" i="5"/>
  <c r="BL176" i="5"/>
  <c r="AB158" i="5"/>
  <c r="AZ150" i="5"/>
  <c r="AH195" i="5"/>
  <c r="AI195" i="5" s="1"/>
  <c r="AQ195" i="5"/>
  <c r="Z195" i="5"/>
  <c r="AA195" i="5" s="1"/>
  <c r="W158" i="5"/>
  <c r="Z158" i="5" s="1"/>
  <c r="AA158" i="5" s="1"/>
  <c r="AD158" i="5"/>
  <c r="AJ158" i="5"/>
  <c r="BL168" i="5"/>
  <c r="AQ161" i="5"/>
  <c r="BA161" i="5" s="1"/>
  <c r="Z196" i="5"/>
  <c r="AA196" i="5" s="1"/>
  <c r="W124" i="5"/>
  <c r="Z124" i="5" s="1"/>
  <c r="AA124" i="5" s="1"/>
  <c r="AB89" i="5"/>
  <c r="AQ107" i="5"/>
  <c r="BA107" i="5" s="1"/>
  <c r="W197" i="5"/>
  <c r="Z197" i="5" s="1"/>
  <c r="AA197" i="5" s="1"/>
  <c r="AL197" i="5"/>
  <c r="BL149" i="5"/>
  <c r="AD123" i="5"/>
  <c r="AJ123" i="5"/>
  <c r="AH104" i="5"/>
  <c r="AI104" i="5" s="1"/>
  <c r="AQ104" i="5"/>
  <c r="AB104" i="5"/>
  <c r="AL122" i="5"/>
  <c r="U122" i="5"/>
  <c r="Z110" i="5"/>
  <c r="AA110" i="5" s="1"/>
  <c r="AH121" i="5"/>
  <c r="AI121" i="5" s="1"/>
  <c r="AQ121" i="5"/>
  <c r="AL89" i="5"/>
  <c r="U89" i="5"/>
  <c r="AL22" i="5"/>
  <c r="U22" i="5"/>
  <c r="U8" i="5"/>
  <c r="AL8" i="5"/>
  <c r="BL101" i="5"/>
  <c r="Z99" i="5"/>
  <c r="AA99" i="5" s="1"/>
  <c r="AQ99" i="5"/>
  <c r="AB99" i="5"/>
  <c r="AW99" i="5" s="1"/>
  <c r="AD51" i="5"/>
  <c r="AJ51" i="5"/>
  <c r="BL25" i="5"/>
  <c r="AL11" i="5"/>
  <c r="U11" i="5"/>
  <c r="AB77" i="5"/>
  <c r="W34" i="5"/>
  <c r="Z34" i="5" s="1"/>
  <c r="AA34" i="5" s="1"/>
  <c r="AJ34" i="5"/>
  <c r="AD34" i="5"/>
  <c r="AZ132" i="5"/>
  <c r="AQ51" i="5"/>
  <c r="AB51" i="5"/>
  <c r="Z51" i="5"/>
  <c r="AA51" i="5" s="1"/>
  <c r="AB6" i="5"/>
  <c r="Z6" i="5"/>
  <c r="AA6" i="5" s="1"/>
  <c r="AQ6" i="5"/>
  <c r="Z40" i="5"/>
  <c r="AA40" i="5" s="1"/>
  <c r="AQ40" i="5"/>
  <c r="BA40" i="5" s="1"/>
  <c r="AH49" i="5"/>
  <c r="AI49" i="5" s="1"/>
  <c r="AB49" i="5"/>
  <c r="AO49" i="5" s="1"/>
  <c r="Z39" i="5"/>
  <c r="AA39" i="5" s="1"/>
  <c r="AQ39" i="5"/>
  <c r="BA39" i="5" s="1"/>
  <c r="AO56" i="5"/>
  <c r="AR56" i="5" s="1"/>
  <c r="AS56" i="5" s="1"/>
  <c r="AW56" i="5"/>
  <c r="AL26" i="5"/>
  <c r="U26" i="5"/>
  <c r="W45" i="5"/>
  <c r="Z45" i="5" s="1"/>
  <c r="AA45" i="5" s="1"/>
  <c r="AD45" i="5"/>
  <c r="W114" i="5"/>
  <c r="Z114" i="5" s="1"/>
  <c r="AA114" i="5" s="1"/>
  <c r="AJ114" i="5"/>
  <c r="AD114" i="5"/>
  <c r="AL114" i="5"/>
  <c r="AH132" i="5"/>
  <c r="AI132" i="5" s="1"/>
  <c r="AD132" i="5" s="1"/>
  <c r="AQ132" i="5"/>
  <c r="BA132" i="5" s="1"/>
  <c r="AB132" i="5"/>
  <c r="AQ28" i="5"/>
  <c r="AH28" i="5"/>
  <c r="AI28" i="5" s="1"/>
  <c r="AB28" i="5"/>
  <c r="BL124" i="5"/>
  <c r="U60" i="5"/>
  <c r="AL60" i="5"/>
  <c r="AL6" i="5"/>
  <c r="U6" i="5"/>
  <c r="AB219" i="5"/>
  <c r="AO219" i="5" s="1"/>
  <c r="BL179" i="5"/>
  <c r="AQ181" i="5"/>
  <c r="AB181" i="5"/>
  <c r="Z181" i="5"/>
  <c r="AA181" i="5" s="1"/>
  <c r="Z201" i="5"/>
  <c r="AA201" i="5" s="1"/>
  <c r="AQ201" i="5"/>
  <c r="AB201" i="5"/>
  <c r="AW201" i="5" s="1"/>
  <c r="AX201" i="5" s="1"/>
  <c r="W150" i="5"/>
  <c r="Z150" i="5" s="1"/>
  <c r="AA150" i="5" s="1"/>
  <c r="AJ150" i="5"/>
  <c r="AD150" i="5"/>
  <c r="W118" i="5"/>
  <c r="AL118" i="5"/>
  <c r="AJ156" i="5"/>
  <c r="BL74" i="5"/>
  <c r="W113" i="5"/>
  <c r="Z113" i="5" s="1"/>
  <c r="AA113" i="5" s="1"/>
  <c r="AJ113" i="5"/>
  <c r="AD113" i="5"/>
  <c r="AL113" i="5"/>
  <c r="U86" i="5"/>
  <c r="AL86" i="5"/>
  <c r="BL97" i="5"/>
  <c r="W190" i="5"/>
  <c r="Z190" i="5" s="1"/>
  <c r="AA190" i="5" s="1"/>
  <c r="AL190" i="5"/>
  <c r="AD190" i="5"/>
  <c r="AJ190" i="5"/>
  <c r="AL91" i="5"/>
  <c r="U91" i="5"/>
  <c r="AH153" i="5"/>
  <c r="AI153" i="5" s="1"/>
  <c r="Z192" i="5"/>
  <c r="AA192" i="5" s="1"/>
  <c r="AL167" i="5"/>
  <c r="AB155" i="5"/>
  <c r="AL149" i="5"/>
  <c r="AB156" i="5"/>
  <c r="AQ158" i="5"/>
  <c r="Z128" i="5"/>
  <c r="AA128" i="5" s="1"/>
  <c r="AH163" i="5"/>
  <c r="AI163" i="5" s="1"/>
  <c r="AD163" i="5" s="1"/>
  <c r="BL123" i="5"/>
  <c r="BN123" i="5" s="1"/>
  <c r="AL77" i="5"/>
  <c r="AL94" i="5"/>
  <c r="AD67" i="5"/>
  <c r="U78" i="5"/>
  <c r="AQ66" i="5"/>
  <c r="Z185" i="5"/>
  <c r="AA185" i="5" s="1"/>
  <c r="U216" i="5"/>
  <c r="AL223" i="5"/>
  <c r="BN203" i="5"/>
  <c r="AQ182" i="5"/>
  <c r="U187" i="5"/>
  <c r="AQ89" i="5"/>
  <c r="BA89" i="5" s="1"/>
  <c r="BL148" i="5"/>
  <c r="AH74" i="5"/>
  <c r="AI74" i="5" s="1"/>
  <c r="Z74" i="5"/>
  <c r="AA74" i="5" s="1"/>
  <c r="AB200" i="5"/>
  <c r="AD188" i="5"/>
  <c r="AL176" i="5"/>
  <c r="AB192" i="5"/>
  <c r="AO180" i="5"/>
  <c r="AR180" i="5" s="1"/>
  <c r="AS180" i="5" s="1"/>
  <c r="BN138" i="5"/>
  <c r="AH70" i="5"/>
  <c r="AI70" i="5" s="1"/>
  <c r="AD70" i="5" s="1"/>
  <c r="U75" i="5"/>
  <c r="AB40" i="5"/>
  <c r="AO40" i="5" s="1"/>
  <c r="AL5" i="5"/>
  <c r="AO176" i="5"/>
  <c r="AR176" i="5" s="1"/>
  <c r="AS176" i="5" s="1"/>
  <c r="AW176" i="5"/>
  <c r="AH207" i="5"/>
  <c r="AI207" i="5" s="1"/>
  <c r="AL189" i="5"/>
  <c r="U189" i="5"/>
  <c r="AB206" i="5"/>
  <c r="BN211" i="5"/>
  <c r="U203" i="5"/>
  <c r="U212" i="5"/>
  <c r="U193" i="5"/>
  <c r="BP147" i="5"/>
  <c r="BL146" i="5"/>
  <c r="BP146" i="5" s="1"/>
  <c r="Z95" i="5"/>
  <c r="AA95" i="5" s="1"/>
  <c r="AB74" i="5"/>
  <c r="AQ56" i="5"/>
  <c r="Z38" i="5"/>
  <c r="AA38" i="5" s="1"/>
  <c r="AQ211" i="5"/>
  <c r="BA211" i="5" s="1"/>
  <c r="AB207" i="5"/>
  <c r="AQ206" i="5"/>
  <c r="U79" i="5"/>
  <c r="AL79" i="5"/>
  <c r="Z206" i="5"/>
  <c r="AA206" i="5" s="1"/>
  <c r="AQ200" i="5"/>
  <c r="AQ180" i="5"/>
  <c r="Z211" i="5"/>
  <c r="AA211" i="5" s="1"/>
  <c r="AQ198" i="5"/>
  <c r="BA198" i="5" s="1"/>
  <c r="BP142" i="5"/>
  <c r="AQ131" i="5"/>
  <c r="BA131" i="5" s="1"/>
  <c r="AQ142" i="5"/>
  <c r="AX142" i="5" s="1"/>
  <c r="AD115" i="5"/>
  <c r="AB95" i="5"/>
  <c r="Z64" i="5"/>
  <c r="AA64" i="5" s="1"/>
  <c r="Z56" i="5"/>
  <c r="AA56" i="5" s="1"/>
  <c r="W29" i="5"/>
  <c r="Z29" i="5" s="1"/>
  <c r="AA29" i="5" s="1"/>
  <c r="Z49" i="5"/>
  <c r="AA49" i="5" s="1"/>
  <c r="AB21" i="5"/>
  <c r="U168" i="5"/>
  <c r="BP104" i="5"/>
  <c r="BN104" i="5"/>
  <c r="BP41" i="5"/>
  <c r="BN41" i="5"/>
  <c r="AQ11" i="5"/>
  <c r="AH118" i="5"/>
  <c r="AI118" i="5" s="1"/>
  <c r="AQ118" i="5"/>
  <c r="AB118" i="5"/>
  <c r="Z118" i="5"/>
  <c r="AA118" i="5" s="1"/>
  <c r="AH79" i="5"/>
  <c r="AI79" i="5" s="1"/>
  <c r="AQ60" i="5"/>
  <c r="BA60" i="5" s="1"/>
  <c r="Z60" i="5"/>
  <c r="AA60" i="5" s="1"/>
  <c r="U13" i="5"/>
  <c r="AL13" i="5"/>
  <c r="BL26" i="5"/>
  <c r="AB59" i="5"/>
  <c r="Z59" i="5"/>
  <c r="AA59" i="5" s="1"/>
  <c r="AL45" i="5"/>
  <c r="U45" i="5"/>
  <c r="U40" i="5"/>
  <c r="AL40" i="5"/>
  <c r="U56" i="5"/>
  <c r="AL56" i="5"/>
  <c r="AL47" i="5"/>
  <c r="U47" i="5"/>
  <c r="AQ144" i="5"/>
  <c r="BA144" i="5" s="1"/>
  <c r="Z144" i="5"/>
  <c r="AA144" i="5" s="1"/>
  <c r="AB39" i="5"/>
  <c r="U18" i="5"/>
  <c r="AL18" i="5"/>
  <c r="AZ3" i="5"/>
  <c r="BL33" i="5"/>
  <c r="BN33" i="5" s="1"/>
  <c r="AB141" i="5"/>
  <c r="AH50" i="5"/>
  <c r="AI50" i="5" s="1"/>
  <c r="AB50" i="5"/>
  <c r="AO50" i="5" s="1"/>
  <c r="AQ17" i="5"/>
  <c r="BL95" i="5"/>
  <c r="Z14" i="5"/>
  <c r="AA14" i="5" s="1"/>
  <c r="AQ14" i="5"/>
  <c r="BA14" i="5" s="1"/>
  <c r="AB14" i="5"/>
  <c r="AB55" i="5"/>
  <c r="AQ55" i="5"/>
  <c r="Z55" i="5"/>
  <c r="AA55" i="5" s="1"/>
  <c r="Z115" i="5"/>
  <c r="AA115" i="5" s="1"/>
  <c r="AB115" i="5"/>
  <c r="AW115" i="5" s="1"/>
  <c r="AQ115" i="5"/>
  <c r="AQ70" i="5"/>
  <c r="AX70" i="5" s="1"/>
  <c r="AQ27" i="5"/>
  <c r="AH9" i="5"/>
  <c r="AI9" i="5" s="1"/>
  <c r="AD9" i="5" s="1"/>
  <c r="AB9" i="5"/>
  <c r="Z9" i="5"/>
  <c r="AA9" i="5" s="1"/>
  <c r="AH42" i="5"/>
  <c r="AI42" i="5" s="1"/>
  <c r="AQ42" i="5"/>
  <c r="BA42" i="5" s="1"/>
  <c r="Z42" i="5"/>
  <c r="AA42" i="5" s="1"/>
  <c r="AL12" i="5"/>
  <c r="U12" i="5"/>
  <c r="BL55" i="5"/>
  <c r="U90" i="5"/>
  <c r="AL90" i="5"/>
  <c r="W76" i="5"/>
  <c r="Z76" i="5" s="1"/>
  <c r="AA76" i="5" s="1"/>
  <c r="AJ76" i="5"/>
  <c r="AD76" i="5"/>
  <c r="W102" i="5"/>
  <c r="Z102" i="5" s="1"/>
  <c r="AA102" i="5" s="1"/>
  <c r="AL102" i="5"/>
  <c r="AB48" i="5"/>
  <c r="AQ48" i="5"/>
  <c r="U31" i="5"/>
  <c r="AL31" i="5"/>
  <c r="W13" i="5"/>
  <c r="Z13" i="5" s="1"/>
  <c r="AA13" i="5" s="1"/>
  <c r="AJ13" i="5"/>
  <c r="AD13" i="5"/>
  <c r="W23" i="5"/>
  <c r="Z23" i="5" s="1"/>
  <c r="AA23" i="5" s="1"/>
  <c r="AL23" i="5"/>
  <c r="AQ50" i="5"/>
  <c r="BA50" i="5" s="1"/>
  <c r="AB52" i="5"/>
  <c r="AW52" i="5" s="1"/>
  <c r="AX52" i="5" s="1"/>
  <c r="AL62" i="5"/>
  <c r="AH44" i="5"/>
  <c r="AI44" i="5" s="1"/>
  <c r="AH39" i="5"/>
  <c r="AI39" i="5" s="1"/>
  <c r="AQ43" i="5"/>
  <c r="Z11" i="5"/>
  <c r="AA11" i="5" s="1"/>
  <c r="Z43" i="5"/>
  <c r="AA43" i="5" s="1"/>
  <c r="AL25" i="5"/>
  <c r="AB11" i="5"/>
  <c r="AB27" i="5"/>
  <c r="AW53" i="5"/>
  <c r="AO53" i="5"/>
  <c r="AR53" i="5" s="1"/>
  <c r="AS53" i="5" s="1"/>
  <c r="Z141" i="5"/>
  <c r="AA141" i="5" s="1"/>
  <c r="AL148" i="5"/>
  <c r="AD148" i="5"/>
  <c r="BP65" i="5"/>
  <c r="Z27" i="5"/>
  <c r="AA27" i="5" s="1"/>
  <c r="AD78" i="5"/>
  <c r="AB137" i="5"/>
  <c r="AL41" i="5"/>
  <c r="Z107" i="5"/>
  <c r="AA107" i="5" s="1"/>
  <c r="AQ188" i="5"/>
  <c r="BA188" i="5" s="1"/>
  <c r="AL173" i="5"/>
  <c r="AZ155" i="5"/>
  <c r="Z135" i="5"/>
  <c r="AA135" i="5" s="1"/>
  <c r="AQ111" i="5"/>
  <c r="BA111" i="5" s="1"/>
  <c r="AZ109" i="5"/>
  <c r="AB121" i="5"/>
  <c r="BL118" i="5"/>
  <c r="AQ103" i="5"/>
  <c r="BA103" i="5" s="1"/>
  <c r="AZ125" i="5"/>
  <c r="AZ117" i="5"/>
  <c r="AZ28" i="5"/>
  <c r="AH62" i="5"/>
  <c r="AI62" i="5" s="1"/>
  <c r="AJ15" i="5"/>
  <c r="BN29" i="5"/>
  <c r="BP29" i="5"/>
  <c r="AZ218" i="5"/>
  <c r="AQ52" i="5"/>
  <c r="BA52" i="5" s="1"/>
  <c r="AQ20" i="5"/>
  <c r="BA20" i="5" s="1"/>
  <c r="AQ96" i="5"/>
  <c r="BA96" i="5" s="1"/>
  <c r="AZ79" i="5"/>
  <c r="Z117" i="5"/>
  <c r="AA117" i="5" s="1"/>
  <c r="AL112" i="5"/>
  <c r="AB113" i="5"/>
  <c r="AZ16" i="5"/>
  <c r="BL27" i="5"/>
  <c r="AZ27" i="5"/>
  <c r="AZ174" i="5"/>
  <c r="AZ191" i="5"/>
  <c r="AB213" i="5"/>
  <c r="AZ181" i="5"/>
  <c r="Z224" i="5"/>
  <c r="AA224" i="5" s="1"/>
  <c r="AQ214" i="5"/>
  <c r="AL170" i="5"/>
  <c r="AQ157" i="5"/>
  <c r="BA157" i="5" s="1"/>
  <c r="Z157" i="5"/>
  <c r="AA157" i="5" s="1"/>
  <c r="AQ203" i="5"/>
  <c r="BA203" i="5" s="1"/>
  <c r="AQ91" i="5"/>
  <c r="BA91" i="5" s="1"/>
  <c r="AZ78" i="5"/>
  <c r="AL110" i="5"/>
  <c r="AZ40" i="5"/>
  <c r="AZ140" i="5"/>
  <c r="AJ55" i="5"/>
  <c r="AQ24" i="5"/>
  <c r="AB42" i="5"/>
  <c r="AZ13" i="5"/>
  <c r="AF228" i="5"/>
  <c r="AZ202" i="5"/>
  <c r="AL166" i="5"/>
  <c r="AZ87" i="5"/>
  <c r="AZ152" i="5"/>
  <c r="BL159" i="5"/>
  <c r="AZ92" i="5"/>
  <c r="AJ119" i="5"/>
  <c r="Z20" i="5"/>
  <c r="AA20" i="5" s="1"/>
  <c r="BL202" i="5"/>
  <c r="AL188" i="5"/>
  <c r="AZ159" i="5"/>
  <c r="AZ219" i="5"/>
  <c r="AL154" i="5"/>
  <c r="AZ164" i="5"/>
  <c r="AL195" i="5"/>
  <c r="AZ215" i="5"/>
  <c r="AZ176" i="5"/>
  <c r="AZ200" i="5"/>
  <c r="AB175" i="5"/>
  <c r="Z132" i="5"/>
  <c r="AA132" i="5" s="1"/>
  <c r="BL116" i="5"/>
  <c r="AJ78" i="5"/>
  <c r="AZ121" i="5"/>
  <c r="AB220" i="5"/>
  <c r="AZ175" i="5"/>
  <c r="AL34" i="5"/>
  <c r="AB64" i="5"/>
  <c r="Z24" i="5"/>
  <c r="AA24" i="5" s="1"/>
  <c r="AL17" i="5"/>
  <c r="BL132" i="5"/>
  <c r="AZ7" i="5"/>
  <c r="AZ38" i="5"/>
  <c r="AB24" i="5"/>
  <c r="AZ53" i="5"/>
  <c r="Z213" i="5"/>
  <c r="AA213" i="5" s="1"/>
  <c r="Z121" i="5"/>
  <c r="AA121" i="5" s="1"/>
  <c r="AB81" i="5"/>
  <c r="AL171" i="5"/>
  <c r="AQ186" i="5"/>
  <c r="BA186" i="5" s="1"/>
  <c r="AZ187" i="5"/>
  <c r="AL158" i="5"/>
  <c r="AQ100" i="5"/>
  <c r="BA100" i="5" s="1"/>
  <c r="AZ108" i="5"/>
  <c r="AL120" i="5"/>
  <c r="AB146" i="5"/>
  <c r="AJ45" i="5"/>
  <c r="AQ32" i="5"/>
  <c r="Z37" i="5"/>
  <c r="AA37" i="5" s="1"/>
  <c r="Z30" i="5"/>
  <c r="AA30" i="5" s="1"/>
  <c r="BP189" i="5"/>
  <c r="Z161" i="5"/>
  <c r="AA161" i="5" s="1"/>
  <c r="AL42" i="5"/>
  <c r="BL200" i="5"/>
  <c r="AZ203" i="5"/>
  <c r="AZ166" i="5"/>
  <c r="AZ194" i="5"/>
  <c r="AZ198" i="5"/>
  <c r="BL212" i="5"/>
  <c r="AZ85" i="5"/>
  <c r="AZ97" i="5"/>
  <c r="AZ94" i="5"/>
  <c r="AZ86" i="5"/>
  <c r="AQ112" i="5"/>
  <c r="BA112" i="5" s="1"/>
  <c r="AQ19" i="5"/>
  <c r="BA19" i="5" s="1"/>
  <c r="AL3" i="5"/>
  <c r="AZ46" i="5"/>
  <c r="AZ17" i="5"/>
  <c r="AZ57" i="5"/>
  <c r="AZ23" i="5"/>
  <c r="AZ211" i="5"/>
  <c r="AL169" i="5"/>
  <c r="AZ224" i="5"/>
  <c r="BN127" i="5"/>
  <c r="BP127" i="5"/>
  <c r="AZ128" i="5"/>
  <c r="AZ122" i="5"/>
  <c r="AB144" i="5"/>
  <c r="AQ30" i="5"/>
  <c r="BA30" i="5" s="1"/>
  <c r="AZ69" i="5"/>
  <c r="AZ50" i="5"/>
  <c r="AZ18" i="5"/>
  <c r="AB16" i="5"/>
  <c r="AL35" i="5"/>
  <c r="U35" i="5"/>
  <c r="AZ76" i="5"/>
  <c r="AQ57" i="5"/>
  <c r="BA57" i="5" s="1"/>
  <c r="Z28" i="5"/>
  <c r="AA28" i="5" s="1"/>
  <c r="AF234" i="5"/>
  <c r="BP207" i="5"/>
  <c r="BN207" i="5"/>
  <c r="AW38" i="5"/>
  <c r="AX38" i="5" s="1"/>
  <c r="AO38" i="5"/>
  <c r="AR38" i="5" s="1"/>
  <c r="BN38" i="5"/>
  <c r="AS199" i="5"/>
  <c r="AW161" i="5"/>
  <c r="AX161" i="5" s="1"/>
  <c r="AO161" i="5"/>
  <c r="AR161" i="5" s="1"/>
  <c r="AS161" i="5" s="1"/>
  <c r="BP234" i="5"/>
  <c r="BN234" i="5"/>
  <c r="BP49" i="5"/>
  <c r="BN49" i="5"/>
  <c r="BA202" i="5"/>
  <c r="BA232" i="5"/>
  <c r="AR227" i="5"/>
  <c r="AS227" i="5" s="1"/>
  <c r="AW217" i="5"/>
  <c r="AX217" i="5" s="1"/>
  <c r="AO217" i="5"/>
  <c r="BN163" i="5"/>
  <c r="BP163" i="5"/>
  <c r="AD178" i="5"/>
  <c r="AJ178" i="5"/>
  <c r="BP221" i="5"/>
  <c r="BN221" i="5"/>
  <c r="BP230" i="5"/>
  <c r="BN230" i="5"/>
  <c r="BA221" i="5"/>
  <c r="AW203" i="5"/>
  <c r="AO203" i="5"/>
  <c r="AW225" i="5"/>
  <c r="AO225" i="5"/>
  <c r="BA201" i="5"/>
  <c r="AW168" i="5"/>
  <c r="AX168" i="5" s="1"/>
  <c r="AO168" i="5"/>
  <c r="AW230" i="5"/>
  <c r="AX230" i="5" s="1"/>
  <c r="AO230" i="5"/>
  <c r="BF229" i="5"/>
  <c r="BD229" i="5"/>
  <c r="BC229" i="5"/>
  <c r="BM229" i="5"/>
  <c r="AW195" i="5"/>
  <c r="AO195" i="5"/>
  <c r="BA194" i="5"/>
  <c r="AW191" i="5"/>
  <c r="AX191" i="5" s="1"/>
  <c r="AO191" i="5"/>
  <c r="AW200" i="5"/>
  <c r="AX200" i="5" s="1"/>
  <c r="AO200" i="5"/>
  <c r="BA208" i="5"/>
  <c r="AJ166" i="5"/>
  <c r="AJ227" i="5"/>
  <c r="AD227" i="5"/>
  <c r="AD174" i="5"/>
  <c r="AJ174" i="5"/>
  <c r="BA166" i="5"/>
  <c r="AO196" i="5"/>
  <c r="BP219" i="5"/>
  <c r="BN219" i="5"/>
  <c r="AD205" i="5"/>
  <c r="AJ205" i="5"/>
  <c r="BA181" i="5"/>
  <c r="AO179" i="5"/>
  <c r="AW179" i="5"/>
  <c r="BP179" i="5"/>
  <c r="BN179" i="5"/>
  <c r="AJ236" i="5"/>
  <c r="AD236" i="5"/>
  <c r="AJ223" i="5"/>
  <c r="AD223" i="5"/>
  <c r="AD229" i="5"/>
  <c r="AJ229" i="5"/>
  <c r="AJ213" i="5"/>
  <c r="AD213" i="5"/>
  <c r="AJ219" i="5"/>
  <c r="AD219" i="5"/>
  <c r="AO172" i="5"/>
  <c r="AW172" i="5"/>
  <c r="BP196" i="5"/>
  <c r="BN196" i="5"/>
  <c r="BA187" i="5"/>
  <c r="AJ155" i="5"/>
  <c r="AD155" i="5"/>
  <c r="BP173" i="5"/>
  <c r="BN173" i="5"/>
  <c r="BP112" i="5"/>
  <c r="BN112" i="5"/>
  <c r="BP82" i="5"/>
  <c r="BN82" i="5"/>
  <c r="AD31" i="5"/>
  <c r="AJ31" i="5"/>
  <c r="BA218" i="5"/>
  <c r="BP166" i="5"/>
  <c r="BN166" i="5"/>
  <c r="AR147" i="5"/>
  <c r="AS147" i="5" s="1"/>
  <c r="AJ137" i="5"/>
  <c r="AD137" i="5"/>
  <c r="AO125" i="5"/>
  <c r="AW125" i="5"/>
  <c r="AX125" i="5" s="1"/>
  <c r="AW35" i="5"/>
  <c r="AO35" i="5"/>
  <c r="AJ232" i="5"/>
  <c r="AD232" i="5"/>
  <c r="BA227" i="5"/>
  <c r="BB227" i="5" s="1"/>
  <c r="AX227" i="5"/>
  <c r="AJ215" i="5"/>
  <c r="AD215" i="5"/>
  <c r="AW224" i="5"/>
  <c r="AX224" i="5" s="1"/>
  <c r="AO224" i="5"/>
  <c r="BA222" i="5"/>
  <c r="AW206" i="5"/>
  <c r="AO206" i="5"/>
  <c r="AW205" i="5"/>
  <c r="AO205" i="5"/>
  <c r="BA200" i="5"/>
  <c r="BN183" i="5"/>
  <c r="BP183" i="5"/>
  <c r="BN187" i="5"/>
  <c r="BP187" i="5"/>
  <c r="AJ200" i="5"/>
  <c r="AD200" i="5"/>
  <c r="AR198" i="5"/>
  <c r="AS198" i="5" s="1"/>
  <c r="AW202" i="5"/>
  <c r="AX202" i="5" s="1"/>
  <c r="AO202" i="5"/>
  <c r="AJ169" i="5"/>
  <c r="AD169" i="5"/>
  <c r="AJ168" i="5"/>
  <c r="AD168" i="5"/>
  <c r="BP167" i="5"/>
  <c r="BN167" i="5"/>
  <c r="BA178" i="5"/>
  <c r="AS169" i="5"/>
  <c r="BA169" i="5"/>
  <c r="AX169" i="5"/>
  <c r="AD161" i="5"/>
  <c r="AJ161" i="5"/>
  <c r="BA154" i="5"/>
  <c r="AD165" i="5"/>
  <c r="AJ165" i="5"/>
  <c r="BA127" i="5"/>
  <c r="BA122" i="5"/>
  <c r="BA129" i="5"/>
  <c r="BP134" i="5"/>
  <c r="BN134" i="5"/>
  <c r="AO133" i="5"/>
  <c r="AW133" i="5"/>
  <c r="AX133" i="5" s="1"/>
  <c r="AW130" i="5"/>
  <c r="BA150" i="5"/>
  <c r="AD120" i="5"/>
  <c r="AJ120" i="5"/>
  <c r="AD131" i="5"/>
  <c r="AJ131" i="5"/>
  <c r="BN81" i="5"/>
  <c r="BP81" i="5"/>
  <c r="AD100" i="5"/>
  <c r="AJ100" i="5"/>
  <c r="AJ94" i="5"/>
  <c r="AD94" i="5"/>
  <c r="AO93" i="5"/>
  <c r="AW93" i="5"/>
  <c r="BN93" i="5"/>
  <c r="BP93" i="5"/>
  <c r="BA104" i="5"/>
  <c r="AO92" i="5"/>
  <c r="AW92" i="5"/>
  <c r="AW68" i="5"/>
  <c r="AO68" i="5"/>
  <c r="BN76" i="5"/>
  <c r="BP76" i="5"/>
  <c r="BP53" i="5"/>
  <c r="BN53" i="5"/>
  <c r="BA71" i="5"/>
  <c r="BP73" i="5"/>
  <c r="BN73" i="5"/>
  <c r="AW73" i="5"/>
  <c r="AX73" i="5" s="1"/>
  <c r="AO73" i="5"/>
  <c r="BP46" i="5"/>
  <c r="BN46" i="5"/>
  <c r="BA37" i="5"/>
  <c r="AW26" i="5"/>
  <c r="AO26" i="5"/>
  <c r="BA41" i="5"/>
  <c r="BP22" i="5"/>
  <c r="BN22" i="5"/>
  <c r="BA18" i="5"/>
  <c r="AW31" i="5"/>
  <c r="AO31" i="5"/>
  <c r="AW46" i="5"/>
  <c r="AX46" i="5" s="1"/>
  <c r="AO46" i="5"/>
  <c r="AJ9" i="5"/>
  <c r="BA3" i="5"/>
  <c r="BN5" i="5"/>
  <c r="BP5" i="5"/>
  <c r="BP9" i="5"/>
  <c r="BN9" i="5"/>
  <c r="AW15" i="5"/>
  <c r="AO15" i="5"/>
  <c r="BA13" i="5"/>
  <c r="AO11" i="5"/>
  <c r="AW11" i="5"/>
  <c r="BA118" i="5"/>
  <c r="AW105" i="5"/>
  <c r="AX105" i="5" s="1"/>
  <c r="AO105" i="5"/>
  <c r="AJ64" i="5"/>
  <c r="AD64" i="5"/>
  <c r="AJ49" i="5"/>
  <c r="AD49" i="5"/>
  <c r="BP23" i="5"/>
  <c r="BN23" i="5"/>
  <c r="AJ221" i="5"/>
  <c r="AD221" i="5"/>
  <c r="AO232" i="5"/>
  <c r="AW232" i="5"/>
  <c r="AX232" i="5" s="1"/>
  <c r="AW228" i="5"/>
  <c r="AX228" i="5" s="1"/>
  <c r="AO228" i="5"/>
  <c r="BA217" i="5"/>
  <c r="AD208" i="5"/>
  <c r="AJ208" i="5"/>
  <c r="AJ222" i="5"/>
  <c r="AD222" i="5"/>
  <c r="BP204" i="5"/>
  <c r="BN204" i="5"/>
  <c r="AW210" i="5"/>
  <c r="AX210" i="5" s="1"/>
  <c r="AO210" i="5"/>
  <c r="AJ197" i="5"/>
  <c r="AD197" i="5"/>
  <c r="BA182" i="5"/>
  <c r="AX182" i="5"/>
  <c r="BA185" i="5"/>
  <c r="AO201" i="5"/>
  <c r="AD179" i="5"/>
  <c r="AJ179" i="5"/>
  <c r="BB182" i="5"/>
  <c r="AW157" i="5"/>
  <c r="AX157" i="5" s="1"/>
  <c r="AO157" i="5"/>
  <c r="BP154" i="5"/>
  <c r="BN154" i="5"/>
  <c r="AW164" i="5"/>
  <c r="AX164" i="5" s="1"/>
  <c r="AO164" i="5"/>
  <c r="AW152" i="5"/>
  <c r="AX152" i="5" s="1"/>
  <c r="AO152" i="5"/>
  <c r="BA138" i="5"/>
  <c r="BA140" i="5"/>
  <c r="AW127" i="5"/>
  <c r="AX127" i="5" s="1"/>
  <c r="AO127" i="5"/>
  <c r="AO106" i="5"/>
  <c r="AW106" i="5"/>
  <c r="AX106" i="5" s="1"/>
  <c r="BA139" i="5"/>
  <c r="AO78" i="5"/>
  <c r="AJ108" i="5"/>
  <c r="AD108" i="5"/>
  <c r="BA76" i="5"/>
  <c r="AD103" i="5"/>
  <c r="AJ103" i="5"/>
  <c r="AW110" i="5"/>
  <c r="AX110" i="5" s="1"/>
  <c r="AO110" i="5"/>
  <c r="AW102" i="5"/>
  <c r="AX102" i="5" s="1"/>
  <c r="AO102" i="5"/>
  <c r="AJ97" i="5"/>
  <c r="AD97" i="5"/>
  <c r="BN68" i="5"/>
  <c r="BP68" i="5"/>
  <c r="AO80" i="5"/>
  <c r="BP67" i="5"/>
  <c r="BN67" i="5"/>
  <c r="AW87" i="5"/>
  <c r="AX87" i="5" s="1"/>
  <c r="AO87" i="5"/>
  <c r="BA90" i="5"/>
  <c r="BA68" i="5"/>
  <c r="AX68" i="5"/>
  <c r="BP83" i="5"/>
  <c r="BN83" i="5"/>
  <c r="BA55" i="5"/>
  <c r="AO27" i="5"/>
  <c r="AW27" i="5"/>
  <c r="AX27" i="5" s="1"/>
  <c r="BP51" i="5"/>
  <c r="BN51" i="5"/>
  <c r="AO45" i="5"/>
  <c r="AW45" i="5"/>
  <c r="AX45" i="5" s="1"/>
  <c r="BN40" i="5"/>
  <c r="AW34" i="5"/>
  <c r="AX34" i="5" s="1"/>
  <c r="AO34" i="5"/>
  <c r="BA31" i="5"/>
  <c r="AX31" i="5"/>
  <c r="BA7" i="5"/>
  <c r="AD12" i="5"/>
  <c r="AJ12" i="5"/>
  <c r="BN4" i="5"/>
  <c r="BP4" i="5"/>
  <c r="AO13" i="5"/>
  <c r="AW13" i="5"/>
  <c r="AX13" i="5" s="1"/>
  <c r="BA11" i="5"/>
  <c r="AX11" i="5"/>
  <c r="BP152" i="5"/>
  <c r="BN152" i="5"/>
  <c r="AJ143" i="5"/>
  <c r="AD143" i="5"/>
  <c r="AJ164" i="5"/>
  <c r="AD164" i="5"/>
  <c r="BA152" i="5"/>
  <c r="AW138" i="5"/>
  <c r="AX138" i="5" s="1"/>
  <c r="AO138" i="5"/>
  <c r="AW140" i="5"/>
  <c r="AX140" i="5" s="1"/>
  <c r="AO140" i="5"/>
  <c r="BP164" i="5"/>
  <c r="BN164" i="5"/>
  <c r="BP151" i="5"/>
  <c r="BN151" i="5"/>
  <c r="AD133" i="5"/>
  <c r="AJ133" i="5"/>
  <c r="AD130" i="5"/>
  <c r="AJ130" i="5"/>
  <c r="AW114" i="5"/>
  <c r="AX114" i="5" s="1"/>
  <c r="AO114" i="5"/>
  <c r="AW139" i="5"/>
  <c r="AX139" i="5" s="1"/>
  <c r="AO139" i="5"/>
  <c r="AR85" i="5"/>
  <c r="AS85" i="5" s="1"/>
  <c r="AW79" i="5"/>
  <c r="AO79" i="5"/>
  <c r="AO95" i="5"/>
  <c r="AW95" i="5"/>
  <c r="AX95" i="5" s="1"/>
  <c r="AO99" i="5"/>
  <c r="BA84" i="5"/>
  <c r="BA102" i="5"/>
  <c r="AJ69" i="5"/>
  <c r="AD69" i="5"/>
  <c r="BP61" i="5"/>
  <c r="BN61" i="5"/>
  <c r="BA75" i="5"/>
  <c r="BA53" i="5"/>
  <c r="BB53" i="5" s="1"/>
  <c r="AX53" i="5"/>
  <c r="AO52" i="5"/>
  <c r="BA73" i="5"/>
  <c r="AJ44" i="5"/>
  <c r="AD44" i="5"/>
  <c r="AW57" i="5"/>
  <c r="AX57" i="5" s="1"/>
  <c r="AO57" i="5"/>
  <c r="AW25" i="5"/>
  <c r="AX25" i="5" s="1"/>
  <c r="AO25" i="5"/>
  <c r="BN42" i="5"/>
  <c r="BP42" i="5"/>
  <c r="AJ32" i="5"/>
  <c r="AD32" i="5"/>
  <c r="BP18" i="5"/>
  <c r="BN18" i="5"/>
  <c r="BA49" i="5"/>
  <c r="AO22" i="5"/>
  <c r="AW22" i="5"/>
  <c r="AX22" i="5" s="1"/>
  <c r="AO33" i="5"/>
  <c r="AW33" i="5"/>
  <c r="AX33" i="5" s="1"/>
  <c r="BA46" i="5"/>
  <c r="BA17" i="5"/>
  <c r="BN19" i="5"/>
  <c r="BP19" i="5"/>
  <c r="AD17" i="5"/>
  <c r="AJ17" i="5"/>
  <c r="AJ4" i="5"/>
  <c r="AD4" i="5"/>
  <c r="BP20" i="5"/>
  <c r="BN20" i="5"/>
  <c r="BA15" i="5"/>
  <c r="AX15" i="5"/>
  <c r="AJ225" i="5"/>
  <c r="AD225" i="5"/>
  <c r="BA230" i="5"/>
  <c r="AX225" i="5"/>
  <c r="BA225" i="5"/>
  <c r="AW208" i="5"/>
  <c r="AX208" i="5" s="1"/>
  <c r="AO208" i="5"/>
  <c r="AX199" i="5"/>
  <c r="BA199" i="5"/>
  <c r="BB199" i="5" s="1"/>
  <c r="AJ210" i="5"/>
  <c r="AD210" i="5"/>
  <c r="BA205" i="5"/>
  <c r="AD199" i="5"/>
  <c r="AJ199" i="5"/>
  <c r="BA195" i="5"/>
  <c r="AX195" i="5"/>
  <c r="BN176" i="5"/>
  <c r="BP176" i="5"/>
  <c r="AO181" i="5"/>
  <c r="AW181" i="5"/>
  <c r="AX181" i="5" s="1"/>
  <c r="AO187" i="5"/>
  <c r="AW187" i="5"/>
  <c r="BA179" i="5"/>
  <c r="AX179" i="5"/>
  <c r="AX147" i="5"/>
  <c r="BA147" i="5"/>
  <c r="BB147" i="5" s="1"/>
  <c r="BA160" i="5"/>
  <c r="BA158" i="5"/>
  <c r="AO126" i="5"/>
  <c r="AW126" i="5"/>
  <c r="AX126" i="5" s="1"/>
  <c r="AJ139" i="5"/>
  <c r="AD139" i="5"/>
  <c r="BP137" i="5"/>
  <c r="BN137" i="5"/>
  <c r="AJ145" i="5"/>
  <c r="AD145" i="5"/>
  <c r="BA120" i="5"/>
  <c r="BA145" i="5"/>
  <c r="BN146" i="5"/>
  <c r="AO103" i="5"/>
  <c r="AW103" i="5"/>
  <c r="AX103" i="5" s="1"/>
  <c r="AW118" i="5"/>
  <c r="AX118" i="5" s="1"/>
  <c r="AO118" i="5"/>
  <c r="BA110" i="5"/>
  <c r="BA92" i="5"/>
  <c r="AX92" i="5"/>
  <c r="AJ93" i="5"/>
  <c r="AD93" i="5"/>
  <c r="BA99" i="5"/>
  <c r="AX99" i="5"/>
  <c r="AW74" i="5"/>
  <c r="AX74" i="5" s="1"/>
  <c r="AO74" i="5"/>
  <c r="AJ110" i="5"/>
  <c r="AD110" i="5"/>
  <c r="AJ89" i="5"/>
  <c r="AD89" i="5"/>
  <c r="AW50" i="5"/>
  <c r="BP79" i="5"/>
  <c r="BN79" i="5"/>
  <c r="AO90" i="5"/>
  <c r="AX50" i="5"/>
  <c r="AO75" i="5"/>
  <c r="AW75" i="5"/>
  <c r="AX75" i="5" s="1"/>
  <c r="AW60" i="5"/>
  <c r="AX60" i="5" s="1"/>
  <c r="AO60" i="5"/>
  <c r="AW19" i="5"/>
  <c r="AO19" i="5"/>
  <c r="BA25" i="5"/>
  <c r="AW49" i="5"/>
  <c r="AX49" i="5" s="1"/>
  <c r="BA34" i="5"/>
  <c r="AW54" i="5"/>
  <c r="AX54" i="5" s="1"/>
  <c r="AO54" i="5"/>
  <c r="BA33" i="5"/>
  <c r="AD16" i="5"/>
  <c r="AJ16" i="5"/>
  <c r="AJ10" i="5"/>
  <c r="AD10" i="5"/>
  <c r="AW2" i="5"/>
  <c r="AO2" i="5"/>
  <c r="AD6" i="5"/>
  <c r="AJ6" i="5"/>
  <c r="BP11" i="5"/>
  <c r="BN11" i="5"/>
  <c r="AJ160" i="5"/>
  <c r="AD160" i="5"/>
  <c r="AO88" i="5"/>
  <c r="AW88" i="5"/>
  <c r="AX88" i="5" s="1"/>
  <c r="BA212" i="5"/>
  <c r="BP198" i="5"/>
  <c r="BN198" i="5"/>
  <c r="AW194" i="5"/>
  <c r="AX194" i="5" s="1"/>
  <c r="AO194" i="5"/>
  <c r="AO174" i="5"/>
  <c r="AW174" i="5"/>
  <c r="BP105" i="5"/>
  <c r="BN105" i="5"/>
  <c r="AO91" i="5"/>
  <c r="AW91" i="5"/>
  <c r="AX91" i="5" s="1"/>
  <c r="AJ214" i="5"/>
  <c r="AD214" i="5"/>
  <c r="AW219" i="5"/>
  <c r="AX219" i="5" s="1"/>
  <c r="AW218" i="5"/>
  <c r="AX218" i="5" s="1"/>
  <c r="AO218" i="5"/>
  <c r="BP218" i="5"/>
  <c r="BN218" i="5"/>
  <c r="AW207" i="5"/>
  <c r="AX207" i="5" s="1"/>
  <c r="AO207" i="5"/>
  <c r="BP193" i="5"/>
  <c r="BN193" i="5"/>
  <c r="BA204" i="5"/>
  <c r="BP195" i="5"/>
  <c r="BN195" i="5"/>
  <c r="BP162" i="5"/>
  <c r="BN162" i="5"/>
  <c r="BP180" i="5"/>
  <c r="AD202" i="5"/>
  <c r="AJ202" i="5"/>
  <c r="BN185" i="5"/>
  <c r="BP185" i="5"/>
  <c r="AO177" i="5"/>
  <c r="AW177" i="5"/>
  <c r="AX177" i="5" s="1"/>
  <c r="BA192" i="5"/>
  <c r="BA174" i="5"/>
  <c r="AX174" i="5"/>
  <c r="BP174" i="5"/>
  <c r="BN174" i="5"/>
  <c r="AX123" i="5"/>
  <c r="BA123" i="5"/>
  <c r="AW148" i="5"/>
  <c r="AO148" i="5"/>
  <c r="AD128" i="5"/>
  <c r="AJ128" i="5"/>
  <c r="AJ142" i="5"/>
  <c r="AD142" i="5"/>
  <c r="AW111" i="5"/>
  <c r="AO111" i="5"/>
  <c r="BP111" i="5"/>
  <c r="BN111" i="5"/>
  <c r="BP121" i="5"/>
  <c r="BN121" i="5"/>
  <c r="AO96" i="5"/>
  <c r="AW96" i="5"/>
  <c r="AX96" i="5" s="1"/>
  <c r="AW98" i="5"/>
  <c r="AO98" i="5"/>
  <c r="BN88" i="5"/>
  <c r="BP88" i="5"/>
  <c r="BA101" i="5"/>
  <c r="AJ90" i="5"/>
  <c r="AD90" i="5"/>
  <c r="BA65" i="5"/>
  <c r="BN92" i="5"/>
  <c r="BP92" i="5"/>
  <c r="BA59" i="5"/>
  <c r="AD61" i="5"/>
  <c r="AJ61" i="5"/>
  <c r="BA83" i="5"/>
  <c r="BP64" i="5"/>
  <c r="BN64" i="5"/>
  <c r="BA64" i="5"/>
  <c r="AO47" i="5"/>
  <c r="AW47" i="5"/>
  <c r="AX47" i="5" s="1"/>
  <c r="BA35" i="5"/>
  <c r="AX35" i="5"/>
  <c r="AD20" i="5"/>
  <c r="AJ20" i="5"/>
  <c r="AD23" i="5"/>
  <c r="AJ23" i="5"/>
  <c r="AD40" i="5"/>
  <c r="AJ40" i="5"/>
  <c r="BN31" i="5"/>
  <c r="BP31" i="5"/>
  <c r="BP43" i="5"/>
  <c r="BN43" i="5"/>
  <c r="BN14" i="5"/>
  <c r="BP14" i="5"/>
  <c r="BN2" i="5"/>
  <c r="BP2" i="5"/>
  <c r="BA12" i="5"/>
  <c r="BA6" i="5"/>
  <c r="AW76" i="5"/>
  <c r="AX76" i="5" s="1"/>
  <c r="AO76" i="5"/>
  <c r="AW226" i="5"/>
  <c r="AX226" i="5" s="1"/>
  <c r="AO226" i="5"/>
  <c r="BP232" i="5"/>
  <c r="BN232" i="5"/>
  <c r="BP175" i="5"/>
  <c r="BN175" i="5"/>
  <c r="BA191" i="5"/>
  <c r="AD157" i="5"/>
  <c r="AJ157" i="5"/>
  <c r="AW116" i="5"/>
  <c r="AX116" i="5" s="1"/>
  <c r="AO116" i="5"/>
  <c r="BP114" i="5"/>
  <c r="BN114" i="5"/>
  <c r="AJ95" i="5"/>
  <c r="AD95" i="5"/>
  <c r="AD72" i="5"/>
  <c r="AJ72" i="5"/>
  <c r="AO6" i="5"/>
  <c r="AW6" i="5"/>
  <c r="AX6" i="5" s="1"/>
  <c r="BP222" i="5"/>
  <c r="BN222" i="5"/>
  <c r="BA215" i="5"/>
  <c r="AJ217" i="5"/>
  <c r="AD217" i="5"/>
  <c r="AW211" i="5"/>
  <c r="AX211" i="5" s="1"/>
  <c r="AO211" i="5"/>
  <c r="BA193" i="5"/>
  <c r="AO190" i="5"/>
  <c r="AW190" i="5"/>
  <c r="AX190" i="5" s="1"/>
  <c r="BP194" i="5"/>
  <c r="BN194" i="5"/>
  <c r="BA175" i="5"/>
  <c r="BP172" i="5"/>
  <c r="BN172" i="5"/>
  <c r="AO173" i="5"/>
  <c r="AW173" i="5"/>
  <c r="AX173" i="5" s="1"/>
  <c r="BA177" i="5"/>
  <c r="BB169" i="5"/>
  <c r="AO155" i="5"/>
  <c r="AW155" i="5"/>
  <c r="AX155" i="5" s="1"/>
  <c r="BA141" i="5"/>
  <c r="BA155" i="5"/>
  <c r="AO136" i="5"/>
  <c r="AW151" i="5"/>
  <c r="AX151" i="5" s="1"/>
  <c r="AO151" i="5"/>
  <c r="AO159" i="5"/>
  <c r="AW159" i="5"/>
  <c r="AO132" i="5"/>
  <c r="AW132" i="5"/>
  <c r="AX132" i="5" s="1"/>
  <c r="BA126" i="5"/>
  <c r="AW142" i="5"/>
  <c r="AO142" i="5"/>
  <c r="BA116" i="5"/>
  <c r="BP122" i="5"/>
  <c r="BN122" i="5"/>
  <c r="BP102" i="5"/>
  <c r="BN102" i="5"/>
  <c r="BA98" i="5"/>
  <c r="AX98" i="5"/>
  <c r="AJ88" i="5"/>
  <c r="AD88" i="5"/>
  <c r="AW109" i="5"/>
  <c r="AX109" i="5" s="1"/>
  <c r="AO109" i="5"/>
  <c r="BA82" i="5"/>
  <c r="BA77" i="5"/>
  <c r="AW82" i="5"/>
  <c r="AO82" i="5"/>
  <c r="BA86" i="5"/>
  <c r="AD71" i="5"/>
  <c r="AJ71" i="5"/>
  <c r="AD60" i="5"/>
  <c r="AJ60" i="5"/>
  <c r="BP58" i="5"/>
  <c r="BN58" i="5"/>
  <c r="BN57" i="5"/>
  <c r="BP57" i="5"/>
  <c r="BP48" i="5"/>
  <c r="BN48" i="5"/>
  <c r="AJ39" i="5"/>
  <c r="BA47" i="5"/>
  <c r="BA44" i="5"/>
  <c r="AD25" i="5"/>
  <c r="AJ25" i="5"/>
  <c r="AW20" i="5"/>
  <c r="AX20" i="5" s="1"/>
  <c r="AO20" i="5"/>
  <c r="BP36" i="5"/>
  <c r="BN36" i="5"/>
  <c r="BN8" i="5"/>
  <c r="BP8" i="5"/>
  <c r="BP12" i="5"/>
  <c r="BN12" i="5"/>
  <c r="AO29" i="5"/>
  <c r="AW29" i="5"/>
  <c r="AJ22" i="5"/>
  <c r="AD22" i="5"/>
  <c r="AD111" i="5"/>
  <c r="BA63" i="5"/>
  <c r="AJ38" i="5"/>
  <c r="AD38" i="5"/>
  <c r="BA2" i="5"/>
  <c r="AX2" i="5"/>
  <c r="AW209" i="5"/>
  <c r="AX209" i="5" s="1"/>
  <c r="AO209" i="5"/>
  <c r="AW204" i="5"/>
  <c r="AX204" i="5" s="1"/>
  <c r="AO204" i="5"/>
  <c r="BP160" i="5"/>
  <c r="BN160" i="5"/>
  <c r="AW145" i="5"/>
  <c r="AX145" i="5" s="1"/>
  <c r="AO145" i="5"/>
  <c r="AO100" i="5"/>
  <c r="AW100" i="5"/>
  <c r="AD75" i="5"/>
  <c r="AJ75" i="5"/>
  <c r="BA61" i="5"/>
  <c r="BB61" i="5" s="1"/>
  <c r="AX61" i="5"/>
  <c r="AO65" i="5"/>
  <c r="AW65" i="5"/>
  <c r="AX65" i="5" s="1"/>
  <c r="AW48" i="5"/>
  <c r="AX48" i="5" s="1"/>
  <c r="AO48" i="5"/>
  <c r="AJ3" i="5"/>
  <c r="AD3" i="5"/>
  <c r="AD41" i="5"/>
  <c r="AJ41" i="5"/>
  <c r="BA22" i="5"/>
  <c r="AJ2" i="5"/>
  <c r="AD2" i="5"/>
  <c r="BP10" i="5"/>
  <c r="BN10" i="5"/>
  <c r="AO12" i="5"/>
  <c r="AW12" i="5"/>
  <c r="AX12" i="5" s="1"/>
  <c r="AS229" i="5"/>
  <c r="BA233" i="5"/>
  <c r="AX233" i="5"/>
  <c r="BP217" i="5"/>
  <c r="BN217" i="5"/>
  <c r="BA235" i="5"/>
  <c r="BA216" i="5"/>
  <c r="AO231" i="5"/>
  <c r="AW231" i="5"/>
  <c r="AX231" i="5" s="1"/>
  <c r="BA213" i="5"/>
  <c r="BP223" i="5"/>
  <c r="BN223" i="5"/>
  <c r="AO233" i="5"/>
  <c r="AW233" i="5"/>
  <c r="AJ216" i="5"/>
  <c r="AD216" i="5"/>
  <c r="AO235" i="5"/>
  <c r="AW235" i="5"/>
  <c r="AX235" i="5" s="1"/>
  <c r="AW215" i="5"/>
  <c r="AX215" i="5" s="1"/>
  <c r="AO215" i="5"/>
  <c r="AW216" i="5"/>
  <c r="AX216" i="5" s="1"/>
  <c r="AO216" i="5"/>
  <c r="BP213" i="5"/>
  <c r="BN213" i="5"/>
  <c r="AD207" i="5"/>
  <c r="BP205" i="5"/>
  <c r="BN205" i="5"/>
  <c r="AW193" i="5"/>
  <c r="AX193" i="5" s="1"/>
  <c r="AO193" i="5"/>
  <c r="BN190" i="5"/>
  <c r="BP190" i="5"/>
  <c r="AO184" i="5"/>
  <c r="AW184" i="5"/>
  <c r="AX184" i="5" s="1"/>
  <c r="AD173" i="5"/>
  <c r="AJ173" i="5"/>
  <c r="AW192" i="5"/>
  <c r="AX192" i="5" s="1"/>
  <c r="AO192" i="5"/>
  <c r="AO171" i="5"/>
  <c r="AW171" i="5"/>
  <c r="AX171" i="5" s="1"/>
  <c r="BP171" i="5"/>
  <c r="BN171" i="5"/>
  <c r="BA162" i="5"/>
  <c r="BP153" i="5"/>
  <c r="BN153" i="5"/>
  <c r="AJ149" i="5"/>
  <c r="AD149" i="5"/>
  <c r="AJ144" i="5"/>
  <c r="AD144" i="5"/>
  <c r="BA151" i="5"/>
  <c r="AD167" i="5"/>
  <c r="AJ167" i="5"/>
  <c r="BA156" i="5"/>
  <c r="BA163" i="5"/>
  <c r="BN143" i="5"/>
  <c r="BP143" i="5"/>
  <c r="BA117" i="5"/>
  <c r="AD129" i="5"/>
  <c r="AJ129" i="5"/>
  <c r="BA121" i="5"/>
  <c r="BA125" i="5"/>
  <c r="AD127" i="5"/>
  <c r="AJ127" i="5"/>
  <c r="AO119" i="5"/>
  <c r="AW119" i="5"/>
  <c r="AO107" i="5"/>
  <c r="AW107" i="5"/>
  <c r="AX107" i="5" s="1"/>
  <c r="AJ91" i="5"/>
  <c r="AD91" i="5"/>
  <c r="BN78" i="5"/>
  <c r="BP78" i="5"/>
  <c r="BN91" i="5"/>
  <c r="BP91" i="5"/>
  <c r="AD106" i="5"/>
  <c r="AJ106" i="5"/>
  <c r="AJ92" i="5"/>
  <c r="AD92" i="5"/>
  <c r="AJ77" i="5"/>
  <c r="AD77" i="5"/>
  <c r="AW69" i="5"/>
  <c r="AX69" i="5" s="1"/>
  <c r="AO69" i="5"/>
  <c r="AD82" i="5"/>
  <c r="AJ82" i="5"/>
  <c r="AO66" i="5"/>
  <c r="AW66" i="5"/>
  <c r="AX66" i="5" s="1"/>
  <c r="AW63" i="5"/>
  <c r="AX63" i="5" s="1"/>
  <c r="AO63" i="5"/>
  <c r="BN71" i="5"/>
  <c r="BP71" i="5"/>
  <c r="BN89" i="5"/>
  <c r="BP89" i="5"/>
  <c r="BP59" i="5"/>
  <c r="BN59" i="5"/>
  <c r="AO72" i="5"/>
  <c r="AW72" i="5"/>
  <c r="AX72" i="5" s="1"/>
  <c r="BP55" i="5"/>
  <c r="BN55" i="5"/>
  <c r="AW40" i="5"/>
  <c r="AW44" i="5"/>
  <c r="AX44" i="5" s="1"/>
  <c r="AO44" i="5"/>
  <c r="AS61" i="5"/>
  <c r="AW14" i="5"/>
  <c r="AX14" i="5" s="1"/>
  <c r="AO14" i="5"/>
  <c r="AD7" i="5"/>
  <c r="AJ7" i="5"/>
  <c r="BA29" i="5"/>
  <c r="AX29" i="5"/>
  <c r="AJ8" i="5"/>
  <c r="AD8" i="5"/>
  <c r="AD5" i="5"/>
  <c r="AJ5" i="5"/>
  <c r="AO158" i="5"/>
  <c r="AW158" i="5"/>
  <c r="AX158" i="5" s="1"/>
  <c r="AJ105" i="5"/>
  <c r="AD105" i="5"/>
  <c r="BA28" i="5"/>
  <c r="AW221" i="5"/>
  <c r="AX221" i="5" s="1"/>
  <c r="AO221" i="5"/>
  <c r="BA209" i="5"/>
  <c r="AJ224" i="5"/>
  <c r="AD224" i="5"/>
  <c r="BP220" i="5"/>
  <c r="BN220" i="5"/>
  <c r="AJ211" i="5"/>
  <c r="AD211" i="5"/>
  <c r="BA197" i="5"/>
  <c r="AD187" i="5"/>
  <c r="AJ187" i="5"/>
  <c r="AO186" i="5"/>
  <c r="AW186" i="5"/>
  <c r="AX186" i="5" s="1"/>
  <c r="BP170" i="5"/>
  <c r="BN170" i="5"/>
  <c r="BA168" i="5"/>
  <c r="AW149" i="5"/>
  <c r="AX149" i="5" s="1"/>
  <c r="AO149" i="5"/>
  <c r="AO162" i="5"/>
  <c r="AW162" i="5"/>
  <c r="AX162" i="5" s="1"/>
  <c r="BP148" i="5"/>
  <c r="BN148" i="5"/>
  <c r="AW156" i="5"/>
  <c r="AX156" i="5" s="1"/>
  <c r="AO156" i="5"/>
  <c r="BA165" i="5"/>
  <c r="BP158" i="5"/>
  <c r="BN158" i="5"/>
  <c r="AO163" i="5"/>
  <c r="AW163" i="5"/>
  <c r="AX163" i="5" s="1"/>
  <c r="BN141" i="5"/>
  <c r="BP141" i="5"/>
  <c r="AJ132" i="5"/>
  <c r="BA113" i="5"/>
  <c r="AX119" i="5"/>
  <c r="BA119" i="5"/>
  <c r="BP120" i="5"/>
  <c r="BN120" i="5"/>
  <c r="BP99" i="5"/>
  <c r="BN99" i="5"/>
  <c r="AJ96" i="5"/>
  <c r="AD96" i="5"/>
  <c r="BA78" i="5"/>
  <c r="AO94" i="5"/>
  <c r="AW94" i="5"/>
  <c r="AX94" i="5" s="1"/>
  <c r="AJ109" i="5"/>
  <c r="AD109" i="5"/>
  <c r="AW112" i="5"/>
  <c r="AX112" i="5" s="1"/>
  <c r="AO112" i="5"/>
  <c r="AJ87" i="5"/>
  <c r="AD87" i="5"/>
  <c r="BA66" i="5"/>
  <c r="BN50" i="5"/>
  <c r="BP50" i="5"/>
  <c r="AW70" i="5"/>
  <c r="AO70" i="5"/>
  <c r="BA56" i="5"/>
  <c r="BB56" i="5" s="1"/>
  <c r="AX56" i="5"/>
  <c r="BN85" i="5"/>
  <c r="BP85" i="5"/>
  <c r="BA72" i="5"/>
  <c r="BA43" i="5"/>
  <c r="AD29" i="5"/>
  <c r="AJ29" i="5"/>
  <c r="AW17" i="5"/>
  <c r="AO17" i="5"/>
  <c r="BA36" i="5"/>
  <c r="AW18" i="5"/>
  <c r="AX18" i="5" s="1"/>
  <c r="AO18" i="5"/>
  <c r="AD43" i="5"/>
  <c r="AJ43" i="5"/>
  <c r="BN54" i="5"/>
  <c r="BP54" i="5"/>
  <c r="AR32" i="5"/>
  <c r="AS32" i="5" s="1"/>
  <c r="BA10" i="5"/>
  <c r="AW23" i="5"/>
  <c r="AX23" i="5" s="1"/>
  <c r="AO23" i="5"/>
  <c r="AD11" i="5"/>
  <c r="AJ11" i="5"/>
  <c r="AW9" i="5"/>
  <c r="AO9" i="5"/>
  <c r="AW160" i="5"/>
  <c r="AX160" i="5" s="1"/>
  <c r="AO160" i="5"/>
  <c r="BN135" i="5"/>
  <c r="BP135" i="5"/>
  <c r="BN80" i="5"/>
  <c r="BP80" i="5"/>
  <c r="BA48" i="5"/>
  <c r="AD47" i="5"/>
  <c r="AJ47" i="5"/>
  <c r="AD33" i="5"/>
  <c r="AJ33" i="5"/>
  <c r="BA219" i="5"/>
  <c r="BP125" i="5"/>
  <c r="BN125" i="5"/>
  <c r="BA105" i="5"/>
  <c r="AO36" i="5"/>
  <c r="AW36" i="5"/>
  <c r="AX36" i="5" s="1"/>
  <c r="AJ37" i="5"/>
  <c r="AD37" i="5"/>
  <c r="AJ21" i="5"/>
  <c r="AD21" i="5"/>
  <c r="AJ237" i="5"/>
  <c r="AD237" i="5"/>
  <c r="AW237" i="5"/>
  <c r="AX237" i="5" s="1"/>
  <c r="AO237" i="5"/>
  <c r="AS236" i="5"/>
  <c r="AJ209" i="5"/>
  <c r="AD209" i="5"/>
  <c r="AW222" i="5"/>
  <c r="AX222" i="5" s="1"/>
  <c r="AO222" i="5"/>
  <c r="BB234" i="5"/>
  <c r="AR234" i="5"/>
  <c r="AS234" i="5" s="1"/>
  <c r="AX206" i="5"/>
  <c r="BA206" i="5"/>
  <c r="AJ212" i="5"/>
  <c r="AD212" i="5"/>
  <c r="AD206" i="5"/>
  <c r="AJ206" i="5"/>
  <c r="BP186" i="5"/>
  <c r="BN186" i="5"/>
  <c r="AW188" i="5"/>
  <c r="AX188" i="5" s="1"/>
  <c r="AO188" i="5"/>
  <c r="AD180" i="5"/>
  <c r="AJ180" i="5"/>
  <c r="AD184" i="5"/>
  <c r="AJ184" i="5"/>
  <c r="BA171" i="5"/>
  <c r="AJ170" i="5"/>
  <c r="AD170" i="5"/>
  <c r="BA184" i="5"/>
  <c r="BA170" i="5"/>
  <c r="BA149" i="5"/>
  <c r="BA172" i="5"/>
  <c r="AX172" i="5"/>
  <c r="AO134" i="5"/>
  <c r="AW134" i="5"/>
  <c r="AX134" i="5" s="1"/>
  <c r="BP156" i="5"/>
  <c r="BN156" i="5"/>
  <c r="AW165" i="5"/>
  <c r="AX165" i="5" s="1"/>
  <c r="AO165" i="5"/>
  <c r="AW153" i="5"/>
  <c r="AX153" i="5" s="1"/>
  <c r="AO153" i="5"/>
  <c r="AJ159" i="5"/>
  <c r="AD159" i="5"/>
  <c r="AO128" i="5"/>
  <c r="AW128" i="5"/>
  <c r="AX128" i="5" s="1"/>
  <c r="AO131" i="5"/>
  <c r="AW131" i="5"/>
  <c r="AX131" i="5" s="1"/>
  <c r="BA97" i="5"/>
  <c r="AJ102" i="5"/>
  <c r="AD102" i="5"/>
  <c r="AJ98" i="5"/>
  <c r="AD98" i="5"/>
  <c r="BN94" i="5"/>
  <c r="BP94" i="5"/>
  <c r="AO97" i="5"/>
  <c r="AW97" i="5"/>
  <c r="AX97" i="5" s="1"/>
  <c r="AW86" i="5"/>
  <c r="AX86" i="5" s="1"/>
  <c r="AO86" i="5"/>
  <c r="AJ99" i="5"/>
  <c r="AD99" i="5"/>
  <c r="AO83" i="5"/>
  <c r="AW83" i="5"/>
  <c r="AX83" i="5" s="1"/>
  <c r="BP70" i="5"/>
  <c r="BN70" i="5"/>
  <c r="AJ52" i="5"/>
  <c r="AD52" i="5"/>
  <c r="BN87" i="5"/>
  <c r="BP87" i="5"/>
  <c r="BA70" i="5"/>
  <c r="BP56" i="5"/>
  <c r="BN56" i="5"/>
  <c r="BA58" i="5"/>
  <c r="AJ68" i="5"/>
  <c r="AD68" i="5"/>
  <c r="AW51" i="5"/>
  <c r="AX51" i="5" s="1"/>
  <c r="AO51" i="5"/>
  <c r="AW28" i="5"/>
  <c r="AX28" i="5" s="1"/>
  <c r="AO28" i="5"/>
  <c r="BA16" i="5"/>
  <c r="AD27" i="5"/>
  <c r="AJ27" i="5"/>
  <c r="BA27" i="5"/>
  <c r="BA4" i="5"/>
  <c r="AW4" i="5"/>
  <c r="AX4" i="5" s="1"/>
  <c r="AO4" i="5"/>
  <c r="AJ14" i="5"/>
  <c r="AD14" i="5"/>
  <c r="AW3" i="5"/>
  <c r="AX3" i="5" s="1"/>
  <c r="AO3" i="5"/>
  <c r="AW8" i="5"/>
  <c r="AX8" i="5" s="1"/>
  <c r="AO8" i="5"/>
  <c r="AO5" i="5"/>
  <c r="AW5" i="5"/>
  <c r="AX5" i="5" s="1"/>
  <c r="AX9" i="5"/>
  <c r="BA9" i="5"/>
  <c r="BP6" i="5"/>
  <c r="BN6" i="5"/>
  <c r="BA124" i="5"/>
  <c r="AW43" i="5"/>
  <c r="AX43" i="5" s="1"/>
  <c r="AO43" i="5"/>
  <c r="BP15" i="5"/>
  <c r="BN15" i="5"/>
  <c r="BP117" i="5"/>
  <c r="BN117" i="5"/>
  <c r="AX85" i="5"/>
  <c r="BA85" i="5"/>
  <c r="BB85" i="5" s="1"/>
  <c r="BA231" i="5"/>
  <c r="AX236" i="5"/>
  <c r="BA236" i="5"/>
  <c r="BB236" i="5" s="1"/>
  <c r="BA237" i="5"/>
  <c r="AW212" i="5"/>
  <c r="AX212" i="5" s="1"/>
  <c r="AO212" i="5"/>
  <c r="BA220" i="5"/>
  <c r="BP228" i="5"/>
  <c r="BN228" i="5"/>
  <c r="AJ218" i="5"/>
  <c r="AD218" i="5"/>
  <c r="BP201" i="5"/>
  <c r="BN201" i="5"/>
  <c r="AX180" i="5"/>
  <c r="BA180" i="5"/>
  <c r="BB180" i="5" s="1"/>
  <c r="AW197" i="5"/>
  <c r="AX197" i="5" s="1"/>
  <c r="AO197" i="5"/>
  <c r="AD176" i="5"/>
  <c r="AJ176" i="5"/>
  <c r="AD181" i="5"/>
  <c r="AJ181" i="5"/>
  <c r="AO183" i="5"/>
  <c r="AW183" i="5"/>
  <c r="BP169" i="5"/>
  <c r="BN169" i="5"/>
  <c r="BP184" i="5"/>
  <c r="BN184" i="5"/>
  <c r="BA176" i="5"/>
  <c r="BB176" i="5" s="1"/>
  <c r="AX176" i="5"/>
  <c r="BN181" i="5"/>
  <c r="BP181" i="5"/>
  <c r="AW178" i="5"/>
  <c r="AX178" i="5" s="1"/>
  <c r="AO178" i="5"/>
  <c r="AJ171" i="5"/>
  <c r="AD171" i="5"/>
  <c r="BP178" i="5"/>
  <c r="BN178" i="5"/>
  <c r="AD172" i="5"/>
  <c r="AJ172" i="5"/>
  <c r="AO154" i="5"/>
  <c r="AW154" i="5"/>
  <c r="AX154" i="5" s="1"/>
  <c r="BA146" i="5"/>
  <c r="AJ141" i="5"/>
  <c r="AD141" i="5"/>
  <c r="BA130" i="5"/>
  <c r="AX130" i="5"/>
  <c r="BA153" i="5"/>
  <c r="AW124" i="5"/>
  <c r="AX124" i="5" s="1"/>
  <c r="AO124" i="5"/>
  <c r="AO129" i="5"/>
  <c r="AW129" i="5"/>
  <c r="AX129" i="5" s="1"/>
  <c r="BA128" i="5"/>
  <c r="AW167" i="5"/>
  <c r="AO167" i="5"/>
  <c r="BN119" i="5"/>
  <c r="BP119" i="5"/>
  <c r="AX115" i="5"/>
  <c r="BA115" i="5"/>
  <c r="AW150" i="5"/>
  <c r="AX150" i="5" s="1"/>
  <c r="AO150" i="5"/>
  <c r="AO120" i="5"/>
  <c r="AW120" i="5"/>
  <c r="AX120" i="5" s="1"/>
  <c r="BA93" i="5"/>
  <c r="AX93" i="5"/>
  <c r="BN90" i="5"/>
  <c r="BP90" i="5"/>
  <c r="BA79" i="5"/>
  <c r="AX79" i="5"/>
  <c r="AJ112" i="5"/>
  <c r="AD112" i="5"/>
  <c r="AW104" i="5"/>
  <c r="AX104" i="5" s="1"/>
  <c r="AO104" i="5"/>
  <c r="AW62" i="5"/>
  <c r="AX62" i="5" s="1"/>
  <c r="AO62" i="5"/>
  <c r="BA80" i="5"/>
  <c r="AX80" i="5"/>
  <c r="AW67" i="5"/>
  <c r="AO67" i="5"/>
  <c r="BA67" i="5"/>
  <c r="AX67" i="5"/>
  <c r="BP84" i="5"/>
  <c r="AO71" i="5"/>
  <c r="AW71" i="5"/>
  <c r="AX71" i="5" s="1"/>
  <c r="BA51" i="5"/>
  <c r="BP60" i="5"/>
  <c r="BN60" i="5"/>
  <c r="BA26" i="5"/>
  <c r="AX26" i="5"/>
  <c r="AW41" i="5"/>
  <c r="AX41" i="5" s="1"/>
  <c r="AO41" i="5"/>
  <c r="AD28" i="5"/>
  <c r="AJ28" i="5"/>
  <c r="AW21" i="5"/>
  <c r="AX21" i="5" s="1"/>
  <c r="AO21" i="5"/>
  <c r="BP34" i="5"/>
  <c r="BN34" i="5"/>
  <c r="AJ48" i="5"/>
  <c r="AD48" i="5"/>
  <c r="AW10" i="5"/>
  <c r="AX10" i="5" s="1"/>
  <c r="AO10" i="5"/>
  <c r="AS38" i="5"/>
  <c r="BA8" i="5"/>
  <c r="AO7" i="5"/>
  <c r="AW7" i="5"/>
  <c r="AX7" i="5" s="1"/>
  <c r="BA23" i="5"/>
  <c r="BA5" i="5"/>
  <c r="BP3" i="5"/>
  <c r="BN3" i="5"/>
  <c r="AM204" i="5"/>
  <c r="AK119" i="5" a="1"/>
  <c r="AM123" i="5"/>
  <c r="AK132" i="5" a="1"/>
  <c r="AE149" i="5"/>
  <c r="AK199" i="5" a="1"/>
  <c r="AE5" i="5"/>
  <c r="AK121" i="5" a="1"/>
  <c r="AK30" i="5" a="1"/>
  <c r="AK98" i="5" a="1"/>
  <c r="AK39" i="5" a="1"/>
  <c r="AK194" i="5" a="1"/>
  <c r="AK40" i="5" a="1"/>
  <c r="AK202" i="5" a="1"/>
  <c r="AK155" i="5" a="1"/>
  <c r="AE237" i="5"/>
  <c r="AK161" i="5" a="1"/>
  <c r="AM81" i="5"/>
  <c r="AE81" i="5"/>
  <c r="AE233" i="5"/>
  <c r="AK151" i="5" a="1"/>
  <c r="AK175" i="5" a="1"/>
  <c r="AK162" i="5" a="1"/>
  <c r="AK105" i="5" a="1"/>
  <c r="AK125" i="5" a="1"/>
  <c r="AK11" i="5" a="1"/>
  <c r="AK187" i="5" a="1"/>
  <c r="AM66" i="5"/>
  <c r="AE66" i="5"/>
  <c r="AK28" i="5" a="1"/>
  <c r="AM156" i="5"/>
  <c r="AK118" i="5" a="1"/>
  <c r="AM19" i="5"/>
  <c r="AE19" i="5"/>
  <c r="AE182" i="5"/>
  <c r="AE115" i="5"/>
  <c r="AK157" i="5" a="1"/>
  <c r="AK77" i="5" a="1"/>
  <c r="AE176" i="5"/>
  <c r="AK18" i="5" a="1"/>
  <c r="AK41" i="5" a="1"/>
  <c r="AK26" i="5" a="1"/>
  <c r="AK42" i="5" a="1"/>
  <c r="AK2" i="5" a="1"/>
  <c r="AK190" i="5" a="1"/>
  <c r="AE137" i="5"/>
  <c r="AT198" i="5"/>
  <c r="AK146" i="5" a="1"/>
  <c r="AK140" i="5" a="1"/>
  <c r="AK65" i="5" a="1"/>
  <c r="AM85" i="5"/>
  <c r="AE85" i="5"/>
  <c r="AM54" i="5"/>
  <c r="AE156" i="5"/>
  <c r="AK136" i="5" a="1"/>
  <c r="AE204" i="5"/>
  <c r="AE129" i="5"/>
  <c r="AM115" i="5"/>
  <c r="AK193" i="5" a="1"/>
  <c r="AK195" i="5" a="1"/>
  <c r="AE120" i="5"/>
  <c r="AK61" i="5" a="1"/>
  <c r="AK225" i="5" a="1"/>
  <c r="AM236" i="5"/>
  <c r="AK177" i="5" a="1"/>
  <c r="AK192" i="5" a="1"/>
  <c r="AM160" i="5"/>
  <c r="AK49" i="5" a="1"/>
  <c r="AM25" i="5"/>
  <c r="AE127" i="5"/>
  <c r="AE82" i="5"/>
  <c r="AT61" i="5"/>
  <c r="AM5" i="5"/>
  <c r="AE29" i="5"/>
  <c r="AM148" i="5"/>
  <c r="AM101" i="5"/>
  <c r="AE101" i="5"/>
  <c r="AE183" i="5"/>
  <c r="AM154" i="5"/>
  <c r="AK116" i="5" a="1"/>
  <c r="AM114" i="5"/>
  <c r="AK167" i="5" a="1"/>
  <c r="AK205" i="5" a="1"/>
  <c r="AE34" i="5"/>
  <c r="AT199" i="5"/>
  <c r="AK103" i="5" a="1"/>
  <c r="AT227" i="5"/>
  <c r="AE236" i="5"/>
  <c r="AK213" i="5" a="1"/>
  <c r="AM221" i="5"/>
  <c r="AE235" i="5"/>
  <c r="AM183" i="5"/>
  <c r="AK50" i="5" a="1"/>
  <c r="AK91" i="5" a="1"/>
  <c r="AK196" i="5" a="1"/>
  <c r="AK188" i="5" a="1"/>
  <c r="AE24" i="5"/>
  <c r="AM24" i="5"/>
  <c r="AT135" i="5"/>
  <c r="AE57" i="5"/>
  <c r="AK152" i="5" a="1"/>
  <c r="AT56" i="5"/>
  <c r="AK13" i="5" a="1"/>
  <c r="AE17" i="5"/>
  <c r="AM124" i="5"/>
  <c r="AK71" i="5" a="1"/>
  <c r="AM34" i="5"/>
  <c r="AT176" i="5"/>
  <c r="AK104" i="5" a="1"/>
  <c r="AE173" i="5"/>
  <c r="AK181" i="5" a="1"/>
  <c r="AK38" i="5" a="1"/>
  <c r="AK179" i="5" a="1"/>
  <c r="AK222" i="5" a="1"/>
  <c r="AM145" i="5"/>
  <c r="AK16" i="5" a="1"/>
  <c r="AK7" i="5" a="1"/>
  <c r="AM149" i="5"/>
  <c r="AK211" i="5" a="1"/>
  <c r="AE14" i="5"/>
  <c r="AK212" i="5" a="1"/>
  <c r="AK99" i="5" a="1"/>
  <c r="AK200" i="5" a="1"/>
  <c r="AT161" i="5"/>
  <c r="AK47" i="5" a="1"/>
  <c r="AM227" i="5"/>
  <c r="AM17" i="5"/>
  <c r="AK143" i="5" a="1"/>
  <c r="AE145" i="5"/>
  <c r="AM82" i="5"/>
  <c r="AT236" i="5"/>
  <c r="AK9" i="5" a="1"/>
  <c r="AM4" i="5"/>
  <c r="AE72" i="5"/>
  <c r="AK20" i="5" a="1"/>
  <c r="AM173" i="5"/>
  <c r="AM127" i="5"/>
  <c r="AK110" i="5" a="1"/>
  <c r="AK36" i="5" a="1"/>
  <c r="AK165" i="5" a="1"/>
  <c r="AM176" i="5"/>
  <c r="AK174" i="5" a="1"/>
  <c r="AK107" i="5" a="1"/>
  <c r="AK55" i="5" a="1"/>
  <c r="AE114" i="5"/>
  <c r="AK51" i="5" a="1"/>
  <c r="AK147" i="5" a="1"/>
  <c r="AK164" i="5" a="1"/>
  <c r="AM57" i="5"/>
  <c r="AK135" i="5" a="1"/>
  <c r="AK126" i="5" a="1"/>
  <c r="AK207" i="5" a="1"/>
  <c r="AK203" i="5" a="1"/>
  <c r="AK217" i="5" a="1"/>
  <c r="AK201" i="5" a="1"/>
  <c r="AK27" i="5" a="1"/>
  <c r="AE227" i="5"/>
  <c r="AE25" i="5"/>
  <c r="AK210" i="5" a="1"/>
  <c r="AK95" i="5" a="1"/>
  <c r="AK229" i="5"/>
  <c r="AK220" i="5" a="1"/>
  <c r="AM120" i="5"/>
  <c r="AT85" i="5"/>
  <c r="AE4" i="5"/>
  <c r="AK69" i="5" a="1"/>
  <c r="AM72" i="5"/>
  <c r="AK131" i="5" a="1"/>
  <c r="AK232" i="5"/>
  <c r="AM232" i="5" s="1"/>
  <c r="AK37" i="5" a="1"/>
  <c r="AM52" i="5"/>
  <c r="AM33" i="5"/>
  <c r="AK185" i="5" a="1"/>
  <c r="AK10" i="5" a="1"/>
  <c r="AK166" i="5" a="1"/>
  <c r="AK189" i="5" a="1"/>
  <c r="AK144" i="5" a="1"/>
  <c r="AK70" i="5" a="1"/>
  <c r="AK219" i="5" a="1"/>
  <c r="AT169" i="5"/>
  <c r="AK141" i="5" a="1"/>
  <c r="AK108" i="5" a="1"/>
  <c r="AK23" i="5" a="1"/>
  <c r="AT32" i="5"/>
  <c r="AK159" i="5" a="1"/>
  <c r="AE53" i="5"/>
  <c r="AM53" i="5"/>
  <c r="AE84" i="5"/>
  <c r="AM84" i="5"/>
  <c r="AK59" i="5" a="1"/>
  <c r="AT180" i="5"/>
  <c r="AK113" i="5" a="1"/>
  <c r="AK96" i="5" a="1"/>
  <c r="AK208" i="5" a="1"/>
  <c r="AM29" i="5"/>
  <c r="AE33" i="5"/>
  <c r="AE154" i="5"/>
  <c r="AK106" i="5" a="1"/>
  <c r="AK170" i="5" a="1"/>
  <c r="AK78" i="5" a="1"/>
  <c r="AE52" i="5"/>
  <c r="AK43" i="5" a="1"/>
  <c r="AM182" i="5"/>
  <c r="AK58" i="5" a="1"/>
  <c r="AK21" i="5" a="1"/>
  <c r="AK92" i="5" a="1"/>
  <c r="AK215" i="5" a="1"/>
  <c r="AK163" i="5" a="1"/>
  <c r="AK80" i="5" a="1"/>
  <c r="AK87" i="5" a="1"/>
  <c r="AK169" i="5" a="1"/>
  <c r="AK178" i="5" a="1"/>
  <c r="AK142" i="5" a="1"/>
  <c r="AM129" i="5"/>
  <c r="AT234" i="5"/>
  <c r="AT38" i="5"/>
  <c r="AM67" i="5"/>
  <c r="AM117" i="5"/>
  <c r="AE117" i="5"/>
  <c r="AE73" i="5"/>
  <c r="AM73" i="5"/>
  <c r="AK74" i="5" a="1"/>
  <c r="AK90" i="5" a="1"/>
  <c r="AT53" i="5"/>
  <c r="AK62" i="5" a="1"/>
  <c r="AK35" i="5" a="1"/>
  <c r="AK88" i="5" a="1"/>
  <c r="AK3" i="5" a="1"/>
  <c r="AK184" i="5" a="1"/>
  <c r="AK171" i="5" a="1"/>
  <c r="AT182" i="5"/>
  <c r="AE124" i="5"/>
  <c r="AE148" i="5"/>
  <c r="AK102" i="5" a="1"/>
  <c r="AK180" i="5" a="1"/>
  <c r="AK97" i="5" a="1"/>
  <c r="AM137" i="5"/>
  <c r="AE232" i="5"/>
  <c r="AK48" i="5" a="1"/>
  <c r="AK93" i="5" a="1"/>
  <c r="AK186" i="5" a="1"/>
  <c r="AK133" i="5" a="1"/>
  <c r="AT229" i="5"/>
  <c r="AK139" i="5" a="1"/>
  <c r="AK128" i="5" a="1"/>
  <c r="AE109" i="5"/>
  <c r="AE83" i="5"/>
  <c r="AM83" i="5"/>
  <c r="AE191" i="5"/>
  <c r="AM191" i="5"/>
  <c r="AM134" i="5"/>
  <c r="AE134" i="5"/>
  <c r="AK31" i="5" a="1"/>
  <c r="AK86" i="5" a="1"/>
  <c r="AK112" i="5" a="1"/>
  <c r="AK76" i="5" a="1"/>
  <c r="AK206" i="5" a="1"/>
  <c r="AK68" i="5" a="1"/>
  <c r="AK197" i="5" a="1"/>
  <c r="AE54" i="5"/>
  <c r="AK94" i="5" a="1"/>
  <c r="AK130" i="5" a="1"/>
  <c r="AK32" i="5" a="1"/>
  <c r="AK172" i="5" a="1"/>
  <c r="AE160" i="5"/>
  <c r="AK22" i="5" a="1"/>
  <c r="AK224" i="5" a="1"/>
  <c r="AK60" i="5" a="1"/>
  <c r="AM14" i="5"/>
  <c r="AE67" i="5"/>
  <c r="AK63" i="5" a="1"/>
  <c r="AM109" i="5"/>
  <c r="AE221" i="5"/>
  <c r="AK168" i="5" a="1"/>
  <c r="AK209" i="5" a="1"/>
  <c r="AK79" i="5" a="1"/>
  <c r="AK153" i="5" a="1"/>
  <c r="AK46" i="5" a="1"/>
  <c r="AK100" i="5" a="1"/>
  <c r="AK158" i="5" a="1"/>
  <c r="AK223" i="5" a="1"/>
  <c r="AT147" i="5"/>
  <c r="AK214" i="5" a="1"/>
  <c r="AK44" i="5" a="1"/>
  <c r="AT123" i="5"/>
  <c r="AE123" i="5"/>
  <c r="AK12" i="5" a="1"/>
  <c r="AM237" i="5"/>
  <c r="AM229" i="5"/>
  <c r="AE229" i="5"/>
  <c r="AF229" i="5" l="1"/>
  <c r="AN229" i="5"/>
  <c r="AN237" i="5"/>
  <c r="AK12" i="5"/>
  <c r="AF123" i="5"/>
  <c r="AU123" i="5"/>
  <c r="AV123" i="5" s="1"/>
  <c r="AY123" i="5" s="1"/>
  <c r="AK44" i="5"/>
  <c r="AK214" i="5"/>
  <c r="AU147" i="5"/>
  <c r="AV147" i="5" s="1"/>
  <c r="AY147" i="5" s="1"/>
  <c r="AK223" i="5"/>
  <c r="AK158" i="5"/>
  <c r="AK100" i="5"/>
  <c r="AK46" i="5"/>
  <c r="AK153" i="5"/>
  <c r="AK79" i="5"/>
  <c r="AK209" i="5"/>
  <c r="AK168" i="5"/>
  <c r="AF221" i="5"/>
  <c r="AN109" i="5"/>
  <c r="AK63" i="5"/>
  <c r="AF67" i="5"/>
  <c r="AN14" i="5"/>
  <c r="AK60" i="5"/>
  <c r="AK224" i="5"/>
  <c r="AK22" i="5"/>
  <c r="AF160" i="5"/>
  <c r="AK172" i="5"/>
  <c r="AK32" i="5"/>
  <c r="AK130" i="5"/>
  <c r="AK94" i="5"/>
  <c r="AF54" i="5"/>
  <c r="AK197" i="5"/>
  <c r="AK68" i="5"/>
  <c r="AK206" i="5"/>
  <c r="AK76" i="5"/>
  <c r="AK112" i="5"/>
  <c r="AK86" i="5"/>
  <c r="AK31" i="5"/>
  <c r="AF134" i="5"/>
  <c r="AN134" i="5"/>
  <c r="AN191" i="5"/>
  <c r="AF191" i="5"/>
  <c r="AN83" i="5"/>
  <c r="AF83" i="5"/>
  <c r="AF109" i="5"/>
  <c r="AK128" i="5"/>
  <c r="AK139" i="5"/>
  <c r="AU229" i="5"/>
  <c r="AV229" i="5" s="1"/>
  <c r="AY229" i="5" s="1"/>
  <c r="AK133" i="5"/>
  <c r="AK186" i="5"/>
  <c r="AK93" i="5"/>
  <c r="AK48" i="5"/>
  <c r="AF232" i="5"/>
  <c r="AN137" i="5"/>
  <c r="AK97" i="5"/>
  <c r="AK180" i="5"/>
  <c r="AK102" i="5"/>
  <c r="AF148" i="5"/>
  <c r="AF124" i="5"/>
  <c r="AU182" i="5"/>
  <c r="AV182" i="5" s="1"/>
  <c r="AY182" i="5" s="1"/>
  <c r="AK171" i="5"/>
  <c r="AK184" i="5"/>
  <c r="AK3" i="5"/>
  <c r="AK88" i="5"/>
  <c r="AK35" i="5"/>
  <c r="AK62" i="5"/>
  <c r="AU53" i="5"/>
  <c r="AV53" i="5" s="1"/>
  <c r="AY53" i="5" s="1"/>
  <c r="AK90" i="5"/>
  <c r="AK74" i="5"/>
  <c r="AN73" i="5"/>
  <c r="AF73" i="5"/>
  <c r="AF117" i="5"/>
  <c r="AN117" i="5"/>
  <c r="AN67" i="5"/>
  <c r="AU38" i="5"/>
  <c r="AV38" i="5" s="1"/>
  <c r="AY38" i="5" s="1"/>
  <c r="AU234" i="5"/>
  <c r="AV234" i="5" s="1"/>
  <c r="AY234" i="5" s="1"/>
  <c r="AN129" i="5"/>
  <c r="AK142" i="5"/>
  <c r="AK178" i="5"/>
  <c r="AK169" i="5"/>
  <c r="AK87" i="5"/>
  <c r="AK80" i="5"/>
  <c r="AK163" i="5"/>
  <c r="AK215" i="5"/>
  <c r="AK92" i="5"/>
  <c r="AK21" i="5"/>
  <c r="AK58" i="5"/>
  <c r="AN182" i="5"/>
  <c r="AK43" i="5"/>
  <c r="AF52" i="5"/>
  <c r="AK78" i="5"/>
  <c r="AK170" i="5"/>
  <c r="AK106" i="5"/>
  <c r="AF154" i="5"/>
  <c r="AF33" i="5"/>
  <c r="AN29" i="5"/>
  <c r="AK208" i="5"/>
  <c r="AK96" i="5"/>
  <c r="AK113" i="5"/>
  <c r="AU180" i="5"/>
  <c r="AV180" i="5" s="1"/>
  <c r="AK59" i="5"/>
  <c r="AN84" i="5"/>
  <c r="AF84" i="5"/>
  <c r="AN53" i="5"/>
  <c r="AF53" i="5"/>
  <c r="AK159" i="5"/>
  <c r="AU32" i="5"/>
  <c r="AV32" i="5" s="1"/>
  <c r="AK23" i="5"/>
  <c r="AK108" i="5"/>
  <c r="AK141" i="5"/>
  <c r="AU169" i="5"/>
  <c r="AV169" i="5" s="1"/>
  <c r="AY169" i="5" s="1"/>
  <c r="AK219" i="5"/>
  <c r="AK70" i="5"/>
  <c r="AK144" i="5"/>
  <c r="AK189" i="5"/>
  <c r="AK166" i="5"/>
  <c r="AK10" i="5"/>
  <c r="AK185" i="5"/>
  <c r="AN33" i="5"/>
  <c r="AN52" i="5"/>
  <c r="AK37" i="5"/>
  <c r="AN232" i="5"/>
  <c r="AK131" i="5"/>
  <c r="AN72" i="5"/>
  <c r="AK69" i="5"/>
  <c r="AF4" i="5"/>
  <c r="AU85" i="5"/>
  <c r="AV85" i="5" s="1"/>
  <c r="AN120" i="5"/>
  <c r="AK220" i="5"/>
  <c r="AK95" i="5"/>
  <c r="AK210" i="5"/>
  <c r="AF25" i="5"/>
  <c r="AF227" i="5"/>
  <c r="AK27" i="5"/>
  <c r="AK201" i="5"/>
  <c r="AK217" i="5"/>
  <c r="AK203" i="5"/>
  <c r="AK207" i="5"/>
  <c r="AK126" i="5"/>
  <c r="AK135" i="5"/>
  <c r="AN57" i="5"/>
  <c r="AK164" i="5"/>
  <c r="AK147" i="5"/>
  <c r="AK51" i="5"/>
  <c r="AF114" i="5"/>
  <c r="AK55" i="5"/>
  <c r="AK107" i="5"/>
  <c r="AK174" i="5"/>
  <c r="AN176" i="5"/>
  <c r="AK165" i="5"/>
  <c r="AK36" i="5"/>
  <c r="AK110" i="5"/>
  <c r="AN127" i="5"/>
  <c r="AN173" i="5"/>
  <c r="AK20" i="5"/>
  <c r="AF72" i="5"/>
  <c r="AN4" i="5"/>
  <c r="AK9" i="5"/>
  <c r="AU236" i="5"/>
  <c r="AV236" i="5" s="1"/>
  <c r="AN82" i="5"/>
  <c r="AF145" i="5"/>
  <c r="AK143" i="5"/>
  <c r="AN17" i="5"/>
  <c r="AN227" i="5"/>
  <c r="AK47" i="5"/>
  <c r="AU161" i="5"/>
  <c r="AV161" i="5" s="1"/>
  <c r="AY161" i="5" s="1"/>
  <c r="AK200" i="5"/>
  <c r="AK99" i="5"/>
  <c r="AK212" i="5"/>
  <c r="AF14" i="5"/>
  <c r="AK211" i="5"/>
  <c r="AN149" i="5"/>
  <c r="AK7" i="5"/>
  <c r="AK16" i="5"/>
  <c r="AN145" i="5"/>
  <c r="AK222" i="5"/>
  <c r="AK179" i="5"/>
  <c r="AK38" i="5"/>
  <c r="AK181" i="5"/>
  <c r="AF173" i="5"/>
  <c r="AK104" i="5"/>
  <c r="AU176" i="5"/>
  <c r="AV176" i="5" s="1"/>
  <c r="AN34" i="5"/>
  <c r="AK71" i="5"/>
  <c r="AN124" i="5"/>
  <c r="AF17" i="5"/>
  <c r="AK13" i="5"/>
  <c r="AU56" i="5"/>
  <c r="AV56" i="5" s="1"/>
  <c r="AY56" i="5" s="1"/>
  <c r="AK152" i="5"/>
  <c r="AF57" i="5"/>
  <c r="AU135" i="5"/>
  <c r="AV135" i="5" s="1"/>
  <c r="AN24" i="5"/>
  <c r="AF24" i="5"/>
  <c r="AK188" i="5"/>
  <c r="AK196" i="5"/>
  <c r="AK91" i="5"/>
  <c r="AK50" i="5"/>
  <c r="AN183" i="5"/>
  <c r="AF235" i="5"/>
  <c r="AN221" i="5"/>
  <c r="AK213" i="5"/>
  <c r="AF236" i="5"/>
  <c r="AU227" i="5"/>
  <c r="AV227" i="5" s="1"/>
  <c r="AK103" i="5"/>
  <c r="AU199" i="5"/>
  <c r="AV199" i="5" s="1"/>
  <c r="AF34" i="5"/>
  <c r="AK205" i="5"/>
  <c r="AK167" i="5"/>
  <c r="AN114" i="5"/>
  <c r="AK116" i="5"/>
  <c r="AN154" i="5"/>
  <c r="AF183" i="5"/>
  <c r="AF101" i="5"/>
  <c r="AN101" i="5"/>
  <c r="AN148" i="5"/>
  <c r="AF29" i="5"/>
  <c r="AN5" i="5"/>
  <c r="AU61" i="5"/>
  <c r="AV61" i="5" s="1"/>
  <c r="AF82" i="5"/>
  <c r="AF127" i="5"/>
  <c r="AN25" i="5"/>
  <c r="AK49" i="5"/>
  <c r="AN160" i="5"/>
  <c r="AK192" i="5"/>
  <c r="AK177" i="5"/>
  <c r="AN236" i="5"/>
  <c r="AK225" i="5"/>
  <c r="AK61" i="5"/>
  <c r="AF120" i="5"/>
  <c r="AK195" i="5"/>
  <c r="AK193" i="5"/>
  <c r="AN115" i="5"/>
  <c r="AF129" i="5"/>
  <c r="AF204" i="5"/>
  <c r="AK136" i="5"/>
  <c r="AF156" i="5"/>
  <c r="AN54" i="5"/>
  <c r="AF85" i="5"/>
  <c r="AN85" i="5"/>
  <c r="AK65" i="5"/>
  <c r="AK140" i="5"/>
  <c r="AK146" i="5"/>
  <c r="AU198" i="5"/>
  <c r="AV198" i="5" s="1"/>
  <c r="AF137" i="5"/>
  <c r="AK190" i="5"/>
  <c r="AK2" i="5"/>
  <c r="AK42" i="5"/>
  <c r="AK26" i="5"/>
  <c r="AK41" i="5"/>
  <c r="AK18" i="5"/>
  <c r="AF176" i="5"/>
  <c r="AK77" i="5"/>
  <c r="AK157" i="5"/>
  <c r="AF115" i="5"/>
  <c r="AF182" i="5"/>
  <c r="AF19" i="5"/>
  <c r="AN19" i="5"/>
  <c r="AK118" i="5"/>
  <c r="AN156" i="5"/>
  <c r="AK28" i="5"/>
  <c r="AF66" i="5"/>
  <c r="AN66" i="5"/>
  <c r="AK187" i="5"/>
  <c r="AK11" i="5"/>
  <c r="AK125" i="5"/>
  <c r="AK105" i="5"/>
  <c r="AK162" i="5"/>
  <c r="AK175" i="5"/>
  <c r="AK151" i="5"/>
  <c r="AF233" i="5"/>
  <c r="AF81" i="5"/>
  <c r="AN81" i="5"/>
  <c r="AK161" i="5"/>
  <c r="AF237" i="5"/>
  <c r="AK155" i="5"/>
  <c r="AK202" i="5"/>
  <c r="AK40" i="5"/>
  <c r="AK194" i="5"/>
  <c r="AK39" i="5"/>
  <c r="AK98" i="5"/>
  <c r="AK30" i="5"/>
  <c r="AK121" i="5"/>
  <c r="AF5" i="5"/>
  <c r="AK199" i="5"/>
  <c r="AF149" i="5"/>
  <c r="AK132" i="5"/>
  <c r="AN123" i="5"/>
  <c r="AK119" i="5"/>
  <c r="AN204" i="5"/>
  <c r="BA32" i="5"/>
  <c r="BB32" i="5" s="1"/>
  <c r="BM32" i="5" s="1"/>
  <c r="AX32" i="5"/>
  <c r="AY180" i="5"/>
  <c r="BB213" i="5"/>
  <c r="BC213" i="5" s="1"/>
  <c r="AY198" i="5"/>
  <c r="AY85" i="5"/>
  <c r="AJ74" i="5"/>
  <c r="AD74" i="5"/>
  <c r="BP77" i="5"/>
  <c r="BN77" i="5"/>
  <c r="AY135" i="5"/>
  <c r="AJ163" i="5"/>
  <c r="AO81" i="5"/>
  <c r="AW81" i="5"/>
  <c r="AX81" i="5" s="1"/>
  <c r="AW64" i="5"/>
  <c r="AX64" i="5" s="1"/>
  <c r="AO64" i="5"/>
  <c r="AR64" i="5" s="1"/>
  <c r="AS64" i="5" s="1"/>
  <c r="AD153" i="5"/>
  <c r="AJ153" i="5"/>
  <c r="AX196" i="5"/>
  <c r="BA196" i="5"/>
  <c r="BB196" i="5" s="1"/>
  <c r="AJ111" i="5"/>
  <c r="AX167" i="5"/>
  <c r="AX17" i="5"/>
  <c r="AX40" i="5"/>
  <c r="AJ70" i="5"/>
  <c r="BB123" i="5"/>
  <c r="BC123" i="5" s="1"/>
  <c r="BB166" i="5"/>
  <c r="BM166" i="5" s="1"/>
  <c r="BP200" i="5"/>
  <c r="BN200" i="5"/>
  <c r="AW146" i="5"/>
  <c r="AX146" i="5" s="1"/>
  <c r="AO146" i="5"/>
  <c r="AR146" i="5" s="1"/>
  <c r="AS146" i="5" s="1"/>
  <c r="AD39" i="5"/>
  <c r="BP25" i="5"/>
  <c r="BN25" i="5"/>
  <c r="AO137" i="5"/>
  <c r="AW137" i="5"/>
  <c r="AX137" i="5" s="1"/>
  <c r="BN155" i="5"/>
  <c r="BP155" i="5"/>
  <c r="AX183" i="5"/>
  <c r="BA142" i="5"/>
  <c r="BB142" i="5" s="1"/>
  <c r="BA148" i="5"/>
  <c r="AY199" i="5"/>
  <c r="AD121" i="5"/>
  <c r="AJ121" i="5"/>
  <c r="AX108" i="5"/>
  <c r="BA108" i="5"/>
  <c r="AW189" i="5"/>
  <c r="AX189" i="5" s="1"/>
  <c r="AO189" i="5"/>
  <c r="AY61" i="5"/>
  <c r="BP33" i="5"/>
  <c r="BP126" i="5"/>
  <c r="AW213" i="5"/>
  <c r="AX213" i="5" s="1"/>
  <c r="AO213" i="5"/>
  <c r="AR213" i="5" s="1"/>
  <c r="AS213" i="5" s="1"/>
  <c r="AJ50" i="5"/>
  <c r="AD50" i="5"/>
  <c r="AD195" i="5"/>
  <c r="AJ195" i="5"/>
  <c r="AJ116" i="5"/>
  <c r="AD116" i="5"/>
  <c r="AW16" i="5"/>
  <c r="AX16" i="5" s="1"/>
  <c r="AO16" i="5"/>
  <c r="AR16" i="5" s="1"/>
  <c r="AS16" i="5" s="1"/>
  <c r="BB146" i="5"/>
  <c r="AO101" i="5"/>
  <c r="AW141" i="5"/>
  <c r="AX141" i="5" s="1"/>
  <c r="AO141" i="5"/>
  <c r="AO89" i="5"/>
  <c r="AW89" i="5"/>
  <c r="AX89" i="5" s="1"/>
  <c r="BN75" i="5"/>
  <c r="BP75" i="5"/>
  <c r="BP132" i="5"/>
  <c r="BN132" i="5"/>
  <c r="AJ207" i="5"/>
  <c r="BN97" i="5"/>
  <c r="BP97" i="5"/>
  <c r="AO170" i="5"/>
  <c r="AR170" i="5" s="1"/>
  <c r="AS170" i="5" s="1"/>
  <c r="AW170" i="5"/>
  <c r="AX170" i="5" s="1"/>
  <c r="AW117" i="5"/>
  <c r="AX117" i="5" s="1"/>
  <c r="AO117" i="5"/>
  <c r="AR117" i="5" s="1"/>
  <c r="AS117" i="5" s="1"/>
  <c r="AD30" i="5"/>
  <c r="AJ30" i="5"/>
  <c r="BB58" i="5"/>
  <c r="BC58" i="5" s="1"/>
  <c r="BB16" i="5"/>
  <c r="AX100" i="5"/>
  <c r="BP123" i="5"/>
  <c r="BB55" i="5"/>
  <c r="AO115" i="5"/>
  <c r="AR115" i="5" s="1"/>
  <c r="AS115" i="5" s="1"/>
  <c r="AW144" i="5"/>
  <c r="AX144" i="5" s="1"/>
  <c r="AO144" i="5"/>
  <c r="AW175" i="5"/>
  <c r="AX175" i="5" s="1"/>
  <c r="AO175" i="5"/>
  <c r="AO55" i="5"/>
  <c r="AR55" i="5" s="1"/>
  <c r="AS55" i="5" s="1"/>
  <c r="AW55" i="5"/>
  <c r="AX55" i="5" s="1"/>
  <c r="BP115" i="5"/>
  <c r="BN115" i="5"/>
  <c r="AD80" i="5"/>
  <c r="AJ80" i="5"/>
  <c r="BN214" i="5"/>
  <c r="BP214" i="5"/>
  <c r="BB198" i="5"/>
  <c r="BM198" i="5" s="1"/>
  <c r="AX82" i="5"/>
  <c r="BN202" i="5"/>
  <c r="BP202" i="5"/>
  <c r="BA214" i="5"/>
  <c r="AW113" i="5"/>
  <c r="AX113" i="5" s="1"/>
  <c r="AO113" i="5"/>
  <c r="AR113" i="5" s="1"/>
  <c r="AS113" i="5" s="1"/>
  <c r="AJ62" i="5"/>
  <c r="AD62" i="5"/>
  <c r="BP149" i="5"/>
  <c r="BN149" i="5"/>
  <c r="BP206" i="5"/>
  <c r="BN206" i="5"/>
  <c r="AJ152" i="5"/>
  <c r="AD152" i="5"/>
  <c r="BP113" i="5"/>
  <c r="BN113" i="5"/>
  <c r="AW30" i="5"/>
  <c r="AX30" i="5" s="1"/>
  <c r="AO30" i="5"/>
  <c r="BP139" i="5"/>
  <c r="BN139" i="5"/>
  <c r="AJ107" i="5"/>
  <c r="AD107" i="5"/>
  <c r="AW143" i="5"/>
  <c r="AO143" i="5"/>
  <c r="BP157" i="5"/>
  <c r="BN157" i="5"/>
  <c r="BA189" i="5"/>
  <c r="AJ79" i="5"/>
  <c r="AD79" i="5"/>
  <c r="BN128" i="5"/>
  <c r="BP128" i="5"/>
  <c r="BA143" i="5"/>
  <c r="AX143" i="5"/>
  <c r="AX159" i="5"/>
  <c r="AX111" i="5"/>
  <c r="AX19" i="5"/>
  <c r="BB185" i="5"/>
  <c r="BC185" i="5" s="1"/>
  <c r="AX205" i="5"/>
  <c r="AO220" i="5"/>
  <c r="AR220" i="5" s="1"/>
  <c r="AS220" i="5" s="1"/>
  <c r="AW220" i="5"/>
  <c r="AX220" i="5" s="1"/>
  <c r="AD42" i="5"/>
  <c r="AJ42" i="5"/>
  <c r="BP74" i="5"/>
  <c r="BN74" i="5"/>
  <c r="BP124" i="5"/>
  <c r="BN124" i="5"/>
  <c r="BP101" i="5"/>
  <c r="BN101" i="5"/>
  <c r="AW122" i="5"/>
  <c r="AX122" i="5" s="1"/>
  <c r="AO122" i="5"/>
  <c r="AR122" i="5" s="1"/>
  <c r="AS122" i="5" s="1"/>
  <c r="BN44" i="5"/>
  <c r="BP44" i="5"/>
  <c r="AW108" i="5"/>
  <c r="AO108" i="5"/>
  <c r="BP215" i="5"/>
  <c r="BN215" i="5"/>
  <c r="AW58" i="5"/>
  <c r="AX58" i="5" s="1"/>
  <c r="AO58" i="5"/>
  <c r="AR58" i="5" s="1"/>
  <c r="AS58" i="5" s="1"/>
  <c r="AX203" i="5"/>
  <c r="BP212" i="5"/>
  <c r="BN212" i="5"/>
  <c r="AO24" i="5"/>
  <c r="AW24" i="5"/>
  <c r="AX24" i="5" s="1"/>
  <c r="AW185" i="5"/>
  <c r="AX185" i="5" s="1"/>
  <c r="AO185" i="5"/>
  <c r="AR185" i="5" s="1"/>
  <c r="AS185" i="5" s="1"/>
  <c r="AD136" i="5"/>
  <c r="AJ136" i="5"/>
  <c r="AJ220" i="5"/>
  <c r="AD220" i="5"/>
  <c r="AW223" i="5"/>
  <c r="AX223" i="5" s="1"/>
  <c r="AO223" i="5"/>
  <c r="AO42" i="5"/>
  <c r="AW42" i="5"/>
  <c r="AX42" i="5" s="1"/>
  <c r="BP27" i="5"/>
  <c r="BN27" i="5"/>
  <c r="BP118" i="5"/>
  <c r="BN118" i="5"/>
  <c r="AW39" i="5"/>
  <c r="AX39" i="5" s="1"/>
  <c r="AO39" i="5"/>
  <c r="AO59" i="5"/>
  <c r="AR59" i="5" s="1"/>
  <c r="AS59" i="5" s="1"/>
  <c r="AW59" i="5"/>
  <c r="AX59" i="5" s="1"/>
  <c r="AJ118" i="5"/>
  <c r="AD118" i="5"/>
  <c r="AW77" i="5"/>
  <c r="AX77" i="5" s="1"/>
  <c r="AO77" i="5"/>
  <c r="AR77" i="5" s="1"/>
  <c r="AS77" i="5" s="1"/>
  <c r="AJ138" i="5"/>
  <c r="AD138" i="5"/>
  <c r="AW166" i="5"/>
  <c r="AX166" i="5" s="1"/>
  <c r="AO166" i="5"/>
  <c r="AR166" i="5" s="1"/>
  <c r="AS166" i="5" s="1"/>
  <c r="AW214" i="5"/>
  <c r="AX214" i="5" s="1"/>
  <c r="AO214" i="5"/>
  <c r="AD104" i="5"/>
  <c r="AJ104" i="5"/>
  <c r="BB135" i="5"/>
  <c r="AJ140" i="5"/>
  <c r="AD140" i="5"/>
  <c r="AW37" i="5"/>
  <c r="AX37" i="5" s="1"/>
  <c r="AO37" i="5"/>
  <c r="AR37" i="5" s="1"/>
  <c r="AS37" i="5" s="1"/>
  <c r="AX187" i="5"/>
  <c r="BP116" i="5"/>
  <c r="BN116" i="5"/>
  <c r="BN159" i="5"/>
  <c r="BP159" i="5"/>
  <c r="BA24" i="5"/>
  <c r="AW121" i="5"/>
  <c r="AX121" i="5" s="1"/>
  <c r="AO121" i="5"/>
  <c r="AR121" i="5" s="1"/>
  <c r="AS121" i="5" s="1"/>
  <c r="BN95" i="5"/>
  <c r="BP95" i="5"/>
  <c r="BP26" i="5"/>
  <c r="BN26" i="5"/>
  <c r="BP168" i="5"/>
  <c r="BN168" i="5"/>
  <c r="AD125" i="5"/>
  <c r="AJ125" i="5"/>
  <c r="AO84" i="5"/>
  <c r="AR84" i="5" s="1"/>
  <c r="AS84" i="5" s="1"/>
  <c r="AW84" i="5"/>
  <c r="AX84" i="5" s="1"/>
  <c r="BP210" i="5"/>
  <c r="BN210" i="5"/>
  <c r="AD135" i="5"/>
  <c r="AJ135" i="5"/>
  <c r="BB161" i="5"/>
  <c r="BB38" i="5"/>
  <c r="BM227" i="5"/>
  <c r="BC227" i="5"/>
  <c r="BD227" i="5"/>
  <c r="BF227" i="5"/>
  <c r="BD85" i="5"/>
  <c r="BC85" i="5"/>
  <c r="BM85" i="5"/>
  <c r="BF85" i="5"/>
  <c r="BM16" i="5"/>
  <c r="BF16" i="5"/>
  <c r="BD16" i="5"/>
  <c r="BC16" i="5"/>
  <c r="BC180" i="5"/>
  <c r="BM180" i="5"/>
  <c r="BD180" i="5"/>
  <c r="BF180" i="5"/>
  <c r="BM146" i="5"/>
  <c r="BC146" i="5"/>
  <c r="BF146" i="5"/>
  <c r="BD146" i="5"/>
  <c r="BF123" i="5"/>
  <c r="BM213" i="5"/>
  <c r="BD213" i="5"/>
  <c r="BF213" i="5"/>
  <c r="BC53" i="5"/>
  <c r="BM53" i="5"/>
  <c r="BF53" i="5"/>
  <c r="BD53" i="5"/>
  <c r="BM147" i="5"/>
  <c r="BC147" i="5"/>
  <c r="BF147" i="5"/>
  <c r="BD147" i="5"/>
  <c r="AR4" i="5"/>
  <c r="AS4" i="5" s="1"/>
  <c r="BB4" i="5"/>
  <c r="BM56" i="5"/>
  <c r="BC56" i="5"/>
  <c r="BF56" i="5"/>
  <c r="BD56" i="5"/>
  <c r="AR10" i="5"/>
  <c r="AS10" i="5" s="1"/>
  <c r="BB10" i="5"/>
  <c r="AR62" i="5"/>
  <c r="AS62" i="5" s="1"/>
  <c r="BB62" i="5"/>
  <c r="AR167" i="5"/>
  <c r="AS167" i="5" s="1"/>
  <c r="BB167" i="5"/>
  <c r="BM236" i="5"/>
  <c r="BF236" i="5"/>
  <c r="BD236" i="5"/>
  <c r="BC236" i="5"/>
  <c r="AR43" i="5"/>
  <c r="AS43" i="5" s="1"/>
  <c r="BB43" i="5"/>
  <c r="AR8" i="5"/>
  <c r="AS8" i="5" s="1"/>
  <c r="BB8" i="5"/>
  <c r="AR186" i="5"/>
  <c r="AS186" i="5" s="1"/>
  <c r="BB186" i="5"/>
  <c r="AR72" i="5"/>
  <c r="AS72" i="5" s="1"/>
  <c r="BB72" i="5"/>
  <c r="AR184" i="5"/>
  <c r="AS184" i="5" s="1"/>
  <c r="BB184" i="5"/>
  <c r="BB233" i="5"/>
  <c r="AR233" i="5"/>
  <c r="AS233" i="5" s="1"/>
  <c r="AR132" i="5"/>
  <c r="AS132" i="5" s="1"/>
  <c r="BB132" i="5"/>
  <c r="AR155" i="5"/>
  <c r="AS155" i="5" s="1"/>
  <c r="BB155" i="5"/>
  <c r="AR91" i="5"/>
  <c r="AS91" i="5" s="1"/>
  <c r="BB91" i="5"/>
  <c r="AR74" i="5"/>
  <c r="AS74" i="5" s="1"/>
  <c r="BB74" i="5"/>
  <c r="AR118" i="5"/>
  <c r="AS118" i="5" s="1"/>
  <c r="BB118" i="5"/>
  <c r="BM199" i="5"/>
  <c r="BD199" i="5"/>
  <c r="BC199" i="5"/>
  <c r="BF199" i="5"/>
  <c r="AR45" i="5"/>
  <c r="AS45" i="5" s="1"/>
  <c r="BB45" i="5"/>
  <c r="AR106" i="5"/>
  <c r="AS106" i="5" s="1"/>
  <c r="BB106" i="5"/>
  <c r="BC182" i="5"/>
  <c r="BM182" i="5"/>
  <c r="BF182" i="5"/>
  <c r="BD182" i="5"/>
  <c r="AR202" i="5"/>
  <c r="AS202" i="5" s="1"/>
  <c r="BB202" i="5"/>
  <c r="AR179" i="5"/>
  <c r="AS179" i="5" s="1"/>
  <c r="BB179" i="5"/>
  <c r="AY227" i="5"/>
  <c r="AR131" i="5"/>
  <c r="AS131" i="5" s="1"/>
  <c r="BB131" i="5"/>
  <c r="BC176" i="5"/>
  <c r="BD176" i="5"/>
  <c r="BM176" i="5"/>
  <c r="BF176" i="5"/>
  <c r="AR197" i="5"/>
  <c r="AS197" i="5" s="1"/>
  <c r="BB197" i="5"/>
  <c r="AR237" i="5"/>
  <c r="AS237" i="5" s="1"/>
  <c r="BB237" i="5"/>
  <c r="AR23" i="5"/>
  <c r="AS23" i="5" s="1"/>
  <c r="BB23" i="5"/>
  <c r="AR18" i="5"/>
  <c r="AS18" i="5" s="1"/>
  <c r="BB18" i="5"/>
  <c r="AR65" i="5"/>
  <c r="AS65" i="5" s="1"/>
  <c r="BB65" i="5"/>
  <c r="AR20" i="5"/>
  <c r="AS20" i="5" s="1"/>
  <c r="BB20" i="5"/>
  <c r="BF169" i="5"/>
  <c r="BM169" i="5"/>
  <c r="BD169" i="5"/>
  <c r="BC169" i="5"/>
  <c r="AR190" i="5"/>
  <c r="AS190" i="5" s="1"/>
  <c r="BB190" i="5"/>
  <c r="AR226" i="5"/>
  <c r="AS226" i="5" s="1"/>
  <c r="BB226" i="5"/>
  <c r="AR96" i="5"/>
  <c r="AS96" i="5" s="1"/>
  <c r="BB96" i="5"/>
  <c r="AR88" i="5"/>
  <c r="AS88" i="5" s="1"/>
  <c r="BB88" i="5"/>
  <c r="AR181" i="5"/>
  <c r="AS181" i="5" s="1"/>
  <c r="BB181" i="5"/>
  <c r="AR57" i="5"/>
  <c r="AS57" i="5" s="1"/>
  <c r="BB57" i="5"/>
  <c r="AR99" i="5"/>
  <c r="AS99" i="5" s="1"/>
  <c r="BB99" i="5"/>
  <c r="AR139" i="5"/>
  <c r="AS139" i="5" s="1"/>
  <c r="BB139" i="5"/>
  <c r="AR127" i="5"/>
  <c r="AS127" i="5" s="1"/>
  <c r="BB127" i="5"/>
  <c r="AR92" i="5"/>
  <c r="AS92" i="5" s="1"/>
  <c r="BB92" i="5"/>
  <c r="AR101" i="5"/>
  <c r="AS101" i="5" s="1"/>
  <c r="BB101" i="5"/>
  <c r="AR203" i="5"/>
  <c r="AS203" i="5" s="1"/>
  <c r="BB203" i="5"/>
  <c r="AR217" i="5"/>
  <c r="AS217" i="5" s="1"/>
  <c r="BB217" i="5"/>
  <c r="AR44" i="5"/>
  <c r="AS44" i="5" s="1"/>
  <c r="BB44" i="5"/>
  <c r="AR69" i="5"/>
  <c r="AS69" i="5" s="1"/>
  <c r="BB69" i="5"/>
  <c r="AR216" i="5"/>
  <c r="AS216" i="5" s="1"/>
  <c r="BB216" i="5"/>
  <c r="AR159" i="5"/>
  <c r="AS159" i="5" s="1"/>
  <c r="BB159" i="5"/>
  <c r="AR116" i="5"/>
  <c r="AS116" i="5" s="1"/>
  <c r="BB116" i="5"/>
  <c r="AR49" i="5"/>
  <c r="AS49" i="5" s="1"/>
  <c r="BB49" i="5"/>
  <c r="AR208" i="5"/>
  <c r="AS208" i="5" s="1"/>
  <c r="BB208" i="5"/>
  <c r="AR22" i="5"/>
  <c r="AS22" i="5" s="1"/>
  <c r="BB22" i="5"/>
  <c r="AR210" i="5"/>
  <c r="AS210" i="5" s="1"/>
  <c r="BB210" i="5"/>
  <c r="AR15" i="5"/>
  <c r="AS15" i="5" s="1"/>
  <c r="BB15" i="5"/>
  <c r="AR205" i="5"/>
  <c r="AS205" i="5" s="1"/>
  <c r="BB205" i="5"/>
  <c r="AR219" i="5"/>
  <c r="AS219" i="5" s="1"/>
  <c r="BB219" i="5"/>
  <c r="AR153" i="5"/>
  <c r="AS153" i="5" s="1"/>
  <c r="BB153" i="5"/>
  <c r="AR104" i="5"/>
  <c r="AS104" i="5" s="1"/>
  <c r="BB104" i="5"/>
  <c r="AR97" i="5"/>
  <c r="AS97" i="5" s="1"/>
  <c r="BB97" i="5"/>
  <c r="AR162" i="5"/>
  <c r="AS162" i="5" s="1"/>
  <c r="BB162" i="5"/>
  <c r="BM61" i="5"/>
  <c r="BF61" i="5"/>
  <c r="BC61" i="5"/>
  <c r="BD61" i="5"/>
  <c r="AR204" i="5"/>
  <c r="AS204" i="5" s="1"/>
  <c r="BB204" i="5"/>
  <c r="AR82" i="5"/>
  <c r="AS82" i="5" s="1"/>
  <c r="BB82" i="5"/>
  <c r="AR142" i="5"/>
  <c r="AS142" i="5" s="1"/>
  <c r="AR151" i="5"/>
  <c r="AS151" i="5" s="1"/>
  <c r="BB151" i="5"/>
  <c r="AR148" i="5"/>
  <c r="AS148" i="5" s="1"/>
  <c r="BB148" i="5"/>
  <c r="AR50" i="5"/>
  <c r="AS50" i="5" s="1"/>
  <c r="BB50" i="5"/>
  <c r="AR103" i="5"/>
  <c r="AS103" i="5" s="1"/>
  <c r="BB103" i="5"/>
  <c r="BB13" i="5"/>
  <c r="AR13" i="5"/>
  <c r="AS13" i="5" s="1"/>
  <c r="AR228" i="5"/>
  <c r="AS228" i="5" s="1"/>
  <c r="BB228" i="5"/>
  <c r="AR89" i="5"/>
  <c r="AS89" i="5" s="1"/>
  <c r="BB89" i="5"/>
  <c r="AR200" i="5"/>
  <c r="AS200" i="5" s="1"/>
  <c r="BB200" i="5"/>
  <c r="AR71" i="5"/>
  <c r="AS71" i="5" s="1"/>
  <c r="BB71" i="5"/>
  <c r="AR3" i="5"/>
  <c r="AS3" i="5" s="1"/>
  <c r="BB3" i="5"/>
  <c r="AR41" i="5"/>
  <c r="AS41" i="5" s="1"/>
  <c r="BB41" i="5"/>
  <c r="AR120" i="5"/>
  <c r="AS120" i="5" s="1"/>
  <c r="BB120" i="5"/>
  <c r="AR163" i="5"/>
  <c r="AS163" i="5" s="1"/>
  <c r="BB163" i="5"/>
  <c r="AR149" i="5"/>
  <c r="AS149" i="5" s="1"/>
  <c r="BB149" i="5"/>
  <c r="AR171" i="5"/>
  <c r="AS171" i="5" s="1"/>
  <c r="BB171" i="5"/>
  <c r="AR215" i="5"/>
  <c r="AS215" i="5" s="1"/>
  <c r="BB215" i="5"/>
  <c r="AR211" i="5"/>
  <c r="AS211" i="5" s="1"/>
  <c r="BB211" i="5"/>
  <c r="AR6" i="5"/>
  <c r="AS6" i="5" s="1"/>
  <c r="BB6" i="5"/>
  <c r="AR76" i="5"/>
  <c r="AS76" i="5" s="1"/>
  <c r="BB76" i="5"/>
  <c r="AR218" i="5"/>
  <c r="AS218" i="5" s="1"/>
  <c r="BB218" i="5"/>
  <c r="AR174" i="5"/>
  <c r="AS174" i="5" s="1"/>
  <c r="BB174" i="5"/>
  <c r="AR27" i="5"/>
  <c r="AS27" i="5" s="1"/>
  <c r="BB27" i="5"/>
  <c r="AR206" i="5"/>
  <c r="AS206" i="5" s="1"/>
  <c r="BB206" i="5"/>
  <c r="AR172" i="5"/>
  <c r="AS172" i="5" s="1"/>
  <c r="BB172" i="5"/>
  <c r="AR196" i="5"/>
  <c r="AS196" i="5" s="1"/>
  <c r="AR230" i="5"/>
  <c r="AS230" i="5" s="1"/>
  <c r="BB230" i="5"/>
  <c r="AR111" i="5"/>
  <c r="AS111" i="5" s="1"/>
  <c r="BB111" i="5"/>
  <c r="AR150" i="5"/>
  <c r="AS150" i="5" s="1"/>
  <c r="BB150" i="5"/>
  <c r="AR165" i="5"/>
  <c r="AS165" i="5" s="1"/>
  <c r="BB165" i="5"/>
  <c r="AR17" i="5"/>
  <c r="AS17" i="5" s="1"/>
  <c r="BB17" i="5"/>
  <c r="AR112" i="5"/>
  <c r="AS112" i="5" s="1"/>
  <c r="BB112" i="5"/>
  <c r="AR40" i="5"/>
  <c r="AS40" i="5" s="1"/>
  <c r="BB40" i="5"/>
  <c r="AR192" i="5"/>
  <c r="AS192" i="5" s="1"/>
  <c r="BB192" i="5"/>
  <c r="AR209" i="5"/>
  <c r="AS209" i="5" s="1"/>
  <c r="BB209" i="5"/>
  <c r="AR173" i="5"/>
  <c r="AS173" i="5" s="1"/>
  <c r="BB173" i="5"/>
  <c r="AR194" i="5"/>
  <c r="AS194" i="5" s="1"/>
  <c r="BB194" i="5"/>
  <c r="AR75" i="5"/>
  <c r="AS75" i="5" s="1"/>
  <c r="BB75" i="5"/>
  <c r="AR114" i="5"/>
  <c r="AS114" i="5" s="1"/>
  <c r="BB114" i="5"/>
  <c r="AR34" i="5"/>
  <c r="AS34" i="5" s="1"/>
  <c r="BB34" i="5"/>
  <c r="AR102" i="5"/>
  <c r="AS102" i="5" s="1"/>
  <c r="BB102" i="5"/>
  <c r="AR157" i="5"/>
  <c r="AS157" i="5" s="1"/>
  <c r="BB157" i="5"/>
  <c r="AR105" i="5"/>
  <c r="AS105" i="5" s="1"/>
  <c r="BB105" i="5"/>
  <c r="AR46" i="5"/>
  <c r="AS46" i="5" s="1"/>
  <c r="BB46" i="5"/>
  <c r="AR26" i="5"/>
  <c r="AS26" i="5" s="1"/>
  <c r="BB26" i="5"/>
  <c r="AR130" i="5"/>
  <c r="AS130" i="5" s="1"/>
  <c r="BB130" i="5"/>
  <c r="AR191" i="5"/>
  <c r="AS191" i="5" s="1"/>
  <c r="BB191" i="5"/>
  <c r="AR160" i="5"/>
  <c r="AS160" i="5" s="1"/>
  <c r="BB160" i="5"/>
  <c r="AR126" i="5"/>
  <c r="AS126" i="5" s="1"/>
  <c r="BB126" i="5"/>
  <c r="AR87" i="5"/>
  <c r="AS87" i="5" s="1"/>
  <c r="BB87" i="5"/>
  <c r="AR201" i="5"/>
  <c r="AS201" i="5" s="1"/>
  <c r="BB201" i="5"/>
  <c r="AR129" i="5"/>
  <c r="AS129" i="5" s="1"/>
  <c r="BB129" i="5"/>
  <c r="AR183" i="5"/>
  <c r="AS183" i="5" s="1"/>
  <c r="BB183" i="5"/>
  <c r="AR212" i="5"/>
  <c r="AS212" i="5" s="1"/>
  <c r="BB212" i="5"/>
  <c r="AR28" i="5"/>
  <c r="AS28" i="5" s="1"/>
  <c r="BB28" i="5"/>
  <c r="AR83" i="5"/>
  <c r="AS83" i="5" s="1"/>
  <c r="BB83" i="5"/>
  <c r="AR188" i="5"/>
  <c r="AS188" i="5" s="1"/>
  <c r="BB188" i="5"/>
  <c r="BF234" i="5"/>
  <c r="BD234" i="5"/>
  <c r="BC234" i="5"/>
  <c r="BM234" i="5"/>
  <c r="AR63" i="5"/>
  <c r="AS63" i="5" s="1"/>
  <c r="BB63" i="5"/>
  <c r="AR235" i="5"/>
  <c r="AS235" i="5" s="1"/>
  <c r="BB235" i="5"/>
  <c r="AR231" i="5"/>
  <c r="AS231" i="5" s="1"/>
  <c r="BB231" i="5"/>
  <c r="AR100" i="5"/>
  <c r="AS100" i="5" s="1"/>
  <c r="BB100" i="5"/>
  <c r="AR47" i="5"/>
  <c r="AS47" i="5" s="1"/>
  <c r="BB47" i="5"/>
  <c r="AR177" i="5"/>
  <c r="AS177" i="5" s="1"/>
  <c r="BB177" i="5"/>
  <c r="AR19" i="5"/>
  <c r="AS19" i="5" s="1"/>
  <c r="BB19" i="5"/>
  <c r="AR110" i="5"/>
  <c r="AS110" i="5" s="1"/>
  <c r="BB110" i="5"/>
  <c r="AR78" i="5"/>
  <c r="AS78" i="5" s="1"/>
  <c r="BB78" i="5"/>
  <c r="AR35" i="5"/>
  <c r="AS35" i="5" s="1"/>
  <c r="BB35" i="5"/>
  <c r="AY236" i="5"/>
  <c r="AR193" i="5"/>
  <c r="AS193" i="5" s="1"/>
  <c r="BB193" i="5"/>
  <c r="BM55" i="5"/>
  <c r="BF55" i="5"/>
  <c r="BC55" i="5"/>
  <c r="BD55" i="5"/>
  <c r="AR124" i="5"/>
  <c r="AS124" i="5" s="1"/>
  <c r="BB124" i="5"/>
  <c r="AR154" i="5"/>
  <c r="AS154" i="5" s="1"/>
  <c r="BB154" i="5"/>
  <c r="AR178" i="5"/>
  <c r="AS178" i="5" s="1"/>
  <c r="BB178" i="5"/>
  <c r="AR222" i="5"/>
  <c r="AS222" i="5" s="1"/>
  <c r="BB222" i="5"/>
  <c r="AR9" i="5"/>
  <c r="AS9" i="5" s="1"/>
  <c r="BB9" i="5"/>
  <c r="AR70" i="5"/>
  <c r="AS70" i="5" s="1"/>
  <c r="BB70" i="5"/>
  <c r="AR12" i="5"/>
  <c r="AS12" i="5" s="1"/>
  <c r="BB12" i="5"/>
  <c r="AR145" i="5"/>
  <c r="AS145" i="5" s="1"/>
  <c r="BB145" i="5"/>
  <c r="AR29" i="5"/>
  <c r="AS29" i="5" s="1"/>
  <c r="BB29" i="5"/>
  <c r="AR98" i="5"/>
  <c r="AS98" i="5" s="1"/>
  <c r="BB98" i="5"/>
  <c r="AR52" i="5"/>
  <c r="AS52" i="5" s="1"/>
  <c r="BB52" i="5"/>
  <c r="AR95" i="5"/>
  <c r="AS95" i="5" s="1"/>
  <c r="BB95" i="5"/>
  <c r="AR140" i="5"/>
  <c r="AS140" i="5" s="1"/>
  <c r="BB140" i="5"/>
  <c r="AR31" i="5"/>
  <c r="AS31" i="5" s="1"/>
  <c r="BB31" i="5"/>
  <c r="AR136" i="5"/>
  <c r="AS136" i="5" s="1"/>
  <c r="BB136" i="5"/>
  <c r="AR156" i="5"/>
  <c r="AS156" i="5" s="1"/>
  <c r="BB156" i="5"/>
  <c r="AR107" i="5"/>
  <c r="AS107" i="5" s="1"/>
  <c r="BB107" i="5"/>
  <c r="AR109" i="5"/>
  <c r="AS109" i="5" s="1"/>
  <c r="BB109" i="5"/>
  <c r="AR79" i="5"/>
  <c r="AS79" i="5" s="1"/>
  <c r="BB79" i="5"/>
  <c r="AR152" i="5"/>
  <c r="AS152" i="5" s="1"/>
  <c r="BB152" i="5"/>
  <c r="BF185" i="5"/>
  <c r="BD185" i="5"/>
  <c r="AR68" i="5"/>
  <c r="AS68" i="5" s="1"/>
  <c r="BB68" i="5"/>
  <c r="AR93" i="5"/>
  <c r="AS93" i="5" s="1"/>
  <c r="BB93" i="5"/>
  <c r="AR224" i="5"/>
  <c r="AS224" i="5" s="1"/>
  <c r="BB224" i="5"/>
  <c r="AR195" i="5"/>
  <c r="AS195" i="5" s="1"/>
  <c r="BB195" i="5"/>
  <c r="AR232" i="5"/>
  <c r="AS232" i="5" s="1"/>
  <c r="BB232" i="5"/>
  <c r="AR125" i="5"/>
  <c r="AS125" i="5" s="1"/>
  <c r="BB125" i="5"/>
  <c r="AR21" i="5"/>
  <c r="AS21" i="5" s="1"/>
  <c r="BB21" i="5"/>
  <c r="AR128" i="5"/>
  <c r="AS128" i="5" s="1"/>
  <c r="BB128" i="5"/>
  <c r="AR94" i="5"/>
  <c r="AS94" i="5" s="1"/>
  <c r="BB94" i="5"/>
  <c r="AR14" i="5"/>
  <c r="AS14" i="5" s="1"/>
  <c r="BB14" i="5"/>
  <c r="AR66" i="5"/>
  <c r="AS66" i="5" s="1"/>
  <c r="BB66" i="5"/>
  <c r="AR48" i="5"/>
  <c r="AS48" i="5" s="1"/>
  <c r="BB48" i="5"/>
  <c r="AR207" i="5"/>
  <c r="AS207" i="5" s="1"/>
  <c r="BB207" i="5"/>
  <c r="AR2" i="5"/>
  <c r="AS2" i="5" s="1"/>
  <c r="BB2" i="5"/>
  <c r="AR54" i="5"/>
  <c r="AS54" i="5" s="1"/>
  <c r="BB54" i="5"/>
  <c r="AR60" i="5"/>
  <c r="AS60" i="5" s="1"/>
  <c r="BB60" i="5"/>
  <c r="AR90" i="5"/>
  <c r="AS90" i="5" s="1"/>
  <c r="BB90" i="5"/>
  <c r="AR80" i="5"/>
  <c r="AS80" i="5" s="1"/>
  <c r="BB80" i="5"/>
  <c r="AR133" i="5"/>
  <c r="AS133" i="5" s="1"/>
  <c r="BB133" i="5"/>
  <c r="BB221" i="5"/>
  <c r="AR221" i="5"/>
  <c r="AS221" i="5" s="1"/>
  <c r="AR168" i="5"/>
  <c r="AS168" i="5" s="1"/>
  <c r="BB168" i="5"/>
  <c r="AR7" i="5"/>
  <c r="AS7" i="5" s="1"/>
  <c r="BB7" i="5"/>
  <c r="AR67" i="5"/>
  <c r="AS67" i="5" s="1"/>
  <c r="BB67" i="5"/>
  <c r="AY176" i="5"/>
  <c r="AR5" i="5"/>
  <c r="AS5" i="5" s="1"/>
  <c r="BB5" i="5"/>
  <c r="AR51" i="5"/>
  <c r="AS51" i="5" s="1"/>
  <c r="BB51" i="5"/>
  <c r="AR86" i="5"/>
  <c r="AS86" i="5" s="1"/>
  <c r="BB86" i="5"/>
  <c r="AR134" i="5"/>
  <c r="AS134" i="5" s="1"/>
  <c r="BB134" i="5"/>
  <c r="AR36" i="5"/>
  <c r="AS36" i="5" s="1"/>
  <c r="BB36" i="5"/>
  <c r="AR158" i="5"/>
  <c r="AS158" i="5" s="1"/>
  <c r="BB158" i="5"/>
  <c r="AR119" i="5"/>
  <c r="AS119" i="5" s="1"/>
  <c r="BB119" i="5"/>
  <c r="AR187" i="5"/>
  <c r="AS187" i="5" s="1"/>
  <c r="BB187" i="5"/>
  <c r="AR33" i="5"/>
  <c r="AS33" i="5" s="1"/>
  <c r="BB33" i="5"/>
  <c r="AR25" i="5"/>
  <c r="AS25" i="5" s="1"/>
  <c r="BB25" i="5"/>
  <c r="AR138" i="5"/>
  <c r="AS138" i="5" s="1"/>
  <c r="BB138" i="5"/>
  <c r="AR164" i="5"/>
  <c r="AS164" i="5" s="1"/>
  <c r="BB164" i="5"/>
  <c r="AR11" i="5"/>
  <c r="AS11" i="5" s="1"/>
  <c r="BB11" i="5"/>
  <c r="AR73" i="5"/>
  <c r="AS73" i="5" s="1"/>
  <c r="BB73" i="5"/>
  <c r="AR225" i="5"/>
  <c r="AS225" i="5" s="1"/>
  <c r="BB225" i="5"/>
  <c r="AM46" i="5"/>
  <c r="AE46" i="5"/>
  <c r="AE22" i="5"/>
  <c r="AM22" i="5"/>
  <c r="AE86" i="5"/>
  <c r="AM86" i="5"/>
  <c r="AE133" i="5"/>
  <c r="AM133" i="5"/>
  <c r="AE171" i="5"/>
  <c r="AM171" i="5"/>
  <c r="AM92" i="5"/>
  <c r="AE92" i="5"/>
  <c r="AM208" i="5"/>
  <c r="AE208" i="5"/>
  <c r="AE108" i="5"/>
  <c r="AM108" i="5"/>
  <c r="AE37" i="5"/>
  <c r="AM37" i="5"/>
  <c r="AE212" i="5"/>
  <c r="AM212" i="5"/>
  <c r="AM157" i="5"/>
  <c r="AE157" i="5"/>
  <c r="AE40" i="5"/>
  <c r="AM40" i="5"/>
  <c r="AK198" i="5" a="1"/>
  <c r="AM50" i="5"/>
  <c r="AM207" i="5"/>
  <c r="AM30" i="5"/>
  <c r="AT55" i="5"/>
  <c r="AE107" i="5"/>
  <c r="AT43" i="5"/>
  <c r="AT233" i="5"/>
  <c r="AT65" i="5"/>
  <c r="AT96" i="5"/>
  <c r="AT216" i="5"/>
  <c r="AT97" i="5"/>
  <c r="AT13" i="5"/>
  <c r="AT196" i="5"/>
  <c r="AT34" i="5"/>
  <c r="AT130" i="5"/>
  <c r="AT63" i="5"/>
  <c r="AT47" i="5"/>
  <c r="AT154" i="5"/>
  <c r="AT145" i="5"/>
  <c r="AT125" i="5"/>
  <c r="AT66" i="5"/>
  <c r="AT51" i="5"/>
  <c r="AE35" i="5"/>
  <c r="AM35" i="5"/>
  <c r="AE69" i="5"/>
  <c r="AM69" i="5"/>
  <c r="AM190" i="5"/>
  <c r="AE190" i="5"/>
  <c r="AK15" i="5" a="1"/>
  <c r="AM62" i="5"/>
  <c r="AM220" i="5"/>
  <c r="AT84" i="5"/>
  <c r="AT62" i="5"/>
  <c r="AT205" i="5"/>
  <c r="AT157" i="5"/>
  <c r="AT70" i="5"/>
  <c r="AT183" i="5"/>
  <c r="AT128" i="5"/>
  <c r="AT33" i="5"/>
  <c r="AE118" i="5"/>
  <c r="AT4" i="5"/>
  <c r="AT73" i="5"/>
  <c r="AE87" i="5"/>
  <c r="AM87" i="5"/>
  <c r="AT23" i="5"/>
  <c r="AT15" i="5"/>
  <c r="AT218" i="5"/>
  <c r="AT136" i="5"/>
  <c r="AK64" i="5" a="1"/>
  <c r="AT184" i="5"/>
  <c r="AT28" i="5"/>
  <c r="AE31" i="5"/>
  <c r="AM31" i="5"/>
  <c r="AM186" i="5"/>
  <c r="AE186" i="5"/>
  <c r="AE184" i="5"/>
  <c r="AM184" i="5"/>
  <c r="AE21" i="5"/>
  <c r="AM21" i="5"/>
  <c r="AE96" i="5"/>
  <c r="AM96" i="5"/>
  <c r="AE141" i="5"/>
  <c r="AM141" i="5"/>
  <c r="AM27" i="5"/>
  <c r="AE27" i="5"/>
  <c r="AM55" i="5"/>
  <c r="AE55" i="5"/>
  <c r="AM9" i="5"/>
  <c r="AE9" i="5"/>
  <c r="AE188" i="5"/>
  <c r="AM188" i="5"/>
  <c r="AM146" i="5"/>
  <c r="AE146" i="5"/>
  <c r="AE105" i="5"/>
  <c r="AM105" i="5"/>
  <c r="AM194" i="5"/>
  <c r="AE194" i="5"/>
  <c r="AE153" i="5"/>
  <c r="AE50" i="5"/>
  <c r="AE42" i="5"/>
  <c r="AT185" i="5"/>
  <c r="AT10" i="5"/>
  <c r="AT202" i="5"/>
  <c r="AT127" i="5"/>
  <c r="AT142" i="5"/>
  <c r="AT209" i="5"/>
  <c r="AT201" i="5"/>
  <c r="AT78" i="5"/>
  <c r="AT31" i="5"/>
  <c r="AT93" i="5"/>
  <c r="AT54" i="5"/>
  <c r="AT221" i="5"/>
  <c r="AT187" i="5"/>
  <c r="AT138" i="5"/>
  <c r="AM43" i="5"/>
  <c r="AE43" i="5"/>
  <c r="AK218" i="5" a="1"/>
  <c r="AT186" i="5"/>
  <c r="AT197" i="5"/>
  <c r="AT44" i="5"/>
  <c r="AT163" i="5"/>
  <c r="AT17" i="5"/>
  <c r="AT193" i="5"/>
  <c r="AT152" i="5"/>
  <c r="AT177" i="5"/>
  <c r="AE63" i="5"/>
  <c r="AM63" i="5"/>
  <c r="AE166" i="5"/>
  <c r="AM166" i="5"/>
  <c r="AE116" i="5"/>
  <c r="AT203" i="5"/>
  <c r="AT50" i="5"/>
  <c r="AM102" i="5"/>
  <c r="AE102" i="5"/>
  <c r="AE177" i="5"/>
  <c r="AM177" i="5"/>
  <c r="AT204" i="5"/>
  <c r="AT75" i="5"/>
  <c r="AM135" i="5"/>
  <c r="AT95" i="5"/>
  <c r="AM172" i="5"/>
  <c r="AE172" i="5"/>
  <c r="AE93" i="5"/>
  <c r="AM93" i="5"/>
  <c r="AM3" i="5"/>
  <c r="AE3" i="5"/>
  <c r="AM58" i="5"/>
  <c r="AE58" i="5"/>
  <c r="AE113" i="5"/>
  <c r="AM113" i="5"/>
  <c r="AE131" i="5"/>
  <c r="AM131" i="5"/>
  <c r="AE201" i="5"/>
  <c r="AM201" i="5"/>
  <c r="AE211" i="5"/>
  <c r="AM211" i="5"/>
  <c r="AM196" i="5"/>
  <c r="AE196" i="5"/>
  <c r="AE205" i="5"/>
  <c r="AM205" i="5"/>
  <c r="AE193" i="5"/>
  <c r="AM193" i="5"/>
  <c r="AE162" i="5"/>
  <c r="AM162" i="5"/>
  <c r="AM39" i="5"/>
  <c r="AM153" i="5"/>
  <c r="AT16" i="5"/>
  <c r="AK45" i="5" a="1"/>
  <c r="AM152" i="5"/>
  <c r="AK150" i="5" a="1"/>
  <c r="AM79" i="5"/>
  <c r="AM42" i="5"/>
  <c r="AE136" i="5"/>
  <c r="AM140" i="5"/>
  <c r="AE125" i="5"/>
  <c r="AT8" i="5"/>
  <c r="AT132" i="5"/>
  <c r="AT20" i="5"/>
  <c r="AT159" i="5"/>
  <c r="AT208" i="5"/>
  <c r="AT162" i="5"/>
  <c r="AT211" i="5"/>
  <c r="AT27" i="5"/>
  <c r="AT165" i="5"/>
  <c r="AT102" i="5"/>
  <c r="AT235" i="5"/>
  <c r="AT178" i="5"/>
  <c r="AT29" i="5"/>
  <c r="AT21" i="5"/>
  <c r="AT168" i="5"/>
  <c r="AT86" i="5"/>
  <c r="AM168" i="5"/>
  <c r="AE168" i="5"/>
  <c r="AE70" i="5"/>
  <c r="AE203" i="5"/>
  <c r="AM203" i="5"/>
  <c r="AM7" i="5"/>
  <c r="AE7" i="5"/>
  <c r="AE195" i="5"/>
  <c r="AT155" i="5"/>
  <c r="AT22" i="5"/>
  <c r="AT231" i="5"/>
  <c r="AT98" i="5"/>
  <c r="AT7" i="5"/>
  <c r="AT188" i="5"/>
  <c r="AE197" i="5"/>
  <c r="AM197" i="5"/>
  <c r="AM192" i="5"/>
  <c r="AE192" i="5"/>
  <c r="AE199" i="5"/>
  <c r="AM199" i="5"/>
  <c r="AT170" i="5"/>
  <c r="AT106" i="5"/>
  <c r="AT41" i="5"/>
  <c r="AT52" i="5"/>
  <c r="AM68" i="5"/>
  <c r="AE68" i="5"/>
  <c r="AM179" i="5"/>
  <c r="AE179" i="5"/>
  <c r="AT74" i="5"/>
  <c r="AT150" i="5"/>
  <c r="AT109" i="5"/>
  <c r="AE206" i="5"/>
  <c r="AM206" i="5"/>
  <c r="AE132" i="5"/>
  <c r="AM132" i="5"/>
  <c r="AT207" i="5"/>
  <c r="AE12" i="5"/>
  <c r="AM12" i="5"/>
  <c r="AM209" i="5"/>
  <c r="AE209" i="5"/>
  <c r="AM32" i="5"/>
  <c r="AE32" i="5"/>
  <c r="AE48" i="5"/>
  <c r="AM48" i="5"/>
  <c r="AE88" i="5"/>
  <c r="AM88" i="5"/>
  <c r="AM219" i="5"/>
  <c r="AE219" i="5"/>
  <c r="AE217" i="5"/>
  <c r="AM217" i="5"/>
  <c r="AM174" i="5"/>
  <c r="AE174" i="5"/>
  <c r="AM71" i="5"/>
  <c r="AE71" i="5"/>
  <c r="AM91" i="5"/>
  <c r="AE91" i="5"/>
  <c r="AE167" i="5"/>
  <c r="AM167" i="5"/>
  <c r="AE175" i="5"/>
  <c r="AM175" i="5"/>
  <c r="AE98" i="5"/>
  <c r="AM98" i="5"/>
  <c r="AT146" i="5"/>
  <c r="AK56" i="5" a="1"/>
  <c r="AT113" i="5"/>
  <c r="AE152" i="5"/>
  <c r="AE79" i="5"/>
  <c r="AM136" i="5"/>
  <c r="AT166" i="5"/>
  <c r="AE140" i="5"/>
  <c r="AM125" i="5"/>
  <c r="AT179" i="5"/>
  <c r="AT88" i="5"/>
  <c r="AT92" i="5"/>
  <c r="AT151" i="5"/>
  <c r="AT228" i="5"/>
  <c r="AT71" i="5"/>
  <c r="AT230" i="5"/>
  <c r="AT173" i="5"/>
  <c r="AT129" i="5"/>
  <c r="AT79" i="5"/>
  <c r="AT224" i="5"/>
  <c r="AT48" i="5"/>
  <c r="AT60" i="5"/>
  <c r="AT164" i="5"/>
  <c r="AM130" i="5"/>
  <c r="AE130" i="5"/>
  <c r="AE59" i="5"/>
  <c r="AM59" i="5"/>
  <c r="AE151" i="5"/>
  <c r="AM151" i="5"/>
  <c r="AE80" i="5"/>
  <c r="AT59" i="5"/>
  <c r="AT116" i="5"/>
  <c r="AT6" i="5"/>
  <c r="AT191" i="5"/>
  <c r="AT222" i="5"/>
  <c r="AT134" i="5"/>
  <c r="AT90" i="5"/>
  <c r="AM180" i="5"/>
  <c r="AE180" i="5"/>
  <c r="AM169" i="5"/>
  <c r="AE169" i="5"/>
  <c r="AE170" i="5"/>
  <c r="AM170" i="5"/>
  <c r="AE110" i="5"/>
  <c r="AM110" i="5"/>
  <c r="AM222" i="5"/>
  <c r="AE222" i="5"/>
  <c r="AK111" i="5" a="1"/>
  <c r="AT57" i="5"/>
  <c r="AT25" i="5"/>
  <c r="AM213" i="5"/>
  <c r="AE213" i="5"/>
  <c r="AM161" i="5"/>
  <c r="AE161" i="5"/>
  <c r="AT190" i="5"/>
  <c r="AT46" i="5"/>
  <c r="AT35" i="5"/>
  <c r="AM94" i="5"/>
  <c r="AE94" i="5"/>
  <c r="AE142" i="5"/>
  <c r="AM142" i="5"/>
  <c r="AM144" i="5"/>
  <c r="AE144" i="5"/>
  <c r="AE207" i="5"/>
  <c r="AE165" i="5"/>
  <c r="AM165" i="5"/>
  <c r="AE143" i="5"/>
  <c r="AM143" i="5"/>
  <c r="AE16" i="5"/>
  <c r="AM16" i="5"/>
  <c r="AM49" i="5"/>
  <c r="AE49" i="5"/>
  <c r="AE2" i="5"/>
  <c r="AM2" i="5"/>
  <c r="AM74" i="5"/>
  <c r="AM163" i="5"/>
  <c r="AM70" i="5"/>
  <c r="AE39" i="5"/>
  <c r="AE121" i="5"/>
  <c r="AM195" i="5"/>
  <c r="AK122" i="5" a="1"/>
  <c r="AM80" i="5"/>
  <c r="AE62" i="5"/>
  <c r="AK216" i="5" a="1"/>
  <c r="AE220" i="5"/>
  <c r="AT37" i="5"/>
  <c r="AT45" i="5"/>
  <c r="AT181" i="5"/>
  <c r="AT101" i="5"/>
  <c r="AT148" i="5"/>
  <c r="AT89" i="5"/>
  <c r="AT3" i="5"/>
  <c r="AT111" i="5"/>
  <c r="AT194" i="5"/>
  <c r="AT107" i="5"/>
  <c r="AT11" i="5"/>
  <c r="AT36" i="5"/>
  <c r="AE214" i="5"/>
  <c r="AM214" i="5"/>
  <c r="AM28" i="5"/>
  <c r="AE28" i="5"/>
  <c r="AM10" i="5"/>
  <c r="AE10" i="5"/>
  <c r="AM41" i="5"/>
  <c r="AE41" i="5"/>
  <c r="AT153" i="5"/>
  <c r="AT206" i="5"/>
  <c r="AT80" i="5"/>
  <c r="AE128" i="5"/>
  <c r="AM128" i="5"/>
  <c r="AE164" i="5"/>
  <c r="AM164" i="5"/>
  <c r="AK8" i="5" a="1"/>
  <c r="AT217" i="5"/>
  <c r="AT225" i="5"/>
  <c r="AM44" i="5"/>
  <c r="AE44" i="5"/>
  <c r="AM97" i="5"/>
  <c r="AE97" i="5"/>
  <c r="AM178" i="5"/>
  <c r="AE178" i="5"/>
  <c r="AM78" i="5"/>
  <c r="AE78" i="5"/>
  <c r="AE189" i="5"/>
  <c r="AM189" i="5"/>
  <c r="AE126" i="5"/>
  <c r="AM126" i="5"/>
  <c r="AE36" i="5"/>
  <c r="AM36" i="5"/>
  <c r="AM13" i="5"/>
  <c r="AE13" i="5"/>
  <c r="AE74" i="5"/>
  <c r="AM121" i="5"/>
  <c r="AM116" i="5"/>
  <c r="AK6" i="5" a="1"/>
  <c r="AT58" i="5"/>
  <c r="AM118" i="5"/>
  <c r="AT121" i="5"/>
  <c r="AT167" i="5"/>
  <c r="AT72" i="5"/>
  <c r="AT91" i="5"/>
  <c r="AT237" i="5"/>
  <c r="AT69" i="5"/>
  <c r="AT210" i="5"/>
  <c r="AT219" i="5"/>
  <c r="AT149" i="5"/>
  <c r="AT76" i="5"/>
  <c r="AT112" i="5"/>
  <c r="AT105" i="5"/>
  <c r="AT160" i="5"/>
  <c r="AT100" i="5"/>
  <c r="AT67" i="5"/>
  <c r="AM90" i="5"/>
  <c r="AE90" i="5"/>
  <c r="AE26" i="5"/>
  <c r="AM26" i="5"/>
  <c r="AT212" i="5"/>
  <c r="AE47" i="5"/>
  <c r="AM47" i="5"/>
  <c r="AE135" i="5"/>
  <c r="AT49" i="5"/>
  <c r="AT158" i="5"/>
  <c r="AM223" i="5"/>
  <c r="AE223" i="5"/>
  <c r="AM38" i="5"/>
  <c r="AE38" i="5"/>
  <c r="AE18" i="5"/>
  <c r="AM18" i="5"/>
  <c r="AT64" i="5"/>
  <c r="AT99" i="5"/>
  <c r="AT120" i="5"/>
  <c r="AT232" i="5"/>
  <c r="AM158" i="5"/>
  <c r="AE158" i="5"/>
  <c r="AE60" i="5"/>
  <c r="AM60" i="5"/>
  <c r="AE76" i="5"/>
  <c r="AM76" i="5"/>
  <c r="AM139" i="5"/>
  <c r="AE139" i="5"/>
  <c r="AE163" i="5"/>
  <c r="AE210" i="5"/>
  <c r="AM210" i="5"/>
  <c r="AE147" i="5"/>
  <c r="AM147" i="5"/>
  <c r="AM20" i="5"/>
  <c r="AE20" i="5"/>
  <c r="AE200" i="5"/>
  <c r="AM200" i="5"/>
  <c r="AM181" i="5"/>
  <c r="AE181" i="5"/>
  <c r="AE225" i="5"/>
  <c r="AM225" i="5"/>
  <c r="AM187" i="5"/>
  <c r="AE187" i="5"/>
  <c r="AM155" i="5"/>
  <c r="AE155" i="5"/>
  <c r="AK138" i="5" a="1"/>
  <c r="AT117" i="5"/>
  <c r="AT122" i="5"/>
  <c r="AE104" i="5"/>
  <c r="AK75" i="5" a="1"/>
  <c r="AK89" i="5" a="1"/>
  <c r="AT118" i="5"/>
  <c r="AT131" i="5"/>
  <c r="AT18" i="5"/>
  <c r="AT226" i="5"/>
  <c r="AT104" i="5"/>
  <c r="AT174" i="5"/>
  <c r="AT172" i="5"/>
  <c r="AT114" i="5"/>
  <c r="AT26" i="5"/>
  <c r="AT124" i="5"/>
  <c r="AT9" i="5"/>
  <c r="AT12" i="5"/>
  <c r="AT14" i="5"/>
  <c r="AT133" i="5"/>
  <c r="AT5" i="5"/>
  <c r="AM106" i="5"/>
  <c r="AE106" i="5"/>
  <c r="AT40" i="5"/>
  <c r="AT94" i="5"/>
  <c r="AM159" i="5"/>
  <c r="AE159" i="5"/>
  <c r="AE95" i="5"/>
  <c r="AM95" i="5"/>
  <c r="AT171" i="5"/>
  <c r="AT126" i="5"/>
  <c r="AM100" i="5"/>
  <c r="AE100" i="5"/>
  <c r="AM224" i="5"/>
  <c r="AE224" i="5"/>
  <c r="AE112" i="5"/>
  <c r="AM112" i="5"/>
  <c r="AM215" i="5"/>
  <c r="AE215" i="5"/>
  <c r="AM23" i="5"/>
  <c r="AE23" i="5"/>
  <c r="AM51" i="5"/>
  <c r="AE51" i="5"/>
  <c r="AM99" i="5"/>
  <c r="AE99" i="5"/>
  <c r="AM103" i="5"/>
  <c r="AE103" i="5"/>
  <c r="AM61" i="5"/>
  <c r="AE61" i="5"/>
  <c r="AE65" i="5"/>
  <c r="AM65" i="5"/>
  <c r="AM77" i="5"/>
  <c r="AE77" i="5"/>
  <c r="AM11" i="5"/>
  <c r="AE11" i="5"/>
  <c r="AM202" i="5"/>
  <c r="AE202" i="5"/>
  <c r="AE119" i="5"/>
  <c r="AM119" i="5"/>
  <c r="AT213" i="5"/>
  <c r="AE30" i="5"/>
  <c r="AM107" i="5"/>
  <c r="AT220" i="5"/>
  <c r="AT77" i="5"/>
  <c r="AM104" i="5"/>
  <c r="AT139" i="5"/>
  <c r="AT82" i="5"/>
  <c r="AT215" i="5"/>
  <c r="AT192" i="5"/>
  <c r="AT87" i="5"/>
  <c r="AT83" i="5"/>
  <c r="AT110" i="5"/>
  <c r="AT140" i="5"/>
  <c r="AT156" i="5"/>
  <c r="AT68" i="5"/>
  <c r="AT2" i="5"/>
  <c r="AT119" i="5"/>
  <c r="AT195" i="5"/>
  <c r="AT200" i="5"/>
  <c r="AT19" i="5"/>
  <c r="AE185" i="5"/>
  <c r="AM185" i="5"/>
  <c r="AT103" i="5"/>
  <c r="AT115" i="5"/>
  <c r="AU115" i="5" l="1"/>
  <c r="AV115" i="5" s="1"/>
  <c r="AY115" i="5" s="1"/>
  <c r="AU103" i="5"/>
  <c r="AV103" i="5" s="1"/>
  <c r="AY103" i="5" s="1"/>
  <c r="AN185" i="5"/>
  <c r="AF185" i="5"/>
  <c r="AU19" i="5"/>
  <c r="AV19" i="5" s="1"/>
  <c r="AY19" i="5" s="1"/>
  <c r="AU200" i="5"/>
  <c r="AV200" i="5" s="1"/>
  <c r="AY200" i="5" s="1"/>
  <c r="AU195" i="5"/>
  <c r="AV195" i="5" s="1"/>
  <c r="AY195" i="5" s="1"/>
  <c r="AU119" i="5"/>
  <c r="AV119" i="5" s="1"/>
  <c r="AY119" i="5" s="1"/>
  <c r="AU2" i="5"/>
  <c r="AV2" i="5" s="1"/>
  <c r="AY2" i="5" s="1"/>
  <c r="AU68" i="5"/>
  <c r="AV68" i="5" s="1"/>
  <c r="AY68" i="5" s="1"/>
  <c r="AU156" i="5"/>
  <c r="AV156" i="5" s="1"/>
  <c r="AY156" i="5" s="1"/>
  <c r="AU140" i="5"/>
  <c r="AV140" i="5" s="1"/>
  <c r="AY140" i="5" s="1"/>
  <c r="AU110" i="5"/>
  <c r="AV110" i="5" s="1"/>
  <c r="AY110" i="5" s="1"/>
  <c r="AU83" i="5"/>
  <c r="AV83" i="5" s="1"/>
  <c r="AY83" i="5" s="1"/>
  <c r="AU87" i="5"/>
  <c r="AV87" i="5" s="1"/>
  <c r="AY87" i="5" s="1"/>
  <c r="AU192" i="5"/>
  <c r="AV192" i="5" s="1"/>
  <c r="AY192" i="5" s="1"/>
  <c r="AU215" i="5"/>
  <c r="AV215" i="5" s="1"/>
  <c r="AY215" i="5" s="1"/>
  <c r="AU82" i="5"/>
  <c r="AV82" i="5" s="1"/>
  <c r="AY82" i="5" s="1"/>
  <c r="AU139" i="5"/>
  <c r="AV139" i="5" s="1"/>
  <c r="AY139" i="5" s="1"/>
  <c r="AN104" i="5"/>
  <c r="AU77" i="5"/>
  <c r="AV77" i="5" s="1"/>
  <c r="AY77" i="5" s="1"/>
  <c r="AU220" i="5"/>
  <c r="AV220" i="5" s="1"/>
  <c r="AY220" i="5" s="1"/>
  <c r="AN107" i="5"/>
  <c r="AF30" i="5"/>
  <c r="AU213" i="5"/>
  <c r="AV213" i="5" s="1"/>
  <c r="AY213" i="5" s="1"/>
  <c r="AN119" i="5"/>
  <c r="AF119" i="5"/>
  <c r="AF202" i="5"/>
  <c r="AN202" i="5"/>
  <c r="AF11" i="5"/>
  <c r="AN11" i="5"/>
  <c r="AF77" i="5"/>
  <c r="AN77" i="5"/>
  <c r="AN65" i="5"/>
  <c r="AF65" i="5"/>
  <c r="AF61" i="5"/>
  <c r="AN61" i="5"/>
  <c r="AF103" i="5"/>
  <c r="AN103" i="5"/>
  <c r="AF99" i="5"/>
  <c r="AN99" i="5"/>
  <c r="AF51" i="5"/>
  <c r="AN51" i="5"/>
  <c r="AF23" i="5"/>
  <c r="AN23" i="5"/>
  <c r="AF215" i="5"/>
  <c r="AN215" i="5"/>
  <c r="AN112" i="5"/>
  <c r="AF112" i="5"/>
  <c r="AF224" i="5"/>
  <c r="AN224" i="5"/>
  <c r="AF100" i="5"/>
  <c r="AN100" i="5"/>
  <c r="AU126" i="5"/>
  <c r="AV126" i="5" s="1"/>
  <c r="AY126" i="5" s="1"/>
  <c r="AU171" i="5"/>
  <c r="AV171" i="5" s="1"/>
  <c r="AY171" i="5" s="1"/>
  <c r="AN95" i="5"/>
  <c r="AF95" i="5"/>
  <c r="AF159" i="5"/>
  <c r="AN159" i="5"/>
  <c r="AU94" i="5"/>
  <c r="AV94" i="5" s="1"/>
  <c r="AY94" i="5" s="1"/>
  <c r="AU40" i="5"/>
  <c r="AV40" i="5" s="1"/>
  <c r="AF106" i="5"/>
  <c r="AN106" i="5"/>
  <c r="AU5" i="5"/>
  <c r="AV5" i="5" s="1"/>
  <c r="AY5" i="5" s="1"/>
  <c r="AU133" i="5"/>
  <c r="AV133" i="5" s="1"/>
  <c r="AY133" i="5" s="1"/>
  <c r="AU14" i="5"/>
  <c r="AV14" i="5" s="1"/>
  <c r="AY14" i="5" s="1"/>
  <c r="AU12" i="5"/>
  <c r="AV12" i="5" s="1"/>
  <c r="AY12" i="5" s="1"/>
  <c r="AU9" i="5"/>
  <c r="AV9" i="5" s="1"/>
  <c r="AY9" i="5" s="1"/>
  <c r="AU124" i="5"/>
  <c r="AV124" i="5" s="1"/>
  <c r="AY124" i="5" s="1"/>
  <c r="AU26" i="5"/>
  <c r="AV26" i="5" s="1"/>
  <c r="AY26" i="5" s="1"/>
  <c r="AU114" i="5"/>
  <c r="AV114" i="5" s="1"/>
  <c r="AY114" i="5" s="1"/>
  <c r="AU172" i="5"/>
  <c r="AV172" i="5" s="1"/>
  <c r="AY172" i="5" s="1"/>
  <c r="AU174" i="5"/>
  <c r="AV174" i="5" s="1"/>
  <c r="AY174" i="5" s="1"/>
  <c r="AU104" i="5"/>
  <c r="AV104" i="5" s="1"/>
  <c r="AY104" i="5" s="1"/>
  <c r="AU226" i="5"/>
  <c r="AV226" i="5" s="1"/>
  <c r="AY226" i="5" s="1"/>
  <c r="AU18" i="5"/>
  <c r="AV18" i="5" s="1"/>
  <c r="AY18" i="5" s="1"/>
  <c r="AU131" i="5"/>
  <c r="AV131" i="5" s="1"/>
  <c r="AY131" i="5" s="1"/>
  <c r="AU118" i="5"/>
  <c r="AV118" i="5" s="1"/>
  <c r="AY118" i="5" s="1"/>
  <c r="AK89" i="5"/>
  <c r="AK75" i="5"/>
  <c r="AF104" i="5"/>
  <c r="AU122" i="5"/>
  <c r="AV122" i="5" s="1"/>
  <c r="AY122" i="5" s="1"/>
  <c r="AU117" i="5"/>
  <c r="AV117" i="5" s="1"/>
  <c r="AY117" i="5" s="1"/>
  <c r="AK138" i="5"/>
  <c r="AF155" i="5"/>
  <c r="AN155" i="5"/>
  <c r="AF187" i="5"/>
  <c r="AN187" i="5"/>
  <c r="AN225" i="5"/>
  <c r="AF225" i="5"/>
  <c r="AF181" i="5"/>
  <c r="AN181" i="5"/>
  <c r="AN200" i="5"/>
  <c r="AF200" i="5"/>
  <c r="AF20" i="5"/>
  <c r="AN20" i="5"/>
  <c r="AN147" i="5"/>
  <c r="AF147" i="5"/>
  <c r="AN210" i="5"/>
  <c r="AF210" i="5"/>
  <c r="AF163" i="5"/>
  <c r="AF139" i="5"/>
  <c r="AN139" i="5"/>
  <c r="AN76" i="5"/>
  <c r="AF76" i="5"/>
  <c r="AN60" i="5"/>
  <c r="AF60" i="5"/>
  <c r="AF158" i="5"/>
  <c r="AN158" i="5"/>
  <c r="AU232" i="5"/>
  <c r="AV232" i="5" s="1"/>
  <c r="AY232" i="5" s="1"/>
  <c r="AU120" i="5"/>
  <c r="AV120" i="5" s="1"/>
  <c r="AY120" i="5" s="1"/>
  <c r="AU99" i="5"/>
  <c r="AV99" i="5" s="1"/>
  <c r="AY99" i="5" s="1"/>
  <c r="AU64" i="5"/>
  <c r="AV64" i="5" s="1"/>
  <c r="AY64" i="5" s="1"/>
  <c r="AN18" i="5"/>
  <c r="AF18" i="5"/>
  <c r="AF38" i="5"/>
  <c r="AN38" i="5"/>
  <c r="AF223" i="5"/>
  <c r="AN223" i="5"/>
  <c r="AU158" i="5"/>
  <c r="AV158" i="5" s="1"/>
  <c r="AY158" i="5" s="1"/>
  <c r="AU49" i="5"/>
  <c r="AV49" i="5" s="1"/>
  <c r="AY49" i="5" s="1"/>
  <c r="AF135" i="5"/>
  <c r="AN47" i="5"/>
  <c r="AF47" i="5"/>
  <c r="AU212" i="5"/>
  <c r="AV212" i="5" s="1"/>
  <c r="AY212" i="5" s="1"/>
  <c r="AN26" i="5"/>
  <c r="AF26" i="5"/>
  <c r="AF90" i="5"/>
  <c r="AN90" i="5"/>
  <c r="AU67" i="5"/>
  <c r="AV67" i="5" s="1"/>
  <c r="AY67" i="5" s="1"/>
  <c r="AU100" i="5"/>
  <c r="AV100" i="5" s="1"/>
  <c r="AY100" i="5" s="1"/>
  <c r="AU160" i="5"/>
  <c r="AV160" i="5" s="1"/>
  <c r="AY160" i="5" s="1"/>
  <c r="AU105" i="5"/>
  <c r="AV105" i="5" s="1"/>
  <c r="AY105" i="5" s="1"/>
  <c r="AU112" i="5"/>
  <c r="AV112" i="5" s="1"/>
  <c r="AY112" i="5" s="1"/>
  <c r="AU76" i="5"/>
  <c r="AV76" i="5" s="1"/>
  <c r="AY76" i="5" s="1"/>
  <c r="AU149" i="5"/>
  <c r="AV149" i="5" s="1"/>
  <c r="AY149" i="5" s="1"/>
  <c r="AU219" i="5"/>
  <c r="AV219" i="5" s="1"/>
  <c r="AY219" i="5" s="1"/>
  <c r="AU210" i="5"/>
  <c r="AV210" i="5" s="1"/>
  <c r="AY210" i="5" s="1"/>
  <c r="AU69" i="5"/>
  <c r="AV69" i="5" s="1"/>
  <c r="AY69" i="5" s="1"/>
  <c r="AU237" i="5"/>
  <c r="AV237" i="5" s="1"/>
  <c r="AY237" i="5" s="1"/>
  <c r="AU91" i="5"/>
  <c r="AV91" i="5" s="1"/>
  <c r="AY91" i="5" s="1"/>
  <c r="AU72" i="5"/>
  <c r="AV72" i="5" s="1"/>
  <c r="AY72" i="5" s="1"/>
  <c r="AU167" i="5"/>
  <c r="AV167" i="5" s="1"/>
  <c r="AY167" i="5" s="1"/>
  <c r="AU121" i="5"/>
  <c r="AV121" i="5" s="1"/>
  <c r="AY121" i="5" s="1"/>
  <c r="AN118" i="5"/>
  <c r="AU58" i="5"/>
  <c r="AV58" i="5" s="1"/>
  <c r="AK6" i="5"/>
  <c r="AN116" i="5"/>
  <c r="AN121" i="5"/>
  <c r="AF74" i="5"/>
  <c r="AF13" i="5"/>
  <c r="AN13" i="5"/>
  <c r="AN36" i="5"/>
  <c r="AF36" i="5"/>
  <c r="AN126" i="5"/>
  <c r="AF126" i="5"/>
  <c r="AN189" i="5"/>
  <c r="AF189" i="5"/>
  <c r="AF78" i="5"/>
  <c r="AN78" i="5"/>
  <c r="AF178" i="5"/>
  <c r="AN178" i="5"/>
  <c r="AF97" i="5"/>
  <c r="AN97" i="5"/>
  <c r="AF44" i="5"/>
  <c r="AN44" i="5"/>
  <c r="AU225" i="5"/>
  <c r="AV225" i="5" s="1"/>
  <c r="AY225" i="5" s="1"/>
  <c r="AU217" i="5"/>
  <c r="AV217" i="5" s="1"/>
  <c r="AY217" i="5" s="1"/>
  <c r="AK8" i="5"/>
  <c r="AN164" i="5"/>
  <c r="AF164" i="5"/>
  <c r="AN128" i="5"/>
  <c r="AF128" i="5"/>
  <c r="AU80" i="5"/>
  <c r="AV80" i="5" s="1"/>
  <c r="AY80" i="5" s="1"/>
  <c r="AU206" i="5"/>
  <c r="AV206" i="5" s="1"/>
  <c r="AY206" i="5" s="1"/>
  <c r="AU153" i="5"/>
  <c r="AV153" i="5" s="1"/>
  <c r="AY153" i="5" s="1"/>
  <c r="AF41" i="5"/>
  <c r="AN41" i="5"/>
  <c r="AF10" i="5"/>
  <c r="AN10" i="5"/>
  <c r="AF28" i="5"/>
  <c r="AN28" i="5"/>
  <c r="AN214" i="5"/>
  <c r="AF214" i="5"/>
  <c r="AU36" i="5"/>
  <c r="AV36" i="5" s="1"/>
  <c r="AY36" i="5" s="1"/>
  <c r="AU11" i="5"/>
  <c r="AV11" i="5" s="1"/>
  <c r="AY11" i="5" s="1"/>
  <c r="AU107" i="5"/>
  <c r="AV107" i="5" s="1"/>
  <c r="AY107" i="5" s="1"/>
  <c r="AU194" i="5"/>
  <c r="AV194" i="5" s="1"/>
  <c r="AY194" i="5" s="1"/>
  <c r="AU111" i="5"/>
  <c r="AV111" i="5" s="1"/>
  <c r="AY111" i="5" s="1"/>
  <c r="AU3" i="5"/>
  <c r="AV3" i="5" s="1"/>
  <c r="AY3" i="5" s="1"/>
  <c r="AU89" i="5"/>
  <c r="AV89" i="5" s="1"/>
  <c r="AY89" i="5" s="1"/>
  <c r="AU148" i="5"/>
  <c r="AV148" i="5" s="1"/>
  <c r="AY148" i="5" s="1"/>
  <c r="AU101" i="5"/>
  <c r="AV101" i="5" s="1"/>
  <c r="AY101" i="5" s="1"/>
  <c r="AU181" i="5"/>
  <c r="AV181" i="5" s="1"/>
  <c r="AY181" i="5" s="1"/>
  <c r="AU45" i="5"/>
  <c r="AV45" i="5" s="1"/>
  <c r="AY45" i="5" s="1"/>
  <c r="AU37" i="5"/>
  <c r="AV37" i="5" s="1"/>
  <c r="AY37" i="5" s="1"/>
  <c r="AF220" i="5"/>
  <c r="AK216" i="5"/>
  <c r="AF62" i="5"/>
  <c r="AN80" i="5"/>
  <c r="AK122" i="5"/>
  <c r="AN195" i="5"/>
  <c r="AF121" i="5"/>
  <c r="AF39" i="5"/>
  <c r="AN70" i="5"/>
  <c r="AN163" i="5"/>
  <c r="AN74" i="5"/>
  <c r="AN2" i="5"/>
  <c r="AF2" i="5"/>
  <c r="AF49" i="5"/>
  <c r="AN49" i="5"/>
  <c r="AN16" i="5"/>
  <c r="AF16" i="5"/>
  <c r="AN143" i="5"/>
  <c r="AF143" i="5"/>
  <c r="AN165" i="5"/>
  <c r="AF165" i="5"/>
  <c r="AF207" i="5"/>
  <c r="AF144" i="5"/>
  <c r="AN144" i="5"/>
  <c r="AN142" i="5"/>
  <c r="AF142" i="5"/>
  <c r="AF94" i="5"/>
  <c r="AN94" i="5"/>
  <c r="AU35" i="5"/>
  <c r="AV35" i="5" s="1"/>
  <c r="AY35" i="5" s="1"/>
  <c r="AU46" i="5"/>
  <c r="AV46" i="5" s="1"/>
  <c r="AY46" i="5" s="1"/>
  <c r="AU190" i="5"/>
  <c r="AV190" i="5" s="1"/>
  <c r="AY190" i="5" s="1"/>
  <c r="AF161" i="5"/>
  <c r="AN161" i="5"/>
  <c r="AF213" i="5"/>
  <c r="AN213" i="5"/>
  <c r="AU25" i="5"/>
  <c r="AV25" i="5" s="1"/>
  <c r="AY25" i="5" s="1"/>
  <c r="AU57" i="5"/>
  <c r="AV57" i="5" s="1"/>
  <c r="AY57" i="5" s="1"/>
  <c r="AK111" i="5"/>
  <c r="AF222" i="5"/>
  <c r="AN222" i="5"/>
  <c r="AN110" i="5"/>
  <c r="AF110" i="5"/>
  <c r="AN170" i="5"/>
  <c r="AF170" i="5"/>
  <c r="AF169" i="5"/>
  <c r="AN169" i="5"/>
  <c r="AF180" i="5"/>
  <c r="AN180" i="5"/>
  <c r="AU90" i="5"/>
  <c r="AV90" i="5" s="1"/>
  <c r="AY90" i="5" s="1"/>
  <c r="AU134" i="5"/>
  <c r="AV134" i="5" s="1"/>
  <c r="AY134" i="5" s="1"/>
  <c r="AU222" i="5"/>
  <c r="AV222" i="5" s="1"/>
  <c r="AY222" i="5" s="1"/>
  <c r="AU191" i="5"/>
  <c r="AV191" i="5" s="1"/>
  <c r="AY191" i="5" s="1"/>
  <c r="AU6" i="5"/>
  <c r="AV6" i="5" s="1"/>
  <c r="AY6" i="5" s="1"/>
  <c r="AU116" i="5"/>
  <c r="AV116" i="5" s="1"/>
  <c r="AY116" i="5" s="1"/>
  <c r="AU59" i="5"/>
  <c r="AV59" i="5" s="1"/>
  <c r="AY59" i="5" s="1"/>
  <c r="AF80" i="5"/>
  <c r="AN151" i="5"/>
  <c r="AF151" i="5"/>
  <c r="AN59" i="5"/>
  <c r="AF59" i="5"/>
  <c r="AF130" i="5"/>
  <c r="AN130" i="5"/>
  <c r="AU164" i="5"/>
  <c r="AV164" i="5" s="1"/>
  <c r="AY164" i="5" s="1"/>
  <c r="AU60" i="5"/>
  <c r="AV60" i="5" s="1"/>
  <c r="AY60" i="5" s="1"/>
  <c r="AU48" i="5"/>
  <c r="AV48" i="5" s="1"/>
  <c r="AY48" i="5" s="1"/>
  <c r="AU224" i="5"/>
  <c r="AV224" i="5" s="1"/>
  <c r="AY224" i="5" s="1"/>
  <c r="AU79" i="5"/>
  <c r="AV79" i="5" s="1"/>
  <c r="AY79" i="5" s="1"/>
  <c r="AU129" i="5"/>
  <c r="AV129" i="5" s="1"/>
  <c r="AY129" i="5" s="1"/>
  <c r="AU173" i="5"/>
  <c r="AV173" i="5" s="1"/>
  <c r="AY173" i="5" s="1"/>
  <c r="AU230" i="5"/>
  <c r="AV230" i="5" s="1"/>
  <c r="AY230" i="5" s="1"/>
  <c r="AU71" i="5"/>
  <c r="AV71" i="5" s="1"/>
  <c r="AY71" i="5" s="1"/>
  <c r="AU228" i="5"/>
  <c r="AV228" i="5" s="1"/>
  <c r="AY228" i="5" s="1"/>
  <c r="AU151" i="5"/>
  <c r="AV151" i="5" s="1"/>
  <c r="AY151" i="5" s="1"/>
  <c r="AU92" i="5"/>
  <c r="AV92" i="5" s="1"/>
  <c r="AY92" i="5" s="1"/>
  <c r="AU88" i="5"/>
  <c r="AV88" i="5" s="1"/>
  <c r="AY88" i="5" s="1"/>
  <c r="AU179" i="5"/>
  <c r="AV179" i="5" s="1"/>
  <c r="AY179" i="5" s="1"/>
  <c r="AN125" i="5"/>
  <c r="AF140" i="5"/>
  <c r="AU166" i="5"/>
  <c r="AV166" i="5" s="1"/>
  <c r="AY166" i="5" s="1"/>
  <c r="AN136" i="5"/>
  <c r="AF79" i="5"/>
  <c r="AF152" i="5"/>
  <c r="AU113" i="5"/>
  <c r="AV113" i="5" s="1"/>
  <c r="AK56" i="5"/>
  <c r="AU146" i="5"/>
  <c r="AV146" i="5" s="1"/>
  <c r="AN98" i="5"/>
  <c r="AF98" i="5"/>
  <c r="AN175" i="5"/>
  <c r="AF175" i="5"/>
  <c r="AN167" i="5"/>
  <c r="AF167" i="5"/>
  <c r="AF91" i="5"/>
  <c r="AN91" i="5"/>
  <c r="AF71" i="5"/>
  <c r="AN71" i="5"/>
  <c r="AF174" i="5"/>
  <c r="AN174" i="5"/>
  <c r="AN217" i="5"/>
  <c r="AF217" i="5"/>
  <c r="AF219" i="5"/>
  <c r="AN219" i="5"/>
  <c r="AN88" i="5"/>
  <c r="AF88" i="5"/>
  <c r="AN48" i="5"/>
  <c r="AF48" i="5"/>
  <c r="AF32" i="5"/>
  <c r="AN32" i="5"/>
  <c r="AF209" i="5"/>
  <c r="AN209" i="5"/>
  <c r="AN12" i="5"/>
  <c r="AF12" i="5"/>
  <c r="AU207" i="5"/>
  <c r="AV207" i="5" s="1"/>
  <c r="AY207" i="5" s="1"/>
  <c r="AN132" i="5"/>
  <c r="AF132" i="5"/>
  <c r="AN206" i="5"/>
  <c r="AF206" i="5"/>
  <c r="AU109" i="5"/>
  <c r="AV109" i="5" s="1"/>
  <c r="AY109" i="5" s="1"/>
  <c r="AU150" i="5"/>
  <c r="AV150" i="5" s="1"/>
  <c r="AY150" i="5" s="1"/>
  <c r="AU74" i="5"/>
  <c r="AV74" i="5" s="1"/>
  <c r="AY74" i="5" s="1"/>
  <c r="AF179" i="5"/>
  <c r="AN179" i="5"/>
  <c r="AF68" i="5"/>
  <c r="AN68" i="5"/>
  <c r="AU52" i="5"/>
  <c r="AV52" i="5" s="1"/>
  <c r="AY52" i="5" s="1"/>
  <c r="AU41" i="5"/>
  <c r="AV41" i="5" s="1"/>
  <c r="AY41" i="5" s="1"/>
  <c r="AU106" i="5"/>
  <c r="AV106" i="5" s="1"/>
  <c r="AY106" i="5" s="1"/>
  <c r="AU170" i="5"/>
  <c r="AV170" i="5" s="1"/>
  <c r="AY170" i="5" s="1"/>
  <c r="AN199" i="5"/>
  <c r="AF199" i="5"/>
  <c r="AF192" i="5"/>
  <c r="AN192" i="5"/>
  <c r="AN197" i="5"/>
  <c r="AF197" i="5"/>
  <c r="AU188" i="5"/>
  <c r="AV188" i="5" s="1"/>
  <c r="AY188" i="5" s="1"/>
  <c r="AU7" i="5"/>
  <c r="AV7" i="5" s="1"/>
  <c r="AY7" i="5" s="1"/>
  <c r="AU98" i="5"/>
  <c r="AV98" i="5" s="1"/>
  <c r="AY98" i="5" s="1"/>
  <c r="AU231" i="5"/>
  <c r="AV231" i="5" s="1"/>
  <c r="AY231" i="5" s="1"/>
  <c r="AU22" i="5"/>
  <c r="AV22" i="5" s="1"/>
  <c r="AY22" i="5" s="1"/>
  <c r="AU155" i="5"/>
  <c r="AV155" i="5" s="1"/>
  <c r="AY155" i="5" s="1"/>
  <c r="AF195" i="5"/>
  <c r="AF7" i="5"/>
  <c r="AN7" i="5"/>
  <c r="AN203" i="5"/>
  <c r="AF203" i="5"/>
  <c r="AF70" i="5"/>
  <c r="AF168" i="5"/>
  <c r="AN168" i="5"/>
  <c r="AU86" i="5"/>
  <c r="AV86" i="5" s="1"/>
  <c r="AY86" i="5" s="1"/>
  <c r="AU168" i="5"/>
  <c r="AV168" i="5" s="1"/>
  <c r="AY168" i="5" s="1"/>
  <c r="AU21" i="5"/>
  <c r="AV21" i="5" s="1"/>
  <c r="AY21" i="5" s="1"/>
  <c r="AU29" i="5"/>
  <c r="AV29" i="5" s="1"/>
  <c r="AY29" i="5" s="1"/>
  <c r="AU178" i="5"/>
  <c r="AV178" i="5" s="1"/>
  <c r="AY178" i="5" s="1"/>
  <c r="AU235" i="5"/>
  <c r="AV235" i="5" s="1"/>
  <c r="AY235" i="5" s="1"/>
  <c r="AU102" i="5"/>
  <c r="AV102" i="5" s="1"/>
  <c r="AY102" i="5" s="1"/>
  <c r="AU165" i="5"/>
  <c r="AV165" i="5" s="1"/>
  <c r="AY165" i="5" s="1"/>
  <c r="AU27" i="5"/>
  <c r="AV27" i="5" s="1"/>
  <c r="AY27" i="5" s="1"/>
  <c r="AU211" i="5"/>
  <c r="AV211" i="5" s="1"/>
  <c r="AY211" i="5" s="1"/>
  <c r="AU162" i="5"/>
  <c r="AV162" i="5" s="1"/>
  <c r="AY162" i="5" s="1"/>
  <c r="AU208" i="5"/>
  <c r="AV208" i="5" s="1"/>
  <c r="AY208" i="5" s="1"/>
  <c r="AU159" i="5"/>
  <c r="AV159" i="5" s="1"/>
  <c r="AU20" i="5"/>
  <c r="AV20" i="5" s="1"/>
  <c r="AY20" i="5" s="1"/>
  <c r="AU132" i="5"/>
  <c r="AV132" i="5" s="1"/>
  <c r="AY132" i="5" s="1"/>
  <c r="AU8" i="5"/>
  <c r="AV8" i="5" s="1"/>
  <c r="AY8" i="5" s="1"/>
  <c r="AF125" i="5"/>
  <c r="AN140" i="5"/>
  <c r="AF136" i="5"/>
  <c r="AN42" i="5"/>
  <c r="AN79" i="5"/>
  <c r="AK150" i="5"/>
  <c r="AN152" i="5"/>
  <c r="AK45" i="5"/>
  <c r="AU16" i="5"/>
  <c r="AV16" i="5" s="1"/>
  <c r="AY16" i="5" s="1"/>
  <c r="AN153" i="5"/>
  <c r="AN39" i="5"/>
  <c r="AN162" i="5"/>
  <c r="AF162" i="5"/>
  <c r="AN193" i="5"/>
  <c r="AF193" i="5"/>
  <c r="AN205" i="5"/>
  <c r="AF205" i="5"/>
  <c r="AF196" i="5"/>
  <c r="AN196" i="5"/>
  <c r="AN211" i="5"/>
  <c r="AF211" i="5"/>
  <c r="AN201" i="5"/>
  <c r="AF201" i="5"/>
  <c r="AN131" i="5"/>
  <c r="AF131" i="5"/>
  <c r="AN113" i="5"/>
  <c r="AF113" i="5"/>
  <c r="AF58" i="5"/>
  <c r="AN58" i="5"/>
  <c r="AF3" i="5"/>
  <c r="AN3" i="5"/>
  <c r="AN93" i="5"/>
  <c r="AF93" i="5"/>
  <c r="AF172" i="5"/>
  <c r="AN172" i="5"/>
  <c r="AU95" i="5"/>
  <c r="AV95" i="5" s="1"/>
  <c r="AY95" i="5" s="1"/>
  <c r="AN135" i="5"/>
  <c r="AU75" i="5"/>
  <c r="AV75" i="5" s="1"/>
  <c r="AY75" i="5" s="1"/>
  <c r="AU204" i="5"/>
  <c r="AV204" i="5" s="1"/>
  <c r="AY204" i="5" s="1"/>
  <c r="AN177" i="5"/>
  <c r="AF177" i="5"/>
  <c r="AF102" i="5"/>
  <c r="AN102" i="5"/>
  <c r="AU50" i="5"/>
  <c r="AV50" i="5" s="1"/>
  <c r="AY50" i="5" s="1"/>
  <c r="AU203" i="5"/>
  <c r="AV203" i="5" s="1"/>
  <c r="AY203" i="5" s="1"/>
  <c r="AF116" i="5"/>
  <c r="AN166" i="5"/>
  <c r="AF166" i="5"/>
  <c r="AN63" i="5"/>
  <c r="AF63" i="5"/>
  <c r="AU177" i="5"/>
  <c r="AV177" i="5" s="1"/>
  <c r="AY177" i="5" s="1"/>
  <c r="AU152" i="5"/>
  <c r="AV152" i="5" s="1"/>
  <c r="AY152" i="5" s="1"/>
  <c r="AU193" i="5"/>
  <c r="AV193" i="5" s="1"/>
  <c r="AY193" i="5" s="1"/>
  <c r="AU17" i="5"/>
  <c r="AV17" i="5" s="1"/>
  <c r="AU163" i="5"/>
  <c r="AV163" i="5" s="1"/>
  <c r="AY163" i="5" s="1"/>
  <c r="AU44" i="5"/>
  <c r="AV44" i="5" s="1"/>
  <c r="AY44" i="5" s="1"/>
  <c r="AU197" i="5"/>
  <c r="AV197" i="5" s="1"/>
  <c r="AY197" i="5" s="1"/>
  <c r="AU186" i="5"/>
  <c r="AV186" i="5" s="1"/>
  <c r="AY186" i="5" s="1"/>
  <c r="AK218" i="5"/>
  <c r="AF43" i="5"/>
  <c r="AN43" i="5"/>
  <c r="AU138" i="5"/>
  <c r="AV138" i="5" s="1"/>
  <c r="AY138" i="5" s="1"/>
  <c r="AU187" i="5"/>
  <c r="AV187" i="5" s="1"/>
  <c r="AY187" i="5" s="1"/>
  <c r="AU221" i="5"/>
  <c r="AV221" i="5" s="1"/>
  <c r="AY221" i="5" s="1"/>
  <c r="AU54" i="5"/>
  <c r="AV54" i="5" s="1"/>
  <c r="AY54" i="5" s="1"/>
  <c r="AU93" i="5"/>
  <c r="AV93" i="5" s="1"/>
  <c r="AY93" i="5" s="1"/>
  <c r="AU31" i="5"/>
  <c r="AV31" i="5" s="1"/>
  <c r="AY31" i="5" s="1"/>
  <c r="AU78" i="5"/>
  <c r="AV78" i="5" s="1"/>
  <c r="AY78" i="5" s="1"/>
  <c r="AU201" i="5"/>
  <c r="AV201" i="5" s="1"/>
  <c r="AY201" i="5" s="1"/>
  <c r="AU209" i="5"/>
  <c r="AV209" i="5" s="1"/>
  <c r="AY209" i="5" s="1"/>
  <c r="AU142" i="5"/>
  <c r="AV142" i="5" s="1"/>
  <c r="AY142" i="5" s="1"/>
  <c r="AU127" i="5"/>
  <c r="AV127" i="5" s="1"/>
  <c r="AY127" i="5" s="1"/>
  <c r="AU202" i="5"/>
  <c r="AV202" i="5" s="1"/>
  <c r="AY202" i="5" s="1"/>
  <c r="AU10" i="5"/>
  <c r="AV10" i="5" s="1"/>
  <c r="AY10" i="5" s="1"/>
  <c r="AU185" i="5"/>
  <c r="AV185" i="5" s="1"/>
  <c r="AF42" i="5"/>
  <c r="AF50" i="5"/>
  <c r="AF153" i="5"/>
  <c r="AF194" i="5"/>
  <c r="AN194" i="5"/>
  <c r="AN105" i="5"/>
  <c r="AF105" i="5"/>
  <c r="AF146" i="5"/>
  <c r="AN146" i="5"/>
  <c r="AN188" i="5"/>
  <c r="AF188" i="5"/>
  <c r="AF9" i="5"/>
  <c r="AN9" i="5"/>
  <c r="AF55" i="5"/>
  <c r="AN55" i="5"/>
  <c r="AF27" i="5"/>
  <c r="AN27" i="5"/>
  <c r="AN141" i="5"/>
  <c r="AF141" i="5"/>
  <c r="AN96" i="5"/>
  <c r="AF96" i="5"/>
  <c r="AN21" i="5"/>
  <c r="AF21" i="5"/>
  <c r="AN184" i="5"/>
  <c r="AF184" i="5"/>
  <c r="AF186" i="5"/>
  <c r="AN186" i="5"/>
  <c r="AN31" i="5"/>
  <c r="AF31" i="5"/>
  <c r="AU28" i="5"/>
  <c r="AV28" i="5" s="1"/>
  <c r="AY28" i="5" s="1"/>
  <c r="AU184" i="5"/>
  <c r="AV184" i="5" s="1"/>
  <c r="AY184" i="5" s="1"/>
  <c r="AK64" i="5"/>
  <c r="AU136" i="5"/>
  <c r="AV136" i="5" s="1"/>
  <c r="AY136" i="5" s="1"/>
  <c r="AU218" i="5"/>
  <c r="AV218" i="5" s="1"/>
  <c r="AY218" i="5" s="1"/>
  <c r="AU15" i="5"/>
  <c r="AV15" i="5" s="1"/>
  <c r="AY15" i="5" s="1"/>
  <c r="AU23" i="5"/>
  <c r="AV23" i="5" s="1"/>
  <c r="AY23" i="5" s="1"/>
  <c r="AN87" i="5"/>
  <c r="AF87" i="5"/>
  <c r="AU73" i="5"/>
  <c r="AV73" i="5" s="1"/>
  <c r="AY73" i="5" s="1"/>
  <c r="AU4" i="5"/>
  <c r="AV4" i="5" s="1"/>
  <c r="AY4" i="5" s="1"/>
  <c r="AF118" i="5"/>
  <c r="AU33" i="5"/>
  <c r="AV33" i="5" s="1"/>
  <c r="AY33" i="5" s="1"/>
  <c r="AU128" i="5"/>
  <c r="AV128" i="5" s="1"/>
  <c r="AY128" i="5" s="1"/>
  <c r="AU183" i="5"/>
  <c r="AV183" i="5" s="1"/>
  <c r="AY183" i="5" s="1"/>
  <c r="AU70" i="5"/>
  <c r="AV70" i="5" s="1"/>
  <c r="AY70" i="5" s="1"/>
  <c r="AU157" i="5"/>
  <c r="AV157" i="5" s="1"/>
  <c r="AY157" i="5" s="1"/>
  <c r="AU205" i="5"/>
  <c r="AV205" i="5" s="1"/>
  <c r="AY205" i="5" s="1"/>
  <c r="AU62" i="5"/>
  <c r="AV62" i="5" s="1"/>
  <c r="AY62" i="5" s="1"/>
  <c r="AU84" i="5"/>
  <c r="AV84" i="5" s="1"/>
  <c r="AY84" i="5" s="1"/>
  <c r="AN220" i="5"/>
  <c r="AN62" i="5"/>
  <c r="AK15" i="5"/>
  <c r="AF190" i="5"/>
  <c r="AN190" i="5"/>
  <c r="AN69" i="5"/>
  <c r="AF69" i="5"/>
  <c r="AN35" i="5"/>
  <c r="AF35" i="5"/>
  <c r="AU51" i="5"/>
  <c r="AV51" i="5" s="1"/>
  <c r="AY51" i="5" s="1"/>
  <c r="AU66" i="5"/>
  <c r="AV66" i="5" s="1"/>
  <c r="AY66" i="5" s="1"/>
  <c r="AU125" i="5"/>
  <c r="AV125" i="5" s="1"/>
  <c r="AY125" i="5" s="1"/>
  <c r="AU145" i="5"/>
  <c r="AV145" i="5" s="1"/>
  <c r="AY145" i="5" s="1"/>
  <c r="AU154" i="5"/>
  <c r="AV154" i="5" s="1"/>
  <c r="AY154" i="5" s="1"/>
  <c r="AU47" i="5"/>
  <c r="AV47" i="5" s="1"/>
  <c r="AY47" i="5" s="1"/>
  <c r="AU63" i="5"/>
  <c r="AV63" i="5" s="1"/>
  <c r="AY63" i="5" s="1"/>
  <c r="AU130" i="5"/>
  <c r="AV130" i="5" s="1"/>
  <c r="AY130" i="5" s="1"/>
  <c r="AU34" i="5"/>
  <c r="AV34" i="5" s="1"/>
  <c r="AY34" i="5" s="1"/>
  <c r="AU196" i="5"/>
  <c r="AV196" i="5" s="1"/>
  <c r="AU13" i="5"/>
  <c r="AV13" i="5" s="1"/>
  <c r="AY13" i="5" s="1"/>
  <c r="AU97" i="5"/>
  <c r="AV97" i="5" s="1"/>
  <c r="AY97" i="5" s="1"/>
  <c r="AU216" i="5"/>
  <c r="AV216" i="5" s="1"/>
  <c r="AY216" i="5" s="1"/>
  <c r="AU96" i="5"/>
  <c r="AV96" i="5" s="1"/>
  <c r="AY96" i="5" s="1"/>
  <c r="AU65" i="5"/>
  <c r="AV65" i="5" s="1"/>
  <c r="AY65" i="5" s="1"/>
  <c r="AU233" i="5"/>
  <c r="AV233" i="5" s="1"/>
  <c r="AY233" i="5" s="1"/>
  <c r="AU43" i="5"/>
  <c r="AV43" i="5" s="1"/>
  <c r="AY43" i="5" s="1"/>
  <c r="AF107" i="5"/>
  <c r="AU55" i="5"/>
  <c r="AV55" i="5" s="1"/>
  <c r="AY55" i="5" s="1"/>
  <c r="AN30" i="5"/>
  <c r="AN207" i="5"/>
  <c r="AN50" i="5"/>
  <c r="AK198" i="5"/>
  <c r="AN40" i="5"/>
  <c r="AF40" i="5"/>
  <c r="AF157" i="5"/>
  <c r="AN157" i="5"/>
  <c r="AN212" i="5"/>
  <c r="AF212" i="5"/>
  <c r="AN37" i="5"/>
  <c r="AF37" i="5"/>
  <c r="AN108" i="5"/>
  <c r="AF108" i="5"/>
  <c r="AF208" i="5"/>
  <c r="AN208" i="5"/>
  <c r="AF92" i="5"/>
  <c r="AN92" i="5"/>
  <c r="AN171" i="5"/>
  <c r="AF171" i="5"/>
  <c r="AN133" i="5"/>
  <c r="AF133" i="5"/>
  <c r="AN86" i="5"/>
  <c r="AF86" i="5"/>
  <c r="AN22" i="5"/>
  <c r="AF22" i="5"/>
  <c r="AF46" i="5"/>
  <c r="AN46" i="5"/>
  <c r="BF58" i="5"/>
  <c r="BB115" i="5"/>
  <c r="AR175" i="5"/>
  <c r="AS175" i="5" s="1"/>
  <c r="BB175" i="5"/>
  <c r="AR137" i="5"/>
  <c r="AS137" i="5" s="1"/>
  <c r="BB137" i="5"/>
  <c r="BM185" i="5"/>
  <c r="BM58" i="5"/>
  <c r="AR24" i="5"/>
  <c r="AS24" i="5" s="1"/>
  <c r="BB24" i="5"/>
  <c r="AR189" i="5"/>
  <c r="AS189" i="5" s="1"/>
  <c r="BB189" i="5"/>
  <c r="AY32" i="5"/>
  <c r="BB214" i="5"/>
  <c r="AR214" i="5"/>
  <c r="AS214" i="5" s="1"/>
  <c r="BB84" i="5"/>
  <c r="AR81" i="5"/>
  <c r="AS81" i="5" s="1"/>
  <c r="BB81" i="5"/>
  <c r="AR144" i="5"/>
  <c r="AS144" i="5" s="1"/>
  <c r="BB144" i="5"/>
  <c r="AR223" i="5"/>
  <c r="AS223" i="5" s="1"/>
  <c r="BB223" i="5"/>
  <c r="BB170" i="5"/>
  <c r="AY58" i="5"/>
  <c r="AY159" i="5"/>
  <c r="AY196" i="5"/>
  <c r="BB37" i="5"/>
  <c r="BB121" i="5"/>
  <c r="BB117" i="5"/>
  <c r="BD32" i="5"/>
  <c r="BC166" i="5"/>
  <c r="BC198" i="5"/>
  <c r="AR39" i="5"/>
  <c r="AS39" i="5" s="1"/>
  <c r="BB39" i="5"/>
  <c r="BB59" i="5"/>
  <c r="AR141" i="5"/>
  <c r="AS141" i="5" s="1"/>
  <c r="BB141" i="5"/>
  <c r="BB220" i="5"/>
  <c r="AR143" i="5"/>
  <c r="AS143" i="5" s="1"/>
  <c r="BB143" i="5"/>
  <c r="BF32" i="5"/>
  <c r="BD166" i="5"/>
  <c r="BD198" i="5"/>
  <c r="BM123" i="5"/>
  <c r="AR108" i="5"/>
  <c r="AS108" i="5" s="1"/>
  <c r="BB108" i="5"/>
  <c r="AY113" i="5"/>
  <c r="BB77" i="5"/>
  <c r="AY146" i="5"/>
  <c r="AY40" i="5"/>
  <c r="BC32" i="5"/>
  <c r="BF166" i="5"/>
  <c r="BD58" i="5"/>
  <c r="BF198" i="5"/>
  <c r="BD123" i="5"/>
  <c r="BD135" i="5"/>
  <c r="BF135" i="5"/>
  <c r="BC135" i="5"/>
  <c r="BM135" i="5"/>
  <c r="BB113" i="5"/>
  <c r="AR42" i="5"/>
  <c r="AS42" i="5" s="1"/>
  <c r="BB42" i="5"/>
  <c r="AR30" i="5"/>
  <c r="AS30" i="5" s="1"/>
  <c r="BB30" i="5"/>
  <c r="BB64" i="5"/>
  <c r="AY185" i="5"/>
  <c r="BB122" i="5"/>
  <c r="AY17" i="5"/>
  <c r="BC38" i="5"/>
  <c r="BM38" i="5"/>
  <c r="BF38" i="5"/>
  <c r="BD38" i="5"/>
  <c r="BM161" i="5"/>
  <c r="BC161" i="5"/>
  <c r="BF161" i="5"/>
  <c r="BD161" i="5"/>
  <c r="BM138" i="5"/>
  <c r="BF138" i="5"/>
  <c r="BD138" i="5"/>
  <c r="BC138" i="5"/>
  <c r="BF54" i="5"/>
  <c r="BC54" i="5"/>
  <c r="BM54" i="5"/>
  <c r="BD54" i="5"/>
  <c r="BM93" i="5"/>
  <c r="BF93" i="5"/>
  <c r="BD93" i="5"/>
  <c r="BC93" i="5"/>
  <c r="BM31" i="5"/>
  <c r="BF31" i="5"/>
  <c r="BD31" i="5"/>
  <c r="BC31" i="5"/>
  <c r="BM78" i="5"/>
  <c r="BF78" i="5"/>
  <c r="BD78" i="5"/>
  <c r="BC78" i="5"/>
  <c r="BM201" i="5"/>
  <c r="BF201" i="5"/>
  <c r="BD201" i="5"/>
  <c r="BC201" i="5"/>
  <c r="BM209" i="5"/>
  <c r="BD209" i="5"/>
  <c r="BF209" i="5"/>
  <c r="BC209" i="5"/>
  <c r="BM142" i="5"/>
  <c r="BF142" i="5"/>
  <c r="BD142" i="5"/>
  <c r="BC142" i="5"/>
  <c r="BF127" i="5"/>
  <c r="BD127" i="5"/>
  <c r="BC127" i="5"/>
  <c r="BM127" i="5"/>
  <c r="BM202" i="5"/>
  <c r="BC202" i="5"/>
  <c r="BF202" i="5"/>
  <c r="BD202" i="5"/>
  <c r="BF10" i="5"/>
  <c r="BD10" i="5"/>
  <c r="BM10" i="5"/>
  <c r="BC10" i="5"/>
  <c r="BC187" i="5"/>
  <c r="BM187" i="5"/>
  <c r="BF187" i="5"/>
  <c r="BD187" i="5"/>
  <c r="BF51" i="5"/>
  <c r="BC51" i="5"/>
  <c r="BM51" i="5"/>
  <c r="BD51" i="5"/>
  <c r="BF66" i="5"/>
  <c r="BD66" i="5"/>
  <c r="BC66" i="5"/>
  <c r="BM66" i="5"/>
  <c r="BF125" i="5"/>
  <c r="BC125" i="5"/>
  <c r="BM125" i="5"/>
  <c r="BD125" i="5"/>
  <c r="BF145" i="5"/>
  <c r="BD145" i="5"/>
  <c r="BC145" i="5"/>
  <c r="BM145" i="5"/>
  <c r="BM154" i="5"/>
  <c r="BF154" i="5"/>
  <c r="BD154" i="5"/>
  <c r="BC154" i="5"/>
  <c r="BF47" i="5"/>
  <c r="BD47" i="5"/>
  <c r="BC47" i="5"/>
  <c r="BM47" i="5"/>
  <c r="BM63" i="5"/>
  <c r="BF63" i="5"/>
  <c r="BC63" i="5"/>
  <c r="BD63" i="5"/>
  <c r="BF130" i="5"/>
  <c r="BD130" i="5"/>
  <c r="BC130" i="5"/>
  <c r="BM130" i="5"/>
  <c r="BC34" i="5"/>
  <c r="BF34" i="5"/>
  <c r="BM34" i="5"/>
  <c r="BD34" i="5"/>
  <c r="BM196" i="5"/>
  <c r="BD196" i="5"/>
  <c r="BC196" i="5"/>
  <c r="BF196" i="5"/>
  <c r="BM97" i="5"/>
  <c r="BF97" i="5"/>
  <c r="BD97" i="5"/>
  <c r="BC97" i="5"/>
  <c r="BM216" i="5"/>
  <c r="BF216" i="5"/>
  <c r="BD216" i="5"/>
  <c r="BC216" i="5"/>
  <c r="BM96" i="5"/>
  <c r="BF96" i="5"/>
  <c r="BD96" i="5"/>
  <c r="BC96" i="5"/>
  <c r="BC65" i="5"/>
  <c r="BM65" i="5"/>
  <c r="BF65" i="5"/>
  <c r="BD65" i="5"/>
  <c r="BM43" i="5"/>
  <c r="BC43" i="5"/>
  <c r="BF43" i="5"/>
  <c r="BD43" i="5"/>
  <c r="BF119" i="5"/>
  <c r="BC119" i="5"/>
  <c r="BM119" i="5"/>
  <c r="BD119" i="5"/>
  <c r="BF110" i="5"/>
  <c r="BD110" i="5"/>
  <c r="BC110" i="5"/>
  <c r="BM110" i="5"/>
  <c r="BM192" i="5"/>
  <c r="BD192" i="5"/>
  <c r="BF192" i="5"/>
  <c r="BC192" i="5"/>
  <c r="BC82" i="5"/>
  <c r="BD82" i="5"/>
  <c r="BM82" i="5"/>
  <c r="BF82" i="5"/>
  <c r="BM139" i="5"/>
  <c r="BF139" i="5"/>
  <c r="BD139" i="5"/>
  <c r="BC139" i="5"/>
  <c r="BD14" i="5"/>
  <c r="BM14" i="5"/>
  <c r="BF14" i="5"/>
  <c r="BC14" i="5"/>
  <c r="BF12" i="5"/>
  <c r="BD12" i="5"/>
  <c r="BC12" i="5"/>
  <c r="BM12" i="5"/>
  <c r="BM9" i="5"/>
  <c r="BD9" i="5"/>
  <c r="BC9" i="5"/>
  <c r="BF9" i="5"/>
  <c r="BF124" i="5"/>
  <c r="BC124" i="5"/>
  <c r="BM124" i="5"/>
  <c r="BD124" i="5"/>
  <c r="BM26" i="5"/>
  <c r="BF26" i="5"/>
  <c r="BD26" i="5"/>
  <c r="BC26" i="5"/>
  <c r="BF114" i="5"/>
  <c r="BD114" i="5"/>
  <c r="BM114" i="5"/>
  <c r="BC114" i="5"/>
  <c r="BF172" i="5"/>
  <c r="BM172" i="5"/>
  <c r="BD172" i="5"/>
  <c r="BC172" i="5"/>
  <c r="BC174" i="5"/>
  <c r="BF174" i="5"/>
  <c r="BD174" i="5"/>
  <c r="BM174" i="5"/>
  <c r="BM13" i="5"/>
  <c r="BF13" i="5"/>
  <c r="BD13" i="5"/>
  <c r="BC13" i="5"/>
  <c r="BM104" i="5"/>
  <c r="BD104" i="5"/>
  <c r="BC104" i="5"/>
  <c r="BF104" i="5"/>
  <c r="BF115" i="5"/>
  <c r="BD115" i="5"/>
  <c r="BM115" i="5"/>
  <c r="BC115" i="5"/>
  <c r="BM226" i="5"/>
  <c r="BF226" i="5"/>
  <c r="BD226" i="5"/>
  <c r="BC226" i="5"/>
  <c r="BF18" i="5"/>
  <c r="BC18" i="5"/>
  <c r="BD18" i="5"/>
  <c r="BM18" i="5"/>
  <c r="BF131" i="5"/>
  <c r="BD131" i="5"/>
  <c r="BC131" i="5"/>
  <c r="BM131" i="5"/>
  <c r="BF118" i="5"/>
  <c r="BC118" i="5"/>
  <c r="BM118" i="5"/>
  <c r="BD118" i="5"/>
  <c r="BM233" i="5"/>
  <c r="BF233" i="5"/>
  <c r="BD233" i="5"/>
  <c r="BC233" i="5"/>
  <c r="BM140" i="5"/>
  <c r="BF140" i="5"/>
  <c r="BD140" i="5"/>
  <c r="BC140" i="5"/>
  <c r="BC225" i="5"/>
  <c r="BM225" i="5"/>
  <c r="BD225" i="5"/>
  <c r="BF225" i="5"/>
  <c r="BC232" i="5"/>
  <c r="BF232" i="5"/>
  <c r="BD232" i="5"/>
  <c r="BM232" i="5"/>
  <c r="BM95" i="5"/>
  <c r="BF95" i="5"/>
  <c r="BD95" i="5"/>
  <c r="BC95" i="5"/>
  <c r="BC28" i="5"/>
  <c r="BM28" i="5"/>
  <c r="BF28" i="5"/>
  <c r="BD28" i="5"/>
  <c r="BF171" i="5"/>
  <c r="BM171" i="5"/>
  <c r="BC171" i="5"/>
  <c r="BD171" i="5"/>
  <c r="BF120" i="5"/>
  <c r="BC120" i="5"/>
  <c r="BM120" i="5"/>
  <c r="BD120" i="5"/>
  <c r="BF103" i="5"/>
  <c r="BD103" i="5"/>
  <c r="BC103" i="5"/>
  <c r="BM103" i="5"/>
  <c r="BM217" i="5"/>
  <c r="BF217" i="5"/>
  <c r="BD217" i="5"/>
  <c r="BC217" i="5"/>
  <c r="BM99" i="5"/>
  <c r="BF99" i="5"/>
  <c r="BD99" i="5"/>
  <c r="BC99" i="5"/>
  <c r="BC184" i="5"/>
  <c r="BF184" i="5"/>
  <c r="BD184" i="5"/>
  <c r="BM184" i="5"/>
  <c r="BD2" i="5"/>
  <c r="BM2" i="5"/>
  <c r="BF2" i="5"/>
  <c r="BC2" i="5"/>
  <c r="BM207" i="5"/>
  <c r="BF207" i="5"/>
  <c r="BD207" i="5"/>
  <c r="BC207" i="5"/>
  <c r="BF35" i="5"/>
  <c r="BM35" i="5"/>
  <c r="BD35" i="5"/>
  <c r="BC35" i="5"/>
  <c r="BF126" i="5"/>
  <c r="BC126" i="5"/>
  <c r="BM126" i="5"/>
  <c r="BD126" i="5"/>
  <c r="BM158" i="5"/>
  <c r="BF158" i="5"/>
  <c r="BD158" i="5"/>
  <c r="BC158" i="5"/>
  <c r="BF80" i="5"/>
  <c r="BM80" i="5"/>
  <c r="BD80" i="5"/>
  <c r="BC80" i="5"/>
  <c r="BM94" i="5"/>
  <c r="BF94" i="5"/>
  <c r="BD94" i="5"/>
  <c r="BC94" i="5"/>
  <c r="BF109" i="5"/>
  <c r="BM109" i="5"/>
  <c r="BD109" i="5"/>
  <c r="BC109" i="5"/>
  <c r="BM136" i="5"/>
  <c r="BF136" i="5"/>
  <c r="BD136" i="5"/>
  <c r="BC136" i="5"/>
  <c r="BM19" i="5"/>
  <c r="BF19" i="5"/>
  <c r="BD19" i="5"/>
  <c r="BC19" i="5"/>
  <c r="BD46" i="5"/>
  <c r="BC46" i="5"/>
  <c r="BF46" i="5"/>
  <c r="BM46" i="5"/>
  <c r="BM75" i="5"/>
  <c r="BF75" i="5"/>
  <c r="BD75" i="5"/>
  <c r="BC75" i="5"/>
  <c r="BC40" i="5"/>
  <c r="BM40" i="5"/>
  <c r="BF40" i="5"/>
  <c r="BD40" i="5"/>
  <c r="BM150" i="5"/>
  <c r="BD150" i="5"/>
  <c r="BC150" i="5"/>
  <c r="BF150" i="5"/>
  <c r="BM206" i="5"/>
  <c r="BD206" i="5"/>
  <c r="BF206" i="5"/>
  <c r="BC206" i="5"/>
  <c r="BM218" i="5"/>
  <c r="BF218" i="5"/>
  <c r="BD218" i="5"/>
  <c r="BC218" i="5"/>
  <c r="BM200" i="5"/>
  <c r="BD200" i="5"/>
  <c r="BC200" i="5"/>
  <c r="BF200" i="5"/>
  <c r="BM204" i="5"/>
  <c r="BC204" i="5"/>
  <c r="BF204" i="5"/>
  <c r="BD204" i="5"/>
  <c r="BM153" i="5"/>
  <c r="BF153" i="5"/>
  <c r="BD153" i="5"/>
  <c r="BC153" i="5"/>
  <c r="BM15" i="5"/>
  <c r="BF15" i="5"/>
  <c r="BD15" i="5"/>
  <c r="BC15" i="5"/>
  <c r="BM49" i="5"/>
  <c r="BD49" i="5"/>
  <c r="BC49" i="5"/>
  <c r="BF49" i="5"/>
  <c r="BD190" i="5"/>
  <c r="BC190" i="5"/>
  <c r="BM190" i="5"/>
  <c r="BF190" i="5"/>
  <c r="BD23" i="5"/>
  <c r="BC23" i="5"/>
  <c r="BF23" i="5"/>
  <c r="BM23" i="5"/>
  <c r="BM74" i="5"/>
  <c r="BF74" i="5"/>
  <c r="BD74" i="5"/>
  <c r="BC74" i="5"/>
  <c r="BM68" i="5"/>
  <c r="BF68" i="5"/>
  <c r="BC68" i="5"/>
  <c r="BD68" i="5"/>
  <c r="BM215" i="5"/>
  <c r="BF215" i="5"/>
  <c r="BD215" i="5"/>
  <c r="BC215" i="5"/>
  <c r="BF133" i="5"/>
  <c r="BD133" i="5"/>
  <c r="BC133" i="5"/>
  <c r="BM133" i="5"/>
  <c r="BM195" i="5"/>
  <c r="BF195" i="5"/>
  <c r="BD195" i="5"/>
  <c r="BC195" i="5"/>
  <c r="BM52" i="5"/>
  <c r="BF52" i="5"/>
  <c r="BC52" i="5"/>
  <c r="BD52" i="5"/>
  <c r="BC212" i="5"/>
  <c r="BM212" i="5"/>
  <c r="BF212" i="5"/>
  <c r="BD212" i="5"/>
  <c r="BF41" i="5"/>
  <c r="BC41" i="5"/>
  <c r="BM41" i="5"/>
  <c r="BD41" i="5"/>
  <c r="BC50" i="5"/>
  <c r="BM50" i="5"/>
  <c r="BF50" i="5"/>
  <c r="BD50" i="5"/>
  <c r="BM203" i="5"/>
  <c r="BC203" i="5"/>
  <c r="BF203" i="5"/>
  <c r="BD203" i="5"/>
  <c r="BF57" i="5"/>
  <c r="BC57" i="5"/>
  <c r="BM57" i="5"/>
  <c r="BD57" i="5"/>
  <c r="BF106" i="5"/>
  <c r="BD106" i="5"/>
  <c r="BC106" i="5"/>
  <c r="BM106" i="5"/>
  <c r="BM4" i="5"/>
  <c r="BF4" i="5"/>
  <c r="BD4" i="5"/>
  <c r="BC4" i="5"/>
  <c r="BM36" i="5"/>
  <c r="BD36" i="5"/>
  <c r="BC36" i="5"/>
  <c r="BF36" i="5"/>
  <c r="BM67" i="5"/>
  <c r="BF67" i="5"/>
  <c r="BD67" i="5"/>
  <c r="BC67" i="5"/>
  <c r="BC177" i="5"/>
  <c r="BM177" i="5"/>
  <c r="BF177" i="5"/>
  <c r="BD177" i="5"/>
  <c r="BF100" i="5"/>
  <c r="BD100" i="5"/>
  <c r="BC100" i="5"/>
  <c r="BM100" i="5"/>
  <c r="BF160" i="5"/>
  <c r="BD160" i="5"/>
  <c r="BC160" i="5"/>
  <c r="BM160" i="5"/>
  <c r="BM105" i="5"/>
  <c r="BF105" i="5"/>
  <c r="BD105" i="5"/>
  <c r="BC105" i="5"/>
  <c r="BF112" i="5"/>
  <c r="BD112" i="5"/>
  <c r="BC112" i="5"/>
  <c r="BM112" i="5"/>
  <c r="BC76" i="5"/>
  <c r="BM76" i="5"/>
  <c r="BF76" i="5"/>
  <c r="BD76" i="5"/>
  <c r="BM149" i="5"/>
  <c r="BD149" i="5"/>
  <c r="BC149" i="5"/>
  <c r="BF149" i="5"/>
  <c r="BM219" i="5"/>
  <c r="BF219" i="5"/>
  <c r="BD219" i="5"/>
  <c r="BC219" i="5"/>
  <c r="BM210" i="5"/>
  <c r="BF210" i="5"/>
  <c r="BD210" i="5"/>
  <c r="BC210" i="5"/>
  <c r="BM69" i="5"/>
  <c r="BF69" i="5"/>
  <c r="BD69" i="5"/>
  <c r="BC69" i="5"/>
  <c r="BM237" i="5"/>
  <c r="BF237" i="5"/>
  <c r="BD237" i="5"/>
  <c r="BC237" i="5"/>
  <c r="BM91" i="5"/>
  <c r="BF91" i="5"/>
  <c r="BD91" i="5"/>
  <c r="BC91" i="5"/>
  <c r="BF72" i="5"/>
  <c r="BD72" i="5"/>
  <c r="BC72" i="5"/>
  <c r="BM72" i="5"/>
  <c r="BM167" i="5"/>
  <c r="BD167" i="5"/>
  <c r="BC167" i="5"/>
  <c r="BF167" i="5"/>
  <c r="BF156" i="5"/>
  <c r="BD156" i="5"/>
  <c r="BC156" i="5"/>
  <c r="BM156" i="5"/>
  <c r="BM87" i="5"/>
  <c r="BD87" i="5"/>
  <c r="BC87" i="5"/>
  <c r="BF87" i="5"/>
  <c r="BF25" i="5"/>
  <c r="BD25" i="5"/>
  <c r="BC25" i="5"/>
  <c r="BM25" i="5"/>
  <c r="BM152" i="5"/>
  <c r="BD152" i="5"/>
  <c r="BC152" i="5"/>
  <c r="BF152" i="5"/>
  <c r="BF107" i="5"/>
  <c r="BM107" i="5"/>
  <c r="BD107" i="5"/>
  <c r="BC107" i="5"/>
  <c r="BD188" i="5"/>
  <c r="BC188" i="5"/>
  <c r="BM188" i="5"/>
  <c r="BF188" i="5"/>
  <c r="BC183" i="5"/>
  <c r="BM183" i="5"/>
  <c r="BF183" i="5"/>
  <c r="BD183" i="5"/>
  <c r="BM194" i="5"/>
  <c r="BF194" i="5"/>
  <c r="BD194" i="5"/>
  <c r="BC194" i="5"/>
  <c r="BF111" i="5"/>
  <c r="BM111" i="5"/>
  <c r="BD111" i="5"/>
  <c r="BC111" i="5"/>
  <c r="BM3" i="5"/>
  <c r="BD3" i="5"/>
  <c r="BC3" i="5"/>
  <c r="BF3" i="5"/>
  <c r="BM89" i="5"/>
  <c r="BF89" i="5"/>
  <c r="BD89" i="5"/>
  <c r="BC89" i="5"/>
  <c r="BM148" i="5"/>
  <c r="BC148" i="5"/>
  <c r="BF148" i="5"/>
  <c r="BD148" i="5"/>
  <c r="BM101" i="5"/>
  <c r="BD101" i="5"/>
  <c r="BC101" i="5"/>
  <c r="BF101" i="5"/>
  <c r="BC181" i="5"/>
  <c r="BF181" i="5"/>
  <c r="BD181" i="5"/>
  <c r="BM181" i="5"/>
  <c r="BM45" i="5"/>
  <c r="BD45" i="5"/>
  <c r="BF45" i="5"/>
  <c r="BC45" i="5"/>
  <c r="BF83" i="5"/>
  <c r="BC83" i="5"/>
  <c r="BM83" i="5"/>
  <c r="BD83" i="5"/>
  <c r="BC5" i="5"/>
  <c r="BM5" i="5"/>
  <c r="BD5" i="5"/>
  <c r="BF5" i="5"/>
  <c r="BM33" i="5"/>
  <c r="BF33" i="5"/>
  <c r="BD33" i="5"/>
  <c r="BC33" i="5"/>
  <c r="BF128" i="5"/>
  <c r="BD128" i="5"/>
  <c r="BC128" i="5"/>
  <c r="BM128" i="5"/>
  <c r="BF134" i="5"/>
  <c r="BD134" i="5"/>
  <c r="BC134" i="5"/>
  <c r="BM134" i="5"/>
  <c r="BM98" i="5"/>
  <c r="BD98" i="5"/>
  <c r="BC98" i="5"/>
  <c r="BF98" i="5"/>
  <c r="BF222" i="5"/>
  <c r="BD222" i="5"/>
  <c r="BC222" i="5"/>
  <c r="BM222" i="5"/>
  <c r="BD231" i="5"/>
  <c r="BC231" i="5"/>
  <c r="BM231" i="5"/>
  <c r="BF231" i="5"/>
  <c r="BD191" i="5"/>
  <c r="BC191" i="5"/>
  <c r="BM191" i="5"/>
  <c r="BF191" i="5"/>
  <c r="BM157" i="5"/>
  <c r="BC157" i="5"/>
  <c r="BF157" i="5"/>
  <c r="BD157" i="5"/>
  <c r="BC17" i="5"/>
  <c r="BM17" i="5"/>
  <c r="BF17" i="5"/>
  <c r="BD17" i="5"/>
  <c r="BF6" i="5"/>
  <c r="BD6" i="5"/>
  <c r="BC6" i="5"/>
  <c r="BM6" i="5"/>
  <c r="BD163" i="5"/>
  <c r="BC163" i="5"/>
  <c r="BM163" i="5"/>
  <c r="BF163" i="5"/>
  <c r="BM205" i="5"/>
  <c r="BC205" i="5"/>
  <c r="BF205" i="5"/>
  <c r="BD205" i="5"/>
  <c r="BM22" i="5"/>
  <c r="BD22" i="5"/>
  <c r="BF22" i="5"/>
  <c r="BC22" i="5"/>
  <c r="BF116" i="5"/>
  <c r="BC116" i="5"/>
  <c r="BM116" i="5"/>
  <c r="BD116" i="5"/>
  <c r="BF44" i="5"/>
  <c r="BD44" i="5"/>
  <c r="BM44" i="5"/>
  <c r="BC44" i="5"/>
  <c r="BM197" i="5"/>
  <c r="BD197" i="5"/>
  <c r="BC197" i="5"/>
  <c r="BF197" i="5"/>
  <c r="BD155" i="5"/>
  <c r="BC155" i="5"/>
  <c r="BM155" i="5"/>
  <c r="BF155" i="5"/>
  <c r="BC186" i="5"/>
  <c r="BM186" i="5"/>
  <c r="BF186" i="5"/>
  <c r="BD186" i="5"/>
  <c r="BM62" i="5"/>
  <c r="BF62" i="5"/>
  <c r="BC62" i="5"/>
  <c r="BD62" i="5"/>
  <c r="BM70" i="5"/>
  <c r="BF70" i="5"/>
  <c r="BD70" i="5"/>
  <c r="BC70" i="5"/>
  <c r="BF164" i="5"/>
  <c r="BD164" i="5"/>
  <c r="BC164" i="5"/>
  <c r="BM164" i="5"/>
  <c r="BF60" i="5"/>
  <c r="BC60" i="5"/>
  <c r="BM60" i="5"/>
  <c r="BD60" i="5"/>
  <c r="BC224" i="5"/>
  <c r="BM224" i="5"/>
  <c r="BD224" i="5"/>
  <c r="BF224" i="5"/>
  <c r="BD79" i="5"/>
  <c r="BC79" i="5"/>
  <c r="BM79" i="5"/>
  <c r="BF79" i="5"/>
  <c r="BF129" i="5"/>
  <c r="BD129" i="5"/>
  <c r="BC129" i="5"/>
  <c r="BM129" i="5"/>
  <c r="BF173" i="5"/>
  <c r="BM173" i="5"/>
  <c r="BD173" i="5"/>
  <c r="BC173" i="5"/>
  <c r="BF230" i="5"/>
  <c r="BD230" i="5"/>
  <c r="BC230" i="5"/>
  <c r="BM230" i="5"/>
  <c r="BC71" i="5"/>
  <c r="BM71" i="5"/>
  <c r="BF71" i="5"/>
  <c r="BD71" i="5"/>
  <c r="BM228" i="5"/>
  <c r="BF228" i="5"/>
  <c r="BD228" i="5"/>
  <c r="BC228" i="5"/>
  <c r="BM151" i="5"/>
  <c r="BD151" i="5"/>
  <c r="BC151" i="5"/>
  <c r="BF151" i="5"/>
  <c r="BM92" i="5"/>
  <c r="BF92" i="5"/>
  <c r="BD92" i="5"/>
  <c r="BC92" i="5"/>
  <c r="BM88" i="5"/>
  <c r="BF88" i="5"/>
  <c r="BD88" i="5"/>
  <c r="BC88" i="5"/>
  <c r="BC179" i="5"/>
  <c r="BM179" i="5"/>
  <c r="BF179" i="5"/>
  <c r="BD179" i="5"/>
  <c r="BF221" i="5"/>
  <c r="BD221" i="5"/>
  <c r="BC221" i="5"/>
  <c r="BM221" i="5"/>
  <c r="BM73" i="5"/>
  <c r="BF73" i="5"/>
  <c r="BD73" i="5"/>
  <c r="BC73" i="5"/>
  <c r="BC11" i="5"/>
  <c r="BM11" i="5"/>
  <c r="BF11" i="5"/>
  <c r="BD11" i="5"/>
  <c r="BM90" i="5"/>
  <c r="BD90" i="5"/>
  <c r="BC90" i="5"/>
  <c r="BF90" i="5"/>
  <c r="BM7" i="5"/>
  <c r="BF7" i="5"/>
  <c r="BD7" i="5"/>
  <c r="BC7" i="5"/>
  <c r="BM193" i="5"/>
  <c r="BF193" i="5"/>
  <c r="BD193" i="5"/>
  <c r="BC193" i="5"/>
  <c r="BF48" i="5"/>
  <c r="BM48" i="5"/>
  <c r="BC48" i="5"/>
  <c r="BD48" i="5"/>
  <c r="BF86" i="5"/>
  <c r="BM86" i="5"/>
  <c r="BD86" i="5"/>
  <c r="BC86" i="5"/>
  <c r="BF168" i="5"/>
  <c r="BM168" i="5"/>
  <c r="BD168" i="5"/>
  <c r="BC168" i="5"/>
  <c r="BM21" i="5"/>
  <c r="BC21" i="5"/>
  <c r="BF21" i="5"/>
  <c r="BD21" i="5"/>
  <c r="BF29" i="5"/>
  <c r="BM29" i="5"/>
  <c r="BD29" i="5"/>
  <c r="BC29" i="5"/>
  <c r="BC178" i="5"/>
  <c r="BF178" i="5"/>
  <c r="BD178" i="5"/>
  <c r="BM178" i="5"/>
  <c r="BM235" i="5"/>
  <c r="BF235" i="5"/>
  <c r="BD235" i="5"/>
  <c r="BC235" i="5"/>
  <c r="BM102" i="5"/>
  <c r="BF102" i="5"/>
  <c r="BD102" i="5"/>
  <c r="BC102" i="5"/>
  <c r="BM165" i="5"/>
  <c r="BF165" i="5"/>
  <c r="BC165" i="5"/>
  <c r="BD165" i="5"/>
  <c r="BF27" i="5"/>
  <c r="BD27" i="5"/>
  <c r="BC27" i="5"/>
  <c r="BM27" i="5"/>
  <c r="BM211" i="5"/>
  <c r="BF211" i="5"/>
  <c r="BD211" i="5"/>
  <c r="BC211" i="5"/>
  <c r="BM162" i="5"/>
  <c r="BF162" i="5"/>
  <c r="BD162" i="5"/>
  <c r="BC162" i="5"/>
  <c r="BM208" i="5"/>
  <c r="BF208" i="5"/>
  <c r="BC208" i="5"/>
  <c r="BD208" i="5"/>
  <c r="BD159" i="5"/>
  <c r="BC159" i="5"/>
  <c r="BM159" i="5"/>
  <c r="BF159" i="5"/>
  <c r="BM20" i="5"/>
  <c r="BF20" i="5"/>
  <c r="BD20" i="5"/>
  <c r="BC20" i="5"/>
  <c r="BF132" i="5"/>
  <c r="BD132" i="5"/>
  <c r="BC132" i="5"/>
  <c r="BM132" i="5"/>
  <c r="BC8" i="5"/>
  <c r="BM8" i="5"/>
  <c r="BF8" i="5"/>
  <c r="BD8" i="5"/>
  <c r="AE8" i="5"/>
  <c r="AM8" i="5"/>
  <c r="AT189" i="5"/>
  <c r="AT30" i="5"/>
  <c r="AT39" i="5"/>
  <c r="AT137" i="5"/>
  <c r="AM6" i="5"/>
  <c r="AE6" i="5"/>
  <c r="AT175" i="5"/>
  <c r="AT223" i="5"/>
  <c r="AE75" i="5"/>
  <c r="AM75" i="5"/>
  <c r="AE56" i="5"/>
  <c r="AM56" i="5"/>
  <c r="AE150" i="5"/>
  <c r="AM150" i="5"/>
  <c r="AM216" i="5"/>
  <c r="AE216" i="5"/>
  <c r="AM111" i="5"/>
  <c r="AE111" i="5"/>
  <c r="AM15" i="5"/>
  <c r="AE15" i="5"/>
  <c r="AT108" i="5"/>
  <c r="AT24" i="5"/>
  <c r="AE89" i="5"/>
  <c r="AM89" i="5"/>
  <c r="AM45" i="5"/>
  <c r="AE45" i="5"/>
  <c r="AT214" i="5"/>
  <c r="AT141" i="5"/>
  <c r="AM122" i="5"/>
  <c r="AE122" i="5"/>
  <c r="AE218" i="5"/>
  <c r="AM218" i="5"/>
  <c r="AE64" i="5"/>
  <c r="AM64" i="5"/>
  <c r="AT81" i="5"/>
  <c r="AE198" i="5"/>
  <c r="AM198" i="5"/>
  <c r="AT42" i="5"/>
  <c r="AE138" i="5"/>
  <c r="AM138" i="5"/>
  <c r="AT144" i="5"/>
  <c r="AT143" i="5"/>
  <c r="AU143" i="5" l="1"/>
  <c r="AV143" i="5" s="1"/>
  <c r="AY143" i="5" s="1"/>
  <c r="AU144" i="5"/>
  <c r="AV144" i="5" s="1"/>
  <c r="AY144" i="5" s="1"/>
  <c r="AN138" i="5"/>
  <c r="AF138" i="5"/>
  <c r="AU42" i="5"/>
  <c r="AV42" i="5" s="1"/>
  <c r="AY42" i="5" s="1"/>
  <c r="AN198" i="5"/>
  <c r="AF198" i="5"/>
  <c r="AU81" i="5"/>
  <c r="AV81" i="5" s="1"/>
  <c r="AY81" i="5" s="1"/>
  <c r="AN64" i="5"/>
  <c r="AF64" i="5"/>
  <c r="AN218" i="5"/>
  <c r="AF218" i="5"/>
  <c r="AF122" i="5"/>
  <c r="AN122" i="5"/>
  <c r="AU141" i="5"/>
  <c r="AV141" i="5" s="1"/>
  <c r="AY141" i="5" s="1"/>
  <c r="AU214" i="5"/>
  <c r="AV214" i="5" s="1"/>
  <c r="AY214" i="5" s="1"/>
  <c r="AF45" i="5"/>
  <c r="AN45" i="5"/>
  <c r="AN89" i="5"/>
  <c r="AF89" i="5"/>
  <c r="AU24" i="5"/>
  <c r="AV24" i="5" s="1"/>
  <c r="AY24" i="5" s="1"/>
  <c r="AU108" i="5"/>
  <c r="AV108" i="5" s="1"/>
  <c r="AY108" i="5" s="1"/>
  <c r="AF15" i="5"/>
  <c r="AN15" i="5"/>
  <c r="AF111" i="5"/>
  <c r="AN111" i="5"/>
  <c r="AF216" i="5"/>
  <c r="AN216" i="5"/>
  <c r="AN150" i="5"/>
  <c r="AF150" i="5"/>
  <c r="AN56" i="5"/>
  <c r="AF56" i="5"/>
  <c r="AN75" i="5"/>
  <c r="AF75" i="5"/>
  <c r="AU223" i="5"/>
  <c r="AV223" i="5" s="1"/>
  <c r="AY223" i="5" s="1"/>
  <c r="AU175" i="5"/>
  <c r="AV175" i="5" s="1"/>
  <c r="AY175" i="5" s="1"/>
  <c r="AF6" i="5"/>
  <c r="AN6" i="5"/>
  <c r="AU137" i="5"/>
  <c r="AV137" i="5" s="1"/>
  <c r="AY137" i="5" s="1"/>
  <c r="AU39" i="5"/>
  <c r="AV39" i="5" s="1"/>
  <c r="AY39" i="5" s="1"/>
  <c r="AU30" i="5"/>
  <c r="AV30" i="5" s="1"/>
  <c r="AY30" i="5" s="1"/>
  <c r="AU189" i="5"/>
  <c r="AV189" i="5" s="1"/>
  <c r="AY189" i="5" s="1"/>
  <c r="AN8" i="5"/>
  <c r="AF8" i="5"/>
  <c r="BC42" i="5"/>
  <c r="BD42" i="5"/>
  <c r="BM42" i="5"/>
  <c r="BF42" i="5"/>
  <c r="BF121" i="5"/>
  <c r="BD121" i="5"/>
  <c r="BM121" i="5"/>
  <c r="BC121" i="5"/>
  <c r="BF220" i="5"/>
  <c r="BD220" i="5"/>
  <c r="BC220" i="5"/>
  <c r="BM220" i="5"/>
  <c r="BF37" i="5"/>
  <c r="BM37" i="5"/>
  <c r="BC37" i="5"/>
  <c r="BD37" i="5"/>
  <c r="BM81" i="5"/>
  <c r="BC81" i="5"/>
  <c r="BF81" i="5"/>
  <c r="BD81" i="5"/>
  <c r="BM24" i="5"/>
  <c r="BF24" i="5"/>
  <c r="BD24" i="5"/>
  <c r="BC24" i="5"/>
  <c r="BC108" i="5"/>
  <c r="BD108" i="5"/>
  <c r="BM108" i="5"/>
  <c r="BF108" i="5"/>
  <c r="BF59" i="5"/>
  <c r="BC59" i="5"/>
  <c r="BM59" i="5"/>
  <c r="BD59" i="5"/>
  <c r="BD84" i="5"/>
  <c r="BF84" i="5"/>
  <c r="BM84" i="5"/>
  <c r="BC84" i="5"/>
  <c r="BF122" i="5"/>
  <c r="BC122" i="5"/>
  <c r="BD122" i="5"/>
  <c r="BM122" i="5"/>
  <c r="BM39" i="5"/>
  <c r="BC39" i="5"/>
  <c r="BD39" i="5"/>
  <c r="BF39" i="5"/>
  <c r="BM214" i="5"/>
  <c r="BC214" i="5"/>
  <c r="BD214" i="5"/>
  <c r="BF214" i="5"/>
  <c r="BD137" i="5"/>
  <c r="BC137" i="5"/>
  <c r="BF137" i="5"/>
  <c r="BM137" i="5"/>
  <c r="BD223" i="5"/>
  <c r="BC223" i="5"/>
  <c r="BF223" i="5"/>
  <c r="BM223" i="5"/>
  <c r="BC175" i="5"/>
  <c r="BD175" i="5"/>
  <c r="BM175" i="5"/>
  <c r="BF175" i="5"/>
  <c r="BD113" i="5"/>
  <c r="BM113" i="5"/>
  <c r="BC113" i="5"/>
  <c r="BF113" i="5"/>
  <c r="BF141" i="5"/>
  <c r="BD141" i="5"/>
  <c r="BC141" i="5"/>
  <c r="BM141" i="5"/>
  <c r="BF170" i="5"/>
  <c r="BC170" i="5"/>
  <c r="BM170" i="5"/>
  <c r="BD170" i="5"/>
  <c r="BD64" i="5"/>
  <c r="BC64" i="5"/>
  <c r="BM64" i="5"/>
  <c r="BF64" i="5"/>
  <c r="BF77" i="5"/>
  <c r="BM77" i="5"/>
  <c r="BD77" i="5"/>
  <c r="BC77" i="5"/>
  <c r="BM30" i="5"/>
  <c r="BC30" i="5"/>
  <c r="BD30" i="5"/>
  <c r="BF30" i="5"/>
  <c r="BD189" i="5"/>
  <c r="BF189" i="5"/>
  <c r="BM189" i="5"/>
  <c r="BC189" i="5"/>
  <c r="BF143" i="5"/>
  <c r="BD143" i="5"/>
  <c r="BC143" i="5"/>
  <c r="BM143" i="5"/>
  <c r="BC117" i="5"/>
  <c r="BF117" i="5"/>
  <c r="BD117" i="5"/>
  <c r="BM117" i="5"/>
  <c r="BF144" i="5"/>
  <c r="BM144" i="5"/>
  <c r="BD144" i="5"/>
  <c r="BC144" i="5"/>
</calcChain>
</file>

<file path=xl/sharedStrings.xml><?xml version="1.0" encoding="utf-8"?>
<sst xmlns="http://schemas.openxmlformats.org/spreadsheetml/2006/main" count="368" uniqueCount="353">
  <si>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</si>
  <si>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</si>
  <si>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</si>
  <si>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</si>
  <si>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</si>
  <si>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</si>
  <si>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</si>
  <si>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</si>
  <si>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</si>
  <si>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</si>
  <si>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</si>
  <si>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</si>
  <si>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No</t>
  </si>
  <si>
    <t>G</t>
  </si>
  <si>
    <t>A</t>
  </si>
  <si>
    <t>Pw</t>
  </si>
  <si>
    <t>DH</t>
  </si>
  <si>
    <t>L_DNB</t>
  </si>
  <si>
    <t>q_in</t>
  </si>
  <si>
    <t>Tin</t>
  </si>
  <si>
    <t>Tf</t>
  </si>
  <si>
    <t>f(beta)</t>
  </si>
  <si>
    <t>Re</t>
  </si>
  <si>
    <t>f</t>
  </si>
  <si>
    <t>f_left</t>
  </si>
  <si>
    <t>f_rihgt</t>
  </si>
  <si>
    <t>f_balance</t>
  </si>
  <si>
    <t>DB</t>
  </si>
  <si>
    <t>Tw</t>
  </si>
  <si>
    <t>y_plus</t>
  </si>
  <si>
    <t>Tm</t>
  </si>
  <si>
    <t>Tw_balance</t>
  </si>
  <si>
    <t>y_star</t>
  </si>
  <si>
    <t>tauw</t>
  </si>
  <si>
    <t>Utau</t>
  </si>
  <si>
    <t>y_plus2</t>
  </si>
  <si>
    <t>Q</t>
  </si>
  <si>
    <t>Pr</t>
  </si>
  <si>
    <t>T(y_plus)</t>
  </si>
  <si>
    <t>y_star_balance</t>
  </si>
  <si>
    <t>delta</t>
  </si>
  <si>
    <t>UB</t>
  </si>
  <si>
    <t>LB</t>
  </si>
  <si>
    <t>YB</t>
  </si>
  <si>
    <t>YB_plus</t>
  </si>
  <si>
    <t>Karman_UB</t>
  </si>
  <si>
    <t>UBL</t>
  </si>
  <si>
    <t>UB_left</t>
  </si>
  <si>
    <t>CD</t>
  </si>
  <si>
    <t>UB_right</t>
  </si>
  <si>
    <t>UB_balance</t>
  </si>
  <si>
    <t>HG-HL</t>
  </si>
  <si>
    <t>LB/UB</t>
  </si>
  <si>
    <t>q_P</t>
  </si>
  <si>
    <t>dq_chf</t>
  </si>
  <si>
    <t>dq_ratio</t>
  </si>
  <si>
    <t>q_M</t>
  </si>
  <si>
    <t>PM_ratio</t>
  </si>
  <si>
    <t>F_form</t>
  </si>
  <si>
    <t>x_Mes</t>
  </si>
  <si>
    <t>A_corr</t>
  </si>
  <si>
    <t>σ_corr</t>
  </si>
  <si>
    <t>Fcorr</t>
  </si>
  <si>
    <t>Tsub</t>
  </si>
  <si>
    <t>q_P_MW</t>
  </si>
  <si>
    <t>Tsub2</t>
  </si>
  <si>
    <t>Fcorr2</t>
  </si>
  <si>
    <t>(Tsub-40)^2</t>
  </si>
  <si>
    <t>F2</t>
  </si>
  <si>
    <t>L</t>
  </si>
  <si>
    <t>9.01_10</t>
  </si>
  <si>
    <t>10.01_10</t>
  </si>
  <si>
    <t>11.01_10</t>
  </si>
  <si>
    <t>12.01_10</t>
  </si>
  <si>
    <t>13.01_10</t>
  </si>
  <si>
    <t>14.01_10</t>
  </si>
  <si>
    <t>15.01_10</t>
  </si>
  <si>
    <t>16.01_10</t>
  </si>
  <si>
    <t>17.01_10</t>
  </si>
  <si>
    <t>18.01_10</t>
  </si>
  <si>
    <t>19.01_10</t>
  </si>
  <si>
    <t>20.01_10</t>
  </si>
  <si>
    <t>21.01_10</t>
  </si>
  <si>
    <t>51.01_10</t>
  </si>
  <si>
    <t>52.01_10</t>
  </si>
  <si>
    <t>53.01_10</t>
  </si>
  <si>
    <t>54.01_10</t>
  </si>
  <si>
    <t>55.01_10</t>
  </si>
  <si>
    <t>56.01_10</t>
  </si>
  <si>
    <t>57.01_10</t>
  </si>
  <si>
    <t>58.01_10</t>
  </si>
  <si>
    <t>59.01_10</t>
  </si>
  <si>
    <t>60.01_10</t>
  </si>
  <si>
    <t>61.01_10</t>
  </si>
  <si>
    <t>62.01_10</t>
  </si>
  <si>
    <t>63.01_10</t>
  </si>
  <si>
    <t>64.01_10</t>
  </si>
  <si>
    <t>65.01_10</t>
  </si>
  <si>
    <t>66.01_10</t>
  </si>
  <si>
    <t>67.01_10</t>
  </si>
  <si>
    <t>68.01_10</t>
  </si>
  <si>
    <t>69.01_10</t>
  </si>
  <si>
    <t>70.01_10</t>
  </si>
  <si>
    <t>72.01_10</t>
  </si>
  <si>
    <t>73.01_10</t>
  </si>
  <si>
    <t>74.01_10</t>
  </si>
  <si>
    <t>75.01_10</t>
  </si>
  <si>
    <t>76.01_10</t>
  </si>
  <si>
    <t>129.01_10</t>
  </si>
  <si>
    <t>130.01_10</t>
  </si>
  <si>
    <t>131.01_10</t>
  </si>
  <si>
    <t>132.01_10</t>
  </si>
  <si>
    <t>133.01_10</t>
  </si>
  <si>
    <t>134.01_10</t>
  </si>
  <si>
    <t>135.01_10</t>
  </si>
  <si>
    <t>136.01_10</t>
  </si>
  <si>
    <t>137.01_10</t>
  </si>
  <si>
    <t>138.01_10</t>
  </si>
  <si>
    <t>139.01_10</t>
  </si>
  <si>
    <t>140.01_10</t>
  </si>
  <si>
    <t>141.01_10</t>
  </si>
  <si>
    <t>142.01_10</t>
  </si>
  <si>
    <t>143.01_10</t>
  </si>
  <si>
    <t>144.01_10</t>
  </si>
  <si>
    <t>192.01_10</t>
  </si>
  <si>
    <t>193.01_10</t>
  </si>
  <si>
    <t>194.01_10</t>
  </si>
  <si>
    <t>195.01_10</t>
  </si>
  <si>
    <t>196.01_10</t>
  </si>
  <si>
    <t>197.01_10</t>
  </si>
  <si>
    <t>198.01_10</t>
  </si>
  <si>
    <t>199.01_10</t>
  </si>
  <si>
    <t>200.01_10</t>
  </si>
  <si>
    <t>201.01_10</t>
  </si>
  <si>
    <t>202.01_10</t>
  </si>
  <si>
    <t>203.01_10</t>
  </si>
  <si>
    <t>204.01_10</t>
  </si>
  <si>
    <t>205.01_10</t>
  </si>
  <si>
    <t>206.01_10</t>
  </si>
  <si>
    <t>207.01_10</t>
  </si>
  <si>
    <t>208.01_10</t>
  </si>
  <si>
    <t>209.01_10</t>
  </si>
  <si>
    <t>210.01_10</t>
  </si>
  <si>
    <t>211.01_10</t>
  </si>
  <si>
    <t>212.01_10</t>
  </si>
  <si>
    <t>213.01_10</t>
  </si>
  <si>
    <t>214.01_10</t>
  </si>
  <si>
    <t>215.01_10</t>
  </si>
  <si>
    <t>491.01_10</t>
  </si>
  <si>
    <t>492.01_10</t>
  </si>
  <si>
    <t>493.01_10</t>
  </si>
  <si>
    <t>494.01_10</t>
  </si>
  <si>
    <t>495.01_10</t>
  </si>
  <si>
    <t>496.01_10</t>
  </si>
  <si>
    <t>497.01_10</t>
  </si>
  <si>
    <t>498.01_10</t>
  </si>
  <si>
    <t>86.03_8</t>
  </si>
  <si>
    <t>87.03_8</t>
  </si>
  <si>
    <t>88.03_8</t>
  </si>
  <si>
    <t>89.03_8</t>
  </si>
  <si>
    <t>90.03_8</t>
  </si>
  <si>
    <t>91.03_8</t>
  </si>
  <si>
    <t>92.03_8</t>
  </si>
  <si>
    <t>93.03_8</t>
  </si>
  <si>
    <t>94.03_8</t>
  </si>
  <si>
    <t>95.03_8</t>
  </si>
  <si>
    <t>96.03_8</t>
  </si>
  <si>
    <t>97.03_8</t>
  </si>
  <si>
    <t>98.03_8</t>
  </si>
  <si>
    <t>99.03_8</t>
  </si>
  <si>
    <t>100.03_8</t>
  </si>
  <si>
    <t>101.03_8</t>
  </si>
  <si>
    <t>1.01_9</t>
  </si>
  <si>
    <t>2.01_9</t>
  </si>
  <si>
    <t>3.01_9</t>
  </si>
  <si>
    <t>4.01_9</t>
  </si>
  <si>
    <t>5.01_9</t>
  </si>
  <si>
    <t>6.01_9</t>
  </si>
  <si>
    <t>7.01_9</t>
  </si>
  <si>
    <t>8.01_9</t>
  </si>
  <si>
    <t>9.01_9</t>
  </si>
  <si>
    <t>10.01_9</t>
  </si>
  <si>
    <t>11.01_9</t>
  </si>
  <si>
    <t>12.01_9</t>
  </si>
  <si>
    <t>13.01_9</t>
  </si>
  <si>
    <t>14.01_9</t>
  </si>
  <si>
    <t>15.01_9</t>
  </si>
  <si>
    <t>16.01_9</t>
  </si>
  <si>
    <t>17.01_9</t>
  </si>
  <si>
    <t>18.01_9</t>
  </si>
  <si>
    <t>19.01_9</t>
  </si>
  <si>
    <t>20.01_9</t>
  </si>
  <si>
    <t>21.01_9</t>
  </si>
  <si>
    <t>22.01_9</t>
  </si>
  <si>
    <t>23.01_9</t>
  </si>
  <si>
    <t>24.01_9</t>
  </si>
  <si>
    <t>25.01_9</t>
  </si>
  <si>
    <t>26.01_9</t>
  </si>
  <si>
    <t>27.01_9</t>
  </si>
  <si>
    <t>28.01_9</t>
  </si>
  <si>
    <t>29.01_9</t>
  </si>
  <si>
    <t>30.01_9</t>
  </si>
  <si>
    <t>1.01_11</t>
  </si>
  <si>
    <t>2.01_11</t>
  </si>
  <si>
    <t>3.01_11</t>
  </si>
  <si>
    <t>4.01_11</t>
  </si>
  <si>
    <t>5.01_11</t>
  </si>
  <si>
    <t>6.01_11</t>
  </si>
  <si>
    <t>7.01_11</t>
  </si>
  <si>
    <t>8.01_11</t>
  </si>
  <si>
    <t>9.01_11</t>
  </si>
  <si>
    <t>10.01_11</t>
  </si>
  <si>
    <t>11.01_11</t>
  </si>
  <si>
    <t>12.01_11</t>
  </si>
  <si>
    <t>13.01_11</t>
  </si>
  <si>
    <t>14.01_11</t>
  </si>
  <si>
    <t>15.01_11</t>
  </si>
  <si>
    <t>16.01_11</t>
  </si>
  <si>
    <t>17.01_11</t>
  </si>
  <si>
    <t>18.01_11</t>
  </si>
  <si>
    <t>19.01_11</t>
  </si>
  <si>
    <t>20.01_11</t>
  </si>
  <si>
    <t>21.01_11</t>
  </si>
  <si>
    <t>22.01_11</t>
  </si>
  <si>
    <t>23.01_11</t>
  </si>
  <si>
    <t>24.01_11</t>
  </si>
  <si>
    <t>25.01_11</t>
  </si>
  <si>
    <t>26.01_11</t>
  </si>
  <si>
    <t>27.01_11</t>
  </si>
  <si>
    <t>28.01_11</t>
  </si>
  <si>
    <t>29.01_11</t>
  </si>
  <si>
    <t>30.01_11</t>
  </si>
  <si>
    <t>1.01_12</t>
  </si>
  <si>
    <t>2.01_12</t>
  </si>
  <si>
    <t>3.01_12</t>
  </si>
  <si>
    <t>4.01_12</t>
  </si>
  <si>
    <t>5.01_12</t>
  </si>
  <si>
    <t>6.01_12</t>
  </si>
  <si>
    <t>7.01_12</t>
  </si>
  <si>
    <t>8.01_12</t>
  </si>
  <si>
    <t>9.01_12</t>
  </si>
  <si>
    <t>10.01_12</t>
  </si>
  <si>
    <t>11.01_12</t>
  </si>
  <si>
    <t>12.01_12</t>
  </si>
  <si>
    <t>13.01_12</t>
  </si>
  <si>
    <t>14.01_12</t>
  </si>
  <si>
    <t>15.01_12</t>
  </si>
  <si>
    <t>16.01_12</t>
  </si>
  <si>
    <t>17.01_12</t>
  </si>
  <si>
    <t>18.01_12</t>
  </si>
  <si>
    <t>19.01_12</t>
  </si>
  <si>
    <t>20.01_12</t>
  </si>
  <si>
    <t>21.01_12</t>
  </si>
  <si>
    <t>22.01_12</t>
  </si>
  <si>
    <t>23.01_12</t>
  </si>
  <si>
    <t>24.01_12</t>
  </si>
  <si>
    <t>25.01_12</t>
  </si>
  <si>
    <t>26.01_12</t>
  </si>
  <si>
    <t>27.01_12</t>
  </si>
  <si>
    <t>28.01_12</t>
  </si>
  <si>
    <t>29.01_12</t>
  </si>
  <si>
    <t>30.01_12</t>
  </si>
  <si>
    <t>9.07_13</t>
  </si>
  <si>
    <t>10.07_13</t>
  </si>
  <si>
    <t>1.01_14</t>
  </si>
  <si>
    <t>2.01_14</t>
  </si>
  <si>
    <t>3.01_14</t>
  </si>
  <si>
    <t>4.01_14</t>
  </si>
  <si>
    <t>5.01_14</t>
  </si>
  <si>
    <t>6.01_14</t>
  </si>
  <si>
    <t>7.01_14</t>
  </si>
  <si>
    <t>8.01_14</t>
  </si>
  <si>
    <t>9.01_14</t>
  </si>
  <si>
    <t>10.01_14</t>
  </si>
  <si>
    <t>11.01_14</t>
  </si>
  <si>
    <t>12.01_14</t>
  </si>
  <si>
    <t>13.01_14</t>
  </si>
  <si>
    <t>14.01_14</t>
  </si>
  <si>
    <t>15.01_14</t>
  </si>
  <si>
    <t>16.01_14</t>
  </si>
  <si>
    <t>17.01_14</t>
  </si>
  <si>
    <t>18.01_14</t>
  </si>
  <si>
    <t>19.01_14</t>
  </si>
  <si>
    <t>20.01_14</t>
  </si>
  <si>
    <t>21.01_14</t>
  </si>
  <si>
    <t>22.01_14</t>
  </si>
  <si>
    <t>23.01_14</t>
  </si>
  <si>
    <t>24.01_14</t>
  </si>
  <si>
    <t>25.01_14</t>
  </si>
  <si>
    <t>26.01_14</t>
  </si>
  <si>
    <t>27.01_14</t>
  </si>
  <si>
    <t>28.01_14</t>
  </si>
  <si>
    <t>29.01_14</t>
  </si>
  <si>
    <t>30.01_14</t>
  </si>
  <si>
    <t>39.01_10</t>
  </si>
  <si>
    <t>27.01_10</t>
  </si>
  <si>
    <t>81.01_10</t>
  </si>
  <si>
    <t>259.01_10</t>
  </si>
  <si>
    <t>1.01_10</t>
  </si>
  <si>
    <t>442.01_10</t>
  </si>
  <si>
    <t>150.01_10</t>
  </si>
  <si>
    <t>289.01_10</t>
  </si>
  <si>
    <t>249.01_10</t>
  </si>
  <si>
    <t>281.01_10</t>
  </si>
  <si>
    <t>40.01_10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</si>
  <si>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</si>
  <si>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</si>
  <si>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</si>
  <si>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</si>
  <si>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</si>
  <si>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</si>
  <si>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</si>
  <si>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</si>
  <si>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</si>
  <si>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</si>
  <si>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</si>
  <si>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</si>
  <si>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</si>
  <si>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</si>
  <si>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</si>
  <si>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RowNo</t>
  </si>
  <si>
    <t>Step</t>
  </si>
  <si>
    <t>y_star-delta</t>
  </si>
  <si>
    <t>delta&lt;0</t>
  </si>
  <si>
    <t>項目</t>
  </si>
  <si>
    <t>内容</t>
  </si>
  <si>
    <t>作業日時</t>
  </si>
  <si>
    <t>入力元ブック名</t>
  </si>
  <si>
    <t>ThompsonMacbeth_TM8_9_11_14_G1000_macrohandoff_TinFilled.xlsx</t>
  </si>
  <si>
    <t>入力元シート名</t>
  </si>
  <si>
    <t>120_MACRO_INPUT_FINAL</t>
  </si>
  <si>
    <t>入力先シート名</t>
  </si>
  <si>
    <t>tm</t>
  </si>
  <si>
    <t>追記開始行</t>
  </si>
  <si>
    <t>追記終了行</t>
  </si>
  <si>
    <t>追記行数</t>
  </si>
  <si>
    <t>Table 8 行数</t>
  </si>
  <si>
    <t>Table 9 行数</t>
  </si>
  <si>
    <t>Table 11 行数</t>
  </si>
  <si>
    <t>Table 12 行数</t>
  </si>
  <si>
    <t>Table 13 行数</t>
  </si>
  <si>
    <t>Table 14 行数</t>
  </si>
  <si>
    <t>Tin_K_IF97 欠損行数</t>
  </si>
  <si>
    <t>G &lt;= 1000 の行</t>
  </si>
  <si>
    <t>含まれていない (最小G = 1017.17 kg/m2s)</t>
  </si>
  <si>
    <t>L/D outside の行</t>
  </si>
  <si>
    <t>含まれていない (L/D範囲 50.08〜365.33)</t>
  </si>
  <si>
    <t>既存行の上書き</t>
  </si>
  <si>
    <t>なし (2〜87行目は変更していない)</t>
  </si>
  <si>
    <t>マクロ実行</t>
  </si>
  <si>
    <t>実行していない (データ追記のみ。自動計算による更新のみ)</t>
  </si>
  <si>
    <t>初期値の注記</t>
  </si>
  <si>
    <t>q_in/f/Tw/y_star/UB は初期値であり、マクロ未実行 (q_in=q_M と同値、f/Tw/y_star/UB は直上行(87行目)の値をコピー)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</si>
</sst>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2"/>
      <charset val="128"/>
    </font>
  </fonts>
  <fills count="1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49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11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176" fontId="5" fillId="0" borderId="0" xfId="1" applyNumberFormat="1" applyFont="1"/>
    <xf numFmtId="177" fontId="5" fillId="0" borderId="0" xfId="0" applyNumberFormat="1" applyFont="1">
      <alignment vertical="center"/>
    </xf>
    <xf numFmtId="1" fontId="5" fillId="10" borderId="0" xfId="0" applyNumberFormat="1" applyFont="1" applyFill="1">
      <alignment vertical="center"/>
    </xf>
    <xf numFmtId="2" fontId="5" fillId="10" borderId="0" xfId="0" applyNumberFormat="1" applyFont="1" applyFill="1">
      <alignment vertical="center"/>
    </xf>
    <xf numFmtId="0" fontId="5" fillId="9" borderId="0" xfId="0" applyFont="1" applyFill="1">
      <alignment vertical="center"/>
    </xf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22" fontId="0" fillId="0" borderId="0" xfId="0" applyNumberFormat="1">
      <alignment vertical="center"/>
    </xf>
    <xf numFmtId="0" fontId="10" fillId="0" borderId="0" xfId="0" applyFont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237" totalsRowShown="0">
  <autoFilter ref="A1:BR237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+gettm2(AD2,AC2,AK2,AL2,テーブル2[[#This Row],[Fcorr]])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/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00000000-0010-0000-0000-00003C000000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50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31" t="s">
        <v>305</v>
      </c>
      <c r="B1" s="31" t="s">
        <v>306</v>
      </c>
      <c r="C1" s="31" t="s">
        <v>307</v>
      </c>
      <c r="D1" s="31" t="s">
        <v>308</v>
      </c>
      <c r="E1" s="31" t="s">
        <v>309</v>
      </c>
      <c r="F1" s="31" t="s">
        <v>310</v>
      </c>
      <c r="G1" s="31" t="s">
        <v>311</v>
      </c>
      <c r="H1" s="31" t="s">
        <v>312</v>
      </c>
      <c r="I1" s="31" t="s">
        <v>313</v>
      </c>
      <c r="J1" s="31" t="s">
        <v>314</v>
      </c>
      <c r="K1" s="31" t="s">
        <v>11</v>
      </c>
      <c r="M1" s="32" t="s">
        <v>315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417503.91083365493</v>
      </c>
      <c r="F2">
        <v>2674947.6774689942</v>
      </c>
      <c r="G2">
        <v>2.8275054163792241E-4</v>
      </c>
      <c r="H2">
        <v>1.221846401589725E-5</v>
      </c>
      <c r="I2">
        <v>0.67706063852756737</v>
      </c>
      <c r="J2">
        <v>4215.2228770654929</v>
      </c>
      <c r="K2">
        <v>5.8997248632534069E-2</v>
      </c>
      <c r="M2" t="s">
        <v>316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1.225122449534131E-5</v>
      </c>
      <c r="I3">
        <v>0.67741596500517487</v>
      </c>
      <c r="J3">
        <v>4216.3074734940428</v>
      </c>
      <c r="K3">
        <v>5.8813650026566147E-2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1258626.4713629831</v>
      </c>
      <c r="F4">
        <v>2774863.2172916508</v>
      </c>
      <c r="G4">
        <v>9.1928026726738571E-5</v>
      </c>
      <c r="H4">
        <v>1.8812418136402908E-5</v>
      </c>
      <c r="I4">
        <v>0.57547908399454439</v>
      </c>
      <c r="J4">
        <v>5367.8848362695126</v>
      </c>
      <c r="K4">
        <v>1.7852909015351519E-2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1260424.220291215</v>
      </c>
      <c r="F5">
        <v>2774425.9806907391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35.912218974162307</v>
      </c>
      <c r="E6">
        <v>1262216.960210474</v>
      </c>
      <c r="F6">
        <v>2773986.354767262</v>
      </c>
      <c r="G6">
        <v>9.1664210536410444E-5</v>
      </c>
      <c r="H6">
        <v>1.884296239458781E-5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1.8858208761437209E-5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36.313396913129843</v>
      </c>
      <c r="E8">
        <v>1265787.612025535</v>
      </c>
      <c r="F8">
        <v>2773099.9795593969</v>
      </c>
      <c r="G8">
        <v>9.1402939649199843E-5</v>
      </c>
      <c r="H8">
        <v>1.8873438554470608E-5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1267565.6217992641</v>
      </c>
      <c r="F9">
        <v>2772653.2520028888</v>
      </c>
      <c r="G9">
        <v>9.1273239351942053E-5</v>
      </c>
      <c r="H9">
        <v>1.8888652218810941E-5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36.525088826851928</v>
      </c>
      <c r="E10">
        <v>1267659.2832643441</v>
      </c>
      <c r="F10">
        <v>2772629.620505983</v>
      </c>
      <c r="G10">
        <v>9.1266414355739841E-5</v>
      </c>
      <c r="H10">
        <v>1.8889454347379291E-5</v>
      </c>
      <c r="I10">
        <v>0.57314906244367347</v>
      </c>
      <c r="J10">
        <v>5402.4794639967822</v>
      </c>
      <c r="K10">
        <v>1.7459835261136699E-2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2772204.1785875582</v>
      </c>
      <c r="G11">
        <v>9.1144152416375426E-5</v>
      </c>
      <c r="H11">
        <v>1.8903850195194511E-5</v>
      </c>
      <c r="I11">
        <v>0.5727142467148485</v>
      </c>
      <c r="J11">
        <v>5409.0339951429487</v>
      </c>
      <c r="K11">
        <v>1.7387053945399571E-2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1271107.2490317761</v>
      </c>
      <c r="F12">
        <v>2771752.7696196139</v>
      </c>
      <c r="G12">
        <v>9.1015671440181417E-5</v>
      </c>
      <c r="H12">
        <v>1.8919032920070651E-5</v>
      </c>
      <c r="I12">
        <v>0.5722558872415161</v>
      </c>
      <c r="J12">
        <v>5415.9776735122296</v>
      </c>
      <c r="K12">
        <v>1.7310525026362669E-2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37.119663466644063</v>
      </c>
      <c r="E13">
        <v>1272870.960624882</v>
      </c>
      <c r="F13">
        <v>2771299.0351890111</v>
      </c>
      <c r="G13">
        <v>9.0887789137660192E-5</v>
      </c>
      <c r="H13">
        <v>1.8934200825699131E-5</v>
      </c>
      <c r="I13">
        <v>0.57179821219430105</v>
      </c>
      <c r="J13">
        <v>5422.9463299177496</v>
      </c>
      <c r="K13">
        <v>1.723430764622115E-2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38.543434954242073</v>
      </c>
      <c r="E14">
        <v>1285088.613158894</v>
      </c>
      <c r="F14">
        <v>2768058.5850062389</v>
      </c>
      <c r="G14">
        <v>9.0008787265423692E-5</v>
      </c>
      <c r="H14">
        <v>1.9039996699282649E-5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>
        <v>10273187.93</v>
      </c>
      <c r="B15">
        <v>586.13430346130383</v>
      </c>
      <c r="C15">
        <v>683.87988086598716</v>
      </c>
      <c r="D15">
        <v>57.352435344035477</v>
      </c>
      <c r="E15">
        <v>1419800.7015599329</v>
      </c>
      <c r="F15">
        <v>2720431.325857149</v>
      </c>
      <c r="G15">
        <v>8.0969891423623451E-5</v>
      </c>
      <c r="H15">
        <v>2.0315305298798349E-5</v>
      </c>
      <c r="I15">
        <v>0.53200974031765291</v>
      </c>
      <c r="J15">
        <v>6204.9107072464121</v>
      </c>
      <c r="K15">
        <v>1.1305692890007799E-2</v>
      </c>
    </row>
    <row r="16" spans="1:13" x14ac:dyDescent="0.15">
      <c r="A16">
        <v>10376609.285</v>
      </c>
      <c r="B16">
        <v>586.8759119145376</v>
      </c>
      <c r="C16">
        <v>682.16154807641692</v>
      </c>
      <c r="D16">
        <v>58.076085118479952</v>
      </c>
      <c r="E16">
        <v>1424210.780827801</v>
      </c>
      <c r="F16">
        <v>2718482.2329562278</v>
      </c>
      <c r="G16">
        <v>8.0690155610351578E-5</v>
      </c>
      <c r="H16">
        <v>2.036134428728635E-5</v>
      </c>
      <c r="I16">
        <v>0.53077197244693697</v>
      </c>
      <c r="J16">
        <v>6236.5350644444852</v>
      </c>
      <c r="K16">
        <v>1.114199646546294E-2</v>
      </c>
    </row>
    <row r="17" spans="1:11" x14ac:dyDescent="0.15">
      <c r="A17">
        <v>10411083.07</v>
      </c>
      <c r="B17">
        <v>587.12184153560975</v>
      </c>
      <c r="C17">
        <v>681.58894372584575</v>
      </c>
      <c r="D17">
        <v>58.318347416861947</v>
      </c>
      <c r="E17">
        <v>1425676.9151810589</v>
      </c>
      <c r="F17">
        <v>2717828.483466493</v>
      </c>
      <c r="G17">
        <v>8.0597336130161507E-5</v>
      </c>
      <c r="H17">
        <v>2.0376724170658081E-5</v>
      </c>
      <c r="I17">
        <v>0.53036001180466197</v>
      </c>
      <c r="J17">
        <v>6247.1878014014937</v>
      </c>
      <c r="K17">
        <v>1.108777748646122E-2</v>
      </c>
    </row>
    <row r="18" spans="1:11" x14ac:dyDescent="0.15">
      <c r="A18">
        <v>10445556.855</v>
      </c>
      <c r="B18">
        <v>587.36714056353833</v>
      </c>
      <c r="C18">
        <v>681.0164156251443</v>
      </c>
      <c r="D18">
        <v>58.56113711330066</v>
      </c>
      <c r="E18">
        <v>1427141.134712551</v>
      </c>
      <c r="F18">
        <v>2717172.7048884612</v>
      </c>
      <c r="G18">
        <v>8.0504725827435319E-5</v>
      </c>
      <c r="H18">
        <v>2.039212133323165E-5</v>
      </c>
      <c r="I18">
        <v>0.52994836083727459</v>
      </c>
      <c r="J18">
        <v>6257.8970196920882</v>
      </c>
      <c r="K18">
        <v>1.103373036943443E-2</v>
      </c>
    </row>
    <row r="19" spans="1:11" x14ac:dyDescent="0.15">
      <c r="A19">
        <v>10652399.564999999</v>
      </c>
      <c r="B19">
        <v>588.82588897650953</v>
      </c>
      <c r="C19">
        <v>677.5825015864292</v>
      </c>
      <c r="D19">
        <v>60.029106465050397</v>
      </c>
      <c r="E19">
        <v>1435887.271926542</v>
      </c>
      <c r="F19">
        <v>2713195.303165792</v>
      </c>
      <c r="G19">
        <v>7.9953334804478573E-5</v>
      </c>
      <c r="H19">
        <v>2.048488413123789E-5</v>
      </c>
      <c r="I19">
        <v>0.52748480460352509</v>
      </c>
      <c r="J19">
        <v>6323.3675605114504</v>
      </c>
      <c r="K19">
        <v>1.071301140756829E-2</v>
      </c>
    </row>
    <row r="20" spans="1:11" x14ac:dyDescent="0.15">
      <c r="A20">
        <v>10790294.705</v>
      </c>
      <c r="B20">
        <v>589.78621399136853</v>
      </c>
      <c r="C20">
        <v>675.29396862991621</v>
      </c>
      <c r="D20">
        <v>61.018657698041302</v>
      </c>
      <c r="E20">
        <v>1441682.0426634969</v>
      </c>
      <c r="F20">
        <v>2710502.831333783</v>
      </c>
      <c r="G20">
        <v>7.9589652595738828E-5</v>
      </c>
      <c r="H20">
        <v>2.0547110080122658E-5</v>
      </c>
      <c r="I20">
        <v>0.52584828353128565</v>
      </c>
      <c r="J20">
        <v>6368.2114890788816</v>
      </c>
      <c r="K20">
        <v>1.050253506811907E-2</v>
      </c>
    </row>
    <row r="21" spans="1:11" x14ac:dyDescent="0.15">
      <c r="A21">
        <v>12341615.029999999</v>
      </c>
      <c r="B21">
        <v>599.9799801328129</v>
      </c>
      <c r="C21">
        <v>649.46521010949471</v>
      </c>
      <c r="D21">
        <v>72.816521135477899</v>
      </c>
      <c r="E21">
        <v>1505230.7162956409</v>
      </c>
      <c r="F21">
        <v>2677886.670586206</v>
      </c>
      <c r="G21">
        <v>7.5675269438825427E-5</v>
      </c>
      <c r="H21">
        <v>2.1274764991596999E-5</v>
      </c>
      <c r="I21">
        <v>0.50771016086975462</v>
      </c>
      <c r="J21">
        <v>6951.8253576901698</v>
      </c>
      <c r="K21">
        <v>8.3045704853731608E-3</v>
      </c>
    </row>
    <row r="22" spans="1:11" x14ac:dyDescent="0.15">
      <c r="A22">
        <v>12376088.814999999</v>
      </c>
      <c r="B22">
        <v>600.1948144628825</v>
      </c>
      <c r="C22">
        <v>648.88713795133378</v>
      </c>
      <c r="D22">
        <v>73.093943284833998</v>
      </c>
      <c r="E22">
        <v>1506614.7614684771</v>
      </c>
      <c r="F22">
        <v>2677111.4828473432</v>
      </c>
      <c r="G22">
        <v>7.5591310120252519E-5</v>
      </c>
      <c r="H22">
        <v>2.1291640654220771E-5</v>
      </c>
      <c r="I22">
        <v>0.50731192941358827</v>
      </c>
      <c r="J22">
        <v>6966.747327197736</v>
      </c>
      <c r="K22">
        <v>8.2590371006168485E-3</v>
      </c>
    </row>
    <row r="23" spans="1:11" x14ac:dyDescent="0.15">
      <c r="A23">
        <v>12410562.6</v>
      </c>
      <c r="B23">
        <v>600.40917815374269</v>
      </c>
      <c r="C23">
        <v>648.30878787204176</v>
      </c>
      <c r="D23">
        <v>73.372090442332606</v>
      </c>
      <c r="E23">
        <v>1507997.8235180371</v>
      </c>
      <c r="F23">
        <v>2676334.0095142131</v>
      </c>
      <c r="G23">
        <v>7.5507457069512522E-5</v>
      </c>
      <c r="H23">
        <v>2.1308552640654369E-5</v>
      </c>
      <c r="I23">
        <v>0.50691387709209623</v>
      </c>
      <c r="J23">
        <v>6981.7690086139</v>
      </c>
      <c r="K23">
        <v>8.2136391333202854E-3</v>
      </c>
    </row>
    <row r="24" spans="1:11" x14ac:dyDescent="0.15">
      <c r="A24">
        <v>12445036.385</v>
      </c>
      <c r="B24">
        <v>600.62307338779112</v>
      </c>
      <c r="C24">
        <v>647.73015324591881</v>
      </c>
      <c r="D24">
        <v>73.65096699650779</v>
      </c>
      <c r="E24">
        <v>1509379.9174575771</v>
      </c>
      <c r="F24">
        <v>2675554.2433210411</v>
      </c>
      <c r="G24">
        <v>7.542370875497005E-5</v>
      </c>
      <c r="H24">
        <v>2.1325501337549779E-5</v>
      </c>
      <c r="I24">
        <v>0.50651600214947412</v>
      </c>
      <c r="J24">
        <v>6996.8915278807299</v>
      </c>
      <c r="K24">
        <v>8.1683760977733326E-3</v>
      </c>
    </row>
    <row r="25" spans="1:11" x14ac:dyDescent="0.15">
      <c r="A25">
        <v>12479510.17</v>
      </c>
      <c r="B25">
        <v>600.8365023302473</v>
      </c>
      <c r="C25">
        <v>647.15122741627238</v>
      </c>
      <c r="D25">
        <v>73.930577375909749</v>
      </c>
      <c r="E25">
        <v>1510761.0582881749</v>
      </c>
      <c r="F25">
        <v>2674772.176894574</v>
      </c>
      <c r="G25">
        <v>7.5340063650001631E-5</v>
      </c>
      <c r="H25">
        <v>2.1342487134157E-5</v>
      </c>
      <c r="I25">
        <v>0.50611830285189063</v>
      </c>
      <c r="J25">
        <v>7012.1160291556434</v>
      </c>
      <c r="K25">
        <v>8.1232475126216917E-3</v>
      </c>
    </row>
    <row r="26" spans="1:11" x14ac:dyDescent="0.15">
      <c r="A26">
        <v>12513983.955</v>
      </c>
      <c r="B26">
        <v>601.04946712932554</v>
      </c>
      <c r="C26">
        <v>646.57200369437157</v>
      </c>
      <c r="D26">
        <v>74.210926049632405</v>
      </c>
      <c r="E26">
        <v>1512141.261000498</v>
      </c>
      <c r="F26">
        <v>2673987.8027531309</v>
      </c>
      <c r="G26">
        <v>7.5256520232777754E-5</v>
      </c>
      <c r="H26">
        <v>2.1359510422370691E-5</v>
      </c>
      <c r="I26">
        <v>0.50572077748779087</v>
      </c>
      <c r="J26">
        <v>7027.4436751982676</v>
      </c>
      <c r="K26">
        <v>8.078252900830243E-3</v>
      </c>
    </row>
    <row r="27" spans="1:11" x14ac:dyDescent="0.15">
      <c r="A27">
        <v>12582931.525</v>
      </c>
      <c r="B27">
        <v>601.4740128062333</v>
      </c>
      <c r="C27">
        <v>645.41263565235602</v>
      </c>
      <c r="D27">
        <v>74.773856362324906</v>
      </c>
      <c r="E27">
        <v>1514898.911991924</v>
      </c>
      <c r="F27">
        <v>2672412.1008509072</v>
      </c>
      <c r="G27">
        <v>7.5089732396918502E-5</v>
      </c>
      <c r="H27">
        <v>2.1393671054705828E-5</v>
      </c>
      <c r="I27">
        <v>0.50492624182719592</v>
      </c>
      <c r="J27">
        <v>7058.413148019863</v>
      </c>
      <c r="K27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1562686.9740257829</v>
      </c>
      <c r="F28">
        <v>2643264.389866509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>
        <v>14375568.345000001</v>
      </c>
      <c r="B29">
        <v>611.91386270436794</v>
      </c>
      <c r="C29">
        <v>614.64786138635702</v>
      </c>
      <c r="D29">
        <v>90.588882843330609</v>
      </c>
      <c r="E29">
        <v>1585699.5072411741</v>
      </c>
      <c r="F29">
        <v>2627949.0973156858</v>
      </c>
      <c r="G29">
        <v>7.0854881629944488E-5</v>
      </c>
      <c r="H29">
        <v>2.2346600140505721E-5</v>
      </c>
      <c r="I29">
        <v>0.48447617649609059</v>
      </c>
      <c r="J29">
        <v>8050.1582667114426</v>
      </c>
      <c r="K29">
        <v>5.8358284375620894E-3</v>
      </c>
    </row>
    <row r="30" spans="1:11" x14ac:dyDescent="0.15">
      <c r="A30">
        <v>14410042.130000001</v>
      </c>
      <c r="B30">
        <v>612.10417526659455</v>
      </c>
      <c r="C30">
        <v>614.04047527067326</v>
      </c>
      <c r="D30">
        <v>90.918182000549308</v>
      </c>
      <c r="E30">
        <v>1587051.743777507</v>
      </c>
      <c r="F30">
        <v>2627022.586135034</v>
      </c>
      <c r="G30">
        <v>7.0774633188978175E-5</v>
      </c>
      <c r="H30">
        <v>2.2366390223892932E-5</v>
      </c>
      <c r="I30">
        <v>0.4840864465582857</v>
      </c>
      <c r="J30">
        <v>8073.7157051809381</v>
      </c>
      <c r="K30">
        <v>5.7975807482611623E-3</v>
      </c>
    </row>
    <row r="31" spans="1:11" x14ac:dyDescent="0.15">
      <c r="A31">
        <v>14444515.914999999</v>
      </c>
      <c r="B31">
        <v>612.29412141213845</v>
      </c>
      <c r="C31">
        <v>613.43232402419449</v>
      </c>
      <c r="D31">
        <v>91.248555698911844</v>
      </c>
      <c r="E31">
        <v>1588403.928984249</v>
      </c>
      <c r="F31">
        <v>2626093.1345668421</v>
      </c>
      <c r="G31">
        <v>7.0694401850615891E-5</v>
      </c>
      <c r="H31">
        <v>2.2386245793773059E-5</v>
      </c>
      <c r="I31">
        <v>0.48369684775438238</v>
      </c>
      <c r="J31">
        <v>8097.4885849811244</v>
      </c>
      <c r="K31">
        <v>5.7594462826100956E-3</v>
      </c>
    </row>
    <row r="32" spans="1:11" x14ac:dyDescent="0.15">
      <c r="A32">
        <v>14478989.699999999</v>
      </c>
      <c r="B32">
        <v>612.48370255129544</v>
      </c>
      <c r="C32">
        <v>612.82339669043313</v>
      </c>
      <c r="D32">
        <v>91.580011978832957</v>
      </c>
      <c r="E32">
        <v>1589756.080898311</v>
      </c>
      <c r="F32">
        <v>2625160.726484098</v>
      </c>
      <c r="G32">
        <v>7.0614185977515193E-5</v>
      </c>
      <c r="H32">
        <v>2.2406167499944591E-5</v>
      </c>
      <c r="I32">
        <v>0.48330738078477459</v>
      </c>
      <c r="J32">
        <v>8121.4802011854345</v>
      </c>
      <c r="K32">
        <v>5.7214247636284644E-3</v>
      </c>
    </row>
    <row r="33" spans="1:11" x14ac:dyDescent="0.15">
      <c r="A33">
        <v>14513463.484999999</v>
      </c>
      <c r="B33">
        <v>612.67292008461743</v>
      </c>
      <c r="C33">
        <v>612.21368217827785</v>
      </c>
      <c r="D33">
        <v>91.91255897533145</v>
      </c>
      <c r="E33">
        <v>1591108.217691361</v>
      </c>
      <c r="F33">
        <v>2624225.3455417408</v>
      </c>
      <c r="G33">
        <v>7.053398392243067E-5</v>
      </c>
      <c r="H33">
        <v>2.2426155999369979E-5</v>
      </c>
      <c r="I33">
        <v>0.48291804642989189</v>
      </c>
      <c r="J33">
        <v>8145.6939161944201</v>
      </c>
      <c r="K33">
        <v>5.6835159172802328E-3</v>
      </c>
    </row>
    <row r="34" spans="1:11" x14ac:dyDescent="0.15">
      <c r="A34">
        <v>14547937.27</v>
      </c>
      <c r="B34">
        <v>612.8617754030106</v>
      </c>
      <c r="C34">
        <v>611.60316925921416</v>
      </c>
      <c r="D34">
        <v>92.246204919594888</v>
      </c>
      <c r="E34">
        <v>1592460.357673506</v>
      </c>
      <c r="F34">
        <v>2623286.9751734058</v>
      </c>
      <c r="G34">
        <v>7.0453794027894906E-5</v>
      </c>
      <c r="H34">
        <v>2.2446211956304489E-5</v>
      </c>
      <c r="I34">
        <v>0.482528845552468</v>
      </c>
      <c r="J34">
        <v>8170.133161316754</v>
      </c>
      <c r="K34">
        <v>5.6457194724596916E-3</v>
      </c>
    </row>
    <row r="35" spans="1:11" x14ac:dyDescent="0.15">
      <c r="A35">
        <v>14582411.055</v>
      </c>
      <c r="B35">
        <v>613.05026988781367</v>
      </c>
      <c r="C35">
        <v>610.99184656446221</v>
      </c>
      <c r="D35">
        <v>92.580958140603215</v>
      </c>
      <c r="E35">
        <v>1593812.519296919</v>
      </c>
      <c r="F35">
        <v>2622345.5985878608</v>
      </c>
      <c r="G35">
        <v>7.0373614625891007E-5</v>
      </c>
      <c r="H35">
        <v>2.2466336042427339E-5</v>
      </c>
      <c r="I35">
        <v>0.48213977909987099</v>
      </c>
      <c r="J35">
        <v>8194.8014383951322</v>
      </c>
      <c r="K35">
        <v>5.6080351609815058E-3</v>
      </c>
    </row>
    <row r="36" spans="1:11" x14ac:dyDescent="0.15">
      <c r="A36">
        <v>14651358.625</v>
      </c>
      <c r="B36">
        <v>613.42618183469449</v>
      </c>
      <c r="C36">
        <v>609.76672565409854</v>
      </c>
      <c r="D36">
        <v>93.253820227631977</v>
      </c>
      <c r="E36">
        <v>1596516.982009178</v>
      </c>
      <c r="F36">
        <v>2620453.758454822</v>
      </c>
      <c r="G36">
        <v>7.0213280572698186E-5</v>
      </c>
      <c r="H36">
        <v>2.2506791326882159E-5</v>
      </c>
      <c r="I36">
        <v>0.48136205369642571</v>
      </c>
      <c r="J36">
        <v>8244.8394584875186</v>
      </c>
      <c r="K36">
        <v>5.5330018798425981E-3</v>
      </c>
    </row>
    <row r="37" spans="1:11" x14ac:dyDescent="0.15">
      <c r="A37">
        <v>14927148.904999999</v>
      </c>
      <c r="B37">
        <v>614.9156661127455</v>
      </c>
      <c r="C37">
        <v>604.83147460894611</v>
      </c>
      <c r="D37">
        <v>95.99129627600891</v>
      </c>
      <c r="E37">
        <v>1607339.4945123671</v>
      </c>
      <c r="F37">
        <v>2612762.6286267582</v>
      </c>
      <c r="G37">
        <v>6.9572022522881486E-5</v>
      </c>
      <c r="H37">
        <v>2.267147736390745E-5</v>
      </c>
      <c r="I37">
        <v>0.47825678197067412</v>
      </c>
      <c r="J37">
        <v>8454.9052671850641</v>
      </c>
      <c r="K37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</v>
      </c>
      <c r="F38">
        <v>2610697.118738072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5.1603660687177984E-3</v>
      </c>
    </row>
    <row r="39" spans="1:11" x14ac:dyDescent="0.15">
      <c r="A39">
        <v>15202939.185000001</v>
      </c>
      <c r="B39">
        <v>616.38298773795884</v>
      </c>
      <c r="C39">
        <v>599.83568684708052</v>
      </c>
      <c r="D39">
        <v>98.805986990565799</v>
      </c>
      <c r="E39">
        <v>1618177.117580774</v>
      </c>
      <c r="F39">
        <v>2604866.1696356409</v>
      </c>
      <c r="G39">
        <v>6.893020605980822E-5</v>
      </c>
      <c r="H39">
        <v>2.284103358945794E-5</v>
      </c>
      <c r="I39">
        <v>0.47516122635885782</v>
      </c>
      <c r="J39">
        <v>8682.4563332685593</v>
      </c>
      <c r="K39">
        <v>4.9486038322964464E-3</v>
      </c>
    </row>
    <row r="40" spans="1:11" x14ac:dyDescent="0.15">
      <c r="A40">
        <v>15237412.970000001</v>
      </c>
      <c r="B40">
        <v>616.56487672022718</v>
      </c>
      <c r="C40">
        <v>599.20660938046922</v>
      </c>
      <c r="D40">
        <v>99.163504111451545</v>
      </c>
      <c r="E40">
        <v>1619533.414090933</v>
      </c>
      <c r="F40">
        <v>2603864.1573589249</v>
      </c>
      <c r="G40">
        <v>6.8849892577692534E-5</v>
      </c>
      <c r="H40">
        <v>2.2862590685604771E-5</v>
      </c>
      <c r="I40">
        <v>0.47477502658162218</v>
      </c>
      <c r="J40">
        <v>8712.2487597525196</v>
      </c>
      <c r="K40">
        <v>4.9130029103202051E-3</v>
      </c>
    </row>
    <row r="41" spans="1:11" x14ac:dyDescent="0.15">
      <c r="A41">
        <v>16409521.66</v>
      </c>
      <c r="B41">
        <v>622.55717842585057</v>
      </c>
      <c r="C41">
        <v>577.06923612188393</v>
      </c>
      <c r="D41">
        <v>112.17033955473801</v>
      </c>
      <c r="E41">
        <v>1666062.1825179111</v>
      </c>
      <c r="F41">
        <v>2567609.160161545</v>
      </c>
      <c r="G41">
        <v>6.6089994477805278E-5</v>
      </c>
      <c r="H41">
        <v>2.3651444847865129E-5</v>
      </c>
      <c r="I41">
        <v>0.46178151866568262</v>
      </c>
      <c r="J41">
        <v>9956.6215657984085</v>
      </c>
      <c r="K41">
        <v>3.7652331796772971E-3</v>
      </c>
    </row>
    <row r="42" spans="1:11" x14ac:dyDescent="0.15">
      <c r="A42">
        <v>16512943.015000001</v>
      </c>
      <c r="B42">
        <v>623.06876481641166</v>
      </c>
      <c r="C42">
        <v>575.03240959954769</v>
      </c>
      <c r="D42">
        <v>113.4071254865684</v>
      </c>
      <c r="E42">
        <v>1670225.6027112231</v>
      </c>
      <c r="F42">
        <v>2564185.687557247</v>
      </c>
      <c r="G42">
        <v>6.5842090570695716E-5</v>
      </c>
      <c r="H42">
        <v>2.372703712674797E-5</v>
      </c>
      <c r="I42">
        <v>0.46065294069691948</v>
      </c>
      <c r="J42">
        <v>10093.6783111325</v>
      </c>
      <c r="K42">
        <v>3.6696905670353928E-3</v>
      </c>
    </row>
    <row r="43" spans="1:11" x14ac:dyDescent="0.15">
      <c r="A43">
        <v>16547416.800000001</v>
      </c>
      <c r="B43">
        <v>623.23870133313642</v>
      </c>
      <c r="C43">
        <v>574.34988711113044</v>
      </c>
      <c r="D43">
        <v>113.8230037101513</v>
      </c>
      <c r="E43">
        <v>1671616.280799323</v>
      </c>
      <c r="F43">
        <v>2563035.5779140079</v>
      </c>
      <c r="G43">
        <v>6.5759231557403181E-5</v>
      </c>
      <c r="H43">
        <v>2.3752482411014488E-5</v>
      </c>
      <c r="I43">
        <v>0.46027765484939748</v>
      </c>
      <c r="J43">
        <v>10140.600460117181</v>
      </c>
      <c r="K43">
        <v>3.638046158632387E-3</v>
      </c>
    </row>
    <row r="44" spans="1:11" x14ac:dyDescent="0.15">
      <c r="A44">
        <v>16581890.585000001</v>
      </c>
      <c r="B44">
        <v>623.40834329200698</v>
      </c>
      <c r="C44">
        <v>573.66553119769708</v>
      </c>
      <c r="D44">
        <v>114.2407208927054</v>
      </c>
      <c r="E44">
        <v>1673008.452885706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3.6065031383353341E-3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</v>
      </c>
      <c r="E45">
        <v>1674402.154677412</v>
      </c>
      <c r="F45">
        <v>2560721.691284928</v>
      </c>
      <c r="G45">
        <v>6.559315938668894E-5</v>
      </c>
      <c r="H45">
        <v>2.380375376834677E-5</v>
      </c>
      <c r="I45">
        <v>0.45952852946905182</v>
      </c>
      <c r="J45">
        <v>10236.37466877429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</v>
      </c>
      <c r="E46">
        <v>1674402.154677412</v>
      </c>
      <c r="F46">
        <v>2560721.691284928</v>
      </c>
      <c r="G46">
        <v>6.559315938668894E-5</v>
      </c>
      <c r="H46">
        <v>2.380375376834677E-5</v>
      </c>
      <c r="I46">
        <v>0.45952852946905182</v>
      </c>
      <c r="J46">
        <v>10236.37466877429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</v>
      </c>
      <c r="E47">
        <v>1675797.422369329</v>
      </c>
      <c r="F47">
        <v>2559557.8321399409</v>
      </c>
      <c r="G47">
        <v>6.5509940250288218E-5</v>
      </c>
      <c r="H47">
        <v>2.3829582904311091E-5</v>
      </c>
      <c r="I47">
        <v>0.45915472043015881</v>
      </c>
      <c r="J47">
        <v>10285.25280614435</v>
      </c>
      <c r="K47">
        <v>3.5437208597502239E-3</v>
      </c>
    </row>
    <row r="48" spans="1:11" x14ac:dyDescent="0.15">
      <c r="A48">
        <v>16719785.725</v>
      </c>
      <c r="B48">
        <v>624.08398426992824</v>
      </c>
      <c r="C48">
        <v>570.9092360058894</v>
      </c>
      <c r="D48">
        <v>115.9303632899213</v>
      </c>
      <c r="E48">
        <v>1678592.8027206571</v>
      </c>
      <c r="F48">
        <v>2557216.0713552921</v>
      </c>
      <c r="G48">
        <v>6.5343120666275665E-5</v>
      </c>
      <c r="H48">
        <v>2.3881635703930669E-5</v>
      </c>
      <c r="I48">
        <v>0.45840868995416201</v>
      </c>
      <c r="J48">
        <v>10385.058717031259</v>
      </c>
      <c r="K48">
        <v>3.4813429573410928E-3</v>
      </c>
    </row>
    <row r="49" spans="1:11" x14ac:dyDescent="0.15">
      <c r="A49">
        <v>17236893.2329209</v>
      </c>
      <c r="B49">
        <v>626.57723583796803</v>
      </c>
      <c r="C49">
        <v>560.26337686439001</v>
      </c>
      <c r="D49">
        <v>122.583590976701</v>
      </c>
      <c r="E49">
        <v>1699798.64659754</v>
      </c>
      <c r="F49">
        <v>2538890.6454807199</v>
      </c>
      <c r="G49">
        <v>6.4066005508525405E-5</v>
      </c>
      <c r="H49">
        <v>2.4290890628326198E-5</v>
      </c>
      <c r="I49">
        <v>0.452884810527584</v>
      </c>
      <c r="J49">
        <v>11219.515372648901</v>
      </c>
      <c r="K49">
        <v>3.02925386118211E-3</v>
      </c>
    </row>
    <row r="50" spans="1:11" x14ac:dyDescent="0.15">
      <c r="A50">
        <v>18960582.556212999</v>
      </c>
      <c r="B50">
        <v>634.44823391832597</v>
      </c>
      <c r="C50">
        <v>520.38377569771103</v>
      </c>
      <c r="D50">
        <v>149.14958101226799</v>
      </c>
      <c r="E50">
        <v>1775044.0267545299</v>
      </c>
      <c r="F50">
        <v>2467301.6327637699</v>
      </c>
      <c r="G50">
        <v>5.9480773118925399E-5</v>
      </c>
      <c r="H50">
        <v>2.5972810943896E-5</v>
      </c>
      <c r="I50">
        <v>0.43661798563056398</v>
      </c>
      <c r="J50">
        <v>16063.580349286</v>
      </c>
      <c r="K50">
        <v>1.6624879026359001E-3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317</v>
      </c>
      <c r="B1" s="31" t="s">
        <v>318</v>
      </c>
      <c r="D1" s="32" t="s">
        <v>315</v>
      </c>
    </row>
    <row r="2" spans="1:4" x14ac:dyDescent="0.15">
      <c r="A2">
        <v>278</v>
      </c>
      <c r="B2">
        <v>4205.4014337612389</v>
      </c>
      <c r="D2" t="s">
        <v>319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4182.3214473299086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4179.4042320963244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4180.7757977392284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4181.3031131882544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4185.7893369592784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2077.3083736010271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2050.6859777202048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2044.6888688498429</v>
      </c>
    </row>
    <row r="107" spans="1:2" x14ac:dyDescent="0.15">
      <c r="A107">
        <v>383</v>
      </c>
      <c r="B107">
        <v>2041.8878392011909</v>
      </c>
    </row>
    <row r="108" spans="1:2" x14ac:dyDescent="0.15">
      <c r="A108">
        <v>384</v>
      </c>
      <c r="B108">
        <v>2039.205646139779</v>
      </c>
    </row>
    <row r="109" spans="1:2" x14ac:dyDescent="0.15">
      <c r="A109">
        <v>385</v>
      </c>
      <c r="B109">
        <v>2036.634045310466</v>
      </c>
    </row>
    <row r="110" spans="1:2" x14ac:dyDescent="0.15">
      <c r="A110">
        <v>386</v>
      </c>
      <c r="B110">
        <v>2034.1657227717569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2029.5135700333981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</v>
      </c>
    </row>
    <row r="115" spans="1:2" x14ac:dyDescent="0.15">
      <c r="A115">
        <v>391</v>
      </c>
      <c r="B115">
        <v>2023.167962175012</v>
      </c>
    </row>
    <row r="116" spans="1:2" x14ac:dyDescent="0.15">
      <c r="A116">
        <v>392</v>
      </c>
      <c r="B116">
        <v>2021.204001428619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2012.3672191290821</v>
      </c>
    </row>
    <row r="122" spans="1:2" x14ac:dyDescent="0.15">
      <c r="A122">
        <v>398</v>
      </c>
      <c r="B122">
        <v>2010.7775806914931</v>
      </c>
    </row>
    <row r="123" spans="1:2" x14ac:dyDescent="0.15">
      <c r="A123">
        <v>399</v>
      </c>
      <c r="B123">
        <v>2009.241820218688</v>
      </c>
    </row>
    <row r="124" spans="1:2" x14ac:dyDescent="0.15">
      <c r="A124">
        <v>400</v>
      </c>
      <c r="B124">
        <v>2007.757960854688</v>
      </c>
    </row>
    <row r="125" spans="1:2" x14ac:dyDescent="0.15">
      <c r="A125">
        <v>401</v>
      </c>
      <c r="B125">
        <v>2006.324155064246</v>
      </c>
    </row>
    <row r="126" spans="1:2" x14ac:dyDescent="0.15">
      <c r="A126">
        <v>402</v>
      </c>
      <c r="B126">
        <v>2004.938671082972</v>
      </c>
    </row>
    <row r="127" spans="1:2" x14ac:dyDescent="0.15">
      <c r="A127">
        <v>403</v>
      </c>
      <c r="B127">
        <v>2003.5998811205141</v>
      </c>
    </row>
    <row r="128" spans="1:2" x14ac:dyDescent="0.15">
      <c r="A128">
        <v>404</v>
      </c>
      <c r="B128">
        <v>2002.3062510722691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1998.6822035703219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1996.4673200155239</v>
      </c>
    </row>
    <row r="134" spans="1:2" x14ac:dyDescent="0.15">
      <c r="A134">
        <v>410</v>
      </c>
      <c r="B134">
        <v>1995.416676021483</v>
      </c>
    </row>
    <row r="135" spans="1:2" x14ac:dyDescent="0.15">
      <c r="A135">
        <v>411</v>
      </c>
      <c r="B135">
        <v>1994.402444829765</v>
      </c>
    </row>
    <row r="136" spans="1:2" x14ac:dyDescent="0.15">
      <c r="A136">
        <v>412</v>
      </c>
      <c r="B136">
        <v>1993.423595451799</v>
      </c>
    </row>
    <row r="137" spans="1:2" x14ac:dyDescent="0.15">
      <c r="A137">
        <v>413</v>
      </c>
      <c r="B137">
        <v>1992.4791394956151</v>
      </c>
    </row>
    <row r="138" spans="1:2" x14ac:dyDescent="0.15">
      <c r="A138">
        <v>414</v>
      </c>
      <c r="B138">
        <v>1991.5681282184551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1989.8428274174389</v>
      </c>
    </row>
    <row r="141" spans="1:2" x14ac:dyDescent="0.15">
      <c r="A141">
        <v>417</v>
      </c>
      <c r="B141">
        <v>1989.0268162265329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1987.484000551226</v>
      </c>
    </row>
    <row r="144" spans="1:2" x14ac:dyDescent="0.15">
      <c r="A144">
        <v>420</v>
      </c>
      <c r="B144">
        <v>1986.7556530139209</v>
      </c>
    </row>
    <row r="145" spans="1:2" x14ac:dyDescent="0.15">
      <c r="A145">
        <v>421</v>
      </c>
      <c r="B145">
        <v>1986.0550276201629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1984.1125235290201</v>
      </c>
    </row>
    <row r="149" spans="1:2" x14ac:dyDescent="0.15">
      <c r="A149">
        <v>425</v>
      </c>
      <c r="B149">
        <v>1983.5159379371109</v>
      </c>
    </row>
    <row r="150" spans="1:2" x14ac:dyDescent="0.15">
      <c r="A150">
        <v>426</v>
      </c>
      <c r="B150">
        <v>1982.943758489427</v>
      </c>
    </row>
    <row r="151" spans="1:2" x14ac:dyDescent="0.15">
      <c r="A151">
        <v>427</v>
      </c>
      <c r="B151">
        <v>1982.395383618501</v>
      </c>
    </row>
    <row r="152" spans="1:2" x14ac:dyDescent="0.15">
      <c r="A152">
        <v>428</v>
      </c>
      <c r="B152">
        <v>1981.870230227627</v>
      </c>
    </row>
    <row r="153" spans="1:2" x14ac:dyDescent="0.15">
      <c r="A153">
        <v>429</v>
      </c>
      <c r="B153">
        <v>1981.3677329232221</v>
      </c>
    </row>
    <row r="154" spans="1:2" x14ac:dyDescent="0.15">
      <c r="A154">
        <v>430</v>
      </c>
      <c r="B154">
        <v>1980.8873432967459</v>
      </c>
    </row>
    <row r="155" spans="1:2" x14ac:dyDescent="0.15">
      <c r="A155">
        <v>431</v>
      </c>
      <c r="B155">
        <v>1980.428529251421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1979.5735773161321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1978.7989234277579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1978.1008379425059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1977.4757995197001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1976.920480908439</v>
      </c>
    </row>
    <row r="166" spans="1:2" x14ac:dyDescent="0.15">
      <c r="A166">
        <v>442</v>
      </c>
      <c r="B166">
        <v>1976.667976637726</v>
      </c>
    </row>
    <row r="167" spans="1:2" x14ac:dyDescent="0.15">
      <c r="A167">
        <v>443</v>
      </c>
      <c r="B167">
        <v>1976.4317360415509</v>
      </c>
    </row>
    <row r="168" spans="1:2" x14ac:dyDescent="0.15">
      <c r="A168">
        <v>444</v>
      </c>
      <c r="B168">
        <v>1976.21139223972</v>
      </c>
    </row>
    <row r="169" spans="1:2" x14ac:dyDescent="0.15">
      <c r="A169">
        <v>445</v>
      </c>
      <c r="B169">
        <v>1976.0065882587189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1975.0852812489779</v>
      </c>
    </row>
    <row r="176" spans="1:2" x14ac:dyDescent="0.15">
      <c r="A176">
        <v>452</v>
      </c>
      <c r="B176">
        <v>1974.9800295804421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1974.8082612821579</v>
      </c>
    </row>
    <row r="179" spans="1:2" x14ac:dyDescent="0.15">
      <c r="A179">
        <v>455</v>
      </c>
      <c r="B179">
        <v>1974.741190583738</v>
      </c>
    </row>
    <row r="180" spans="1:2" x14ac:dyDescent="0.15">
      <c r="A180">
        <v>456</v>
      </c>
      <c r="B180">
        <v>1974.686304658994</v>
      </c>
    </row>
    <row r="181" spans="1:2" x14ac:dyDescent="0.15">
      <c r="A181">
        <v>457</v>
      </c>
      <c r="B181">
        <v>1974.6433439360651</v>
      </c>
    </row>
    <row r="182" spans="1:2" x14ac:dyDescent="0.15">
      <c r="A182">
        <v>458</v>
      </c>
      <c r="B182">
        <v>1974.6120554591371</v>
      </c>
    </row>
    <row r="183" spans="1:2" x14ac:dyDescent="0.15">
      <c r="A183">
        <v>459</v>
      </c>
      <c r="B183">
        <v>1974.592192694415</v>
      </c>
    </row>
    <row r="184" spans="1:2" x14ac:dyDescent="0.15">
      <c r="A184">
        <v>460</v>
      </c>
      <c r="B184">
        <v>1974.5835153427131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1974.622282532501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1974.699913415338</v>
      </c>
    </row>
    <row r="190" spans="1:2" x14ac:dyDescent="0.15">
      <c r="A190">
        <v>466</v>
      </c>
      <c r="B190">
        <v>1974.753629325189</v>
      </c>
    </row>
    <row r="191" spans="1:2" x14ac:dyDescent="0.15">
      <c r="A191">
        <v>467</v>
      </c>
      <c r="B191">
        <v>1974.817008646819</v>
      </c>
    </row>
    <row r="192" spans="1:2" x14ac:dyDescent="0.15">
      <c r="A192">
        <v>468</v>
      </c>
      <c r="B192">
        <v>1974.889854919455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1975.0631863618171</v>
      </c>
    </row>
    <row r="195" spans="1:2" x14ac:dyDescent="0.15">
      <c r="A195">
        <v>471</v>
      </c>
      <c r="B195">
        <v>1975.163302098515</v>
      </c>
    </row>
    <row r="196" spans="1:2" x14ac:dyDescent="0.15">
      <c r="A196">
        <v>472</v>
      </c>
      <c r="B196">
        <v>1975.272145664185</v>
      </c>
    </row>
    <row r="197" spans="1:2" x14ac:dyDescent="0.15">
      <c r="A197">
        <v>473</v>
      </c>
      <c r="B197">
        <v>1975.3895433183341</v>
      </c>
    </row>
    <row r="198" spans="1:2" x14ac:dyDescent="0.15">
      <c r="A198">
        <v>474</v>
      </c>
      <c r="B198">
        <v>1975.515325494343</v>
      </c>
    </row>
    <row r="199" spans="1:2" x14ac:dyDescent="0.15">
      <c r="A199">
        <v>475</v>
      </c>
      <c r="B199">
        <v>1975.649326684977</v>
      </c>
    </row>
    <row r="200" spans="1:2" x14ac:dyDescent="0.15">
      <c r="A200">
        <v>476</v>
      </c>
      <c r="B200">
        <v>1975.7913853314531</v>
      </c>
    </row>
    <row r="201" spans="1:2" x14ac:dyDescent="0.15">
      <c r="A201">
        <v>477</v>
      </c>
      <c r="B201">
        <v>1975.9413437159269</v>
      </c>
    </row>
    <row r="202" spans="1:2" x14ac:dyDescent="0.15">
      <c r="A202">
        <v>478</v>
      </c>
      <c r="B202">
        <v>1976.099047857291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1976.437095566899</v>
      </c>
    </row>
    <row r="205" spans="1:2" x14ac:dyDescent="0.15">
      <c r="A205">
        <v>481</v>
      </c>
      <c r="B205">
        <v>1976.61714896274</v>
      </c>
    </row>
    <row r="206" spans="1:2" x14ac:dyDescent="0.15">
      <c r="A206">
        <v>482</v>
      </c>
      <c r="B206">
        <v>1976.804367583615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</v>
      </c>
    </row>
    <row r="209" spans="1:2" x14ac:dyDescent="0.15">
      <c r="A209">
        <v>485</v>
      </c>
      <c r="B209">
        <v>1977.4076630599129</v>
      </c>
    </row>
    <row r="210" spans="1:2" x14ac:dyDescent="0.15">
      <c r="A210">
        <v>486</v>
      </c>
      <c r="B210">
        <v>1977.6222063846831</v>
      </c>
    </row>
    <row r="211" spans="1:2" x14ac:dyDescent="0.15">
      <c r="A211">
        <v>487</v>
      </c>
      <c r="B211">
        <v>1977.843262091204</v>
      </c>
    </row>
    <row r="212" spans="1:2" x14ac:dyDescent="0.15">
      <c r="A212">
        <v>488</v>
      </c>
      <c r="B212">
        <v>1978.0707084850219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1978.5443003785581</v>
      </c>
    </row>
    <row r="215" spans="1:2" x14ac:dyDescent="0.15">
      <c r="A215">
        <v>491</v>
      </c>
      <c r="B215">
        <v>1978.790216096369</v>
      </c>
    </row>
    <row r="216" spans="1:2" x14ac:dyDescent="0.15">
      <c r="A216">
        <v>492</v>
      </c>
      <c r="B216">
        <v>1979.042062799314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1979.5631175878709</v>
      </c>
    </row>
    <row r="219" spans="1:2" x14ac:dyDescent="0.15">
      <c r="A219">
        <v>495</v>
      </c>
      <c r="B219">
        <v>1979.832115919121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1980.6717847570301</v>
      </c>
    </row>
    <row r="223" spans="1:2" x14ac:dyDescent="0.15">
      <c r="A223">
        <v>499</v>
      </c>
      <c r="B223">
        <v>1980.962242528725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1981.5584509720779</v>
      </c>
    </row>
    <row r="226" spans="1:2" x14ac:dyDescent="0.15">
      <c r="A226">
        <v>502</v>
      </c>
      <c r="B226">
        <v>1981.86402232818</v>
      </c>
    </row>
    <row r="227" spans="1:2" x14ac:dyDescent="0.15">
      <c r="A227">
        <v>503</v>
      </c>
      <c r="B227">
        <v>1982.174455490491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1982.8095697143699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1983.4631367481361</v>
      </c>
    </row>
    <row r="232" spans="1:2" x14ac:dyDescent="0.15">
      <c r="A232">
        <v>508</v>
      </c>
      <c r="B232">
        <v>1983.796642493259</v>
      </c>
    </row>
    <row r="233" spans="1:2" x14ac:dyDescent="0.15">
      <c r="A233">
        <v>509</v>
      </c>
      <c r="B233">
        <v>1984.134527734717</v>
      </c>
    </row>
    <row r="234" spans="1:2" x14ac:dyDescent="0.15">
      <c r="A234">
        <v>510</v>
      </c>
      <c r="B234">
        <v>1984.476718023772</v>
      </c>
    </row>
    <row r="235" spans="1:2" x14ac:dyDescent="0.15">
      <c r="A235">
        <v>511</v>
      </c>
      <c r="B235">
        <v>1984.8231404985261</v>
      </c>
    </row>
    <row r="236" spans="1:2" x14ac:dyDescent="0.15">
      <c r="A236">
        <v>512</v>
      </c>
      <c r="B236">
        <v>1985.1737238454839</v>
      </c>
    </row>
    <row r="237" spans="1:2" x14ac:dyDescent="0.15">
      <c r="A237">
        <v>513</v>
      </c>
      <c r="B237">
        <v>1985.528398262152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1986.2497484323681</v>
      </c>
    </row>
    <row r="240" spans="1:2" x14ac:dyDescent="0.15">
      <c r="A240">
        <v>516</v>
      </c>
      <c r="B240">
        <v>1986.6162918134189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1987.36079457196</v>
      </c>
    </row>
    <row r="243" spans="1:2" x14ac:dyDescent="0.15">
      <c r="A243">
        <v>519</v>
      </c>
      <c r="B243">
        <v>1987.7386297085909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1988.505166511954</v>
      </c>
    </row>
    <row r="246" spans="1:2" x14ac:dyDescent="0.15">
      <c r="A246">
        <v>522</v>
      </c>
      <c r="B246">
        <v>1988.89375150553</v>
      </c>
    </row>
    <row r="247" spans="1:2" x14ac:dyDescent="0.15">
      <c r="A247">
        <v>523</v>
      </c>
      <c r="B247">
        <v>1989.2858051109531</v>
      </c>
    </row>
    <row r="248" spans="1:2" x14ac:dyDescent="0.15">
      <c r="A248">
        <v>524</v>
      </c>
      <c r="B248">
        <v>1989.6812719486879</v>
      </c>
    </row>
    <row r="249" spans="1:2" x14ac:dyDescent="0.15">
      <c r="A249">
        <v>525</v>
      </c>
      <c r="B249">
        <v>1990.080097772649</v>
      </c>
    </row>
    <row r="250" spans="1:2" x14ac:dyDescent="0.15">
      <c r="A250">
        <v>526</v>
      </c>
      <c r="B250">
        <v>1990.4822294438979</v>
      </c>
    </row>
    <row r="251" spans="1:2" x14ac:dyDescent="0.15">
      <c r="A251">
        <v>527</v>
      </c>
      <c r="B251">
        <v>1990.88761490502</v>
      </c>
    </row>
    <row r="252" spans="1:2" x14ac:dyDescent="0.15">
      <c r="A252">
        <v>528</v>
      </c>
      <c r="B252">
        <v>1991.296203155174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1993.385472161352</v>
      </c>
    </row>
    <row r="258" spans="1:2" x14ac:dyDescent="0.15">
      <c r="A258">
        <v>534</v>
      </c>
      <c r="B258">
        <v>1993.812262311013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1994.6744194446201</v>
      </c>
    </row>
    <row r="261" spans="1:2" x14ac:dyDescent="0.15">
      <c r="A261">
        <v>537</v>
      </c>
      <c r="B261">
        <v>1995.109700542125</v>
      </c>
    </row>
    <row r="262" spans="1:2" x14ac:dyDescent="0.15">
      <c r="A262">
        <v>538</v>
      </c>
      <c r="B262">
        <v>1995.547727481535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1996.431856276648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</v>
      </c>
    </row>
    <row r="267" spans="1:2" x14ac:dyDescent="0.15">
      <c r="A267">
        <v>543</v>
      </c>
      <c r="B267">
        <v>1997.7776476730619</v>
      </c>
    </row>
    <row r="268" spans="1:2" x14ac:dyDescent="0.15">
      <c r="A268">
        <v>544</v>
      </c>
      <c r="B268">
        <v>1998.231319228463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1999.6070489107631</v>
      </c>
    </row>
    <row r="272" spans="1:2" x14ac:dyDescent="0.15">
      <c r="A272">
        <v>548</v>
      </c>
      <c r="B272">
        <v>2000.070414104428</v>
      </c>
    </row>
    <row r="273" spans="1:2" x14ac:dyDescent="0.15">
      <c r="A273">
        <v>549</v>
      </c>
      <c r="B273">
        <v>2000.536117100449</v>
      </c>
    </row>
    <row r="274" spans="1:2" x14ac:dyDescent="0.15">
      <c r="A274">
        <v>550</v>
      </c>
      <c r="B274">
        <v>2001.00412496321</v>
      </c>
    </row>
    <row r="275" spans="1:2" x14ac:dyDescent="0.15">
      <c r="A275">
        <v>551</v>
      </c>
      <c r="B275">
        <v>2001.474405386022</v>
      </c>
    </row>
    <row r="276" spans="1:2" x14ac:dyDescent="0.15">
      <c r="A276">
        <v>552</v>
      </c>
      <c r="B276">
        <v>2001.946926677542</v>
      </c>
    </row>
    <row r="277" spans="1:2" x14ac:dyDescent="0.15">
      <c r="A277">
        <v>553</v>
      </c>
      <c r="B277">
        <v>2002.421657748527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</v>
      </c>
    </row>
    <row r="280" spans="1:2" x14ac:dyDescent="0.15">
      <c r="A280">
        <v>556</v>
      </c>
      <c r="B280">
        <v>2003.858807507979</v>
      </c>
    </row>
    <row r="281" spans="1:2" x14ac:dyDescent="0.15">
      <c r="A281">
        <v>557</v>
      </c>
      <c r="B281">
        <v>2004.3420784002949</v>
      </c>
    </row>
    <row r="282" spans="1:2" x14ac:dyDescent="0.15">
      <c r="A282">
        <v>558</v>
      </c>
      <c r="B282">
        <v>2004.827412215476</v>
      </c>
    </row>
    <row r="283" spans="1:2" x14ac:dyDescent="0.15">
      <c r="A283">
        <v>559</v>
      </c>
      <c r="B283">
        <v>2005.3147812158979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2006.2955164000859</v>
      </c>
    </row>
    <row r="286" spans="1:2" x14ac:dyDescent="0.15">
      <c r="A286">
        <v>562</v>
      </c>
      <c r="B286">
        <v>2006.788829654183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2008.2802446895801</v>
      </c>
    </row>
    <row r="290" spans="1:2" x14ac:dyDescent="0.15">
      <c r="A290">
        <v>566</v>
      </c>
      <c r="B290">
        <v>2008.781125483722</v>
      </c>
    </row>
    <row r="291" spans="1:2" x14ac:dyDescent="0.15">
      <c r="A291">
        <v>567</v>
      </c>
      <c r="B291">
        <v>2009.283837316575</v>
      </c>
    </row>
    <row r="292" spans="1:2" x14ac:dyDescent="0.15">
      <c r="A292">
        <v>568</v>
      </c>
      <c r="B292">
        <v>2009.788356738017</v>
      </c>
    </row>
    <row r="293" spans="1:2" x14ac:dyDescent="0.15">
      <c r="A293">
        <v>569</v>
      </c>
      <c r="B293">
        <v>2010.2946607260481</v>
      </c>
    </row>
    <row r="294" spans="1:2" x14ac:dyDescent="0.15">
      <c r="A294">
        <v>570</v>
      </c>
      <c r="B294">
        <v>2010.802726677935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2011.8240561069961</v>
      </c>
    </row>
    <row r="297" spans="1:2" x14ac:dyDescent="0.15">
      <c r="A297">
        <v>573</v>
      </c>
      <c r="B297">
        <v>2012.3372763981799</v>
      </c>
    </row>
    <row r="298" spans="1:2" x14ac:dyDescent="0.15">
      <c r="A298">
        <v>574</v>
      </c>
      <c r="B298">
        <v>2012.85217226491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2013.886908566127</v>
      </c>
    </row>
    <row r="301" spans="1:2" x14ac:dyDescent="0.15">
      <c r="A301">
        <v>577</v>
      </c>
      <c r="B301">
        <v>2014.4067088391921</v>
      </c>
    </row>
    <row r="302" spans="1:2" x14ac:dyDescent="0.15">
      <c r="A302">
        <v>578</v>
      </c>
      <c r="B302">
        <v>2014.9281043500371</v>
      </c>
    </row>
    <row r="303" spans="1:2" x14ac:dyDescent="0.15">
      <c r="A303">
        <v>579</v>
      </c>
      <c r="B303">
        <v>2015.451075902693</v>
      </c>
    </row>
    <row r="304" spans="1:2" x14ac:dyDescent="0.15">
      <c r="A304">
        <v>580</v>
      </c>
      <c r="B304">
        <v>2015.9756046422351</v>
      </c>
    </row>
    <row r="305" spans="1:2" x14ac:dyDescent="0.15">
      <c r="A305">
        <v>581</v>
      </c>
      <c r="B305">
        <v>2016.501672047895</v>
      </c>
    </row>
    <row r="306" spans="1:2" x14ac:dyDescent="0.15">
      <c r="A306">
        <v>582</v>
      </c>
      <c r="B306">
        <v>2017.029259926315</v>
      </c>
    </row>
    <row r="307" spans="1:2" x14ac:dyDescent="0.15">
      <c r="A307">
        <v>583</v>
      </c>
      <c r="B307">
        <v>2017.558350404955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2018.6209692382911</v>
      </c>
    </row>
    <row r="310" spans="1:2" x14ac:dyDescent="0.15">
      <c r="A310">
        <v>586</v>
      </c>
      <c r="B310">
        <v>2019.1544633946751</v>
      </c>
    </row>
    <row r="311" spans="1:2" x14ac:dyDescent="0.15">
      <c r="A311">
        <v>587</v>
      </c>
      <c r="B311">
        <v>2019.68939174245</v>
      </c>
    </row>
    <row r="312" spans="1:2" x14ac:dyDescent="0.15">
      <c r="A312">
        <v>588</v>
      </c>
      <c r="B312">
        <v>2020.225737919224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2021.302619725441</v>
      </c>
    </row>
    <row r="315" spans="1:2" x14ac:dyDescent="0.15">
      <c r="A315">
        <v>591</v>
      </c>
      <c r="B315">
        <v>2021.8431240285099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</v>
      </c>
    </row>
    <row r="318" spans="1:2" x14ac:dyDescent="0.15">
      <c r="A318">
        <v>594</v>
      </c>
      <c r="B318">
        <v>2023.472708199444</v>
      </c>
    </row>
    <row r="319" spans="1:2" x14ac:dyDescent="0.15">
      <c r="A319">
        <v>595</v>
      </c>
      <c r="B319">
        <v>2024.01854420625</v>
      </c>
    </row>
    <row r="320" spans="1:2" x14ac:dyDescent="0.15">
      <c r="A320">
        <v>596</v>
      </c>
      <c r="B320">
        <v>2024.565676913591</v>
      </c>
    </row>
    <row r="321" spans="1:2" x14ac:dyDescent="0.15">
      <c r="A321">
        <v>597</v>
      </c>
      <c r="B321">
        <v>2025.114092323083</v>
      </c>
    </row>
    <row r="322" spans="1:2" x14ac:dyDescent="0.15">
      <c r="A322">
        <v>598</v>
      </c>
      <c r="B322">
        <v>2025.6637766737999</v>
      </c>
    </row>
    <row r="323" spans="1:2" x14ac:dyDescent="0.15">
      <c r="A323">
        <v>599</v>
      </c>
      <c r="B323">
        <v>2026.2147164376111</v>
      </c>
    </row>
    <row r="324" spans="1:2" x14ac:dyDescent="0.15">
      <c r="A324">
        <v>600</v>
      </c>
      <c r="B324">
        <v>2026.766898314622</v>
      </c>
    </row>
    <row r="325" spans="1:2" x14ac:dyDescent="0.15">
      <c r="A325">
        <v>601</v>
      </c>
      <c r="B325">
        <v>2027.3203092287181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</v>
      </c>
    </row>
    <row r="329" spans="1:2" x14ac:dyDescent="0.15">
      <c r="A329">
        <v>605</v>
      </c>
      <c r="B329">
        <v>2029.5459893235129</v>
      </c>
    </row>
    <row r="330" spans="1:2" x14ac:dyDescent="0.15">
      <c r="A330">
        <v>606</v>
      </c>
      <c r="B330">
        <v>2030.1053568125039</v>
      </c>
    </row>
    <row r="331" spans="1:2" x14ac:dyDescent="0.15">
      <c r="A331">
        <v>607</v>
      </c>
      <c r="B331">
        <v>2030.6658793426559</v>
      </c>
    </row>
    <row r="332" spans="1:2" x14ac:dyDescent="0.15">
      <c r="A332">
        <v>608</v>
      </c>
      <c r="B332">
        <v>2031.227545286858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2032.9192901791289</v>
      </c>
    </row>
    <row r="336" spans="1:2" x14ac:dyDescent="0.15">
      <c r="A336">
        <v>612</v>
      </c>
      <c r="B336">
        <v>2033.485417278207</v>
      </c>
    </row>
    <row r="337" spans="1:2" x14ac:dyDescent="0.15">
      <c r="A337">
        <v>613</v>
      </c>
      <c r="B337">
        <v>2034.052632451554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CpMid"/>
  <dimension ref="A1:E337"/>
  <sheetViews>
    <sheetView workbookViewId="0">
      <pane ySplit="1" topLeftCell="A83" activePane="bottomLeft" state="frozen"/>
      <selection pane="bottomLeft" activeCell="E119" sqref="E119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317</v>
      </c>
      <c r="B1" s="31" t="s">
        <v>318</v>
      </c>
      <c r="D1" s="32" t="s">
        <v>315</v>
      </c>
    </row>
    <row r="2" spans="1:4" x14ac:dyDescent="0.15">
      <c r="A2">
        <v>278</v>
      </c>
      <c r="B2">
        <v>4176.5923150780054</v>
      </c>
      <c r="D2" t="s">
        <v>319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4167.1037489620476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4161.5057159467106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4162.5355172039845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4168.9324604938774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4175.7956137265564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4182.5664722654456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4187.3549750169204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4193.7212530959814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4226.2422858633136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4283.6051221178896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4307.0441823656274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4418.4103878472106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4436.0433651972426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4484.5899476329814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4511.5093584007554</v>
      </c>
    </row>
    <row r="207" spans="1:2" x14ac:dyDescent="0.15">
      <c r="A207">
        <v>483</v>
      </c>
      <c r="B207">
        <v>4517.1244468111036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4597.9919227238825</v>
      </c>
    </row>
    <row r="221" spans="1:2" x14ac:dyDescent="0.15">
      <c r="A221">
        <v>497</v>
      </c>
      <c r="B221">
        <v>4604.8781166479685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4671.8438258887354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4767.9726558305356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5138.8466351934376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5173.9562635752554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4646.3992007934175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4458.7495777867334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4113.1720760271364</v>
      </c>
    </row>
    <row r="302" spans="1:2" x14ac:dyDescent="0.15">
      <c r="A302">
        <v>578</v>
      </c>
      <c r="B302">
        <v>4071.6586382314158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3993.2543090779391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3820.163658013927</v>
      </c>
    </row>
    <row r="310" spans="1:2" x14ac:dyDescent="0.15">
      <c r="A310">
        <v>586</v>
      </c>
      <c r="B310">
        <v>3788.9088491108619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3700.8643446777692</v>
      </c>
    </row>
    <row r="314" spans="1:2" x14ac:dyDescent="0.15">
      <c r="A314">
        <v>590</v>
      </c>
      <c r="B314">
        <v>3673.2706539292972</v>
      </c>
    </row>
    <row r="315" spans="1:2" x14ac:dyDescent="0.15">
      <c r="A315">
        <v>591</v>
      </c>
      <c r="B315">
        <v>3646.4862210576812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</v>
      </c>
    </row>
    <row r="318" spans="1:2" x14ac:dyDescent="0.15">
      <c r="A318">
        <v>594</v>
      </c>
      <c r="B318">
        <v>3570.634808091248</v>
      </c>
    </row>
    <row r="319" spans="1:2" x14ac:dyDescent="0.15">
      <c r="A319">
        <v>595</v>
      </c>
      <c r="B319">
        <v>3546.7451365352158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3478.8654265697301</v>
      </c>
    </row>
    <row r="323" spans="1:2" x14ac:dyDescent="0.15">
      <c r="A323">
        <v>599</v>
      </c>
      <c r="B323">
        <v>3457.4193697572732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3396.3142486625761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</v>
      </c>
    </row>
    <row r="330" spans="1:2" x14ac:dyDescent="0.15">
      <c r="A330">
        <v>606</v>
      </c>
      <c r="B330">
        <v>3321.6784179320789</v>
      </c>
    </row>
    <row r="331" spans="1:2" x14ac:dyDescent="0.15">
      <c r="A331">
        <v>607</v>
      </c>
      <c r="B331">
        <v>3304.128553574425</v>
      </c>
    </row>
    <row r="332" spans="1:2" x14ac:dyDescent="0.15">
      <c r="A332">
        <v>608</v>
      </c>
      <c r="B332">
        <v>3286.9924265965842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3253.9071825091642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_CpHigh"/>
  <dimension ref="A1:E337"/>
  <sheetViews>
    <sheetView workbookViewId="0">
      <pane ySplit="1" topLeftCell="A308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317</v>
      </c>
      <c r="B1" s="31" t="s">
        <v>318</v>
      </c>
      <c r="D1" s="32" t="s">
        <v>315</v>
      </c>
    </row>
    <row r="2" spans="1:4" x14ac:dyDescent="0.15">
      <c r="A2">
        <v>278</v>
      </c>
      <c r="B2">
        <v>4145.4990259833339</v>
      </c>
      <c r="D2" t="s">
        <v>319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4142.2370086486944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4141.0852015276714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4142.0757559542126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4144.6951463872456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4170.6998120113994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4172.3578139375404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4181.6060263214986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4193.8666712391296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4205.7631231769064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4221.1932488653056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4235.3791304911974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4314.4205933394114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4342.7665385510136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4393.9540723458786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4432.0770311694914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4464.9627135348464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4506.4516560336406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4577.7362404400556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4647.0567998434244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4662.1792759157915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4702.0459321509315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4727.4849324966244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4791.8077827239485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5114.8970677329826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5576.9931992977736</v>
      </c>
    </row>
    <row r="302" spans="1:2" x14ac:dyDescent="0.15">
      <c r="A302">
        <v>578</v>
      </c>
      <c r="B302">
        <v>5605.3124321390515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5664.6699509877944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5761.2488610771716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6030.7686394117154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_tm"/>
  <dimension ref="A1:BR237"/>
  <sheetViews>
    <sheetView tabSelected="1" topLeftCell="A225" zoomScaleNormal="100" workbookViewId="0">
      <selection activeCell="F234" sqref="F234"/>
    </sheetView>
  </sheetViews>
  <sheetFormatPr defaultRowHeight="13.5" x14ac:dyDescent="0.15"/>
  <cols>
    <col min="1" max="1" width="23.75" style="10" customWidth="1"/>
    <col min="2" max="2" width="10.625" style="10" customWidth="1"/>
    <col min="3" max="3" width="12.75" style="10" customWidth="1"/>
    <col min="4" max="10" width="13.875" style="10" customWidth="1"/>
    <col min="11" max="12" width="15" style="10" customWidth="1"/>
    <col min="13" max="13" width="10.625" style="10" customWidth="1"/>
    <col min="14" max="14" width="12" style="10" customWidth="1"/>
    <col min="15" max="16" width="14.25" style="10" customWidth="1"/>
    <col min="17" max="17" width="10.625" style="10" customWidth="1"/>
    <col min="18" max="18" width="14.25" style="10" customWidth="1"/>
    <col min="19" max="19" width="25.5" style="10" bestFit="1" customWidth="1"/>
    <col min="20" max="20" width="14.25" style="10" customWidth="1"/>
    <col min="21" max="21" width="15.75" style="10" customWidth="1"/>
    <col min="22" max="23" width="13.125" style="10" customWidth="1"/>
    <col min="24" max="24" width="32.125" style="10" customWidth="1"/>
    <col min="25" max="25" width="9.75" style="10" customWidth="1"/>
    <col min="26" max="26" width="32.125" style="10" customWidth="1"/>
    <col min="27" max="27" width="10.5" style="10" customWidth="1"/>
    <col min="28" max="28" width="20" style="10" customWidth="1"/>
    <col min="29" max="31" width="10.625" style="10" customWidth="1"/>
    <col min="32" max="32" width="20.625" style="10" customWidth="1"/>
    <col min="33" max="33" width="27.25" style="10" customWidth="1"/>
    <col min="34" max="38" width="20" style="10" customWidth="1"/>
    <col min="39" max="39" width="21" style="10" customWidth="1"/>
    <col min="40" max="41" width="20" style="10" customWidth="1"/>
    <col min="42" max="42" width="15.875" style="10" customWidth="1"/>
    <col min="43" max="43" width="16.5" style="10" customWidth="1"/>
    <col min="44" max="44" width="11.625" style="10" customWidth="1"/>
    <col min="45" max="45" width="18.125" style="10" customWidth="1"/>
    <col min="46" max="46" width="19.375" style="10" customWidth="1"/>
    <col min="47" max="47" width="18.125" style="10" customWidth="1"/>
    <col min="48" max="48" width="13" style="10" customWidth="1"/>
    <col min="49" max="49" width="19" style="10" customWidth="1"/>
    <col min="50" max="50" width="18.125" style="10" customWidth="1"/>
    <col min="51" max="51" width="13.75" style="10" customWidth="1"/>
    <col min="52" max="52" width="16.75" style="10" customWidth="1"/>
    <col min="53" max="53" width="12.875" style="10" bestFit="1" customWidth="1"/>
    <col min="54" max="54" width="20.625" style="10" bestFit="1" customWidth="1"/>
    <col min="55" max="55" width="13.875" style="10" customWidth="1"/>
    <col min="56" max="56" width="15.625" style="10" customWidth="1"/>
    <col min="57" max="57" width="13.875" style="10" customWidth="1"/>
    <col min="58" max="58" width="12.625" style="10" customWidth="1"/>
    <col min="59" max="60" width="9.125" style="10" bestFit="1" customWidth="1"/>
    <col min="61" max="61" width="12.875" style="10" bestFit="1" customWidth="1"/>
    <col min="62" max="62" width="9.125" style="10" bestFit="1" customWidth="1"/>
    <col min="63" max="63" width="11.5" style="10" customWidth="1"/>
    <col min="64" max="64" width="12.75" style="10" bestFit="1" customWidth="1"/>
    <col min="65" max="65" width="12.875" style="10" bestFit="1" customWidth="1"/>
    <col min="66" max="67" width="12.75" style="10" bestFit="1" customWidth="1"/>
    <col min="68" max="68" width="15.375" style="10" bestFit="1" customWidth="1"/>
    <col min="69" max="69" width="12" style="10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13" t="s">
        <v>18</v>
      </c>
      <c r="T1" s="3" t="s">
        <v>19</v>
      </c>
      <c r="U1" s="3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6" t="s">
        <v>32</v>
      </c>
      <c r="AH1" s="6" t="s">
        <v>33</v>
      </c>
      <c r="AI1" s="6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7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1" t="s">
        <v>51</v>
      </c>
      <c r="BA1" t="s">
        <v>52</v>
      </c>
      <c r="BB1" t="s">
        <v>53</v>
      </c>
      <c r="BC1" s="18" t="s">
        <v>54</v>
      </c>
      <c r="BD1" s="18" t="s">
        <v>55</v>
      </c>
      <c r="BE1" t="s">
        <v>56</v>
      </c>
      <c r="BF1" s="17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</row>
    <row r="2" spans="1:70" x14ac:dyDescent="0.15">
      <c r="A2" s="21" t="s">
        <v>70</v>
      </c>
      <c r="B2" s="22">
        <v>13789520</v>
      </c>
      <c r="C2" s="22">
        <f t="array" ref="C2">TsatFromP(テーブル2[[#This Row],[P]])</f>
        <v>608.621106065763</v>
      </c>
      <c r="D2" s="22">
        <f t="array" ref="D2">RhoGFromP(テーブル2[[#This Row],[P]])</f>
        <v>85.147893581579396</v>
      </c>
      <c r="E2" s="22">
        <f t="array" ref="E2">RhoFFromP(テーブル2[[#This Row],[P]])</f>
        <v>624.86627494838649</v>
      </c>
      <c r="F2" s="22">
        <f t="array" ref="F2">HgFromP(テーブル2[[#This Row],[P]])</f>
        <v>2643264.389866509</v>
      </c>
      <c r="G2" s="22">
        <f t="array" ref="G2">HfFromP(テーブル2[[#This Row],[P]])</f>
        <v>1562686.9740257829</v>
      </c>
      <c r="H2" s="22">
        <f t="array" ref="H2">MuGFromP(テーブル2[[#This Row],[P]])</f>
        <v>2.2019594042733509E-5</v>
      </c>
      <c r="I2" s="22">
        <f t="array" ref="I2">MuFFromP(テーブル2[[#This Row],[P]])</f>
        <v>7.2223252690249831E-5</v>
      </c>
      <c r="J2" s="22">
        <f t="array" ref="J2">KfFromP(テーブル2[[#This Row],[P]])</f>
        <v>0.4911212487937569</v>
      </c>
      <c r="K2" s="22">
        <f t="array" ref="K2">CpFFromP(テーブル2[[#This Row],[P]])</f>
        <v>7679.7516396704104</v>
      </c>
      <c r="L2" s="22">
        <f t="array" ref="L2">SigmaFromP(テーブル2[[#This Row],[P]])</f>
        <v>6.5036382888884548E-3</v>
      </c>
      <c r="M2" s="23">
        <v>1</v>
      </c>
      <c r="N2" s="22">
        <v>2440.8000000000002</v>
      </c>
      <c r="O2" s="24">
        <v>2.8502295699234241E-6</v>
      </c>
      <c r="P2" s="24">
        <v>5.9847340050885548E-3</v>
      </c>
      <c r="Q2" s="24">
        <v>1.905E-3</v>
      </c>
      <c r="R2" s="22">
        <v>0.15240000000000001</v>
      </c>
      <c r="S2" s="25">
        <v>4124066.34765625</v>
      </c>
      <c r="T2" s="22">
        <v>499.95139682144003</v>
      </c>
      <c r="U2" s="26">
        <f>+T2+BG2*S2*テーブル2[[#This Row],[Pw]]*R2/(N2*O2*K2)</f>
        <v>570.35522136048598</v>
      </c>
      <c r="V2" s="22">
        <v>0.03</v>
      </c>
      <c r="W2" s="24">
        <f t="shared" ref="W2:W65" si="0">+N2*Q2/I2</f>
        <v>64379.875272880287</v>
      </c>
      <c r="X2" s="22">
        <v>3.526893093705516E-2</v>
      </c>
      <c r="Y2" s="22">
        <f t="shared" ref="Y2:Y65" si="1">IF(X2&gt;0,1/X2^0.5,1)</f>
        <v>5.3248067667956391</v>
      </c>
      <c r="Z2" s="22">
        <f t="shared" ref="Z2:Z65" si="2">IF(X2&gt;0,1.14-2*LOG((0.72*L2*E2)/(X2*Q2*N2^2)+9.35/(W2*X2^0.5)),0)</f>
        <v>5.3248067760604378</v>
      </c>
      <c r="AA2" s="22">
        <f t="shared" ref="AA2:AA65" si="3">+Y2-Z2</f>
        <v>-9.2647987059990555E-9</v>
      </c>
      <c r="AB2" s="22">
        <f t="shared" ref="AB2:AB65" si="4">32/X2*L2*V2*E2/N2^2</f>
        <v>1.8567695831321663E-5</v>
      </c>
      <c r="AC2" s="22">
        <v>692.2233776361046</v>
      </c>
      <c r="AD2" s="22">
        <f t="shared" ref="AD2:AD65" si="5">+Q2/2*AI2/I2*E2</f>
        <v>2137.3285628537874</v>
      </c>
      <c r="AE2" s="22">
        <f>+gettm2(AD2,AC2,AK2,AL2,テーブル2[[#This Row],[Fcorr]])</f>
        <v>570.35522136048598</v>
      </c>
      <c r="AF2" s="27">
        <f t="shared" ref="AF2:AF65" si="6">+AE2-U2</f>
        <v>0</v>
      </c>
      <c r="AG2" s="22">
        <v>1.8650868215012419E-5</v>
      </c>
      <c r="AH2" s="22">
        <f t="shared" ref="AH2:AH65" si="7">+X2*N2^2/(8*E2)</f>
        <v>42.031957102081762</v>
      </c>
      <c r="AI2" s="22">
        <f t="shared" ref="AI2:AI65" si="8">+(AH2/E2)^0.5</f>
        <v>0.25935597833921981</v>
      </c>
      <c r="AJ2" s="22">
        <f t="shared" ref="AJ2:AJ65" si="9">+AG2*AI2/I2*E2</f>
        <v>41.850953656659186</v>
      </c>
      <c r="AK2" s="22">
        <f t="array" ref="AK2">+S2*テーブル2[[#This Row],[F_form]]/(E2*CpFromTP((テーブル2[[#This Row],[Tin]]+テーブル2[[#This Row],[Tf]])/2,テーブル2[[#This Row],[P]])*AI2)</f>
        <v>5.2415739324591613</v>
      </c>
      <c r="AL2" s="22">
        <f t="shared" ref="AL2:AL65" si="10">+K2*I2/J2</f>
        <v>1.1293680422758512</v>
      </c>
      <c r="AM2" s="22">
        <f t="shared" ref="AM2:AM65" si="11">+gettyp(AC2,AJ2,AK2,AL2)</f>
        <v>608.62110606120098</v>
      </c>
      <c r="AN2" s="22">
        <f t="shared" ref="AN2:AN65" si="12">+C2-AM2</f>
        <v>4.562025424093008E-9</v>
      </c>
      <c r="AO2" s="22">
        <f t="shared" ref="AO2:AO65" si="13">+AG2-AB2</f>
        <v>8.3172383690755989E-8</v>
      </c>
      <c r="AP2" s="22">
        <v>3.4238055019459819</v>
      </c>
      <c r="AQ2" s="22">
        <f t="shared" ref="AQ2:AQ65" si="14">2*PI()*L2*(D2+E2)/(D2*E2*AP2^2)</f>
        <v>4.6518328093409148E-5</v>
      </c>
      <c r="AR2" s="22">
        <f t="shared" ref="AR2:AR65" si="15">+AO2+AB2/2</f>
        <v>9.3670202993515876E-6</v>
      </c>
      <c r="AS2" s="22">
        <f t="shared" ref="AS2:AS65" si="16">+AR2*AI2/I2*E2</f>
        <v>21.018792687281241</v>
      </c>
      <c r="AT2" s="22">
        <f t="shared" ref="AT2:AT65" si="17">+getublp(AS2)</f>
        <v>12.17708463709371</v>
      </c>
      <c r="AU2" s="22">
        <f t="shared" ref="AU2:AU65" si="18">+AT2*AI2</f>
        <v>3.1581996993729224</v>
      </c>
      <c r="AV2" s="22">
        <f t="shared" ref="AV2:AV65" si="19">+AP2-AU2</f>
        <v>0.26560580257305944</v>
      </c>
      <c r="AW2" s="22">
        <f t="shared" ref="AW2:AW65" si="20">2/3*AB2/(L2/(9.8*(E2-D2)))^0.5</f>
        <v>1.116311006709798E-2</v>
      </c>
      <c r="AX2" s="22">
        <f t="shared" ref="AX2:AX65" si="21">+(2*AQ2*9.8*(E2-D2)/(E2*AW2))^0.5</f>
        <v>0.26560579283801716</v>
      </c>
      <c r="AY2" s="22">
        <f t="shared" ref="AY2:AY65" si="22">+AV2-AX2</f>
        <v>9.7350422723074814E-9</v>
      </c>
      <c r="AZ2" s="22">
        <f t="shared" ref="AZ2:AZ65" si="23">+F2-G2</f>
        <v>1080577.4158407261</v>
      </c>
      <c r="BA2" s="22">
        <f t="shared" ref="BA2:BA65" si="24">+AQ2/AP2</f>
        <v>1.3586732092979468E-5</v>
      </c>
      <c r="BB2" s="25">
        <f t="shared" ref="BB2:BB65" si="25">+E2*AO2*AZ2/BA2</f>
        <v>4133396.8928208374</v>
      </c>
      <c r="BC2" s="28">
        <f t="shared" ref="BC2:BC65" si="26">BB2-S2</f>
        <v>9330.5451645874418</v>
      </c>
      <c r="BD2" s="29">
        <f t="shared" ref="BD2:BD65" si="27">+(BB2-S2)/S2*100</f>
        <v>0.22624624285906766</v>
      </c>
      <c r="BE2" s="25">
        <v>4038400</v>
      </c>
      <c r="BF2" s="30">
        <f>テーブル2[[#This Row],[q_P]]/テーブル2[[#This Row],[q_M]]</f>
        <v>1.0235233985788523</v>
      </c>
      <c r="BG2" s="22">
        <v>1</v>
      </c>
      <c r="BH2" s="22">
        <v>-0.05</v>
      </c>
      <c r="BI2" s="22">
        <v>4.5999999999999999E-2</v>
      </c>
      <c r="BJ2" s="22">
        <v>5625</v>
      </c>
      <c r="BK2" s="22">
        <v>1</v>
      </c>
      <c r="BL2" s="22">
        <f>テーブル2[[#This Row],[Ts]]-テーブル2[[#This Row],[Tin]]</f>
        <v>108.66970924432297</v>
      </c>
      <c r="BM2" s="22">
        <f>テーブル2[[#This Row],[q_P]]*0.000001</f>
        <v>4.1333968928208371</v>
      </c>
      <c r="BN2" s="22">
        <f>テーブル2[[#This Row],[Tsub]]</f>
        <v>108.66970924432297</v>
      </c>
      <c r="BO2" s="22">
        <f>テーブル2[[#This Row],[Fcorr]]</f>
        <v>1</v>
      </c>
      <c r="BP2" s="22">
        <f>(テーブル2[[#This Row],[Tsub]]-40)^2</f>
        <v>4715.5289676998564</v>
      </c>
      <c r="BQ2">
        <v>1</v>
      </c>
      <c r="BR2">
        <v>0.15240000000000001</v>
      </c>
    </row>
    <row r="3" spans="1:70" x14ac:dyDescent="0.15">
      <c r="A3" s="9" t="s">
        <v>71</v>
      </c>
      <c r="B3">
        <v>13789520</v>
      </c>
      <c r="C3" s="22">
        <f t="array" ref="C3">TsatFromP(テーブル2[[#This Row],[P]])</f>
        <v>608.621106065763</v>
      </c>
      <c r="D3">
        <f t="array" ref="D3">RhoGFromP(テーブル2[[#This Row],[P]])</f>
        <v>85.147893581579396</v>
      </c>
      <c r="E3">
        <f t="array" ref="E3">RhoFFromP(テーブル2[[#This Row],[P]])</f>
        <v>624.86627494838649</v>
      </c>
      <c r="F3">
        <f t="array" ref="F3">HgFromP(テーブル2[[#This Row],[P]])</f>
        <v>2643264.389866509</v>
      </c>
      <c r="G3">
        <f t="array" ref="G3">HfFromP(テーブル2[[#This Row],[P]])</f>
        <v>1562686.9740257829</v>
      </c>
      <c r="H3">
        <f t="array" ref="H3">MuGFromP(テーブル2[[#This Row],[P]])</f>
        <v>2.2019594042733509E-5</v>
      </c>
      <c r="I3">
        <f t="array" ref="I3">MuFFromP(テーブル2[[#This Row],[P]])</f>
        <v>7.2223252690249831E-5</v>
      </c>
      <c r="J3">
        <f t="array" ref="J3">KfFromP(テーブル2[[#This Row],[P]])</f>
        <v>0.4911212487937569</v>
      </c>
      <c r="K3">
        <f t="array" ref="K3">CpFFromP(テーブル2[[#This Row],[P]])</f>
        <v>7679.7516396704104</v>
      </c>
      <c r="L3">
        <f t="array" ref="L3">SigmaFromP(テーブル2[[#This Row],[P]])</f>
        <v>6.5036382888884548E-3</v>
      </c>
      <c r="M3">
        <v>2</v>
      </c>
      <c r="N3">
        <v>2454.36</v>
      </c>
      <c r="O3" s="8">
        <v>2.8502295699234241E-6</v>
      </c>
      <c r="P3" s="8">
        <v>5.9847340050885548E-3</v>
      </c>
      <c r="Q3" s="8">
        <v>1.905E-3</v>
      </c>
      <c r="R3">
        <v>0.15240000000000001</v>
      </c>
      <c r="S3" s="15">
        <v>4160719.62890625</v>
      </c>
      <c r="T3">
        <v>499.39149608425203</v>
      </c>
      <c r="U3" s="12">
        <f>+T3+BG3*S3*テーブル2[[#This Row],[Pw]]*R3/(N3*O3*K3)</f>
        <v>570.02861711650428</v>
      </c>
      <c r="V3">
        <v>0.03</v>
      </c>
      <c r="W3" s="8">
        <f t="shared" si="0"/>
        <v>64737.541246618523</v>
      </c>
      <c r="X3">
        <v>3.5176483310940303E-2</v>
      </c>
      <c r="Y3">
        <f t="shared" si="1"/>
        <v>5.3317992613705751</v>
      </c>
      <c r="Z3">
        <f t="shared" si="2"/>
        <v>5.3317993110830209</v>
      </c>
      <c r="AA3">
        <f t="shared" si="3"/>
        <v>-4.9712445715499598E-8</v>
      </c>
      <c r="AB3">
        <f t="shared" si="4"/>
        <v>1.8411354894901712E-5</v>
      </c>
      <c r="AC3">
        <v>692.63788031278114</v>
      </c>
      <c r="AD3">
        <f t="shared" si="5"/>
        <v>2146.3839957592782</v>
      </c>
      <c r="AE3">
        <f>+gettm2(AD3,AC3,AK3,AL3,テーブル2[[#This Row],[Fcorr]])</f>
        <v>570.02861804288295</v>
      </c>
      <c r="AF3" s="14">
        <f t="shared" si="6"/>
        <v>9.263786751034786E-7</v>
      </c>
      <c r="AG3">
        <v>1.8494568003600229E-5</v>
      </c>
      <c r="AH3">
        <f t="shared" si="7"/>
        <v>42.388873557737206</v>
      </c>
      <c r="AI3">
        <f t="shared" si="8"/>
        <v>0.26045481765728556</v>
      </c>
      <c r="AJ3">
        <f t="shared" si="9"/>
        <v>41.676057502791771</v>
      </c>
      <c r="AK3">
        <f t="array" ref="AK3">+S3*テーブル2[[#This Row],[F_form]]/(E3*CpFromTP((テーブル2[[#This Row],[Tin]]+テーブル2[[#This Row],[Tf]])/2,テーブル2[[#This Row],[P]])*AI3)</f>
        <v>5.2710217151576257</v>
      </c>
      <c r="AL3">
        <f t="shared" si="10"/>
        <v>1.1293680422758512</v>
      </c>
      <c r="AM3">
        <f t="shared" si="11"/>
        <v>608.6211059914292</v>
      </c>
      <c r="AN3">
        <f t="shared" si="12"/>
        <v>7.4333797783765476E-8</v>
      </c>
      <c r="AO3">
        <f t="shared" si="13"/>
        <v>8.3213108698516745E-8</v>
      </c>
      <c r="AP3">
        <v>3.4322530699416132</v>
      </c>
      <c r="AQ3">
        <f t="shared" si="14"/>
        <v>4.628962517399498E-5</v>
      </c>
      <c r="AR3">
        <f t="shared" si="15"/>
        <v>9.2888905561493727E-6</v>
      </c>
      <c r="AS3">
        <f t="shared" si="16"/>
        <v>20.931785856250411</v>
      </c>
      <c r="AT3">
        <f t="shared" si="17"/>
        <v>12.15634429004527</v>
      </c>
      <c r="AU3">
        <f t="shared" si="18"/>
        <v>3.1661784354429252</v>
      </c>
      <c r="AV3">
        <f t="shared" si="19"/>
        <v>0.26607463449868796</v>
      </c>
      <c r="AW3">
        <f t="shared" si="20"/>
        <v>1.1069116116685186E-2</v>
      </c>
      <c r="AX3">
        <f t="shared" si="21"/>
        <v>0.26607462446157015</v>
      </c>
      <c r="AY3">
        <f t="shared" si="22"/>
        <v>1.0037117803562978E-8</v>
      </c>
      <c r="AZ3">
        <f t="shared" si="23"/>
        <v>1080577.4158407261</v>
      </c>
      <c r="BA3">
        <f t="shared" si="24"/>
        <v>1.3486658539075157E-5</v>
      </c>
      <c r="BB3" s="15">
        <f t="shared" si="25"/>
        <v>4166106.396660334</v>
      </c>
      <c r="BC3" s="20">
        <f t="shared" si="26"/>
        <v>5386.767754083965</v>
      </c>
      <c r="BD3" s="19">
        <f t="shared" si="27"/>
        <v>0.12946721323541843</v>
      </c>
      <c r="BE3" s="15">
        <v>4038400</v>
      </c>
      <c r="BF3" s="16">
        <f>テーブル2[[#This Row],[q_P]]/テーブル2[[#This Row],[q_M]]</f>
        <v>1.0316230181904551</v>
      </c>
      <c r="BG3">
        <v>1</v>
      </c>
      <c r="BH3">
        <v>-5.5E-2</v>
      </c>
      <c r="BI3">
        <v>4.5999999999999999E-2</v>
      </c>
      <c r="BJ3">
        <v>5625</v>
      </c>
      <c r="BK3" s="22">
        <v>1</v>
      </c>
      <c r="BL3">
        <f>テーブル2[[#This Row],[Ts]]-テーブル2[[#This Row],[Tin]]</f>
        <v>109.22960998151098</v>
      </c>
      <c r="BM3">
        <f>テーブル2[[#This Row],[q_P]]*0.000001</f>
        <v>4.166106396660334</v>
      </c>
      <c r="BN3">
        <f>テーブル2[[#This Row],[Tsub]]</f>
        <v>109.22960998151098</v>
      </c>
      <c r="BO3">
        <f>テーブル2[[#This Row],[Fcorr]]</f>
        <v>1</v>
      </c>
      <c r="BP3">
        <f>(テーブル2[[#This Row],[Tsub]]-40)^2</f>
        <v>4792.738898192124</v>
      </c>
      <c r="BQ3">
        <v>1</v>
      </c>
      <c r="BR3">
        <v>0.15240000000000001</v>
      </c>
    </row>
    <row r="4" spans="1:70" x14ac:dyDescent="0.15">
      <c r="A4" s="9" t="s">
        <v>72</v>
      </c>
      <c r="B4">
        <v>13789520</v>
      </c>
      <c r="C4" s="22">
        <f t="array" ref="C4">TsatFromP(テーブル2[[#This Row],[P]])</f>
        <v>608.621106065763</v>
      </c>
      <c r="D4">
        <f t="array" ref="D4">RhoGFromP(テーブル2[[#This Row],[P]])</f>
        <v>85.147893581579396</v>
      </c>
      <c r="E4">
        <f t="array" ref="E4">RhoFFromP(テーブル2[[#This Row],[P]])</f>
        <v>624.86627494838649</v>
      </c>
      <c r="F4">
        <f t="array" ref="F4">HgFromP(テーブル2[[#This Row],[P]])</f>
        <v>2643264.389866509</v>
      </c>
      <c r="G4">
        <f t="array" ref="G4">HfFromP(テーブル2[[#This Row],[P]])</f>
        <v>1562686.9740257829</v>
      </c>
      <c r="H4">
        <f t="array" ref="H4">MuGFromP(テーブル2[[#This Row],[P]])</f>
        <v>2.2019594042733509E-5</v>
      </c>
      <c r="I4">
        <f t="array" ref="I4">MuFFromP(テーブル2[[#This Row],[P]])</f>
        <v>7.2223252690249831E-5</v>
      </c>
      <c r="J4">
        <f t="array" ref="J4">KfFromP(テーブル2[[#This Row],[P]])</f>
        <v>0.4911212487937569</v>
      </c>
      <c r="K4">
        <f t="array" ref="K4">CpFFromP(テーブル2[[#This Row],[P]])</f>
        <v>7679.7516396704104</v>
      </c>
      <c r="L4">
        <f t="array" ref="L4">SigmaFromP(テーブル2[[#This Row],[P]])</f>
        <v>6.5036382888884548E-3</v>
      </c>
      <c r="M4" s="23">
        <v>3</v>
      </c>
      <c r="N4">
        <v>3037.44</v>
      </c>
      <c r="O4" s="8">
        <v>2.8502295699234241E-6</v>
      </c>
      <c r="P4" s="8">
        <v>5.9847340050885548E-3</v>
      </c>
      <c r="Q4" s="8">
        <v>1.905E-3</v>
      </c>
      <c r="R4">
        <v>0.15240000000000001</v>
      </c>
      <c r="S4" s="15">
        <v>5012464.74609375</v>
      </c>
      <c r="T4">
        <v>495.51145537057801</v>
      </c>
      <c r="U4" s="12">
        <f>+T4+BG4*S4*テーブル2[[#This Row],[Pw]]*R4/(N4*O4*K4)</f>
        <v>564.27312703255643</v>
      </c>
      <c r="V4">
        <v>0.03</v>
      </c>
      <c r="W4" s="8">
        <f t="shared" si="0"/>
        <v>80117.178117362142</v>
      </c>
      <c r="X4">
        <v>3.1869500535929983E-2</v>
      </c>
      <c r="Y4">
        <f t="shared" si="1"/>
        <v>5.6016035854691575</v>
      </c>
      <c r="Z4">
        <f t="shared" si="2"/>
        <v>5.6016036114539407</v>
      </c>
      <c r="AA4">
        <f t="shared" si="3"/>
        <v>-2.5984783214028084E-8</v>
      </c>
      <c r="AB4">
        <f t="shared" si="4"/>
        <v>1.3268567100478401E-5</v>
      </c>
      <c r="AC4">
        <v>693.21850818249936</v>
      </c>
      <c r="AD4">
        <f t="shared" si="5"/>
        <v>2528.3563479605123</v>
      </c>
      <c r="AE4">
        <f>+gettm2(AD4,AC4,AK4,AL4,テーブル2[[#This Row],[Fcorr]])</f>
        <v>564.27312703255632</v>
      </c>
      <c r="AF4" s="14">
        <f t="shared" si="6"/>
        <v>0</v>
      </c>
      <c r="AG4">
        <v>1.334359523851514E-5</v>
      </c>
      <c r="AH4">
        <f t="shared" si="7"/>
        <v>58.818453323303892</v>
      </c>
      <c r="AI4">
        <f t="shared" si="8"/>
        <v>0.30680558226383198</v>
      </c>
      <c r="AJ4">
        <f t="shared" si="9"/>
        <v>35.419804436656605</v>
      </c>
      <c r="AK4">
        <f t="array" ref="AK4">+S4*テーブル2[[#This Row],[F_form]]/(E4*CpFromTP((テーブル2[[#This Row],[Tin]]+テーブル2[[#This Row],[Tf]])/2,テーブル2[[#This Row],[P]])*AI4)</f>
        <v>5.4463953671940804</v>
      </c>
      <c r="AL4">
        <f t="shared" si="10"/>
        <v>1.1293680422758512</v>
      </c>
      <c r="AM4">
        <f t="shared" si="11"/>
        <v>608.62110605773648</v>
      </c>
      <c r="AN4">
        <f t="shared" si="12"/>
        <v>8.0265181168215349E-9</v>
      </c>
      <c r="AO4">
        <f t="shared" si="13"/>
        <v>7.5028138036739551E-8</v>
      </c>
      <c r="AP4">
        <v>3.7673757372324079</v>
      </c>
      <c r="AQ4">
        <f t="shared" si="14"/>
        <v>3.8420622350819786E-5</v>
      </c>
      <c r="AR4">
        <f t="shared" si="15"/>
        <v>6.70931168827594E-6</v>
      </c>
      <c r="AS4">
        <f t="shared" si="16"/>
        <v>17.809481152229012</v>
      </c>
      <c r="AT4">
        <f t="shared" si="17"/>
        <v>11.348654822462716</v>
      </c>
      <c r="AU4">
        <f t="shared" si="18"/>
        <v>3.4818306507169186</v>
      </c>
      <c r="AV4">
        <f t="shared" si="19"/>
        <v>0.28554508651548938</v>
      </c>
      <c r="AW4">
        <f t="shared" si="20"/>
        <v>7.9772135606323274E-3</v>
      </c>
      <c r="AX4">
        <f t="shared" si="21"/>
        <v>0.28554508272508877</v>
      </c>
      <c r="AY4">
        <f t="shared" si="22"/>
        <v>3.7904006044975347E-9</v>
      </c>
      <c r="AZ4">
        <f t="shared" si="23"/>
        <v>1080577.4158407261</v>
      </c>
      <c r="BA4">
        <f t="shared" si="24"/>
        <v>1.0198245418187135E-5</v>
      </c>
      <c r="BB4" s="15">
        <f t="shared" si="25"/>
        <v>4967543.5364914425</v>
      </c>
      <c r="BC4" s="20">
        <f t="shared" si="26"/>
        <v>-44921.209602307528</v>
      </c>
      <c r="BD4" s="19">
        <f t="shared" si="27"/>
        <v>-0.89619003579655998</v>
      </c>
      <c r="BE4" s="15">
        <v>5395049.9999999991</v>
      </c>
      <c r="BF4" s="16">
        <f>テーブル2[[#This Row],[q_P]]/テーブル2[[#This Row],[q_M]]</f>
        <v>0.92075949926162748</v>
      </c>
      <c r="BG4">
        <v>1</v>
      </c>
      <c r="BH4">
        <v>-3.3000000000000002E-2</v>
      </c>
      <c r="BI4">
        <v>4.5999999999999999E-2</v>
      </c>
      <c r="BJ4">
        <v>5625</v>
      </c>
      <c r="BK4" s="22">
        <v>1</v>
      </c>
      <c r="BL4">
        <f>テーブル2[[#This Row],[Ts]]-テーブル2[[#This Row],[Tin]]</f>
        <v>113.109650695185</v>
      </c>
      <c r="BM4">
        <f>テーブル2[[#This Row],[q_P]]*0.000001</f>
        <v>4.9675435364914424</v>
      </c>
      <c r="BN4">
        <f>テーブル2[[#This Row],[Tsub]]</f>
        <v>113.109650695185</v>
      </c>
      <c r="BO4">
        <f>テーブル2[[#This Row],[Fcorr]]</f>
        <v>1</v>
      </c>
      <c r="BP4">
        <f>(テーブル2[[#This Row],[Tsub]]-40)^2</f>
        <v>5345.0210247719642</v>
      </c>
      <c r="BQ4">
        <v>1</v>
      </c>
      <c r="BR4">
        <v>0.15240000000000001</v>
      </c>
    </row>
    <row r="5" spans="1:70" x14ac:dyDescent="0.15">
      <c r="A5" s="9" t="s">
        <v>73</v>
      </c>
      <c r="B5">
        <v>13789520</v>
      </c>
      <c r="C5" s="22">
        <f t="array" ref="C5">TsatFromP(テーブル2[[#This Row],[P]])</f>
        <v>608.621106065763</v>
      </c>
      <c r="D5">
        <f t="array" ref="D5">RhoGFromP(テーブル2[[#This Row],[P]])</f>
        <v>85.147893581579396</v>
      </c>
      <c r="E5">
        <f t="array" ref="E5">RhoFFromP(テーブル2[[#This Row],[P]])</f>
        <v>624.86627494838649</v>
      </c>
      <c r="F5">
        <f t="array" ref="F5">HgFromP(テーブル2[[#This Row],[P]])</f>
        <v>2643264.389866509</v>
      </c>
      <c r="G5">
        <f t="array" ref="G5">HfFromP(テーブル2[[#This Row],[P]])</f>
        <v>1562686.9740257829</v>
      </c>
      <c r="H5">
        <f t="array" ref="H5">MuGFromP(テーブル2[[#This Row],[P]])</f>
        <v>2.2019594042733509E-5</v>
      </c>
      <c r="I5">
        <f t="array" ref="I5">MuFFromP(テーブル2[[#This Row],[P]])</f>
        <v>7.2223252690249831E-5</v>
      </c>
      <c r="J5">
        <f t="array" ref="J5">KfFromP(テーブル2[[#This Row],[P]])</f>
        <v>0.4911212487937569</v>
      </c>
      <c r="K5">
        <f t="array" ref="K5">CpFFromP(テーブル2[[#This Row],[P]])</f>
        <v>7679.7516396704104</v>
      </c>
      <c r="L5">
        <f t="array" ref="L5">SigmaFromP(テーブル2[[#This Row],[P]])</f>
        <v>6.5036382888884548E-3</v>
      </c>
      <c r="M5">
        <v>4</v>
      </c>
      <c r="N5">
        <v>3118.8</v>
      </c>
      <c r="O5" s="8">
        <v>2.8502295699234241E-6</v>
      </c>
      <c r="P5" s="8">
        <v>5.9847340050885548E-3</v>
      </c>
      <c r="Q5" s="8">
        <v>1.905E-3</v>
      </c>
      <c r="R5">
        <v>0.15240000000000001</v>
      </c>
      <c r="S5" s="15">
        <v>6642123.14453125</v>
      </c>
      <c r="T5">
        <v>458.882857903603</v>
      </c>
      <c r="U5" s="12">
        <f>+T5+BG5*S5*テーブル2[[#This Row],[Pw]]*R5/(N5*O5*K5)</f>
        <v>547.62342516690421</v>
      </c>
      <c r="V5">
        <v>0.03</v>
      </c>
      <c r="W5" s="8">
        <f t="shared" si="0"/>
        <v>82263.173959791486</v>
      </c>
      <c r="X5">
        <v>3.1491139902307147E-2</v>
      </c>
      <c r="Y5">
        <f t="shared" si="1"/>
        <v>5.6351542621364716</v>
      </c>
      <c r="Z5">
        <f t="shared" si="2"/>
        <v>5.6351542954879825</v>
      </c>
      <c r="AA5">
        <f t="shared" si="3"/>
        <v>-3.3351510886348024E-8</v>
      </c>
      <c r="AB5">
        <f t="shared" si="4"/>
        <v>1.2736534184098725E-5</v>
      </c>
      <c r="AC5">
        <v>723.24994650167434</v>
      </c>
      <c r="AD5">
        <f t="shared" si="5"/>
        <v>2580.6235926735508</v>
      </c>
      <c r="AE5">
        <f>+gettm2(AD5,AC5,AK5,AL5,テーブル2[[#This Row],[Fcorr]])</f>
        <v>547.62342639940357</v>
      </c>
      <c r="AF5" s="14">
        <f t="shared" si="6"/>
        <v>1.2324993576839915E-6</v>
      </c>
      <c r="AG5">
        <v>1.283282309073698E-5</v>
      </c>
      <c r="AH5">
        <f t="shared" si="7"/>
        <v>61.275428887159265</v>
      </c>
      <c r="AI5">
        <f t="shared" si="8"/>
        <v>0.31314799616464356</v>
      </c>
      <c r="AJ5">
        <f t="shared" si="9"/>
        <v>34.768174308201324</v>
      </c>
      <c r="AK5">
        <f t="array" ref="AK5">+S5*テーブル2[[#This Row],[F_form]]/(E5*CpFromTP((テーブル2[[#This Row],[Tin]]+テーブル2[[#This Row],[Tf]])/2,テーブル2[[#This Row],[P]])*AI5)</f>
        <v>7.40194628203297</v>
      </c>
      <c r="AL5">
        <f t="shared" si="10"/>
        <v>1.1293680422758512</v>
      </c>
      <c r="AM5">
        <f t="shared" si="11"/>
        <v>608.62110602010387</v>
      </c>
      <c r="AN5">
        <f t="shared" si="12"/>
        <v>4.5659135139430873E-8</v>
      </c>
      <c r="AO5">
        <f t="shared" si="13"/>
        <v>9.6288906638254175E-8</v>
      </c>
      <c r="AP5">
        <v>3.8154368282120599</v>
      </c>
      <c r="AQ5">
        <f t="shared" si="14"/>
        <v>3.7458789055513968E-5</v>
      </c>
      <c r="AR5">
        <f t="shared" si="15"/>
        <v>6.4645559986876169E-6</v>
      </c>
      <c r="AS5">
        <f t="shared" si="16"/>
        <v>17.514525696979096</v>
      </c>
      <c r="AT5">
        <f t="shared" si="17"/>
        <v>11.265152882321463</v>
      </c>
      <c r="AU5">
        <f t="shared" si="18"/>
        <v>3.5276600515873247</v>
      </c>
      <c r="AV5">
        <f t="shared" si="19"/>
        <v>0.28777677662473522</v>
      </c>
      <c r="AW5">
        <f t="shared" si="20"/>
        <v>7.657349315826744E-3</v>
      </c>
      <c r="AX5">
        <f t="shared" si="21"/>
        <v>0.28777677054152329</v>
      </c>
      <c r="AY5">
        <f t="shared" si="22"/>
        <v>6.0832119341824864E-9</v>
      </c>
      <c r="AZ5">
        <f t="shared" si="23"/>
        <v>1080577.4158407261</v>
      </c>
      <c r="BA5">
        <f t="shared" si="24"/>
        <v>9.8176934233418866E-6</v>
      </c>
      <c r="BB5" s="15">
        <f t="shared" si="25"/>
        <v>6622313.8793126335</v>
      </c>
      <c r="BC5" s="20">
        <f t="shared" si="26"/>
        <v>-19809.265218616463</v>
      </c>
      <c r="BD5" s="19">
        <f t="shared" si="27"/>
        <v>-0.29823694604226503</v>
      </c>
      <c r="BE5" s="15">
        <v>6688600</v>
      </c>
      <c r="BF5" s="16">
        <f>テーブル2[[#This Row],[q_P]]/テーブル2[[#This Row],[q_M]]</f>
        <v>0.99008968682723342</v>
      </c>
      <c r="BG5">
        <v>1</v>
      </c>
      <c r="BH5">
        <v>-7.4999999999999997E-2</v>
      </c>
      <c r="BI5">
        <v>4.5999999999999999E-2</v>
      </c>
      <c r="BJ5">
        <v>5625</v>
      </c>
      <c r="BK5" s="22">
        <v>1</v>
      </c>
      <c r="BL5">
        <f>テーブル2[[#This Row],[Ts]]-テーブル2[[#This Row],[Tin]]</f>
        <v>149.73824816216</v>
      </c>
      <c r="BM5">
        <f>テーブル2[[#This Row],[q_P]]*0.000001</f>
        <v>6.6223138793126335</v>
      </c>
      <c r="BN5">
        <f>テーブル2[[#This Row],[Tsub]]</f>
        <v>149.73824816216</v>
      </c>
      <c r="BO5">
        <f>テーブル2[[#This Row],[Fcorr]]</f>
        <v>1</v>
      </c>
      <c r="BP5">
        <f>(テーブル2[[#This Row],[Tsub]]-40)^2</f>
        <v>12042.483109699813</v>
      </c>
      <c r="BQ5">
        <v>1</v>
      </c>
      <c r="BR5">
        <v>0.15240000000000001</v>
      </c>
    </row>
    <row r="6" spans="1:70" x14ac:dyDescent="0.15">
      <c r="A6" s="9" t="s">
        <v>74</v>
      </c>
      <c r="B6">
        <v>13789520</v>
      </c>
      <c r="C6" s="22">
        <f t="array" ref="C6">TsatFromP(テーブル2[[#This Row],[P]])</f>
        <v>608.621106065763</v>
      </c>
      <c r="D6">
        <f t="array" ref="D6">RhoGFromP(テーブル2[[#This Row],[P]])</f>
        <v>85.147893581579396</v>
      </c>
      <c r="E6">
        <f t="array" ref="E6">RhoFFromP(テーブル2[[#This Row],[P]])</f>
        <v>624.86627494838649</v>
      </c>
      <c r="F6">
        <f t="array" ref="F6">HgFromP(テーブル2[[#This Row],[P]])</f>
        <v>2643264.389866509</v>
      </c>
      <c r="G6">
        <f t="array" ref="G6">HfFromP(テーブル2[[#This Row],[P]])</f>
        <v>1562686.9740257829</v>
      </c>
      <c r="H6">
        <f t="array" ref="H6">MuGFromP(テーブル2[[#This Row],[P]])</f>
        <v>2.2019594042733509E-5</v>
      </c>
      <c r="I6">
        <f t="array" ref="I6">MuFFromP(テーブル2[[#This Row],[P]])</f>
        <v>7.2223252690249831E-5</v>
      </c>
      <c r="J6">
        <f t="array" ref="J6">KfFromP(テーブル2[[#This Row],[P]])</f>
        <v>0.4911212487937569</v>
      </c>
      <c r="K6">
        <f t="array" ref="K6">CpFFromP(テーブル2[[#This Row],[P]])</f>
        <v>7679.7516396704104</v>
      </c>
      <c r="L6">
        <f t="array" ref="L6">SigmaFromP(テーブル2[[#This Row],[P]])</f>
        <v>6.5036382888884548E-3</v>
      </c>
      <c r="M6" s="23">
        <v>5</v>
      </c>
      <c r="N6">
        <v>3118.8</v>
      </c>
      <c r="O6" s="8">
        <v>2.8502295699234241E-6</v>
      </c>
      <c r="P6" s="8">
        <v>5.9847340050885548E-3</v>
      </c>
      <c r="Q6" s="8">
        <v>1.905E-3</v>
      </c>
      <c r="R6">
        <v>0.15240000000000001</v>
      </c>
      <c r="S6" s="15">
        <v>5270594.08203125</v>
      </c>
      <c r="T6">
        <v>491.66308110577302</v>
      </c>
      <c r="U6" s="12">
        <f>+T6+BG6*S6*テーブル2[[#This Row],[Pw]]*R6/(N6*O6*K6)</f>
        <v>562.07964798908085</v>
      </c>
      <c r="V6">
        <v>0.03</v>
      </c>
      <c r="W6" s="8">
        <f t="shared" si="0"/>
        <v>82263.173959791486</v>
      </c>
      <c r="X6">
        <v>3.1491139902307147E-2</v>
      </c>
      <c r="Y6">
        <f t="shared" si="1"/>
        <v>5.6351542621364716</v>
      </c>
      <c r="Z6">
        <f t="shared" si="2"/>
        <v>5.6351542954879825</v>
      </c>
      <c r="AA6">
        <f t="shared" si="3"/>
        <v>-3.3351510886348024E-8</v>
      </c>
      <c r="AB6">
        <f t="shared" si="4"/>
        <v>1.2736534184098725E-5</v>
      </c>
      <c r="AC6">
        <v>696.02091466231286</v>
      </c>
      <c r="AD6">
        <f t="shared" si="5"/>
        <v>2580.6235926735508</v>
      </c>
      <c r="AE6">
        <f>+gettm2(AD6,AC6,AK6,AL6,テーブル2[[#This Row],[Fcorr]])</f>
        <v>562.07964894928989</v>
      </c>
      <c r="AF6" s="14">
        <f t="shared" si="6"/>
        <v>9.6020903583848849E-7</v>
      </c>
      <c r="AG6">
        <v>1.28131235952552E-5</v>
      </c>
      <c r="AH6">
        <f t="shared" si="7"/>
        <v>61.275428887159265</v>
      </c>
      <c r="AI6">
        <f t="shared" si="8"/>
        <v>0.31314799616464356</v>
      </c>
      <c r="AJ6">
        <f t="shared" si="9"/>
        <v>34.714802147777128</v>
      </c>
      <c r="AK6">
        <f t="array" ref="AK6">+S6*テーブル2[[#This Row],[F_form]]/(E6*CpFromTP((テーブル2[[#This Row],[Tin]]+テーブル2[[#This Row],[Tf]])/2,テーブル2[[#This Row],[P]])*AI6)</f>
        <v>5.6450816948258877</v>
      </c>
      <c r="AL6">
        <f t="shared" si="10"/>
        <v>1.1293680422758512</v>
      </c>
      <c r="AM6">
        <f t="shared" si="11"/>
        <v>608.62110604134955</v>
      </c>
      <c r="AN6">
        <f t="shared" si="12"/>
        <v>2.4413452592852991E-8</v>
      </c>
      <c r="AO6">
        <f t="shared" si="13"/>
        <v>7.658941115647415E-8</v>
      </c>
      <c r="AP6">
        <v>3.8109937572651442</v>
      </c>
      <c r="AQ6">
        <f t="shared" si="14"/>
        <v>3.7546183098062627E-5</v>
      </c>
      <c r="AR6">
        <f t="shared" si="15"/>
        <v>6.4448565032058368E-6</v>
      </c>
      <c r="AS6">
        <f t="shared" si="16"/>
        <v>17.461153536554903</v>
      </c>
      <c r="AT6">
        <f t="shared" si="17"/>
        <v>11.24989307807418</v>
      </c>
      <c r="AU6">
        <f t="shared" si="18"/>
        <v>3.5228814744654233</v>
      </c>
      <c r="AV6">
        <f t="shared" si="19"/>
        <v>0.2881122827997209</v>
      </c>
      <c r="AW6">
        <f t="shared" si="20"/>
        <v>7.657349315826744E-3</v>
      </c>
      <c r="AX6">
        <f t="shared" si="21"/>
        <v>0.288112276892315</v>
      </c>
      <c r="AY6">
        <f t="shared" si="22"/>
        <v>5.9074058977870436E-9</v>
      </c>
      <c r="AZ6">
        <f t="shared" si="23"/>
        <v>1080577.4158407261</v>
      </c>
      <c r="BA6">
        <f t="shared" si="24"/>
        <v>9.8520715302894175E-6</v>
      </c>
      <c r="BB6" s="15">
        <f t="shared" si="25"/>
        <v>5249091.5380591629</v>
      </c>
      <c r="BC6" s="20">
        <f t="shared" si="26"/>
        <v>-21502.543972087093</v>
      </c>
      <c r="BD6" s="19">
        <f t="shared" si="27"/>
        <v>-0.40797192190145215</v>
      </c>
      <c r="BE6" s="15">
        <v>5678999.9999999991</v>
      </c>
      <c r="BF6" s="16">
        <f>テーブル2[[#This Row],[q_P]]/テーブル2[[#This Row],[q_M]]</f>
        <v>0.92429856278555445</v>
      </c>
      <c r="BG6">
        <v>1</v>
      </c>
      <c r="BH6">
        <v>-3.5999999999999997E-2</v>
      </c>
      <c r="BI6">
        <v>4.5999999999999999E-2</v>
      </c>
      <c r="BJ6">
        <v>5625</v>
      </c>
      <c r="BK6" s="22">
        <v>1</v>
      </c>
      <c r="BL6">
        <f>テーブル2[[#This Row],[Ts]]-テーブル2[[#This Row],[Tin]]</f>
        <v>116.95802495998998</v>
      </c>
      <c r="BM6">
        <f>テーブル2[[#This Row],[q_P]]*0.000001</f>
        <v>5.2490915380591625</v>
      </c>
      <c r="BN6">
        <f>テーブル2[[#This Row],[Tsub]]</f>
        <v>116.95802495998998</v>
      </c>
      <c r="BO6">
        <f>テーブル2[[#This Row],[Fcorr]]</f>
        <v>1</v>
      </c>
      <c r="BP6">
        <f>(テーブル2[[#This Row],[Tsub]]-40)^2</f>
        <v>5922.5376057424419</v>
      </c>
      <c r="BQ6">
        <v>1</v>
      </c>
      <c r="BR6">
        <v>0.15240000000000001</v>
      </c>
    </row>
    <row r="7" spans="1:70" x14ac:dyDescent="0.15">
      <c r="A7" s="9" t="s">
        <v>75</v>
      </c>
      <c r="B7">
        <v>13789520</v>
      </c>
      <c r="C7" s="22">
        <f t="array" ref="C7">TsatFromP(テーブル2[[#This Row],[P]])</f>
        <v>608.621106065763</v>
      </c>
      <c r="D7">
        <f t="array" ref="D7">RhoGFromP(テーブル2[[#This Row],[P]])</f>
        <v>85.147893581579396</v>
      </c>
      <c r="E7">
        <f t="array" ref="E7">RhoFFromP(テーブル2[[#This Row],[P]])</f>
        <v>624.86627494838649</v>
      </c>
      <c r="F7">
        <f t="array" ref="F7">HgFromP(テーブル2[[#This Row],[P]])</f>
        <v>2643264.389866509</v>
      </c>
      <c r="G7">
        <f t="array" ref="G7">HfFromP(テーブル2[[#This Row],[P]])</f>
        <v>1562686.9740257829</v>
      </c>
      <c r="H7">
        <f t="array" ref="H7">MuGFromP(テーブル2[[#This Row],[P]])</f>
        <v>2.2019594042733509E-5</v>
      </c>
      <c r="I7">
        <f t="array" ref="I7">MuFFromP(テーブル2[[#This Row],[P]])</f>
        <v>7.2223252690249831E-5</v>
      </c>
      <c r="J7">
        <f t="array" ref="J7">KfFromP(テーブル2[[#This Row],[P]])</f>
        <v>0.4911212487937569</v>
      </c>
      <c r="K7">
        <f t="array" ref="K7">CpFFromP(テーブル2[[#This Row],[P]])</f>
        <v>7679.7516396704104</v>
      </c>
      <c r="L7">
        <f t="array" ref="L7">SigmaFromP(テーブル2[[#This Row],[P]])</f>
        <v>6.5036382888884548E-3</v>
      </c>
      <c r="M7">
        <v>6</v>
      </c>
      <c r="N7">
        <v>3118.8</v>
      </c>
      <c r="O7" s="8">
        <v>2.8502295699234241E-6</v>
      </c>
      <c r="P7" s="8">
        <v>5.9847340050885548E-3</v>
      </c>
      <c r="Q7" s="8">
        <v>1.905E-3</v>
      </c>
      <c r="R7">
        <v>0.15240000000000001</v>
      </c>
      <c r="S7" s="15">
        <v>5246751.89453125</v>
      </c>
      <c r="T7">
        <v>492.22868586317702</v>
      </c>
      <c r="U7" s="12">
        <f>+T7+BG7*S7*テーブル2[[#This Row],[Pw]]*R7/(N7*O7*K7)</f>
        <v>562.32671465294015</v>
      </c>
      <c r="V7">
        <v>0.03</v>
      </c>
      <c r="W7" s="8">
        <f t="shared" si="0"/>
        <v>82263.173959791486</v>
      </c>
      <c r="X7">
        <v>3.1491139902307147E-2</v>
      </c>
      <c r="Y7">
        <f t="shared" si="1"/>
        <v>5.6351542621364716</v>
      </c>
      <c r="Z7">
        <f t="shared" si="2"/>
        <v>5.6351542954879825</v>
      </c>
      <c r="AA7">
        <f t="shared" si="3"/>
        <v>-3.3351510886348024E-8</v>
      </c>
      <c r="AB7">
        <f t="shared" si="4"/>
        <v>1.2736534184098725E-5</v>
      </c>
      <c r="AC7">
        <v>695.55499809770356</v>
      </c>
      <c r="AD7">
        <f t="shared" si="5"/>
        <v>2580.6235926735508</v>
      </c>
      <c r="AE7">
        <f>+gettm2(AD7,AC7,AK7,AL7,テーブル2[[#This Row],[Fcorr]])</f>
        <v>562.32671560849008</v>
      </c>
      <c r="AF7" s="14">
        <f t="shared" si="6"/>
        <v>9.5554992185498122E-7</v>
      </c>
      <c r="AG7">
        <v>1.2812504443858099E-5</v>
      </c>
      <c r="AH7">
        <f t="shared" si="7"/>
        <v>61.275428887159265</v>
      </c>
      <c r="AI7">
        <f t="shared" si="8"/>
        <v>0.31314799616464356</v>
      </c>
      <c r="AJ7">
        <f t="shared" si="9"/>
        <v>34.713124670923804</v>
      </c>
      <c r="AK7">
        <f t="array" ref="AK7">+S7*テーブル2[[#This Row],[F_form]]/(E7*CpFromTP((テーブル2[[#This Row],[Tin]]+テーブル2[[#This Row],[Tf]])/2,テーブル2[[#This Row],[P]])*AI7)</f>
        <v>5.6150323405509432</v>
      </c>
      <c r="AL7">
        <f t="shared" si="10"/>
        <v>1.1293680422758512</v>
      </c>
      <c r="AM7">
        <f t="shared" si="11"/>
        <v>608.62110604178554</v>
      </c>
      <c r="AN7">
        <f t="shared" si="12"/>
        <v>2.3977463570190594E-8</v>
      </c>
      <c r="AO7">
        <f t="shared" si="13"/>
        <v>7.5970259759373929E-8</v>
      </c>
      <c r="AP7">
        <v>3.8108539041678799</v>
      </c>
      <c r="AQ7">
        <f t="shared" si="14"/>
        <v>3.7548938935195246E-5</v>
      </c>
      <c r="AR7">
        <f t="shared" si="15"/>
        <v>6.4442373518087366E-6</v>
      </c>
      <c r="AS7">
        <f t="shared" si="16"/>
        <v>17.459476059701576</v>
      </c>
      <c r="AT7">
        <f t="shared" si="17"/>
        <v>11.249412709628935</v>
      </c>
      <c r="AU7">
        <f t="shared" si="18"/>
        <v>3.5227310480493741</v>
      </c>
      <c r="AV7">
        <f t="shared" si="19"/>
        <v>0.28812285611850585</v>
      </c>
      <c r="AW7">
        <f t="shared" si="20"/>
        <v>7.657349315826744E-3</v>
      </c>
      <c r="AX7">
        <f t="shared" si="21"/>
        <v>0.28812285021663986</v>
      </c>
      <c r="AY7">
        <f t="shared" si="22"/>
        <v>5.9018659959164665E-9</v>
      </c>
      <c r="AZ7">
        <f t="shared" si="23"/>
        <v>1080577.4158407261</v>
      </c>
      <c r="BA7">
        <f t="shared" si="24"/>
        <v>9.8531562425230922E-6</v>
      </c>
      <c r="BB7" s="15">
        <f t="shared" si="25"/>
        <v>5206084.5145973116</v>
      </c>
      <c r="BC7" s="20">
        <f t="shared" si="26"/>
        <v>-40667.379933938384</v>
      </c>
      <c r="BD7" s="19">
        <f t="shared" si="27"/>
        <v>-0.77509630246336714</v>
      </c>
      <c r="BE7" s="15">
        <v>5521249.9999999991</v>
      </c>
      <c r="BF7" s="16">
        <f>テーブル2[[#This Row],[q_P]]/テーブル2[[#This Row],[q_M]]</f>
        <v>0.9429177296078447</v>
      </c>
      <c r="BG7">
        <v>1</v>
      </c>
      <c r="BH7">
        <v>-4.8000000000000001E-2</v>
      </c>
      <c r="BI7">
        <v>4.5999999999999999E-2</v>
      </c>
      <c r="BJ7">
        <v>5625</v>
      </c>
      <c r="BK7" s="22">
        <v>1</v>
      </c>
      <c r="BL7">
        <f>テーブル2[[#This Row],[Ts]]-テーブル2[[#This Row],[Tin]]</f>
        <v>116.39242020258598</v>
      </c>
      <c r="BM7">
        <f>テーブル2[[#This Row],[q_P]]*0.000001</f>
        <v>5.2060845145973111</v>
      </c>
      <c r="BN7">
        <f>テーブル2[[#This Row],[Tsub]]</f>
        <v>116.39242020258598</v>
      </c>
      <c r="BO7">
        <f>テーブル2[[#This Row],[Fcorr]]</f>
        <v>1</v>
      </c>
      <c r="BP7">
        <f>(テーブル2[[#This Row],[Tsub]]-40)^2</f>
        <v>5835.8018644084668</v>
      </c>
      <c r="BQ7">
        <v>1</v>
      </c>
      <c r="BR7">
        <v>0.15240000000000001</v>
      </c>
    </row>
    <row r="8" spans="1:70" x14ac:dyDescent="0.15">
      <c r="A8" s="9" t="s">
        <v>76</v>
      </c>
      <c r="B8">
        <v>13789520</v>
      </c>
      <c r="C8" s="22">
        <f t="array" ref="C8">TsatFromP(テーブル2[[#This Row],[P]])</f>
        <v>608.621106065763</v>
      </c>
      <c r="D8">
        <f t="array" ref="D8">RhoGFromP(テーブル2[[#This Row],[P]])</f>
        <v>85.147893581579396</v>
      </c>
      <c r="E8">
        <f t="array" ref="E8">RhoFFromP(テーブル2[[#This Row],[P]])</f>
        <v>624.86627494838649</v>
      </c>
      <c r="F8">
        <f t="array" ref="F8">HgFromP(テーブル2[[#This Row],[P]])</f>
        <v>2643264.389866509</v>
      </c>
      <c r="G8">
        <f t="array" ref="G8">HfFromP(テーブル2[[#This Row],[P]])</f>
        <v>1562686.9740257829</v>
      </c>
      <c r="H8">
        <f t="array" ref="H8">MuGFromP(テーブル2[[#This Row],[P]])</f>
        <v>2.2019594042733509E-5</v>
      </c>
      <c r="I8">
        <f t="array" ref="I8">MuFFromP(テーブル2[[#This Row],[P]])</f>
        <v>7.2223252690249831E-5</v>
      </c>
      <c r="J8">
        <f t="array" ref="J8">KfFromP(テーブル2[[#This Row],[P]])</f>
        <v>0.4911212487937569</v>
      </c>
      <c r="K8">
        <f t="array" ref="K8">CpFFromP(テーブル2[[#This Row],[P]])</f>
        <v>7679.7516396704104</v>
      </c>
      <c r="L8">
        <f t="array" ref="L8">SigmaFromP(テーブル2[[#This Row],[P]])</f>
        <v>6.5036382888884548E-3</v>
      </c>
      <c r="M8" s="23">
        <v>7</v>
      </c>
      <c r="N8">
        <v>3132.36</v>
      </c>
      <c r="O8" s="8">
        <v>2.8502295699234241E-6</v>
      </c>
      <c r="P8" s="8">
        <v>5.9847340050885548E-3</v>
      </c>
      <c r="Q8" s="8">
        <v>1.905E-3</v>
      </c>
      <c r="R8">
        <v>0.15240000000000001</v>
      </c>
      <c r="S8" s="15">
        <v>6662660.05859375</v>
      </c>
      <c r="T8">
        <v>458.882857903603</v>
      </c>
      <c r="U8" s="12">
        <f>+T8+BG8*S8*テーブル2[[#This Row],[Pw]]*R8/(N8*O8*K8)</f>
        <v>547.51245782397086</v>
      </c>
      <c r="V8">
        <v>0.03</v>
      </c>
      <c r="W8" s="8">
        <f t="shared" si="0"/>
        <v>82620.8399335297</v>
      </c>
      <c r="X8">
        <v>3.1429666814954189E-2</v>
      </c>
      <c r="Y8">
        <f t="shared" si="1"/>
        <v>5.6406624514571586</v>
      </c>
      <c r="Z8">
        <f t="shared" si="2"/>
        <v>5.6406624763576003</v>
      </c>
      <c r="AA8">
        <f t="shared" si="3"/>
        <v>-2.4900441708552989E-8</v>
      </c>
      <c r="AB8">
        <f t="shared" si="4"/>
        <v>1.2651195938575835E-5</v>
      </c>
      <c r="AC8">
        <v>723.16766810763772</v>
      </c>
      <c r="AD8">
        <f t="shared" si="5"/>
        <v>2589.3127220028477</v>
      </c>
      <c r="AE8">
        <f>+gettm2(AD8,AC8,AK8,AL8,テーブル2[[#This Row],[Fcorr]])</f>
        <v>547.51245782397109</v>
      </c>
      <c r="AF8" s="14">
        <f t="shared" si="6"/>
        <v>0</v>
      </c>
      <c r="AG8">
        <v>1.2748365000298211E-5</v>
      </c>
      <c r="AH8">
        <f t="shared" si="7"/>
        <v>61.688760371414311</v>
      </c>
      <c r="AI8">
        <f t="shared" si="8"/>
        <v>0.31420238605924489</v>
      </c>
      <c r="AJ8">
        <f t="shared" si="9"/>
        <v>34.655646908144874</v>
      </c>
      <c r="AK8">
        <f t="array" ref="AK8">+S8*テーブル2[[#This Row],[F_form]]/(E8*CpFromTP((テーブル2[[#This Row],[Tin]]+テーブル2[[#This Row],[Tf]])/2,テーブル2[[#This Row],[P]])*AI8)</f>
        <v>7.400506181107172</v>
      </c>
      <c r="AL8">
        <f t="shared" si="10"/>
        <v>1.1293680422758512</v>
      </c>
      <c r="AM8">
        <f t="shared" si="11"/>
        <v>608.62110604038844</v>
      </c>
      <c r="AN8">
        <f t="shared" si="12"/>
        <v>2.5374561118951533E-8</v>
      </c>
      <c r="AO8">
        <f t="shared" si="13"/>
        <v>9.7169061722375953E-8</v>
      </c>
      <c r="AP8">
        <v>3.8228184295463499</v>
      </c>
      <c r="AQ8">
        <f t="shared" si="14"/>
        <v>3.731426799315666E-5</v>
      </c>
      <c r="AR8">
        <f t="shared" si="15"/>
        <v>6.4227670310102932E-6</v>
      </c>
      <c r="AS8">
        <f t="shared" si="16"/>
        <v>17.4598975158587</v>
      </c>
      <c r="AT8">
        <f t="shared" si="17"/>
        <v>11.24953340370617</v>
      </c>
      <c r="AU8">
        <f t="shared" si="18"/>
        <v>3.5346302374976575</v>
      </c>
      <c r="AV8">
        <f t="shared" si="19"/>
        <v>0.28818819204869239</v>
      </c>
      <c r="AW8">
        <f t="shared" si="20"/>
        <v>7.6060429913178051E-3</v>
      </c>
      <c r="AX8">
        <f t="shared" si="21"/>
        <v>0.28818818555697151</v>
      </c>
      <c r="AY8">
        <f t="shared" si="22"/>
        <v>6.4917208830728157E-9</v>
      </c>
      <c r="AZ8">
        <f t="shared" si="23"/>
        <v>1080577.4158407261</v>
      </c>
      <c r="BA8">
        <f t="shared" si="24"/>
        <v>9.760931281683893E-6</v>
      </c>
      <c r="BB8" s="15">
        <f t="shared" si="25"/>
        <v>6721709.2980833799</v>
      </c>
      <c r="BC8" s="20">
        <f t="shared" si="26"/>
        <v>59049.239489629865</v>
      </c>
      <c r="BD8" s="19">
        <f t="shared" si="27"/>
        <v>0.88627123356632798</v>
      </c>
      <c r="BE8" s="15">
        <v>6751700</v>
      </c>
      <c r="BF8" s="16">
        <f>テーブル2[[#This Row],[q_P]]/テーブル2[[#This Row],[q_M]]</f>
        <v>0.99555805176227907</v>
      </c>
      <c r="BG8">
        <v>1</v>
      </c>
      <c r="BH8">
        <v>-7.0999999999999994E-2</v>
      </c>
      <c r="BI8">
        <v>4.5999999999999999E-2</v>
      </c>
      <c r="BJ8">
        <v>5625</v>
      </c>
      <c r="BK8" s="22">
        <v>1</v>
      </c>
      <c r="BL8">
        <f>テーブル2[[#This Row],[Ts]]-テーブル2[[#This Row],[Tin]]</f>
        <v>149.73824816216</v>
      </c>
      <c r="BM8">
        <f>テーブル2[[#This Row],[q_P]]*0.000001</f>
        <v>6.7217092980833799</v>
      </c>
      <c r="BN8">
        <f>テーブル2[[#This Row],[Tsub]]</f>
        <v>149.73824816216</v>
      </c>
      <c r="BO8">
        <f>テーブル2[[#This Row],[Fcorr]]</f>
        <v>1</v>
      </c>
      <c r="BP8">
        <f>(テーブル2[[#This Row],[Tsub]]-40)^2</f>
        <v>12042.483109699813</v>
      </c>
      <c r="BQ8">
        <v>1</v>
      </c>
      <c r="BR8">
        <v>0.15240000000000001</v>
      </c>
    </row>
    <row r="9" spans="1:70" x14ac:dyDescent="0.15">
      <c r="A9" s="9" t="s">
        <v>77</v>
      </c>
      <c r="B9">
        <v>13789520</v>
      </c>
      <c r="C9" s="22">
        <f t="array" ref="C9">TsatFromP(テーブル2[[#This Row],[P]])</f>
        <v>608.621106065763</v>
      </c>
      <c r="D9">
        <f t="array" ref="D9">RhoGFromP(テーブル2[[#This Row],[P]])</f>
        <v>85.147893581579396</v>
      </c>
      <c r="E9">
        <f t="array" ref="E9">RhoFFromP(テーブル2[[#This Row],[P]])</f>
        <v>624.86627494838649</v>
      </c>
      <c r="F9">
        <f t="array" ref="F9">HgFromP(テーブル2[[#This Row],[P]])</f>
        <v>2643264.389866509</v>
      </c>
      <c r="G9">
        <f t="array" ref="G9">HfFromP(テーブル2[[#This Row],[P]])</f>
        <v>1562686.9740257829</v>
      </c>
      <c r="H9">
        <f t="array" ref="H9">MuGFromP(テーブル2[[#This Row],[P]])</f>
        <v>2.2019594042733509E-5</v>
      </c>
      <c r="I9">
        <f t="array" ref="I9">MuFFromP(テーブル2[[#This Row],[P]])</f>
        <v>7.2223252690249831E-5</v>
      </c>
      <c r="J9">
        <f t="array" ref="J9">KfFromP(テーブル2[[#This Row],[P]])</f>
        <v>0.4911212487937569</v>
      </c>
      <c r="K9">
        <f t="array" ref="K9">CpFFromP(テーブル2[[#This Row],[P]])</f>
        <v>7679.7516396704104</v>
      </c>
      <c r="L9">
        <f t="array" ref="L9">SigmaFromP(テーブル2[[#This Row],[P]])</f>
        <v>6.5036382888884548E-3</v>
      </c>
      <c r="M9">
        <v>8</v>
      </c>
      <c r="N9">
        <v>3145.92</v>
      </c>
      <c r="O9" s="8">
        <v>2.8502295699234241E-6</v>
      </c>
      <c r="P9" s="8">
        <v>5.9847340050885548E-3</v>
      </c>
      <c r="Q9" s="8">
        <v>1.905E-3</v>
      </c>
      <c r="R9">
        <v>0.15240000000000001</v>
      </c>
      <c r="S9" s="15">
        <v>3751771.9142187499</v>
      </c>
      <c r="T9">
        <v>527.873770788711</v>
      </c>
      <c r="U9" s="12">
        <f>+T9+BG9*S9*テーブル2[[#This Row],[Pw]]*R9/(N9*O9*K9)</f>
        <v>577.56635204125132</v>
      </c>
      <c r="V9">
        <v>0.03</v>
      </c>
      <c r="W9" s="8">
        <f t="shared" si="0"/>
        <v>82978.505907267943</v>
      </c>
      <c r="X9">
        <v>3.1368633029053412E-2</v>
      </c>
      <c r="Y9">
        <f t="shared" si="1"/>
        <v>5.6461472885750759</v>
      </c>
      <c r="Z9">
        <f t="shared" si="2"/>
        <v>5.6461473058660534</v>
      </c>
      <c r="AA9">
        <f t="shared" si="3"/>
        <v>-1.7290977538664265E-8</v>
      </c>
      <c r="AB9">
        <f t="shared" si="4"/>
        <v>1.2566772574052624E-5</v>
      </c>
      <c r="AC9">
        <v>666.59199839635016</v>
      </c>
      <c r="AD9">
        <f t="shared" si="5"/>
        <v>2597.9956429087829</v>
      </c>
      <c r="AE9">
        <f>+gettm2(AD9,AC9,AK9,AL9,テーブル2[[#This Row],[Fcorr]])</f>
        <v>577.56635204125121</v>
      </c>
      <c r="AF9" s="14">
        <f t="shared" si="6"/>
        <v>0</v>
      </c>
      <c r="AG9">
        <v>1.262070038134585E-5</v>
      </c>
      <c r="AH9">
        <f t="shared" si="7"/>
        <v>62.103184414909315</v>
      </c>
      <c r="AI9">
        <f t="shared" si="8"/>
        <v>0.31525602258735741</v>
      </c>
      <c r="AJ9">
        <f t="shared" si="9"/>
        <v>34.423647875269012</v>
      </c>
      <c r="AK9">
        <f t="array" ref="AK9">+S9*テーブル2[[#This Row],[F_form]]/(E9*CpFromTP((テーブル2[[#This Row],[Tin]]+テーブル2[[#This Row],[Tf]])/2,テーブル2[[#This Row],[P]])*AI9)</f>
        <v>3.7493913529362466</v>
      </c>
      <c r="AL9">
        <f t="shared" si="10"/>
        <v>1.1293680422758512</v>
      </c>
      <c r="AM9">
        <f t="shared" si="11"/>
        <v>608.62110606143051</v>
      </c>
      <c r="AN9">
        <f t="shared" si="12"/>
        <v>4.3324916987330653E-9</v>
      </c>
      <c r="AO9">
        <f t="shared" si="13"/>
        <v>5.392780729322607E-8</v>
      </c>
      <c r="AP9">
        <v>3.820014327797439</v>
      </c>
      <c r="AQ9">
        <f t="shared" si="14"/>
        <v>3.7369069571560536E-5</v>
      </c>
      <c r="AR9">
        <f t="shared" si="15"/>
        <v>6.3373140943195381E-6</v>
      </c>
      <c r="AS9">
        <f t="shared" si="16"/>
        <v>17.285369453844183</v>
      </c>
      <c r="AT9">
        <f t="shared" si="17"/>
        <v>11.199302236956409</v>
      </c>
      <c r="AU9">
        <f t="shared" si="18"/>
        <v>3.5306474789765723</v>
      </c>
      <c r="AV9">
        <f t="shared" si="19"/>
        <v>0.28936684882086672</v>
      </c>
      <c r="AW9">
        <f t="shared" si="20"/>
        <v>7.5552867036788422E-3</v>
      </c>
      <c r="AX9">
        <f t="shared" si="21"/>
        <v>0.28936684232855497</v>
      </c>
      <c r="AY9">
        <f t="shared" si="22"/>
        <v>6.4923117437665212E-9</v>
      </c>
      <c r="AZ9">
        <f t="shared" si="23"/>
        <v>1080577.4158407261</v>
      </c>
      <c r="BA9">
        <f t="shared" si="24"/>
        <v>9.7824422541124249E-6</v>
      </c>
      <c r="BB9" s="15">
        <f t="shared" si="25"/>
        <v>3722274.8804097767</v>
      </c>
      <c r="BC9" s="20">
        <f t="shared" si="26"/>
        <v>-29497.033808973152</v>
      </c>
      <c r="BD9" s="19">
        <f t="shared" si="27"/>
        <v>-0.78621607292231854</v>
      </c>
      <c r="BE9" s="15">
        <v>4164600</v>
      </c>
      <c r="BF9" s="16">
        <f>テーブル2[[#This Row],[q_P]]/テーブル2[[#This Row],[q_M]]</f>
        <v>0.89378929078657654</v>
      </c>
      <c r="BG9">
        <v>1</v>
      </c>
      <c r="BH9">
        <v>-2.7E-2</v>
      </c>
      <c r="BI9">
        <v>4.5999999999999999E-2</v>
      </c>
      <c r="BJ9">
        <v>5625</v>
      </c>
      <c r="BK9" s="22">
        <v>1</v>
      </c>
      <c r="BL9">
        <f>テーブル2[[#This Row],[Ts]]-テーブル2[[#This Row],[Tin]]</f>
        <v>80.747335277052002</v>
      </c>
      <c r="BM9">
        <f>テーブル2[[#This Row],[q_P]]*0.000001</f>
        <v>3.7222748804097767</v>
      </c>
      <c r="BN9">
        <f>テーブル2[[#This Row],[Tsub]]</f>
        <v>80.747335277052002</v>
      </c>
      <c r="BO9">
        <f>テーブル2[[#This Row],[Fcorr]]</f>
        <v>1</v>
      </c>
      <c r="BP9">
        <f>(テーブル2[[#This Row],[Tsub]]-40)^2</f>
        <v>1660.3453321804866</v>
      </c>
      <c r="BQ9">
        <v>1</v>
      </c>
      <c r="BR9">
        <v>0.15240000000000001</v>
      </c>
    </row>
    <row r="10" spans="1:70" x14ac:dyDescent="0.15">
      <c r="A10" s="9" t="s">
        <v>78</v>
      </c>
      <c r="B10">
        <v>13789520</v>
      </c>
      <c r="C10" s="22">
        <f t="array" ref="C10">TsatFromP(テーブル2[[#This Row],[P]])</f>
        <v>608.621106065763</v>
      </c>
      <c r="D10">
        <f t="array" ref="D10">RhoGFromP(テーブル2[[#This Row],[P]])</f>
        <v>85.147893581579396</v>
      </c>
      <c r="E10">
        <f t="array" ref="E10">RhoFFromP(テーブル2[[#This Row],[P]])</f>
        <v>624.86627494838649</v>
      </c>
      <c r="F10">
        <f t="array" ref="F10">HgFromP(テーブル2[[#This Row],[P]])</f>
        <v>2643264.389866509</v>
      </c>
      <c r="G10">
        <f t="array" ref="G10">HfFromP(テーブル2[[#This Row],[P]])</f>
        <v>1562686.9740257829</v>
      </c>
      <c r="H10">
        <f t="array" ref="H10">MuGFromP(テーブル2[[#This Row],[P]])</f>
        <v>2.2019594042733509E-5</v>
      </c>
      <c r="I10">
        <f t="array" ref="I10">MuFFromP(テーブル2[[#This Row],[P]])</f>
        <v>7.2223252690249831E-5</v>
      </c>
      <c r="J10">
        <f t="array" ref="J10">KfFromP(テーブル2[[#This Row],[P]])</f>
        <v>0.4911212487937569</v>
      </c>
      <c r="K10">
        <f t="array" ref="K10">CpFFromP(テーブル2[[#This Row],[P]])</f>
        <v>7679.7516396704104</v>
      </c>
      <c r="L10">
        <f t="array" ref="L10">SigmaFromP(テーブル2[[#This Row],[P]])</f>
        <v>6.5036382888884548E-3</v>
      </c>
      <c r="M10" s="23">
        <v>9</v>
      </c>
      <c r="N10">
        <v>3145.92</v>
      </c>
      <c r="O10" s="8">
        <v>2.8502295699234241E-6</v>
      </c>
      <c r="P10" s="8">
        <v>5.9847340050885548E-3</v>
      </c>
      <c r="Q10" s="8">
        <v>1.905E-3</v>
      </c>
      <c r="R10">
        <v>0.15240000000000001</v>
      </c>
      <c r="S10" s="15">
        <v>3535281.83984375</v>
      </c>
      <c r="T10">
        <v>532.84871111815698</v>
      </c>
      <c r="U10" s="12">
        <f>+T10+BG10*S10*テーブル2[[#This Row],[Pw]]*R10/(N10*O10*K10)</f>
        <v>579.67386043261047</v>
      </c>
      <c r="V10">
        <v>0.03</v>
      </c>
      <c r="W10" s="8">
        <f t="shared" si="0"/>
        <v>82978.505907267943</v>
      </c>
      <c r="X10">
        <v>3.1368633029053412E-2</v>
      </c>
      <c r="Y10">
        <f t="shared" si="1"/>
        <v>5.6461472885750759</v>
      </c>
      <c r="Z10">
        <f t="shared" si="2"/>
        <v>5.6461473058660534</v>
      </c>
      <c r="AA10">
        <f t="shared" si="3"/>
        <v>-1.7290977538664265E-8</v>
      </c>
      <c r="AB10">
        <f t="shared" si="4"/>
        <v>1.2566772574052624E-5</v>
      </c>
      <c r="AC10">
        <v>662.65222217497114</v>
      </c>
      <c r="AD10">
        <f t="shared" si="5"/>
        <v>2597.9956429087829</v>
      </c>
      <c r="AE10">
        <f>+gettm2(AD10,AC10,AK10,AL10,テーブル2[[#This Row],[Fcorr]])</f>
        <v>579.67386105913249</v>
      </c>
      <c r="AF10" s="14">
        <f t="shared" si="6"/>
        <v>6.2652202359458897E-7</v>
      </c>
      <c r="AG10">
        <v>1.2617867547897149E-5</v>
      </c>
      <c r="AH10">
        <f t="shared" si="7"/>
        <v>62.103184414909315</v>
      </c>
      <c r="AI10">
        <f t="shared" si="8"/>
        <v>0.31525602258735741</v>
      </c>
      <c r="AJ10">
        <f t="shared" si="9"/>
        <v>34.415921167702805</v>
      </c>
      <c r="AK10">
        <f t="array" ref="AK10">+S10*テーブル2[[#This Row],[F_form]]/(E10*CpFromTP((テーブル2[[#This Row],[Tin]]+テーブル2[[#This Row],[Tf]])/2,テーブル2[[#This Row],[P]])*AI10)</f>
        <v>3.494704755162132</v>
      </c>
      <c r="AL10">
        <f t="shared" si="10"/>
        <v>1.1293680422758512</v>
      </c>
      <c r="AM10">
        <f t="shared" si="11"/>
        <v>608.62110606173542</v>
      </c>
      <c r="AN10">
        <f t="shared" si="12"/>
        <v>4.0275835999636911E-9</v>
      </c>
      <c r="AO10">
        <f t="shared" si="13"/>
        <v>5.1094973844525415E-8</v>
      </c>
      <c r="AP10">
        <v>3.819359194570187</v>
      </c>
      <c r="AQ10">
        <f t="shared" si="14"/>
        <v>3.738189047557638E-5</v>
      </c>
      <c r="AR10">
        <f t="shared" si="15"/>
        <v>6.3344812608708374E-6</v>
      </c>
      <c r="AS10">
        <f t="shared" si="16"/>
        <v>17.277642746277973</v>
      </c>
      <c r="AT10">
        <f t="shared" si="17"/>
        <v>11.197066694622833</v>
      </c>
      <c r="AU10">
        <f t="shared" si="18"/>
        <v>3.5299427107921635</v>
      </c>
      <c r="AV10">
        <f t="shared" si="19"/>
        <v>0.28941648377802354</v>
      </c>
      <c r="AW10">
        <f t="shared" si="20"/>
        <v>7.5552867036788422E-3</v>
      </c>
      <c r="AX10">
        <f t="shared" si="21"/>
        <v>0.28941647731275438</v>
      </c>
      <c r="AY10">
        <f t="shared" si="22"/>
        <v>6.4652691533773066E-9</v>
      </c>
      <c r="AZ10">
        <f t="shared" si="23"/>
        <v>1080577.4158407261</v>
      </c>
      <c r="BA10">
        <f t="shared" si="24"/>
        <v>9.7874770534074275E-6</v>
      </c>
      <c r="BB10" s="15">
        <f t="shared" si="25"/>
        <v>3524929.184895616</v>
      </c>
      <c r="BC10" s="20">
        <f t="shared" si="26"/>
        <v>-10352.654948133975</v>
      </c>
      <c r="BD10" s="19">
        <f t="shared" si="27"/>
        <v>-0.29283817859883937</v>
      </c>
      <c r="BE10" s="15">
        <v>3943750</v>
      </c>
      <c r="BF10" s="16">
        <f>テーブル2[[#This Row],[q_P]]/テーブル2[[#This Row],[q_M]]</f>
        <v>0.89380137810348426</v>
      </c>
      <c r="BG10">
        <v>1</v>
      </c>
      <c r="BH10">
        <v>-2.5999999999999999E-2</v>
      </c>
      <c r="BI10">
        <v>4.5999999999999999E-2</v>
      </c>
      <c r="BJ10">
        <v>5625</v>
      </c>
      <c r="BK10" s="22">
        <v>1</v>
      </c>
      <c r="BL10">
        <f>テーブル2[[#This Row],[Ts]]-テーブル2[[#This Row],[Tin]]</f>
        <v>75.772394947606017</v>
      </c>
      <c r="BM10">
        <f>テーブル2[[#This Row],[q_P]]*0.000001</f>
        <v>3.5249291848956159</v>
      </c>
      <c r="BN10">
        <f>テーブル2[[#This Row],[Tsub]]</f>
        <v>75.772394947606017</v>
      </c>
      <c r="BO10">
        <f>テーブル2[[#This Row],[Fcorr]]</f>
        <v>1</v>
      </c>
      <c r="BP10">
        <f>(テーブル2[[#This Row],[Tsub]]-40)^2</f>
        <v>1279.6642402875084</v>
      </c>
      <c r="BQ10">
        <v>1</v>
      </c>
      <c r="BR10">
        <v>0.15240000000000001</v>
      </c>
    </row>
    <row r="11" spans="1:70" x14ac:dyDescent="0.15">
      <c r="A11" s="9" t="s">
        <v>79</v>
      </c>
      <c r="B11">
        <v>13789520</v>
      </c>
      <c r="C11" s="22">
        <f t="array" ref="C11">TsatFromP(テーブル2[[#This Row],[P]])</f>
        <v>608.621106065763</v>
      </c>
      <c r="D11">
        <f t="array" ref="D11">RhoGFromP(テーブル2[[#This Row],[P]])</f>
        <v>85.147893581579396</v>
      </c>
      <c r="E11">
        <f t="array" ref="E11">RhoFFromP(テーブル2[[#This Row],[P]])</f>
        <v>624.86627494838649</v>
      </c>
      <c r="F11">
        <f t="array" ref="F11">HgFromP(テーブル2[[#This Row],[P]])</f>
        <v>2643264.389866509</v>
      </c>
      <c r="G11">
        <f t="array" ref="G11">HfFromP(テーブル2[[#This Row],[P]])</f>
        <v>1562686.9740257829</v>
      </c>
      <c r="H11">
        <f t="array" ref="H11">MuGFromP(テーブル2[[#This Row],[P]])</f>
        <v>2.2019594042733509E-5</v>
      </c>
      <c r="I11">
        <f t="array" ref="I11">MuFFromP(テーブル2[[#This Row],[P]])</f>
        <v>7.2223252690249831E-5</v>
      </c>
      <c r="J11">
        <f t="array" ref="J11">KfFromP(テーブル2[[#This Row],[P]])</f>
        <v>0.4911212487937569</v>
      </c>
      <c r="K11">
        <f t="array" ref="K11">CpFFromP(テーブル2[[#This Row],[P]])</f>
        <v>7679.7516396704104</v>
      </c>
      <c r="L11">
        <f t="array" ref="L11">SigmaFromP(テーブル2[[#This Row],[P]])</f>
        <v>6.5036382888884548E-3</v>
      </c>
      <c r="M11">
        <v>10</v>
      </c>
      <c r="N11">
        <v>3634.08</v>
      </c>
      <c r="O11" s="8">
        <v>2.8502295699234241E-6</v>
      </c>
      <c r="P11" s="8">
        <v>5.9847340050885548E-3</v>
      </c>
      <c r="Q11" s="8">
        <v>1.905E-3</v>
      </c>
      <c r="R11">
        <v>0.15240000000000001</v>
      </c>
      <c r="S11" s="15">
        <v>3515012.92578125</v>
      </c>
      <c r="T11">
        <v>541.31775243261598</v>
      </c>
      <c r="U11" s="12">
        <f>+T11+BG11*S11*テーブル2[[#This Row],[Pw]]*R11/(N11*O11*K11)</f>
        <v>581.62055488422368</v>
      </c>
      <c r="V11">
        <v>0.03</v>
      </c>
      <c r="W11" s="8">
        <f t="shared" si="0"/>
        <v>95854.48096184399</v>
      </c>
      <c r="X11">
        <v>2.942613318173885E-2</v>
      </c>
      <c r="Y11">
        <f t="shared" si="1"/>
        <v>5.8295281243322155</v>
      </c>
      <c r="Z11">
        <f t="shared" si="2"/>
        <v>5.8295281357081636</v>
      </c>
      <c r="AA11">
        <f t="shared" si="3"/>
        <v>-1.137594818345633E-8</v>
      </c>
      <c r="AB11">
        <f t="shared" si="4"/>
        <v>1.003904808948447E-5</v>
      </c>
      <c r="AC11">
        <v>654.95066353834602</v>
      </c>
      <c r="AD11">
        <f t="shared" si="5"/>
        <v>2906.7255552095385</v>
      </c>
      <c r="AE11">
        <f>+gettm2(AD11,AC11,AK11,AL11,テーブル2[[#This Row],[Fcorr]])</f>
        <v>581.62055488422357</v>
      </c>
      <c r="AF11" s="14">
        <f t="shared" si="6"/>
        <v>0</v>
      </c>
      <c r="AG11">
        <v>1.008132119404897E-5</v>
      </c>
      <c r="AH11">
        <f t="shared" si="7"/>
        <v>77.74009923152903</v>
      </c>
      <c r="AI11">
        <f t="shared" si="8"/>
        <v>0.35271912013770884</v>
      </c>
      <c r="AJ11">
        <f t="shared" si="9"/>
        <v>30.764970021015937</v>
      </c>
      <c r="AK11">
        <f t="array" ref="AK11">+S11*テーブル2[[#This Row],[F_form]]/(E11*CpFromTP((テーブル2[[#This Row],[Tin]]+テーブル2[[#This Row],[Tf]])/2,テーブル2[[#This Row],[P]])*AI11)</f>
        <v>3.0519131984293812</v>
      </c>
      <c r="AL11">
        <f t="shared" si="10"/>
        <v>1.1293680422758512</v>
      </c>
      <c r="AM11">
        <f t="shared" si="11"/>
        <v>608.62110606575754</v>
      </c>
      <c r="AN11">
        <f t="shared" si="12"/>
        <v>5.4569682106375694E-12</v>
      </c>
      <c r="AO11">
        <f t="shared" si="13"/>
        <v>4.2273104564500294E-8</v>
      </c>
      <c r="AP11">
        <v>4.0567578326103186</v>
      </c>
      <c r="AQ11">
        <f t="shared" si="14"/>
        <v>3.3134780786405241E-5</v>
      </c>
      <c r="AR11">
        <f t="shared" si="15"/>
        <v>5.0617971493067353E-6</v>
      </c>
      <c r="AS11">
        <f t="shared" si="16"/>
        <v>15.446987012258981</v>
      </c>
      <c r="AT11">
        <f t="shared" si="17"/>
        <v>10.637069844690066</v>
      </c>
      <c r="AU11">
        <f t="shared" si="18"/>
        <v>3.7518979164624353</v>
      </c>
      <c r="AV11">
        <f t="shared" si="19"/>
        <v>0.30485991614788333</v>
      </c>
      <c r="AW11">
        <f t="shared" si="20"/>
        <v>6.0355899735690475E-3</v>
      </c>
      <c r="AX11">
        <f t="shared" si="21"/>
        <v>0.30485988684059384</v>
      </c>
      <c r="AY11">
        <f t="shared" si="22"/>
        <v>2.93072894841373E-8</v>
      </c>
      <c r="AZ11" s="16">
        <f t="shared" si="23"/>
        <v>1080577.4158407261</v>
      </c>
      <c r="BA11" s="16">
        <f t="shared" si="24"/>
        <v>8.1677985607251989E-6</v>
      </c>
      <c r="BB11" s="15">
        <f t="shared" si="25"/>
        <v>3494637.2169813751</v>
      </c>
      <c r="BC11" s="20">
        <f t="shared" si="26"/>
        <v>-20375.708799874876</v>
      </c>
      <c r="BD11" s="19">
        <f t="shared" si="27"/>
        <v>-0.57967663932120961</v>
      </c>
      <c r="BE11" s="15">
        <v>4417000</v>
      </c>
      <c r="BF11" s="16">
        <f>テーブル2[[#This Row],[q_P]]/テーブル2[[#This Row],[q_M]]</f>
        <v>0.79117890355023213</v>
      </c>
      <c r="BG11">
        <v>1</v>
      </c>
      <c r="BH11">
        <v>1E-3</v>
      </c>
      <c r="BI11">
        <v>4.5999999999999999E-2</v>
      </c>
      <c r="BJ11">
        <v>5625</v>
      </c>
      <c r="BK11" s="22">
        <v>1</v>
      </c>
      <c r="BL11">
        <f>テーブル2[[#This Row],[Ts]]-テーブル2[[#This Row],[Tin]]</f>
        <v>67.303353633147026</v>
      </c>
      <c r="BM11">
        <f>テーブル2[[#This Row],[q_P]]*0.000001</f>
        <v>3.4946372169813751</v>
      </c>
      <c r="BN11">
        <f>テーブル2[[#This Row],[Tsub]]</f>
        <v>67.303353633147026</v>
      </c>
      <c r="BO11">
        <f>テーブル2[[#This Row],[Fcorr]]</f>
        <v>1</v>
      </c>
      <c r="BP11">
        <f>(テーブル2[[#This Row],[Tsub]]-40)^2</f>
        <v>745.47311961668288</v>
      </c>
      <c r="BQ11">
        <v>1</v>
      </c>
      <c r="BR11">
        <v>0.15240000000000001</v>
      </c>
    </row>
    <row r="12" spans="1:70" x14ac:dyDescent="0.15">
      <c r="A12" s="9" t="s">
        <v>80</v>
      </c>
      <c r="B12">
        <v>13789520</v>
      </c>
      <c r="C12" s="22">
        <f t="array" ref="C12">TsatFromP(テーブル2[[#This Row],[P]])</f>
        <v>608.621106065763</v>
      </c>
      <c r="D12">
        <f t="array" ref="D12">RhoGFromP(テーブル2[[#This Row],[P]])</f>
        <v>85.147893581579396</v>
      </c>
      <c r="E12">
        <f t="array" ref="E12">RhoFFromP(テーブル2[[#This Row],[P]])</f>
        <v>624.86627494838649</v>
      </c>
      <c r="F12">
        <f t="array" ref="F12">HgFromP(テーブル2[[#This Row],[P]])</f>
        <v>2643264.389866509</v>
      </c>
      <c r="G12">
        <f t="array" ref="G12">HfFromP(テーブル2[[#This Row],[P]])</f>
        <v>1562686.9740257829</v>
      </c>
      <c r="H12">
        <f t="array" ref="H12">MuGFromP(テーブル2[[#This Row],[P]])</f>
        <v>2.2019594042733509E-5</v>
      </c>
      <c r="I12">
        <f t="array" ref="I12">MuFFromP(テーブル2[[#This Row],[P]])</f>
        <v>7.2223252690249831E-5</v>
      </c>
      <c r="J12">
        <f t="array" ref="J12">KfFromP(テーブル2[[#This Row],[P]])</f>
        <v>0.4911212487937569</v>
      </c>
      <c r="K12">
        <f t="array" ref="K12">CpFFromP(テーブル2[[#This Row],[P]])</f>
        <v>7679.7516396704104</v>
      </c>
      <c r="L12">
        <f t="array" ref="L12">SigmaFromP(テーブル2[[#This Row],[P]])</f>
        <v>6.5036382888884548E-3</v>
      </c>
      <c r="M12" s="23">
        <v>11</v>
      </c>
      <c r="N12">
        <v>3851.04</v>
      </c>
      <c r="O12" s="8">
        <v>2.8502295699234241E-6</v>
      </c>
      <c r="P12" s="8">
        <v>5.9847340050885548E-3</v>
      </c>
      <c r="Q12" s="8">
        <v>1.905E-3</v>
      </c>
      <c r="R12">
        <v>0.15240000000000001</v>
      </c>
      <c r="S12" s="15">
        <v>4025857.05078125</v>
      </c>
      <c r="T12">
        <v>534.00031274747698</v>
      </c>
      <c r="U12" s="12">
        <f>+T12+BG12*S12*テーブル2[[#This Row],[Pw]]*R12/(N12*O12*K12)</f>
        <v>577.55983655479395</v>
      </c>
      <c r="V12">
        <v>0.03</v>
      </c>
      <c r="W12" s="8">
        <f t="shared" si="0"/>
        <v>101577.13654165558</v>
      </c>
      <c r="X12">
        <v>2.869484323396514E-2</v>
      </c>
      <c r="Y12">
        <f t="shared" si="1"/>
        <v>5.9033437360973915</v>
      </c>
      <c r="Z12">
        <f t="shared" si="2"/>
        <v>5.9033437630197314</v>
      </c>
      <c r="AA12">
        <f t="shared" si="3"/>
        <v>-2.6922339912971438E-8</v>
      </c>
      <c r="AB12">
        <f t="shared" si="4"/>
        <v>9.167581559868937E-6</v>
      </c>
      <c r="AC12">
        <v>659.74607261695246</v>
      </c>
      <c r="AD12">
        <f t="shared" si="5"/>
        <v>3041.7457153528158</v>
      </c>
      <c r="AE12">
        <f>+gettm2(AD12,AC12,AK12,AL12,テーブル2[[#This Row],[Fcorr]])</f>
        <v>577.55983655479395</v>
      </c>
      <c r="AF12" s="14">
        <f t="shared" si="6"/>
        <v>0</v>
      </c>
      <c r="AG12">
        <v>9.2124976108217692E-6</v>
      </c>
      <c r="AH12">
        <f t="shared" si="7"/>
        <v>85.130041065898297</v>
      </c>
      <c r="AI12">
        <f t="shared" si="8"/>
        <v>0.3691032579525898</v>
      </c>
      <c r="AJ12">
        <f t="shared" si="9"/>
        <v>29.419501454504115</v>
      </c>
      <c r="AK12">
        <f t="array" ref="AK12">+S12*テーブル2[[#This Row],[F_form]]/(E12*CpFromTP((テーブル2[[#This Row],[Tin]]+テーブル2[[#This Row],[Tf]])/2,テーブル2[[#This Row],[P]])*AI12)</f>
        <v>3.4042619883252869</v>
      </c>
      <c r="AL12">
        <f t="shared" si="10"/>
        <v>1.1293680422758512</v>
      </c>
      <c r="AM12">
        <f t="shared" si="11"/>
        <v>608.62110606589181</v>
      </c>
      <c r="AN12">
        <f t="shared" si="12"/>
        <v>-1.2880718713859096E-10</v>
      </c>
      <c r="AO12">
        <f t="shared" si="13"/>
        <v>4.4916050952832206E-8</v>
      </c>
      <c r="AP12">
        <v>4.1562829467995943</v>
      </c>
      <c r="AQ12">
        <f t="shared" si="14"/>
        <v>3.1566908964919469E-5</v>
      </c>
      <c r="AR12">
        <f t="shared" si="15"/>
        <v>4.6287068308873007E-6</v>
      </c>
      <c r="AS12">
        <f t="shared" si="16"/>
        <v>14.781468945381372</v>
      </c>
      <c r="AT12">
        <f t="shared" si="17"/>
        <v>10.416871489775144</v>
      </c>
      <c r="AU12">
        <f t="shared" si="18"/>
        <v>3.8449012045494531</v>
      </c>
      <c r="AV12">
        <f t="shared" si="19"/>
        <v>0.31138174225014126</v>
      </c>
      <c r="AW12">
        <f t="shared" si="20"/>
        <v>5.5116543771295823E-3</v>
      </c>
      <c r="AX12">
        <f t="shared" si="21"/>
        <v>0.3113817379247571</v>
      </c>
      <c r="AY12">
        <f t="shared" si="22"/>
        <v>4.3253841619517175E-9</v>
      </c>
      <c r="AZ12">
        <f t="shared" si="23"/>
        <v>1080577.4158407261</v>
      </c>
      <c r="BA12">
        <f t="shared" si="24"/>
        <v>7.5949855601689732E-6</v>
      </c>
      <c r="BB12" s="15">
        <f t="shared" si="25"/>
        <v>3993168.0311900657</v>
      </c>
      <c r="BC12" s="20">
        <f t="shared" si="26"/>
        <v>-32689.019591184333</v>
      </c>
      <c r="BD12" s="19">
        <f t="shared" si="27"/>
        <v>-0.81197665935110042</v>
      </c>
      <c r="BE12" s="15">
        <v>4858700</v>
      </c>
      <c r="BF12" s="16">
        <f>テーブル2[[#This Row],[q_P]]/テーブル2[[#This Row],[q_M]]</f>
        <v>0.82185935151173473</v>
      </c>
      <c r="BG12">
        <v>1</v>
      </c>
      <c r="BH12">
        <v>-1.7999999999999999E-2</v>
      </c>
      <c r="BI12">
        <v>4.5999999999999999E-2</v>
      </c>
      <c r="BJ12">
        <v>5625</v>
      </c>
      <c r="BK12" s="22">
        <v>1</v>
      </c>
      <c r="BL12">
        <f>テーブル2[[#This Row],[Ts]]-テーブル2[[#This Row],[Tin]]</f>
        <v>74.620793318286019</v>
      </c>
      <c r="BM12">
        <f>テーブル2[[#This Row],[q_P]]*0.000001</f>
        <v>3.9931680311900655</v>
      </c>
      <c r="BN12">
        <f>テーブル2[[#This Row],[Tsub]]</f>
        <v>74.620793318286019</v>
      </c>
      <c r="BO12">
        <f>テーブル2[[#This Row],[Fcorr]]</f>
        <v>1</v>
      </c>
      <c r="BP12">
        <f>(テーブル2[[#This Row],[Tsub]]-40)^2</f>
        <v>1198.5993299874779</v>
      </c>
      <c r="BQ12">
        <v>1</v>
      </c>
      <c r="BR12">
        <v>0.15240000000000001</v>
      </c>
    </row>
    <row r="13" spans="1:70" x14ac:dyDescent="0.15">
      <c r="A13" s="9" t="s">
        <v>81</v>
      </c>
      <c r="B13">
        <v>13789520</v>
      </c>
      <c r="C13" s="22">
        <f t="array" ref="C13">TsatFromP(テーブル2[[#This Row],[P]])</f>
        <v>608.621106065763</v>
      </c>
      <c r="D13">
        <f t="array" ref="D13">RhoGFromP(テーブル2[[#This Row],[P]])</f>
        <v>85.147893581579396</v>
      </c>
      <c r="E13">
        <f t="array" ref="E13">RhoFFromP(テーブル2[[#This Row],[P]])</f>
        <v>624.86627494838649</v>
      </c>
      <c r="F13">
        <f t="array" ref="F13">HgFromP(テーブル2[[#This Row],[P]])</f>
        <v>2643264.389866509</v>
      </c>
      <c r="G13">
        <f t="array" ref="G13">HfFromP(テーブル2[[#This Row],[P]])</f>
        <v>1562686.9740257829</v>
      </c>
      <c r="H13">
        <f t="array" ref="H13">MuGFromP(テーブル2[[#This Row],[P]])</f>
        <v>2.2019594042733509E-5</v>
      </c>
      <c r="I13">
        <f t="array" ref="I13">MuFFromP(テーブル2[[#This Row],[P]])</f>
        <v>7.2223252690249831E-5</v>
      </c>
      <c r="J13">
        <f t="array" ref="J13">KfFromP(テーブル2[[#This Row],[P]])</f>
        <v>0.4911212487937569</v>
      </c>
      <c r="K13">
        <f t="array" ref="K13">CpFFromP(テーブル2[[#This Row],[P]])</f>
        <v>7679.7516396704104</v>
      </c>
      <c r="L13">
        <f t="array" ref="L13">SigmaFromP(テーブル2[[#This Row],[P]])</f>
        <v>6.5036382888884548E-3</v>
      </c>
      <c r="M13">
        <v>12</v>
      </c>
      <c r="N13">
        <v>3905.28</v>
      </c>
      <c r="O13" s="8">
        <v>2.8502295699234241E-6</v>
      </c>
      <c r="P13" s="8">
        <v>5.9847340050885548E-3</v>
      </c>
      <c r="Q13" s="8">
        <v>1.905E-3</v>
      </c>
      <c r="R13">
        <v>0.15240000000000001</v>
      </c>
      <c r="S13" s="15">
        <v>4119595.80078125</v>
      </c>
      <c r="T13">
        <v>532.84871111815698</v>
      </c>
      <c r="U13" s="12">
        <f>+T13+BG13*S13*テーブル2[[#This Row],[Pw]]*R13/(N13*O13*K13)</f>
        <v>576.80340223491476</v>
      </c>
      <c r="V13">
        <v>0.03</v>
      </c>
      <c r="W13" s="8">
        <f t="shared" si="0"/>
        <v>103007.80043660846</v>
      </c>
      <c r="X13">
        <v>2.85224803085561E-2</v>
      </c>
      <c r="Y13">
        <f t="shared" si="1"/>
        <v>5.9211539858301681</v>
      </c>
      <c r="Z13">
        <f t="shared" si="2"/>
        <v>5.9211539940556213</v>
      </c>
      <c r="AA13">
        <f t="shared" si="3"/>
        <v>-8.2254532074443887E-9</v>
      </c>
      <c r="AB13">
        <f t="shared" si="4"/>
        <v>8.9685669488103572E-6</v>
      </c>
      <c r="AC13">
        <v>660.32967746038969</v>
      </c>
      <c r="AD13">
        <f t="shared" si="5"/>
        <v>3075.3090688969974</v>
      </c>
      <c r="AE13">
        <f>+gettm2(AD13,AC13,AK13,AL13,テーブル2[[#This Row],[Fcorr]])</f>
        <v>576.80340223491464</v>
      </c>
      <c r="AF13" s="14">
        <f t="shared" si="6"/>
        <v>0</v>
      </c>
      <c r="AG13">
        <v>9.0140075816042139E-6</v>
      </c>
      <c r="AH13">
        <f t="shared" si="7"/>
        <v>87.019096709774388</v>
      </c>
      <c r="AI13">
        <f t="shared" si="8"/>
        <v>0.37317603204361366</v>
      </c>
      <c r="AJ13">
        <f t="shared" si="9"/>
        <v>29.103264317914672</v>
      </c>
      <c r="AK13">
        <f t="array" ref="AK13">+S13*テーブル2[[#This Row],[F_form]]/(E13*CpFromTP((テーブル2[[#This Row],[Tin]]+テーブル2[[#This Row],[Tf]])/2,テーブル2[[#This Row],[P]])*AI13)</f>
        <v>3.45580536947182</v>
      </c>
      <c r="AL13">
        <f t="shared" si="10"/>
        <v>1.1293680422758512</v>
      </c>
      <c r="AM13">
        <f t="shared" si="11"/>
        <v>608.62110606228043</v>
      </c>
      <c r="AN13">
        <f t="shared" si="12"/>
        <v>3.4825688999262638E-9</v>
      </c>
      <c r="AO13">
        <f t="shared" si="13"/>
        <v>4.5440632793856674E-8</v>
      </c>
      <c r="AP13">
        <v>4.1804653005391827</v>
      </c>
      <c r="AQ13">
        <f t="shared" si="14"/>
        <v>3.1202760847978883E-5</v>
      </c>
      <c r="AR13">
        <f t="shared" si="15"/>
        <v>4.5297241071990353E-6</v>
      </c>
      <c r="AS13">
        <f t="shared" si="16"/>
        <v>14.624988584221047</v>
      </c>
      <c r="AT13">
        <f t="shared" si="17"/>
        <v>10.363658062757668</v>
      </c>
      <c r="AU13">
        <f t="shared" si="18"/>
        <v>3.8674687933167107</v>
      </c>
      <c r="AV13">
        <f t="shared" si="19"/>
        <v>0.31299650722247208</v>
      </c>
      <c r="AW13">
        <f t="shared" si="20"/>
        <v>5.3920045278219473E-3</v>
      </c>
      <c r="AX13">
        <f t="shared" si="21"/>
        <v>0.31299650243076738</v>
      </c>
      <c r="AY13">
        <f t="shared" si="22"/>
        <v>4.7917046996914792E-9</v>
      </c>
      <c r="AZ13">
        <f t="shared" si="23"/>
        <v>1080577.4158407261</v>
      </c>
      <c r="BA13">
        <f t="shared" si="24"/>
        <v>7.4639444666493109E-6</v>
      </c>
      <c r="BB13" s="15">
        <f t="shared" si="25"/>
        <v>4110729.9133121297</v>
      </c>
      <c r="BC13" s="20">
        <f t="shared" si="26"/>
        <v>-8865.8874691203237</v>
      </c>
      <c r="BD13" s="19">
        <f t="shared" si="27"/>
        <v>-0.21521255719891197</v>
      </c>
      <c r="BE13" s="15">
        <v>4890250</v>
      </c>
      <c r="BF13" s="16">
        <f>テーブル2[[#This Row],[q_P]]/テーブル2[[#This Row],[q_M]]</f>
        <v>0.84059708876072381</v>
      </c>
      <c r="BG13">
        <v>1</v>
      </c>
      <c r="BH13">
        <v>-2.5999999999999999E-2</v>
      </c>
      <c r="BI13">
        <v>4.5999999999999999E-2</v>
      </c>
      <c r="BJ13">
        <v>5625</v>
      </c>
      <c r="BK13" s="22">
        <v>1</v>
      </c>
      <c r="BL13">
        <f>テーブル2[[#This Row],[Ts]]-テーブル2[[#This Row],[Tin]]</f>
        <v>75.772394947606017</v>
      </c>
      <c r="BM13">
        <f>テーブル2[[#This Row],[q_P]]*0.000001</f>
        <v>4.1107299133121291</v>
      </c>
      <c r="BN13">
        <f>テーブル2[[#This Row],[Tsub]]</f>
        <v>75.772394947606017</v>
      </c>
      <c r="BO13">
        <f>テーブル2[[#This Row],[Fcorr]]</f>
        <v>1</v>
      </c>
      <c r="BP13">
        <f>(テーブル2[[#This Row],[Tsub]]-40)^2</f>
        <v>1279.6642402875084</v>
      </c>
      <c r="BQ13">
        <v>1</v>
      </c>
      <c r="BR13">
        <v>0.15240000000000001</v>
      </c>
    </row>
    <row r="14" spans="1:70" x14ac:dyDescent="0.15">
      <c r="A14" s="9" t="s">
        <v>82</v>
      </c>
      <c r="B14">
        <v>13789520</v>
      </c>
      <c r="C14" s="22">
        <f t="array" ref="C14">TsatFromP(テーブル2[[#This Row],[P]])</f>
        <v>608.621106065763</v>
      </c>
      <c r="D14">
        <f t="array" ref="D14">RhoGFromP(テーブル2[[#This Row],[P]])</f>
        <v>85.147893581579396</v>
      </c>
      <c r="E14">
        <f t="array" ref="E14">RhoFFromP(テーブル2[[#This Row],[P]])</f>
        <v>624.86627494838649</v>
      </c>
      <c r="F14">
        <f t="array" ref="F14">HgFromP(テーブル2[[#This Row],[P]])</f>
        <v>2643264.389866509</v>
      </c>
      <c r="G14">
        <f t="array" ref="G14">HfFromP(テーブル2[[#This Row],[P]])</f>
        <v>1562686.9740257829</v>
      </c>
      <c r="H14">
        <f t="array" ref="H14">MuGFromP(テーブル2[[#This Row],[P]])</f>
        <v>2.2019594042733509E-5</v>
      </c>
      <c r="I14">
        <f t="array" ref="I14">MuFFromP(テーブル2[[#This Row],[P]])</f>
        <v>7.2223252690249831E-5</v>
      </c>
      <c r="J14">
        <f t="array" ref="J14">KfFromP(テーブル2[[#This Row],[P]])</f>
        <v>0.4911212487937569</v>
      </c>
      <c r="K14">
        <f t="array" ref="K14">CpFFromP(テーブル2[[#This Row],[P]])</f>
        <v>7679.7516396704104</v>
      </c>
      <c r="L14">
        <f t="array" ref="L14">SigmaFromP(テーブル2[[#This Row],[P]])</f>
        <v>6.5036382888884548E-3</v>
      </c>
      <c r="M14" s="23">
        <v>13</v>
      </c>
      <c r="N14">
        <v>3918.84</v>
      </c>
      <c r="O14" s="8">
        <v>2.8502295699234241E-6</v>
      </c>
      <c r="P14" s="8">
        <v>5.9847340050885548E-3</v>
      </c>
      <c r="Q14" s="8">
        <v>1.905E-3</v>
      </c>
      <c r="R14">
        <v>0.15240000000000001</v>
      </c>
      <c r="S14" s="15">
        <v>4409098.14453125</v>
      </c>
      <c r="T14">
        <v>527.29080640581196</v>
      </c>
      <c r="U14" s="12">
        <f>+T14+BG14*S14*テーブル2[[#This Row],[Pw]]*R14/(N14*O14*K14)</f>
        <v>574.17160885772421</v>
      </c>
      <c r="V14">
        <v>0.03</v>
      </c>
      <c r="W14" s="8">
        <f t="shared" si="0"/>
        <v>103365.46641034669</v>
      </c>
      <c r="X14">
        <v>2.848000064394542E-2</v>
      </c>
      <c r="Y14">
        <f t="shared" si="1"/>
        <v>5.9255682222598542</v>
      </c>
      <c r="Z14">
        <f t="shared" si="2"/>
        <v>5.9255682336923261</v>
      </c>
      <c r="AA14">
        <f t="shared" si="3"/>
        <v>-1.1432471858086046E-8</v>
      </c>
      <c r="AB14">
        <f t="shared" si="4"/>
        <v>8.919892873843587E-6</v>
      </c>
      <c r="AC14">
        <v>664.44691819118907</v>
      </c>
      <c r="AD14">
        <f t="shared" si="5"/>
        <v>3083.6883273361295</v>
      </c>
      <c r="AE14">
        <f>+gettm2(AD14,AC14,AK14,AL14,テーブル2[[#This Row],[Fcorr]])</f>
        <v>574.17160885772421</v>
      </c>
      <c r="AF14" s="14">
        <f t="shared" si="6"/>
        <v>0</v>
      </c>
      <c r="AG14">
        <v>8.9682919228015323E-6</v>
      </c>
      <c r="AH14">
        <f t="shared" si="7"/>
        <v>87.493942551164736</v>
      </c>
      <c r="AI14">
        <f t="shared" si="8"/>
        <v>0.37419282038772145</v>
      </c>
      <c r="AJ14">
        <f t="shared" si="9"/>
        <v>29.034558654578454</v>
      </c>
      <c r="AK14">
        <f t="array" ref="AK14">+S14*テーブル2[[#This Row],[F_form]]/(E14*CpFromTP((テーブル2[[#This Row],[Tin]]+テーブル2[[#This Row],[Tf]])/2,テーブル2[[#This Row],[P]])*AI14)</f>
        <v>3.7339786401632833</v>
      </c>
      <c r="AL14">
        <f t="shared" si="10"/>
        <v>1.1293680422758512</v>
      </c>
      <c r="AM14">
        <f t="shared" si="11"/>
        <v>608.62110606584679</v>
      </c>
      <c r="AN14">
        <f t="shared" si="12"/>
        <v>-8.3787199400831014E-11</v>
      </c>
      <c r="AO14">
        <f t="shared" si="13"/>
        <v>4.8399048957945318E-8</v>
      </c>
      <c r="AP14">
        <v>4.1875634716921528</v>
      </c>
      <c r="AQ14">
        <f t="shared" si="14"/>
        <v>3.1097069399789278E-5</v>
      </c>
      <c r="AR14">
        <f t="shared" si="15"/>
        <v>4.5083454858797388E-6</v>
      </c>
      <c r="AS14">
        <f t="shared" si="16"/>
        <v>14.595624514861818</v>
      </c>
      <c r="AT14">
        <f t="shared" si="17"/>
        <v>10.353608965175752</v>
      </c>
      <c r="AU14">
        <f t="shared" si="18"/>
        <v>3.8742461398707126</v>
      </c>
      <c r="AV14">
        <f t="shared" si="19"/>
        <v>0.31331733182144017</v>
      </c>
      <c r="AW14">
        <f t="shared" si="20"/>
        <v>5.3627411199546312E-3</v>
      </c>
      <c r="AX14">
        <f t="shared" si="21"/>
        <v>0.31331732690354175</v>
      </c>
      <c r="AY14">
        <f t="shared" si="22"/>
        <v>4.9178984218301025E-9</v>
      </c>
      <c r="AZ14">
        <f t="shared" si="23"/>
        <v>1080577.4158407261</v>
      </c>
      <c r="BA14">
        <f t="shared" si="24"/>
        <v>7.4260532670143055E-6</v>
      </c>
      <c r="BB14" s="15">
        <f t="shared" si="25"/>
        <v>4400699.7636365136</v>
      </c>
      <c r="BC14" s="20">
        <f t="shared" si="26"/>
        <v>-8398.3808947363868</v>
      </c>
      <c r="BD14" s="19">
        <f t="shared" si="27"/>
        <v>-0.19047842936209472</v>
      </c>
      <c r="BE14" s="15">
        <v>5426600</v>
      </c>
      <c r="BF14" s="16">
        <f>テーブル2[[#This Row],[q_P]]/テーブル2[[#This Row],[q_M]]</f>
        <v>0.8109497224111808</v>
      </c>
      <c r="BG14">
        <v>1</v>
      </c>
      <c r="BH14">
        <v>-1.2E-2</v>
      </c>
      <c r="BI14">
        <v>4.5999999999999999E-2</v>
      </c>
      <c r="BJ14">
        <v>5625</v>
      </c>
      <c r="BK14" s="22">
        <v>1</v>
      </c>
      <c r="BL14">
        <f>テーブル2[[#This Row],[Ts]]-テーブル2[[#This Row],[Tin]]</f>
        <v>81.330299659951038</v>
      </c>
      <c r="BM14">
        <f>テーブル2[[#This Row],[q_P]]*0.000001</f>
        <v>4.4006997636365135</v>
      </c>
      <c r="BN14">
        <f>テーブル2[[#This Row],[Tsub]]</f>
        <v>81.330299659951038</v>
      </c>
      <c r="BO14">
        <f>テーブル2[[#This Row],[Fcorr]]</f>
        <v>1</v>
      </c>
      <c r="BP14">
        <f>(テーブル2[[#This Row],[Tsub]]-40)^2</f>
        <v>1708.1936699813489</v>
      </c>
      <c r="BQ14">
        <v>1</v>
      </c>
      <c r="BR14">
        <v>0.15240000000000001</v>
      </c>
    </row>
    <row r="15" spans="1:70" x14ac:dyDescent="0.15">
      <c r="A15" s="9" t="s">
        <v>83</v>
      </c>
      <c r="B15">
        <v>13789520</v>
      </c>
      <c r="C15" s="22">
        <f t="array" ref="C15">TsatFromP(テーブル2[[#This Row],[P]])</f>
        <v>608.621106065763</v>
      </c>
      <c r="D15">
        <f t="array" ref="D15">RhoGFromP(テーブル2[[#This Row],[P]])</f>
        <v>85.147893581579396</v>
      </c>
      <c r="E15">
        <f t="array" ref="E15">RhoFFromP(テーブル2[[#This Row],[P]])</f>
        <v>624.86627494838649</v>
      </c>
      <c r="F15">
        <f t="array" ref="F15">HgFromP(テーブル2[[#This Row],[P]])</f>
        <v>2643264.389866509</v>
      </c>
      <c r="G15">
        <f t="array" ref="G15">HfFromP(テーブル2[[#This Row],[P]])</f>
        <v>1562686.9740257829</v>
      </c>
      <c r="H15">
        <f t="array" ref="H15">MuGFromP(テーブル2[[#This Row],[P]])</f>
        <v>2.2019594042733509E-5</v>
      </c>
      <c r="I15">
        <f t="array" ref="I15">MuFFromP(テーブル2[[#This Row],[P]])</f>
        <v>7.2223252690249831E-5</v>
      </c>
      <c r="J15">
        <f t="array" ref="J15">KfFromP(テーブル2[[#This Row],[P]])</f>
        <v>0.4911212487937569</v>
      </c>
      <c r="K15">
        <f t="array" ref="K15">CpFFromP(テーブル2[[#This Row],[P]])</f>
        <v>7679.7516396704104</v>
      </c>
      <c r="L15">
        <f t="array" ref="L15">SigmaFromP(テーブル2[[#This Row],[P]])</f>
        <v>6.5036382888884548E-3</v>
      </c>
      <c r="M15">
        <v>14</v>
      </c>
      <c r="N15">
        <v>2752.68</v>
      </c>
      <c r="O15" s="8">
        <v>1.6417322322758919E-5</v>
      </c>
      <c r="P15" s="8">
        <v>1.4363361612212531E-2</v>
      </c>
      <c r="Q15" s="8">
        <v>4.5719999999999997E-3</v>
      </c>
      <c r="R15">
        <v>0.29527500000000001</v>
      </c>
      <c r="S15" s="15">
        <v>321774.06251274992</v>
      </c>
      <c r="T15">
        <v>601.93187912108897</v>
      </c>
      <c r="U15" s="12">
        <f>+T15+BG15*S15*テーブル2[[#This Row],[Pw]]*R15/(N15*O15*K15)</f>
        <v>605.86401555928899</v>
      </c>
      <c r="V15">
        <v>0.03</v>
      </c>
      <c r="W15" s="8">
        <f t="shared" si="0"/>
        <v>174254.86240526263</v>
      </c>
      <c r="X15">
        <v>2.7158573194036369E-2</v>
      </c>
      <c r="Y15">
        <f t="shared" si="1"/>
        <v>6.0680133133750989</v>
      </c>
      <c r="Z15">
        <f t="shared" si="2"/>
        <v>6.0680133207566014</v>
      </c>
      <c r="AA15">
        <f t="shared" si="3"/>
        <v>-7.3815025203316509E-9</v>
      </c>
      <c r="AB15">
        <f t="shared" si="4"/>
        <v>1.895816474898977E-5</v>
      </c>
      <c r="AC15">
        <v>613.2711557366672</v>
      </c>
      <c r="AD15">
        <f t="shared" si="5"/>
        <v>5076.4883207282965</v>
      </c>
      <c r="AE15">
        <f>+gettm2(AD15,AC15,AK15,AL15,テーブル2[[#This Row],[Fcorr]])</f>
        <v>605.86401569200052</v>
      </c>
      <c r="AF15" s="14">
        <f t="shared" si="6"/>
        <v>1.3271153420646442E-7</v>
      </c>
      <c r="AG15">
        <v>1.896478839885297E-5</v>
      </c>
      <c r="AH15">
        <f t="shared" si="7"/>
        <v>41.166252377261465</v>
      </c>
      <c r="AI15">
        <f t="shared" si="8"/>
        <v>0.25667118949183038</v>
      </c>
      <c r="AJ15">
        <f t="shared" si="9"/>
        <v>42.114841125048379</v>
      </c>
      <c r="AK15">
        <f t="array" ref="AK15">+S15*テーブル2[[#This Row],[F_form]]/(E15*CpFromTP((テーブル2[[#This Row],[Tin]]+テーブル2[[#This Row],[Tf]])/2,テーブル2[[#This Row],[P]])*AI15)</f>
        <v>0.29125511877593935</v>
      </c>
      <c r="AL15">
        <f t="shared" si="10"/>
        <v>1.1293680422758512</v>
      </c>
      <c r="AM15">
        <f t="shared" si="11"/>
        <v>608.62110606539818</v>
      </c>
      <c r="AN15">
        <f t="shared" si="12"/>
        <v>3.6482106224866584E-10</v>
      </c>
      <c r="AO15">
        <f t="shared" si="13"/>
        <v>6.6236498632000443E-9</v>
      </c>
      <c r="AP15">
        <v>3.3935139564395369</v>
      </c>
      <c r="AQ15">
        <f t="shared" si="14"/>
        <v>4.7352508328700527E-5</v>
      </c>
      <c r="AR15">
        <f t="shared" si="15"/>
        <v>9.4857060243580852E-6</v>
      </c>
      <c r="AS15">
        <f t="shared" si="16"/>
        <v>21.064775085964943</v>
      </c>
      <c r="AT15">
        <f t="shared" si="17"/>
        <v>12.188011091150678</v>
      </c>
      <c r="AU15">
        <f t="shared" si="18"/>
        <v>3.1283113043052659</v>
      </c>
      <c r="AV15">
        <f t="shared" si="19"/>
        <v>0.26520265213427097</v>
      </c>
      <c r="AW15">
        <f t="shared" si="20"/>
        <v>1.1397864424628805E-2</v>
      </c>
      <c r="AX15">
        <f t="shared" si="21"/>
        <v>0.26520264341080008</v>
      </c>
      <c r="AY15">
        <f t="shared" si="22"/>
        <v>8.7234708900929547E-9</v>
      </c>
      <c r="AZ15">
        <f t="shared" si="23"/>
        <v>1080577.4158407261</v>
      </c>
      <c r="BA15">
        <f t="shared" si="24"/>
        <v>1.3953827488713974E-5</v>
      </c>
      <c r="BB15" s="15">
        <f t="shared" si="25"/>
        <v>320513.98924779519</v>
      </c>
      <c r="BC15" s="20">
        <f t="shared" si="26"/>
        <v>-1260.0732649547281</v>
      </c>
      <c r="BD15" s="19">
        <f t="shared" si="27"/>
        <v>-0.39160187589849604</v>
      </c>
      <c r="BE15" s="15">
        <v>2075990</v>
      </c>
      <c r="BF15" s="16">
        <f>テーブル2[[#This Row],[q_P]]/テーブル2[[#This Row],[q_M]]</f>
        <v>0.15439091192529597</v>
      </c>
      <c r="BG15">
        <v>1</v>
      </c>
      <c r="BH15">
        <v>0.13700000000000001</v>
      </c>
      <c r="BI15">
        <v>4.5999999999999999E-2</v>
      </c>
      <c r="BJ15">
        <v>5625</v>
      </c>
      <c r="BK15" s="22">
        <v>1</v>
      </c>
      <c r="BL15">
        <f>テーブル2[[#This Row],[Ts]]-テーブル2[[#This Row],[Tin]]</f>
        <v>6.6892269446740329</v>
      </c>
      <c r="BM15">
        <f>テーブル2[[#This Row],[q_P]]*0.000001</f>
        <v>0.32051398924779517</v>
      </c>
      <c r="BN15">
        <f>テーブル2[[#This Row],[Tsub]]</f>
        <v>6.6892269446740329</v>
      </c>
      <c r="BO15">
        <f>テーブル2[[#This Row],[Fcorr]]</f>
        <v>1</v>
      </c>
      <c r="BP15">
        <f>(テーブル2[[#This Row],[Tsub]]-40)^2</f>
        <v>1109.6076015434305</v>
      </c>
      <c r="BQ15">
        <v>1</v>
      </c>
      <c r="BR15">
        <v>0.29527500000000001</v>
      </c>
    </row>
    <row r="16" spans="1:70" x14ac:dyDescent="0.15">
      <c r="A16" s="9" t="s">
        <v>84</v>
      </c>
      <c r="B16">
        <v>13789520</v>
      </c>
      <c r="C16" s="22">
        <f t="array" ref="C16">TsatFromP(テーブル2[[#This Row],[P]])</f>
        <v>608.621106065763</v>
      </c>
      <c r="D16">
        <f t="array" ref="D16">RhoGFromP(テーブル2[[#This Row],[P]])</f>
        <v>85.147893581579396</v>
      </c>
      <c r="E16">
        <f t="array" ref="E16">RhoFFromP(テーブル2[[#This Row],[P]])</f>
        <v>624.86627494838649</v>
      </c>
      <c r="F16">
        <f t="array" ref="F16">HgFromP(テーブル2[[#This Row],[P]])</f>
        <v>2643264.389866509</v>
      </c>
      <c r="G16">
        <f t="array" ref="G16">HfFromP(テーブル2[[#This Row],[P]])</f>
        <v>1562686.9740257829</v>
      </c>
      <c r="H16">
        <f t="array" ref="H16">MuGFromP(テーブル2[[#This Row],[P]])</f>
        <v>2.2019594042733509E-5</v>
      </c>
      <c r="I16">
        <f t="array" ref="I16">MuFFromP(テーブル2[[#This Row],[P]])</f>
        <v>7.2223252690249831E-5</v>
      </c>
      <c r="J16">
        <f t="array" ref="J16">KfFromP(テーブル2[[#This Row],[P]])</f>
        <v>0.4911212487937569</v>
      </c>
      <c r="K16">
        <f t="array" ref="K16">CpFFromP(テーブル2[[#This Row],[P]])</f>
        <v>7679.7516396704104</v>
      </c>
      <c r="L16">
        <f t="array" ref="L16">SigmaFromP(テーブル2[[#This Row],[P]])</f>
        <v>6.5036382888884548E-3</v>
      </c>
      <c r="M16" s="23">
        <v>15</v>
      </c>
      <c r="N16">
        <v>3403.56</v>
      </c>
      <c r="O16" s="8">
        <v>1.6417322322758919E-5</v>
      </c>
      <c r="P16" s="8">
        <v>1.4363361612212531E-2</v>
      </c>
      <c r="Q16" s="8">
        <v>4.5719999999999997E-3</v>
      </c>
      <c r="R16">
        <v>0.29527500000000001</v>
      </c>
      <c r="S16" s="15">
        <v>786572.31796875002</v>
      </c>
      <c r="T16">
        <v>594.22932005256598</v>
      </c>
      <c r="U16" s="12">
        <f>+T16+BG16*S16*テーブル2[[#This Row],[Pw]]*R16/(N16*O16*K16)</f>
        <v>602.00321235179035</v>
      </c>
      <c r="V16">
        <v>0.03</v>
      </c>
      <c r="W16" s="8">
        <f t="shared" si="0"/>
        <v>215457.98257990601</v>
      </c>
      <c r="X16">
        <v>2.4843562133097241E-2</v>
      </c>
      <c r="Y16">
        <f t="shared" si="1"/>
        <v>6.3444366739096001</v>
      </c>
      <c r="Z16">
        <f t="shared" si="2"/>
        <v>6.3444367045684293</v>
      </c>
      <c r="AA16">
        <f t="shared" si="3"/>
        <v>-3.0658829253127351E-8</v>
      </c>
      <c r="AB16">
        <f t="shared" si="4"/>
        <v>1.3556076460717959E-5</v>
      </c>
      <c r="AC16">
        <v>618.60538220428577</v>
      </c>
      <c r="AD16">
        <f t="shared" si="5"/>
        <v>6003.3620151630266</v>
      </c>
      <c r="AE16">
        <f>+gettm2(AD16,AC16,AK16,AL16,テーブル2[[#This Row],[Fcorr]])</f>
        <v>602.00321235179024</v>
      </c>
      <c r="AF16" s="14">
        <f t="shared" si="6"/>
        <v>0</v>
      </c>
      <c r="AG16">
        <v>1.356822086096796E-5</v>
      </c>
      <c r="AH16">
        <f t="shared" si="7"/>
        <v>57.570979105061859</v>
      </c>
      <c r="AI16">
        <f t="shared" si="8"/>
        <v>0.3035346428534485</v>
      </c>
      <c r="AJ16">
        <f t="shared" si="9"/>
        <v>35.6320829965344</v>
      </c>
      <c r="AK16">
        <f t="array" ref="AK16">+S16*テーブル2[[#This Row],[F_form]]/(E16*CpFromTP((テーブル2[[#This Row],[Tin]]+テーブル2[[#This Row],[Tf]])/2,テーブル2[[#This Row],[P]])*AI16)</f>
        <v>0.64217182619297053</v>
      </c>
      <c r="AL16">
        <f t="shared" si="10"/>
        <v>1.1293680422758512</v>
      </c>
      <c r="AM16">
        <f t="shared" si="11"/>
        <v>608.62110606356453</v>
      </c>
      <c r="AN16">
        <f t="shared" si="12"/>
        <v>2.1984760678606108E-9</v>
      </c>
      <c r="AO16">
        <f t="shared" si="13"/>
        <v>1.2144400250001326E-8</v>
      </c>
      <c r="AP16">
        <v>3.7318191102142819</v>
      </c>
      <c r="AQ16">
        <f t="shared" si="14"/>
        <v>3.915625063763451E-5</v>
      </c>
      <c r="AR16">
        <f t="shared" si="15"/>
        <v>6.7901826306089808E-6</v>
      </c>
      <c r="AS16">
        <f t="shared" si="16"/>
        <v>17.831987961775031</v>
      </c>
      <c r="AT16">
        <f t="shared" si="17"/>
        <v>11.354969604961067</v>
      </c>
      <c r="AU16">
        <f t="shared" si="18"/>
        <v>3.4466266436536204</v>
      </c>
      <c r="AV16">
        <f t="shared" si="19"/>
        <v>0.28519246656066155</v>
      </c>
      <c r="AW16">
        <f t="shared" si="20"/>
        <v>8.1500674603747509E-3</v>
      </c>
      <c r="AX16">
        <f t="shared" si="21"/>
        <v>0.28519246407843218</v>
      </c>
      <c r="AY16">
        <f t="shared" si="22"/>
        <v>2.4822293664961137E-9</v>
      </c>
      <c r="AZ16">
        <f t="shared" si="23"/>
        <v>1080577.4158407261</v>
      </c>
      <c r="BA16">
        <f t="shared" si="24"/>
        <v>1.0492537146417622E-5</v>
      </c>
      <c r="BB16" s="15">
        <f t="shared" si="25"/>
        <v>781517.17891246104</v>
      </c>
      <c r="BC16" s="20">
        <f t="shared" si="26"/>
        <v>-5055.1390562889865</v>
      </c>
      <c r="BD16" s="19">
        <f t="shared" si="27"/>
        <v>-0.64267950203783086</v>
      </c>
      <c r="BE16" s="15">
        <v>2161175</v>
      </c>
      <c r="BF16" s="16">
        <f>テーブル2[[#This Row],[q_P]]/テーブル2[[#This Row],[q_M]]</f>
        <v>0.36161679591539836</v>
      </c>
      <c r="BG16">
        <v>1</v>
      </c>
      <c r="BH16">
        <v>6.0999999999999999E-2</v>
      </c>
      <c r="BI16">
        <v>4.5999999999999999E-2</v>
      </c>
      <c r="BJ16">
        <v>5625</v>
      </c>
      <c r="BK16" s="22">
        <v>1</v>
      </c>
      <c r="BL16">
        <f>テーブル2[[#This Row],[Ts]]-テーブル2[[#This Row],[Tin]]</f>
        <v>14.39178601319702</v>
      </c>
      <c r="BM16">
        <f>テーブル2[[#This Row],[q_P]]*0.000001</f>
        <v>0.78151717891246097</v>
      </c>
      <c r="BN16">
        <f>テーブル2[[#This Row],[Tsub]]</f>
        <v>14.39178601319702</v>
      </c>
      <c r="BO16">
        <f>テーブル2[[#This Row],[Fcorr]]</f>
        <v>1</v>
      </c>
      <c r="BP16">
        <f>(テーブル2[[#This Row],[Tsub]]-40)^2</f>
        <v>655.78062359389173</v>
      </c>
      <c r="BQ16">
        <v>1</v>
      </c>
      <c r="BR16">
        <v>0.29527500000000001</v>
      </c>
    </row>
    <row r="17" spans="1:70" x14ac:dyDescent="0.15">
      <c r="A17" s="9" t="s">
        <v>85</v>
      </c>
      <c r="B17">
        <v>13789520</v>
      </c>
      <c r="C17" s="22">
        <f t="array" ref="C17">TsatFromP(テーブル2[[#This Row],[P]])</f>
        <v>608.621106065763</v>
      </c>
      <c r="D17">
        <f t="array" ref="D17">RhoGFromP(テーブル2[[#This Row],[P]])</f>
        <v>85.147893581579396</v>
      </c>
      <c r="E17">
        <f t="array" ref="E17">RhoFFromP(テーブル2[[#This Row],[P]])</f>
        <v>624.86627494838649</v>
      </c>
      <c r="F17">
        <f t="array" ref="F17">HgFromP(テーブル2[[#This Row],[P]])</f>
        <v>2643264.389866509</v>
      </c>
      <c r="G17">
        <f t="array" ref="G17">HfFromP(テーブル2[[#This Row],[P]])</f>
        <v>1562686.9740257829</v>
      </c>
      <c r="H17">
        <f t="array" ref="H17">MuGFromP(テーブル2[[#This Row],[P]])</f>
        <v>2.2019594042733509E-5</v>
      </c>
      <c r="I17">
        <f t="array" ref="I17">MuFFromP(テーブル2[[#This Row],[P]])</f>
        <v>7.2223252690249831E-5</v>
      </c>
      <c r="J17">
        <f t="array" ref="J17">KfFromP(テーブル2[[#This Row],[P]])</f>
        <v>0.4911212487937569</v>
      </c>
      <c r="K17">
        <f t="array" ref="K17">CpFFromP(テーブル2[[#This Row],[P]])</f>
        <v>7679.7516396704104</v>
      </c>
      <c r="L17">
        <f t="array" ref="L17">SigmaFromP(テーブル2[[#This Row],[P]])</f>
        <v>6.5036382888884548E-3</v>
      </c>
      <c r="M17">
        <v>16</v>
      </c>
      <c r="N17">
        <v>3403.56</v>
      </c>
      <c r="O17" s="8">
        <v>1.6417322322758919E-5</v>
      </c>
      <c r="P17" s="8">
        <v>1.4363361612212531E-2</v>
      </c>
      <c r="Q17" s="8">
        <v>4.5719999999999997E-3</v>
      </c>
      <c r="R17">
        <v>0.29527500000000001</v>
      </c>
      <c r="S17" s="15">
        <v>344955.48828125</v>
      </c>
      <c r="T17">
        <v>602.50136996683705</v>
      </c>
      <c r="U17" s="12">
        <f>+T17+BG17*S17*テーブル2[[#This Row],[Pw]]*R17/(N17*O17*K17)</f>
        <v>605.91065192688609</v>
      </c>
      <c r="V17">
        <v>0.03</v>
      </c>
      <c r="W17" s="8">
        <f t="shared" si="0"/>
        <v>215457.98257990601</v>
      </c>
      <c r="X17">
        <v>2.4843562133097241E-2</v>
      </c>
      <c r="Y17">
        <f t="shared" si="1"/>
        <v>6.3444366739096001</v>
      </c>
      <c r="Z17">
        <f t="shared" si="2"/>
        <v>6.3444367045684293</v>
      </c>
      <c r="AA17">
        <f t="shared" si="3"/>
        <v>-3.0658829253127351E-8</v>
      </c>
      <c r="AB17">
        <f t="shared" si="4"/>
        <v>1.3556076460717959E-5</v>
      </c>
      <c r="AC17">
        <v>612.7094915474828</v>
      </c>
      <c r="AD17">
        <f t="shared" si="5"/>
        <v>6003.3620151630266</v>
      </c>
      <c r="AE17">
        <f>+gettm2(AD17,AC17,AK17,AL17,テーブル2[[#This Row],[Fcorr]])</f>
        <v>605.91065192688598</v>
      </c>
      <c r="AF17" s="14">
        <f t="shared" si="6"/>
        <v>0</v>
      </c>
      <c r="AG17">
        <v>1.3561482584748249E-5</v>
      </c>
      <c r="AH17">
        <f t="shared" si="7"/>
        <v>57.570979105061859</v>
      </c>
      <c r="AI17">
        <f t="shared" si="8"/>
        <v>0.3035346428534485</v>
      </c>
      <c r="AJ17">
        <f t="shared" si="9"/>
        <v>35.61438732221022</v>
      </c>
      <c r="AK17">
        <f t="array" ref="AK17">+S17*テーブル2[[#This Row],[F_form]]/(E17*CpFromTP((テーブル2[[#This Row],[Tin]]+テーブル2[[#This Row],[Tf]])/2,テーブル2[[#This Row],[P]])*AI17)</f>
        <v>0.26297907405732857</v>
      </c>
      <c r="AL17">
        <f t="shared" si="10"/>
        <v>1.1293680422758512</v>
      </c>
      <c r="AM17">
        <f t="shared" si="11"/>
        <v>608.62110606487875</v>
      </c>
      <c r="AN17">
        <f t="shared" si="12"/>
        <v>8.8425622379872948E-10</v>
      </c>
      <c r="AO17">
        <f t="shared" si="13"/>
        <v>5.4061240302904958E-9</v>
      </c>
      <c r="AP17">
        <v>3.73041933663582</v>
      </c>
      <c r="AQ17">
        <f t="shared" si="14"/>
        <v>3.9185641525545473E-5</v>
      </c>
      <c r="AR17">
        <f t="shared" si="15"/>
        <v>6.78344435438927E-6</v>
      </c>
      <c r="AS17">
        <f t="shared" si="16"/>
        <v>17.814292287450844</v>
      </c>
      <c r="AT17">
        <f t="shared" si="17"/>
        <v>11.350005363067076</v>
      </c>
      <c r="AU17">
        <f t="shared" si="18"/>
        <v>3.4451198242632901</v>
      </c>
      <c r="AV17">
        <f t="shared" si="19"/>
        <v>0.28529951237252993</v>
      </c>
      <c r="AW17">
        <f t="shared" si="20"/>
        <v>8.1500674603747509E-3</v>
      </c>
      <c r="AX17">
        <f t="shared" si="21"/>
        <v>0.28529947748362045</v>
      </c>
      <c r="AY17">
        <f t="shared" si="22"/>
        <v>3.4888909483665742E-8</v>
      </c>
      <c r="AZ17">
        <f t="shared" si="23"/>
        <v>1080577.4158407261</v>
      </c>
      <c r="BA17">
        <f t="shared" si="24"/>
        <v>1.0504352993431566E-5</v>
      </c>
      <c r="BB17" s="15">
        <f t="shared" si="25"/>
        <v>347503.88956609776</v>
      </c>
      <c r="BC17" s="20">
        <f t="shared" si="26"/>
        <v>2548.4012848477578</v>
      </c>
      <c r="BD17" s="19">
        <f t="shared" si="27"/>
        <v>0.73876235381707822</v>
      </c>
      <c r="BE17" s="15">
        <v>1687925</v>
      </c>
      <c r="BF17" s="16">
        <f>テーブル2[[#This Row],[q_P]]/テーブル2[[#This Row],[q_M]]</f>
        <v>0.20587638050630078</v>
      </c>
      <c r="BG17">
        <v>1</v>
      </c>
      <c r="BH17">
        <v>7.9000000000000001E-2</v>
      </c>
      <c r="BI17">
        <v>4.5999999999999999E-2</v>
      </c>
      <c r="BJ17">
        <v>5625</v>
      </c>
      <c r="BK17" s="22">
        <v>1</v>
      </c>
      <c r="BL17">
        <f>テーブル2[[#This Row],[Ts]]-テーブル2[[#This Row],[Tin]]</f>
        <v>6.119736098925955</v>
      </c>
      <c r="BM17">
        <f>テーブル2[[#This Row],[q_P]]*0.000001</f>
        <v>0.34750388956609773</v>
      </c>
      <c r="BN17">
        <f>テーブル2[[#This Row],[Tsub]]</f>
        <v>6.119736098925955</v>
      </c>
      <c r="BO17">
        <f>テーブル2[[#This Row],[Fcorr]]</f>
        <v>1</v>
      </c>
      <c r="BP17">
        <f>(テーブル2[[#This Row],[Tsub]]-40)^2</f>
        <v>1147.8722820064211</v>
      </c>
      <c r="BQ17">
        <v>1</v>
      </c>
      <c r="BR17">
        <v>0.29527500000000001</v>
      </c>
    </row>
    <row r="18" spans="1:70" x14ac:dyDescent="0.15">
      <c r="A18" s="9" t="s">
        <v>86</v>
      </c>
      <c r="B18">
        <v>13789520</v>
      </c>
      <c r="C18" s="22">
        <f t="array" ref="C18">TsatFromP(テーブル2[[#This Row],[P]])</f>
        <v>608.621106065763</v>
      </c>
      <c r="D18">
        <f t="array" ref="D18">RhoGFromP(テーブル2[[#This Row],[P]])</f>
        <v>85.147893581579396</v>
      </c>
      <c r="E18">
        <f t="array" ref="E18">RhoFFromP(テーブル2[[#This Row],[P]])</f>
        <v>624.86627494838649</v>
      </c>
      <c r="F18">
        <f t="array" ref="F18">HgFromP(テーブル2[[#This Row],[P]])</f>
        <v>2643264.389866509</v>
      </c>
      <c r="G18">
        <f t="array" ref="G18">HfFromP(テーブル2[[#This Row],[P]])</f>
        <v>1562686.9740257829</v>
      </c>
      <c r="H18">
        <f t="array" ref="H18">MuGFromP(テーブル2[[#This Row],[P]])</f>
        <v>2.2019594042733509E-5</v>
      </c>
      <c r="I18">
        <f t="array" ref="I18">MuFFromP(テーブル2[[#This Row],[P]])</f>
        <v>7.2223252690249831E-5</v>
      </c>
      <c r="J18">
        <f t="array" ref="J18">KfFromP(テーブル2[[#This Row],[P]])</f>
        <v>0.4911212487937569</v>
      </c>
      <c r="K18">
        <f t="array" ref="K18">CpFFromP(テーブル2[[#This Row],[P]])</f>
        <v>7679.7516396704104</v>
      </c>
      <c r="L18">
        <f t="array" ref="L18">SigmaFromP(テーブル2[[#This Row],[P]])</f>
        <v>6.5036382888884548E-3</v>
      </c>
      <c r="M18" s="23">
        <v>17</v>
      </c>
      <c r="N18">
        <v>3403.56</v>
      </c>
      <c r="O18" s="8">
        <v>1.6417322322758919E-5</v>
      </c>
      <c r="P18" s="8">
        <v>1.4363361612212531E-2</v>
      </c>
      <c r="Q18" s="8">
        <v>4.5719999999999997E-3</v>
      </c>
      <c r="R18">
        <v>0.29527500000000001</v>
      </c>
      <c r="S18" s="15">
        <v>376168.39453125</v>
      </c>
      <c r="T18">
        <v>601.93187912108897</v>
      </c>
      <c r="U18" s="12">
        <f>+T18+BG18*S18*テーブル2[[#This Row],[Pw]]*R18/(N18*O18*K18)</f>
        <v>605.64964609388278</v>
      </c>
      <c r="V18">
        <v>0.03</v>
      </c>
      <c r="W18" s="8">
        <f t="shared" si="0"/>
        <v>215457.98257990601</v>
      </c>
      <c r="X18">
        <v>2.4843562133097241E-2</v>
      </c>
      <c r="Y18">
        <f t="shared" si="1"/>
        <v>6.3444366739096001</v>
      </c>
      <c r="Z18">
        <f t="shared" si="2"/>
        <v>6.3444367045684293</v>
      </c>
      <c r="AA18">
        <f t="shared" si="3"/>
        <v>-3.0658829253127351E-8</v>
      </c>
      <c r="AB18">
        <f t="shared" si="4"/>
        <v>1.3556076460717959E-5</v>
      </c>
      <c r="AC18">
        <v>613.10325357419856</v>
      </c>
      <c r="AD18">
        <f t="shared" si="5"/>
        <v>6003.3620151630266</v>
      </c>
      <c r="AE18">
        <f>+gettm2(AD18,AC18,AK18,AL18,テーブル2[[#This Row],[Fcorr]])</f>
        <v>605.64964609388267</v>
      </c>
      <c r="AF18" s="14">
        <f t="shared" si="6"/>
        <v>0</v>
      </c>
      <c r="AG18">
        <v>1.356198476616838E-5</v>
      </c>
      <c r="AH18">
        <f t="shared" si="7"/>
        <v>57.570979105061859</v>
      </c>
      <c r="AI18">
        <f t="shared" si="8"/>
        <v>0.3035346428534485</v>
      </c>
      <c r="AJ18">
        <f t="shared" si="9"/>
        <v>35.615706122237484</v>
      </c>
      <c r="AK18">
        <f t="array" ref="AK18">+S18*テーブル2[[#This Row],[F_form]]/(E18*CpFromTP((テーブル2[[#This Row],[Tin]]+テーブル2[[#This Row],[Tf]])/2,テーブル2[[#This Row],[P]])*AI18)</f>
        <v>0.28830549078140694</v>
      </c>
      <c r="AL18">
        <f t="shared" si="10"/>
        <v>1.1293680422758512</v>
      </c>
      <c r="AM18">
        <f t="shared" si="11"/>
        <v>608.62110606479223</v>
      </c>
      <c r="AN18">
        <f t="shared" si="12"/>
        <v>9.7077190730487928E-10</v>
      </c>
      <c r="AO18">
        <f t="shared" si="13"/>
        <v>5.9083054504209634E-9</v>
      </c>
      <c r="AP18">
        <v>3.7305237047783102</v>
      </c>
      <c r="AQ18">
        <f t="shared" si="14"/>
        <v>3.9183448977939233E-5</v>
      </c>
      <c r="AR18">
        <f t="shared" si="15"/>
        <v>6.7839465358094004E-6</v>
      </c>
      <c r="AS18">
        <f t="shared" si="16"/>
        <v>17.815611087478111</v>
      </c>
      <c r="AT18">
        <f t="shared" si="17"/>
        <v>11.350375501603235</v>
      </c>
      <c r="AU18">
        <f t="shared" si="18"/>
        <v>3.4452321741316694</v>
      </c>
      <c r="AV18">
        <f t="shared" si="19"/>
        <v>0.28529153064664081</v>
      </c>
      <c r="AW18">
        <f t="shared" si="20"/>
        <v>8.1500674603747509E-3</v>
      </c>
      <c r="AX18">
        <f t="shared" si="21"/>
        <v>0.28529149571514106</v>
      </c>
      <c r="AY18">
        <f t="shared" si="22"/>
        <v>3.493149974831411E-8</v>
      </c>
      <c r="AZ18">
        <f t="shared" si="23"/>
        <v>1080577.4158407261</v>
      </c>
      <c r="BA18">
        <f t="shared" si="24"/>
        <v>1.0503471383320895E-5</v>
      </c>
      <c r="BB18" s="15">
        <f t="shared" si="25"/>
        <v>379815.82468596677</v>
      </c>
      <c r="BC18" s="20">
        <f t="shared" si="26"/>
        <v>3647.4301547167706</v>
      </c>
      <c r="BD18" s="19">
        <f t="shared" si="27"/>
        <v>0.96962695636934015</v>
      </c>
      <c r="BE18" s="15">
        <v>1687925</v>
      </c>
      <c r="BF18" s="16">
        <f>テーブル2[[#This Row],[q_P]]/テーブル2[[#This Row],[q_M]]</f>
        <v>0.22501937271263045</v>
      </c>
      <c r="BG18">
        <v>1</v>
      </c>
      <c r="BH18">
        <v>7.4999999999999997E-2</v>
      </c>
      <c r="BI18">
        <v>4.5999999999999999E-2</v>
      </c>
      <c r="BJ18">
        <v>5625</v>
      </c>
      <c r="BK18" s="22">
        <v>1</v>
      </c>
      <c r="BL18">
        <f>テーブル2[[#This Row],[Ts]]-テーブル2[[#This Row],[Tin]]</f>
        <v>6.6892269446740329</v>
      </c>
      <c r="BM18">
        <f>テーブル2[[#This Row],[q_P]]*0.000001</f>
        <v>0.37981582468596675</v>
      </c>
      <c r="BN18">
        <f>テーブル2[[#This Row],[Tsub]]</f>
        <v>6.6892269446740329</v>
      </c>
      <c r="BO18">
        <f>テーブル2[[#This Row],[Fcorr]]</f>
        <v>1</v>
      </c>
      <c r="BP18">
        <f>(テーブル2[[#This Row],[Tsub]]-40)^2</f>
        <v>1109.6076015434305</v>
      </c>
      <c r="BQ18">
        <v>1</v>
      </c>
      <c r="BR18">
        <v>0.29527500000000001</v>
      </c>
    </row>
    <row r="19" spans="1:70" x14ac:dyDescent="0.15">
      <c r="A19" s="9" t="s">
        <v>87</v>
      </c>
      <c r="B19">
        <v>13789520</v>
      </c>
      <c r="C19" s="22">
        <f t="array" ref="C19">TsatFromP(テーブル2[[#This Row],[P]])</f>
        <v>608.621106065763</v>
      </c>
      <c r="D19">
        <f t="array" ref="D19">RhoGFromP(テーブル2[[#This Row],[P]])</f>
        <v>85.147893581579396</v>
      </c>
      <c r="E19">
        <f t="array" ref="E19">RhoFFromP(テーブル2[[#This Row],[P]])</f>
        <v>624.86627494838649</v>
      </c>
      <c r="F19">
        <f t="array" ref="F19">HgFromP(テーブル2[[#This Row],[P]])</f>
        <v>2643264.389866509</v>
      </c>
      <c r="G19">
        <f t="array" ref="G19">HfFromP(テーブル2[[#This Row],[P]])</f>
        <v>1562686.9740257829</v>
      </c>
      <c r="H19">
        <f t="array" ref="H19">MuGFromP(テーブル2[[#This Row],[P]])</f>
        <v>2.2019594042733509E-5</v>
      </c>
      <c r="I19">
        <f t="array" ref="I19">MuFFromP(テーブル2[[#This Row],[P]])</f>
        <v>7.2223252690249831E-5</v>
      </c>
      <c r="J19">
        <f t="array" ref="J19">KfFromP(テーブル2[[#This Row],[P]])</f>
        <v>0.4911212487937569</v>
      </c>
      <c r="K19">
        <f t="array" ref="K19">CpFFromP(テーブル2[[#This Row],[P]])</f>
        <v>7679.7516396704104</v>
      </c>
      <c r="L19">
        <f t="array" ref="L19">SigmaFromP(テーブル2[[#This Row],[P]])</f>
        <v>6.5036382888884548E-3</v>
      </c>
      <c r="M19">
        <v>18</v>
      </c>
      <c r="N19">
        <v>3403.56</v>
      </c>
      <c r="O19" s="8">
        <v>1.6417322322758919E-5</v>
      </c>
      <c r="P19" s="8">
        <v>1.4363361612212531E-2</v>
      </c>
      <c r="Q19" s="8">
        <v>4.5719999999999997E-3</v>
      </c>
      <c r="R19">
        <v>0.29527500000000001</v>
      </c>
      <c r="S19" s="15">
        <v>699206.40234375</v>
      </c>
      <c r="T19">
        <v>595.90081561821296</v>
      </c>
      <c r="U19" s="12">
        <f>+T19+BG19*S19*テーブル2[[#This Row],[Pw]]*R19/(N19*O19*K19)</f>
        <v>602.81124857215332</v>
      </c>
      <c r="V19">
        <v>0.03</v>
      </c>
      <c r="W19" s="8">
        <f t="shared" si="0"/>
        <v>215457.98257990601</v>
      </c>
      <c r="X19">
        <v>2.4843562133097241E-2</v>
      </c>
      <c r="Y19">
        <f t="shared" si="1"/>
        <v>6.3444366739096001</v>
      </c>
      <c r="Z19">
        <f t="shared" si="2"/>
        <v>6.3444367045684293</v>
      </c>
      <c r="AA19">
        <f t="shared" si="3"/>
        <v>-3.0658829253127351E-8</v>
      </c>
      <c r="AB19">
        <f t="shared" si="4"/>
        <v>1.3556076460717959E-5</v>
      </c>
      <c r="AC19">
        <v>617.38597445283654</v>
      </c>
      <c r="AD19">
        <f t="shared" si="5"/>
        <v>6003.3620151630266</v>
      </c>
      <c r="AE19">
        <f>+gettm2(AD19,AC19,AK19,AL19,テーブル2[[#This Row],[Fcorr]])</f>
        <v>602.81124874601301</v>
      </c>
      <c r="AF19" s="14">
        <f t="shared" si="6"/>
        <v>1.7385968931193929E-7</v>
      </c>
      <c r="AG19">
        <v>1.3566914820874021E-5</v>
      </c>
      <c r="AH19">
        <f t="shared" si="7"/>
        <v>57.570979105061859</v>
      </c>
      <c r="AI19">
        <f t="shared" si="8"/>
        <v>0.3035346428534485</v>
      </c>
      <c r="AJ19">
        <f t="shared" si="9"/>
        <v>35.628653148988363</v>
      </c>
      <c r="AK19">
        <f t="array" ref="AK19">+S19*テーブル2[[#This Row],[F_form]]/(E19*CpFromTP((テーブル2[[#This Row],[Tin]]+テーブル2[[#This Row],[Tf]])/2,テーブル2[[#This Row],[P]])*AI19)</f>
        <v>0.56375029930232989</v>
      </c>
      <c r="AL19">
        <f t="shared" si="10"/>
        <v>1.1293680422758512</v>
      </c>
      <c r="AM19">
        <f t="shared" si="11"/>
        <v>608.62110606383965</v>
      </c>
      <c r="AN19">
        <f t="shared" si="12"/>
        <v>1.9233539205743E-9</v>
      </c>
      <c r="AO19">
        <f t="shared" si="13"/>
        <v>1.0838360156061787E-8</v>
      </c>
      <c r="AP19">
        <v>3.7315478972997971</v>
      </c>
      <c r="AQ19">
        <f t="shared" si="14"/>
        <v>3.9161942681297307E-5</v>
      </c>
      <c r="AR19">
        <f t="shared" si="15"/>
        <v>6.7888765905150413E-6</v>
      </c>
      <c r="AS19">
        <f t="shared" si="16"/>
        <v>17.828558114228994</v>
      </c>
      <c r="AT19">
        <f t="shared" si="17"/>
        <v>11.354007800408409</v>
      </c>
      <c r="AU19">
        <f t="shared" si="18"/>
        <v>3.4463347026522348</v>
      </c>
      <c r="AV19">
        <f t="shared" si="19"/>
        <v>0.28521319464756223</v>
      </c>
      <c r="AW19">
        <f t="shared" si="20"/>
        <v>8.1500674603747509E-3</v>
      </c>
      <c r="AX19">
        <f t="shared" si="21"/>
        <v>0.28521319217344815</v>
      </c>
      <c r="AY19">
        <f t="shared" si="22"/>
        <v>2.4741140802753137E-9</v>
      </c>
      <c r="AZ19">
        <f t="shared" si="23"/>
        <v>1080577.4158407261</v>
      </c>
      <c r="BA19">
        <f t="shared" si="24"/>
        <v>1.0494825139357172E-5</v>
      </c>
      <c r="BB19" s="15">
        <f t="shared" si="25"/>
        <v>697318.75116686395</v>
      </c>
      <c r="BC19" s="20">
        <f t="shared" si="26"/>
        <v>-1887.651176886051</v>
      </c>
      <c r="BD19" s="19">
        <f t="shared" si="27"/>
        <v>-0.26997052237488345</v>
      </c>
      <c r="BE19" s="15">
        <v>2665975</v>
      </c>
      <c r="BF19" s="16">
        <f>テーブル2[[#This Row],[q_P]]/テーブル2[[#This Row],[q_M]]</f>
        <v>0.26156237442844138</v>
      </c>
      <c r="BG19">
        <v>1</v>
      </c>
      <c r="BH19">
        <v>0.107</v>
      </c>
      <c r="BI19">
        <v>4.5999999999999999E-2</v>
      </c>
      <c r="BJ19">
        <v>5625</v>
      </c>
      <c r="BK19" s="22">
        <v>1</v>
      </c>
      <c r="BL19">
        <f>テーブル2[[#This Row],[Ts]]-テーブル2[[#This Row],[Tin]]</f>
        <v>12.720290447550042</v>
      </c>
      <c r="BM19">
        <f>テーブル2[[#This Row],[q_P]]*0.000001</f>
        <v>0.69731875116686393</v>
      </c>
      <c r="BN19">
        <f>テーブル2[[#This Row],[Tsub]]</f>
        <v>12.720290447550042</v>
      </c>
      <c r="BO19">
        <f>テーブル2[[#This Row],[Fcorr]]</f>
        <v>1</v>
      </c>
      <c r="BP19">
        <f>(テーブル2[[#This Row],[Tsub]]-40)^2</f>
        <v>744.18255326602946</v>
      </c>
      <c r="BQ19">
        <v>1</v>
      </c>
      <c r="BR19">
        <v>0.29527500000000001</v>
      </c>
    </row>
    <row r="20" spans="1:70" x14ac:dyDescent="0.15">
      <c r="A20" s="9" t="s">
        <v>88</v>
      </c>
      <c r="B20">
        <v>13789520</v>
      </c>
      <c r="C20" s="22">
        <f t="array" ref="C20">TsatFromP(テーブル2[[#This Row],[P]])</f>
        <v>608.621106065763</v>
      </c>
      <c r="D20">
        <f t="array" ref="D20">RhoGFromP(テーブル2[[#This Row],[P]])</f>
        <v>85.147893581579396</v>
      </c>
      <c r="E20">
        <f t="array" ref="E20">RhoFFromP(テーブル2[[#This Row],[P]])</f>
        <v>624.86627494838649</v>
      </c>
      <c r="F20">
        <f t="array" ref="F20">HgFromP(テーブル2[[#This Row],[P]])</f>
        <v>2643264.389866509</v>
      </c>
      <c r="G20">
        <f t="array" ref="G20">HfFromP(テーブル2[[#This Row],[P]])</f>
        <v>1562686.9740257829</v>
      </c>
      <c r="H20">
        <f t="array" ref="H20">MuGFromP(テーブル2[[#This Row],[P]])</f>
        <v>2.2019594042733509E-5</v>
      </c>
      <c r="I20">
        <f t="array" ref="I20">MuFFromP(テーブル2[[#This Row],[P]])</f>
        <v>7.2223252690249831E-5</v>
      </c>
      <c r="J20">
        <f t="array" ref="J20">KfFromP(テーブル2[[#This Row],[P]])</f>
        <v>0.4911212487937569</v>
      </c>
      <c r="K20">
        <f t="array" ref="K20">CpFFromP(テーブル2[[#This Row],[P]])</f>
        <v>7679.7516396704104</v>
      </c>
      <c r="L20">
        <f t="array" ref="L20">SigmaFromP(テーブル2[[#This Row],[P]])</f>
        <v>6.5036382888884548E-3</v>
      </c>
      <c r="M20" s="23">
        <v>19</v>
      </c>
      <c r="N20">
        <v>3444.24</v>
      </c>
      <c r="O20" s="8">
        <v>1.6417322322758919E-5</v>
      </c>
      <c r="P20" s="8">
        <v>1.4363361612212531E-2</v>
      </c>
      <c r="Q20" s="8">
        <v>4.5719999999999997E-3</v>
      </c>
      <c r="R20">
        <v>0.29527500000000001</v>
      </c>
      <c r="S20" s="15">
        <v>822223.73046875</v>
      </c>
      <c r="T20">
        <v>593.67847141905202</v>
      </c>
      <c r="U20" s="12">
        <f>+T20+BG20*S20*テーブル2[[#This Row],[Pw]]*R20/(N20*O20*K20)</f>
        <v>601.7087363439781</v>
      </c>
      <c r="V20">
        <v>0.03</v>
      </c>
      <c r="W20" s="8">
        <f t="shared" si="0"/>
        <v>218033.17759082123</v>
      </c>
      <c r="X20">
        <v>2.472265374327982E-2</v>
      </c>
      <c r="Y20">
        <f t="shared" si="1"/>
        <v>6.3599317746615558</v>
      </c>
      <c r="Z20">
        <f t="shared" si="2"/>
        <v>6.3599317991332347</v>
      </c>
      <c r="AA20">
        <f t="shared" si="3"/>
        <v>-2.4471678905513272E-8</v>
      </c>
      <c r="AB20">
        <f t="shared" si="4"/>
        <v>1.3302485657419017E-5</v>
      </c>
      <c r="AC20">
        <v>618.98645578676758</v>
      </c>
      <c r="AD20">
        <f t="shared" si="5"/>
        <v>6060.3141614017068</v>
      </c>
      <c r="AE20">
        <f>+gettm2(AD20,AC20,AK20,AL20,テーブル2[[#This Row],[Fcorr]])</f>
        <v>601.70873634397799</v>
      </c>
      <c r="AF20" s="14">
        <f t="shared" si="6"/>
        <v>0</v>
      </c>
      <c r="AG20">
        <v>1.331513511611841E-5</v>
      </c>
      <c r="AH20">
        <f t="shared" si="7"/>
        <v>58.668478565985296</v>
      </c>
      <c r="AI20">
        <f t="shared" si="8"/>
        <v>0.30641418756933142</v>
      </c>
      <c r="AJ20">
        <f t="shared" si="9"/>
        <v>35.299169687309515</v>
      </c>
      <c r="AK20">
        <f t="array" ref="AK20">+S20*テーブル2[[#This Row],[F_form]]/(E20*CpFromTP((テーブル2[[#This Row],[Tin]]+テーブル2[[#This Row],[Tf]])/2,テーブル2[[#This Row],[P]])*AI20)</f>
        <v>0.6676896410161276</v>
      </c>
      <c r="AL20">
        <f t="shared" si="10"/>
        <v>1.1293680422758512</v>
      </c>
      <c r="AM20">
        <f t="shared" si="11"/>
        <v>608.62110606488989</v>
      </c>
      <c r="AN20">
        <f t="shared" si="12"/>
        <v>8.7311491370201111E-10</v>
      </c>
      <c r="AO20">
        <f t="shared" si="13"/>
        <v>1.2649458699392712E-8</v>
      </c>
      <c r="AP20">
        <v>3.7514200928355321</v>
      </c>
      <c r="AQ20">
        <f t="shared" si="14"/>
        <v>3.8748140699449747E-5</v>
      </c>
      <c r="AR20">
        <f t="shared" si="15"/>
        <v>6.6638922874089013E-6</v>
      </c>
      <c r="AS20">
        <f t="shared" si="16"/>
        <v>17.666352055747932</v>
      </c>
      <c r="AT20">
        <f t="shared" si="17"/>
        <v>11.308309082801168</v>
      </c>
      <c r="AU20">
        <f t="shared" si="18"/>
        <v>3.4650263403894113</v>
      </c>
      <c r="AV20">
        <f t="shared" si="19"/>
        <v>0.28639375244612086</v>
      </c>
      <c r="AW20">
        <f t="shared" si="20"/>
        <v>7.9976057831183545E-3</v>
      </c>
      <c r="AX20">
        <f t="shared" si="21"/>
        <v>0.2863937492077675</v>
      </c>
      <c r="AY20">
        <f t="shared" si="22"/>
        <v>3.2383533632440731E-9</v>
      </c>
      <c r="AZ20">
        <f t="shared" si="23"/>
        <v>1080577.4158407261</v>
      </c>
      <c r="BA20">
        <f t="shared" si="24"/>
        <v>1.0328926044153522E-5</v>
      </c>
      <c r="BB20" s="15">
        <f t="shared" si="25"/>
        <v>826912.85947988671</v>
      </c>
      <c r="BC20" s="20">
        <f t="shared" si="26"/>
        <v>4689.1290111367125</v>
      </c>
      <c r="BD20" s="19">
        <f t="shared" si="27"/>
        <v>0.57029842819830057</v>
      </c>
      <c r="BE20" s="15">
        <v>2688060</v>
      </c>
      <c r="BF20" s="16">
        <f>テーブル2[[#This Row],[q_P]]/テーブル2[[#This Row],[q_M]]</f>
        <v>0.30762440551173958</v>
      </c>
      <c r="BG20">
        <v>1</v>
      </c>
      <c r="BH20">
        <v>9.2999999999999999E-2</v>
      </c>
      <c r="BI20">
        <v>4.5999999999999999E-2</v>
      </c>
      <c r="BJ20">
        <v>5625</v>
      </c>
      <c r="BK20" s="22">
        <v>1</v>
      </c>
      <c r="BL20">
        <f>テーブル2[[#This Row],[Ts]]-テーブル2[[#This Row],[Tin]]</f>
        <v>14.942634646710985</v>
      </c>
      <c r="BM20">
        <f>テーブル2[[#This Row],[q_P]]*0.000001</f>
        <v>0.82691285947988669</v>
      </c>
      <c r="BN20">
        <f>テーブル2[[#This Row],[Tsub]]</f>
        <v>14.942634646710985</v>
      </c>
      <c r="BO20">
        <f>テーブル2[[#This Row],[Fcorr]]</f>
        <v>1</v>
      </c>
      <c r="BP20">
        <f>(テーブル2[[#This Row],[Tsub]]-40)^2</f>
        <v>627.8715584482087</v>
      </c>
      <c r="BQ20">
        <v>1</v>
      </c>
      <c r="BR20">
        <v>0.29527500000000001</v>
      </c>
    </row>
    <row r="21" spans="1:70" x14ac:dyDescent="0.15">
      <c r="A21" s="9" t="s">
        <v>89</v>
      </c>
      <c r="B21">
        <v>13789520</v>
      </c>
      <c r="C21" s="22">
        <f t="array" ref="C21">TsatFromP(テーブル2[[#This Row],[P]])</f>
        <v>608.621106065763</v>
      </c>
      <c r="D21">
        <f t="array" ref="D21">RhoGFromP(テーブル2[[#This Row],[P]])</f>
        <v>85.147893581579396</v>
      </c>
      <c r="E21">
        <f t="array" ref="E21">RhoFFromP(テーブル2[[#This Row],[P]])</f>
        <v>624.86627494838649</v>
      </c>
      <c r="F21">
        <f t="array" ref="F21">HgFromP(テーブル2[[#This Row],[P]])</f>
        <v>2643264.389866509</v>
      </c>
      <c r="G21">
        <f t="array" ref="G21">HfFromP(テーブル2[[#This Row],[P]])</f>
        <v>1562686.9740257829</v>
      </c>
      <c r="H21">
        <f t="array" ref="H21">MuGFromP(テーブル2[[#This Row],[P]])</f>
        <v>2.2019594042733509E-5</v>
      </c>
      <c r="I21">
        <f t="array" ref="I21">MuFFromP(テーブル2[[#This Row],[P]])</f>
        <v>7.2223252690249831E-5</v>
      </c>
      <c r="J21">
        <f t="array" ref="J21">KfFromP(テーブル2[[#This Row],[P]])</f>
        <v>0.4911212487937569</v>
      </c>
      <c r="K21">
        <f t="array" ref="K21">CpFFromP(テーブル2[[#This Row],[P]])</f>
        <v>7679.7516396704104</v>
      </c>
      <c r="L21">
        <f t="array" ref="L21">SigmaFromP(テーブル2[[#This Row],[P]])</f>
        <v>6.5036382888884548E-3</v>
      </c>
      <c r="M21">
        <v>20</v>
      </c>
      <c r="N21">
        <v>3444.24</v>
      </c>
      <c r="O21" s="8">
        <v>1.6417322322758919E-5</v>
      </c>
      <c r="P21" s="8">
        <v>1.4363361612212531E-2</v>
      </c>
      <c r="Q21" s="8">
        <v>4.5719999999999997E-3</v>
      </c>
      <c r="R21">
        <v>0.29527500000000001</v>
      </c>
      <c r="S21" s="15">
        <v>851135.68359375</v>
      </c>
      <c r="T21">
        <v>593.12482744566205</v>
      </c>
      <c r="U21" s="12">
        <f>+T21+BG21*S21*テーブル2[[#This Row],[Pw]]*R21/(N21*O21*K21)</f>
        <v>601.43746155367955</v>
      </c>
      <c r="V21">
        <v>0.03</v>
      </c>
      <c r="W21" s="8">
        <f t="shared" si="0"/>
        <v>218033.17759082123</v>
      </c>
      <c r="X21">
        <v>2.472265374327982E-2</v>
      </c>
      <c r="Y21">
        <f t="shared" si="1"/>
        <v>6.3599317746615558</v>
      </c>
      <c r="Z21">
        <f t="shared" si="2"/>
        <v>6.3599317991332347</v>
      </c>
      <c r="AA21">
        <f t="shared" si="3"/>
        <v>-2.4471678905513272E-8</v>
      </c>
      <c r="AB21">
        <f t="shared" si="4"/>
        <v>1.3302485657419017E-5</v>
      </c>
      <c r="AC21">
        <v>619.39337495326572</v>
      </c>
      <c r="AD21">
        <f t="shared" si="5"/>
        <v>6060.3141614017068</v>
      </c>
      <c r="AE21">
        <f>+gettm2(AD21,AC21,AK21,AL21,テーブル2[[#This Row],[Fcorr]])</f>
        <v>601.43746155367944</v>
      </c>
      <c r="AF21" s="14">
        <f t="shared" si="6"/>
        <v>0</v>
      </c>
      <c r="AG21">
        <v>1.3315542786301991E-5</v>
      </c>
      <c r="AH21">
        <f t="shared" si="7"/>
        <v>58.668478565985296</v>
      </c>
      <c r="AI21">
        <f t="shared" si="8"/>
        <v>0.30641418756933142</v>
      </c>
      <c r="AJ21">
        <f t="shared" si="9"/>
        <v>35.300250443821653</v>
      </c>
      <c r="AK21">
        <f t="array" ref="AK21">+S21*テーブル2[[#This Row],[F_form]]/(E21*CpFromTP((テーブル2[[#This Row],[Tin]]+テーブル2[[#This Row],[Tf]])/2,テーブル2[[#This Row],[P]])*AI21)</f>
        <v>0.69389813925295762</v>
      </c>
      <c r="AL21">
        <f t="shared" si="10"/>
        <v>1.1293680422758512</v>
      </c>
      <c r="AM21">
        <f t="shared" si="11"/>
        <v>608.62110606485385</v>
      </c>
      <c r="AN21">
        <f t="shared" si="12"/>
        <v>9.0915364125976339E-10</v>
      </c>
      <c r="AO21">
        <f t="shared" si="13"/>
        <v>1.3057128882973664E-8</v>
      </c>
      <c r="AP21">
        <v>3.751507168481838</v>
      </c>
      <c r="AQ21">
        <f t="shared" si="14"/>
        <v>3.8746341966254729E-5</v>
      </c>
      <c r="AR21">
        <f t="shared" si="15"/>
        <v>6.6642999575924822E-6</v>
      </c>
      <c r="AS21">
        <f t="shared" si="16"/>
        <v>17.667432812260067</v>
      </c>
      <c r="AT21">
        <f t="shared" si="17"/>
        <v>11.308614953377022</v>
      </c>
      <c r="AU21">
        <f t="shared" si="18"/>
        <v>3.4651200634734129</v>
      </c>
      <c r="AV21">
        <f t="shared" si="19"/>
        <v>0.28638710500842501</v>
      </c>
      <c r="AW21">
        <f t="shared" si="20"/>
        <v>7.9976057831183545E-3</v>
      </c>
      <c r="AX21">
        <f t="shared" si="21"/>
        <v>0.28638710176723481</v>
      </c>
      <c r="AY21">
        <f t="shared" si="22"/>
        <v>3.2411902051165953E-9</v>
      </c>
      <c r="AZ21">
        <f t="shared" si="23"/>
        <v>1080577.4158407261</v>
      </c>
      <c r="BA21">
        <f t="shared" si="24"/>
        <v>1.0328206831585137E-5</v>
      </c>
      <c r="BB21" s="15">
        <f t="shared" si="25"/>
        <v>853622.26974815829</v>
      </c>
      <c r="BC21" s="20">
        <f t="shared" si="26"/>
        <v>2486.5861544082873</v>
      </c>
      <c r="BD21" s="19">
        <f t="shared" si="27"/>
        <v>0.29214920750463369</v>
      </c>
      <c r="BE21" s="15">
        <v>2722765</v>
      </c>
      <c r="BF21" s="16">
        <f>テーブル2[[#This Row],[q_P]]/テーブル2[[#This Row],[q_M]]</f>
        <v>0.3135130170059327</v>
      </c>
      <c r="BG21">
        <v>1</v>
      </c>
      <c r="BH21">
        <v>9.1999999999999998E-2</v>
      </c>
      <c r="BI21">
        <v>4.5999999999999999E-2</v>
      </c>
      <c r="BJ21">
        <v>5625</v>
      </c>
      <c r="BK21" s="22">
        <v>1</v>
      </c>
      <c r="BL21">
        <f>テーブル2[[#This Row],[Ts]]-テーブル2[[#This Row],[Tin]]</f>
        <v>15.496278620100952</v>
      </c>
      <c r="BM21">
        <f>テーブル2[[#This Row],[q_P]]*0.000001</f>
        <v>0.85362226974815825</v>
      </c>
      <c r="BN21">
        <f>テーブル2[[#This Row],[Tsub]]</f>
        <v>15.496278620100952</v>
      </c>
      <c r="BO21">
        <f>テーブル2[[#This Row],[Fcorr]]</f>
        <v>1</v>
      </c>
      <c r="BP21">
        <f>(テーブル2[[#This Row],[Tsub]]-40)^2</f>
        <v>600.43236146372169</v>
      </c>
      <c r="BQ21">
        <v>1</v>
      </c>
      <c r="BR21">
        <v>0.29527500000000001</v>
      </c>
    </row>
    <row r="22" spans="1:70" x14ac:dyDescent="0.15">
      <c r="A22" s="9" t="s">
        <v>90</v>
      </c>
      <c r="B22">
        <v>13789520</v>
      </c>
      <c r="C22" s="22">
        <f t="array" ref="C22">TsatFromP(テーブル2[[#This Row],[P]])</f>
        <v>608.621106065763</v>
      </c>
      <c r="D22">
        <f t="array" ref="D22">RhoGFromP(テーブル2[[#This Row],[P]])</f>
        <v>85.147893581579396</v>
      </c>
      <c r="E22">
        <f t="array" ref="E22">RhoFFromP(テーブル2[[#This Row],[P]])</f>
        <v>624.86627494838649</v>
      </c>
      <c r="F22">
        <f t="array" ref="F22">HgFromP(テーブル2[[#This Row],[P]])</f>
        <v>2643264.389866509</v>
      </c>
      <c r="G22">
        <f t="array" ref="G22">HfFromP(テーブル2[[#This Row],[P]])</f>
        <v>1562686.9740257829</v>
      </c>
      <c r="H22">
        <f t="array" ref="H22">MuGFromP(テーブル2[[#This Row],[P]])</f>
        <v>2.2019594042733509E-5</v>
      </c>
      <c r="I22">
        <f t="array" ref="I22">MuFFromP(テーブル2[[#This Row],[P]])</f>
        <v>7.2223252690249831E-5</v>
      </c>
      <c r="J22">
        <f t="array" ref="J22">KfFromP(テーブル2[[#This Row],[P]])</f>
        <v>0.4911212487937569</v>
      </c>
      <c r="K22">
        <f t="array" ref="K22">CpFFromP(テーブル2[[#This Row],[P]])</f>
        <v>7679.7516396704104</v>
      </c>
      <c r="L22">
        <f t="array" ref="L22">SigmaFromP(テーブル2[[#This Row],[P]])</f>
        <v>6.5036382888884548E-3</v>
      </c>
      <c r="M22" s="23">
        <v>21</v>
      </c>
      <c r="N22">
        <v>3444.24</v>
      </c>
      <c r="O22" s="8">
        <v>1.6417322322758919E-5</v>
      </c>
      <c r="P22" s="8">
        <v>1.4363361612212531E-2</v>
      </c>
      <c r="Q22" s="8">
        <v>4.5719999999999997E-3</v>
      </c>
      <c r="R22">
        <v>0.29527500000000001</v>
      </c>
      <c r="S22" s="15">
        <v>648098.73046875</v>
      </c>
      <c r="T22">
        <v>596.97613648179595</v>
      </c>
      <c r="U22" s="12">
        <f>+T22+BG22*S22*テーブル2[[#This Row],[Pw]]*R22/(N22*O22*K22)</f>
        <v>603.30580602344889</v>
      </c>
      <c r="V22">
        <v>0.03</v>
      </c>
      <c r="W22" s="8">
        <f t="shared" si="0"/>
        <v>218033.17759082123</v>
      </c>
      <c r="X22">
        <v>2.472265374327982E-2</v>
      </c>
      <c r="Y22">
        <f t="shared" si="1"/>
        <v>6.3599317746615558</v>
      </c>
      <c r="Z22">
        <f t="shared" si="2"/>
        <v>6.3599317991332347</v>
      </c>
      <c r="AA22">
        <f t="shared" si="3"/>
        <v>-2.4471678905513272E-8</v>
      </c>
      <c r="AB22">
        <f t="shared" si="4"/>
        <v>1.3302485657419017E-5</v>
      </c>
      <c r="AC22">
        <v>616.59095143832155</v>
      </c>
      <c r="AD22">
        <f t="shared" si="5"/>
        <v>6060.3141614017068</v>
      </c>
      <c r="AE22">
        <f>+gettm2(AD22,AC22,AK22,AL22,テーブル2[[#This Row],[Fcorr]])</f>
        <v>603.30580618935835</v>
      </c>
      <c r="AF22" s="14">
        <f t="shared" si="6"/>
        <v>1.6590945506322896E-7</v>
      </c>
      <c r="AG22">
        <v>1.3312478914658601E-5</v>
      </c>
      <c r="AH22">
        <f t="shared" si="7"/>
        <v>58.668478565985296</v>
      </c>
      <c r="AI22">
        <f t="shared" si="8"/>
        <v>0.30641418756933142</v>
      </c>
      <c r="AJ22">
        <f t="shared" si="9"/>
        <v>35.292127948323326</v>
      </c>
      <c r="AK22">
        <f t="array" ref="AK22">+S22*テーブル2[[#This Row],[F_form]]/(E22*CpFromTP((テーブル2[[#This Row],[Tin]]+テーブル2[[#This Row],[Tf]])/2,テーブル2[[#This Row],[P]])*AI22)</f>
        <v>0.5133984199418804</v>
      </c>
      <c r="AL22">
        <f t="shared" si="10"/>
        <v>1.1293680422758512</v>
      </c>
      <c r="AM22">
        <f t="shared" si="11"/>
        <v>608.62110606509975</v>
      </c>
      <c r="AN22">
        <f t="shared" si="12"/>
        <v>6.6324901126790792E-10</v>
      </c>
      <c r="AO22">
        <f t="shared" si="13"/>
        <v>9.9932572395835948E-9</v>
      </c>
      <c r="AP22">
        <v>3.7508526223928431</v>
      </c>
      <c r="AQ22">
        <f t="shared" si="14"/>
        <v>3.8759866080367545E-5</v>
      </c>
      <c r="AR22">
        <f t="shared" si="15"/>
        <v>6.6612360859490921E-6</v>
      </c>
      <c r="AS22">
        <f t="shared" si="16"/>
        <v>17.659310316761751</v>
      </c>
      <c r="AT22">
        <f t="shared" si="17"/>
        <v>11.306315705011052</v>
      </c>
      <c r="AU22">
        <f t="shared" si="18"/>
        <v>3.4644155411533339</v>
      </c>
      <c r="AV22">
        <f t="shared" si="19"/>
        <v>0.28643708123950917</v>
      </c>
      <c r="AW22">
        <f t="shared" si="20"/>
        <v>7.9976057831183545E-3</v>
      </c>
      <c r="AX22">
        <f t="shared" si="21"/>
        <v>0.28643707801964241</v>
      </c>
      <c r="AY22">
        <f t="shared" si="22"/>
        <v>3.2198667621052834E-9</v>
      </c>
      <c r="AZ22">
        <f t="shared" si="23"/>
        <v>1080577.4158407261</v>
      </c>
      <c r="BA22">
        <f t="shared" si="24"/>
        <v>1.0333614775736197E-5</v>
      </c>
      <c r="BB22" s="15">
        <f t="shared" si="25"/>
        <v>652976.83051146753</v>
      </c>
      <c r="BC22" s="20">
        <f t="shared" si="26"/>
        <v>4878.1000427175313</v>
      </c>
      <c r="BD22" s="19">
        <f t="shared" si="27"/>
        <v>0.7526785369860779</v>
      </c>
      <c r="BE22" s="15">
        <v>2126470</v>
      </c>
      <c r="BF22" s="16">
        <f>テーブル2[[#This Row],[q_P]]/テーブル2[[#This Row],[q_M]]</f>
        <v>0.30707079362110329</v>
      </c>
      <c r="BG22">
        <v>1</v>
      </c>
      <c r="BH22">
        <v>7.2999999999999995E-2</v>
      </c>
      <c r="BI22">
        <v>4.5999999999999999E-2</v>
      </c>
      <c r="BJ22">
        <v>5625</v>
      </c>
      <c r="BK22" s="22">
        <v>1</v>
      </c>
      <c r="BL22">
        <f>テーブル2[[#This Row],[Ts]]-テーブル2[[#This Row],[Tin]]</f>
        <v>11.644969583967054</v>
      </c>
      <c r="BM22">
        <f>テーブル2[[#This Row],[q_P]]*0.000001</f>
        <v>0.65297683051146749</v>
      </c>
      <c r="BN22">
        <f>テーブル2[[#This Row],[Tsub]]</f>
        <v>11.644969583967054</v>
      </c>
      <c r="BO22">
        <f>テーブル2[[#This Row],[Fcorr]]</f>
        <v>1</v>
      </c>
      <c r="BP22">
        <f>(テーブル2[[#This Row],[Tsub]]-40)^2</f>
        <v>804.00774989415356</v>
      </c>
      <c r="BQ22">
        <v>1</v>
      </c>
      <c r="BR22">
        <v>0.29527500000000001</v>
      </c>
    </row>
    <row r="23" spans="1:70" x14ac:dyDescent="0.15">
      <c r="A23" s="9" t="s">
        <v>91</v>
      </c>
      <c r="B23">
        <v>13789520</v>
      </c>
      <c r="C23" s="22">
        <f t="array" ref="C23">TsatFromP(テーブル2[[#This Row],[P]])</f>
        <v>608.621106065763</v>
      </c>
      <c r="D23">
        <f t="array" ref="D23">RhoGFromP(テーブル2[[#This Row],[P]])</f>
        <v>85.147893581579396</v>
      </c>
      <c r="E23">
        <f t="array" ref="E23">RhoFFromP(テーブル2[[#This Row],[P]])</f>
        <v>624.86627494838649</v>
      </c>
      <c r="F23">
        <f t="array" ref="F23">HgFromP(テーブル2[[#This Row],[P]])</f>
        <v>2643264.389866509</v>
      </c>
      <c r="G23">
        <f t="array" ref="G23">HfFromP(テーブル2[[#This Row],[P]])</f>
        <v>1562686.9740257829</v>
      </c>
      <c r="H23">
        <f t="array" ref="H23">MuGFromP(テーブル2[[#This Row],[P]])</f>
        <v>2.2019594042733509E-5</v>
      </c>
      <c r="I23">
        <f t="array" ref="I23">MuFFromP(テーブル2[[#This Row],[P]])</f>
        <v>7.2223252690249831E-5</v>
      </c>
      <c r="J23">
        <f t="array" ref="J23">KfFromP(テーブル2[[#This Row],[P]])</f>
        <v>0.4911212487937569</v>
      </c>
      <c r="K23">
        <f t="array" ref="K23">CpFFromP(テーブル2[[#This Row],[P]])</f>
        <v>7679.7516396704104</v>
      </c>
      <c r="L23">
        <f t="array" ref="L23">SigmaFromP(テーブル2[[#This Row],[P]])</f>
        <v>6.5036382888884548E-3</v>
      </c>
      <c r="M23">
        <v>22</v>
      </c>
      <c r="N23">
        <v>3444.24</v>
      </c>
      <c r="O23" s="8">
        <v>1.6417322322758919E-5</v>
      </c>
      <c r="P23" s="8">
        <v>1.4363361612212531E-2</v>
      </c>
      <c r="Q23" s="8">
        <v>4.5719999999999997E-3</v>
      </c>
      <c r="R23">
        <v>0.29527500000000001</v>
      </c>
      <c r="S23" s="15">
        <v>676646.38671875</v>
      </c>
      <c r="T23">
        <v>596.439958239725</v>
      </c>
      <c r="U23" s="12">
        <f>+T23+BG23*S23*テーブル2[[#This Row],[Pw]]*R23/(N23*O23*K23)</f>
        <v>603.04843905156906</v>
      </c>
      <c r="V23">
        <v>0.03</v>
      </c>
      <c r="W23" s="8">
        <f t="shared" si="0"/>
        <v>218033.17759082123</v>
      </c>
      <c r="X23">
        <v>2.472265374327982E-2</v>
      </c>
      <c r="Y23">
        <f t="shared" si="1"/>
        <v>6.3599317746615558</v>
      </c>
      <c r="Z23">
        <f t="shared" si="2"/>
        <v>6.3599317991332347</v>
      </c>
      <c r="AA23">
        <f t="shared" si="3"/>
        <v>-2.4471678905513272E-8</v>
      </c>
      <c r="AB23">
        <f t="shared" si="4"/>
        <v>1.3302485657419017E-5</v>
      </c>
      <c r="AC23">
        <v>616.9769290615086</v>
      </c>
      <c r="AD23">
        <f t="shared" si="5"/>
        <v>6060.3141614017068</v>
      </c>
      <c r="AE23">
        <f>+gettm2(AD23,AC23,AK23,AL23,テーブル2[[#This Row],[Fcorr]])</f>
        <v>603.04843905156895</v>
      </c>
      <c r="AF23" s="14">
        <f t="shared" si="6"/>
        <v>0</v>
      </c>
      <c r="AG23">
        <v>1.3312784618136441E-5</v>
      </c>
      <c r="AH23">
        <f t="shared" si="7"/>
        <v>58.668478565985296</v>
      </c>
      <c r="AI23">
        <f t="shared" si="8"/>
        <v>0.30641418756933142</v>
      </c>
      <c r="AJ23">
        <f t="shared" si="9"/>
        <v>35.292938385381923</v>
      </c>
      <c r="AK23">
        <f t="array" ref="AK23">+S23*テーブル2[[#This Row],[F_form]]/(E23*CpFromTP((テーブル2[[#This Row],[Tin]]+テーブル2[[#This Row],[Tf]])/2,テーブル2[[#This Row],[P]])*AI23)</f>
        <v>0.53826018679302123</v>
      </c>
      <c r="AL23">
        <f t="shared" si="10"/>
        <v>1.1293680422758512</v>
      </c>
      <c r="AM23">
        <f t="shared" si="11"/>
        <v>608.62110606506656</v>
      </c>
      <c r="AN23">
        <f t="shared" si="12"/>
        <v>6.964455678826198E-10</v>
      </c>
      <c r="AO23">
        <f t="shared" si="13"/>
        <v>1.0298960717423531E-8</v>
      </c>
      <c r="AP23">
        <v>3.750917943734871</v>
      </c>
      <c r="AQ23">
        <f t="shared" si="14"/>
        <v>3.8758516104462224E-5</v>
      </c>
      <c r="AR23">
        <f t="shared" si="15"/>
        <v>6.6615417894269321E-6</v>
      </c>
      <c r="AS23">
        <f t="shared" si="16"/>
        <v>17.660120753820344</v>
      </c>
      <c r="AT23">
        <f t="shared" si="17"/>
        <v>11.306545164273039</v>
      </c>
      <c r="AU23">
        <f t="shared" si="18"/>
        <v>3.464485850726676</v>
      </c>
      <c r="AV23">
        <f t="shared" si="19"/>
        <v>0.28643209300819494</v>
      </c>
      <c r="AW23">
        <f t="shared" si="20"/>
        <v>7.9976057831183545E-3</v>
      </c>
      <c r="AX23">
        <f t="shared" si="21"/>
        <v>0.28643208978619572</v>
      </c>
      <c r="AY23">
        <f t="shared" si="22"/>
        <v>3.2219992229798322E-9</v>
      </c>
      <c r="AZ23">
        <f t="shared" si="23"/>
        <v>1080577.4158407261</v>
      </c>
      <c r="BA23">
        <f t="shared" si="24"/>
        <v>1.0333074912822413E-5</v>
      </c>
      <c r="BB23" s="15">
        <f t="shared" si="25"/>
        <v>672987.18723438215</v>
      </c>
      <c r="BC23" s="20">
        <f t="shared" si="26"/>
        <v>-3659.1994843678549</v>
      </c>
      <c r="BD23" s="19">
        <f t="shared" si="27"/>
        <v>-0.54078460421732977</v>
      </c>
      <c r="BE23" s="15">
        <v>2148555</v>
      </c>
      <c r="BF23" s="16">
        <f>テーブル2[[#This Row],[q_P]]/テーブル2[[#This Row],[q_M]]</f>
        <v>0.31322781461697846</v>
      </c>
      <c r="BG23">
        <v>1</v>
      </c>
      <c r="BH23">
        <v>7.1999999999999995E-2</v>
      </c>
      <c r="BI23">
        <v>4.5999999999999999E-2</v>
      </c>
      <c r="BJ23">
        <v>5625</v>
      </c>
      <c r="BK23" s="22">
        <v>1</v>
      </c>
      <c r="BL23">
        <f>テーブル2[[#This Row],[Ts]]-テーブル2[[#This Row],[Tin]]</f>
        <v>12.181147826038</v>
      </c>
      <c r="BM23">
        <f>テーブル2[[#This Row],[q_P]]*0.000001</f>
        <v>0.67298718723438211</v>
      </c>
      <c r="BN23">
        <f>テーブル2[[#This Row],[Tsub]]</f>
        <v>12.181147826038</v>
      </c>
      <c r="BO23">
        <f>テーブル2[[#This Row],[Fcorr]]</f>
        <v>1</v>
      </c>
      <c r="BP23">
        <f>(テーブル2[[#This Row],[Tsub]]-40)^2</f>
        <v>773.8885362767503</v>
      </c>
      <c r="BQ23">
        <v>1</v>
      </c>
      <c r="BR23">
        <v>0.29527500000000001</v>
      </c>
    </row>
    <row r="24" spans="1:70" x14ac:dyDescent="0.15">
      <c r="A24" s="9" t="s">
        <v>92</v>
      </c>
      <c r="B24">
        <v>13789520</v>
      </c>
      <c r="C24" s="22">
        <f t="array" ref="C24">TsatFromP(テーブル2[[#This Row],[P]])</f>
        <v>608.621106065763</v>
      </c>
      <c r="D24">
        <f t="array" ref="D24">RhoGFromP(テーブル2[[#This Row],[P]])</f>
        <v>85.147893581579396</v>
      </c>
      <c r="E24">
        <f t="array" ref="E24">RhoFFromP(テーブル2[[#This Row],[P]])</f>
        <v>624.86627494838649</v>
      </c>
      <c r="F24">
        <f t="array" ref="F24">HgFromP(テーブル2[[#This Row],[P]])</f>
        <v>2643264.389866509</v>
      </c>
      <c r="G24">
        <f t="array" ref="G24">HfFromP(テーブル2[[#This Row],[P]])</f>
        <v>1562686.9740257829</v>
      </c>
      <c r="H24">
        <f t="array" ref="H24">MuGFromP(テーブル2[[#This Row],[P]])</f>
        <v>2.2019594042733509E-5</v>
      </c>
      <c r="I24">
        <f t="array" ref="I24">MuFFromP(テーブル2[[#This Row],[P]])</f>
        <v>7.2223252690249831E-5</v>
      </c>
      <c r="J24">
        <f t="array" ref="J24">KfFromP(テーブル2[[#This Row],[P]])</f>
        <v>0.4911212487937569</v>
      </c>
      <c r="K24">
        <f t="array" ref="K24">CpFFromP(テーブル2[[#This Row],[P]])</f>
        <v>7679.7516396704104</v>
      </c>
      <c r="L24">
        <f t="array" ref="L24">SigmaFromP(テーブル2[[#This Row],[P]])</f>
        <v>6.5036382888884548E-3</v>
      </c>
      <c r="M24" s="23">
        <v>23</v>
      </c>
      <c r="N24">
        <v>3444.24</v>
      </c>
      <c r="O24" s="8">
        <v>1.6417322322758919E-5</v>
      </c>
      <c r="P24" s="8">
        <v>1.4363361612212531E-2</v>
      </c>
      <c r="Q24" s="8">
        <v>4.5719999999999997E-3</v>
      </c>
      <c r="R24">
        <v>0.29527500000000001</v>
      </c>
      <c r="S24" s="15">
        <v>705256.64171875</v>
      </c>
      <c r="T24">
        <v>595.90081561821296</v>
      </c>
      <c r="U24" s="12">
        <f>+T24+BG24*S24*テーブル2[[#This Row],[Pw]]*R24/(N24*O24*K24)</f>
        <v>602.78871907222367</v>
      </c>
      <c r="V24">
        <v>0.03</v>
      </c>
      <c r="W24" s="8">
        <f t="shared" si="0"/>
        <v>218033.17759082123</v>
      </c>
      <c r="X24">
        <v>2.472265374327982E-2</v>
      </c>
      <c r="Y24">
        <f t="shared" si="1"/>
        <v>6.3599317746615558</v>
      </c>
      <c r="Z24">
        <f t="shared" si="2"/>
        <v>6.3599317991332347</v>
      </c>
      <c r="AA24">
        <f t="shared" si="3"/>
        <v>-2.4471678905513272E-8</v>
      </c>
      <c r="AB24">
        <f t="shared" si="4"/>
        <v>1.3302485657419017E-5</v>
      </c>
      <c r="AC24">
        <v>617.36647409557054</v>
      </c>
      <c r="AD24">
        <f t="shared" si="5"/>
        <v>6060.3141614017068</v>
      </c>
      <c r="AE24">
        <f>+gettm2(AD24,AC24,AK24,AL24,テーブル2[[#This Row],[Fcorr]])</f>
        <v>602.78871907222367</v>
      </c>
      <c r="AF24" s="14">
        <f t="shared" si="6"/>
        <v>0</v>
      </c>
      <c r="AG24">
        <v>1.3313212572347621E-5</v>
      </c>
      <c r="AH24">
        <f t="shared" si="7"/>
        <v>58.668478565985296</v>
      </c>
      <c r="AI24">
        <f t="shared" si="8"/>
        <v>0.30641418756933142</v>
      </c>
      <c r="AJ24">
        <f t="shared" si="9"/>
        <v>35.294072915988416</v>
      </c>
      <c r="AK24">
        <f t="array" ref="AK24">+S24*テーブル2[[#This Row],[F_form]]/(E24*CpFromTP((テーブル2[[#This Row],[Tin]]+テーブル2[[#This Row],[Tf]])/2,テーブル2[[#This Row],[P]])*AI24)</f>
        <v>0.56335073911745337</v>
      </c>
      <c r="AL24">
        <f t="shared" si="10"/>
        <v>1.1293680422758512</v>
      </c>
      <c r="AM24">
        <f t="shared" si="11"/>
        <v>608.62110606503279</v>
      </c>
      <c r="AN24">
        <f t="shared" si="12"/>
        <v>7.3021055868593976E-10</v>
      </c>
      <c r="AO24">
        <f t="shared" si="13"/>
        <v>1.0726914928603669E-8</v>
      </c>
      <c r="AP24">
        <v>3.751009382298689</v>
      </c>
      <c r="AQ24">
        <f t="shared" si="14"/>
        <v>3.8756626490499323E-5</v>
      </c>
      <c r="AR24">
        <f t="shared" si="15"/>
        <v>6.6619697436381122E-6</v>
      </c>
      <c r="AS24">
        <f t="shared" si="16"/>
        <v>17.66125528442684</v>
      </c>
      <c r="AT24">
        <f t="shared" si="17"/>
        <v>11.306866366540376</v>
      </c>
      <c r="AU24">
        <f t="shared" si="18"/>
        <v>3.4645842716584676</v>
      </c>
      <c r="AV24">
        <f t="shared" si="19"/>
        <v>0.28642511064022136</v>
      </c>
      <c r="AW24">
        <f t="shared" si="20"/>
        <v>7.9976057831183545E-3</v>
      </c>
      <c r="AX24">
        <f t="shared" si="21"/>
        <v>0.28642510741525173</v>
      </c>
      <c r="AY24">
        <f t="shared" si="22"/>
        <v>3.2249696246822168E-9</v>
      </c>
      <c r="AZ24">
        <f t="shared" si="23"/>
        <v>1080577.4158407261</v>
      </c>
      <c r="BA24">
        <f t="shared" si="24"/>
        <v>1.0332319261421984E-5</v>
      </c>
      <c r="BB24" s="15">
        <f t="shared" si="25"/>
        <v>701003.18554479384</v>
      </c>
      <c r="BC24" s="20">
        <f t="shared" si="26"/>
        <v>-4253.4561739561614</v>
      </c>
      <c r="BD24" s="19">
        <f t="shared" si="27"/>
        <v>-0.60310756713899927</v>
      </c>
      <c r="BE24" s="15">
        <v>2148555</v>
      </c>
      <c r="BF24" s="16">
        <f>テーブル2[[#This Row],[q_P]]/テーブル2[[#This Row],[q_M]]</f>
        <v>0.32626727523605115</v>
      </c>
      <c r="BG24">
        <v>1</v>
      </c>
      <c r="BH24">
        <v>6.8000000000000005E-2</v>
      </c>
      <c r="BI24">
        <v>4.5999999999999999E-2</v>
      </c>
      <c r="BJ24">
        <v>5625</v>
      </c>
      <c r="BK24" s="22">
        <v>1</v>
      </c>
      <c r="BL24">
        <f>テーブル2[[#This Row],[Ts]]-テーブル2[[#This Row],[Tin]]</f>
        <v>12.720290447550042</v>
      </c>
      <c r="BM24">
        <f>テーブル2[[#This Row],[q_P]]*0.000001</f>
        <v>0.70100318554479379</v>
      </c>
      <c r="BN24">
        <f>テーブル2[[#This Row],[Tsub]]</f>
        <v>12.720290447550042</v>
      </c>
      <c r="BO24">
        <f>テーブル2[[#This Row],[Fcorr]]</f>
        <v>1</v>
      </c>
      <c r="BP24">
        <f>(テーブル2[[#This Row],[Tsub]]-40)^2</f>
        <v>744.18255326602946</v>
      </c>
      <c r="BQ24">
        <v>1</v>
      </c>
      <c r="BR24">
        <v>0.29527500000000001</v>
      </c>
    </row>
    <row r="25" spans="1:70" x14ac:dyDescent="0.15">
      <c r="A25" s="9" t="s">
        <v>93</v>
      </c>
      <c r="B25">
        <v>13789520</v>
      </c>
      <c r="C25" s="22">
        <f t="array" ref="C25">TsatFromP(テーブル2[[#This Row],[P]])</f>
        <v>608.621106065763</v>
      </c>
      <c r="D25">
        <f t="array" ref="D25">RhoGFromP(テーブル2[[#This Row],[P]])</f>
        <v>85.147893581579396</v>
      </c>
      <c r="E25">
        <f t="array" ref="E25">RhoFFromP(テーブル2[[#This Row],[P]])</f>
        <v>624.86627494838649</v>
      </c>
      <c r="F25">
        <f t="array" ref="F25">HgFromP(テーブル2[[#This Row],[P]])</f>
        <v>2643264.389866509</v>
      </c>
      <c r="G25">
        <f t="array" ref="G25">HfFromP(テーブル2[[#This Row],[P]])</f>
        <v>1562686.9740257829</v>
      </c>
      <c r="H25">
        <f t="array" ref="H25">MuGFromP(テーブル2[[#This Row],[P]])</f>
        <v>2.2019594042733509E-5</v>
      </c>
      <c r="I25">
        <f t="array" ref="I25">MuFFromP(テーブル2[[#This Row],[P]])</f>
        <v>7.2223252690249831E-5</v>
      </c>
      <c r="J25">
        <f t="array" ref="J25">KfFromP(テーブル2[[#This Row],[P]])</f>
        <v>0.4911212487937569</v>
      </c>
      <c r="K25">
        <f t="array" ref="K25">CpFFromP(テーブル2[[#This Row],[P]])</f>
        <v>7679.7516396704104</v>
      </c>
      <c r="L25">
        <f t="array" ref="L25">SigmaFromP(テーブル2[[#This Row],[P]])</f>
        <v>6.5036382888884548E-3</v>
      </c>
      <c r="M25">
        <v>24</v>
      </c>
      <c r="N25">
        <v>3484.92</v>
      </c>
      <c r="O25" s="8">
        <v>1.6417322322758919E-5</v>
      </c>
      <c r="P25" s="8">
        <v>1.4363361612212531E-2</v>
      </c>
      <c r="Q25" s="8">
        <v>4.5719999999999997E-3</v>
      </c>
      <c r="R25">
        <v>0.29527500000000001</v>
      </c>
      <c r="S25" s="15">
        <v>1232276.9239062499</v>
      </c>
      <c r="T25">
        <v>585.88293483903703</v>
      </c>
      <c r="U25" s="12">
        <f>+T25+BG25*S25*テーブル2[[#This Row],[Pw]]*R25/(N25*O25*K25)</f>
        <v>597.77750563002542</v>
      </c>
      <c r="V25">
        <v>0.03</v>
      </c>
      <c r="W25" s="8">
        <f t="shared" si="0"/>
        <v>220608.37260173645</v>
      </c>
      <c r="X25">
        <v>2.460401756364429E-2</v>
      </c>
      <c r="Y25">
        <f t="shared" si="1"/>
        <v>6.3752465632928841</v>
      </c>
      <c r="Z25">
        <f t="shared" si="2"/>
        <v>6.3752465822255244</v>
      </c>
      <c r="AA25">
        <f t="shared" si="3"/>
        <v>-1.8932640344360152E-8</v>
      </c>
      <c r="AB25">
        <f t="shared" si="4"/>
        <v>1.3056387886842231E-5</v>
      </c>
      <c r="AC25">
        <v>624.78705217099787</v>
      </c>
      <c r="AD25">
        <f t="shared" si="5"/>
        <v>6117.1624777381148</v>
      </c>
      <c r="AE25">
        <f>+gettm2(AD25,AC25,AK25,AL25,テーブル2[[#This Row],[Fcorr]])</f>
        <v>597.77750587789581</v>
      </c>
      <c r="AF25" s="14">
        <f t="shared" si="6"/>
        <v>2.4787038910289994E-7</v>
      </c>
      <c r="AG25">
        <v>1.307498811677625E-5</v>
      </c>
      <c r="AH25">
        <f t="shared" si="7"/>
        <v>59.774311350929693</v>
      </c>
      <c r="AI25">
        <f t="shared" si="8"/>
        <v>0.30928848256477043</v>
      </c>
      <c r="AJ25">
        <f t="shared" si="9"/>
        <v>34.987675723891257</v>
      </c>
      <c r="AK25">
        <f t="array" ref="AK25">+S25*テーブル2[[#This Row],[F_form]]/(E25*CpFromTP((テーブル2[[#This Row],[Tin]]+テーブル2[[#This Row],[Tf]])/2,テーブル2[[#This Row],[P]])*AI25)</f>
        <v>1.0428267210970437</v>
      </c>
      <c r="AL25">
        <f t="shared" si="10"/>
        <v>1.1293680422758512</v>
      </c>
      <c r="AM25">
        <f t="shared" si="11"/>
        <v>608.62110606167892</v>
      </c>
      <c r="AN25">
        <f t="shared" si="12"/>
        <v>4.0840859583113343E-9</v>
      </c>
      <c r="AO25">
        <f t="shared" si="13"/>
        <v>1.8600229934019E-8</v>
      </c>
      <c r="AP25">
        <v>3.77205179622996</v>
      </c>
      <c r="AQ25">
        <f t="shared" si="14"/>
        <v>3.8325424432158496E-5</v>
      </c>
      <c r="AR25">
        <f t="shared" si="15"/>
        <v>6.5467941733551343E-6</v>
      </c>
      <c r="AS25">
        <f t="shared" si="16"/>
        <v>17.518724263658157</v>
      </c>
      <c r="AT25">
        <f t="shared" si="17"/>
        <v>11.266351334278925</v>
      </c>
      <c r="AU25">
        <f t="shared" si="18"/>
        <v>3.4845527082207051</v>
      </c>
      <c r="AV25">
        <f t="shared" si="19"/>
        <v>0.28749908800925494</v>
      </c>
      <c r="AW25">
        <f t="shared" si="20"/>
        <v>7.8496490024185205E-3</v>
      </c>
      <c r="AX25">
        <f t="shared" si="21"/>
        <v>0.2874990838880635</v>
      </c>
      <c r="AY25">
        <f t="shared" si="22"/>
        <v>4.1211914436622976E-9</v>
      </c>
      <c r="AZ25">
        <f t="shared" si="23"/>
        <v>1080577.4158407261</v>
      </c>
      <c r="BA25">
        <f t="shared" si="24"/>
        <v>1.0160365366791485E-5</v>
      </c>
      <c r="BB25" s="15">
        <f t="shared" si="25"/>
        <v>1236095.3131054931</v>
      </c>
      <c r="BC25" s="20">
        <f t="shared" si="26"/>
        <v>3818.38919924316</v>
      </c>
      <c r="BD25" s="19">
        <f t="shared" si="27"/>
        <v>0.30986453817045251</v>
      </c>
      <c r="BE25" s="15">
        <v>3139225</v>
      </c>
      <c r="BF25" s="16">
        <f>テーブル2[[#This Row],[q_P]]/テーブル2[[#This Row],[q_M]]</f>
        <v>0.39375811326218829</v>
      </c>
      <c r="BG25">
        <v>1</v>
      </c>
      <c r="BH25">
        <v>7.6999999999999999E-2</v>
      </c>
      <c r="BI25">
        <v>4.5999999999999999E-2</v>
      </c>
      <c r="BJ25">
        <v>5625</v>
      </c>
      <c r="BK25" s="22">
        <v>1</v>
      </c>
      <c r="BL25">
        <f>テーブル2[[#This Row],[Ts]]-テーブル2[[#This Row],[Tin]]</f>
        <v>22.738171226725967</v>
      </c>
      <c r="BM25">
        <f>テーブル2[[#This Row],[q_P]]*0.000001</f>
        <v>1.236095313105493</v>
      </c>
      <c r="BN25">
        <f>テーブル2[[#This Row],[Tsub]]</f>
        <v>22.738171226725967</v>
      </c>
      <c r="BO25">
        <f>テーブル2[[#This Row],[Fcorr]]</f>
        <v>1</v>
      </c>
      <c r="BP25">
        <f>(テーブル2[[#This Row],[Tsub]]-40)^2</f>
        <v>297.97073259783127</v>
      </c>
      <c r="BQ25">
        <v>1</v>
      </c>
      <c r="BR25">
        <v>0.29527500000000001</v>
      </c>
    </row>
    <row r="26" spans="1:70" x14ac:dyDescent="0.15">
      <c r="A26" s="9" t="s">
        <v>94</v>
      </c>
      <c r="B26">
        <v>13789520</v>
      </c>
      <c r="C26" s="22">
        <f t="array" ref="C26">TsatFromP(テーブル2[[#This Row],[P]])</f>
        <v>608.621106065763</v>
      </c>
      <c r="D26">
        <f t="array" ref="D26">RhoGFromP(テーブル2[[#This Row],[P]])</f>
        <v>85.147893581579396</v>
      </c>
      <c r="E26">
        <f t="array" ref="E26">RhoFFromP(テーブル2[[#This Row],[P]])</f>
        <v>624.86627494838649</v>
      </c>
      <c r="F26">
        <f t="array" ref="F26">HgFromP(テーブル2[[#This Row],[P]])</f>
        <v>2643264.389866509</v>
      </c>
      <c r="G26">
        <f t="array" ref="G26">HfFromP(テーブル2[[#This Row],[P]])</f>
        <v>1562686.9740257829</v>
      </c>
      <c r="H26">
        <f t="array" ref="H26">MuGFromP(テーブル2[[#This Row],[P]])</f>
        <v>2.2019594042733509E-5</v>
      </c>
      <c r="I26">
        <f t="array" ref="I26">MuFFromP(テーブル2[[#This Row],[P]])</f>
        <v>7.2223252690249831E-5</v>
      </c>
      <c r="J26">
        <f t="array" ref="J26">KfFromP(テーブル2[[#This Row],[P]])</f>
        <v>0.4911212487937569</v>
      </c>
      <c r="K26">
        <f t="array" ref="K26">CpFFromP(テーブル2[[#This Row],[P]])</f>
        <v>7679.7516396704104</v>
      </c>
      <c r="L26">
        <f t="array" ref="L26">SigmaFromP(テーブル2[[#This Row],[P]])</f>
        <v>6.5036382888884548E-3</v>
      </c>
      <c r="M26" s="23">
        <v>25</v>
      </c>
      <c r="N26">
        <v>3484.92</v>
      </c>
      <c r="O26" s="8">
        <v>1.6417322322758919E-5</v>
      </c>
      <c r="P26" s="8">
        <v>1.4363361612212531E-2</v>
      </c>
      <c r="Q26" s="8">
        <v>4.5719999999999997E-3</v>
      </c>
      <c r="R26">
        <v>0.29527500000000001</v>
      </c>
      <c r="S26" s="15">
        <v>1288034.69921875</v>
      </c>
      <c r="T26">
        <v>584.781818283598</v>
      </c>
      <c r="U26" s="12">
        <f>+T26+BG26*S26*テーブル2[[#This Row],[Pw]]*R26/(N26*O26*K26)</f>
        <v>597.21459180543047</v>
      </c>
      <c r="V26">
        <v>0.03</v>
      </c>
      <c r="W26" s="8">
        <f t="shared" si="0"/>
        <v>220608.37260173645</v>
      </c>
      <c r="X26">
        <v>2.460401756364429E-2</v>
      </c>
      <c r="Y26">
        <f t="shared" si="1"/>
        <v>6.3752465632928841</v>
      </c>
      <c r="Z26">
        <f t="shared" si="2"/>
        <v>6.3752465822255244</v>
      </c>
      <c r="AA26">
        <f t="shared" si="3"/>
        <v>-1.8932640344360152E-8</v>
      </c>
      <c r="AB26">
        <f t="shared" si="4"/>
        <v>1.3056387886842231E-5</v>
      </c>
      <c r="AC26">
        <v>625.62664751397949</v>
      </c>
      <c r="AD26">
        <f t="shared" si="5"/>
        <v>6117.1624777381148</v>
      </c>
      <c r="AE26">
        <f>+gettm2(AD26,AC26,AK26,AL26,テーブル2[[#This Row],[Fcorr]])</f>
        <v>597.21459180543036</v>
      </c>
      <c r="AF26" s="14">
        <f t="shared" si="6"/>
        <v>0</v>
      </c>
      <c r="AG26">
        <v>1.307572909640209E-5</v>
      </c>
      <c r="AH26">
        <f t="shared" si="7"/>
        <v>59.774311350929693</v>
      </c>
      <c r="AI26">
        <f t="shared" si="8"/>
        <v>0.30928848256477043</v>
      </c>
      <c r="AJ26">
        <f t="shared" si="9"/>
        <v>34.989658529124839</v>
      </c>
      <c r="AK26">
        <f t="array" ref="AK26">+S26*テーブル2[[#This Row],[F_form]]/(E26*CpFromTP((テーブル2[[#This Row],[Tin]]+テーブル2[[#This Row],[Tf]])/2,テーブル2[[#This Row],[P]])*AI26)</f>
        <v>1.0969769937135088</v>
      </c>
      <c r="AL26">
        <f t="shared" si="10"/>
        <v>1.1293680422758512</v>
      </c>
      <c r="AM26">
        <f t="shared" si="11"/>
        <v>608.62110606144608</v>
      </c>
      <c r="AN26">
        <f t="shared" si="12"/>
        <v>4.3169166019652039E-9</v>
      </c>
      <c r="AO26">
        <f t="shared" si="13"/>
        <v>1.9341209559859825E-8</v>
      </c>
      <c r="AP26">
        <v>3.772214421396574</v>
      </c>
      <c r="AQ26">
        <f t="shared" si="14"/>
        <v>3.8322119983636718E-5</v>
      </c>
      <c r="AR26">
        <f t="shared" si="15"/>
        <v>6.5475351529809751E-6</v>
      </c>
      <c r="AS26">
        <f t="shared" si="16"/>
        <v>17.520707068891738</v>
      </c>
      <c r="AT26">
        <f t="shared" si="17"/>
        <v>11.266917212536731</v>
      </c>
      <c r="AU26">
        <f t="shared" si="18"/>
        <v>3.4847277278483784</v>
      </c>
      <c r="AV26">
        <f t="shared" si="19"/>
        <v>0.28748669354819567</v>
      </c>
      <c r="AW26">
        <f t="shared" si="20"/>
        <v>7.8496490024185205E-3</v>
      </c>
      <c r="AX26">
        <f t="shared" si="21"/>
        <v>0.28748668942126082</v>
      </c>
      <c r="AY26">
        <f t="shared" si="22"/>
        <v>4.1269348494132885E-9</v>
      </c>
      <c r="AZ26">
        <f t="shared" si="23"/>
        <v>1080577.4158407261</v>
      </c>
      <c r="BA26">
        <f t="shared" si="24"/>
        <v>1.0159051342963916E-5</v>
      </c>
      <c r="BB26" s="15">
        <f t="shared" si="25"/>
        <v>1285504.0448653493</v>
      </c>
      <c r="BC26" s="20">
        <f t="shared" si="26"/>
        <v>-2530.6543534006923</v>
      </c>
      <c r="BD26" s="19">
        <f t="shared" si="27"/>
        <v>-0.19647408217617476</v>
      </c>
      <c r="BE26" s="15">
        <v>3123450</v>
      </c>
      <c r="BF26" s="16">
        <f>テーブル2[[#This Row],[q_P]]/テーブル2[[#This Row],[q_M]]</f>
        <v>0.41156543081059382</v>
      </c>
      <c r="BG26">
        <v>1</v>
      </c>
      <c r="BH26">
        <v>7.0000000000000007E-2</v>
      </c>
      <c r="BI26">
        <v>4.5999999999999999E-2</v>
      </c>
      <c r="BJ26">
        <v>5625</v>
      </c>
      <c r="BK26" s="22">
        <v>1</v>
      </c>
      <c r="BL26">
        <f>テーブル2[[#This Row],[Ts]]-テーブル2[[#This Row],[Tin]]</f>
        <v>23.839287782165002</v>
      </c>
      <c r="BM26">
        <f>テーブル2[[#This Row],[q_P]]*0.000001</f>
        <v>1.2855040448653492</v>
      </c>
      <c r="BN26">
        <f>テーブル2[[#This Row],[Tsub]]</f>
        <v>23.839287782165002</v>
      </c>
      <c r="BO26">
        <f>テーブル2[[#This Row],[Fcorr]]</f>
        <v>1</v>
      </c>
      <c r="BP26">
        <f>(テーブル2[[#This Row],[Tsub]]-40)^2</f>
        <v>261.16861938768136</v>
      </c>
      <c r="BQ26">
        <v>1</v>
      </c>
      <c r="BR26">
        <v>0.29527500000000001</v>
      </c>
    </row>
    <row r="27" spans="1:70" x14ac:dyDescent="0.15">
      <c r="A27" s="9" t="s">
        <v>95</v>
      </c>
      <c r="B27">
        <v>13789520</v>
      </c>
      <c r="C27" s="22">
        <f t="array" ref="C27">TsatFromP(テーブル2[[#This Row],[P]])</f>
        <v>608.621106065763</v>
      </c>
      <c r="D27">
        <f t="array" ref="D27">RhoGFromP(テーブル2[[#This Row],[P]])</f>
        <v>85.147893581579396</v>
      </c>
      <c r="E27">
        <f t="array" ref="E27">RhoFFromP(テーブル2[[#This Row],[P]])</f>
        <v>624.86627494838649</v>
      </c>
      <c r="F27">
        <f t="array" ref="F27">HgFromP(テーブル2[[#This Row],[P]])</f>
        <v>2643264.389866509</v>
      </c>
      <c r="G27">
        <f t="array" ref="G27">HfFromP(テーブル2[[#This Row],[P]])</f>
        <v>1562686.9740257829</v>
      </c>
      <c r="H27">
        <f t="array" ref="H27">MuGFromP(テーブル2[[#This Row],[P]])</f>
        <v>2.2019594042733509E-5</v>
      </c>
      <c r="I27">
        <f t="array" ref="I27">MuFFromP(テーブル2[[#This Row],[P]])</f>
        <v>7.2223252690249831E-5</v>
      </c>
      <c r="J27">
        <f t="array" ref="J27">KfFromP(テーブル2[[#This Row],[P]])</f>
        <v>0.4911212487937569</v>
      </c>
      <c r="K27">
        <f t="array" ref="K27">CpFFromP(テーブル2[[#This Row],[P]])</f>
        <v>7679.7516396704104</v>
      </c>
      <c r="L27">
        <f t="array" ref="L27">SigmaFromP(テーブル2[[#This Row],[P]])</f>
        <v>6.5036382888884548E-3</v>
      </c>
      <c r="M27">
        <v>26</v>
      </c>
      <c r="N27">
        <v>3484.92</v>
      </c>
      <c r="O27" s="8">
        <v>1.6417322322758919E-5</v>
      </c>
      <c r="P27" s="8">
        <v>1.4363361612212531E-2</v>
      </c>
      <c r="Q27" s="8">
        <v>4.5719999999999997E-3</v>
      </c>
      <c r="R27">
        <v>0.29527500000000001</v>
      </c>
      <c r="S27" s="15">
        <v>1316005.89359375</v>
      </c>
      <c r="T27">
        <v>584.22817624184802</v>
      </c>
      <c r="U27" s="12">
        <f>+T27+BG27*S27*テーブル2[[#This Row],[Pw]]*R27/(N27*O27*K27)</f>
        <v>596.93094212103733</v>
      </c>
      <c r="V27">
        <v>0.03</v>
      </c>
      <c r="W27" s="8">
        <f t="shared" si="0"/>
        <v>220608.37260173645</v>
      </c>
      <c r="X27">
        <v>2.460401756364429E-2</v>
      </c>
      <c r="Y27">
        <f t="shared" si="1"/>
        <v>6.3752465632928841</v>
      </c>
      <c r="Z27">
        <f t="shared" si="2"/>
        <v>6.3752465822255244</v>
      </c>
      <c r="AA27">
        <f t="shared" si="3"/>
        <v>-1.8932640344360152E-8</v>
      </c>
      <c r="AB27">
        <f t="shared" si="4"/>
        <v>1.3056387886842231E-5</v>
      </c>
      <c r="AC27">
        <v>626.04983555202125</v>
      </c>
      <c r="AD27">
        <f t="shared" si="5"/>
        <v>6117.1624777381148</v>
      </c>
      <c r="AE27">
        <f>+gettm2(AD27,AC27,AK27,AL27,テーブル2[[#This Row],[Fcorr]])</f>
        <v>596.93094212103722</v>
      </c>
      <c r="AF27" s="14">
        <f t="shared" si="6"/>
        <v>0</v>
      </c>
      <c r="AG27">
        <v>1.307629956530174E-5</v>
      </c>
      <c r="AH27">
        <f t="shared" si="7"/>
        <v>59.774311350929693</v>
      </c>
      <c r="AI27">
        <f t="shared" si="8"/>
        <v>0.30928848256477043</v>
      </c>
      <c r="AJ27">
        <f t="shared" si="9"/>
        <v>34.991185060597999</v>
      </c>
      <c r="AK27">
        <f t="array" ref="AK27">+S27*テーブル2[[#This Row],[F_form]]/(E27*CpFromTP((テーブル2[[#This Row],[Tin]]+テーブル2[[#This Row],[Tf]])/2,テーブル2[[#This Row],[P]])*AI27)</f>
        <v>1.1242676877679598</v>
      </c>
      <c r="AL27">
        <f t="shared" si="10"/>
        <v>1.1293680422758512</v>
      </c>
      <c r="AM27">
        <f t="shared" si="11"/>
        <v>608.62110606132228</v>
      </c>
      <c r="AN27">
        <f t="shared" si="12"/>
        <v>4.4407215682440437E-9</v>
      </c>
      <c r="AO27">
        <f t="shared" si="13"/>
        <v>1.9911678459509256E-8</v>
      </c>
      <c r="AP27">
        <v>3.7723396121672521</v>
      </c>
      <c r="AQ27">
        <f t="shared" si="14"/>
        <v>3.8319576471323073E-5</v>
      </c>
      <c r="AR27">
        <f t="shared" si="15"/>
        <v>6.5481056218806246E-6</v>
      </c>
      <c r="AS27">
        <f t="shared" si="16"/>
        <v>17.522233600364899</v>
      </c>
      <c r="AT27">
        <f t="shared" si="17"/>
        <v>11.267352829937831</v>
      </c>
      <c r="AU27">
        <f t="shared" si="18"/>
        <v>3.4848624592933435</v>
      </c>
      <c r="AV27">
        <f t="shared" si="19"/>
        <v>0.28747715287390863</v>
      </c>
      <c r="AW27">
        <f t="shared" si="20"/>
        <v>7.8496490024185205E-3</v>
      </c>
      <c r="AX27">
        <f t="shared" si="21"/>
        <v>0.28747714874255509</v>
      </c>
      <c r="AY27">
        <f t="shared" si="22"/>
        <v>4.1313535370512966E-9</v>
      </c>
      <c r="AZ27">
        <f t="shared" si="23"/>
        <v>1080577.4158407261</v>
      </c>
      <c r="BA27">
        <f t="shared" si="24"/>
        <v>1.0158039946278336E-5</v>
      </c>
      <c r="BB27" s="15">
        <f t="shared" si="25"/>
        <v>1323551.7493968594</v>
      </c>
      <c r="BC27" s="20">
        <f t="shared" si="26"/>
        <v>7545.8558031094726</v>
      </c>
      <c r="BD27" s="19">
        <f t="shared" si="27"/>
        <v>0.57339073022714537</v>
      </c>
      <c r="BE27" s="15">
        <v>3155000</v>
      </c>
      <c r="BF27" s="16">
        <f>テーブル2[[#This Row],[q_P]]/テーブル2[[#This Row],[q_M]]</f>
        <v>0.41950927080724548</v>
      </c>
      <c r="BG27">
        <v>1</v>
      </c>
      <c r="BH27">
        <v>6.9000000000000006E-2</v>
      </c>
      <c r="BI27">
        <v>4.5999999999999999E-2</v>
      </c>
      <c r="BJ27">
        <v>5625</v>
      </c>
      <c r="BK27" s="22">
        <v>1</v>
      </c>
      <c r="BL27">
        <f>テーブル2[[#This Row],[Ts]]-テーブル2[[#This Row],[Tin]]</f>
        <v>24.392929823914983</v>
      </c>
      <c r="BM27">
        <f>テーブル2[[#This Row],[q_P]]*0.000001</f>
        <v>1.3235517493968594</v>
      </c>
      <c r="BN27">
        <f>テーブル2[[#This Row],[Tsub]]</f>
        <v>24.392929823914983</v>
      </c>
      <c r="BO27">
        <f>テーブル2[[#This Row],[Fcorr]]</f>
        <v>1</v>
      </c>
      <c r="BP27">
        <f>(テーブル2[[#This Row],[Tsub]]-40)^2</f>
        <v>243.5806394812424</v>
      </c>
      <c r="BQ27">
        <v>1</v>
      </c>
      <c r="BR27">
        <v>0.29527500000000001</v>
      </c>
    </row>
    <row r="28" spans="1:70" x14ac:dyDescent="0.15">
      <c r="A28" s="9" t="s">
        <v>96</v>
      </c>
      <c r="B28">
        <v>13789520</v>
      </c>
      <c r="C28" s="22">
        <f t="array" ref="C28">TsatFromP(テーブル2[[#This Row],[P]])</f>
        <v>608.621106065763</v>
      </c>
      <c r="D28">
        <f t="array" ref="D28">RhoGFromP(テーブル2[[#This Row],[P]])</f>
        <v>85.147893581579396</v>
      </c>
      <c r="E28">
        <f t="array" ref="E28">RhoFFromP(テーブル2[[#This Row],[P]])</f>
        <v>624.86627494838649</v>
      </c>
      <c r="F28">
        <f t="array" ref="F28">HgFromP(テーブル2[[#This Row],[P]])</f>
        <v>2643264.389866509</v>
      </c>
      <c r="G28">
        <f t="array" ref="G28">HfFromP(テーブル2[[#This Row],[P]])</f>
        <v>1562686.9740257829</v>
      </c>
      <c r="H28">
        <f t="array" ref="H28">MuGFromP(テーブル2[[#This Row],[P]])</f>
        <v>2.2019594042733509E-5</v>
      </c>
      <c r="I28">
        <f t="array" ref="I28">MuFFromP(テーブル2[[#This Row],[P]])</f>
        <v>7.2223252690249831E-5</v>
      </c>
      <c r="J28">
        <f t="array" ref="J28">KfFromP(テーブル2[[#This Row],[P]])</f>
        <v>0.4911212487937569</v>
      </c>
      <c r="K28">
        <f t="array" ref="K28">CpFFromP(テーブル2[[#This Row],[P]])</f>
        <v>7679.7516396704104</v>
      </c>
      <c r="L28">
        <f t="array" ref="L28">SigmaFromP(テーブル2[[#This Row],[P]])</f>
        <v>6.5036382888884548E-3</v>
      </c>
      <c r="M28" s="23">
        <v>27</v>
      </c>
      <c r="N28">
        <v>3525.6</v>
      </c>
      <c r="O28" s="8">
        <v>1.6417322322758919E-5</v>
      </c>
      <c r="P28" s="8">
        <v>1.4363361612212531E-2</v>
      </c>
      <c r="Q28" s="8">
        <v>4.5719999999999997E-3</v>
      </c>
      <c r="R28">
        <v>0.29527500000000001</v>
      </c>
      <c r="S28" s="15">
        <v>1298728.41796875</v>
      </c>
      <c r="T28">
        <v>584.781818283598</v>
      </c>
      <c r="U28" s="12">
        <f>+T28+BG28*S28*テーブル2[[#This Row],[Pw]]*R28/(N28*O28*K28)</f>
        <v>597.1731669861814</v>
      </c>
      <c r="V28">
        <v>0.03</v>
      </c>
      <c r="W28" s="8">
        <f t="shared" si="0"/>
        <v>223183.56761265168</v>
      </c>
      <c r="X28">
        <v>2.4487583851910879E-2</v>
      </c>
      <c r="Y28">
        <f t="shared" si="1"/>
        <v>6.3903851198577168</v>
      </c>
      <c r="Z28">
        <f t="shared" si="2"/>
        <v>6.3903851340290903</v>
      </c>
      <c r="AA28">
        <f t="shared" si="3"/>
        <v>-1.4171373408089494E-8</v>
      </c>
      <c r="AB28">
        <f t="shared" si="4"/>
        <v>1.2817481132583001E-5</v>
      </c>
      <c r="AC28">
        <v>625.58754870936286</v>
      </c>
      <c r="AD28">
        <f t="shared" si="5"/>
        <v>6173.9085809520857</v>
      </c>
      <c r="AE28">
        <f>+gettm2(AD28,AC28,AK28,AL28,テーブル2[[#This Row],[Fcorr]])</f>
        <v>597.17316698618129</v>
      </c>
      <c r="AF28" s="14">
        <f t="shared" si="6"/>
        <v>0</v>
      </c>
      <c r="AG28">
        <v>1.283658300950776E-5</v>
      </c>
      <c r="AH28">
        <f t="shared" si="7"/>
        <v>60.888452777409292</v>
      </c>
      <c r="AI28">
        <f t="shared" si="8"/>
        <v>0.31215760958540867</v>
      </c>
      <c r="AJ28">
        <f t="shared" si="9"/>
        <v>34.668368325679666</v>
      </c>
      <c r="AK28">
        <f t="array" ref="AK28">+S28*テーブル2[[#This Row],[F_form]]/(E28*CpFromTP((テーブル2[[#This Row],[Tin]]+テーブル2[[#This Row],[Tf]])/2,テーブル2[[#This Row],[P]])*AI28)</f>
        <v>1.096085458936676</v>
      </c>
      <c r="AL28">
        <f t="shared" si="10"/>
        <v>1.1293680422758512</v>
      </c>
      <c r="AM28">
        <f t="shared" si="11"/>
        <v>608.62110605918974</v>
      </c>
      <c r="AN28">
        <f t="shared" si="12"/>
        <v>6.5732592702261172E-9</v>
      </c>
      <c r="AO28">
        <f t="shared" si="13"/>
        <v>1.9101876924759213E-8</v>
      </c>
      <c r="AP28">
        <v>3.7913582875847851</v>
      </c>
      <c r="AQ28">
        <f t="shared" si="14"/>
        <v>3.7936094027743203E-5</v>
      </c>
      <c r="AR28">
        <f t="shared" si="15"/>
        <v>6.4278424432162598E-6</v>
      </c>
      <c r="AS28">
        <f t="shared" si="16"/>
        <v>17.359978835162241</v>
      </c>
      <c r="AT28">
        <f t="shared" si="17"/>
        <v>11.220837450293894</v>
      </c>
      <c r="AU28">
        <f t="shared" si="18"/>
        <v>3.5026697960301738</v>
      </c>
      <c r="AV28">
        <f t="shared" si="19"/>
        <v>0.28868849155461129</v>
      </c>
      <c r="AW28">
        <f t="shared" si="20"/>
        <v>7.7060155425753198E-3</v>
      </c>
      <c r="AX28">
        <f t="shared" si="21"/>
        <v>0.28868848650059847</v>
      </c>
      <c r="AY28">
        <f t="shared" si="22"/>
        <v>5.0540128193610201E-9</v>
      </c>
      <c r="AZ28">
        <f t="shared" si="23"/>
        <v>1080577.4158407261</v>
      </c>
      <c r="BA28">
        <f t="shared" si="24"/>
        <v>1.0005937489993776E-5</v>
      </c>
      <c r="BB28" s="15">
        <f t="shared" si="25"/>
        <v>1289024.670569509</v>
      </c>
      <c r="BC28" s="20">
        <f t="shared" si="26"/>
        <v>-9703.747399240965</v>
      </c>
      <c r="BD28" s="19">
        <f t="shared" si="27"/>
        <v>-0.7471729473986497</v>
      </c>
      <c r="BE28" s="15">
        <v>3082435</v>
      </c>
      <c r="BF28" s="16">
        <f>テーブル2[[#This Row],[q_P]]/テーブル2[[#This Row],[q_M]]</f>
        <v>0.41818389376240184</v>
      </c>
      <c r="BG28">
        <v>1</v>
      </c>
      <c r="BH28">
        <v>6.5000000000000002E-2</v>
      </c>
      <c r="BI28">
        <v>4.5999999999999999E-2</v>
      </c>
      <c r="BJ28">
        <v>5625</v>
      </c>
      <c r="BK28" s="22">
        <v>1</v>
      </c>
      <c r="BL28">
        <f>テーブル2[[#This Row],[Ts]]-テーブル2[[#This Row],[Tin]]</f>
        <v>23.839287782165002</v>
      </c>
      <c r="BM28">
        <f>テーブル2[[#This Row],[q_P]]*0.000001</f>
        <v>1.289024670569509</v>
      </c>
      <c r="BN28">
        <f>テーブル2[[#This Row],[Tsub]]</f>
        <v>23.839287782165002</v>
      </c>
      <c r="BO28">
        <f>テーブル2[[#This Row],[Fcorr]]</f>
        <v>1</v>
      </c>
      <c r="BP28">
        <f>(テーブル2[[#This Row],[Tsub]]-40)^2</f>
        <v>261.16861938768136</v>
      </c>
      <c r="BQ28">
        <v>1</v>
      </c>
      <c r="BR28">
        <v>0.29527500000000001</v>
      </c>
    </row>
    <row r="29" spans="1:70" x14ac:dyDescent="0.15">
      <c r="A29" s="9" t="s">
        <v>97</v>
      </c>
      <c r="B29">
        <v>13789520</v>
      </c>
      <c r="C29" s="22">
        <f t="array" ref="C29">TsatFromP(テーブル2[[#This Row],[P]])</f>
        <v>608.621106065763</v>
      </c>
      <c r="D29">
        <f t="array" ref="D29">RhoGFromP(テーブル2[[#This Row],[P]])</f>
        <v>85.147893581579396</v>
      </c>
      <c r="E29">
        <f t="array" ref="E29">RhoFFromP(テーブル2[[#This Row],[P]])</f>
        <v>624.86627494838649</v>
      </c>
      <c r="F29">
        <f t="array" ref="F29">HgFromP(テーブル2[[#This Row],[P]])</f>
        <v>2643264.389866509</v>
      </c>
      <c r="G29">
        <f t="array" ref="G29">HfFromP(テーブル2[[#This Row],[P]])</f>
        <v>1562686.9740257829</v>
      </c>
      <c r="H29">
        <f t="array" ref="H29">MuGFromP(テーブル2[[#This Row],[P]])</f>
        <v>2.2019594042733509E-5</v>
      </c>
      <c r="I29">
        <f t="array" ref="I29">MuFFromP(テーブル2[[#This Row],[P]])</f>
        <v>7.2223252690249831E-5</v>
      </c>
      <c r="J29">
        <f t="array" ref="J29">KfFromP(テーブル2[[#This Row],[P]])</f>
        <v>0.4911212487937569</v>
      </c>
      <c r="K29">
        <f t="array" ref="K29">CpFFromP(テーブル2[[#This Row],[P]])</f>
        <v>7679.7516396704104</v>
      </c>
      <c r="L29">
        <f t="array" ref="L29">SigmaFromP(テーブル2[[#This Row],[P]])</f>
        <v>6.5036382888884548E-3</v>
      </c>
      <c r="M29">
        <v>28</v>
      </c>
      <c r="N29">
        <v>3634.08</v>
      </c>
      <c r="O29" s="8">
        <v>1.6417322322758919E-5</v>
      </c>
      <c r="P29" s="8">
        <v>1.4363361612212531E-2</v>
      </c>
      <c r="Q29" s="8">
        <v>4.5719999999999997E-3</v>
      </c>
      <c r="R29">
        <v>0.29527500000000001</v>
      </c>
      <c r="S29" s="15">
        <v>427540.99609375</v>
      </c>
      <c r="T29">
        <v>601.35806991756397</v>
      </c>
      <c r="U29" s="12">
        <f>+T29+BG29*S29*テーブル2[[#This Row],[Pw]]*R29/(N29*O29*K29)</f>
        <v>605.31553009704828</v>
      </c>
      <c r="V29">
        <v>0.03</v>
      </c>
      <c r="W29" s="8">
        <f t="shared" si="0"/>
        <v>230050.75430842556</v>
      </c>
      <c r="X29">
        <v>2.418736249783986E-2</v>
      </c>
      <c r="Y29">
        <f t="shared" si="1"/>
        <v>6.4299225721843012</v>
      </c>
      <c r="Z29">
        <f t="shared" si="2"/>
        <v>6.4299226083853203</v>
      </c>
      <c r="AA29">
        <f t="shared" si="3"/>
        <v>-3.6201019071313567E-8</v>
      </c>
      <c r="AB29">
        <f t="shared" si="4"/>
        <v>1.2213417900584807E-5</v>
      </c>
      <c r="AC29">
        <v>613.44327003647811</v>
      </c>
      <c r="AD29">
        <f t="shared" si="5"/>
        <v>6324.7436715753292</v>
      </c>
      <c r="AE29">
        <f>+gettm2(AD29,AC29,AK29,AL29,テーブル2[[#This Row],[Fcorr]])</f>
        <v>605.31553009704817</v>
      </c>
      <c r="AF29" s="14">
        <f t="shared" si="6"/>
        <v>0</v>
      </c>
      <c r="AG29">
        <v>1.221950002550514E-5</v>
      </c>
      <c r="AH29">
        <f t="shared" si="7"/>
        <v>63.899933746576004</v>
      </c>
      <c r="AI29">
        <f t="shared" si="8"/>
        <v>0.31978394883439204</v>
      </c>
      <c r="AJ29">
        <f t="shared" si="9"/>
        <v>33.808051380633508</v>
      </c>
      <c r="AK29">
        <f t="array" ref="AK29">+S29*テーブル2[[#This Row],[F_form]]/(E29*CpFromTP((テーブル2[[#This Row],[Tin]]+テーブル2[[#This Row],[Tf]])/2,テーブル2[[#This Row],[P]])*AI29)</f>
        <v>0.31279641045284456</v>
      </c>
      <c r="AL29">
        <f t="shared" si="10"/>
        <v>1.1293680422758512</v>
      </c>
      <c r="AM29">
        <f t="shared" si="11"/>
        <v>608.62110606567524</v>
      </c>
      <c r="AN29">
        <f t="shared" si="12"/>
        <v>8.7766238721087575E-11</v>
      </c>
      <c r="AO29">
        <f t="shared" si="13"/>
        <v>6.0821249203332604E-9</v>
      </c>
      <c r="AP29">
        <v>3.8385858445605652</v>
      </c>
      <c r="AQ29">
        <f t="shared" si="14"/>
        <v>3.7008352628581888E-5</v>
      </c>
      <c r="AR29">
        <f t="shared" si="15"/>
        <v>6.1127910752127366E-6</v>
      </c>
      <c r="AS29">
        <f t="shared" si="16"/>
        <v>16.912439487582638</v>
      </c>
      <c r="AT29">
        <f t="shared" si="17"/>
        <v>11.090247077602605</v>
      </c>
      <c r="AU29">
        <f t="shared" si="18"/>
        <v>3.5464830040248372</v>
      </c>
      <c r="AV29">
        <f t="shared" si="19"/>
        <v>0.29210284053572799</v>
      </c>
      <c r="AW29">
        <f t="shared" si="20"/>
        <v>7.3428458521871505E-3</v>
      </c>
      <c r="AX29">
        <f t="shared" si="21"/>
        <v>0.29210283270098691</v>
      </c>
      <c r="AY29">
        <f t="shared" si="22"/>
        <v>7.8347410781276494E-9</v>
      </c>
      <c r="AZ29">
        <f t="shared" si="23"/>
        <v>1080577.4158407261</v>
      </c>
      <c r="BA29">
        <f t="shared" si="24"/>
        <v>9.6411423704446399E-6</v>
      </c>
      <c r="BB29" s="15">
        <f t="shared" si="25"/>
        <v>425960.97451722616</v>
      </c>
      <c r="BC29" s="20">
        <f t="shared" si="26"/>
        <v>-1580.021576523839</v>
      </c>
      <c r="BD29" s="19">
        <f t="shared" si="27"/>
        <v>-0.36956025058644348</v>
      </c>
      <c r="BE29" s="15">
        <v>2176950</v>
      </c>
      <c r="BF29" s="16">
        <f>テーブル2[[#This Row],[q_P]]/テーブル2[[#This Row],[q_M]]</f>
        <v>0.19566869910527396</v>
      </c>
      <c r="BG29">
        <v>1</v>
      </c>
      <c r="BH29">
        <v>9.6000000000000002E-2</v>
      </c>
      <c r="BI29">
        <v>4.5999999999999999E-2</v>
      </c>
      <c r="BJ29">
        <v>5625</v>
      </c>
      <c r="BK29" s="22">
        <v>1</v>
      </c>
      <c r="BL29">
        <f>テーブル2[[#This Row],[Ts]]-テーブル2[[#This Row],[Tin]]</f>
        <v>7.2630361481990349</v>
      </c>
      <c r="BM29">
        <f>テーブル2[[#This Row],[q_P]]*0.000001</f>
        <v>0.42596097451722614</v>
      </c>
      <c r="BN29">
        <f>テーブル2[[#This Row],[Tsub]]</f>
        <v>7.2630361481990349</v>
      </c>
      <c r="BO29">
        <f>テーブル2[[#This Row],[Fcorr]]</f>
        <v>1</v>
      </c>
      <c r="BP29">
        <f>(テーブル2[[#This Row],[Tsub]]-40)^2</f>
        <v>1071.7088022341231</v>
      </c>
      <c r="BQ29">
        <v>1</v>
      </c>
      <c r="BR29">
        <v>0.29527500000000001</v>
      </c>
    </row>
    <row r="30" spans="1:70" x14ac:dyDescent="0.15">
      <c r="A30" s="9" t="s">
        <v>98</v>
      </c>
      <c r="B30">
        <v>13789520</v>
      </c>
      <c r="C30" s="22">
        <f t="array" ref="C30">TsatFromP(テーブル2[[#This Row],[P]])</f>
        <v>608.621106065763</v>
      </c>
      <c r="D30">
        <f t="array" ref="D30">RhoGFromP(テーブル2[[#This Row],[P]])</f>
        <v>85.147893581579396</v>
      </c>
      <c r="E30">
        <f t="array" ref="E30">RhoFFromP(テーブル2[[#This Row],[P]])</f>
        <v>624.86627494838649</v>
      </c>
      <c r="F30">
        <f t="array" ref="F30">HgFromP(テーブル2[[#This Row],[P]])</f>
        <v>2643264.389866509</v>
      </c>
      <c r="G30">
        <f t="array" ref="G30">HfFromP(テーブル2[[#This Row],[P]])</f>
        <v>1562686.9740257829</v>
      </c>
      <c r="H30">
        <f t="array" ref="H30">MuGFromP(テーブル2[[#This Row],[P]])</f>
        <v>2.2019594042733509E-5</v>
      </c>
      <c r="I30">
        <f t="array" ref="I30">MuFFromP(テーブル2[[#This Row],[P]])</f>
        <v>7.2223252690249831E-5</v>
      </c>
      <c r="J30">
        <f t="array" ref="J30">KfFromP(テーブル2[[#This Row],[P]])</f>
        <v>0.4911212487937569</v>
      </c>
      <c r="K30">
        <f t="array" ref="K30">CpFFromP(テーブル2[[#This Row],[P]])</f>
        <v>7679.7516396704104</v>
      </c>
      <c r="L30">
        <f t="array" ref="L30">SigmaFromP(テーブル2[[#This Row],[P]])</f>
        <v>6.5036382888884548E-3</v>
      </c>
      <c r="M30" s="23">
        <v>29</v>
      </c>
      <c r="N30">
        <v>3634.08</v>
      </c>
      <c r="O30" s="8">
        <v>1.6417322322758919E-5</v>
      </c>
      <c r="P30" s="8">
        <v>1.4363361612212531E-2</v>
      </c>
      <c r="Q30" s="8">
        <v>4.5719999999999997E-3</v>
      </c>
      <c r="R30">
        <v>0.29527500000000001</v>
      </c>
      <c r="S30" s="15">
        <v>427540.99609375</v>
      </c>
      <c r="T30">
        <v>601.35806991756397</v>
      </c>
      <c r="U30" s="12">
        <f>+T30+BG30*S30*テーブル2[[#This Row],[Pw]]*R30/(N30*O30*K30)</f>
        <v>605.31553009704828</v>
      </c>
      <c r="V30">
        <v>0.03</v>
      </c>
      <c r="W30" s="8">
        <f t="shared" si="0"/>
        <v>230050.75430842556</v>
      </c>
      <c r="X30">
        <v>2.418736249783986E-2</v>
      </c>
      <c r="Y30">
        <f t="shared" si="1"/>
        <v>6.4299225721843012</v>
      </c>
      <c r="Z30">
        <f t="shared" si="2"/>
        <v>6.4299226083853203</v>
      </c>
      <c r="AA30">
        <f t="shared" si="3"/>
        <v>-3.6201019071313567E-8</v>
      </c>
      <c r="AB30">
        <f t="shared" si="4"/>
        <v>1.2213417900584807E-5</v>
      </c>
      <c r="AC30">
        <v>613.44327003647811</v>
      </c>
      <c r="AD30">
        <f t="shared" si="5"/>
        <v>6324.7436715753292</v>
      </c>
      <c r="AE30">
        <f>+gettm2(AD30,AC30,AK30,AL30,テーブル2[[#This Row],[Fcorr]])</f>
        <v>605.31553009704817</v>
      </c>
      <c r="AF30" s="14">
        <f t="shared" si="6"/>
        <v>0</v>
      </c>
      <c r="AG30">
        <v>1.221950002550514E-5</v>
      </c>
      <c r="AH30">
        <f t="shared" si="7"/>
        <v>63.899933746576004</v>
      </c>
      <c r="AI30">
        <f t="shared" si="8"/>
        <v>0.31978394883439204</v>
      </c>
      <c r="AJ30">
        <f t="shared" si="9"/>
        <v>33.808051380633508</v>
      </c>
      <c r="AK30">
        <f t="array" ref="AK30">+S30*テーブル2[[#This Row],[F_form]]/(E30*CpFromTP((テーブル2[[#This Row],[Tin]]+テーブル2[[#This Row],[Tf]])/2,テーブル2[[#This Row],[P]])*AI30)</f>
        <v>0.31279641045284456</v>
      </c>
      <c r="AL30">
        <f t="shared" si="10"/>
        <v>1.1293680422758512</v>
      </c>
      <c r="AM30">
        <f t="shared" si="11"/>
        <v>608.62110606567524</v>
      </c>
      <c r="AN30">
        <f t="shared" si="12"/>
        <v>8.7766238721087575E-11</v>
      </c>
      <c r="AO30">
        <f t="shared" si="13"/>
        <v>6.0821249203332604E-9</v>
      </c>
      <c r="AP30">
        <v>3.8385858445605652</v>
      </c>
      <c r="AQ30">
        <f t="shared" si="14"/>
        <v>3.7008352628581888E-5</v>
      </c>
      <c r="AR30">
        <f t="shared" si="15"/>
        <v>6.1127910752127366E-6</v>
      </c>
      <c r="AS30">
        <f t="shared" si="16"/>
        <v>16.912439487582638</v>
      </c>
      <c r="AT30">
        <f t="shared" si="17"/>
        <v>11.090247077602605</v>
      </c>
      <c r="AU30">
        <f t="shared" si="18"/>
        <v>3.5464830040248372</v>
      </c>
      <c r="AV30">
        <f t="shared" si="19"/>
        <v>0.29210284053572799</v>
      </c>
      <c r="AW30">
        <f t="shared" si="20"/>
        <v>7.3428458521871505E-3</v>
      </c>
      <c r="AX30">
        <f t="shared" si="21"/>
        <v>0.29210283270098691</v>
      </c>
      <c r="AY30">
        <f t="shared" si="22"/>
        <v>7.8347410781276494E-9</v>
      </c>
      <c r="AZ30">
        <f t="shared" si="23"/>
        <v>1080577.4158407261</v>
      </c>
      <c r="BA30">
        <f t="shared" si="24"/>
        <v>9.6411423704446399E-6</v>
      </c>
      <c r="BB30" s="15">
        <f t="shared" si="25"/>
        <v>425960.97451722616</v>
      </c>
      <c r="BC30" s="20">
        <f t="shared" si="26"/>
        <v>-1580.021576523839</v>
      </c>
      <c r="BD30" s="19">
        <f t="shared" si="27"/>
        <v>-0.36956025058644348</v>
      </c>
      <c r="BE30" s="15">
        <v>2318925</v>
      </c>
      <c r="BF30" s="16">
        <f>テーブル2[[#This Row],[q_P]]/テーブル2[[#This Row],[q_M]]</f>
        <v>0.1836889828335225</v>
      </c>
      <c r="BG30">
        <v>1</v>
      </c>
      <c r="BH30">
        <v>0.105</v>
      </c>
      <c r="BI30">
        <v>4.5999999999999999E-2</v>
      </c>
      <c r="BJ30">
        <v>5625</v>
      </c>
      <c r="BK30" s="22">
        <v>1</v>
      </c>
      <c r="BL30">
        <f>テーブル2[[#This Row],[Ts]]-テーブル2[[#This Row],[Tin]]</f>
        <v>7.2630361481990349</v>
      </c>
      <c r="BM30">
        <f>テーブル2[[#This Row],[q_P]]*0.000001</f>
        <v>0.42596097451722614</v>
      </c>
      <c r="BN30">
        <f>テーブル2[[#This Row],[Tsub]]</f>
        <v>7.2630361481990349</v>
      </c>
      <c r="BO30">
        <f>テーブル2[[#This Row],[Fcorr]]</f>
        <v>1</v>
      </c>
      <c r="BP30">
        <f>(テーブル2[[#This Row],[Tsub]]-40)^2</f>
        <v>1071.7088022341231</v>
      </c>
      <c r="BQ30">
        <v>1</v>
      </c>
      <c r="BR30">
        <v>0.29527500000000001</v>
      </c>
    </row>
    <row r="31" spans="1:70" x14ac:dyDescent="0.15">
      <c r="A31" s="9" t="s">
        <v>99</v>
      </c>
      <c r="B31">
        <v>13789520</v>
      </c>
      <c r="C31" s="22">
        <f t="array" ref="C31">TsatFromP(テーブル2[[#This Row],[P]])</f>
        <v>608.621106065763</v>
      </c>
      <c r="D31">
        <f t="array" ref="D31">RhoGFromP(テーブル2[[#This Row],[P]])</f>
        <v>85.147893581579396</v>
      </c>
      <c r="E31">
        <f t="array" ref="E31">RhoFFromP(テーブル2[[#This Row],[P]])</f>
        <v>624.86627494838649</v>
      </c>
      <c r="F31">
        <f t="array" ref="F31">HgFromP(テーブル2[[#This Row],[P]])</f>
        <v>2643264.389866509</v>
      </c>
      <c r="G31">
        <f t="array" ref="G31">HfFromP(テーブル2[[#This Row],[P]])</f>
        <v>1562686.9740257829</v>
      </c>
      <c r="H31">
        <f t="array" ref="H31">MuGFromP(テーブル2[[#This Row],[P]])</f>
        <v>2.2019594042733509E-5</v>
      </c>
      <c r="I31">
        <f t="array" ref="I31">MuFFromP(テーブル2[[#This Row],[P]])</f>
        <v>7.2223252690249831E-5</v>
      </c>
      <c r="J31">
        <f t="array" ref="J31">KfFromP(テーブル2[[#This Row],[P]])</f>
        <v>0.4911212487937569</v>
      </c>
      <c r="K31">
        <f t="array" ref="K31">CpFFromP(テーブル2[[#This Row],[P]])</f>
        <v>7679.7516396704104</v>
      </c>
      <c r="L31">
        <f t="array" ref="L31">SigmaFromP(テーブル2[[#This Row],[P]])</f>
        <v>6.5036382888884548E-3</v>
      </c>
      <c r="M31">
        <v>30</v>
      </c>
      <c r="N31">
        <v>3674.76</v>
      </c>
      <c r="O31" s="8">
        <v>1.6417322322758919E-5</v>
      </c>
      <c r="P31" s="8">
        <v>1.4363361612212531E-2</v>
      </c>
      <c r="Q31" s="8">
        <v>4.5719999999999997E-3</v>
      </c>
      <c r="R31">
        <v>0.29527500000000001</v>
      </c>
      <c r="S31" s="15">
        <v>464228.25140625</v>
      </c>
      <c r="T31">
        <v>600.78000150085597</v>
      </c>
      <c r="U31" s="12">
        <f>+T31+BG31*S31*テーブル2[[#This Row],[Pw]]*R31/(N31*O31*K31)</f>
        <v>605.02948217711253</v>
      </c>
      <c r="V31">
        <v>0.03</v>
      </c>
      <c r="W31" s="8">
        <f t="shared" si="0"/>
        <v>232625.94931934078</v>
      </c>
      <c r="X31">
        <v>2.407845362240759E-2</v>
      </c>
      <c r="Y31">
        <f t="shared" si="1"/>
        <v>6.4444477070153789</v>
      </c>
      <c r="Z31">
        <f t="shared" si="2"/>
        <v>6.4444477301210172</v>
      </c>
      <c r="AA31">
        <f t="shared" si="3"/>
        <v>-2.3105638291553987E-8</v>
      </c>
      <c r="AB31">
        <f t="shared" si="4"/>
        <v>1.1998532857527643E-5</v>
      </c>
      <c r="AC31">
        <v>613.83118294897815</v>
      </c>
      <c r="AD31">
        <f t="shared" si="5"/>
        <v>6381.1281323844041</v>
      </c>
      <c r="AE31">
        <f>+gettm2(AD31,AC31,AK31,AL31,テーブル2[[#This Row],[Fcorr]])</f>
        <v>605.02948231542427</v>
      </c>
      <c r="AF31" s="14">
        <f t="shared" si="6"/>
        <v>1.3831174783263123E-7</v>
      </c>
      <c r="AG31">
        <v>1.200505407759832E-5</v>
      </c>
      <c r="AH31">
        <f t="shared" si="7"/>
        <v>65.044335331130412</v>
      </c>
      <c r="AI31">
        <f t="shared" si="8"/>
        <v>0.3226347909343586</v>
      </c>
      <c r="AJ31">
        <f t="shared" si="9"/>
        <v>33.51084352815343</v>
      </c>
      <c r="AK31">
        <f t="array" ref="AK31">+S31*テーブル2[[#This Row],[F_form]]/(E31*CpFromTP((テーブル2[[#This Row],[Tin]]+テーブル2[[#This Row],[Tf]])/2,テーブル2[[#This Row],[P]])*AI31)</f>
        <v>0.33844354499142276</v>
      </c>
      <c r="AL31">
        <f t="shared" si="10"/>
        <v>1.1293680422758512</v>
      </c>
      <c r="AM31">
        <f t="shared" si="11"/>
        <v>608.62110606557621</v>
      </c>
      <c r="AN31">
        <f t="shared" si="12"/>
        <v>1.8678747437661514E-10</v>
      </c>
      <c r="AO31">
        <f t="shared" si="13"/>
        <v>6.5212200706774482E-9</v>
      </c>
      <c r="AP31">
        <v>3.857212440535783</v>
      </c>
      <c r="AQ31">
        <f t="shared" si="14"/>
        <v>3.6651786729390718E-5</v>
      </c>
      <c r="AR31">
        <f t="shared" si="15"/>
        <v>6.0057876488344988E-6</v>
      </c>
      <c r="AS31">
        <f t="shared" si="16"/>
        <v>16.764523413431586</v>
      </c>
      <c r="AT31">
        <f t="shared" si="17"/>
        <v>11.046324760210519</v>
      </c>
      <c r="AU31">
        <f t="shared" si="18"/>
        <v>3.5639286796035496</v>
      </c>
      <c r="AV31">
        <f t="shared" si="19"/>
        <v>0.29328376093223341</v>
      </c>
      <c r="AW31">
        <f t="shared" si="20"/>
        <v>7.2136545185283061E-3</v>
      </c>
      <c r="AX31">
        <f t="shared" si="21"/>
        <v>0.29328375183466948</v>
      </c>
      <c r="AY31">
        <f t="shared" si="22"/>
        <v>9.0975639244206263E-9</v>
      </c>
      <c r="AZ31">
        <f t="shared" si="23"/>
        <v>1080577.4158407261</v>
      </c>
      <c r="BA31">
        <f t="shared" si="24"/>
        <v>9.5021436579986844E-6</v>
      </c>
      <c r="BB31" s="15">
        <f t="shared" si="25"/>
        <v>463393.81911904021</v>
      </c>
      <c r="BC31" s="20">
        <f t="shared" si="26"/>
        <v>-834.43228720978368</v>
      </c>
      <c r="BD31" s="19">
        <f t="shared" si="27"/>
        <v>-0.17974612374022989</v>
      </c>
      <c r="BE31" s="15">
        <v>2353630</v>
      </c>
      <c r="BF31" s="16">
        <f>テーブル2[[#This Row],[q_P]]/テーブル2[[#This Row],[q_M]]</f>
        <v>0.1968847351193859</v>
      </c>
      <c r="BG31">
        <v>1</v>
      </c>
      <c r="BH31">
        <v>0.10199999999999999</v>
      </c>
      <c r="BI31">
        <v>4.5999999999999999E-2</v>
      </c>
      <c r="BJ31">
        <v>5625</v>
      </c>
      <c r="BK31" s="22">
        <v>1</v>
      </c>
      <c r="BL31">
        <f>テーブル2[[#This Row],[Ts]]-テーブル2[[#This Row],[Tin]]</f>
        <v>7.8411045649070275</v>
      </c>
      <c r="BM31">
        <f>テーブル2[[#This Row],[q_P]]*0.000001</f>
        <v>0.46339381911904021</v>
      </c>
      <c r="BN31">
        <f>テーブル2[[#This Row],[Tsub]]</f>
        <v>7.8411045649070275</v>
      </c>
      <c r="BO31">
        <f>テーブル2[[#This Row],[Fcorr]]</f>
        <v>1</v>
      </c>
      <c r="BP31">
        <f>(テーブル2[[#This Row],[Tsub]]-40)^2</f>
        <v>1034.1945556052435</v>
      </c>
      <c r="BQ31">
        <v>1</v>
      </c>
      <c r="BR31">
        <v>0.29527500000000001</v>
      </c>
    </row>
    <row r="32" spans="1:70" x14ac:dyDescent="0.15">
      <c r="A32" s="9" t="s">
        <v>100</v>
      </c>
      <c r="B32">
        <v>13789520</v>
      </c>
      <c r="C32" s="22">
        <f t="array" ref="C32">TsatFromP(テーブル2[[#This Row],[P]])</f>
        <v>608.621106065763</v>
      </c>
      <c r="D32">
        <f t="array" ref="D32">RhoGFromP(テーブル2[[#This Row],[P]])</f>
        <v>85.147893581579396</v>
      </c>
      <c r="E32">
        <f t="array" ref="E32">RhoFFromP(テーブル2[[#This Row],[P]])</f>
        <v>624.86627494838649</v>
      </c>
      <c r="F32">
        <f t="array" ref="F32">HgFromP(テーブル2[[#This Row],[P]])</f>
        <v>2643264.389866509</v>
      </c>
      <c r="G32">
        <f t="array" ref="G32">HfFromP(テーブル2[[#This Row],[P]])</f>
        <v>1562686.9740257829</v>
      </c>
      <c r="H32">
        <f t="array" ref="H32">MuGFromP(テーブル2[[#This Row],[P]])</f>
        <v>2.2019594042733509E-5</v>
      </c>
      <c r="I32">
        <f t="array" ref="I32">MuFFromP(テーブル2[[#This Row],[P]])</f>
        <v>7.2223252690249831E-5</v>
      </c>
      <c r="J32">
        <f t="array" ref="J32">KfFromP(テーブル2[[#This Row],[P]])</f>
        <v>0.4911212487937569</v>
      </c>
      <c r="K32">
        <f t="array" ref="K32">CpFFromP(テーブル2[[#This Row],[P]])</f>
        <v>7679.7516396704104</v>
      </c>
      <c r="L32">
        <f t="array" ref="L32">SigmaFromP(テーブル2[[#This Row],[P]])</f>
        <v>6.5036382888884548E-3</v>
      </c>
      <c r="M32" s="23">
        <v>31</v>
      </c>
      <c r="N32">
        <v>3715.44</v>
      </c>
      <c r="O32" s="8">
        <v>1.6417322322758919E-5</v>
      </c>
      <c r="P32" s="8">
        <v>1.4363361612212531E-2</v>
      </c>
      <c r="Q32" s="8">
        <v>4.5719999999999997E-3</v>
      </c>
      <c r="R32">
        <v>0.29527500000000001</v>
      </c>
      <c r="S32" s="15">
        <v>654733.52734375</v>
      </c>
      <c r="T32">
        <v>597.50931537045801</v>
      </c>
      <c r="U32" s="12">
        <f>+T32+BG32*S32*テーブル2[[#This Row],[Pw]]*R32/(N32*O32*K32)</f>
        <v>603.43703427204048</v>
      </c>
      <c r="V32">
        <v>0.03</v>
      </c>
      <c r="W32" s="8">
        <f t="shared" si="0"/>
        <v>235201.14433025598</v>
      </c>
      <c r="X32">
        <v>2.3971458223217279E-2</v>
      </c>
      <c r="Y32">
        <f t="shared" si="1"/>
        <v>6.4588139283871193</v>
      </c>
      <c r="Z32">
        <f t="shared" si="2"/>
        <v>6.4588139413719885</v>
      </c>
      <c r="AA32">
        <f t="shared" si="3"/>
        <v>-1.2984869179888392E-8</v>
      </c>
      <c r="AB32">
        <f t="shared" si="4"/>
        <v>1.1789618163145284E-5</v>
      </c>
      <c r="AC32">
        <v>616.10015770344262</v>
      </c>
      <c r="AD32">
        <f t="shared" si="5"/>
        <v>6437.4173781273121</v>
      </c>
      <c r="AE32">
        <f>+gettm2(AD32,AC32,AK32,AL32,テーブル2[[#This Row],[Fcorr]])</f>
        <v>603.43703443304196</v>
      </c>
      <c r="AF32" s="14">
        <f t="shared" si="6"/>
        <v>1.6100148059194908E-7</v>
      </c>
      <c r="AG32">
        <v>1.179871785867204E-5</v>
      </c>
      <c r="AH32">
        <f t="shared" si="7"/>
        <v>66.196935631578285</v>
      </c>
      <c r="AI32">
        <f t="shared" si="8"/>
        <v>0.32548081888668084</v>
      </c>
      <c r="AJ32">
        <f t="shared" si="9"/>
        <v>33.225403054696613</v>
      </c>
      <c r="AK32">
        <f t="array" ref="AK32">+S32*テーブル2[[#This Row],[F_form]]/(E32*CpFromTP((テーブル2[[#This Row],[Tin]]+テーブル2[[#This Row],[Tf]])/2,テーブル2[[#This Row],[P]])*AI32)</f>
        <v>0.48651068356414429</v>
      </c>
      <c r="AL32">
        <f t="shared" si="10"/>
        <v>1.1293680422758512</v>
      </c>
      <c r="AM32">
        <f t="shared" si="11"/>
        <v>608.62110606527131</v>
      </c>
      <c r="AN32">
        <f t="shared" si="12"/>
        <v>4.9169557314598933E-10</v>
      </c>
      <c r="AO32">
        <f t="shared" si="13"/>
        <v>9.0996955267561323E-9</v>
      </c>
      <c r="AP32">
        <v>3.8762352113425038</v>
      </c>
      <c r="AQ32">
        <f t="shared" si="14"/>
        <v>3.6292929391007531E-5</v>
      </c>
      <c r="AR32">
        <f t="shared" si="15"/>
        <v>5.9039087770993979E-6</v>
      </c>
      <c r="AS32">
        <f t="shared" si="16"/>
        <v>16.625513981005263</v>
      </c>
      <c r="AT32">
        <f t="shared" si="17"/>
        <v>11.004692511073582</v>
      </c>
      <c r="AU32">
        <f t="shared" si="18"/>
        <v>3.5818163301003536</v>
      </c>
      <c r="AV32">
        <f t="shared" si="19"/>
        <v>0.29441888124215021</v>
      </c>
      <c r="AW32">
        <f t="shared" si="20"/>
        <v>7.08805262644591E-3</v>
      </c>
      <c r="AX32">
        <f t="shared" si="21"/>
        <v>0.29441887075627993</v>
      </c>
      <c r="AY32">
        <f t="shared" si="22"/>
        <v>1.0485870283183374E-8</v>
      </c>
      <c r="AZ32">
        <f t="shared" si="23"/>
        <v>1080577.4158407261</v>
      </c>
      <c r="BA32">
        <f t="shared" si="24"/>
        <v>9.3629326942824397E-6</v>
      </c>
      <c r="BB32" s="15">
        <f t="shared" si="25"/>
        <v>656232.79750369431</v>
      </c>
      <c r="BC32" s="20">
        <f t="shared" si="26"/>
        <v>1499.2701599443099</v>
      </c>
      <c r="BD32" s="19">
        <f t="shared" si="27"/>
        <v>0.22898936702185391</v>
      </c>
      <c r="BE32" s="15">
        <v>2539775</v>
      </c>
      <c r="BF32" s="16">
        <f>テーブル2[[#This Row],[q_P]]/テーブル2[[#This Row],[q_M]]</f>
        <v>0.25838225728802522</v>
      </c>
      <c r="BG32">
        <v>1</v>
      </c>
      <c r="BH32">
        <v>9.1999999999999998E-2</v>
      </c>
      <c r="BI32">
        <v>4.5999999999999999E-2</v>
      </c>
      <c r="BJ32">
        <v>5625</v>
      </c>
      <c r="BK32" s="22">
        <v>1</v>
      </c>
      <c r="BL32">
        <f>テーブル2[[#This Row],[Ts]]-テーブル2[[#This Row],[Tin]]</f>
        <v>11.11179069530499</v>
      </c>
      <c r="BM32">
        <f>テーブル2[[#This Row],[q_P]]*0.000001</f>
        <v>0.65623279750369423</v>
      </c>
      <c r="BN32">
        <f>テーブル2[[#This Row],[Tsub]]</f>
        <v>11.11179069530499</v>
      </c>
      <c r="BO32">
        <f>テーブル2[[#This Row],[Fcorr]]</f>
        <v>1</v>
      </c>
      <c r="BP32">
        <f>(テーブル2[[#This Row],[Tsub]]-40)^2</f>
        <v>834.5286368318674</v>
      </c>
      <c r="BQ32">
        <v>1</v>
      </c>
      <c r="BR32">
        <v>0.29527500000000001</v>
      </c>
    </row>
    <row r="33" spans="1:70" x14ac:dyDescent="0.15">
      <c r="A33" s="9" t="s">
        <v>101</v>
      </c>
      <c r="B33">
        <v>13789520</v>
      </c>
      <c r="C33" s="22">
        <f t="array" ref="C33">TsatFromP(テーブル2[[#This Row],[P]])</f>
        <v>608.621106065763</v>
      </c>
      <c r="D33">
        <f t="array" ref="D33">RhoGFromP(テーブル2[[#This Row],[P]])</f>
        <v>85.147893581579396</v>
      </c>
      <c r="E33">
        <f t="array" ref="E33">RhoFFromP(テーブル2[[#This Row],[P]])</f>
        <v>624.86627494838649</v>
      </c>
      <c r="F33">
        <f t="array" ref="F33">HgFromP(テーブル2[[#This Row],[P]])</f>
        <v>2643264.389866509</v>
      </c>
      <c r="G33">
        <f t="array" ref="G33">HfFromP(テーブル2[[#This Row],[P]])</f>
        <v>1562686.9740257829</v>
      </c>
      <c r="H33">
        <f t="array" ref="H33">MuGFromP(テーブル2[[#This Row],[P]])</f>
        <v>2.2019594042733509E-5</v>
      </c>
      <c r="I33">
        <f t="array" ref="I33">MuFFromP(テーブル2[[#This Row],[P]])</f>
        <v>7.2223252690249831E-5</v>
      </c>
      <c r="J33">
        <f t="array" ref="J33">KfFromP(テーブル2[[#This Row],[P]])</f>
        <v>0.4911212487937569</v>
      </c>
      <c r="K33">
        <f t="array" ref="K33">CpFFromP(テーブル2[[#This Row],[P]])</f>
        <v>7679.7516396704104</v>
      </c>
      <c r="L33">
        <f t="array" ref="L33">SigmaFromP(テーブル2[[#This Row],[P]])</f>
        <v>6.5036382888884548E-3</v>
      </c>
      <c r="M33">
        <v>32</v>
      </c>
      <c r="N33">
        <v>3905.28</v>
      </c>
      <c r="O33" s="8">
        <v>1.6417322322758919E-5</v>
      </c>
      <c r="P33" s="8">
        <v>1.4363361612212531E-2</v>
      </c>
      <c r="Q33" s="8">
        <v>4.5719999999999997E-3</v>
      </c>
      <c r="R33">
        <v>0.29527500000000001</v>
      </c>
      <c r="S33" s="15">
        <v>772462.47078124993</v>
      </c>
      <c r="T33">
        <v>595.90081561821296</v>
      </c>
      <c r="U33" s="12">
        <f>+T33+BG33*S33*テーブル2[[#This Row],[Pw]]*R33/(N33*O33*K33)</f>
        <v>602.55444312752206</v>
      </c>
      <c r="V33">
        <v>0.03</v>
      </c>
      <c r="W33" s="8">
        <f t="shared" si="0"/>
        <v>247218.72104786028</v>
      </c>
      <c r="X33">
        <v>2.3495887988577189E-2</v>
      </c>
      <c r="Y33">
        <f t="shared" si="1"/>
        <v>6.5238515246960747</v>
      </c>
      <c r="Z33">
        <f t="shared" si="2"/>
        <v>6.5238515441796538</v>
      </c>
      <c r="AA33">
        <f t="shared" si="3"/>
        <v>-1.9483579194456979E-8</v>
      </c>
      <c r="AB33">
        <f t="shared" si="4"/>
        <v>1.0887257136983865E-5</v>
      </c>
      <c r="AC33">
        <v>617.15752754692983</v>
      </c>
      <c r="AD33">
        <f t="shared" si="5"/>
        <v>6698.8815359861874</v>
      </c>
      <c r="AE33">
        <f>+gettm2(AD33,AC33,AK33,AL33,テーブル2[[#This Row],[Fcorr]])</f>
        <v>602.55444329909733</v>
      </c>
      <c r="AF33" s="14">
        <f t="shared" si="6"/>
        <v>1.7157526599476114E-7</v>
      </c>
      <c r="AG33">
        <v>1.0897372180264961E-5</v>
      </c>
      <c r="AH33">
        <f t="shared" si="7"/>
        <v>71.683490602557939</v>
      </c>
      <c r="AI33">
        <f t="shared" si="8"/>
        <v>0.33870064963722013</v>
      </c>
      <c r="AJ33">
        <f t="shared" si="9"/>
        <v>31.933598114237309</v>
      </c>
      <c r="AK33">
        <f t="array" ref="AK33">+S33*テーブル2[[#This Row],[F_form]]/(E33*CpFromTP((テーブル2[[#This Row],[Tin]]+テーブル2[[#This Row],[Tf]])/2,テーブル2[[#This Row],[P]])*AI33)</f>
        <v>0.55889671108969108</v>
      </c>
      <c r="AL33">
        <f t="shared" si="10"/>
        <v>1.1293680422758512</v>
      </c>
      <c r="AM33">
        <f t="shared" si="11"/>
        <v>608.62110606555837</v>
      </c>
      <c r="AN33">
        <f t="shared" si="12"/>
        <v>2.0463630789890885E-10</v>
      </c>
      <c r="AO33">
        <f t="shared" si="13"/>
        <v>1.0115043281096095E-8</v>
      </c>
      <c r="AP33">
        <v>3.9602796622532059</v>
      </c>
      <c r="AQ33">
        <f t="shared" si="14"/>
        <v>3.4768868498655476E-5</v>
      </c>
      <c r="AR33">
        <f t="shared" si="15"/>
        <v>5.4537436117730284E-6</v>
      </c>
      <c r="AS33">
        <f t="shared" si="16"/>
        <v>15.981619590073915</v>
      </c>
      <c r="AT33">
        <f t="shared" si="17"/>
        <v>10.807196431354557</v>
      </c>
      <c r="AU33">
        <f t="shared" si="18"/>
        <v>3.6604044520568353</v>
      </c>
      <c r="AV33">
        <f t="shared" si="19"/>
        <v>0.29987521019637065</v>
      </c>
      <c r="AW33">
        <f t="shared" si="20"/>
        <v>6.5455429070488983E-3</v>
      </c>
      <c r="AX33">
        <f t="shared" si="21"/>
        <v>0.2998751920531047</v>
      </c>
      <c r="AY33">
        <f t="shared" si="22"/>
        <v>1.8143265945180787E-8</v>
      </c>
      <c r="AZ33">
        <f t="shared" si="23"/>
        <v>1080577.4158407261</v>
      </c>
      <c r="BA33">
        <f t="shared" si="24"/>
        <v>8.7793972809671944E-6</v>
      </c>
      <c r="BB33" s="15">
        <f t="shared" si="25"/>
        <v>777939.84439472947</v>
      </c>
      <c r="BC33" s="20">
        <f t="shared" si="26"/>
        <v>5477.3736134795472</v>
      </c>
      <c r="BD33" s="19">
        <f t="shared" si="27"/>
        <v>0.70907957611712369</v>
      </c>
      <c r="BE33" s="15">
        <v>2520845</v>
      </c>
      <c r="BF33" s="16">
        <f>テーブル2[[#This Row],[q_P]]/テーブル2[[#This Row],[q_M]]</f>
        <v>0.30860280754855196</v>
      </c>
      <c r="BG33">
        <v>1</v>
      </c>
      <c r="BH33">
        <v>7.3999999999999996E-2</v>
      </c>
      <c r="BI33">
        <v>4.5999999999999999E-2</v>
      </c>
      <c r="BJ33">
        <v>5625</v>
      </c>
      <c r="BK33" s="22">
        <v>1</v>
      </c>
      <c r="BL33">
        <f>テーブル2[[#This Row],[Ts]]-テーブル2[[#This Row],[Tin]]</f>
        <v>12.720290447550042</v>
      </c>
      <c r="BM33">
        <f>テーブル2[[#This Row],[q_P]]*0.000001</f>
        <v>0.77793984439472941</v>
      </c>
      <c r="BN33">
        <f>テーブル2[[#This Row],[Tsub]]</f>
        <v>12.720290447550042</v>
      </c>
      <c r="BO33">
        <f>テーブル2[[#This Row],[Fcorr]]</f>
        <v>1</v>
      </c>
      <c r="BP33">
        <f>(テーブル2[[#This Row],[Tsub]]-40)^2</f>
        <v>744.18255326602946</v>
      </c>
      <c r="BQ33">
        <v>1</v>
      </c>
      <c r="BR33">
        <v>0.29527500000000001</v>
      </c>
    </row>
    <row r="34" spans="1:70" x14ac:dyDescent="0.15">
      <c r="A34" s="9" t="s">
        <v>102</v>
      </c>
      <c r="B34">
        <v>13789520</v>
      </c>
      <c r="C34" s="22">
        <f t="array" ref="C34">TsatFromP(テーブル2[[#This Row],[P]])</f>
        <v>608.621106065763</v>
      </c>
      <c r="D34">
        <f t="array" ref="D34">RhoGFromP(テーブル2[[#This Row],[P]])</f>
        <v>85.147893581579396</v>
      </c>
      <c r="E34">
        <f t="array" ref="E34">RhoFFromP(テーブル2[[#This Row],[P]])</f>
        <v>624.86627494838649</v>
      </c>
      <c r="F34">
        <f t="array" ref="F34">HgFromP(テーブル2[[#This Row],[P]])</f>
        <v>2643264.389866509</v>
      </c>
      <c r="G34">
        <f t="array" ref="G34">HfFromP(テーブル2[[#This Row],[P]])</f>
        <v>1562686.9740257829</v>
      </c>
      <c r="H34">
        <f t="array" ref="H34">MuGFromP(テーブル2[[#This Row],[P]])</f>
        <v>2.2019594042733509E-5</v>
      </c>
      <c r="I34">
        <f t="array" ref="I34">MuFFromP(テーブル2[[#This Row],[P]])</f>
        <v>7.2223252690249831E-5</v>
      </c>
      <c r="J34">
        <f t="array" ref="J34">KfFromP(テーブル2[[#This Row],[P]])</f>
        <v>0.4911212487937569</v>
      </c>
      <c r="K34">
        <f t="array" ref="K34">CpFFromP(テーブル2[[#This Row],[P]])</f>
        <v>7679.7516396704104</v>
      </c>
      <c r="L34">
        <f t="array" ref="L34">SigmaFromP(テーブル2[[#This Row],[P]])</f>
        <v>6.5036382888884548E-3</v>
      </c>
      <c r="M34" s="23">
        <v>33</v>
      </c>
      <c r="N34">
        <v>3945.96</v>
      </c>
      <c r="O34" s="8">
        <v>1.6417322322758919E-5</v>
      </c>
      <c r="P34" s="8">
        <v>1.4363361612212531E-2</v>
      </c>
      <c r="Q34" s="8">
        <v>4.5719999999999997E-3</v>
      </c>
      <c r="R34">
        <v>0.29527500000000001</v>
      </c>
      <c r="S34" s="15">
        <v>811944.37610625022</v>
      </c>
      <c r="T34">
        <v>595.32250153328698</v>
      </c>
      <c r="U34" s="12">
        <f>+T34+BG34*S34*テーブル2[[#This Row],[Pw]]*R34/(N34*O34*K34)</f>
        <v>602.24410749732692</v>
      </c>
      <c r="V34">
        <v>0.03</v>
      </c>
      <c r="W34" s="8">
        <f t="shared" si="0"/>
        <v>249793.9160587755</v>
      </c>
      <c r="X34">
        <v>2.33987578413094E-2</v>
      </c>
      <c r="Y34">
        <f t="shared" si="1"/>
        <v>6.5373780210311656</v>
      </c>
      <c r="Z34">
        <f t="shared" si="2"/>
        <v>6.5373780397205659</v>
      </c>
      <c r="AA34">
        <f t="shared" si="3"/>
        <v>-1.8689400249627397E-8</v>
      </c>
      <c r="AB34">
        <f t="shared" si="4"/>
        <v>1.0708201579880246E-5</v>
      </c>
      <c r="AC34">
        <v>617.54803485522939</v>
      </c>
      <c r="AD34">
        <f t="shared" si="5"/>
        <v>6754.6565066327121</v>
      </c>
      <c r="AE34">
        <f>+gettm2(AD34,AC34,AK34,AL34,テーブル2[[#This Row],[Fcorr]])</f>
        <v>602.24410749732692</v>
      </c>
      <c r="AF34" s="14">
        <f t="shared" si="6"/>
        <v>0</v>
      </c>
      <c r="AG34">
        <v>1.071868565158524E-5</v>
      </c>
      <c r="AH34">
        <f t="shared" si="7"/>
        <v>72.882135141440116</v>
      </c>
      <c r="AI34">
        <f t="shared" si="8"/>
        <v>0.34152067544152681</v>
      </c>
      <c r="AJ34">
        <f t="shared" si="9"/>
        <v>31.671495966330241</v>
      </c>
      <c r="AK34">
        <f t="array" ref="AK34">+S34*テーブル2[[#This Row],[F_form]]/(E34*CpFromTP((テーブル2[[#This Row],[Tin]]+テーブル2[[#This Row],[Tf]])/2,テーブル2[[#This Row],[P]])*AI34)</f>
        <v>0.5852535089447366</v>
      </c>
      <c r="AL34">
        <f t="shared" si="10"/>
        <v>1.1293680422758512</v>
      </c>
      <c r="AM34">
        <f t="shared" si="11"/>
        <v>608.62110606567785</v>
      </c>
      <c r="AN34">
        <f t="shared" si="12"/>
        <v>8.5151441453490406E-11</v>
      </c>
      <c r="AO34">
        <f t="shared" si="13"/>
        <v>1.0484071704993644E-8</v>
      </c>
      <c r="AP34">
        <v>3.9779236024468658</v>
      </c>
      <c r="AQ34">
        <f t="shared" si="14"/>
        <v>3.4461120332625484E-5</v>
      </c>
      <c r="AR34">
        <f t="shared" si="15"/>
        <v>5.3645848616451167E-6</v>
      </c>
      <c r="AS34">
        <f t="shared" si="16"/>
        <v>15.851237113339694</v>
      </c>
      <c r="AT34">
        <f t="shared" si="17"/>
        <v>10.766237742961257</v>
      </c>
      <c r="AU34">
        <f t="shared" si="18"/>
        <v>3.6768927859401876</v>
      </c>
      <c r="AV34">
        <f t="shared" si="19"/>
        <v>0.30103081650667818</v>
      </c>
      <c r="AW34">
        <f t="shared" si="20"/>
        <v>6.4378926681484174E-3</v>
      </c>
      <c r="AX34">
        <f t="shared" si="21"/>
        <v>0.30103079644063879</v>
      </c>
      <c r="AY34">
        <f t="shared" si="22"/>
        <v>2.0066039385646661E-8</v>
      </c>
      <c r="AZ34">
        <f t="shared" si="23"/>
        <v>1080577.4158407261</v>
      </c>
      <c r="BA34">
        <f t="shared" si="24"/>
        <v>8.6630925519605395E-6</v>
      </c>
      <c r="BB34" s="15">
        <f t="shared" si="25"/>
        <v>817146.64253965509</v>
      </c>
      <c r="BC34" s="20">
        <f t="shared" si="26"/>
        <v>5202.266433404875</v>
      </c>
      <c r="BD34" s="19">
        <f t="shared" si="27"/>
        <v>0.6407170966997513</v>
      </c>
      <c r="BE34" s="15">
        <v>2650200</v>
      </c>
      <c r="BF34" s="16">
        <f>テーブル2[[#This Row],[q_P]]/テーブル2[[#This Row],[q_M]]</f>
        <v>0.30833395311284245</v>
      </c>
      <c r="BG34">
        <v>1</v>
      </c>
      <c r="BH34">
        <v>7.5999999999999998E-2</v>
      </c>
      <c r="BI34">
        <v>4.5999999999999999E-2</v>
      </c>
      <c r="BJ34">
        <v>5625</v>
      </c>
      <c r="BK34" s="22">
        <v>1</v>
      </c>
      <c r="BL34">
        <f>テーブル2[[#This Row],[Ts]]-テーブル2[[#This Row],[Tin]]</f>
        <v>13.29860453247602</v>
      </c>
      <c r="BM34">
        <f>テーブル2[[#This Row],[q_P]]*0.000001</f>
        <v>0.81714664253965508</v>
      </c>
      <c r="BN34">
        <f>テーブル2[[#This Row],[Tsub]]</f>
        <v>13.29860453247602</v>
      </c>
      <c r="BO34">
        <f>テーブル2[[#This Row],[Fcorr]]</f>
        <v>1</v>
      </c>
      <c r="BP34">
        <f>(テーブル2[[#This Row],[Tsub]]-40)^2</f>
        <v>712.96451991311017</v>
      </c>
      <c r="BQ34">
        <v>1</v>
      </c>
      <c r="BR34">
        <v>0.29527500000000001</v>
      </c>
    </row>
    <row r="35" spans="1:70" x14ac:dyDescent="0.15">
      <c r="A35" s="9" t="s">
        <v>103</v>
      </c>
      <c r="B35">
        <v>13789520</v>
      </c>
      <c r="C35" s="22">
        <f t="array" ref="C35">TsatFromP(テーブル2[[#This Row],[P]])</f>
        <v>608.621106065763</v>
      </c>
      <c r="D35">
        <f t="array" ref="D35">RhoGFromP(テーブル2[[#This Row],[P]])</f>
        <v>85.147893581579396</v>
      </c>
      <c r="E35">
        <f t="array" ref="E35">RhoFFromP(テーブル2[[#This Row],[P]])</f>
        <v>624.86627494838649</v>
      </c>
      <c r="F35">
        <f t="array" ref="F35">HgFromP(テーブル2[[#This Row],[P]])</f>
        <v>2643264.389866509</v>
      </c>
      <c r="G35">
        <f t="array" ref="G35">HfFromP(テーブル2[[#This Row],[P]])</f>
        <v>1562686.9740257829</v>
      </c>
      <c r="H35">
        <f t="array" ref="H35">MuGFromP(テーブル2[[#This Row],[P]])</f>
        <v>2.2019594042733509E-5</v>
      </c>
      <c r="I35">
        <f t="array" ref="I35">MuFFromP(テーブル2[[#This Row],[P]])</f>
        <v>7.2223252690249831E-5</v>
      </c>
      <c r="J35">
        <f t="array" ref="J35">KfFromP(テーブル2[[#This Row],[P]])</f>
        <v>0.4911212487937569</v>
      </c>
      <c r="K35">
        <f t="array" ref="K35">CpFFromP(テーブル2[[#This Row],[P]])</f>
        <v>7679.7516396704104</v>
      </c>
      <c r="L35">
        <f t="array" ref="L35">SigmaFromP(テーブル2[[#This Row],[P]])</f>
        <v>6.5036382888884548E-3</v>
      </c>
      <c r="M35">
        <v>34</v>
      </c>
      <c r="N35">
        <v>3986.64</v>
      </c>
      <c r="O35" s="8">
        <v>1.6417322322758919E-5</v>
      </c>
      <c r="P35" s="8">
        <v>1.4363361612212531E-2</v>
      </c>
      <c r="Q35" s="8">
        <v>4.5719999999999997E-3</v>
      </c>
      <c r="R35">
        <v>0.29527500000000001</v>
      </c>
      <c r="S35" s="15">
        <v>849852.18359375</v>
      </c>
      <c r="T35">
        <v>594.77734103104399</v>
      </c>
      <c r="U35" s="12">
        <f>+T35+BG35*S35*テーブル2[[#This Row],[Pw]]*R35/(N35*O35*K35)</f>
        <v>601.94817466999802</v>
      </c>
      <c r="V35">
        <v>0.03</v>
      </c>
      <c r="W35" s="8">
        <f t="shared" si="0"/>
        <v>252369.1110696907</v>
      </c>
      <c r="X35">
        <v>2.3303212557601288E-2</v>
      </c>
      <c r="Y35">
        <f t="shared" si="1"/>
        <v>6.5507662330680141</v>
      </c>
      <c r="Z35">
        <f t="shared" si="2"/>
        <v>6.5507662492108505</v>
      </c>
      <c r="AA35">
        <f t="shared" si="3"/>
        <v>-1.6142836400945271E-8</v>
      </c>
      <c r="AB35">
        <f t="shared" si="4"/>
        <v>1.0533794983235694E-5</v>
      </c>
      <c r="AC35">
        <v>617.91482145455291</v>
      </c>
      <c r="AD35">
        <f t="shared" si="5"/>
        <v>6810.344906622563</v>
      </c>
      <c r="AE35">
        <f>+gettm2(AD35,AC35,AK35,AL35,テーブル2[[#This Row],[Fcorr]])</f>
        <v>601.94817484914608</v>
      </c>
      <c r="AF35" s="14">
        <f t="shared" si="6"/>
        <v>1.791480599422357E-7</v>
      </c>
      <c r="AG35">
        <v>1.054462532162689E-5</v>
      </c>
      <c r="AH35">
        <f t="shared" si="7"/>
        <v>74.088834642088855</v>
      </c>
      <c r="AI35">
        <f t="shared" si="8"/>
        <v>0.34433632416624232</v>
      </c>
      <c r="AJ35">
        <f t="shared" si="9"/>
        <v>31.414057459048554</v>
      </c>
      <c r="AK35">
        <f t="array" ref="AK35">+S35*テーブル2[[#This Row],[F_form]]/(E35*CpFromTP((テーブル2[[#This Row],[Tin]]+テーブル2[[#This Row],[Tf]])/2,テーブル2[[#This Row],[P]])*AI35)</f>
        <v>0.61011635631745187</v>
      </c>
      <c r="AL35">
        <f t="shared" si="10"/>
        <v>1.1293680422758512</v>
      </c>
      <c r="AM35">
        <f t="shared" si="11"/>
        <v>608.62110606574799</v>
      </c>
      <c r="AN35">
        <f t="shared" si="12"/>
        <v>1.5006662579253316E-11</v>
      </c>
      <c r="AO35">
        <f t="shared" si="13"/>
        <v>1.0830338391195927E-8</v>
      </c>
      <c r="AP35">
        <v>3.995422617126839</v>
      </c>
      <c r="AQ35">
        <f t="shared" si="14"/>
        <v>3.4159918116569664E-5</v>
      </c>
      <c r="AR35">
        <f t="shared" si="15"/>
        <v>5.2777278300090428E-6</v>
      </c>
      <c r="AS35">
        <f t="shared" si="16"/>
        <v>15.723161349799755</v>
      </c>
      <c r="AT35">
        <f t="shared" si="17"/>
        <v>10.725674352296279</v>
      </c>
      <c r="AU35">
        <f t="shared" si="18"/>
        <v>3.6932392806738426</v>
      </c>
      <c r="AV35">
        <f t="shared" si="19"/>
        <v>0.30218333645299644</v>
      </c>
      <c r="AW35">
        <f t="shared" si="20"/>
        <v>6.3330374371893417E-3</v>
      </c>
      <c r="AX35">
        <f t="shared" si="21"/>
        <v>0.30218331436871965</v>
      </c>
      <c r="AY35">
        <f t="shared" si="22"/>
        <v>2.2084276796174862E-8</v>
      </c>
      <c r="AZ35">
        <f t="shared" si="23"/>
        <v>1080577.4158407261</v>
      </c>
      <c r="BA35">
        <f t="shared" si="24"/>
        <v>8.5497634142979628E-6</v>
      </c>
      <c r="BB35" s="15">
        <f t="shared" si="25"/>
        <v>855324.47840494371</v>
      </c>
      <c r="BC35" s="20">
        <f t="shared" si="26"/>
        <v>5472.2948111937148</v>
      </c>
      <c r="BD35" s="19">
        <f t="shared" si="27"/>
        <v>0.64391136680418348</v>
      </c>
      <c r="BE35" s="15">
        <v>2681750</v>
      </c>
      <c r="BF35" s="16">
        <f>テーブル2[[#This Row],[q_P]]/テーブル2[[#This Row],[q_M]]</f>
        <v>0.31894265998133448</v>
      </c>
      <c r="BG35">
        <v>1</v>
      </c>
      <c r="BH35">
        <v>7.2999999999999995E-2</v>
      </c>
      <c r="BI35">
        <v>4.5999999999999999E-2</v>
      </c>
      <c r="BJ35">
        <v>5625</v>
      </c>
      <c r="BK35" s="22">
        <v>1</v>
      </c>
      <c r="BL35">
        <f>テーブル2[[#This Row],[Ts]]-テーブル2[[#This Row],[Tin]]</f>
        <v>13.843765034719013</v>
      </c>
      <c r="BM35">
        <f>テーブル2[[#This Row],[q_P]]*0.000001</f>
        <v>0.85532447840494363</v>
      </c>
      <c r="BN35">
        <f>テーブル2[[#This Row],[Tsub]]</f>
        <v>13.843765034719013</v>
      </c>
      <c r="BO35">
        <f>テーブル2[[#This Row],[Fcorr]]</f>
        <v>1</v>
      </c>
      <c r="BP35">
        <f>(テーブル2[[#This Row],[Tsub]]-40)^2</f>
        <v>684.14862755898764</v>
      </c>
      <c r="BQ35">
        <v>1</v>
      </c>
      <c r="BR35">
        <v>0.29527500000000001</v>
      </c>
    </row>
    <row r="36" spans="1:70" x14ac:dyDescent="0.15">
      <c r="A36" s="9" t="s">
        <v>104</v>
      </c>
      <c r="B36">
        <v>13789520</v>
      </c>
      <c r="C36" s="22">
        <f t="array" ref="C36">TsatFromP(テーブル2[[#This Row],[P]])</f>
        <v>608.621106065763</v>
      </c>
      <c r="D36">
        <f t="array" ref="D36">RhoGFromP(テーブル2[[#This Row],[P]])</f>
        <v>85.147893581579396</v>
      </c>
      <c r="E36">
        <f t="array" ref="E36">RhoFFromP(テーブル2[[#This Row],[P]])</f>
        <v>624.86627494838649</v>
      </c>
      <c r="F36">
        <f t="array" ref="F36">HgFromP(テーブル2[[#This Row],[P]])</f>
        <v>2643264.389866509</v>
      </c>
      <c r="G36">
        <f t="array" ref="G36">HfFromP(テーブル2[[#This Row],[P]])</f>
        <v>1562686.9740257829</v>
      </c>
      <c r="H36">
        <f t="array" ref="H36">MuGFromP(テーブル2[[#This Row],[P]])</f>
        <v>2.2019594042733509E-5</v>
      </c>
      <c r="I36">
        <f t="array" ref="I36">MuFFromP(テーブル2[[#This Row],[P]])</f>
        <v>7.2223252690249831E-5</v>
      </c>
      <c r="J36">
        <f t="array" ref="J36">KfFromP(テーブル2[[#This Row],[P]])</f>
        <v>0.4911212487937569</v>
      </c>
      <c r="K36">
        <f t="array" ref="K36">CpFFromP(テーブル2[[#This Row],[P]])</f>
        <v>7679.7516396704104</v>
      </c>
      <c r="L36">
        <f t="array" ref="L36">SigmaFromP(テーブル2[[#This Row],[P]])</f>
        <v>6.5036382888884548E-3</v>
      </c>
      <c r="M36" s="23">
        <v>35</v>
      </c>
      <c r="N36">
        <v>4013.76</v>
      </c>
      <c r="O36" s="8">
        <v>1.6417322322758919E-5</v>
      </c>
      <c r="P36" s="8">
        <v>1.4363361612212531E-2</v>
      </c>
      <c r="Q36" s="8">
        <v>4.5719999999999997E-3</v>
      </c>
      <c r="R36">
        <v>0.29527500000000001</v>
      </c>
      <c r="S36" s="15">
        <v>660826.54695625009</v>
      </c>
      <c r="T36">
        <v>598.039459378179</v>
      </c>
      <c r="U36" s="12">
        <f>+T36+BG36*S36*テーブル2[[#This Row],[Pw]]*R36/(N36*O36*K36)</f>
        <v>603.57766853252451</v>
      </c>
      <c r="V36">
        <v>0.03</v>
      </c>
      <c r="W36" s="8">
        <f t="shared" si="0"/>
        <v>254085.90774363419</v>
      </c>
      <c r="X36">
        <v>2.3240375194701662E-2</v>
      </c>
      <c r="Y36">
        <f t="shared" si="1"/>
        <v>6.5596162409472205</v>
      </c>
      <c r="Z36">
        <f t="shared" si="2"/>
        <v>6.5596162549430632</v>
      </c>
      <c r="AA36">
        <f t="shared" si="3"/>
        <v>-1.3995842707004158E-8</v>
      </c>
      <c r="AB36">
        <f t="shared" si="4"/>
        <v>1.0420025019106805E-5</v>
      </c>
      <c r="AC36">
        <v>615.6210550449249</v>
      </c>
      <c r="AD36">
        <f t="shared" si="5"/>
        <v>6847.4229958732767</v>
      </c>
      <c r="AE36">
        <f>+gettm2(AD36,AC36,AK36,AL36,テーブル2[[#This Row],[Fcorr]])</f>
        <v>603.577668688735</v>
      </c>
      <c r="AF36" s="14">
        <f t="shared" si="6"/>
        <v>1.5621048987668473E-7</v>
      </c>
      <c r="AG36">
        <v>1.0428384738007819E-5</v>
      </c>
      <c r="AH36">
        <f t="shared" si="7"/>
        <v>74.897765910883848</v>
      </c>
      <c r="AI36">
        <f t="shared" si="8"/>
        <v>0.34621102113603652</v>
      </c>
      <c r="AJ36">
        <f t="shared" si="9"/>
        <v>31.236903527930298</v>
      </c>
      <c r="AK36">
        <f t="array" ref="AK36">+S36*テーブル2[[#This Row],[F_form]]/(E36*CpFromTP((テーブル2[[#This Row],[Tin]]+テーブル2[[#This Row],[Tf]])/2,テーブル2[[#This Row],[P]])*AI36)</f>
        <v>0.4599614676121333</v>
      </c>
      <c r="AL36">
        <f t="shared" si="10"/>
        <v>1.1293680422758512</v>
      </c>
      <c r="AM36">
        <f t="shared" si="11"/>
        <v>608.62110606566137</v>
      </c>
      <c r="AN36">
        <f t="shared" si="12"/>
        <v>1.0163603292312473E-10</v>
      </c>
      <c r="AO36">
        <f t="shared" si="13"/>
        <v>8.3597189010139198E-9</v>
      </c>
      <c r="AP36">
        <v>4.0061798420023482</v>
      </c>
      <c r="AQ36">
        <f t="shared" si="14"/>
        <v>3.3976714873880654E-5</v>
      </c>
      <c r="AR36">
        <f t="shared" si="15"/>
        <v>5.2183722284544166E-6</v>
      </c>
      <c r="AS36">
        <f t="shared" si="16"/>
        <v>15.630972002688212</v>
      </c>
      <c r="AT36">
        <f t="shared" si="17"/>
        <v>10.696271653857867</v>
      </c>
      <c r="AU36">
        <f t="shared" si="18"/>
        <v>3.7031671316305741</v>
      </c>
      <c r="AV36">
        <f t="shared" si="19"/>
        <v>0.30301271037177413</v>
      </c>
      <c r="AW36">
        <f t="shared" si="20"/>
        <v>6.2646376398510974E-3</v>
      </c>
      <c r="AX36">
        <f t="shared" si="21"/>
        <v>0.30301268694414896</v>
      </c>
      <c r="AY36">
        <f t="shared" si="22"/>
        <v>2.3427625173155775E-8</v>
      </c>
      <c r="AZ36">
        <f t="shared" si="23"/>
        <v>1080577.4158407261</v>
      </c>
      <c r="BA36">
        <f t="shared" si="24"/>
        <v>8.4810757913700119E-6</v>
      </c>
      <c r="BB36" s="15">
        <f t="shared" si="25"/>
        <v>665554.61968720041</v>
      </c>
      <c r="BC36" s="20">
        <f t="shared" si="26"/>
        <v>4728.0727309503127</v>
      </c>
      <c r="BD36" s="19">
        <f t="shared" si="27"/>
        <v>0.71547863092481567</v>
      </c>
      <c r="BE36" s="15">
        <v>2501915</v>
      </c>
      <c r="BF36" s="16">
        <f>テーブル2[[#This Row],[q_P]]/テーブル2[[#This Row],[q_M]]</f>
        <v>0.26601807802711142</v>
      </c>
      <c r="BG36">
        <v>1</v>
      </c>
      <c r="BH36">
        <v>8.1000000000000003E-2</v>
      </c>
      <c r="BI36">
        <v>4.5999999999999999E-2</v>
      </c>
      <c r="BJ36">
        <v>5625</v>
      </c>
      <c r="BK36" s="22">
        <v>1</v>
      </c>
      <c r="BL36">
        <f>テーブル2[[#This Row],[Ts]]-テーブル2[[#This Row],[Tin]]</f>
        <v>10.581646687583998</v>
      </c>
      <c r="BM36">
        <f>テーブル2[[#This Row],[q_P]]*0.000001</f>
        <v>0.66555461968720042</v>
      </c>
      <c r="BN36">
        <f>テーブル2[[#This Row],[Tsub]]</f>
        <v>10.581646687583998</v>
      </c>
      <c r="BO36">
        <f>テーブル2[[#This Row],[Fcorr]]</f>
        <v>1</v>
      </c>
      <c r="BP36">
        <f>(テーブル2[[#This Row],[Tsub]]-40)^2</f>
        <v>865.43951161413759</v>
      </c>
      <c r="BQ36">
        <v>1</v>
      </c>
      <c r="BR36">
        <v>0.29527500000000001</v>
      </c>
    </row>
    <row r="37" spans="1:70" x14ac:dyDescent="0.15">
      <c r="A37" s="9" t="s">
        <v>105</v>
      </c>
      <c r="B37">
        <v>13789520</v>
      </c>
      <c r="C37" s="22">
        <f t="array" ref="C37">TsatFromP(テーブル2[[#This Row],[P]])</f>
        <v>608.621106065763</v>
      </c>
      <c r="D37">
        <f t="array" ref="D37">RhoGFromP(テーブル2[[#This Row],[P]])</f>
        <v>85.147893581579396</v>
      </c>
      <c r="E37">
        <f t="array" ref="E37">RhoFFromP(テーブル2[[#This Row],[P]])</f>
        <v>624.86627494838649</v>
      </c>
      <c r="F37">
        <f t="array" ref="F37">HgFromP(テーブル2[[#This Row],[P]])</f>
        <v>2643264.389866509</v>
      </c>
      <c r="G37">
        <f t="array" ref="G37">HfFromP(テーブル2[[#This Row],[P]])</f>
        <v>1562686.9740257829</v>
      </c>
      <c r="H37">
        <f t="array" ref="H37">MuGFromP(テーブル2[[#This Row],[P]])</f>
        <v>2.2019594042733509E-5</v>
      </c>
      <c r="I37">
        <f t="array" ref="I37">MuFFromP(テーブル2[[#This Row],[P]])</f>
        <v>7.2223252690249831E-5</v>
      </c>
      <c r="J37">
        <f t="array" ref="J37">KfFromP(テーブル2[[#This Row],[P]])</f>
        <v>0.4911212487937569</v>
      </c>
      <c r="K37">
        <f t="array" ref="K37">CpFFromP(テーブル2[[#This Row],[P]])</f>
        <v>7679.7516396704104</v>
      </c>
      <c r="L37">
        <f t="array" ref="L37">SigmaFromP(テーブル2[[#This Row],[P]])</f>
        <v>6.5036382888884548E-3</v>
      </c>
      <c r="M37">
        <v>36</v>
      </c>
      <c r="N37">
        <v>4068</v>
      </c>
      <c r="O37" s="8">
        <v>1.6417322322758919E-5</v>
      </c>
      <c r="P37" s="8">
        <v>1.4363361612212531E-2</v>
      </c>
      <c r="Q37" s="8">
        <v>4.5719999999999997E-3</v>
      </c>
      <c r="R37">
        <v>0.29527500000000001</v>
      </c>
      <c r="S37" s="15">
        <v>603562.89140624984</v>
      </c>
      <c r="T37">
        <v>599.09049781334397</v>
      </c>
      <c r="U37" s="12">
        <f>+T37+BG37*S37*テーブル2[[#This Row],[Pw]]*R37/(N37*O37*K37)</f>
        <v>604.08135173488836</v>
      </c>
      <c r="V37">
        <v>0.03</v>
      </c>
      <c r="W37" s="8">
        <f t="shared" si="0"/>
        <v>257519.50109152115</v>
      </c>
      <c r="X37">
        <v>2.3116708671465629E-2</v>
      </c>
      <c r="Y37">
        <f t="shared" si="1"/>
        <v>6.577138694522346</v>
      </c>
      <c r="Z37">
        <f t="shared" si="2"/>
        <v>6.5771387040627571</v>
      </c>
      <c r="AA37">
        <f t="shared" si="3"/>
        <v>-9.5404111277730408E-9</v>
      </c>
      <c r="AB37">
        <f t="shared" si="4"/>
        <v>1.0198277135691403E-5</v>
      </c>
      <c r="AC37">
        <v>614.879905089418</v>
      </c>
      <c r="AD37">
        <f t="shared" si="5"/>
        <v>6921.4666881376816</v>
      </c>
      <c r="AE37">
        <f>+gettm2(AD37,AC37,AK37,AL37,テーブル2[[#This Row],[Fcorr]])</f>
        <v>604.08135188368726</v>
      </c>
      <c r="AF37" s="14">
        <f t="shared" si="6"/>
        <v>1.4879890386509942E-7</v>
      </c>
      <c r="AG37">
        <v>1.020570626715226E-5</v>
      </c>
      <c r="AH37">
        <f t="shared" si="7"/>
        <v>76.526317561549988</v>
      </c>
      <c r="AI37">
        <f t="shared" si="8"/>
        <v>0.34995472768417751</v>
      </c>
      <c r="AJ37">
        <f t="shared" si="9"/>
        <v>30.900461923452465</v>
      </c>
      <c r="AK37">
        <f t="array" ref="AK37">+S37*テーブル2[[#This Row],[F_form]]/(E37*CpFromTP((テーブル2[[#This Row],[Tin]]+テーブル2[[#This Row],[Tf]])/2,テーブル2[[#This Row],[P]])*AI37)</f>
        <v>0.41199395889883206</v>
      </c>
      <c r="AL37">
        <f t="shared" si="10"/>
        <v>1.1293680422758512</v>
      </c>
      <c r="AM37">
        <f t="shared" si="11"/>
        <v>608.62110606571321</v>
      </c>
      <c r="AN37">
        <f t="shared" si="12"/>
        <v>4.9794834922067821E-11</v>
      </c>
      <c r="AO37">
        <f t="shared" si="13"/>
        <v>7.4291314608571058E-9</v>
      </c>
      <c r="AP37">
        <v>4.0287099789613041</v>
      </c>
      <c r="AQ37">
        <f t="shared" si="14"/>
        <v>3.3597755080661974E-5</v>
      </c>
      <c r="AR37">
        <f t="shared" si="15"/>
        <v>5.1065676993065584E-6</v>
      </c>
      <c r="AS37">
        <f t="shared" si="16"/>
        <v>15.461477787169828</v>
      </c>
      <c r="AT37">
        <f t="shared" si="17"/>
        <v>10.641758131884712</v>
      </c>
      <c r="AU37">
        <f t="shared" si="18"/>
        <v>3.724133569124596</v>
      </c>
      <c r="AV37">
        <f t="shared" si="19"/>
        <v>0.30457640983670808</v>
      </c>
      <c r="AW37">
        <f t="shared" si="20"/>
        <v>6.1313202884575851E-3</v>
      </c>
      <c r="AX37">
        <f t="shared" si="21"/>
        <v>0.30457638352561073</v>
      </c>
      <c r="AY37">
        <f t="shared" si="22"/>
        <v>2.6311097356401802E-8</v>
      </c>
      <c r="AZ37">
        <f t="shared" si="23"/>
        <v>1080577.4158407261</v>
      </c>
      <c r="BA37">
        <f t="shared" si="24"/>
        <v>8.3395814680421008E-6</v>
      </c>
      <c r="BB37" s="15">
        <f t="shared" si="25"/>
        <v>601501.56277767417</v>
      </c>
      <c r="BC37" s="20">
        <f t="shared" si="26"/>
        <v>-2061.3286285756622</v>
      </c>
      <c r="BD37" s="19">
        <f t="shared" si="27"/>
        <v>-0.34152673365536823</v>
      </c>
      <c r="BE37" s="15">
        <v>2587100</v>
      </c>
      <c r="BF37" s="16">
        <f>テーブル2[[#This Row],[q_P]]/テーブル2[[#This Row],[q_M]]</f>
        <v>0.23250031416554218</v>
      </c>
      <c r="BG37">
        <v>1</v>
      </c>
      <c r="BH37">
        <v>9.0999999999999998E-2</v>
      </c>
      <c r="BI37">
        <v>4.5999999999999999E-2</v>
      </c>
      <c r="BJ37">
        <v>5625</v>
      </c>
      <c r="BK37" s="22">
        <v>1</v>
      </c>
      <c r="BL37">
        <f>テーブル2[[#This Row],[Ts]]-テーブル2[[#This Row],[Tin]]</f>
        <v>9.5306082524190288</v>
      </c>
      <c r="BM37">
        <f>テーブル2[[#This Row],[q_P]]*0.000001</f>
        <v>0.60150156277767419</v>
      </c>
      <c r="BN37">
        <f>テーブル2[[#This Row],[Tsub]]</f>
        <v>9.5306082524190288</v>
      </c>
      <c r="BO37">
        <f>テーブル2[[#This Row],[Fcorr]]</f>
        <v>1</v>
      </c>
      <c r="BP37">
        <f>(テーブル2[[#This Row],[Tsub]]-40)^2</f>
        <v>928.38383346755541</v>
      </c>
      <c r="BQ37">
        <v>1</v>
      </c>
      <c r="BR37">
        <v>0.29527500000000001</v>
      </c>
    </row>
    <row r="38" spans="1:70" x14ac:dyDescent="0.15">
      <c r="A38" s="9" t="s">
        <v>106</v>
      </c>
      <c r="B38">
        <v>13789520</v>
      </c>
      <c r="C38" s="22">
        <f t="array" ref="C38">TsatFromP(テーブル2[[#This Row],[P]])</f>
        <v>608.621106065763</v>
      </c>
      <c r="D38">
        <f t="array" ref="D38">RhoGFromP(テーブル2[[#This Row],[P]])</f>
        <v>85.147893581579396</v>
      </c>
      <c r="E38">
        <f t="array" ref="E38">RhoFFromP(テーブル2[[#This Row],[P]])</f>
        <v>624.86627494838649</v>
      </c>
      <c r="F38">
        <f t="array" ref="F38">HgFromP(テーブル2[[#This Row],[P]])</f>
        <v>2643264.389866509</v>
      </c>
      <c r="G38">
        <f t="array" ref="G38">HfFromP(テーブル2[[#This Row],[P]])</f>
        <v>1562686.9740257829</v>
      </c>
      <c r="H38">
        <f t="array" ref="H38">MuGFromP(テーブル2[[#This Row],[P]])</f>
        <v>2.2019594042733509E-5</v>
      </c>
      <c r="I38">
        <f t="array" ref="I38">MuFFromP(テーブル2[[#This Row],[P]])</f>
        <v>7.2223252690249831E-5</v>
      </c>
      <c r="J38">
        <f t="array" ref="J38">KfFromP(テーブル2[[#This Row],[P]])</f>
        <v>0.4911212487937569</v>
      </c>
      <c r="K38">
        <f t="array" ref="K38">CpFFromP(テーブル2[[#This Row],[P]])</f>
        <v>7679.7516396704104</v>
      </c>
      <c r="L38">
        <f t="array" ref="L38">SigmaFromP(テーブル2[[#This Row],[P]])</f>
        <v>6.5036382888884548E-3</v>
      </c>
      <c r="M38" s="23">
        <v>37</v>
      </c>
      <c r="N38">
        <v>4068</v>
      </c>
      <c r="O38" s="8">
        <v>1.6417322322758919E-5</v>
      </c>
      <c r="P38" s="8">
        <v>1.4363361612212531E-2</v>
      </c>
      <c r="Q38" s="8">
        <v>4.5719999999999997E-3</v>
      </c>
      <c r="R38">
        <v>0.29527500000000001</v>
      </c>
      <c r="S38" s="15">
        <v>635394.44921875</v>
      </c>
      <c r="T38">
        <v>598.56653241397998</v>
      </c>
      <c r="U38" s="12">
        <f>+T38+BG38*S38*テーブル2[[#This Row],[Pw]]*R38/(N38*O38*K38)</f>
        <v>603.8206010848063</v>
      </c>
      <c r="V38">
        <v>0.03</v>
      </c>
      <c r="W38" s="8">
        <f t="shared" si="0"/>
        <v>257519.50109152115</v>
      </c>
      <c r="X38">
        <v>2.3116708671465629E-2</v>
      </c>
      <c r="Y38">
        <f t="shared" si="1"/>
        <v>6.577138694522346</v>
      </c>
      <c r="Z38">
        <f t="shared" si="2"/>
        <v>6.5771387040627571</v>
      </c>
      <c r="AA38">
        <f t="shared" si="3"/>
        <v>-9.5404111277730408E-9</v>
      </c>
      <c r="AB38">
        <f t="shared" si="4"/>
        <v>1.0198277135691403E-5</v>
      </c>
      <c r="AC38">
        <v>615.23948936378065</v>
      </c>
      <c r="AD38">
        <f t="shared" si="5"/>
        <v>6921.4666881376816</v>
      </c>
      <c r="AE38">
        <f>+gettm2(AD38,AC38,AK38,AL38,テーブル2[[#This Row],[Fcorr]])</f>
        <v>603.82060108480607</v>
      </c>
      <c r="AF38" s="14">
        <f t="shared" si="6"/>
        <v>0</v>
      </c>
      <c r="AG38">
        <v>1.0206085794748369E-5</v>
      </c>
      <c r="AH38">
        <f t="shared" si="7"/>
        <v>76.526317561549988</v>
      </c>
      <c r="AI38">
        <f t="shared" si="8"/>
        <v>0.34995472768417751</v>
      </c>
      <c r="AJ38">
        <f t="shared" si="9"/>
        <v>30.9016110431435</v>
      </c>
      <c r="AK38">
        <f t="array" ref="AK38">+S38*テーブル2[[#This Row],[F_form]]/(E38*CpFromTP((テーブル2[[#This Row],[Tin]]+テーブル2[[#This Row],[Tf]])/2,テーブル2[[#This Row],[P]])*AI38)</f>
        <v>0.43566141673326741</v>
      </c>
      <c r="AL38">
        <f t="shared" si="10"/>
        <v>1.1293680422758512</v>
      </c>
      <c r="AM38">
        <f t="shared" si="11"/>
        <v>608.62110606571002</v>
      </c>
      <c r="AN38">
        <f t="shared" si="12"/>
        <v>5.297806637827307E-11</v>
      </c>
      <c r="AO38">
        <f t="shared" si="13"/>
        <v>7.8086590569666925E-9</v>
      </c>
      <c r="AP38">
        <v>4.0288308798668302</v>
      </c>
      <c r="AQ38">
        <f t="shared" si="14"/>
        <v>3.359573864552935E-5</v>
      </c>
      <c r="AR38">
        <f t="shared" si="15"/>
        <v>5.1069472269026679E-6</v>
      </c>
      <c r="AS38">
        <f t="shared" si="16"/>
        <v>15.46262690686086</v>
      </c>
      <c r="AT38">
        <f t="shared" si="17"/>
        <v>10.642129725404699</v>
      </c>
      <c r="AU38">
        <f t="shared" si="18"/>
        <v>3.7242636100336921</v>
      </c>
      <c r="AV38">
        <f t="shared" si="19"/>
        <v>0.30456726983313809</v>
      </c>
      <c r="AW38">
        <f t="shared" si="20"/>
        <v>6.1313202884575851E-3</v>
      </c>
      <c r="AX38">
        <f t="shared" si="21"/>
        <v>0.30456724351411157</v>
      </c>
      <c r="AY38">
        <f t="shared" si="22"/>
        <v>2.6319026513732524E-8</v>
      </c>
      <c r="AZ38">
        <f t="shared" si="23"/>
        <v>1080577.4158407261</v>
      </c>
      <c r="BA38">
        <f t="shared" si="24"/>
        <v>8.3388307048122674E-6</v>
      </c>
      <c r="BB38" s="15">
        <f t="shared" si="25"/>
        <v>632287.03446499456</v>
      </c>
      <c r="BC38" s="20">
        <f t="shared" si="26"/>
        <v>-3107.4147537554381</v>
      </c>
      <c r="BD38" s="19">
        <f t="shared" si="27"/>
        <v>-0.48905286433902023</v>
      </c>
      <c r="BE38" s="15">
        <v>2587100</v>
      </c>
      <c r="BF38" s="16">
        <f>テーブル2[[#This Row],[q_P]]/テーブル2[[#This Row],[q_M]]</f>
        <v>0.24439992055389995</v>
      </c>
      <c r="BG38">
        <v>1</v>
      </c>
      <c r="BH38">
        <v>8.6999999999999994E-2</v>
      </c>
      <c r="BI38">
        <v>4.5999999999999999E-2</v>
      </c>
      <c r="BJ38">
        <v>5625</v>
      </c>
      <c r="BK38" s="22">
        <v>1</v>
      </c>
      <c r="BL38">
        <f>テーブル2[[#This Row],[Ts]]-テーブル2[[#This Row],[Tin]]</f>
        <v>10.054573651783016</v>
      </c>
      <c r="BM38">
        <f>テーブル2[[#This Row],[q_P]]*0.000001</f>
        <v>0.63228703446499457</v>
      </c>
      <c r="BN38">
        <f>テーブル2[[#This Row],[Tsub]]</f>
        <v>10.054573651783016</v>
      </c>
      <c r="BO38">
        <f>テーブル2[[#This Row],[Fcorr]]</f>
        <v>1</v>
      </c>
      <c r="BP38">
        <f>(テーブル2[[#This Row],[Tsub]]-40)^2</f>
        <v>896.72855917648792</v>
      </c>
      <c r="BQ38">
        <v>1</v>
      </c>
      <c r="BR38">
        <v>0.29527500000000001</v>
      </c>
    </row>
    <row r="39" spans="1:70" x14ac:dyDescent="0.15">
      <c r="A39" s="9" t="s">
        <v>107</v>
      </c>
      <c r="B39">
        <v>13789520</v>
      </c>
      <c r="C39" s="22">
        <f t="array" ref="C39">TsatFromP(テーブル2[[#This Row],[P]])</f>
        <v>608.621106065763</v>
      </c>
      <c r="D39">
        <f t="array" ref="D39">RhoGFromP(テーブル2[[#This Row],[P]])</f>
        <v>85.147893581579396</v>
      </c>
      <c r="E39">
        <f t="array" ref="E39">RhoFFromP(テーブル2[[#This Row],[P]])</f>
        <v>624.86627494838649</v>
      </c>
      <c r="F39">
        <f t="array" ref="F39">HgFromP(テーブル2[[#This Row],[P]])</f>
        <v>2643264.389866509</v>
      </c>
      <c r="G39">
        <f t="array" ref="G39">HfFromP(テーブル2[[#This Row],[P]])</f>
        <v>1562686.9740257829</v>
      </c>
      <c r="H39">
        <f t="array" ref="H39">MuGFromP(テーブル2[[#This Row],[P]])</f>
        <v>2.2019594042733509E-5</v>
      </c>
      <c r="I39">
        <f t="array" ref="I39">MuFFromP(テーブル2[[#This Row],[P]])</f>
        <v>7.2223252690249831E-5</v>
      </c>
      <c r="J39">
        <f t="array" ref="J39">KfFromP(テーブル2[[#This Row],[P]])</f>
        <v>0.4911212487937569</v>
      </c>
      <c r="K39">
        <f t="array" ref="K39">CpFFromP(テーブル2[[#This Row],[P]])</f>
        <v>7679.7516396704104</v>
      </c>
      <c r="L39">
        <f t="array" ref="L39">SigmaFromP(テーブル2[[#This Row],[P]])</f>
        <v>6.5036382888884548E-3</v>
      </c>
      <c r="M39">
        <v>38</v>
      </c>
      <c r="N39">
        <v>4068</v>
      </c>
      <c r="O39" s="8">
        <v>1.6417322322758919E-5</v>
      </c>
      <c r="P39" s="8">
        <v>1.4363361612212531E-2</v>
      </c>
      <c r="Q39" s="8">
        <v>4.5719999999999997E-3</v>
      </c>
      <c r="R39">
        <v>0.29527500000000001</v>
      </c>
      <c r="S39" s="15">
        <v>699294.33984375</v>
      </c>
      <c r="T39">
        <v>597.50931537045801</v>
      </c>
      <c r="U39" s="12">
        <f>+T39+BG39*S39*テーブル2[[#This Row],[Pw]]*R39/(N39*O39*K39)</f>
        <v>603.29177142933099</v>
      </c>
      <c r="V39">
        <v>0.03</v>
      </c>
      <c r="W39" s="8">
        <f t="shared" si="0"/>
        <v>257519.50109152115</v>
      </c>
      <c r="X39">
        <v>2.3116708671465629E-2</v>
      </c>
      <c r="Y39">
        <f t="shared" si="1"/>
        <v>6.577138694522346</v>
      </c>
      <c r="Z39">
        <f t="shared" si="2"/>
        <v>6.5771387040627571</v>
      </c>
      <c r="AA39">
        <f t="shared" si="3"/>
        <v>-9.5404111277730408E-9</v>
      </c>
      <c r="AB39">
        <f t="shared" si="4"/>
        <v>1.0198277135691403E-5</v>
      </c>
      <c r="AC39">
        <v>615.96883416511309</v>
      </c>
      <c r="AD39">
        <f t="shared" si="5"/>
        <v>6921.4666881376816</v>
      </c>
      <c r="AE39">
        <f>+gettm2(AD39,AC39,AK39,AL39,テーブル2[[#This Row],[Fcorr]])</f>
        <v>603.29177158901916</v>
      </c>
      <c r="AF39" s="14">
        <f t="shared" si="6"/>
        <v>1.5968817024258897E-7</v>
      </c>
      <c r="AG39">
        <v>1.020699284794384E-5</v>
      </c>
      <c r="AH39">
        <f t="shared" si="7"/>
        <v>76.526317561549988</v>
      </c>
      <c r="AI39">
        <f t="shared" si="8"/>
        <v>0.34995472768417751</v>
      </c>
      <c r="AJ39">
        <f t="shared" si="9"/>
        <v>30.904357385434324</v>
      </c>
      <c r="AK39">
        <f t="array" ref="AK39">+S39*テーブル2[[#This Row],[F_form]]/(E39*CpFromTP((テーブル2[[#This Row],[Tin]]+テーブル2[[#This Row],[Tf]])/2,テーブル2[[#This Row],[P]])*AI39)</f>
        <v>0.48366416300670839</v>
      </c>
      <c r="AL39">
        <f t="shared" si="10"/>
        <v>1.1293680422758512</v>
      </c>
      <c r="AM39">
        <f t="shared" si="11"/>
        <v>608.62110606570309</v>
      </c>
      <c r="AN39">
        <f t="shared" si="12"/>
        <v>5.9912963479291648E-11</v>
      </c>
      <c r="AO39">
        <f t="shared" si="13"/>
        <v>8.7157122524376799E-9</v>
      </c>
      <c r="AP39">
        <v>4.0291197930463136</v>
      </c>
      <c r="AQ39">
        <f t="shared" si="14"/>
        <v>3.3590920767596637E-5</v>
      </c>
      <c r="AR39">
        <f t="shared" si="15"/>
        <v>5.1078542800981389E-6</v>
      </c>
      <c r="AS39">
        <f t="shared" si="16"/>
        <v>15.465373249151686</v>
      </c>
      <c r="AT39">
        <f t="shared" si="17"/>
        <v>10.64301770467403</v>
      </c>
      <c r="AU39">
        <f t="shared" si="18"/>
        <v>3.72457436257708</v>
      </c>
      <c r="AV39">
        <f t="shared" si="19"/>
        <v>0.30454543046923366</v>
      </c>
      <c r="AW39">
        <f t="shared" si="20"/>
        <v>6.1313202884575851E-3</v>
      </c>
      <c r="AX39">
        <f t="shared" si="21"/>
        <v>0.30454540413101799</v>
      </c>
      <c r="AY39">
        <f t="shared" si="22"/>
        <v>2.6338215664001297E-8</v>
      </c>
      <c r="AZ39">
        <f t="shared" si="23"/>
        <v>1080577.4158407261</v>
      </c>
      <c r="BA39">
        <f t="shared" si="24"/>
        <v>8.3370369939284944E-6</v>
      </c>
      <c r="BB39" s="15">
        <f t="shared" si="25"/>
        <v>705885.2828468862</v>
      </c>
      <c r="BC39" s="20">
        <f t="shared" si="26"/>
        <v>6590.943003136199</v>
      </c>
      <c r="BD39" s="19">
        <f t="shared" si="27"/>
        <v>0.94251342068761423</v>
      </c>
      <c r="BE39" s="15">
        <v>2665975</v>
      </c>
      <c r="BF39" s="16">
        <f>テーブル2[[#This Row],[q_P]]/テーブル2[[#This Row],[q_M]]</f>
        <v>0.26477565725368252</v>
      </c>
      <c r="BG39">
        <v>1</v>
      </c>
      <c r="BH39">
        <v>8.5999999999999993E-2</v>
      </c>
      <c r="BI39">
        <v>4.5999999999999999E-2</v>
      </c>
      <c r="BJ39">
        <v>5625</v>
      </c>
      <c r="BK39" s="22">
        <v>1</v>
      </c>
      <c r="BL39">
        <f>テーブル2[[#This Row],[Ts]]-テーブル2[[#This Row],[Tin]]</f>
        <v>11.11179069530499</v>
      </c>
      <c r="BM39">
        <f>テーブル2[[#This Row],[q_P]]*0.000001</f>
        <v>0.70588528284688612</v>
      </c>
      <c r="BN39">
        <f>テーブル2[[#This Row],[Tsub]]</f>
        <v>11.11179069530499</v>
      </c>
      <c r="BO39">
        <f>テーブル2[[#This Row],[Fcorr]]</f>
        <v>1</v>
      </c>
      <c r="BP39">
        <f>(テーブル2[[#This Row],[Tsub]]-40)^2</f>
        <v>834.5286368318674</v>
      </c>
      <c r="BQ39">
        <v>1</v>
      </c>
      <c r="BR39">
        <v>0.29527500000000001</v>
      </c>
    </row>
    <row r="40" spans="1:70" x14ac:dyDescent="0.15">
      <c r="A40" s="9" t="s">
        <v>108</v>
      </c>
      <c r="B40">
        <v>13789520</v>
      </c>
      <c r="C40" s="22">
        <f t="array" ref="C40">TsatFromP(テーブル2[[#This Row],[P]])</f>
        <v>608.621106065763</v>
      </c>
      <c r="D40">
        <f t="array" ref="D40">RhoGFromP(テーブル2[[#This Row],[P]])</f>
        <v>85.147893581579396</v>
      </c>
      <c r="E40">
        <f t="array" ref="E40">RhoFFromP(テーブル2[[#This Row],[P]])</f>
        <v>624.86627494838649</v>
      </c>
      <c r="F40">
        <f t="array" ref="F40">HgFromP(テーブル2[[#This Row],[P]])</f>
        <v>2643264.389866509</v>
      </c>
      <c r="G40">
        <f t="array" ref="G40">HfFromP(テーブル2[[#This Row],[P]])</f>
        <v>1562686.9740257829</v>
      </c>
      <c r="H40">
        <f t="array" ref="H40">MuGFromP(テーブル2[[#This Row],[P]])</f>
        <v>2.2019594042733509E-5</v>
      </c>
      <c r="I40">
        <f t="array" ref="I40">MuFFromP(テーブル2[[#This Row],[P]])</f>
        <v>7.2223252690249831E-5</v>
      </c>
      <c r="J40">
        <f t="array" ref="J40">KfFromP(テーブル2[[#This Row],[P]])</f>
        <v>0.4911212487937569</v>
      </c>
      <c r="K40">
        <f t="array" ref="K40">CpFFromP(テーブル2[[#This Row],[P]])</f>
        <v>7679.7516396704104</v>
      </c>
      <c r="L40">
        <f t="array" ref="L40">SigmaFromP(テーブル2[[#This Row],[P]])</f>
        <v>6.5036382888884548E-3</v>
      </c>
      <c r="M40" s="23">
        <v>39</v>
      </c>
      <c r="N40">
        <v>2739.12</v>
      </c>
      <c r="O40" s="8">
        <v>1.753005194685703E-5</v>
      </c>
      <c r="P40" s="8">
        <v>1.484214033261962E-2</v>
      </c>
      <c r="Q40" s="8">
        <v>4.7244000000000001E-3</v>
      </c>
      <c r="R40">
        <v>0.30480000000000002</v>
      </c>
      <c r="S40" s="15">
        <v>4997875.1789062498</v>
      </c>
      <c r="T40">
        <v>483.34023209662797</v>
      </c>
      <c r="U40" s="12">
        <f>+T40+BG40*S40*テーブル2[[#This Row],[Pw]]*R40/(N40*O40*K40)</f>
        <v>544.6536412304215</v>
      </c>
      <c r="V40">
        <v>0.03</v>
      </c>
      <c r="W40" s="8">
        <f t="shared" si="0"/>
        <v>179176.34620390061</v>
      </c>
      <c r="X40">
        <v>2.7016272721832189E-2</v>
      </c>
      <c r="Y40">
        <f t="shared" si="1"/>
        <v>6.0839730854451108</v>
      </c>
      <c r="Z40">
        <f t="shared" si="2"/>
        <v>6.0839730934391971</v>
      </c>
      <c r="AA40">
        <f t="shared" si="3"/>
        <v>-7.9940862818261849E-9</v>
      </c>
      <c r="AB40">
        <f t="shared" si="4"/>
        <v>1.9247181791581711E-5</v>
      </c>
      <c r="AC40">
        <v>716.35676576981086</v>
      </c>
      <c r="AD40">
        <f t="shared" si="5"/>
        <v>5206.1706901739753</v>
      </c>
      <c r="AE40">
        <f>+gettm2(AD40,AC40,AK40,AL40,テーブル2[[#This Row],[Fcorr]])</f>
        <v>544.65364123042139</v>
      </c>
      <c r="AF40" s="14">
        <f t="shared" si="6"/>
        <v>0</v>
      </c>
      <c r="AG40">
        <v>1.935098198040747E-5</v>
      </c>
      <c r="AH40">
        <f t="shared" si="7"/>
        <v>40.548097021038181</v>
      </c>
      <c r="AI40">
        <f t="shared" si="8"/>
        <v>0.25473680394280068</v>
      </c>
      <c r="AJ40">
        <f t="shared" si="9"/>
        <v>42.648596737144231</v>
      </c>
      <c r="AK40">
        <f t="array" ref="AK40">+S40*テーブル2[[#This Row],[F_form]]/(E40*CpFromTP((テーブル2[[#This Row],[Tin]]+テーブル2[[#This Row],[Tf]])/2,テーブル2[[#This Row],[P]])*AI40)</f>
        <v>6.7347244038631029</v>
      </c>
      <c r="AL40">
        <f t="shared" si="10"/>
        <v>1.1293680422758512</v>
      </c>
      <c r="AM40">
        <f t="shared" si="11"/>
        <v>608.62110595738625</v>
      </c>
      <c r="AN40">
        <f t="shared" si="12"/>
        <v>1.0837675290531479E-7</v>
      </c>
      <c r="AO40">
        <f t="shared" si="13"/>
        <v>1.0380018882575888E-7</v>
      </c>
      <c r="AP40">
        <v>3.3905770557732722</v>
      </c>
      <c r="AQ40">
        <f t="shared" si="14"/>
        <v>4.7434576862562723E-5</v>
      </c>
      <c r="AR40">
        <f t="shared" si="15"/>
        <v>9.7273910846166142E-6</v>
      </c>
      <c r="AS40">
        <f t="shared" si="16"/>
        <v>21.438683581657202</v>
      </c>
      <c r="AT40">
        <f t="shared" si="17"/>
        <v>12.275984671041327</v>
      </c>
      <c r="AU40">
        <f t="shared" si="18"/>
        <v>3.1271451003518811</v>
      </c>
      <c r="AV40">
        <f t="shared" si="19"/>
        <v>0.26343195542139108</v>
      </c>
      <c r="AW40">
        <f t="shared" si="20"/>
        <v>1.157162476016158E-2</v>
      </c>
      <c r="AX40">
        <f t="shared" si="21"/>
        <v>0.26343194705758344</v>
      </c>
      <c r="AY40">
        <f t="shared" si="22"/>
        <v>8.3638076464609412E-9</v>
      </c>
      <c r="AZ40">
        <f t="shared" si="23"/>
        <v>1080577.4158407261</v>
      </c>
      <c r="BA40">
        <f t="shared" si="24"/>
        <v>1.3990119110195109E-5</v>
      </c>
      <c r="BB40" s="15">
        <f t="shared" si="25"/>
        <v>5009792.1018941654</v>
      </c>
      <c r="BC40" s="20">
        <f t="shared" si="26"/>
        <v>11916.922987915576</v>
      </c>
      <c r="BD40" s="19">
        <f t="shared" si="27"/>
        <v>0.23843978813659589</v>
      </c>
      <c r="BE40" s="15">
        <v>5174199.9999999991</v>
      </c>
      <c r="BF40" s="16">
        <f>テーブル2[[#This Row],[q_P]]/テーブル2[[#This Row],[q_M]]</f>
        <v>0.96822544584557346</v>
      </c>
      <c r="BG40">
        <v>1</v>
      </c>
      <c r="BH40">
        <v>-0.159</v>
      </c>
      <c r="BI40">
        <v>4.5999999999999999E-2</v>
      </c>
      <c r="BJ40">
        <v>5625</v>
      </c>
      <c r="BK40" s="22">
        <v>1</v>
      </c>
      <c r="BL40">
        <f>テーブル2[[#This Row],[Ts]]-テーブル2[[#This Row],[Tin]]</f>
        <v>125.28087396913503</v>
      </c>
      <c r="BM40">
        <f>テーブル2[[#This Row],[q_P]]*0.000001</f>
        <v>5.0097921018941651</v>
      </c>
      <c r="BN40">
        <f>テーブル2[[#This Row],[Tsub]]</f>
        <v>125.28087396913503</v>
      </c>
      <c r="BO40">
        <f>テーブル2[[#This Row],[Fcorr]]</f>
        <v>1</v>
      </c>
      <c r="BP40">
        <f>(テーブル2[[#This Row],[Tsub]]-40)^2</f>
        <v>7272.8274649394925</v>
      </c>
      <c r="BQ40">
        <v>1</v>
      </c>
      <c r="BR40">
        <v>0.30480000000000002</v>
      </c>
    </row>
    <row r="41" spans="1:70" x14ac:dyDescent="0.15">
      <c r="A41" s="9" t="s">
        <v>109</v>
      </c>
      <c r="B41">
        <v>13789520</v>
      </c>
      <c r="C41" s="22">
        <f t="array" ref="C41">TsatFromP(テーブル2[[#This Row],[P]])</f>
        <v>608.621106065763</v>
      </c>
      <c r="D41">
        <f t="array" ref="D41">RhoGFromP(テーブル2[[#This Row],[P]])</f>
        <v>85.147893581579396</v>
      </c>
      <c r="E41">
        <f t="array" ref="E41">RhoFFromP(テーブル2[[#This Row],[P]])</f>
        <v>624.86627494838649</v>
      </c>
      <c r="F41">
        <f t="array" ref="F41">HgFromP(テーブル2[[#This Row],[P]])</f>
        <v>2643264.389866509</v>
      </c>
      <c r="G41">
        <f t="array" ref="G41">HfFromP(テーブル2[[#This Row],[P]])</f>
        <v>1562686.9740257829</v>
      </c>
      <c r="H41">
        <f t="array" ref="H41">MuGFromP(テーブル2[[#This Row],[P]])</f>
        <v>2.2019594042733509E-5</v>
      </c>
      <c r="I41">
        <f t="array" ref="I41">MuFFromP(テーブル2[[#This Row],[P]])</f>
        <v>7.2223252690249831E-5</v>
      </c>
      <c r="J41">
        <f t="array" ref="J41">KfFromP(テーブル2[[#This Row],[P]])</f>
        <v>0.4911212487937569</v>
      </c>
      <c r="K41">
        <f t="array" ref="K41">CpFFromP(テーブル2[[#This Row],[P]])</f>
        <v>7679.7516396704104</v>
      </c>
      <c r="L41">
        <f t="array" ref="L41">SigmaFromP(テーブル2[[#This Row],[P]])</f>
        <v>6.5036382888884548E-3</v>
      </c>
      <c r="M41">
        <v>40</v>
      </c>
      <c r="N41">
        <v>2759.46</v>
      </c>
      <c r="O41" s="8">
        <v>1.753005194685703E-5</v>
      </c>
      <c r="P41" s="8">
        <v>1.484214033261962E-2</v>
      </c>
      <c r="Q41" s="8">
        <v>4.7244000000000001E-3</v>
      </c>
      <c r="R41">
        <v>0.30480000000000002</v>
      </c>
      <c r="S41" s="15">
        <v>1554029.35546875</v>
      </c>
      <c r="T41">
        <v>573.63997230882796</v>
      </c>
      <c r="U41" s="12">
        <f>+T41+BG41*S41*テーブル2[[#This Row],[Pw]]*R41/(N41*O41*K41)</f>
        <v>592.56411582847977</v>
      </c>
      <c r="V41">
        <v>0.03</v>
      </c>
      <c r="W41" s="8">
        <f t="shared" si="0"/>
        <v>180506.86362620682</v>
      </c>
      <c r="X41">
        <v>2.693096497243053E-2</v>
      </c>
      <c r="Y41">
        <f t="shared" si="1"/>
        <v>6.0936014016155671</v>
      </c>
      <c r="Z41">
        <f t="shared" si="2"/>
        <v>6.093601408482507</v>
      </c>
      <c r="AA41">
        <f t="shared" si="3"/>
        <v>-6.8669399055920621E-9</v>
      </c>
      <c r="AB41">
        <f t="shared" si="4"/>
        <v>1.9024558052984488E-5</v>
      </c>
      <c r="AC41">
        <v>635.51578929672712</v>
      </c>
      <c r="AD41">
        <f t="shared" si="5"/>
        <v>5236.5431749017189</v>
      </c>
      <c r="AE41">
        <f>+gettm2(AD41,AC41,AK41,AL41,テーブル2[[#This Row],[Fcorr]])</f>
        <v>592.56411582847988</v>
      </c>
      <c r="AF41" s="14">
        <f t="shared" si="6"/>
        <v>0</v>
      </c>
      <c r="AG41">
        <v>1.905664287725175E-5</v>
      </c>
      <c r="AH41">
        <f t="shared" si="7"/>
        <v>41.022587357512002</v>
      </c>
      <c r="AI41">
        <f t="shared" si="8"/>
        <v>0.25622292304026895</v>
      </c>
      <c r="AJ41">
        <f t="shared" si="9"/>
        <v>42.244912875883536</v>
      </c>
      <c r="AK41">
        <f t="array" ref="AK41">+S41*テーブル2[[#This Row],[F_form]]/(E41*CpFromTP((テーブル2[[#This Row],[Tin]]+テーブル2[[#This Row],[Tf]])/2,テーブル2[[#This Row],[P]])*AI41)</f>
        <v>1.6837311604698073</v>
      </c>
      <c r="AL41">
        <f t="shared" si="10"/>
        <v>1.1293680422758512</v>
      </c>
      <c r="AM41">
        <f t="shared" si="11"/>
        <v>608.62110605940677</v>
      </c>
      <c r="AN41">
        <f t="shared" si="12"/>
        <v>6.3562310970155522E-9</v>
      </c>
      <c r="AO41">
        <f t="shared" si="13"/>
        <v>3.2084824267261853E-8</v>
      </c>
      <c r="AP41">
        <v>3.3932651311068072</v>
      </c>
      <c r="AQ41">
        <f t="shared" si="14"/>
        <v>4.735945322406582E-5</v>
      </c>
      <c r="AR41">
        <f t="shared" si="15"/>
        <v>9.5443638507595061E-6</v>
      </c>
      <c r="AS41">
        <f t="shared" si="16"/>
        <v>21.158019380862495</v>
      </c>
      <c r="AT41">
        <f t="shared" si="17"/>
        <v>12.210095002852601</v>
      </c>
      <c r="AU41">
        <f t="shared" si="18"/>
        <v>3.1285062322302744</v>
      </c>
      <c r="AV41">
        <f t="shared" si="19"/>
        <v>0.26475889887653281</v>
      </c>
      <c r="AW41">
        <f t="shared" si="20"/>
        <v>1.1437780834663975E-2</v>
      </c>
      <c r="AX41">
        <f t="shared" si="21"/>
        <v>0.26475889022752874</v>
      </c>
      <c r="AY41">
        <f t="shared" si="22"/>
        <v>8.6490040684950031E-9</v>
      </c>
      <c r="AZ41">
        <f t="shared" si="23"/>
        <v>1080577.4158407261</v>
      </c>
      <c r="BA41">
        <f t="shared" si="24"/>
        <v>1.3956897381790567E-5</v>
      </c>
      <c r="BB41" s="15">
        <f t="shared" si="25"/>
        <v>1552221.7044804264</v>
      </c>
      <c r="BC41" s="20">
        <f t="shared" si="26"/>
        <v>-1807.650988323614</v>
      </c>
      <c r="BD41" s="19">
        <f t="shared" si="27"/>
        <v>-0.11632026010077286</v>
      </c>
      <c r="BE41" s="15">
        <v>2943615</v>
      </c>
      <c r="BF41" s="16">
        <f>テーブル2[[#This Row],[q_P]]/テーブル2[[#This Row],[q_M]]</f>
        <v>0.52731818002029018</v>
      </c>
      <c r="BG41">
        <v>1</v>
      </c>
      <c r="BH41">
        <v>5.1999999999999998E-2</v>
      </c>
      <c r="BI41">
        <v>4.5999999999999999E-2</v>
      </c>
      <c r="BJ41">
        <v>5625</v>
      </c>
      <c r="BK41" s="22">
        <v>1</v>
      </c>
      <c r="BL41">
        <f>テーブル2[[#This Row],[Ts]]-テーブル2[[#This Row],[Tin]]</f>
        <v>34.981133756935037</v>
      </c>
      <c r="BM41">
        <f>テーブル2[[#This Row],[q_P]]*0.000001</f>
        <v>1.5522217044804263</v>
      </c>
      <c r="BN41">
        <f>テーブル2[[#This Row],[Tsub]]</f>
        <v>34.981133756935037</v>
      </c>
      <c r="BO41">
        <f>テーブル2[[#This Row],[Fcorr]]</f>
        <v>1</v>
      </c>
      <c r="BP41">
        <f>(テーブル2[[#This Row],[Tsub]]-40)^2</f>
        <v>25.189018365777017</v>
      </c>
      <c r="BQ41">
        <v>1</v>
      </c>
      <c r="BR41">
        <v>0.30480000000000002</v>
      </c>
    </row>
    <row r="42" spans="1:70" x14ac:dyDescent="0.15">
      <c r="A42" s="9" t="s">
        <v>110</v>
      </c>
      <c r="B42">
        <v>13789520</v>
      </c>
      <c r="C42" s="22">
        <f t="array" ref="C42">TsatFromP(テーブル2[[#This Row],[P]])</f>
        <v>608.621106065763</v>
      </c>
      <c r="D42">
        <f t="array" ref="D42">RhoGFromP(テーブル2[[#This Row],[P]])</f>
        <v>85.147893581579396</v>
      </c>
      <c r="E42">
        <f t="array" ref="E42">RhoFFromP(テーブル2[[#This Row],[P]])</f>
        <v>624.86627494838649</v>
      </c>
      <c r="F42">
        <f t="array" ref="F42">HgFromP(テーブル2[[#This Row],[P]])</f>
        <v>2643264.389866509</v>
      </c>
      <c r="G42">
        <f t="array" ref="G42">HfFromP(テーブル2[[#This Row],[P]])</f>
        <v>1562686.9740257829</v>
      </c>
      <c r="H42">
        <f t="array" ref="H42">MuGFromP(テーブル2[[#This Row],[P]])</f>
        <v>2.2019594042733509E-5</v>
      </c>
      <c r="I42">
        <f t="array" ref="I42">MuFFromP(テーブル2[[#This Row],[P]])</f>
        <v>7.2223252690249831E-5</v>
      </c>
      <c r="J42">
        <f t="array" ref="J42">KfFromP(テーブル2[[#This Row],[P]])</f>
        <v>0.4911212487937569</v>
      </c>
      <c r="K42">
        <f t="array" ref="K42">CpFFromP(テーブル2[[#This Row],[P]])</f>
        <v>7679.7516396704104</v>
      </c>
      <c r="L42">
        <f t="array" ref="L42">SigmaFromP(テーブル2[[#This Row],[P]])</f>
        <v>6.5036382888884548E-3</v>
      </c>
      <c r="M42" s="23">
        <v>41</v>
      </c>
      <c r="N42">
        <v>2759.46</v>
      </c>
      <c r="O42" s="8">
        <v>1.753005194685703E-5</v>
      </c>
      <c r="P42" s="8">
        <v>1.484214033261962E-2</v>
      </c>
      <c r="Q42" s="8">
        <v>4.7244000000000001E-3</v>
      </c>
      <c r="R42">
        <v>0.30480000000000002</v>
      </c>
      <c r="S42" s="15">
        <v>3167922.11328125</v>
      </c>
      <c r="T42">
        <v>532.84871111815698</v>
      </c>
      <c r="U42" s="12">
        <f>+T42+BG42*S42*テーブル2[[#This Row],[Pw]]*R42/(N42*O42*K42)</f>
        <v>571.42598285362556</v>
      </c>
      <c r="V42">
        <v>0.03</v>
      </c>
      <c r="W42" s="8">
        <f t="shared" si="0"/>
        <v>180506.86362620682</v>
      </c>
      <c r="X42">
        <v>2.693096497243053E-2</v>
      </c>
      <c r="Y42">
        <f t="shared" si="1"/>
        <v>6.0936014016155671</v>
      </c>
      <c r="Z42">
        <f t="shared" si="2"/>
        <v>6.093601408482507</v>
      </c>
      <c r="AA42">
        <f t="shared" si="3"/>
        <v>-6.8669399055920621E-9</v>
      </c>
      <c r="AB42">
        <f t="shared" si="4"/>
        <v>1.9024558052984488E-5</v>
      </c>
      <c r="AC42">
        <v>670.96727069597034</v>
      </c>
      <c r="AD42">
        <f t="shared" si="5"/>
        <v>5236.5431749017189</v>
      </c>
      <c r="AE42">
        <f>+gettm2(AD42,AC42,AK42,AL42,テーブル2[[#This Row],[Fcorr]])</f>
        <v>571.42598356329813</v>
      </c>
      <c r="AF42" s="14">
        <f t="shared" si="6"/>
        <v>7.0967257670417894E-7</v>
      </c>
      <c r="AG42">
        <v>1.9090361367905189E-5</v>
      </c>
      <c r="AH42">
        <f t="shared" si="7"/>
        <v>41.022587357512002</v>
      </c>
      <c r="AI42">
        <f t="shared" si="8"/>
        <v>0.25622292304026895</v>
      </c>
      <c r="AJ42">
        <f t="shared" si="9"/>
        <v>42.319660285967046</v>
      </c>
      <c r="AK42">
        <f t="array" ref="AK42">+S42*テーブル2[[#This Row],[F_form]]/(E42*CpFromTP((テーブル2[[#This Row],[Tin]]+テーブル2[[#This Row],[Tf]])/2,テーブル2[[#This Row],[P]])*AI42)</f>
        <v>3.902077692559601</v>
      </c>
      <c r="AL42">
        <f t="shared" si="10"/>
        <v>1.1293680422758512</v>
      </c>
      <c r="AM42">
        <f t="shared" si="11"/>
        <v>608.62110604657528</v>
      </c>
      <c r="AN42">
        <f t="shared" si="12"/>
        <v>1.9187723410141189E-8</v>
      </c>
      <c r="AO42">
        <f t="shared" si="13"/>
        <v>6.5803314920700486E-8</v>
      </c>
      <c r="AP42">
        <v>3.397456473500307</v>
      </c>
      <c r="AQ42">
        <f t="shared" si="14"/>
        <v>4.724267336598109E-5</v>
      </c>
      <c r="AR42">
        <f t="shared" si="15"/>
        <v>9.5780823414129447E-6</v>
      </c>
      <c r="AS42">
        <f t="shared" si="16"/>
        <v>21.232766790945998</v>
      </c>
      <c r="AT42">
        <f t="shared" si="17"/>
        <v>12.227727959044786</v>
      </c>
      <c r="AU42">
        <f t="shared" si="18"/>
        <v>3.1330241998076773</v>
      </c>
      <c r="AV42">
        <f t="shared" si="19"/>
        <v>0.26443227369262967</v>
      </c>
      <c r="AW42">
        <f t="shared" si="20"/>
        <v>1.1437780834663975E-2</v>
      </c>
      <c r="AX42">
        <f t="shared" si="21"/>
        <v>0.26443226495084837</v>
      </c>
      <c r="AY42">
        <f t="shared" si="22"/>
        <v>8.7417812988377364E-9</v>
      </c>
      <c r="AZ42">
        <f t="shared" si="23"/>
        <v>1080577.4158407261</v>
      </c>
      <c r="BA42">
        <f t="shared" si="24"/>
        <v>1.3905306435701956E-5</v>
      </c>
      <c r="BB42" s="15">
        <f t="shared" si="25"/>
        <v>3195289.2662135134</v>
      </c>
      <c r="BC42" s="20">
        <f t="shared" si="26"/>
        <v>27367.152932263445</v>
      </c>
      <c r="BD42" s="19">
        <f t="shared" si="27"/>
        <v>0.86388338960509581</v>
      </c>
      <c r="BE42" s="15">
        <v>4227700</v>
      </c>
      <c r="BF42" s="16">
        <f>テーブル2[[#This Row],[q_P]]/テーブル2[[#This Row],[q_M]]</f>
        <v>0.75579848764423052</v>
      </c>
      <c r="BG42">
        <v>1</v>
      </c>
      <c r="BH42">
        <v>-3.1E-2</v>
      </c>
      <c r="BI42">
        <v>4.5999999999999999E-2</v>
      </c>
      <c r="BJ42">
        <v>5625</v>
      </c>
      <c r="BK42" s="22">
        <v>1</v>
      </c>
      <c r="BL42">
        <f>テーブル2[[#This Row],[Ts]]-テーブル2[[#This Row],[Tin]]</f>
        <v>75.772394947606017</v>
      </c>
      <c r="BM42">
        <f>テーブル2[[#This Row],[q_P]]*0.000001</f>
        <v>3.1952892662135133</v>
      </c>
      <c r="BN42">
        <f>テーブル2[[#This Row],[Tsub]]</f>
        <v>75.772394947606017</v>
      </c>
      <c r="BO42">
        <f>テーブル2[[#This Row],[Fcorr]]</f>
        <v>1</v>
      </c>
      <c r="BP42">
        <f>(テーブル2[[#This Row],[Tsub]]-40)^2</f>
        <v>1279.6642402875084</v>
      </c>
      <c r="BQ42">
        <v>1</v>
      </c>
      <c r="BR42">
        <v>0.30480000000000002</v>
      </c>
    </row>
    <row r="43" spans="1:70" x14ac:dyDescent="0.15">
      <c r="A43" s="9" t="s">
        <v>111</v>
      </c>
      <c r="B43">
        <v>13789520</v>
      </c>
      <c r="C43" s="22">
        <f t="array" ref="C43">TsatFromP(テーブル2[[#This Row],[P]])</f>
        <v>608.621106065763</v>
      </c>
      <c r="D43">
        <f t="array" ref="D43">RhoGFromP(テーブル2[[#This Row],[P]])</f>
        <v>85.147893581579396</v>
      </c>
      <c r="E43">
        <f t="array" ref="E43">RhoFFromP(テーブル2[[#This Row],[P]])</f>
        <v>624.86627494838649</v>
      </c>
      <c r="F43">
        <f t="array" ref="F43">HgFromP(テーブル2[[#This Row],[P]])</f>
        <v>2643264.389866509</v>
      </c>
      <c r="G43">
        <f t="array" ref="G43">HfFromP(テーブル2[[#This Row],[P]])</f>
        <v>1562686.9740257829</v>
      </c>
      <c r="H43">
        <f t="array" ref="H43">MuGFromP(テーブル2[[#This Row],[P]])</f>
        <v>2.2019594042733509E-5</v>
      </c>
      <c r="I43">
        <f t="array" ref="I43">MuFFromP(テーブル2[[#This Row],[P]])</f>
        <v>7.2223252690249831E-5</v>
      </c>
      <c r="J43">
        <f t="array" ref="J43">KfFromP(テーブル2[[#This Row],[P]])</f>
        <v>0.4911212487937569</v>
      </c>
      <c r="K43">
        <f t="array" ref="K43">CpFFromP(テーブル2[[#This Row],[P]])</f>
        <v>7679.7516396704104</v>
      </c>
      <c r="L43">
        <f t="array" ref="L43">SigmaFromP(テーブル2[[#This Row],[P]])</f>
        <v>6.5036382888884548E-3</v>
      </c>
      <c r="M43">
        <v>42</v>
      </c>
      <c r="N43">
        <v>2759.46</v>
      </c>
      <c r="O43" s="8">
        <v>1.753005194685703E-5</v>
      </c>
      <c r="P43" s="8">
        <v>1.484214033261962E-2</v>
      </c>
      <c r="Q43" s="8">
        <v>4.7244000000000001E-3</v>
      </c>
      <c r="R43">
        <v>0.30480000000000002</v>
      </c>
      <c r="S43" s="15">
        <v>3190008.30078125</v>
      </c>
      <c r="T43">
        <v>532.27181435384398</v>
      </c>
      <c r="U43" s="12">
        <f>+T43+BG43*S43*テーブル2[[#This Row],[Pw]]*R43/(N43*O43*K43)</f>
        <v>571.11803994181298</v>
      </c>
      <c r="V43">
        <v>0.03</v>
      </c>
      <c r="W43" s="8">
        <f t="shared" si="0"/>
        <v>180506.86362620682</v>
      </c>
      <c r="X43">
        <v>2.693096497243053E-2</v>
      </c>
      <c r="Y43">
        <f t="shared" si="1"/>
        <v>6.0936014016155671</v>
      </c>
      <c r="Z43">
        <f t="shared" si="2"/>
        <v>6.093601408482507</v>
      </c>
      <c r="AA43">
        <f t="shared" si="3"/>
        <v>-6.8669399055920621E-9</v>
      </c>
      <c r="AB43">
        <f t="shared" si="4"/>
        <v>1.9024558052984488E-5</v>
      </c>
      <c r="AC43">
        <v>671.48342608206201</v>
      </c>
      <c r="AD43">
        <f t="shared" si="5"/>
        <v>5236.5431749017189</v>
      </c>
      <c r="AE43">
        <f>+gettm2(AD43,AC43,AK43,AL43,テーブル2[[#This Row],[Fcorr]])</f>
        <v>571.11804065664717</v>
      </c>
      <c r="AF43" s="14">
        <f t="shared" si="6"/>
        <v>7.1483418651041575E-7</v>
      </c>
      <c r="AG43">
        <v>1.9090349740379261E-5</v>
      </c>
      <c r="AH43">
        <f t="shared" si="7"/>
        <v>41.022587357512002</v>
      </c>
      <c r="AI43">
        <f t="shared" si="8"/>
        <v>0.25622292304026895</v>
      </c>
      <c r="AJ43">
        <f t="shared" si="9"/>
        <v>42.319634509977909</v>
      </c>
      <c r="AK43">
        <f t="array" ref="AK43">+S43*テーブル2[[#This Row],[F_form]]/(E43*CpFromTP((テーブル2[[#This Row],[Tin]]+テーブル2[[#This Row],[Tf]])/2,テーブル2[[#This Row],[P]])*AI43)</f>
        <v>3.9343828360555029</v>
      </c>
      <c r="AL43">
        <f t="shared" si="10"/>
        <v>1.1293680422758512</v>
      </c>
      <c r="AM43">
        <f t="shared" si="11"/>
        <v>608.62110604641816</v>
      </c>
      <c r="AN43">
        <f t="shared" si="12"/>
        <v>1.9344838619872462E-8</v>
      </c>
      <c r="AO43">
        <f t="shared" si="13"/>
        <v>6.5791687394772716E-8</v>
      </c>
      <c r="AP43">
        <v>3.3974550305687119</v>
      </c>
      <c r="AQ43">
        <f t="shared" si="14"/>
        <v>4.7242713494818646E-5</v>
      </c>
      <c r="AR43">
        <f t="shared" si="15"/>
        <v>9.5780707138870169E-6</v>
      </c>
      <c r="AS43">
        <f t="shared" si="16"/>
        <v>21.232741014956861</v>
      </c>
      <c r="AT43">
        <f t="shared" si="17"/>
        <v>12.22772188917998</v>
      </c>
      <c r="AU43">
        <f t="shared" si="18"/>
        <v>3.133022644569174</v>
      </c>
      <c r="AV43">
        <f t="shared" si="19"/>
        <v>0.26443238599953789</v>
      </c>
      <c r="AW43">
        <f t="shared" si="20"/>
        <v>1.1437780834663975E-2</v>
      </c>
      <c r="AX43">
        <f t="shared" si="21"/>
        <v>0.26443237725775648</v>
      </c>
      <c r="AY43">
        <f t="shared" si="22"/>
        <v>8.7417814098600388E-9</v>
      </c>
      <c r="AZ43">
        <f t="shared" si="23"/>
        <v>1080577.4158407261</v>
      </c>
      <c r="BA43">
        <f t="shared" si="24"/>
        <v>1.3905324152858772E-5</v>
      </c>
      <c r="BB43" s="15">
        <f t="shared" si="25"/>
        <v>3194720.5842199679</v>
      </c>
      <c r="BC43" s="20">
        <f t="shared" si="26"/>
        <v>4712.2834387179464</v>
      </c>
      <c r="BD43" s="19">
        <f t="shared" si="27"/>
        <v>0.14772009958606949</v>
      </c>
      <c r="BE43" s="15">
        <v>4196150</v>
      </c>
      <c r="BF43" s="16">
        <f>テーブル2[[#This Row],[q_P]]/テーブル2[[#This Row],[q_M]]</f>
        <v>0.76134565833441792</v>
      </c>
      <c r="BG43">
        <v>1</v>
      </c>
      <c r="BH43">
        <v>-3.5999999999999997E-2</v>
      </c>
      <c r="BI43">
        <v>4.5999999999999999E-2</v>
      </c>
      <c r="BJ43">
        <v>5625</v>
      </c>
      <c r="BK43" s="22">
        <v>1</v>
      </c>
      <c r="BL43">
        <f>テーブル2[[#This Row],[Ts]]-テーブル2[[#This Row],[Tin]]</f>
        <v>76.349291711919022</v>
      </c>
      <c r="BM43">
        <f>テーブル2[[#This Row],[q_P]]*0.000001</f>
        <v>3.1947205842199677</v>
      </c>
      <c r="BN43">
        <f>テーブル2[[#This Row],[Tsub]]</f>
        <v>76.349291711919022</v>
      </c>
      <c r="BO43">
        <f>テーブル2[[#This Row],[Fcorr]]</f>
        <v>1</v>
      </c>
      <c r="BP43">
        <f>(テーブル2[[#This Row],[Tsub]]-40)^2</f>
        <v>1321.271007958185</v>
      </c>
      <c r="BQ43">
        <v>1</v>
      </c>
      <c r="BR43">
        <v>0.30480000000000002</v>
      </c>
    </row>
    <row r="44" spans="1:70" x14ac:dyDescent="0.15">
      <c r="A44" s="9" t="s">
        <v>112</v>
      </c>
      <c r="B44">
        <v>13789520</v>
      </c>
      <c r="C44" s="22">
        <f t="array" ref="C44">TsatFromP(テーブル2[[#This Row],[P]])</f>
        <v>608.621106065763</v>
      </c>
      <c r="D44">
        <f t="array" ref="D44">RhoGFromP(テーブル2[[#This Row],[P]])</f>
        <v>85.147893581579396</v>
      </c>
      <c r="E44">
        <f t="array" ref="E44">RhoFFromP(テーブル2[[#This Row],[P]])</f>
        <v>624.86627494838649</v>
      </c>
      <c r="F44">
        <f t="array" ref="F44">HgFromP(テーブル2[[#This Row],[P]])</f>
        <v>2643264.389866509</v>
      </c>
      <c r="G44">
        <f t="array" ref="G44">HfFromP(テーブル2[[#This Row],[P]])</f>
        <v>1562686.9740257829</v>
      </c>
      <c r="H44">
        <f t="array" ref="H44">MuGFromP(テーブル2[[#This Row],[P]])</f>
        <v>2.2019594042733509E-5</v>
      </c>
      <c r="I44">
        <f t="array" ref="I44">MuFFromP(テーブル2[[#This Row],[P]])</f>
        <v>7.2223252690249831E-5</v>
      </c>
      <c r="J44">
        <f t="array" ref="J44">KfFromP(テーブル2[[#This Row],[P]])</f>
        <v>0.4911212487937569</v>
      </c>
      <c r="K44">
        <f t="array" ref="K44">CpFFromP(テーブル2[[#This Row],[P]])</f>
        <v>7679.7516396704104</v>
      </c>
      <c r="L44">
        <f t="array" ref="L44">SigmaFromP(テーブル2[[#This Row],[P]])</f>
        <v>6.5036382888884548E-3</v>
      </c>
      <c r="M44" s="23">
        <v>43</v>
      </c>
      <c r="N44">
        <v>2766.24</v>
      </c>
      <c r="O44" s="8">
        <v>1.753005194685703E-5</v>
      </c>
      <c r="P44" s="8">
        <v>1.484214033261962E-2</v>
      </c>
      <c r="Q44" s="8">
        <v>4.7244000000000001E-3</v>
      </c>
      <c r="R44">
        <v>0.30480000000000002</v>
      </c>
      <c r="S44" s="15">
        <v>3173239.16015625</v>
      </c>
      <c r="T44">
        <v>532.84871111815698</v>
      </c>
      <c r="U44" s="12">
        <f>+T44+BG44*S44*テーブル2[[#This Row],[Pw]]*R44/(N44*O44*K44)</f>
        <v>571.3960201913394</v>
      </c>
      <c r="V44">
        <v>0.03</v>
      </c>
      <c r="W44" s="8">
        <f t="shared" si="0"/>
        <v>180950.36943364219</v>
      </c>
      <c r="X44">
        <v>2.6902755474970039E-2</v>
      </c>
      <c r="Y44">
        <f t="shared" si="1"/>
        <v>6.0967953568832884</v>
      </c>
      <c r="Z44">
        <f t="shared" si="2"/>
        <v>6.0967953632706635</v>
      </c>
      <c r="AA44">
        <f t="shared" si="3"/>
        <v>-6.3873750733023371E-9</v>
      </c>
      <c r="AB44">
        <f t="shared" si="4"/>
        <v>1.8951265668188581E-5</v>
      </c>
      <c r="AC44">
        <v>670.935483824568</v>
      </c>
      <c r="AD44">
        <f t="shared" si="5"/>
        <v>5246.6593429399873</v>
      </c>
      <c r="AE44">
        <f>+gettm2(AD44,AC44,AK44,AL44,テーブル2[[#This Row],[Fcorr]])</f>
        <v>571.39602019133929</v>
      </c>
      <c r="AF44" s="14">
        <f t="shared" si="6"/>
        <v>0</v>
      </c>
      <c r="AG44">
        <v>1.9016875766912899E-5</v>
      </c>
      <c r="AH44">
        <f t="shared" si="7"/>
        <v>41.181238674557136</v>
      </c>
      <c r="AI44">
        <f t="shared" si="8"/>
        <v>0.25671790495069319</v>
      </c>
      <c r="AJ44">
        <f t="shared" si="9"/>
        <v>42.238196984168404</v>
      </c>
      <c r="AK44">
        <f t="array" ref="AK44">+S44*テーブル2[[#This Row],[F_form]]/(E44*CpFromTP((テーブル2[[#This Row],[Tin]]+テーブル2[[#This Row],[Tf]])/2,テーブル2[[#This Row],[P]])*AI44)</f>
        <v>3.9012644067573743</v>
      </c>
      <c r="AL44">
        <f t="shared" si="10"/>
        <v>1.1293680422758512</v>
      </c>
      <c r="AM44">
        <f t="shared" si="11"/>
        <v>608.62110605571752</v>
      </c>
      <c r="AN44">
        <f t="shared" si="12"/>
        <v>1.0045482667919714E-8</v>
      </c>
      <c r="AO44">
        <f t="shared" si="13"/>
        <v>6.5610098724318045E-8</v>
      </c>
      <c r="AP44">
        <v>3.4012547611659318</v>
      </c>
      <c r="AQ44">
        <f t="shared" si="14"/>
        <v>4.7137217537298897E-5</v>
      </c>
      <c r="AR44">
        <f t="shared" si="15"/>
        <v>9.5412429328186088E-6</v>
      </c>
      <c r="AS44">
        <f t="shared" si="16"/>
        <v>21.191961466739855</v>
      </c>
      <c r="AT44">
        <f t="shared" si="17"/>
        <v>12.218109668376783</v>
      </c>
      <c r="AU44">
        <f t="shared" si="18"/>
        <v>3.1366075165234966</v>
      </c>
      <c r="AV44">
        <f t="shared" si="19"/>
        <v>0.26464724464243528</v>
      </c>
      <c r="AW44">
        <f t="shared" si="20"/>
        <v>1.1393716618727356E-2</v>
      </c>
      <c r="AX44">
        <f t="shared" si="21"/>
        <v>0.26464723574303173</v>
      </c>
      <c r="AY44">
        <f t="shared" si="22"/>
        <v>8.899403547424356E-9</v>
      </c>
      <c r="AZ44">
        <f t="shared" si="23"/>
        <v>1080577.4158407261</v>
      </c>
      <c r="BA44">
        <f t="shared" si="24"/>
        <v>1.3858772966815492E-5</v>
      </c>
      <c r="BB44" s="15">
        <f t="shared" si="25"/>
        <v>3196604.3286741632</v>
      </c>
      <c r="BC44" s="20">
        <f t="shared" si="26"/>
        <v>23365.168517913204</v>
      </c>
      <c r="BD44" s="19">
        <f t="shared" si="27"/>
        <v>0.73631917856335494</v>
      </c>
      <c r="BE44" s="15">
        <v>4224545</v>
      </c>
      <c r="BF44" s="16">
        <f>テーブル2[[#This Row],[q_P]]/テーブル2[[#This Row],[q_M]]</f>
        <v>0.75667422850843424</v>
      </c>
      <c r="BG44">
        <v>1</v>
      </c>
      <c r="BH44">
        <v>-3.2000000000000001E-2</v>
      </c>
      <c r="BI44">
        <v>4.5999999999999999E-2</v>
      </c>
      <c r="BJ44">
        <v>5625</v>
      </c>
      <c r="BK44" s="22">
        <v>1</v>
      </c>
      <c r="BL44">
        <f>テーブル2[[#This Row],[Ts]]-テーブル2[[#This Row],[Tin]]</f>
        <v>75.772394947606017</v>
      </c>
      <c r="BM44">
        <f>テーブル2[[#This Row],[q_P]]*0.000001</f>
        <v>3.1966043286741632</v>
      </c>
      <c r="BN44">
        <f>テーブル2[[#This Row],[Tsub]]</f>
        <v>75.772394947606017</v>
      </c>
      <c r="BO44">
        <f>テーブル2[[#This Row],[Fcorr]]</f>
        <v>1</v>
      </c>
      <c r="BP44">
        <f>(テーブル2[[#This Row],[Tsub]]-40)^2</f>
        <v>1279.6642402875084</v>
      </c>
      <c r="BQ44">
        <v>1</v>
      </c>
      <c r="BR44">
        <v>0.30480000000000002</v>
      </c>
    </row>
    <row r="45" spans="1:70" x14ac:dyDescent="0.15">
      <c r="A45" s="9" t="s">
        <v>113</v>
      </c>
      <c r="B45">
        <v>13789520</v>
      </c>
      <c r="C45" s="22">
        <f t="array" ref="C45">TsatFromP(テーブル2[[#This Row],[P]])</f>
        <v>608.621106065763</v>
      </c>
      <c r="D45">
        <f t="array" ref="D45">RhoGFromP(テーブル2[[#This Row],[P]])</f>
        <v>85.147893581579396</v>
      </c>
      <c r="E45">
        <f t="array" ref="E45">RhoFFromP(テーブル2[[#This Row],[P]])</f>
        <v>624.86627494838649</v>
      </c>
      <c r="F45">
        <f t="array" ref="F45">HgFromP(テーブル2[[#This Row],[P]])</f>
        <v>2643264.389866509</v>
      </c>
      <c r="G45">
        <f t="array" ref="G45">HfFromP(テーブル2[[#This Row],[P]])</f>
        <v>1562686.9740257829</v>
      </c>
      <c r="H45">
        <f t="array" ref="H45">MuGFromP(テーブル2[[#This Row],[P]])</f>
        <v>2.2019594042733509E-5</v>
      </c>
      <c r="I45">
        <f t="array" ref="I45">MuFFromP(テーブル2[[#This Row],[P]])</f>
        <v>7.2223252690249831E-5</v>
      </c>
      <c r="J45">
        <f t="array" ref="J45">KfFromP(テーブル2[[#This Row],[P]])</f>
        <v>0.4911212487937569</v>
      </c>
      <c r="K45">
        <f t="array" ref="K45">CpFFromP(テーブル2[[#This Row],[P]])</f>
        <v>7679.7516396704104</v>
      </c>
      <c r="L45">
        <f t="array" ref="L45">SigmaFromP(テーブル2[[#This Row],[P]])</f>
        <v>6.5036382888884548E-3</v>
      </c>
      <c r="M45">
        <v>44</v>
      </c>
      <c r="N45">
        <v>2779.8</v>
      </c>
      <c r="O45" s="8">
        <v>1.753005194685703E-5</v>
      </c>
      <c r="P45" s="8">
        <v>1.484214033261962E-2</v>
      </c>
      <c r="Q45" s="8">
        <v>4.7244000000000001E-3</v>
      </c>
      <c r="R45">
        <v>0.30480000000000002</v>
      </c>
      <c r="S45" s="15">
        <v>3183847.75390625</v>
      </c>
      <c r="T45">
        <v>532.84871111815698</v>
      </c>
      <c r="U45" s="12">
        <f>+T45+BG45*S45*テーブル2[[#This Row],[Pw]]*R45/(N45*O45*K45)</f>
        <v>571.33622509144243</v>
      </c>
      <c r="V45">
        <v>0.03</v>
      </c>
      <c r="W45" s="8">
        <f t="shared" si="0"/>
        <v>181837.38104851302</v>
      </c>
      <c r="X45">
        <v>2.6846671672922939E-2</v>
      </c>
      <c r="Y45">
        <f t="shared" si="1"/>
        <v>6.1031602626924686</v>
      </c>
      <c r="Z45">
        <f t="shared" si="2"/>
        <v>6.1031602680645429</v>
      </c>
      <c r="AA45">
        <f t="shared" si="3"/>
        <v>-5.3720743409257921E-9</v>
      </c>
      <c r="AB45">
        <f t="shared" si="4"/>
        <v>1.8806030895976118E-5</v>
      </c>
      <c r="AC45">
        <v>670.87158033377591</v>
      </c>
      <c r="AD45">
        <f t="shared" si="5"/>
        <v>5266.8797671340417</v>
      </c>
      <c r="AE45">
        <f>+gettm2(AD45,AC45,AK45,AL45,テーブル2[[#This Row],[Fcorr]])</f>
        <v>571.33622580015822</v>
      </c>
      <c r="AF45" s="14">
        <f t="shared" si="6"/>
        <v>7.0871578827791382E-7</v>
      </c>
      <c r="AG45">
        <v>1.8870692345338619E-5</v>
      </c>
      <c r="AH45">
        <f t="shared" si="7"/>
        <v>41.499272174098294</v>
      </c>
      <c r="AI45">
        <f t="shared" si="8"/>
        <v>0.2577072859257124</v>
      </c>
      <c r="AJ45">
        <f t="shared" si="9"/>
        <v>42.075043478738124</v>
      </c>
      <c r="AK45">
        <f t="array" ref="AK45">+S45*テーブル2[[#This Row],[F_form]]/(E45*CpFromTP((テーブル2[[#This Row],[Tin]]+テーブル2[[#This Row],[Tf]])/2,テーブル2[[#This Row],[P]])*AI45)</f>
        <v>3.8996258260758339</v>
      </c>
      <c r="AL45">
        <f t="shared" si="10"/>
        <v>1.1293680422758512</v>
      </c>
      <c r="AM45">
        <f t="shared" si="11"/>
        <v>608.62110603116821</v>
      </c>
      <c r="AN45">
        <f t="shared" si="12"/>
        <v>3.4594791031850036E-8</v>
      </c>
      <c r="AO45">
        <f t="shared" si="13"/>
        <v>6.4661449362501104E-8</v>
      </c>
      <c r="AP45">
        <v>3.4087609577370919</v>
      </c>
      <c r="AQ45">
        <f t="shared" si="14"/>
        <v>4.6929850894448811E-5</v>
      </c>
      <c r="AR45">
        <f t="shared" si="15"/>
        <v>9.4676768973505602E-6</v>
      </c>
      <c r="AS45">
        <f t="shared" si="16"/>
        <v>21.109607947006204</v>
      </c>
      <c r="AT45">
        <f t="shared" si="17"/>
        <v>12.198641448895078</v>
      </c>
      <c r="AU45">
        <f t="shared" si="18"/>
        <v>3.1436787797756502</v>
      </c>
      <c r="AV45">
        <f t="shared" si="19"/>
        <v>0.26508217796144162</v>
      </c>
      <c r="AW45">
        <f t="shared" si="20"/>
        <v>1.1306399820643949E-2</v>
      </c>
      <c r="AX45">
        <f t="shared" si="21"/>
        <v>0.26508216875476986</v>
      </c>
      <c r="AY45">
        <f t="shared" si="22"/>
        <v>9.2066717582994784E-9</v>
      </c>
      <c r="AZ45">
        <f t="shared" si="23"/>
        <v>1080577.4158407261</v>
      </c>
      <c r="BA45">
        <f t="shared" si="24"/>
        <v>1.3767422085708004E-5</v>
      </c>
      <c r="BB45" s="15">
        <f t="shared" si="25"/>
        <v>3171288.698179129</v>
      </c>
      <c r="BC45" s="20">
        <f t="shared" si="26"/>
        <v>-12559.055727120955</v>
      </c>
      <c r="BD45" s="19">
        <f t="shared" si="27"/>
        <v>-0.39446156656555892</v>
      </c>
      <c r="BE45" s="15">
        <v>4192995</v>
      </c>
      <c r="BF45" s="16">
        <f>テーブル2[[#This Row],[q_P]]/テーブル2[[#This Row],[q_M]]</f>
        <v>0.75633018836872667</v>
      </c>
      <c r="BG45">
        <v>1</v>
      </c>
      <c r="BH45">
        <v>-3.6999999999999998E-2</v>
      </c>
      <c r="BI45">
        <v>4.5999999999999999E-2</v>
      </c>
      <c r="BJ45">
        <v>5625</v>
      </c>
      <c r="BK45" s="22">
        <v>1</v>
      </c>
      <c r="BL45">
        <f>テーブル2[[#This Row],[Ts]]-テーブル2[[#This Row],[Tin]]</f>
        <v>75.772394947606017</v>
      </c>
      <c r="BM45">
        <f>テーブル2[[#This Row],[q_P]]*0.000001</f>
        <v>3.1712886981791288</v>
      </c>
      <c r="BN45">
        <f>テーブル2[[#This Row],[Tsub]]</f>
        <v>75.772394947606017</v>
      </c>
      <c r="BO45">
        <f>テーブル2[[#This Row],[Fcorr]]</f>
        <v>1</v>
      </c>
      <c r="BP45">
        <f>(テーブル2[[#This Row],[Tsub]]-40)^2</f>
        <v>1279.6642402875084</v>
      </c>
      <c r="BQ45">
        <v>1</v>
      </c>
      <c r="BR45">
        <v>0.30480000000000002</v>
      </c>
    </row>
    <row r="46" spans="1:70" x14ac:dyDescent="0.15">
      <c r="A46" s="9" t="s">
        <v>114</v>
      </c>
      <c r="B46">
        <v>13789520</v>
      </c>
      <c r="C46" s="22">
        <f t="array" ref="C46">TsatFromP(テーブル2[[#This Row],[P]])</f>
        <v>608.621106065763</v>
      </c>
      <c r="D46">
        <f t="array" ref="D46">RhoGFromP(テーブル2[[#This Row],[P]])</f>
        <v>85.147893581579396</v>
      </c>
      <c r="E46">
        <f t="array" ref="E46">RhoFFromP(テーブル2[[#This Row],[P]])</f>
        <v>624.86627494838649</v>
      </c>
      <c r="F46">
        <f t="array" ref="F46">HgFromP(テーブル2[[#This Row],[P]])</f>
        <v>2643264.389866509</v>
      </c>
      <c r="G46">
        <f t="array" ref="G46">HfFromP(テーブル2[[#This Row],[P]])</f>
        <v>1562686.9740257829</v>
      </c>
      <c r="H46">
        <f t="array" ref="H46">MuGFromP(テーブル2[[#This Row],[P]])</f>
        <v>2.2019594042733509E-5</v>
      </c>
      <c r="I46">
        <f t="array" ref="I46">MuFFromP(テーブル2[[#This Row],[P]])</f>
        <v>7.2223252690249831E-5</v>
      </c>
      <c r="J46">
        <f t="array" ref="J46">KfFromP(テーブル2[[#This Row],[P]])</f>
        <v>0.4911212487937569</v>
      </c>
      <c r="K46">
        <f t="array" ref="K46">CpFFromP(テーブル2[[#This Row],[P]])</f>
        <v>7679.7516396704104</v>
      </c>
      <c r="L46">
        <f t="array" ref="L46">SigmaFromP(テーブル2[[#This Row],[P]])</f>
        <v>6.5036382888884548E-3</v>
      </c>
      <c r="M46" s="23">
        <v>45</v>
      </c>
      <c r="N46">
        <v>2793.36</v>
      </c>
      <c r="O46" s="8">
        <v>1.753005194685703E-5</v>
      </c>
      <c r="P46" s="8">
        <v>1.484214033261962E-2</v>
      </c>
      <c r="Q46" s="8">
        <v>4.7244000000000001E-3</v>
      </c>
      <c r="R46">
        <v>0.30480000000000002</v>
      </c>
      <c r="S46" s="15">
        <v>3129604.55859375</v>
      </c>
      <c r="T46">
        <v>534.52714511009196</v>
      </c>
      <c r="U46" s="12">
        <f>+T46+BG46*S46*テーブル2[[#This Row],[Pw]]*R46/(N46*O46*K46)</f>
        <v>572.17529800959267</v>
      </c>
      <c r="V46">
        <v>0.03</v>
      </c>
      <c r="W46" s="8">
        <f t="shared" si="0"/>
        <v>182724.39266338383</v>
      </c>
      <c r="X46">
        <v>2.6791029954928849E-2</v>
      </c>
      <c r="Y46">
        <f t="shared" si="1"/>
        <v>6.1094947370234438</v>
      </c>
      <c r="Z46">
        <f t="shared" si="2"/>
        <v>6.1094947413837088</v>
      </c>
      <c r="AA46">
        <f t="shared" si="3"/>
        <v>-4.3602650379170882E-9</v>
      </c>
      <c r="AB46">
        <f t="shared" si="4"/>
        <v>1.8662570795930837E-5</v>
      </c>
      <c r="AC46">
        <v>669.31201695098412</v>
      </c>
      <c r="AD46">
        <f t="shared" si="5"/>
        <v>5287.0843949454547</v>
      </c>
      <c r="AE46">
        <f>+gettm2(AD46,AC46,AK46,AL46,テーブル2[[#This Row],[Fcorr]])</f>
        <v>572.17529870271278</v>
      </c>
      <c r="AF46" s="14">
        <f t="shared" si="6"/>
        <v>6.9312011419242481E-7</v>
      </c>
      <c r="AG46">
        <v>1.872649771301021E-5</v>
      </c>
      <c r="AH46">
        <f t="shared" si="7"/>
        <v>41.818279121372711</v>
      </c>
      <c r="AI46">
        <f t="shared" si="8"/>
        <v>0.25869589398715137</v>
      </c>
      <c r="AJ46">
        <f t="shared" si="9"/>
        <v>41.913713415645589</v>
      </c>
      <c r="AK46">
        <f t="array" ref="AK46">+S46*テーブル2[[#This Row],[F_form]]/(E46*CpFromTP((テーブル2[[#This Row],[Tin]]+テーブル2[[#This Row],[Tf]])/2,テーブル2[[#This Row],[P]])*AI46)</f>
        <v>3.8042171701234442</v>
      </c>
      <c r="AL46">
        <f t="shared" si="10"/>
        <v>1.1293680422758512</v>
      </c>
      <c r="AM46">
        <f t="shared" si="11"/>
        <v>608.62110606186241</v>
      </c>
      <c r="AN46">
        <f t="shared" si="12"/>
        <v>3.900595402228646E-9</v>
      </c>
      <c r="AO46">
        <f t="shared" si="13"/>
        <v>6.392691707937255E-8</v>
      </c>
      <c r="AP46">
        <v>3.416267137675467</v>
      </c>
      <c r="AQ46">
        <f t="shared" si="14"/>
        <v>4.6723850077671659E-5</v>
      </c>
      <c r="AR46">
        <f t="shared" si="15"/>
        <v>9.3952123150447913E-6</v>
      </c>
      <c r="AS46">
        <f t="shared" si="16"/>
        <v>21.028397433778967</v>
      </c>
      <c r="AT46">
        <f t="shared" si="17"/>
        <v>12.179368914981751</v>
      </c>
      <c r="AU46">
        <f t="shared" si="18"/>
        <v>3.150752729660526</v>
      </c>
      <c r="AV46">
        <f t="shared" si="19"/>
        <v>0.26551440801494097</v>
      </c>
      <c r="AW46">
        <f t="shared" si="20"/>
        <v>1.1220149975666368E-2</v>
      </c>
      <c r="AX46">
        <f t="shared" si="21"/>
        <v>0.2655143985106857</v>
      </c>
      <c r="AY46">
        <f t="shared" si="22"/>
        <v>9.5042552716861906E-9</v>
      </c>
      <c r="AZ46">
        <f t="shared" si="23"/>
        <v>1080577.4158407261</v>
      </c>
      <c r="BA46">
        <f t="shared" si="24"/>
        <v>1.3676872502852339E-5</v>
      </c>
      <c r="BB46" s="15">
        <f t="shared" si="25"/>
        <v>3156021.3654004303</v>
      </c>
      <c r="BC46" s="20">
        <f t="shared" si="26"/>
        <v>26416.806806680281</v>
      </c>
      <c r="BD46" s="19">
        <f t="shared" si="27"/>
        <v>0.84409408000576136</v>
      </c>
      <c r="BE46" s="15">
        <v>4126740</v>
      </c>
      <c r="BF46" s="16">
        <f>テーブル2[[#This Row],[q_P]]/テーブル2[[#This Row],[q_M]]</f>
        <v>0.76477349321751076</v>
      </c>
      <c r="BG46">
        <v>1</v>
      </c>
      <c r="BH46">
        <v>-3.6999999999999998E-2</v>
      </c>
      <c r="BI46">
        <v>4.5999999999999999E-2</v>
      </c>
      <c r="BJ46">
        <v>5625</v>
      </c>
      <c r="BK46" s="22">
        <v>1</v>
      </c>
      <c r="BL46">
        <f>テーブル2[[#This Row],[Ts]]-テーブル2[[#This Row],[Tin]]</f>
        <v>74.093960955671037</v>
      </c>
      <c r="BM46">
        <f>テーブル2[[#This Row],[q_P]]*0.000001</f>
        <v>3.1560213654004303</v>
      </c>
      <c r="BN46">
        <f>テーブル2[[#This Row],[Tsub]]</f>
        <v>74.093960955671037</v>
      </c>
      <c r="BO46">
        <f>テーブル2[[#This Row],[Fcorr]]</f>
        <v>1</v>
      </c>
      <c r="BP46">
        <f>(テーブル2[[#This Row],[Tsub]]-40)^2</f>
        <v>1162.3981736468211</v>
      </c>
      <c r="BQ46">
        <v>1</v>
      </c>
      <c r="BR46">
        <v>0.30480000000000002</v>
      </c>
    </row>
    <row r="47" spans="1:70" x14ac:dyDescent="0.15">
      <c r="A47" s="9" t="s">
        <v>115</v>
      </c>
      <c r="B47">
        <v>13789520</v>
      </c>
      <c r="C47" s="22">
        <f t="array" ref="C47">TsatFromP(テーブル2[[#This Row],[P]])</f>
        <v>608.621106065763</v>
      </c>
      <c r="D47">
        <f t="array" ref="D47">RhoGFromP(テーブル2[[#This Row],[P]])</f>
        <v>85.147893581579396</v>
      </c>
      <c r="E47">
        <f t="array" ref="E47">RhoFFromP(テーブル2[[#This Row],[P]])</f>
        <v>624.86627494838649</v>
      </c>
      <c r="F47">
        <f t="array" ref="F47">HgFromP(テーブル2[[#This Row],[P]])</f>
        <v>2643264.389866509</v>
      </c>
      <c r="G47">
        <f t="array" ref="G47">HfFromP(テーブル2[[#This Row],[P]])</f>
        <v>1562686.9740257829</v>
      </c>
      <c r="H47">
        <f t="array" ref="H47">MuGFromP(テーブル2[[#This Row],[P]])</f>
        <v>2.2019594042733509E-5</v>
      </c>
      <c r="I47">
        <f t="array" ref="I47">MuFFromP(テーブル2[[#This Row],[P]])</f>
        <v>7.2223252690249831E-5</v>
      </c>
      <c r="J47">
        <f t="array" ref="J47">KfFromP(テーブル2[[#This Row],[P]])</f>
        <v>0.4911212487937569</v>
      </c>
      <c r="K47">
        <f t="array" ref="K47">CpFFromP(テーブル2[[#This Row],[P]])</f>
        <v>7679.7516396704104</v>
      </c>
      <c r="L47">
        <f t="array" ref="L47">SigmaFromP(テーブル2[[#This Row],[P]])</f>
        <v>6.5036382888884548E-3</v>
      </c>
      <c r="M47">
        <v>46</v>
      </c>
      <c r="N47">
        <v>2793.36</v>
      </c>
      <c r="O47" s="8">
        <v>1.753005194685703E-5</v>
      </c>
      <c r="P47" s="8">
        <v>1.484214033261962E-2</v>
      </c>
      <c r="Q47" s="8">
        <v>4.7244000000000001E-3</v>
      </c>
      <c r="R47">
        <v>0.30480000000000002</v>
      </c>
      <c r="S47" s="15">
        <v>3194468.84765625</v>
      </c>
      <c r="T47">
        <v>532.84871111815698</v>
      </c>
      <c r="U47" s="12">
        <f>+T47+BG47*S47*テーブル2[[#This Row],[Pw]]*R47/(N47*O47*K47)</f>
        <v>571.27716089754199</v>
      </c>
      <c r="V47">
        <v>0.03</v>
      </c>
      <c r="W47" s="8">
        <f t="shared" si="0"/>
        <v>182724.39266338383</v>
      </c>
      <c r="X47">
        <v>2.6791029954928849E-2</v>
      </c>
      <c r="Y47">
        <f t="shared" si="1"/>
        <v>6.1094947370234438</v>
      </c>
      <c r="Z47">
        <f t="shared" si="2"/>
        <v>6.1094947413837088</v>
      </c>
      <c r="AA47">
        <f t="shared" si="3"/>
        <v>-4.3602650379170882E-9</v>
      </c>
      <c r="AB47">
        <f t="shared" si="4"/>
        <v>1.8662570795930837E-5</v>
      </c>
      <c r="AC47">
        <v>670.80915998037597</v>
      </c>
      <c r="AD47">
        <f t="shared" si="5"/>
        <v>5287.0843949454547</v>
      </c>
      <c r="AE47">
        <f>+gettm2(AD47,AC47,AK47,AL47,テーブル2[[#This Row],[Fcorr]])</f>
        <v>571.27716160563341</v>
      </c>
      <c r="AF47" s="14">
        <f t="shared" si="6"/>
        <v>7.080914201651467E-7</v>
      </c>
      <c r="AG47">
        <v>1.8727602180165032E-5</v>
      </c>
      <c r="AH47">
        <f t="shared" si="7"/>
        <v>41.818279121372711</v>
      </c>
      <c r="AI47">
        <f t="shared" si="8"/>
        <v>0.25869589398715137</v>
      </c>
      <c r="AJ47">
        <f t="shared" si="9"/>
        <v>41.916185437937941</v>
      </c>
      <c r="AK47">
        <f t="array" ref="AK47">+S47*テーブル2[[#This Row],[F_form]]/(E47*CpFromTP((テーブル2[[#This Row],[Tin]]+テーブル2[[#This Row],[Tf]])/2,テーブル2[[#This Row],[P]])*AI47)</f>
        <v>3.8980248048541877</v>
      </c>
      <c r="AL47">
        <f t="shared" si="10"/>
        <v>1.1293680422758512</v>
      </c>
      <c r="AM47">
        <f t="shared" si="11"/>
        <v>608.6211060617627</v>
      </c>
      <c r="AN47">
        <f t="shared" si="12"/>
        <v>4.0002987589105032E-9</v>
      </c>
      <c r="AO47">
        <f t="shared" si="13"/>
        <v>6.5031384234194166E-8</v>
      </c>
      <c r="AP47">
        <v>3.4164082208842328</v>
      </c>
      <c r="AQ47">
        <f t="shared" si="14"/>
        <v>4.6719991162601319E-5</v>
      </c>
      <c r="AR47">
        <f t="shared" si="15"/>
        <v>9.3963167821996129E-6</v>
      </c>
      <c r="AS47">
        <f t="shared" si="16"/>
        <v>21.030869456071315</v>
      </c>
      <c r="AT47">
        <f t="shared" si="17"/>
        <v>12.179956662338755</v>
      </c>
      <c r="AU47">
        <f t="shared" si="18"/>
        <v>3.1509047774884849</v>
      </c>
      <c r="AV47">
        <f t="shared" si="19"/>
        <v>0.26550344339574794</v>
      </c>
      <c r="AW47">
        <f t="shared" si="20"/>
        <v>1.1220149975666368E-2</v>
      </c>
      <c r="AX47">
        <f t="shared" si="21"/>
        <v>0.26550343388910264</v>
      </c>
      <c r="AY47">
        <f t="shared" si="22"/>
        <v>9.5066453043024524E-9</v>
      </c>
      <c r="AZ47">
        <f t="shared" si="23"/>
        <v>1080577.4158407261</v>
      </c>
      <c r="BA47">
        <f t="shared" si="24"/>
        <v>1.3675178181871158E-5</v>
      </c>
      <c r="BB47" s="15">
        <f t="shared" si="25"/>
        <v>3210945.814826115</v>
      </c>
      <c r="BC47" s="20">
        <f t="shared" si="26"/>
        <v>16476.967169865035</v>
      </c>
      <c r="BD47" s="19">
        <f t="shared" si="27"/>
        <v>0.51579677109557731</v>
      </c>
      <c r="BE47" s="15">
        <v>4164600</v>
      </c>
      <c r="BF47" s="16">
        <f>テーブル2[[#This Row],[q_P]]/テーブル2[[#This Row],[q_M]]</f>
        <v>0.7710094162287171</v>
      </c>
      <c r="BG47">
        <v>1</v>
      </c>
      <c r="BH47">
        <v>-3.9E-2</v>
      </c>
      <c r="BI47">
        <v>4.5999999999999999E-2</v>
      </c>
      <c r="BJ47">
        <v>5625</v>
      </c>
      <c r="BK47" s="22">
        <v>1</v>
      </c>
      <c r="BL47">
        <f>テーブル2[[#This Row],[Ts]]-テーブル2[[#This Row],[Tin]]</f>
        <v>75.772394947606017</v>
      </c>
      <c r="BM47">
        <f>テーブル2[[#This Row],[q_P]]*0.000001</f>
        <v>3.2109458148261147</v>
      </c>
      <c r="BN47">
        <f>テーブル2[[#This Row],[Tsub]]</f>
        <v>75.772394947606017</v>
      </c>
      <c r="BO47">
        <f>テーブル2[[#This Row],[Fcorr]]</f>
        <v>1</v>
      </c>
      <c r="BP47">
        <f>(テーブル2[[#This Row],[Tsub]]-40)^2</f>
        <v>1279.6642402875084</v>
      </c>
      <c r="BQ47">
        <v>1</v>
      </c>
      <c r="BR47">
        <v>0.30480000000000002</v>
      </c>
    </row>
    <row r="48" spans="1:70" x14ac:dyDescent="0.15">
      <c r="A48" s="9" t="s">
        <v>116</v>
      </c>
      <c r="B48">
        <v>13789520</v>
      </c>
      <c r="C48" s="22">
        <f t="array" ref="C48">TsatFromP(テーブル2[[#This Row],[P]])</f>
        <v>608.621106065763</v>
      </c>
      <c r="D48">
        <f t="array" ref="D48">RhoGFromP(テーブル2[[#This Row],[P]])</f>
        <v>85.147893581579396</v>
      </c>
      <c r="E48">
        <f t="array" ref="E48">RhoFFromP(テーブル2[[#This Row],[P]])</f>
        <v>624.86627494838649</v>
      </c>
      <c r="F48">
        <f t="array" ref="F48">HgFromP(テーブル2[[#This Row],[P]])</f>
        <v>2643264.389866509</v>
      </c>
      <c r="G48">
        <f t="array" ref="G48">HfFromP(テーブル2[[#This Row],[P]])</f>
        <v>1562686.9740257829</v>
      </c>
      <c r="H48">
        <f t="array" ref="H48">MuGFromP(テーブル2[[#This Row],[P]])</f>
        <v>2.2019594042733509E-5</v>
      </c>
      <c r="I48">
        <f t="array" ref="I48">MuFFromP(テーブル2[[#This Row],[P]])</f>
        <v>7.2223252690249831E-5</v>
      </c>
      <c r="J48">
        <f t="array" ref="J48">KfFromP(テーブル2[[#This Row],[P]])</f>
        <v>0.4911212487937569</v>
      </c>
      <c r="K48">
        <f t="array" ref="K48">CpFFromP(テーブル2[[#This Row],[P]])</f>
        <v>7679.7516396704104</v>
      </c>
      <c r="L48">
        <f t="array" ref="L48">SigmaFromP(テーブル2[[#This Row],[P]])</f>
        <v>6.5036382888884548E-3</v>
      </c>
      <c r="M48" s="23">
        <v>47</v>
      </c>
      <c r="N48">
        <v>2797.4279999999999</v>
      </c>
      <c r="O48" s="8">
        <v>1.753005194685703E-5</v>
      </c>
      <c r="P48" s="8">
        <v>1.484214033261962E-2</v>
      </c>
      <c r="Q48" s="8">
        <v>4.7244000000000001E-3</v>
      </c>
      <c r="R48">
        <v>0.30480000000000002</v>
      </c>
      <c r="S48" s="15">
        <v>3260827.3592812498</v>
      </c>
      <c r="T48">
        <v>531.212292416884</v>
      </c>
      <c r="U48" s="12">
        <f>+T48+BG48*S48*テーブル2[[#This Row],[Pw]]*R48/(N48*O48*K48)</f>
        <v>570.38197087987282</v>
      </c>
      <c r="V48">
        <v>0.03</v>
      </c>
      <c r="W48" s="8">
        <f t="shared" si="0"/>
        <v>182990.49614784503</v>
      </c>
      <c r="X48">
        <v>2.6774422788588031E-2</v>
      </c>
      <c r="Y48">
        <f t="shared" si="1"/>
        <v>6.1113891880796576</v>
      </c>
      <c r="Z48">
        <f t="shared" si="2"/>
        <v>6.1113891921477066</v>
      </c>
      <c r="AA48">
        <f t="shared" si="3"/>
        <v>-4.0680490087652288E-9</v>
      </c>
      <c r="AB48">
        <f t="shared" si="4"/>
        <v>1.8619874352375474E-5</v>
      </c>
      <c r="AC48">
        <v>672.25132062481987</v>
      </c>
      <c r="AD48">
        <f t="shared" si="5"/>
        <v>5293.1427183207506</v>
      </c>
      <c r="AE48">
        <f>+gettm2(AD48,AC48,AK48,AL48,テーブル2[[#This Row],[Fcorr]])</f>
        <v>570.38197160238599</v>
      </c>
      <c r="AF48" s="14">
        <f t="shared" si="6"/>
        <v>7.225131639643223E-7</v>
      </c>
      <c r="AG48">
        <v>1.8685445573508511E-5</v>
      </c>
      <c r="AH48">
        <f t="shared" si="7"/>
        <v>41.91417084224571</v>
      </c>
      <c r="AI48">
        <f t="shared" si="8"/>
        <v>0.25899232643735659</v>
      </c>
      <c r="AJ48">
        <f t="shared" si="9"/>
        <v>41.86975284734369</v>
      </c>
      <c r="AK48">
        <f t="array" ref="AK48">+S48*テーブル2[[#This Row],[F_form]]/(E48*CpFromTP((テーブル2[[#This Row],[Tin]]+テーブル2[[#This Row],[Tf]])/2,テーブル2[[#This Row],[P]])*AI48)</f>
        <v>3.9891140779874368</v>
      </c>
      <c r="AL48">
        <f t="shared" si="10"/>
        <v>1.1293680422758512</v>
      </c>
      <c r="AM48">
        <f t="shared" si="11"/>
        <v>608.62110606193198</v>
      </c>
      <c r="AN48">
        <f t="shared" si="12"/>
        <v>3.831019057543017E-9</v>
      </c>
      <c r="AO48">
        <f t="shared" si="13"/>
        <v>6.5571221133037066E-8</v>
      </c>
      <c r="AP48">
        <v>3.418752802695344</v>
      </c>
      <c r="AQ48">
        <f t="shared" si="14"/>
        <v>4.6655931965035594E-5</v>
      </c>
      <c r="AR48">
        <f t="shared" si="15"/>
        <v>9.3755083973207741E-6</v>
      </c>
      <c r="AS48">
        <f t="shared" si="16"/>
        <v>21.008341378305605</v>
      </c>
      <c r="AT48">
        <f t="shared" si="17"/>
        <v>12.174597836738785</v>
      </c>
      <c r="AU48">
        <f t="shared" si="18"/>
        <v>3.1531274171761869</v>
      </c>
      <c r="AV48">
        <f t="shared" si="19"/>
        <v>0.26562538551915704</v>
      </c>
      <c r="AW48">
        <f t="shared" si="20"/>
        <v>1.1194480387839637E-2</v>
      </c>
      <c r="AX48">
        <f t="shared" si="21"/>
        <v>0.26562537592395391</v>
      </c>
      <c r="AY48">
        <f t="shared" si="22"/>
        <v>9.5952031320400977E-9</v>
      </c>
      <c r="AZ48">
        <f t="shared" si="23"/>
        <v>1080577.4158407261</v>
      </c>
      <c r="BA48">
        <f t="shared" si="24"/>
        <v>1.3647062147415884E-5</v>
      </c>
      <c r="BB48" s="15">
        <f t="shared" si="25"/>
        <v>3244270.6269635181</v>
      </c>
      <c r="BC48" s="20">
        <f t="shared" si="26"/>
        <v>-16556.732317731716</v>
      </c>
      <c r="BD48" s="19">
        <f t="shared" si="27"/>
        <v>-0.50774636291634723</v>
      </c>
      <c r="BE48" s="15">
        <v>4312885</v>
      </c>
      <c r="BF48" s="16">
        <f>テーブル2[[#This Row],[q_P]]/テーブル2[[#This Row],[q_M]]</f>
        <v>0.75222748275539875</v>
      </c>
      <c r="BG48">
        <v>1</v>
      </c>
      <c r="BH48">
        <v>-3.5999999999999997E-2</v>
      </c>
      <c r="BI48">
        <v>4.5999999999999999E-2</v>
      </c>
      <c r="BJ48">
        <v>5625</v>
      </c>
      <c r="BK48" s="22">
        <v>1</v>
      </c>
      <c r="BL48">
        <f>テーブル2[[#This Row],[Ts]]-テーブル2[[#This Row],[Tin]]</f>
        <v>77.408813648879004</v>
      </c>
      <c r="BM48">
        <f>テーブル2[[#This Row],[q_P]]*0.000001</f>
        <v>3.2442706269635178</v>
      </c>
      <c r="BN48">
        <f>テーブル2[[#This Row],[Tsub]]</f>
        <v>77.408813648879004</v>
      </c>
      <c r="BO48">
        <f>テーブル2[[#This Row],[Fcorr]]</f>
        <v>1</v>
      </c>
      <c r="BP48">
        <f>(テーブル2[[#This Row],[Tsub]]-40)^2</f>
        <v>1399.4193386165562</v>
      </c>
      <c r="BQ48">
        <v>1</v>
      </c>
      <c r="BR48">
        <v>0.30480000000000002</v>
      </c>
    </row>
    <row r="49" spans="1:70" x14ac:dyDescent="0.15">
      <c r="A49" s="9" t="s">
        <v>117</v>
      </c>
      <c r="B49">
        <v>13789520</v>
      </c>
      <c r="C49" s="22">
        <f t="array" ref="C49">TsatFromP(テーブル2[[#This Row],[P]])</f>
        <v>608.621106065763</v>
      </c>
      <c r="D49">
        <f t="array" ref="D49">RhoGFromP(テーブル2[[#This Row],[P]])</f>
        <v>85.147893581579396</v>
      </c>
      <c r="E49">
        <f t="array" ref="E49">RhoFFromP(テーブル2[[#This Row],[P]])</f>
        <v>624.86627494838649</v>
      </c>
      <c r="F49">
        <f t="array" ref="F49">HgFromP(テーブル2[[#This Row],[P]])</f>
        <v>2643264.389866509</v>
      </c>
      <c r="G49">
        <f t="array" ref="G49">HfFromP(テーブル2[[#This Row],[P]])</f>
        <v>1562686.9740257829</v>
      </c>
      <c r="H49">
        <f t="array" ref="H49">MuGFromP(テーブル2[[#This Row],[P]])</f>
        <v>2.2019594042733509E-5</v>
      </c>
      <c r="I49">
        <f t="array" ref="I49">MuFFromP(テーブル2[[#This Row],[P]])</f>
        <v>7.2223252690249831E-5</v>
      </c>
      <c r="J49">
        <f t="array" ref="J49">KfFromP(テーブル2[[#This Row],[P]])</f>
        <v>0.4911212487937569</v>
      </c>
      <c r="K49">
        <f t="array" ref="K49">CpFFromP(テーブル2[[#This Row],[P]])</f>
        <v>7679.7516396704104</v>
      </c>
      <c r="L49">
        <f t="array" ref="L49">SigmaFromP(テーブル2[[#This Row],[P]])</f>
        <v>6.5036382888884548E-3</v>
      </c>
      <c r="M49">
        <v>48</v>
      </c>
      <c r="N49">
        <v>2797.4279999999999</v>
      </c>
      <c r="O49" s="8">
        <v>1.753005194685703E-5</v>
      </c>
      <c r="P49" s="8">
        <v>1.484214033261962E-2</v>
      </c>
      <c r="Q49" s="8">
        <v>4.7244000000000001E-3</v>
      </c>
      <c r="R49">
        <v>0.30480000000000002</v>
      </c>
      <c r="S49" s="15">
        <v>3197649.12109375</v>
      </c>
      <c r="T49">
        <v>532.84871111815698</v>
      </c>
      <c r="U49" s="12">
        <f>+T49+BG49*S49*テーブル2[[#This Row],[Pw]]*R49/(N49*O49*K49)</f>
        <v>571.25948056726656</v>
      </c>
      <c r="V49">
        <v>0.03</v>
      </c>
      <c r="W49" s="8">
        <f t="shared" si="0"/>
        <v>182990.49614784503</v>
      </c>
      <c r="X49">
        <v>2.6774422788588031E-2</v>
      </c>
      <c r="Y49">
        <f t="shared" si="1"/>
        <v>6.1113891880796576</v>
      </c>
      <c r="Z49">
        <f t="shared" si="2"/>
        <v>6.1113891921477066</v>
      </c>
      <c r="AA49">
        <f t="shared" si="3"/>
        <v>-4.0680490087652288E-9</v>
      </c>
      <c r="AB49">
        <f t="shared" si="4"/>
        <v>1.8619874352375474E-5</v>
      </c>
      <c r="AC49">
        <v>670.79036822069588</v>
      </c>
      <c r="AD49">
        <f t="shared" si="5"/>
        <v>5293.1427183207506</v>
      </c>
      <c r="AE49">
        <f>+gettm2(AD49,AC49,AK49,AL49,テーブル2[[#This Row],[Fcorr]])</f>
        <v>571.25948056726645</v>
      </c>
      <c r="AF49" s="14">
        <f t="shared" si="6"/>
        <v>0</v>
      </c>
      <c r="AG49">
        <v>1.8684890784234128E-5</v>
      </c>
      <c r="AH49">
        <f t="shared" si="7"/>
        <v>41.91417084224571</v>
      </c>
      <c r="AI49">
        <f t="shared" si="8"/>
        <v>0.25899232643735659</v>
      </c>
      <c r="AJ49">
        <f t="shared" si="9"/>
        <v>41.868509693162046</v>
      </c>
      <c r="AK49">
        <f t="array" ref="AK49">+S49*テーブル2[[#This Row],[F_form]]/(E49*CpFromTP((テーブル2[[#This Row],[Tin]]+テーブル2[[#This Row],[Tf]])/2,テーブル2[[#This Row],[P]])*AI49)</f>
        <v>3.8975419882721014</v>
      </c>
      <c r="AL49">
        <f t="shared" si="10"/>
        <v>1.1293680422758512</v>
      </c>
      <c r="AM49">
        <f t="shared" si="11"/>
        <v>608.62110606202475</v>
      </c>
      <c r="AN49">
        <f t="shared" si="12"/>
        <v>3.7382505979621783E-9</v>
      </c>
      <c r="AO49">
        <f t="shared" si="13"/>
        <v>6.5016431858654457E-8</v>
      </c>
      <c r="AP49">
        <v>3.418681696763231</v>
      </c>
      <c r="AQ49">
        <f t="shared" si="14"/>
        <v>4.6657872799735105E-5</v>
      </c>
      <c r="AR49">
        <f t="shared" si="15"/>
        <v>9.3749536080463914E-6</v>
      </c>
      <c r="AS49">
        <f t="shared" si="16"/>
        <v>21.007098224123954</v>
      </c>
      <c r="AT49">
        <f t="shared" si="17"/>
        <v>12.17430195641627</v>
      </c>
      <c r="AU49">
        <f t="shared" si="18"/>
        <v>3.1530507864431119</v>
      </c>
      <c r="AV49">
        <f t="shared" si="19"/>
        <v>0.2656309103201191</v>
      </c>
      <c r="AW49">
        <f t="shared" si="20"/>
        <v>1.1194480387839637E-2</v>
      </c>
      <c r="AX49">
        <f t="shared" si="21"/>
        <v>0.26563090072609208</v>
      </c>
      <c r="AY49">
        <f t="shared" si="22"/>
        <v>9.594027017278961E-9</v>
      </c>
      <c r="AZ49">
        <f t="shared" si="23"/>
        <v>1080577.4158407261</v>
      </c>
      <c r="BA49">
        <f t="shared" si="24"/>
        <v>1.3647913710103591E-5</v>
      </c>
      <c r="BB49" s="15">
        <f t="shared" si="25"/>
        <v>3216620.5761271496</v>
      </c>
      <c r="BC49" s="20">
        <f t="shared" si="26"/>
        <v>18971.45503339963</v>
      </c>
      <c r="BD49" s="19">
        <f t="shared" si="27"/>
        <v>0.59329383290529636</v>
      </c>
      <c r="BE49" s="15">
        <v>4259250</v>
      </c>
      <c r="BF49" s="16">
        <f>テーブル2[[#This Row],[q_P]]/テーブル2[[#This Row],[q_M]]</f>
        <v>0.75520821180422604</v>
      </c>
      <c r="BG49">
        <v>1</v>
      </c>
      <c r="BH49">
        <v>-3.3000000000000002E-2</v>
      </c>
      <c r="BI49">
        <v>4.5999999999999999E-2</v>
      </c>
      <c r="BJ49">
        <v>5625</v>
      </c>
      <c r="BK49" s="22">
        <v>1</v>
      </c>
      <c r="BL49">
        <f>テーブル2[[#This Row],[Ts]]-テーブル2[[#This Row],[Tin]]</f>
        <v>75.772394947606017</v>
      </c>
      <c r="BM49">
        <f>テーブル2[[#This Row],[q_P]]*0.000001</f>
        <v>3.2166205761271494</v>
      </c>
      <c r="BN49">
        <f>テーブル2[[#This Row],[Tsub]]</f>
        <v>75.772394947606017</v>
      </c>
      <c r="BO49">
        <f>テーブル2[[#This Row],[Fcorr]]</f>
        <v>1</v>
      </c>
      <c r="BP49">
        <f>(テーブル2[[#This Row],[Tsub]]-40)^2</f>
        <v>1279.6642402875084</v>
      </c>
      <c r="BQ49">
        <v>1</v>
      </c>
      <c r="BR49">
        <v>0.30480000000000002</v>
      </c>
    </row>
    <row r="50" spans="1:70" x14ac:dyDescent="0.15">
      <c r="A50" s="9" t="s">
        <v>118</v>
      </c>
      <c r="B50">
        <v>13789520</v>
      </c>
      <c r="C50" s="22">
        <f t="array" ref="C50">TsatFromP(テーブル2[[#This Row],[P]])</f>
        <v>608.621106065763</v>
      </c>
      <c r="D50">
        <f t="array" ref="D50">RhoGFromP(テーブル2[[#This Row],[P]])</f>
        <v>85.147893581579396</v>
      </c>
      <c r="E50">
        <f t="array" ref="E50">RhoFFromP(テーブル2[[#This Row],[P]])</f>
        <v>624.86627494838649</v>
      </c>
      <c r="F50">
        <f t="array" ref="F50">HgFromP(テーブル2[[#This Row],[P]])</f>
        <v>2643264.389866509</v>
      </c>
      <c r="G50">
        <f t="array" ref="G50">HfFromP(テーブル2[[#This Row],[P]])</f>
        <v>1562686.9740257829</v>
      </c>
      <c r="H50">
        <f t="array" ref="H50">MuGFromP(テーブル2[[#This Row],[P]])</f>
        <v>2.2019594042733509E-5</v>
      </c>
      <c r="I50">
        <f t="array" ref="I50">MuFFromP(テーブル2[[#This Row],[P]])</f>
        <v>7.2223252690249831E-5</v>
      </c>
      <c r="J50">
        <f t="array" ref="J50">KfFromP(テーブル2[[#This Row],[P]])</f>
        <v>0.4911212487937569</v>
      </c>
      <c r="K50">
        <f t="array" ref="K50">CpFFromP(テーブル2[[#This Row],[P]])</f>
        <v>7679.7516396704104</v>
      </c>
      <c r="L50">
        <f t="array" ref="L50">SigmaFromP(テーブル2[[#This Row],[P]])</f>
        <v>6.5036382888884548E-3</v>
      </c>
      <c r="M50" s="23">
        <v>49</v>
      </c>
      <c r="N50">
        <v>2820.48</v>
      </c>
      <c r="O50" s="8">
        <v>1.753005194685703E-5</v>
      </c>
      <c r="P50" s="8">
        <v>1.484214033261962E-2</v>
      </c>
      <c r="Q50" s="8">
        <v>4.7244000000000001E-3</v>
      </c>
      <c r="R50">
        <v>0.30480000000000002</v>
      </c>
      <c r="S50" s="15">
        <v>3252995.5644062501</v>
      </c>
      <c r="T50">
        <v>531.88681381594404</v>
      </c>
      <c r="U50" s="12">
        <f>+T50+BG50*S50*テーブル2[[#This Row],[Pw]]*R50/(N50*O50*K50)</f>
        <v>570.64304737276007</v>
      </c>
      <c r="V50">
        <v>0.03</v>
      </c>
      <c r="W50" s="8">
        <f t="shared" si="0"/>
        <v>184498.41589312538</v>
      </c>
      <c r="X50">
        <v>2.6681050006293078E-2</v>
      </c>
      <c r="Y50">
        <f t="shared" si="1"/>
        <v>6.122073532103383</v>
      </c>
      <c r="Z50">
        <f t="shared" si="2"/>
        <v>6.1220735346897976</v>
      </c>
      <c r="AA50">
        <f t="shared" si="3"/>
        <v>-2.5864146380172315E-9</v>
      </c>
      <c r="AB50">
        <f t="shared" si="4"/>
        <v>1.8380855977977677E-5</v>
      </c>
      <c r="AC50">
        <v>671.54082908773955</v>
      </c>
      <c r="AD50">
        <f t="shared" si="5"/>
        <v>5327.4466695021138</v>
      </c>
      <c r="AE50">
        <f>+gettm2(AD50,AC50,AK50,AL50,テーブル2[[#This Row],[Fcorr]])</f>
        <v>570.64304737276007</v>
      </c>
      <c r="AF50" s="14">
        <f t="shared" si="6"/>
        <v>0</v>
      </c>
      <c r="AG50">
        <v>1.8445927182149329E-5</v>
      </c>
      <c r="AH50">
        <f t="shared" si="7"/>
        <v>42.459208406924304</v>
      </c>
      <c r="AI50">
        <f t="shared" si="8"/>
        <v>0.26067081133664027</v>
      </c>
      <c r="AJ50">
        <f t="shared" si="9"/>
        <v>41.600920045897873</v>
      </c>
      <c r="AK50">
        <f t="array" ref="AK50">+S50*テーブル2[[#This Row],[F_form]]/(E50*CpFromTP((テーブル2[[#This Row],[Tin]]+テーブル2[[#This Row],[Tf]])/2,テーブル2[[#This Row],[P]])*AI50)</f>
        <v>3.9485581617130681</v>
      </c>
      <c r="AL50">
        <f t="shared" si="10"/>
        <v>1.1293680422758512</v>
      </c>
      <c r="AM50">
        <f t="shared" si="11"/>
        <v>608.62110602400696</v>
      </c>
      <c r="AN50">
        <f t="shared" si="12"/>
        <v>4.1756038626772352E-8</v>
      </c>
      <c r="AO50">
        <f t="shared" si="13"/>
        <v>6.5071204171651822E-8</v>
      </c>
      <c r="AP50">
        <v>3.4315413722966439</v>
      </c>
      <c r="AQ50">
        <f t="shared" si="14"/>
        <v>4.6308827992754375E-5</v>
      </c>
      <c r="AR50">
        <f t="shared" si="15"/>
        <v>9.2554991931604904E-6</v>
      </c>
      <c r="AS50">
        <f t="shared" si="16"/>
        <v>20.873837249675034</v>
      </c>
      <c r="AT50">
        <f t="shared" si="17"/>
        <v>12.142482842856063</v>
      </c>
      <c r="AU50">
        <f t="shared" si="18"/>
        <v>3.1651908542885243</v>
      </c>
      <c r="AV50">
        <f t="shared" si="19"/>
        <v>0.2663505180081196</v>
      </c>
      <c r="AW50">
        <f t="shared" si="20"/>
        <v>1.1050779820698693E-2</v>
      </c>
      <c r="AX50">
        <f t="shared" si="21"/>
        <v>0.26635050794193182</v>
      </c>
      <c r="AY50">
        <f t="shared" si="22"/>
        <v>1.0066187772217461E-8</v>
      </c>
      <c r="AZ50">
        <f t="shared" si="23"/>
        <v>1080577.4158407261</v>
      </c>
      <c r="BA50">
        <f t="shared" si="24"/>
        <v>1.349505163091216E-5</v>
      </c>
      <c r="BB50" s="15">
        <f t="shared" si="25"/>
        <v>3255796.6005586241</v>
      </c>
      <c r="BC50" s="20">
        <f t="shared" si="26"/>
        <v>2801.0361523739994</v>
      </c>
      <c r="BD50" s="19">
        <f t="shared" si="27"/>
        <v>8.610636248700991E-2</v>
      </c>
      <c r="BE50" s="15">
        <v>4284490</v>
      </c>
      <c r="BF50" s="16">
        <f>テーブル2[[#This Row],[q_P]]/テーブル2[[#This Row],[q_M]]</f>
        <v>0.75990295240708328</v>
      </c>
      <c r="BG50">
        <v>1</v>
      </c>
      <c r="BH50">
        <v>-3.9E-2</v>
      </c>
      <c r="BI50">
        <v>4.5999999999999999E-2</v>
      </c>
      <c r="BJ50">
        <v>5625</v>
      </c>
      <c r="BK50" s="22">
        <v>1</v>
      </c>
      <c r="BL50">
        <f>テーブル2[[#This Row],[Ts]]-テーブル2[[#This Row],[Tin]]</f>
        <v>76.734292249818964</v>
      </c>
      <c r="BM50">
        <f>テーブル2[[#This Row],[q_P]]*0.000001</f>
        <v>3.2557966005586239</v>
      </c>
      <c r="BN50">
        <f>テーブル2[[#This Row],[Tsub]]</f>
        <v>76.734292249818964</v>
      </c>
      <c r="BO50">
        <f>テーブル2[[#This Row],[Fcorr]]</f>
        <v>1</v>
      </c>
      <c r="BP50">
        <f>(テーブル2[[#This Row],[Tsub]]-40)^2</f>
        <v>1349.4082270951096</v>
      </c>
      <c r="BQ50">
        <v>1</v>
      </c>
      <c r="BR50">
        <v>0.30480000000000002</v>
      </c>
    </row>
    <row r="51" spans="1:70" x14ac:dyDescent="0.15">
      <c r="A51" s="9" t="s">
        <v>119</v>
      </c>
      <c r="B51">
        <v>13789520</v>
      </c>
      <c r="C51" s="22">
        <f t="array" ref="C51">TsatFromP(テーブル2[[#This Row],[P]])</f>
        <v>608.621106065763</v>
      </c>
      <c r="D51">
        <f t="array" ref="D51">RhoGFromP(テーブル2[[#This Row],[P]])</f>
        <v>85.147893581579396</v>
      </c>
      <c r="E51">
        <f t="array" ref="E51">RhoFFromP(テーブル2[[#This Row],[P]])</f>
        <v>624.86627494838649</v>
      </c>
      <c r="F51">
        <f t="array" ref="F51">HgFromP(テーブル2[[#This Row],[P]])</f>
        <v>2643264.389866509</v>
      </c>
      <c r="G51">
        <f t="array" ref="G51">HfFromP(テーブル2[[#This Row],[P]])</f>
        <v>1562686.9740257829</v>
      </c>
      <c r="H51">
        <f t="array" ref="H51">MuGFromP(テーブル2[[#This Row],[P]])</f>
        <v>2.2019594042733509E-5</v>
      </c>
      <c r="I51">
        <f t="array" ref="I51">MuFFromP(テーブル2[[#This Row],[P]])</f>
        <v>7.2223252690249831E-5</v>
      </c>
      <c r="J51">
        <f t="array" ref="J51">KfFromP(テーブル2[[#This Row],[P]])</f>
        <v>0.4911212487937569</v>
      </c>
      <c r="K51">
        <f t="array" ref="K51">CpFFromP(テーブル2[[#This Row],[P]])</f>
        <v>7679.7516396704104</v>
      </c>
      <c r="L51">
        <f t="array" ref="L51">SigmaFromP(テーブル2[[#This Row],[P]])</f>
        <v>6.5036382888884548E-3</v>
      </c>
      <c r="M51">
        <v>50</v>
      </c>
      <c r="N51">
        <v>2834.04</v>
      </c>
      <c r="O51" s="8">
        <v>1.753005194685703E-5</v>
      </c>
      <c r="P51" s="8">
        <v>1.484214033261962E-2</v>
      </c>
      <c r="Q51" s="8">
        <v>4.7244000000000001E-3</v>
      </c>
      <c r="R51">
        <v>0.30480000000000002</v>
      </c>
      <c r="S51" s="15">
        <v>3312442.9851562502</v>
      </c>
      <c r="T51">
        <v>530.63335550763395</v>
      </c>
      <c r="U51" s="12">
        <f>+T51+BG51*S51*テーブル2[[#This Row],[Pw]]*R51/(N51*O51*K51)</f>
        <v>569.90902113120819</v>
      </c>
      <c r="V51">
        <v>0.03</v>
      </c>
      <c r="W51" s="8">
        <f t="shared" si="0"/>
        <v>185385.42750799618</v>
      </c>
      <c r="X51">
        <v>2.6626700645849221E-2</v>
      </c>
      <c r="Y51">
        <f t="shared" si="1"/>
        <v>6.1283184133100876</v>
      </c>
      <c r="Z51">
        <f t="shared" si="2"/>
        <v>6.1283184151948129</v>
      </c>
      <c r="AA51">
        <f t="shared" si="3"/>
        <v>-1.8847252647447021E-9</v>
      </c>
      <c r="AB51">
        <f t="shared" si="4"/>
        <v>1.8242543520100491E-5</v>
      </c>
      <c r="AC51">
        <v>672.59475334738931</v>
      </c>
      <c r="AD51">
        <f t="shared" si="5"/>
        <v>5347.6045173894245</v>
      </c>
      <c r="AE51">
        <f>+gettm2(AD51,AC51,AK51,AL51,テーブル2[[#This Row],[Fcorr]])</f>
        <v>569.90902185715561</v>
      </c>
      <c r="AF51" s="14">
        <f t="shared" si="6"/>
        <v>7.2594741595821688E-7</v>
      </c>
      <c r="AG51">
        <v>1.830833352154118E-5</v>
      </c>
      <c r="AH51">
        <f t="shared" si="7"/>
        <v>42.781128289851303</v>
      </c>
      <c r="AI51">
        <f t="shared" si="8"/>
        <v>0.26165713046652783</v>
      </c>
      <c r="AJ51">
        <f t="shared" si="9"/>
        <v>41.446840676346554</v>
      </c>
      <c r="AK51">
        <f t="array" ref="AK51">+S51*テーブル2[[#This Row],[F_form]]/(E51*CpFromTP((テーブル2[[#This Row],[Tin]]+テーブル2[[#This Row],[Tf]])/2,テーブル2[[#This Row],[P]])*AI51)</f>
        <v>4.0170362337640801</v>
      </c>
      <c r="AL51">
        <f t="shared" si="10"/>
        <v>1.1293680422758512</v>
      </c>
      <c r="AM51">
        <f t="shared" si="11"/>
        <v>608.62110605263615</v>
      </c>
      <c r="AN51">
        <f t="shared" si="12"/>
        <v>1.3126850717526395E-8</v>
      </c>
      <c r="AO51">
        <f t="shared" si="13"/>
        <v>6.5790001440689126E-8</v>
      </c>
      <c r="AP51">
        <v>3.439164142795204</v>
      </c>
      <c r="AQ51">
        <f t="shared" si="14"/>
        <v>4.6103772144158659E-5</v>
      </c>
      <c r="AR51">
        <f t="shared" si="15"/>
        <v>9.1870617614909346E-6</v>
      </c>
      <c r="AS51">
        <f t="shared" si="16"/>
        <v>20.797888822828114</v>
      </c>
      <c r="AT51">
        <f t="shared" si="17"/>
        <v>12.124257413267078</v>
      </c>
      <c r="AU51">
        <f t="shared" si="18"/>
        <v>3.1723984037929909</v>
      </c>
      <c r="AV51">
        <f t="shared" si="19"/>
        <v>0.26676573900221312</v>
      </c>
      <c r="AW51">
        <f t="shared" si="20"/>
        <v>1.0967624796781868E-2</v>
      </c>
      <c r="AX51">
        <f t="shared" si="21"/>
        <v>0.2667657286787396</v>
      </c>
      <c r="AY51">
        <f t="shared" si="22"/>
        <v>1.0323473520479354E-8</v>
      </c>
      <c r="AZ51">
        <f t="shared" si="23"/>
        <v>1080577.4158407261</v>
      </c>
      <c r="BA51">
        <f t="shared" si="24"/>
        <v>1.3405516640065776E-5</v>
      </c>
      <c r="BB51" s="15">
        <f t="shared" si="25"/>
        <v>3313746.7290742234</v>
      </c>
      <c r="BC51" s="20">
        <f t="shared" si="26"/>
        <v>1303.7439179732464</v>
      </c>
      <c r="BD51" s="19">
        <f t="shared" si="27"/>
        <v>3.9358984405636434E-2</v>
      </c>
      <c r="BE51" s="15">
        <v>4290800</v>
      </c>
      <c r="BF51" s="16">
        <f>テーブル2[[#This Row],[q_P]]/テーブル2[[#This Row],[q_M]]</f>
        <v>0.77229111799063654</v>
      </c>
      <c r="BG51">
        <v>1</v>
      </c>
      <c r="BH51">
        <v>-4.4999999999999998E-2</v>
      </c>
      <c r="BI51">
        <v>4.5999999999999999E-2</v>
      </c>
      <c r="BJ51">
        <v>5625</v>
      </c>
      <c r="BK51" s="22">
        <v>1</v>
      </c>
      <c r="BL51">
        <f>テーブル2[[#This Row],[Ts]]-テーブル2[[#This Row],[Tin]]</f>
        <v>77.987750558129051</v>
      </c>
      <c r="BM51">
        <f>テーブル2[[#This Row],[q_P]]*0.000001</f>
        <v>3.3137467290742233</v>
      </c>
      <c r="BN51">
        <f>テーブル2[[#This Row],[Tsub]]</f>
        <v>77.987750558129051</v>
      </c>
      <c r="BO51">
        <f>テーブル2[[#This Row],[Fcorr]]</f>
        <v>1</v>
      </c>
      <c r="BP51">
        <f>(テーブル2[[#This Row],[Tsub]]-40)^2</f>
        <v>1443.0691924666339</v>
      </c>
      <c r="BQ51">
        <v>1</v>
      </c>
      <c r="BR51">
        <v>0.30480000000000002</v>
      </c>
    </row>
    <row r="52" spans="1:70" x14ac:dyDescent="0.15">
      <c r="A52" s="9" t="s">
        <v>120</v>
      </c>
      <c r="B52">
        <v>13789520</v>
      </c>
      <c r="C52" s="22">
        <f t="array" ref="C52">TsatFromP(テーブル2[[#This Row],[P]])</f>
        <v>608.621106065763</v>
      </c>
      <c r="D52">
        <f t="array" ref="D52">RhoGFromP(テーブル2[[#This Row],[P]])</f>
        <v>85.147893581579396</v>
      </c>
      <c r="E52">
        <f t="array" ref="E52">RhoFFromP(テーブル2[[#This Row],[P]])</f>
        <v>624.86627494838649</v>
      </c>
      <c r="F52">
        <f t="array" ref="F52">HgFromP(テーブル2[[#This Row],[P]])</f>
        <v>2643264.389866509</v>
      </c>
      <c r="G52">
        <f t="array" ref="G52">HfFromP(テーブル2[[#This Row],[P]])</f>
        <v>1562686.9740257829</v>
      </c>
      <c r="H52">
        <f t="array" ref="H52">MuGFromP(テーブル2[[#This Row],[P]])</f>
        <v>2.2019594042733509E-5</v>
      </c>
      <c r="I52">
        <f t="array" ref="I52">MuFFromP(テーブル2[[#This Row],[P]])</f>
        <v>7.2223252690249831E-5</v>
      </c>
      <c r="J52">
        <f t="array" ref="J52">KfFromP(テーブル2[[#This Row],[P]])</f>
        <v>0.4911212487937569</v>
      </c>
      <c r="K52">
        <f t="array" ref="K52">CpFFromP(テーブル2[[#This Row],[P]])</f>
        <v>7679.7516396704104</v>
      </c>
      <c r="L52">
        <f t="array" ref="L52">SigmaFromP(テーブル2[[#This Row],[P]])</f>
        <v>6.5036382888884548E-3</v>
      </c>
      <c r="M52" s="23">
        <v>51</v>
      </c>
      <c r="N52">
        <v>3417.12</v>
      </c>
      <c r="O52" s="8">
        <v>1.753005194685703E-5</v>
      </c>
      <c r="P52" s="8">
        <v>1.484214033261962E-2</v>
      </c>
      <c r="Q52" s="8">
        <v>4.7244000000000001E-3</v>
      </c>
      <c r="R52">
        <v>0.30480000000000002</v>
      </c>
      <c r="S52" s="15">
        <v>5960589.16015625</v>
      </c>
      <c r="T52">
        <v>479.48806170427099</v>
      </c>
      <c r="U52" s="12">
        <f>+T52+BG52*S52*テーブル2[[#This Row],[Pw]]*R52/(N52*O52*K52)</f>
        <v>538.10323808447436</v>
      </c>
      <c r="V52">
        <v>0.03</v>
      </c>
      <c r="W52" s="8">
        <f t="shared" si="0"/>
        <v>223526.92694744034</v>
      </c>
      <c r="X52">
        <v>2.4627077270517571E-2</v>
      </c>
      <c r="Y52">
        <f t="shared" si="1"/>
        <v>6.3722611146904056</v>
      </c>
      <c r="Z52">
        <f t="shared" si="2"/>
        <v>6.3722611346379638</v>
      </c>
      <c r="AA52">
        <f t="shared" si="3"/>
        <v>-1.9947558271837806E-8</v>
      </c>
      <c r="AB52">
        <f t="shared" si="4"/>
        <v>1.3566923130281626E-5</v>
      </c>
      <c r="AC52">
        <v>714.44332840131506</v>
      </c>
      <c r="AD52">
        <f t="shared" si="5"/>
        <v>6200.9937672651495</v>
      </c>
      <c r="AE52">
        <f>+gettm2(AD52,AC52,AK52,AL52,テーブル2[[#This Row],[Fcorr]])</f>
        <v>538.10323922890757</v>
      </c>
      <c r="AF52" s="14">
        <f t="shared" si="6"/>
        <v>1.1444332130849943E-6</v>
      </c>
      <c r="AG52">
        <v>1.3659173278012091E-5</v>
      </c>
      <c r="AH52">
        <f t="shared" si="7"/>
        <v>57.524951469995827</v>
      </c>
      <c r="AI52">
        <f t="shared" si="8"/>
        <v>0.3034132815744397</v>
      </c>
      <c r="AJ52">
        <f t="shared" si="9"/>
        <v>35.856594853504212</v>
      </c>
      <c r="AK52">
        <f t="array" ref="AK52">+S52*テーブル2[[#This Row],[F_form]]/(E52*CpFromTP((テーブル2[[#This Row],[Tin]]+テーブル2[[#This Row],[Tf]])/2,テーブル2[[#This Row],[P]])*AI52)</f>
        <v>6.7994398956736362</v>
      </c>
      <c r="AL52">
        <f t="shared" si="10"/>
        <v>1.1293680422758512</v>
      </c>
      <c r="AM52">
        <f t="shared" si="11"/>
        <v>608.62110603707322</v>
      </c>
      <c r="AN52">
        <f t="shared" si="12"/>
        <v>2.8689782993751578E-8</v>
      </c>
      <c r="AO52">
        <f t="shared" si="13"/>
        <v>9.2250147730464749E-8</v>
      </c>
      <c r="AP52">
        <v>3.747515879154951</v>
      </c>
      <c r="AQ52">
        <f t="shared" si="14"/>
        <v>3.8828919449545988E-5</v>
      </c>
      <c r="AR52">
        <f t="shared" si="15"/>
        <v>6.8757117128712778E-6</v>
      </c>
      <c r="AS52">
        <f t="shared" si="16"/>
        <v>18.049380017368037</v>
      </c>
      <c r="AT52">
        <f t="shared" si="17"/>
        <v>11.415556680603643</v>
      </c>
      <c r="AU52">
        <f t="shared" si="18"/>
        <v>3.4636315134609692</v>
      </c>
      <c r="AV52">
        <f t="shared" si="19"/>
        <v>0.28388436569398179</v>
      </c>
      <c r="AW52">
        <f t="shared" si="20"/>
        <v>8.156588601570763E-3</v>
      </c>
      <c r="AX52">
        <f t="shared" si="21"/>
        <v>0.28388436274141421</v>
      </c>
      <c r="AY52">
        <f t="shared" si="22"/>
        <v>2.9525675793173889E-9</v>
      </c>
      <c r="AZ52">
        <f t="shared" si="23"/>
        <v>1080577.4158407261</v>
      </c>
      <c r="BA52">
        <f t="shared" si="24"/>
        <v>1.0361242140567459E-5</v>
      </c>
      <c r="BB52" s="15">
        <f t="shared" si="25"/>
        <v>6011712.7258559726</v>
      </c>
      <c r="BC52" s="20">
        <f t="shared" si="26"/>
        <v>51123.565699722618</v>
      </c>
      <c r="BD52" s="19">
        <f t="shared" si="27"/>
        <v>0.85769316297556186</v>
      </c>
      <c r="BE52" s="15">
        <v>6215350</v>
      </c>
      <c r="BF52" s="16">
        <f>テーブル2[[#This Row],[q_P]]/テーブル2[[#This Row],[q_M]]</f>
        <v>0.96723639470922351</v>
      </c>
      <c r="BG52">
        <v>1</v>
      </c>
      <c r="BH52">
        <v>-0.191</v>
      </c>
      <c r="BI52">
        <v>4.5999999999999999E-2</v>
      </c>
      <c r="BJ52">
        <v>5625</v>
      </c>
      <c r="BK52" s="22">
        <v>1</v>
      </c>
      <c r="BL52">
        <f>テーブル2[[#This Row],[Ts]]-テーブル2[[#This Row],[Tin]]</f>
        <v>129.13304436149201</v>
      </c>
      <c r="BM52">
        <f>テーブル2[[#This Row],[q_P]]*0.000001</f>
        <v>6.0117127258559719</v>
      </c>
      <c r="BN52">
        <f>テーブル2[[#This Row],[Tsub]]</f>
        <v>129.13304436149201</v>
      </c>
      <c r="BO52">
        <f>テーブル2[[#This Row],[Fcorr]]</f>
        <v>1</v>
      </c>
      <c r="BP52">
        <f>(テーブル2[[#This Row],[Tsub]]-40)^2</f>
        <v>7944.6995971477027</v>
      </c>
      <c r="BQ52">
        <v>1</v>
      </c>
      <c r="BR52">
        <v>0.30480000000000002</v>
      </c>
    </row>
    <row r="53" spans="1:70" x14ac:dyDescent="0.15">
      <c r="A53" s="9" t="s">
        <v>121</v>
      </c>
      <c r="B53">
        <v>13789520</v>
      </c>
      <c r="C53" s="22">
        <f t="array" ref="C53">TsatFromP(テーブル2[[#This Row],[P]])</f>
        <v>608.621106065763</v>
      </c>
      <c r="D53">
        <f t="array" ref="D53">RhoGFromP(テーブル2[[#This Row],[P]])</f>
        <v>85.147893581579396</v>
      </c>
      <c r="E53">
        <f t="array" ref="E53">RhoFFromP(テーブル2[[#This Row],[P]])</f>
        <v>624.86627494838649</v>
      </c>
      <c r="F53">
        <f t="array" ref="F53">HgFromP(テーブル2[[#This Row],[P]])</f>
        <v>2643264.389866509</v>
      </c>
      <c r="G53">
        <f t="array" ref="G53">HfFromP(テーブル2[[#This Row],[P]])</f>
        <v>1562686.9740257829</v>
      </c>
      <c r="H53">
        <f t="array" ref="H53">MuGFromP(テーブル2[[#This Row],[P]])</f>
        <v>2.2019594042733509E-5</v>
      </c>
      <c r="I53">
        <f t="array" ref="I53">MuFFromP(テーブル2[[#This Row],[P]])</f>
        <v>7.2223252690249831E-5</v>
      </c>
      <c r="J53">
        <f t="array" ref="J53">KfFromP(テーブル2[[#This Row],[P]])</f>
        <v>0.4911212487937569</v>
      </c>
      <c r="K53">
        <f t="array" ref="K53">CpFFromP(テーブル2[[#This Row],[P]])</f>
        <v>7679.7516396704104</v>
      </c>
      <c r="L53">
        <f t="array" ref="L53">SigmaFromP(テーブル2[[#This Row],[P]])</f>
        <v>6.5036382888884548E-3</v>
      </c>
      <c r="M53">
        <v>52</v>
      </c>
      <c r="N53">
        <v>3451.02</v>
      </c>
      <c r="O53" s="8">
        <v>1.753005194685703E-5</v>
      </c>
      <c r="P53" s="8">
        <v>1.484214033261962E-2</v>
      </c>
      <c r="Q53" s="8">
        <v>4.7244000000000001E-3</v>
      </c>
      <c r="R53">
        <v>0.30480000000000002</v>
      </c>
      <c r="S53" s="15">
        <v>3590926.03515625</v>
      </c>
      <c r="T53">
        <v>535.10115911890296</v>
      </c>
      <c r="U53" s="12">
        <f>+T53+BG53*S53*テーブル2[[#This Row],[Pw]]*R53/(N53*O53*K53)</f>
        <v>570.06668797541181</v>
      </c>
      <c r="V53">
        <v>0.03</v>
      </c>
      <c r="W53" s="8">
        <f t="shared" si="0"/>
        <v>225744.45598461735</v>
      </c>
      <c r="X53">
        <v>2.452777724069748E-2</v>
      </c>
      <c r="Y53">
        <f t="shared" si="1"/>
        <v>6.3851470474837431</v>
      </c>
      <c r="Z53">
        <f t="shared" si="2"/>
        <v>6.3851470632081453</v>
      </c>
      <c r="AA53">
        <f t="shared" si="3"/>
        <v>-1.5724402224748246E-8</v>
      </c>
      <c r="AB53">
        <f t="shared" si="4"/>
        <v>1.3355543071362601E-5</v>
      </c>
      <c r="AC53">
        <v>666.12460376142394</v>
      </c>
      <c r="AD53">
        <f t="shared" si="5"/>
        <v>6249.8731217512141</v>
      </c>
      <c r="AE53">
        <f>+gettm2(AD53,AC53,AK53,AL53,テーブル2[[#This Row],[Fcorr]])</f>
        <v>570.06668797541158</v>
      </c>
      <c r="AF53" s="14">
        <f t="shared" si="6"/>
        <v>0</v>
      </c>
      <c r="AG53">
        <v>1.341049420083057E-5</v>
      </c>
      <c r="AH53">
        <f t="shared" si="7"/>
        <v>58.435406968965019</v>
      </c>
      <c r="AI53">
        <f t="shared" si="8"/>
        <v>0.3058049377996318</v>
      </c>
      <c r="AJ53">
        <f t="shared" si="9"/>
        <v>35.481283233922397</v>
      </c>
      <c r="AK53">
        <f t="array" ref="AK53">+S53*テーブル2[[#This Row],[F_form]]/(E53*CpFromTP((テーブル2[[#This Row],[Tin]]+テーブル2[[#This Row],[Tf]])/2,テーブル2[[#This Row],[P]])*AI53)</f>
        <v>3.7010520721003601</v>
      </c>
      <c r="AL53">
        <f t="shared" si="10"/>
        <v>1.1293680422758512</v>
      </c>
      <c r="AM53">
        <f t="shared" si="11"/>
        <v>608.62110605851171</v>
      </c>
      <c r="AN53">
        <f t="shared" si="12"/>
        <v>7.2512875703978352E-9</v>
      </c>
      <c r="AO53">
        <f t="shared" si="13"/>
        <v>5.4951129467969151E-8</v>
      </c>
      <c r="AP53">
        <v>3.756261519226733</v>
      </c>
      <c r="AQ53">
        <f t="shared" si="14"/>
        <v>3.8648320506370901E-5</v>
      </c>
      <c r="AR53">
        <f t="shared" si="15"/>
        <v>6.7327226651492695E-6</v>
      </c>
      <c r="AS53">
        <f t="shared" si="16"/>
        <v>17.813336051613586</v>
      </c>
      <c r="AT53">
        <f t="shared" si="17"/>
        <v>11.349736965791685</v>
      </c>
      <c r="AU53">
        <f t="shared" si="18"/>
        <v>3.470805606866108</v>
      </c>
      <c r="AV53">
        <f t="shared" si="19"/>
        <v>0.28545591236062506</v>
      </c>
      <c r="AW53">
        <f t="shared" si="20"/>
        <v>8.029504504268703E-3</v>
      </c>
      <c r="AX53">
        <f t="shared" si="21"/>
        <v>0.28545590899975132</v>
      </c>
      <c r="AY53">
        <f t="shared" si="22"/>
        <v>3.3608737459722704E-9</v>
      </c>
      <c r="AZ53">
        <f t="shared" si="23"/>
        <v>1080577.4158407261</v>
      </c>
      <c r="BA53">
        <f t="shared" si="24"/>
        <v>1.0289038797896871E-5</v>
      </c>
      <c r="BB53" s="15">
        <f t="shared" si="25"/>
        <v>3606158.3301899456</v>
      </c>
      <c r="BC53" s="20">
        <f t="shared" si="26"/>
        <v>15232.295033695642</v>
      </c>
      <c r="BD53" s="19">
        <f t="shared" si="27"/>
        <v>0.42418849301174333</v>
      </c>
      <c r="BE53" s="15">
        <v>4732500</v>
      </c>
      <c r="BF53" s="16">
        <f>テーブル2[[#This Row],[q_P]]/テーブル2[[#This Row],[q_M]]</f>
        <v>0.76199859063707254</v>
      </c>
      <c r="BG53">
        <v>1</v>
      </c>
      <c r="BH53">
        <v>-5.8999999999999997E-2</v>
      </c>
      <c r="BI53">
        <v>4.5999999999999999E-2</v>
      </c>
      <c r="BJ53">
        <v>5625</v>
      </c>
      <c r="BK53" s="22">
        <v>1</v>
      </c>
      <c r="BL53">
        <f>テーブル2[[#This Row],[Ts]]-テーブル2[[#This Row],[Tin]]</f>
        <v>73.519946946860046</v>
      </c>
      <c r="BM53">
        <f>テーブル2[[#This Row],[q_P]]*0.000001</f>
        <v>3.6061583301899454</v>
      </c>
      <c r="BN53">
        <f>テーブル2[[#This Row],[Tsub]]</f>
        <v>73.519946946860046</v>
      </c>
      <c r="BO53">
        <f>テーブル2[[#This Row],[Fcorr]]</f>
        <v>1</v>
      </c>
      <c r="BP53">
        <f>(テーブル2[[#This Row],[Tsub]]-40)^2</f>
        <v>1123.586843320312</v>
      </c>
      <c r="BQ53">
        <v>1</v>
      </c>
      <c r="BR53">
        <v>0.30480000000000002</v>
      </c>
    </row>
    <row r="54" spans="1:70" x14ac:dyDescent="0.15">
      <c r="A54" s="9" t="s">
        <v>122</v>
      </c>
      <c r="B54">
        <v>13789520</v>
      </c>
      <c r="C54" s="22">
        <f t="array" ref="C54">TsatFromP(テーブル2[[#This Row],[P]])</f>
        <v>608.621106065763</v>
      </c>
      <c r="D54">
        <f t="array" ref="D54">RhoGFromP(テーブル2[[#This Row],[P]])</f>
        <v>85.147893581579396</v>
      </c>
      <c r="E54">
        <f t="array" ref="E54">RhoFFromP(テーブル2[[#This Row],[P]])</f>
        <v>624.86627494838649</v>
      </c>
      <c r="F54">
        <f t="array" ref="F54">HgFromP(テーブル2[[#This Row],[P]])</f>
        <v>2643264.389866509</v>
      </c>
      <c r="G54">
        <f t="array" ref="G54">HfFromP(テーブル2[[#This Row],[P]])</f>
        <v>1562686.9740257829</v>
      </c>
      <c r="H54">
        <f t="array" ref="H54">MuGFromP(テーブル2[[#This Row],[P]])</f>
        <v>2.2019594042733509E-5</v>
      </c>
      <c r="I54">
        <f t="array" ref="I54">MuFFromP(テーブル2[[#This Row],[P]])</f>
        <v>7.2223252690249831E-5</v>
      </c>
      <c r="J54">
        <f t="array" ref="J54">KfFromP(テーブル2[[#This Row],[P]])</f>
        <v>0.4911212487937569</v>
      </c>
      <c r="K54">
        <f t="array" ref="K54">CpFFromP(テーブル2[[#This Row],[P]])</f>
        <v>7679.7516396704104</v>
      </c>
      <c r="L54">
        <f t="array" ref="L54">SigmaFromP(テーブル2[[#This Row],[P]])</f>
        <v>6.5036382888884548E-3</v>
      </c>
      <c r="M54" s="23">
        <v>53</v>
      </c>
      <c r="N54">
        <v>3579.84</v>
      </c>
      <c r="O54" s="8">
        <v>1.753005194685703E-5</v>
      </c>
      <c r="P54" s="8">
        <v>1.484214033261962E-2</v>
      </c>
      <c r="Q54" s="8">
        <v>4.7244000000000001E-3</v>
      </c>
      <c r="R54">
        <v>0.30480000000000002</v>
      </c>
      <c r="S54" s="15">
        <v>1194437.44921875</v>
      </c>
      <c r="T54">
        <v>586.97568839527196</v>
      </c>
      <c r="U54" s="12">
        <f>+T54+BG54*S54*テーブル2[[#This Row],[Pw]]*R54/(N54*O54*K54)</f>
        <v>598.18763221093752</v>
      </c>
      <c r="V54">
        <v>0.03</v>
      </c>
      <c r="W54" s="8">
        <f t="shared" si="0"/>
        <v>234171.06632588993</v>
      </c>
      <c r="X54">
        <v>2.4164267021167661E-2</v>
      </c>
      <c r="Y54">
        <f t="shared" si="1"/>
        <v>6.4329946012287724</v>
      </c>
      <c r="Z54">
        <f t="shared" si="2"/>
        <v>6.4329946343917461</v>
      </c>
      <c r="AA54">
        <f t="shared" si="3"/>
        <v>-3.3162973700484599E-8</v>
      </c>
      <c r="AB54">
        <f t="shared" si="4"/>
        <v>1.2598354917885759E-5</v>
      </c>
      <c r="AC54">
        <v>623.87848594192224</v>
      </c>
      <c r="AD54">
        <f t="shared" si="5"/>
        <v>6434.9482325499393</v>
      </c>
      <c r="AE54">
        <f>+gettm2(AD54,AC54,AK54,AL54,テーブル2[[#This Row],[Fcorr]])</f>
        <v>598.18763221093764</v>
      </c>
      <c r="AF54" s="14">
        <f t="shared" si="6"/>
        <v>0</v>
      </c>
      <c r="AG54">
        <v>1.261580137375003E-5</v>
      </c>
      <c r="AH54">
        <f t="shared" si="7"/>
        <v>61.947500269153124</v>
      </c>
      <c r="AI54">
        <f t="shared" si="8"/>
        <v>0.31486062287411631</v>
      </c>
      <c r="AJ54">
        <f t="shared" si="9"/>
        <v>34.36712757269234</v>
      </c>
      <c r="AK54">
        <f t="array" ref="AK54">+S54*テーブル2[[#This Row],[F_form]]/(E54*CpFromTP((テーブル2[[#This Row],[Tin]]+テーブル2[[#This Row],[Tf]])/2,テーブル2[[#This Row],[P]])*AI54)</f>
        <v>0.98706591612152494</v>
      </c>
      <c r="AL54">
        <f t="shared" si="10"/>
        <v>1.1293680422758512</v>
      </c>
      <c r="AM54">
        <f t="shared" si="11"/>
        <v>608.62110606460294</v>
      </c>
      <c r="AN54">
        <f t="shared" si="12"/>
        <v>1.16006049211137E-9</v>
      </c>
      <c r="AO54">
        <f t="shared" si="13"/>
        <v>1.7446455864270589E-8</v>
      </c>
      <c r="AP54">
        <v>3.8089395196788751</v>
      </c>
      <c r="AQ54">
        <f t="shared" si="14"/>
        <v>3.7586692840311167E-5</v>
      </c>
      <c r="AR54">
        <f t="shared" si="15"/>
        <v>6.3166239148071503E-6</v>
      </c>
      <c r="AS54">
        <f t="shared" si="16"/>
        <v>17.207327024075418</v>
      </c>
      <c r="AT54">
        <f t="shared" si="17"/>
        <v>11.176676414416752</v>
      </c>
      <c r="AU54">
        <f t="shared" si="18"/>
        <v>3.5190952975057037</v>
      </c>
      <c r="AV54">
        <f t="shared" si="19"/>
        <v>0.28984422217317141</v>
      </c>
      <c r="AW54">
        <f t="shared" si="20"/>
        <v>7.5742743682544059E-3</v>
      </c>
      <c r="AX54">
        <f t="shared" si="21"/>
        <v>0.28984421617559042</v>
      </c>
      <c r="AY54">
        <f t="shared" si="22"/>
        <v>5.9975809874046604E-9</v>
      </c>
      <c r="AZ54">
        <f t="shared" si="23"/>
        <v>1080577.4158407261</v>
      </c>
      <c r="BA54">
        <f t="shared" si="24"/>
        <v>9.8680203889086784E-6</v>
      </c>
      <c r="BB54" s="15">
        <f t="shared" si="25"/>
        <v>1193768.5968419488</v>
      </c>
      <c r="BC54" s="20">
        <f t="shared" si="26"/>
        <v>-668.85237680119462</v>
      </c>
      <c r="BD54" s="19">
        <f t="shared" si="27"/>
        <v>-5.599727112028121E-2</v>
      </c>
      <c r="BE54" s="15">
        <v>3186550</v>
      </c>
      <c r="BF54" s="16">
        <f>テーブル2[[#This Row],[q_P]]/テーブル2[[#This Row],[q_M]]</f>
        <v>0.37462729184916249</v>
      </c>
      <c r="BG54">
        <v>1</v>
      </c>
      <c r="BH54">
        <v>8.1000000000000003E-2</v>
      </c>
      <c r="BI54">
        <v>4.5999999999999999E-2</v>
      </c>
      <c r="BJ54">
        <v>5625</v>
      </c>
      <c r="BK54" s="22">
        <v>1</v>
      </c>
      <c r="BL54">
        <f>テーブル2[[#This Row],[Ts]]-テーブル2[[#This Row],[Tin]]</f>
        <v>21.645417670491042</v>
      </c>
      <c r="BM54">
        <f>テーブル2[[#This Row],[q_P]]*0.000001</f>
        <v>1.1937685968419487</v>
      </c>
      <c r="BN54">
        <f>テーブル2[[#This Row],[Tsub]]</f>
        <v>21.645417670491042</v>
      </c>
      <c r="BO54">
        <f>テーブル2[[#This Row],[Fcorr]]</f>
        <v>1</v>
      </c>
      <c r="BP54">
        <f>(テーブル2[[#This Row],[Tsub]]-40)^2</f>
        <v>336.89069249072247</v>
      </c>
      <c r="BQ54">
        <v>1</v>
      </c>
      <c r="BR54">
        <v>0.30480000000000002</v>
      </c>
    </row>
    <row r="55" spans="1:70" x14ac:dyDescent="0.15">
      <c r="A55" s="9" t="s">
        <v>123</v>
      </c>
      <c r="B55">
        <v>13789520</v>
      </c>
      <c r="C55" s="22">
        <f t="array" ref="C55">TsatFromP(テーブル2[[#This Row],[P]])</f>
        <v>608.621106065763</v>
      </c>
      <c r="D55">
        <f t="array" ref="D55">RhoGFromP(テーブル2[[#This Row],[P]])</f>
        <v>85.147893581579396</v>
      </c>
      <c r="E55">
        <f t="array" ref="E55">RhoFFromP(テーブル2[[#This Row],[P]])</f>
        <v>624.86627494838649</v>
      </c>
      <c r="F55">
        <f t="array" ref="F55">HgFromP(テーブル2[[#This Row],[P]])</f>
        <v>2643264.389866509</v>
      </c>
      <c r="G55">
        <f t="array" ref="G55">HfFromP(テーブル2[[#This Row],[P]])</f>
        <v>1562686.9740257829</v>
      </c>
      <c r="H55">
        <f t="array" ref="H55">MuGFromP(テーブル2[[#This Row],[P]])</f>
        <v>2.2019594042733509E-5</v>
      </c>
      <c r="I55">
        <f t="array" ref="I55">MuFFromP(テーブル2[[#This Row],[P]])</f>
        <v>7.2223252690249831E-5</v>
      </c>
      <c r="J55">
        <f t="array" ref="J55">KfFromP(テーブル2[[#This Row],[P]])</f>
        <v>0.4911212487937569</v>
      </c>
      <c r="K55">
        <f t="array" ref="K55">CpFFromP(テーブル2[[#This Row],[P]])</f>
        <v>7679.7516396704104</v>
      </c>
      <c r="L55">
        <f t="array" ref="L55">SigmaFromP(テーブル2[[#This Row],[P]])</f>
        <v>6.5036382888884548E-3</v>
      </c>
      <c r="M55">
        <v>54</v>
      </c>
      <c r="N55">
        <v>4068</v>
      </c>
      <c r="O55" s="8">
        <v>1.753005194685703E-5</v>
      </c>
      <c r="P55" s="8">
        <v>1.484214033261962E-2</v>
      </c>
      <c r="Q55" s="8">
        <v>4.7244000000000001E-3</v>
      </c>
      <c r="R55">
        <v>0.30480000000000002</v>
      </c>
      <c r="S55" s="15">
        <v>3905055.56640625</v>
      </c>
      <c r="T55">
        <v>537.38968663960395</v>
      </c>
      <c r="U55" s="12">
        <f>+T55+BG55*S55*テーブル2[[#This Row],[Pw]]*R55/(N55*O55*K55)</f>
        <v>569.64694046221996</v>
      </c>
      <c r="V55">
        <v>0.03</v>
      </c>
      <c r="W55" s="8">
        <f t="shared" si="0"/>
        <v>266103.48446123855</v>
      </c>
      <c r="X55">
        <v>2.2957021152822971E-2</v>
      </c>
      <c r="Y55">
        <f t="shared" si="1"/>
        <v>6.5999741234761844</v>
      </c>
      <c r="Z55">
        <f t="shared" si="2"/>
        <v>6.5999741280613344</v>
      </c>
      <c r="AA55">
        <f t="shared" si="3"/>
        <v>-4.5851500374283205E-9</v>
      </c>
      <c r="AB55">
        <f t="shared" si="4"/>
        <v>1.0269215675991892E-5</v>
      </c>
      <c r="AC55">
        <v>662.15061771972205</v>
      </c>
      <c r="AD55">
        <f t="shared" si="5"/>
        <v>7127.436215644042</v>
      </c>
      <c r="AE55">
        <f>+gettm2(AD55,AC55,AK55,AL55,テーブル2[[#This Row],[Fcorr]])</f>
        <v>569.64694046221973</v>
      </c>
      <c r="AF55" s="14">
        <f t="shared" si="6"/>
        <v>0</v>
      </c>
      <c r="AG55">
        <v>1.031693103257606E-5</v>
      </c>
      <c r="AH55">
        <f t="shared" si="7"/>
        <v>75.997682714092292</v>
      </c>
      <c r="AI55">
        <f t="shared" si="8"/>
        <v>0.34874390985798837</v>
      </c>
      <c r="AJ55">
        <f t="shared" si="9"/>
        <v>31.129145659082418</v>
      </c>
      <c r="AK55">
        <f t="array" ref="AK55">+S55*テーブル2[[#This Row],[F_form]]/(E55*CpFromTP((テーブル2[[#This Row],[Tin]]+テーブル2[[#This Row],[Tf]])/2,テーブル2[[#This Row],[P]])*AI55)</f>
        <v>3.5193824564671603</v>
      </c>
      <c r="AL55">
        <f t="shared" si="10"/>
        <v>1.1293680422758512</v>
      </c>
      <c r="AM55">
        <f t="shared" si="11"/>
        <v>608.62110606361307</v>
      </c>
      <c r="AN55">
        <f t="shared" si="12"/>
        <v>2.1499317881534807E-9</v>
      </c>
      <c r="AO55">
        <f t="shared" si="13"/>
        <v>4.7715356584167914E-8</v>
      </c>
      <c r="AP55">
        <v>4.0340067327011759</v>
      </c>
      <c r="AQ55">
        <f t="shared" si="14"/>
        <v>3.3509583585529328E-5</v>
      </c>
      <c r="AR55">
        <f t="shared" si="15"/>
        <v>5.1823231945801138E-6</v>
      </c>
      <c r="AS55">
        <f t="shared" si="16"/>
        <v>15.636558300830764</v>
      </c>
      <c r="AT55">
        <f t="shared" si="17"/>
        <v>10.698058267046617</v>
      </c>
      <c r="AU55">
        <f t="shared" si="18"/>
        <v>3.7308826679384128</v>
      </c>
      <c r="AV55">
        <f t="shared" si="19"/>
        <v>0.3031240647627631</v>
      </c>
      <c r="AW55">
        <f t="shared" si="20"/>
        <v>6.173969346292634E-3</v>
      </c>
      <c r="AX55">
        <f t="shared" si="21"/>
        <v>0.30312403858093911</v>
      </c>
      <c r="AY55">
        <f t="shared" si="22"/>
        <v>2.6181823986615171E-8</v>
      </c>
      <c r="AZ55">
        <f t="shared" si="23"/>
        <v>1080577.4158407261</v>
      </c>
      <c r="BA55">
        <f t="shared" si="24"/>
        <v>8.306774332796235E-6</v>
      </c>
      <c r="BB55" s="15">
        <f t="shared" si="25"/>
        <v>3878544.0982644083</v>
      </c>
      <c r="BC55" s="20">
        <f t="shared" si="26"/>
        <v>-26511.468141841702</v>
      </c>
      <c r="BD55" s="19">
        <f t="shared" si="27"/>
        <v>-0.67890117543806716</v>
      </c>
      <c r="BE55" s="15">
        <v>5016450</v>
      </c>
      <c r="BF55" s="16">
        <f>テーブル2[[#This Row],[q_P]]/テーブル2[[#This Row],[q_M]]</f>
        <v>0.77316510645265246</v>
      </c>
      <c r="BG55">
        <v>1</v>
      </c>
      <c r="BH55">
        <v>-8.2000000000000003E-2</v>
      </c>
      <c r="BI55">
        <v>4.5999999999999999E-2</v>
      </c>
      <c r="BJ55">
        <v>5625</v>
      </c>
      <c r="BK55" s="22">
        <v>1</v>
      </c>
      <c r="BL55">
        <f>テーブル2[[#This Row],[Ts]]-テーブル2[[#This Row],[Tin]]</f>
        <v>71.23141942615905</v>
      </c>
      <c r="BM55">
        <f>テーブル2[[#This Row],[q_P]]*0.000001</f>
        <v>3.8785440982644079</v>
      </c>
      <c r="BN55">
        <f>テーブル2[[#This Row],[Tsub]]</f>
        <v>71.23141942615905</v>
      </c>
      <c r="BO55">
        <f>テーブル2[[#This Row],[Fcorr]]</f>
        <v>1</v>
      </c>
      <c r="BP55">
        <f>(テーブル2[[#This Row],[Tsub]]-40)^2</f>
        <v>975.40155937266491</v>
      </c>
      <c r="BQ55">
        <v>1</v>
      </c>
      <c r="BR55">
        <v>0.30480000000000002</v>
      </c>
    </row>
    <row r="56" spans="1:70" x14ac:dyDescent="0.15">
      <c r="A56" s="9" t="s">
        <v>124</v>
      </c>
      <c r="B56">
        <v>13789520</v>
      </c>
      <c r="C56" s="22">
        <f t="array" ref="C56">TsatFromP(テーブル2[[#This Row],[P]])</f>
        <v>608.621106065763</v>
      </c>
      <c r="D56">
        <f t="array" ref="D56">RhoGFromP(テーブル2[[#This Row],[P]])</f>
        <v>85.147893581579396</v>
      </c>
      <c r="E56">
        <f t="array" ref="E56">RhoFFromP(テーブル2[[#This Row],[P]])</f>
        <v>624.86627494838649</v>
      </c>
      <c r="F56">
        <f t="array" ref="F56">HgFromP(テーブル2[[#This Row],[P]])</f>
        <v>2643264.389866509</v>
      </c>
      <c r="G56">
        <f t="array" ref="G56">HfFromP(テーブル2[[#This Row],[P]])</f>
        <v>1562686.9740257829</v>
      </c>
      <c r="H56">
        <f t="array" ref="H56">MuGFromP(テーブル2[[#This Row],[P]])</f>
        <v>2.2019594042733509E-5</v>
      </c>
      <c r="I56">
        <f t="array" ref="I56">MuFFromP(テーブル2[[#This Row],[P]])</f>
        <v>7.2223252690249831E-5</v>
      </c>
      <c r="J56">
        <f t="array" ref="J56">KfFromP(テーブル2[[#This Row],[P]])</f>
        <v>0.4911212487937569</v>
      </c>
      <c r="K56">
        <f t="array" ref="K56">CpFFromP(テーブル2[[#This Row],[P]])</f>
        <v>7679.7516396704104</v>
      </c>
      <c r="L56">
        <f t="array" ref="L56">SigmaFromP(テーブル2[[#This Row],[P]])</f>
        <v>6.5036382888884548E-3</v>
      </c>
      <c r="M56" s="23">
        <v>55</v>
      </c>
      <c r="N56">
        <v>2752.68</v>
      </c>
      <c r="O56" s="8">
        <v>1.7719053836560401E-5</v>
      </c>
      <c r="P56" s="8">
        <v>1.4921936786020801E-2</v>
      </c>
      <c r="Q56" s="8">
        <v>4.7498000000000002E-3</v>
      </c>
      <c r="R56">
        <v>0.3175</v>
      </c>
      <c r="S56" s="15">
        <v>902558.10546875</v>
      </c>
      <c r="T56">
        <v>588.56034428011105</v>
      </c>
      <c r="U56" s="12">
        <f>+T56+BG56*S56*テーブル2[[#This Row],[Pw]]*R56/(N56*O56*K56)</f>
        <v>599.97599482686394</v>
      </c>
      <c r="V56">
        <v>0.03</v>
      </c>
      <c r="W56" s="8">
        <f t="shared" si="0"/>
        <v>181031.44038768951</v>
      </c>
      <c r="X56">
        <v>2.6926893623795221E-2</v>
      </c>
      <c r="Y56">
        <f t="shared" si="1"/>
        <v>6.0940620607317042</v>
      </c>
      <c r="Z56">
        <f t="shared" si="2"/>
        <v>6.0940620675312109</v>
      </c>
      <c r="AA56">
        <f t="shared" si="3"/>
        <v>-6.7995067354331695E-9</v>
      </c>
      <c r="AB56">
        <f t="shared" si="4"/>
        <v>1.9121281205086491E-5</v>
      </c>
      <c r="AC56">
        <v>623.10160535080638</v>
      </c>
      <c r="AD56">
        <f t="shared" si="5"/>
        <v>5251.364271909536</v>
      </c>
      <c r="AE56">
        <f>+gettm2(AD56,AC56,AK56,AL56,テーブル2[[#This Row],[Fcorr]])</f>
        <v>599.97599482686383</v>
      </c>
      <c r="AF56" s="14">
        <f t="shared" si="6"/>
        <v>0</v>
      </c>
      <c r="AG56">
        <v>1.9140167544433049E-5</v>
      </c>
      <c r="AH56">
        <f t="shared" si="7"/>
        <v>40.815078565917908</v>
      </c>
      <c r="AI56">
        <f t="shared" si="8"/>
        <v>0.25557406200901811</v>
      </c>
      <c r="AJ56">
        <f t="shared" si="9"/>
        <v>42.322620742430502</v>
      </c>
      <c r="AK56">
        <f t="array" ref="AK56">+S56*テーブル2[[#This Row],[F_form]]/(E56*CpFromTP((テーブル2[[#This Row],[Tin]]+テーブル2[[#This Row],[Tf]])/2,テーブル2[[#This Row],[P]])*AI56)</f>
        <v>0.90628533659610466</v>
      </c>
      <c r="AL56">
        <f t="shared" si="10"/>
        <v>1.1293680422758512</v>
      </c>
      <c r="AM56">
        <f t="shared" si="11"/>
        <v>608.62110605960288</v>
      </c>
      <c r="AN56">
        <f t="shared" si="12"/>
        <v>6.1601213019457646E-9</v>
      </c>
      <c r="AO56">
        <f t="shared" si="13"/>
        <v>1.8886339346558064E-8</v>
      </c>
      <c r="AP56">
        <v>3.3866471175070361</v>
      </c>
      <c r="AQ56">
        <f t="shared" si="14"/>
        <v>4.7544728946467496E-5</v>
      </c>
      <c r="AR56">
        <f t="shared" si="15"/>
        <v>9.5795269418898036E-6</v>
      </c>
      <c r="AS56">
        <f t="shared" si="16"/>
        <v>21.182191049911548</v>
      </c>
      <c r="AT56">
        <f t="shared" si="17"/>
        <v>12.215803919135517</v>
      </c>
      <c r="AU56">
        <f t="shared" si="18"/>
        <v>3.1220426283191469</v>
      </c>
      <c r="AV56">
        <f t="shared" si="19"/>
        <v>0.26460448918788915</v>
      </c>
      <c r="AW56">
        <f t="shared" si="20"/>
        <v>1.1495931894588703E-2</v>
      </c>
      <c r="AX56">
        <f t="shared" si="21"/>
        <v>0.26460448079114374</v>
      </c>
      <c r="AY56">
        <f t="shared" si="22"/>
        <v>8.396745410088613E-9</v>
      </c>
      <c r="AZ56">
        <f t="shared" si="23"/>
        <v>1080577.4158407261</v>
      </c>
      <c r="BA56">
        <f t="shared" si="24"/>
        <v>1.4038878955143669E-5</v>
      </c>
      <c r="BB56" s="15">
        <f t="shared" si="25"/>
        <v>908360.6898541702</v>
      </c>
      <c r="BC56" s="20">
        <f t="shared" si="26"/>
        <v>5802.5843854201958</v>
      </c>
      <c r="BD56" s="19">
        <f t="shared" si="27"/>
        <v>0.64290424630407383</v>
      </c>
      <c r="BE56" s="15">
        <v>2665975</v>
      </c>
      <c r="BF56" s="16">
        <f>テーブル2[[#This Row],[q_P]]/テーブル2[[#This Row],[q_M]]</f>
        <v>0.34072363388785348</v>
      </c>
      <c r="BG56">
        <v>1</v>
      </c>
      <c r="BH56">
        <v>0.11700000000000001</v>
      </c>
      <c r="BI56">
        <v>4.5999999999999999E-2</v>
      </c>
      <c r="BJ56">
        <v>5625</v>
      </c>
      <c r="BK56" s="22">
        <v>1</v>
      </c>
      <c r="BL56">
        <f>テーブル2[[#This Row],[Ts]]-テーブル2[[#This Row],[Tin]]</f>
        <v>20.060761785651948</v>
      </c>
      <c r="BM56">
        <f>テーブル2[[#This Row],[q_P]]*0.000001</f>
        <v>0.90836068985417018</v>
      </c>
      <c r="BN56">
        <f>テーブル2[[#This Row],[Tsub]]</f>
        <v>20.060761785651948</v>
      </c>
      <c r="BO56">
        <f>テーブル2[[#This Row],[Fcorr]]</f>
        <v>1</v>
      </c>
      <c r="BP56">
        <f>(テーブル2[[#This Row],[Tsub]]-40)^2</f>
        <v>397.57322056851768</v>
      </c>
      <c r="BQ56">
        <v>1</v>
      </c>
      <c r="BR56">
        <v>0.3175</v>
      </c>
    </row>
    <row r="57" spans="1:70" x14ac:dyDescent="0.15">
      <c r="A57" s="9" t="s">
        <v>125</v>
      </c>
      <c r="B57">
        <v>13789520</v>
      </c>
      <c r="C57" s="22">
        <f t="array" ref="C57">TsatFromP(テーブル2[[#This Row],[P]])</f>
        <v>608.621106065763</v>
      </c>
      <c r="D57">
        <f t="array" ref="D57">RhoGFromP(テーブル2[[#This Row],[P]])</f>
        <v>85.147893581579396</v>
      </c>
      <c r="E57">
        <f t="array" ref="E57">RhoFFromP(テーブル2[[#This Row],[P]])</f>
        <v>624.86627494838649</v>
      </c>
      <c r="F57">
        <f t="array" ref="F57">HgFromP(テーブル2[[#This Row],[P]])</f>
        <v>2643264.389866509</v>
      </c>
      <c r="G57">
        <f t="array" ref="G57">HfFromP(テーブル2[[#This Row],[P]])</f>
        <v>1562686.9740257829</v>
      </c>
      <c r="H57">
        <f t="array" ref="H57">MuGFromP(テーブル2[[#This Row],[P]])</f>
        <v>2.2019594042733509E-5</v>
      </c>
      <c r="I57">
        <f t="array" ref="I57">MuFFromP(テーブル2[[#This Row],[P]])</f>
        <v>7.2223252690249831E-5</v>
      </c>
      <c r="J57">
        <f t="array" ref="J57">KfFromP(テーブル2[[#This Row],[P]])</f>
        <v>0.4911212487937569</v>
      </c>
      <c r="K57">
        <f t="array" ref="K57">CpFFromP(テーブル2[[#This Row],[P]])</f>
        <v>7679.7516396704104</v>
      </c>
      <c r="L57">
        <f t="array" ref="L57">SigmaFromP(テーブル2[[#This Row],[P]])</f>
        <v>6.5036382888884548E-3</v>
      </c>
      <c r="M57">
        <v>56</v>
      </c>
      <c r="N57">
        <v>2861.16</v>
      </c>
      <c r="O57" s="8">
        <v>1.7719053836560401E-5</v>
      </c>
      <c r="P57" s="8">
        <v>1.4921936786020801E-2</v>
      </c>
      <c r="Q57" s="8">
        <v>4.7498000000000002E-3</v>
      </c>
      <c r="R57">
        <v>0.3175</v>
      </c>
      <c r="S57" s="15">
        <v>2083577.12109375</v>
      </c>
      <c r="T57">
        <v>560.91989777978495</v>
      </c>
      <c r="U57" s="12">
        <f>+T57+BG57*S57*テーブル2[[#This Row],[Pw]]*R57/(N57*O57*K57)</f>
        <v>586.27402455872232</v>
      </c>
      <c r="V57">
        <v>0.03</v>
      </c>
      <c r="W57" s="8">
        <f t="shared" si="0"/>
        <v>188165.68434385463</v>
      </c>
      <c r="X57">
        <v>2.648758764838987E-2</v>
      </c>
      <c r="Y57">
        <f t="shared" si="1"/>
        <v>6.1443903242986835</v>
      </c>
      <c r="Z57">
        <f t="shared" si="2"/>
        <v>6.1443903505649944</v>
      </c>
      <c r="AA57">
        <f t="shared" si="3"/>
        <v>-2.6266310904077272E-8</v>
      </c>
      <c r="AB57">
        <f t="shared" si="4"/>
        <v>1.7992354589735144E-5</v>
      </c>
      <c r="AC57">
        <v>645.30743013322046</v>
      </c>
      <c r="AD57">
        <f t="shared" si="5"/>
        <v>5413.6059219729668</v>
      </c>
      <c r="AE57">
        <f>+gettm2(AD57,AC57,AK57,AL57,テーブル2[[#This Row],[Fcorr]])</f>
        <v>586.2740245587222</v>
      </c>
      <c r="AF57" s="14">
        <f t="shared" si="6"/>
        <v>0</v>
      </c>
      <c r="AG57">
        <v>1.8033377302808108E-5</v>
      </c>
      <c r="AH57">
        <f t="shared" si="7"/>
        <v>43.376012337588264</v>
      </c>
      <c r="AI57">
        <f t="shared" si="8"/>
        <v>0.26347005919884531</v>
      </c>
      <c r="AJ57">
        <f t="shared" si="9"/>
        <v>41.107245845995564</v>
      </c>
      <c r="AK57">
        <f t="array" ref="AK57">+S57*テーブル2[[#This Row],[F_form]]/(E57*CpFromTP((テーブル2[[#This Row],[Tin]]+テーブル2[[#This Row],[Tf]])/2,テーブル2[[#This Row],[P]])*AI57)</f>
        <v>2.3065883600643975</v>
      </c>
      <c r="AL57">
        <f t="shared" si="10"/>
        <v>1.1293680422758512</v>
      </c>
      <c r="AM57">
        <f t="shared" si="11"/>
        <v>608.62110606488045</v>
      </c>
      <c r="AN57">
        <f t="shared" si="12"/>
        <v>8.8255092123290524E-10</v>
      </c>
      <c r="AO57">
        <f t="shared" si="13"/>
        <v>4.102271307296408E-8</v>
      </c>
      <c r="AP57">
        <v>3.449609350502425</v>
      </c>
      <c r="AQ57">
        <f t="shared" si="14"/>
        <v>4.5824995996027149E-5</v>
      </c>
      <c r="AR57">
        <f t="shared" si="15"/>
        <v>9.0372000079405363E-6</v>
      </c>
      <c r="AS57">
        <f t="shared" si="16"/>
        <v>20.600378744806527</v>
      </c>
      <c r="AT57">
        <f t="shared" si="17"/>
        <v>12.076547306483704</v>
      </c>
      <c r="AU57">
        <f t="shared" si="18"/>
        <v>3.1818086337569174</v>
      </c>
      <c r="AV57">
        <f t="shared" si="19"/>
        <v>0.26780071674550765</v>
      </c>
      <c r="AW57">
        <f t="shared" si="20"/>
        <v>1.0817208364252498E-2</v>
      </c>
      <c r="AX57">
        <f t="shared" si="21"/>
        <v>0.26780070601544642</v>
      </c>
      <c r="AY57">
        <f t="shared" si="22"/>
        <v>1.0730061228425569E-8</v>
      </c>
      <c r="AZ57">
        <f t="shared" si="23"/>
        <v>1080577.4158407261</v>
      </c>
      <c r="BA57">
        <f t="shared" si="24"/>
        <v>1.3284111718143644E-5</v>
      </c>
      <c r="BB57" s="15">
        <f t="shared" si="25"/>
        <v>2085138.1407006918</v>
      </c>
      <c r="BC57" s="20">
        <f t="shared" si="26"/>
        <v>1561.0196069418453</v>
      </c>
      <c r="BD57" s="19">
        <f t="shared" si="27"/>
        <v>7.4920174114908977E-2</v>
      </c>
      <c r="BE57" s="15">
        <v>3691350</v>
      </c>
      <c r="BF57" s="16">
        <f>テーブル2[[#This Row],[q_P]]/テーブル2[[#This Row],[q_M]]</f>
        <v>0.56487142663272027</v>
      </c>
      <c r="BG57">
        <v>1</v>
      </c>
      <c r="BH57">
        <v>5.2999999999999999E-2</v>
      </c>
      <c r="BI57">
        <v>4.5999999999999999E-2</v>
      </c>
      <c r="BJ57">
        <v>5625</v>
      </c>
      <c r="BK57" s="22">
        <v>1</v>
      </c>
      <c r="BL57">
        <f>テーブル2[[#This Row],[Ts]]-テーブル2[[#This Row],[Tin]]</f>
        <v>47.701208285978055</v>
      </c>
      <c r="BM57">
        <f>テーブル2[[#This Row],[q_P]]*0.000001</f>
        <v>2.0851381407006917</v>
      </c>
      <c r="BN57">
        <f>テーブル2[[#This Row],[Tsub]]</f>
        <v>47.701208285978055</v>
      </c>
      <c r="BO57">
        <f>テーブル2[[#This Row],[Fcorr]]</f>
        <v>1</v>
      </c>
      <c r="BP57">
        <f>(テーブル2[[#This Row],[Tsub]]-40)^2</f>
        <v>59.308609064017048</v>
      </c>
      <c r="BQ57">
        <v>1</v>
      </c>
      <c r="BR57">
        <v>0.3175</v>
      </c>
    </row>
    <row r="58" spans="1:70" x14ac:dyDescent="0.15">
      <c r="A58" s="9" t="s">
        <v>126</v>
      </c>
      <c r="B58">
        <v>13789520</v>
      </c>
      <c r="C58" s="22">
        <f t="array" ref="C58">TsatFromP(テーブル2[[#This Row],[P]])</f>
        <v>608.621106065763</v>
      </c>
      <c r="D58">
        <f t="array" ref="D58">RhoGFromP(テーブル2[[#This Row],[P]])</f>
        <v>85.147893581579396</v>
      </c>
      <c r="E58">
        <f t="array" ref="E58">RhoFFromP(テーブル2[[#This Row],[P]])</f>
        <v>624.86627494838649</v>
      </c>
      <c r="F58">
        <f t="array" ref="F58">HgFromP(テーブル2[[#This Row],[P]])</f>
        <v>2643264.389866509</v>
      </c>
      <c r="G58">
        <f t="array" ref="G58">HfFromP(テーブル2[[#This Row],[P]])</f>
        <v>1562686.9740257829</v>
      </c>
      <c r="H58">
        <f t="array" ref="H58">MuGFromP(テーブル2[[#This Row],[P]])</f>
        <v>2.2019594042733509E-5</v>
      </c>
      <c r="I58">
        <f t="array" ref="I58">MuFFromP(テーブル2[[#This Row],[P]])</f>
        <v>7.2223252690249831E-5</v>
      </c>
      <c r="J58">
        <f t="array" ref="J58">KfFromP(テーブル2[[#This Row],[P]])</f>
        <v>0.4911212487937569</v>
      </c>
      <c r="K58">
        <f t="array" ref="K58">CpFFromP(テーブル2[[#This Row],[P]])</f>
        <v>7679.7516396704104</v>
      </c>
      <c r="L58">
        <f t="array" ref="L58">SigmaFromP(テーブル2[[#This Row],[P]])</f>
        <v>6.5036382888884548E-3</v>
      </c>
      <c r="M58" s="23">
        <v>57</v>
      </c>
      <c r="N58">
        <v>2861.16</v>
      </c>
      <c r="O58" s="8">
        <v>1.7719053836560401E-5</v>
      </c>
      <c r="P58" s="8">
        <v>1.4921936786020801E-2</v>
      </c>
      <c r="Q58" s="8">
        <v>4.7498000000000002E-3</v>
      </c>
      <c r="R58">
        <v>0.3175</v>
      </c>
      <c r="S58" s="15">
        <v>1470945.17578125</v>
      </c>
      <c r="T58">
        <v>575.85741467334606</v>
      </c>
      <c r="U58" s="12">
        <f>+T58+BG58*S58*テーブル2[[#This Row],[Pw]]*R58/(N58*O58*K58)</f>
        <v>593.75669475953111</v>
      </c>
      <c r="V58">
        <v>0.03</v>
      </c>
      <c r="W58" s="8">
        <f t="shared" si="0"/>
        <v>188165.68434385463</v>
      </c>
      <c r="X58">
        <v>2.648758764838987E-2</v>
      </c>
      <c r="Y58">
        <f t="shared" si="1"/>
        <v>6.1443903242986835</v>
      </c>
      <c r="Z58">
        <f t="shared" si="2"/>
        <v>6.1443903505649944</v>
      </c>
      <c r="AA58">
        <f t="shared" si="3"/>
        <v>-2.6266310904077272E-8</v>
      </c>
      <c r="AB58">
        <f t="shared" si="4"/>
        <v>1.7992354589735144E-5</v>
      </c>
      <c r="AC58">
        <v>633.01671647436694</v>
      </c>
      <c r="AD58">
        <f t="shared" si="5"/>
        <v>5413.6059219729668</v>
      </c>
      <c r="AE58">
        <f>+gettm2(AD58,AC58,AK58,AL58,テーブル2[[#This Row],[Fcorr]])</f>
        <v>593.75669508969827</v>
      </c>
      <c r="AF58" s="14">
        <f t="shared" si="6"/>
        <v>3.3016715406120056E-7</v>
      </c>
      <c r="AG58">
        <v>1.802144056279982E-5</v>
      </c>
      <c r="AH58">
        <f t="shared" si="7"/>
        <v>43.376012337588264</v>
      </c>
      <c r="AI58">
        <f t="shared" si="8"/>
        <v>0.26347005919884531</v>
      </c>
      <c r="AJ58">
        <f t="shared" si="9"/>
        <v>41.080035939726699</v>
      </c>
      <c r="AK58">
        <f t="array" ref="AK58">+S58*テーブル2[[#This Row],[F_form]]/(E58*CpFromTP((テーブル2[[#This Row],[Tin]]+テーブル2[[#This Row],[Tf]])/2,テーブル2[[#This Row],[P]])*AI58)</f>
        <v>1.5339909236216478</v>
      </c>
      <c r="AL58">
        <f t="shared" si="10"/>
        <v>1.1293680422758512</v>
      </c>
      <c r="AM58">
        <f t="shared" si="11"/>
        <v>608.62110606560486</v>
      </c>
      <c r="AN58">
        <f t="shared" si="12"/>
        <v>1.581383912707679E-10</v>
      </c>
      <c r="AO58">
        <f t="shared" si="13"/>
        <v>2.9085973064675314E-8</v>
      </c>
      <c r="AP58">
        <v>3.4479936722513131</v>
      </c>
      <c r="AQ58">
        <f t="shared" si="14"/>
        <v>4.5867951873028281E-5</v>
      </c>
      <c r="AR58">
        <f t="shared" si="15"/>
        <v>9.0252632679322475E-6</v>
      </c>
      <c r="AS58">
        <f t="shared" si="16"/>
        <v>20.573168838537665</v>
      </c>
      <c r="AT58">
        <f t="shared" si="17"/>
        <v>12.069938716302119</v>
      </c>
      <c r="AU58">
        <f t="shared" si="18"/>
        <v>3.1800674681105541</v>
      </c>
      <c r="AV58">
        <f t="shared" si="19"/>
        <v>0.26792620414075907</v>
      </c>
      <c r="AW58">
        <f t="shared" si="20"/>
        <v>1.0817208364252498E-2</v>
      </c>
      <c r="AX58">
        <f t="shared" si="21"/>
        <v>0.26792619341985319</v>
      </c>
      <c r="AY58">
        <f t="shared" si="22"/>
        <v>1.07209058852753E-8</v>
      </c>
      <c r="AZ58">
        <f t="shared" si="23"/>
        <v>1080577.4158407261</v>
      </c>
      <c r="BA58">
        <f t="shared" si="24"/>
        <v>1.3302794678007493E-5</v>
      </c>
      <c r="BB58" s="15">
        <f t="shared" si="25"/>
        <v>1476330.8050327587</v>
      </c>
      <c r="BC58" s="20">
        <f t="shared" si="26"/>
        <v>5385.6292515087407</v>
      </c>
      <c r="BD58" s="19">
        <f t="shared" si="27"/>
        <v>0.36613392124885413</v>
      </c>
      <c r="BE58" s="15">
        <v>3129760</v>
      </c>
      <c r="BF58" s="16">
        <f>テーブル2[[#This Row],[q_P]]/テーブル2[[#This Row],[q_M]]</f>
        <v>0.4717073529704382</v>
      </c>
      <c r="BG58">
        <v>1</v>
      </c>
      <c r="BH58">
        <v>7.9000000000000001E-2</v>
      </c>
      <c r="BI58">
        <v>4.5999999999999999E-2</v>
      </c>
      <c r="BJ58">
        <v>5625</v>
      </c>
      <c r="BK58" s="22">
        <v>1</v>
      </c>
      <c r="BL58">
        <f>テーブル2[[#This Row],[Ts]]-テーブル2[[#This Row],[Tin]]</f>
        <v>32.763691392416945</v>
      </c>
      <c r="BM58">
        <f>テーブル2[[#This Row],[q_P]]*0.000001</f>
        <v>1.4763308050327586</v>
      </c>
      <c r="BN58">
        <f>テーブル2[[#This Row],[Tsub]]</f>
        <v>32.763691392416945</v>
      </c>
      <c r="BO58">
        <f>テーブル2[[#This Row],[Fcorr]]</f>
        <v>1</v>
      </c>
      <c r="BP58">
        <f>(テーブル2[[#This Row],[Tsub]]-40)^2</f>
        <v>52.364162264180614</v>
      </c>
      <c r="BQ58">
        <v>1</v>
      </c>
      <c r="BR58">
        <v>0.3175</v>
      </c>
    </row>
    <row r="59" spans="1:70" x14ac:dyDescent="0.15">
      <c r="A59" s="9" t="s">
        <v>127</v>
      </c>
      <c r="B59">
        <v>13789520</v>
      </c>
      <c r="C59" s="22">
        <f t="array" ref="C59">TsatFromP(テーブル2[[#This Row],[P]])</f>
        <v>608.621106065763</v>
      </c>
      <c r="D59">
        <f t="array" ref="D59">RhoGFromP(テーブル2[[#This Row],[P]])</f>
        <v>85.147893581579396</v>
      </c>
      <c r="E59">
        <f t="array" ref="E59">RhoFFromP(テーブル2[[#This Row],[P]])</f>
        <v>624.86627494838649</v>
      </c>
      <c r="F59">
        <f t="array" ref="F59">HgFromP(テーブル2[[#This Row],[P]])</f>
        <v>2643264.389866509</v>
      </c>
      <c r="G59">
        <f t="array" ref="G59">HfFromP(テーブル2[[#This Row],[P]])</f>
        <v>1562686.9740257829</v>
      </c>
      <c r="H59">
        <f t="array" ref="H59">MuGFromP(テーブル2[[#This Row],[P]])</f>
        <v>2.2019594042733509E-5</v>
      </c>
      <c r="I59">
        <f t="array" ref="I59">MuFFromP(テーブル2[[#This Row],[P]])</f>
        <v>7.2223252690249831E-5</v>
      </c>
      <c r="J59">
        <f t="array" ref="J59">KfFromP(テーブル2[[#This Row],[P]])</f>
        <v>0.4911212487937569</v>
      </c>
      <c r="K59">
        <f t="array" ref="K59">CpFFromP(テーブル2[[#This Row],[P]])</f>
        <v>7679.7516396704104</v>
      </c>
      <c r="L59">
        <f t="array" ref="L59">SigmaFromP(テーブル2[[#This Row],[P]])</f>
        <v>6.5036382888884548E-3</v>
      </c>
      <c r="M59">
        <v>58</v>
      </c>
      <c r="N59">
        <v>2861.16</v>
      </c>
      <c r="O59" s="8">
        <v>1.7719053836560401E-5</v>
      </c>
      <c r="P59" s="8">
        <v>1.4921936786020801E-2</v>
      </c>
      <c r="Q59" s="8">
        <v>4.7498000000000002E-3</v>
      </c>
      <c r="R59">
        <v>0.3175</v>
      </c>
      <c r="S59" s="15">
        <v>1493587.0132812499</v>
      </c>
      <c r="T59">
        <v>575.31581159469101</v>
      </c>
      <c r="U59" s="12">
        <f>+T59+BG59*S59*テーブル2[[#This Row],[Pw]]*R59/(N59*O59*K59)</f>
        <v>593.49061016909104</v>
      </c>
      <c r="V59">
        <v>0.03</v>
      </c>
      <c r="W59" s="8">
        <f t="shared" si="0"/>
        <v>188165.68434385463</v>
      </c>
      <c r="X59">
        <v>2.648758764838987E-2</v>
      </c>
      <c r="Y59">
        <f t="shared" si="1"/>
        <v>6.1443903242986835</v>
      </c>
      <c r="Z59">
        <f t="shared" si="2"/>
        <v>6.1443903505649944</v>
      </c>
      <c r="AA59">
        <f t="shared" si="3"/>
        <v>-2.6266310904077272E-8</v>
      </c>
      <c r="AB59">
        <f t="shared" si="4"/>
        <v>1.7992354589735144E-5</v>
      </c>
      <c r="AC59">
        <v>633.45374895095165</v>
      </c>
      <c r="AD59">
        <f t="shared" si="5"/>
        <v>5413.6059219729668</v>
      </c>
      <c r="AE59">
        <f>+gettm2(AD59,AC59,AK59,AL59,テーブル2[[#This Row],[Fcorr]])</f>
        <v>593.49061016909104</v>
      </c>
      <c r="AF59" s="14">
        <f t="shared" si="6"/>
        <v>0</v>
      </c>
      <c r="AG59">
        <v>1.8022019849431849E-5</v>
      </c>
      <c r="AH59">
        <f t="shared" si="7"/>
        <v>43.376012337588264</v>
      </c>
      <c r="AI59">
        <f t="shared" si="8"/>
        <v>0.26347005919884531</v>
      </c>
      <c r="AJ59">
        <f t="shared" si="9"/>
        <v>41.081356428817472</v>
      </c>
      <c r="AK59">
        <f t="array" ref="AK59">+S59*テーブル2[[#This Row],[F_form]]/(E59*CpFromTP((テーブル2[[#This Row],[Tin]]+テーブル2[[#This Row],[Tf]])/2,テーブル2[[#This Row],[P]])*AI59)</f>
        <v>1.5614635450694274</v>
      </c>
      <c r="AL59">
        <f t="shared" si="10"/>
        <v>1.1293680422758512</v>
      </c>
      <c r="AM59">
        <f t="shared" si="11"/>
        <v>608.62110606558872</v>
      </c>
      <c r="AN59">
        <f t="shared" si="12"/>
        <v>1.7428192222723737E-10</v>
      </c>
      <c r="AO59">
        <f t="shared" si="13"/>
        <v>2.9665259696705121E-8</v>
      </c>
      <c r="AP59">
        <v>3.4480721274630239</v>
      </c>
      <c r="AQ59">
        <f t="shared" si="14"/>
        <v>4.5865864597123349E-5</v>
      </c>
      <c r="AR59">
        <f t="shared" si="15"/>
        <v>9.0258425545642773E-6</v>
      </c>
      <c r="AS59">
        <f t="shared" si="16"/>
        <v>20.574489327628442</v>
      </c>
      <c r="AT59">
        <f t="shared" si="17"/>
        <v>12.070259631063756</v>
      </c>
      <c r="AU59">
        <f t="shared" si="18"/>
        <v>3.1801520195418007</v>
      </c>
      <c r="AV59">
        <f t="shared" si="19"/>
        <v>0.26792010792122323</v>
      </c>
      <c r="AW59">
        <f t="shared" si="20"/>
        <v>1.0817208364252498E-2</v>
      </c>
      <c r="AX59">
        <f t="shared" si="21"/>
        <v>0.26792009719986393</v>
      </c>
      <c r="AY59">
        <f t="shared" si="22"/>
        <v>1.0721359300358557E-8</v>
      </c>
      <c r="AZ59">
        <f t="shared" si="23"/>
        <v>1080577.4158407261</v>
      </c>
      <c r="BA59">
        <f t="shared" si="24"/>
        <v>1.3301886649009838E-5</v>
      </c>
      <c r="BB59" s="15">
        <f t="shared" si="25"/>
        <v>1505836.7230187482</v>
      </c>
      <c r="BC59" s="20">
        <f t="shared" si="26"/>
        <v>12249.709737498313</v>
      </c>
      <c r="BD59" s="19">
        <f t="shared" si="27"/>
        <v>0.8201537391910646</v>
      </c>
      <c r="BE59" s="15">
        <v>3249650</v>
      </c>
      <c r="BF59" s="16">
        <f>テーブル2[[#This Row],[q_P]]/テーブル2[[#This Row],[q_M]]</f>
        <v>0.46338427923584025</v>
      </c>
      <c r="BG59">
        <v>1</v>
      </c>
      <c r="BH59">
        <v>8.6999999999999994E-2</v>
      </c>
      <c r="BI59">
        <v>4.5999999999999999E-2</v>
      </c>
      <c r="BJ59">
        <v>5625</v>
      </c>
      <c r="BK59" s="22">
        <v>1</v>
      </c>
      <c r="BL59">
        <f>テーブル2[[#This Row],[Ts]]-テーブル2[[#This Row],[Tin]]</f>
        <v>33.305294471071988</v>
      </c>
      <c r="BM59">
        <f>テーブル2[[#This Row],[q_P]]*0.000001</f>
        <v>1.5058367230187482</v>
      </c>
      <c r="BN59">
        <f>テーブル2[[#This Row],[Tsub]]</f>
        <v>33.305294471071988</v>
      </c>
      <c r="BO59">
        <f>テーブル2[[#This Row],[Fcorr]]</f>
        <v>1</v>
      </c>
      <c r="BP59">
        <f>(テーブル2[[#This Row],[Tsub]]-40)^2</f>
        <v>44.819082119059289</v>
      </c>
      <c r="BQ59">
        <v>1</v>
      </c>
      <c r="BR59">
        <v>0.3175</v>
      </c>
    </row>
    <row r="60" spans="1:70" x14ac:dyDescent="0.15">
      <c r="A60" s="9" t="s">
        <v>128</v>
      </c>
      <c r="B60">
        <v>13789520</v>
      </c>
      <c r="C60" s="22">
        <f t="array" ref="C60">TsatFromP(テーブル2[[#This Row],[P]])</f>
        <v>608.621106065763</v>
      </c>
      <c r="D60">
        <f t="array" ref="D60">RhoGFromP(テーブル2[[#This Row],[P]])</f>
        <v>85.147893581579396</v>
      </c>
      <c r="E60">
        <f t="array" ref="E60">RhoFFromP(テーブル2[[#This Row],[P]])</f>
        <v>624.86627494838649</v>
      </c>
      <c r="F60">
        <f t="array" ref="F60">HgFromP(テーブル2[[#This Row],[P]])</f>
        <v>2643264.389866509</v>
      </c>
      <c r="G60">
        <f t="array" ref="G60">HfFromP(テーブル2[[#This Row],[P]])</f>
        <v>1562686.9740257829</v>
      </c>
      <c r="H60">
        <f t="array" ref="H60">MuGFromP(テーブル2[[#This Row],[P]])</f>
        <v>2.2019594042733509E-5</v>
      </c>
      <c r="I60">
        <f t="array" ref="I60">MuFFromP(テーブル2[[#This Row],[P]])</f>
        <v>7.2223252690249831E-5</v>
      </c>
      <c r="J60">
        <f t="array" ref="J60">KfFromP(テーブル2[[#This Row],[P]])</f>
        <v>0.4911212487937569</v>
      </c>
      <c r="K60">
        <f t="array" ref="K60">CpFFromP(テーブル2[[#This Row],[P]])</f>
        <v>7679.7516396704104</v>
      </c>
      <c r="L60">
        <f t="array" ref="L60">SigmaFromP(テーブル2[[#This Row],[P]])</f>
        <v>6.5036382888884548E-3</v>
      </c>
      <c r="M60" s="23">
        <v>59</v>
      </c>
      <c r="N60">
        <v>3037.44</v>
      </c>
      <c r="O60" s="8">
        <v>1.7719053836560401E-5</v>
      </c>
      <c r="P60" s="8">
        <v>1.4921936786020801E-2</v>
      </c>
      <c r="Q60" s="8">
        <v>4.7498000000000002E-3</v>
      </c>
      <c r="R60">
        <v>0.3175</v>
      </c>
      <c r="S60" s="15">
        <v>2771085.4857812501</v>
      </c>
      <c r="T60">
        <v>546.46403770430902</v>
      </c>
      <c r="U60" s="12">
        <f>+T60+BG60*S60*テーブル2[[#This Row],[Pw]]*R60/(N60*O60*K60)</f>
        <v>578.22717839319932</v>
      </c>
      <c r="V60">
        <v>0.03</v>
      </c>
      <c r="W60" s="8">
        <f t="shared" si="0"/>
        <v>199758.83077262295</v>
      </c>
      <c r="X60">
        <v>2.582843016795348E-2</v>
      </c>
      <c r="Y60">
        <f t="shared" si="1"/>
        <v>6.2223006925850006</v>
      </c>
      <c r="Z60">
        <f t="shared" si="2"/>
        <v>6.2223006947724162</v>
      </c>
      <c r="AA60">
        <f t="shared" si="3"/>
        <v>-2.1874155820000851E-9</v>
      </c>
      <c r="AB60">
        <f t="shared" si="4"/>
        <v>1.6371982484804063E-5</v>
      </c>
      <c r="AC60">
        <v>656.98280924712549</v>
      </c>
      <c r="AD60">
        <f t="shared" si="5"/>
        <v>5675.1847435444433</v>
      </c>
      <c r="AE60">
        <f>+gettm2(AD60,AC60,AK60,AL60,テーブル2[[#This Row],[Fcorr]])</f>
        <v>578.22717839319932</v>
      </c>
      <c r="AF60" s="14">
        <f t="shared" si="6"/>
        <v>0</v>
      </c>
      <c r="AG60">
        <v>1.6422213551125628E-5</v>
      </c>
      <c r="AH60">
        <f t="shared" si="7"/>
        <v>47.669034302412058</v>
      </c>
      <c r="AI60">
        <f t="shared" si="8"/>
        <v>0.2762006104428642</v>
      </c>
      <c r="AJ60">
        <f t="shared" si="9"/>
        <v>39.24337690032295</v>
      </c>
      <c r="AK60">
        <f t="array" ref="AK60">+S60*テーブル2[[#This Row],[F_form]]/(E60*CpFromTP((テーブル2[[#This Row],[Tin]]+テーブル2[[#This Row],[Tf]])/2,テーブル2[[#This Row],[P]])*AI60)</f>
        <v>3.062997547577079</v>
      </c>
      <c r="AL60">
        <f t="shared" si="10"/>
        <v>1.1293680422758512</v>
      </c>
      <c r="AM60">
        <f t="shared" si="11"/>
        <v>608.62110603027338</v>
      </c>
      <c r="AN60">
        <f t="shared" si="12"/>
        <v>3.5489620131556876E-8</v>
      </c>
      <c r="AO60">
        <f t="shared" si="13"/>
        <v>5.0231066321564831E-8</v>
      </c>
      <c r="AP60">
        <v>3.5456821764516628</v>
      </c>
      <c r="AQ60">
        <f t="shared" si="14"/>
        <v>4.3375316816536503E-5</v>
      </c>
      <c r="AR60">
        <f t="shared" si="15"/>
        <v>8.2362223087235966E-6</v>
      </c>
      <c r="AS60">
        <f t="shared" si="16"/>
        <v>19.681705836417759</v>
      </c>
      <c r="AT60">
        <f t="shared" si="17"/>
        <v>11.84844783273746</v>
      </c>
      <c r="AU60">
        <f t="shared" si="18"/>
        <v>3.2725485242025179</v>
      </c>
      <c r="AV60">
        <f t="shared" si="19"/>
        <v>0.27313365224914499</v>
      </c>
      <c r="AW60">
        <f t="shared" si="20"/>
        <v>9.8430222120597325E-3</v>
      </c>
      <c r="AX60">
        <f t="shared" si="21"/>
        <v>0.2731336414539467</v>
      </c>
      <c r="AY60">
        <f t="shared" si="22"/>
        <v>1.0795198290836083E-8</v>
      </c>
      <c r="AZ60">
        <f t="shared" si="23"/>
        <v>1080577.4158407261</v>
      </c>
      <c r="BA60">
        <f t="shared" si="24"/>
        <v>1.223327829679994E-5</v>
      </c>
      <c r="BB60" s="15">
        <f t="shared" si="25"/>
        <v>2772506.1242673025</v>
      </c>
      <c r="BC60" s="20">
        <f t="shared" si="26"/>
        <v>1420.6384860523976</v>
      </c>
      <c r="BD60" s="19">
        <f t="shared" si="27"/>
        <v>5.1266498032697033E-2</v>
      </c>
      <c r="BE60" s="15">
        <v>4297110</v>
      </c>
      <c r="BF60" s="16">
        <f>テーブル2[[#This Row],[q_P]]/テーブル2[[#This Row],[q_M]]</f>
        <v>0.64520250220899689</v>
      </c>
      <c r="BG60">
        <v>1</v>
      </c>
      <c r="BH60">
        <v>1.4999999999999999E-2</v>
      </c>
      <c r="BI60">
        <v>4.5999999999999999E-2</v>
      </c>
      <c r="BJ60">
        <v>5625</v>
      </c>
      <c r="BK60" s="22">
        <v>1</v>
      </c>
      <c r="BL60">
        <f>テーブル2[[#This Row],[Ts]]-テーブル2[[#This Row],[Tin]]</f>
        <v>62.15706836145398</v>
      </c>
      <c r="BM60">
        <f>テーブル2[[#This Row],[q_P]]*0.000001</f>
        <v>2.7725061242673021</v>
      </c>
      <c r="BN60">
        <f>テーブル2[[#This Row],[Tsub]]</f>
        <v>62.15706836145398</v>
      </c>
      <c r="BO60">
        <f>テーブル2[[#This Row],[Fcorr]]</f>
        <v>1</v>
      </c>
      <c r="BP60">
        <f>(テーブル2[[#This Row],[Tsub]]-40)^2</f>
        <v>490.93567837414497</v>
      </c>
      <c r="BQ60">
        <v>1</v>
      </c>
      <c r="BR60">
        <v>0.3175</v>
      </c>
    </row>
    <row r="61" spans="1:70" x14ac:dyDescent="0.15">
      <c r="A61" s="9" t="s">
        <v>129</v>
      </c>
      <c r="B61">
        <v>13789520</v>
      </c>
      <c r="C61" s="22">
        <f t="array" ref="C61">TsatFromP(テーブル2[[#This Row],[P]])</f>
        <v>608.621106065763</v>
      </c>
      <c r="D61">
        <f t="array" ref="D61">RhoGFromP(テーブル2[[#This Row],[P]])</f>
        <v>85.147893581579396</v>
      </c>
      <c r="E61">
        <f t="array" ref="E61">RhoFFromP(テーブル2[[#This Row],[P]])</f>
        <v>624.86627494838649</v>
      </c>
      <c r="F61">
        <f t="array" ref="F61">HgFromP(テーブル2[[#This Row],[P]])</f>
        <v>2643264.389866509</v>
      </c>
      <c r="G61">
        <f t="array" ref="G61">HfFromP(テーブル2[[#This Row],[P]])</f>
        <v>1562686.9740257829</v>
      </c>
      <c r="H61">
        <f t="array" ref="H61">MuGFromP(テーブル2[[#This Row],[P]])</f>
        <v>2.2019594042733509E-5</v>
      </c>
      <c r="I61">
        <f t="array" ref="I61">MuFFromP(テーブル2[[#This Row],[P]])</f>
        <v>7.2223252690249831E-5</v>
      </c>
      <c r="J61">
        <f t="array" ref="J61">KfFromP(テーブル2[[#This Row],[P]])</f>
        <v>0.4911212487937569</v>
      </c>
      <c r="K61">
        <f t="array" ref="K61">CpFFromP(テーブル2[[#This Row],[P]])</f>
        <v>7679.7516396704104</v>
      </c>
      <c r="L61">
        <f t="array" ref="L61">SigmaFromP(テーブル2[[#This Row],[P]])</f>
        <v>6.5036382888884548E-3</v>
      </c>
      <c r="M61">
        <v>60</v>
      </c>
      <c r="N61">
        <v>3240.84</v>
      </c>
      <c r="O61" s="8">
        <v>1.7719053836560401E-5</v>
      </c>
      <c r="P61" s="8">
        <v>1.4921936786020801E-2</v>
      </c>
      <c r="Q61" s="8">
        <v>4.7498000000000002E-3</v>
      </c>
      <c r="R61">
        <v>0.3175</v>
      </c>
      <c r="S61" s="15">
        <v>3473975.09765625</v>
      </c>
      <c r="T61">
        <v>532.84871111815698</v>
      </c>
      <c r="U61" s="12">
        <f>+T61+BG61*S61*テーブル2[[#This Row],[Pw]]*R61/(N61*O61*K61)</f>
        <v>570.16945855758365</v>
      </c>
      <c r="V61">
        <v>0.03</v>
      </c>
      <c r="W61" s="8">
        <f t="shared" si="0"/>
        <v>213135.5381904325</v>
      </c>
      <c r="X61">
        <v>2.514065675599568E-2</v>
      </c>
      <c r="Y61">
        <f t="shared" si="1"/>
        <v>6.3068382175993563</v>
      </c>
      <c r="Z61">
        <f t="shared" si="2"/>
        <v>6.3068382264170468</v>
      </c>
      <c r="AA61">
        <f t="shared" si="3"/>
        <v>-8.8176905777004322E-9</v>
      </c>
      <c r="AB61">
        <f t="shared" si="4"/>
        <v>1.4774843804228533E-5</v>
      </c>
      <c r="AC61">
        <v>667.79379004468331</v>
      </c>
      <c r="AD61">
        <f t="shared" si="5"/>
        <v>5974.0546358768634</v>
      </c>
      <c r="AE61">
        <f>+gettm2(AD61,AC61,AK61,AL61,テーブル2[[#This Row],[Fcorr]])</f>
        <v>570.16945855758365</v>
      </c>
      <c r="AF61" s="14">
        <f t="shared" si="6"/>
        <v>0</v>
      </c>
      <c r="AG61">
        <v>1.483278890377218E-5</v>
      </c>
      <c r="AH61">
        <f t="shared" si="7"/>
        <v>52.821986141285301</v>
      </c>
      <c r="AI61">
        <f t="shared" si="8"/>
        <v>0.29074604824541439</v>
      </c>
      <c r="AJ61">
        <f t="shared" si="9"/>
        <v>37.311841051649786</v>
      </c>
      <c r="AK61">
        <f t="array" ref="AK61">+S61*テーブル2[[#This Row],[F_form]]/(E61*CpFromTP((テーブル2[[#This Row],[Tin]]+テーブル2[[#This Row],[Tf]])/2,テーブル2[[#This Row],[P]])*AI61)</f>
        <v>3.7779046492442934</v>
      </c>
      <c r="AL61">
        <f t="shared" si="10"/>
        <v>1.1293680422758512</v>
      </c>
      <c r="AM61">
        <f t="shared" si="11"/>
        <v>608.62110605561645</v>
      </c>
      <c r="AN61">
        <f t="shared" si="12"/>
        <v>1.0146550266654231E-8</v>
      </c>
      <c r="AO61">
        <f t="shared" si="13"/>
        <v>5.7945099543647049E-8</v>
      </c>
      <c r="AP61">
        <v>3.6518999507241729</v>
      </c>
      <c r="AQ61">
        <f t="shared" si="14"/>
        <v>4.0888815210792302E-5</v>
      </c>
      <c r="AR61">
        <f t="shared" si="15"/>
        <v>7.4453670016579133E-6</v>
      </c>
      <c r="AS61">
        <f t="shared" si="16"/>
        <v>18.728800897746883</v>
      </c>
      <c r="AT61">
        <f t="shared" si="17"/>
        <v>11.600312469990005</v>
      </c>
      <c r="AU61">
        <f t="shared" si="18"/>
        <v>3.372745009061596</v>
      </c>
      <c r="AV61">
        <f t="shared" si="19"/>
        <v>0.27915494166257693</v>
      </c>
      <c r="AW61">
        <f t="shared" si="20"/>
        <v>8.8828042590270977E-3</v>
      </c>
      <c r="AX61">
        <f t="shared" si="21"/>
        <v>0.27915493811131908</v>
      </c>
      <c r="AY61">
        <f t="shared" si="22"/>
        <v>3.55125784334831E-9</v>
      </c>
      <c r="AZ61">
        <f t="shared" si="23"/>
        <v>1080577.4158407261</v>
      </c>
      <c r="BA61">
        <f t="shared" si="24"/>
        <v>1.1196586917087922E-5</v>
      </c>
      <c r="BB61" s="15">
        <f t="shared" si="25"/>
        <v>3494411.369339705</v>
      </c>
      <c r="BC61" s="20">
        <f t="shared" si="26"/>
        <v>20436.271683454979</v>
      </c>
      <c r="BD61" s="19">
        <f t="shared" si="27"/>
        <v>0.58826765042853935</v>
      </c>
      <c r="BE61" s="15">
        <v>5016450</v>
      </c>
      <c r="BF61" s="16">
        <f>テーブル2[[#This Row],[q_P]]/テーブル2[[#This Row],[q_M]]</f>
        <v>0.69659049115205074</v>
      </c>
      <c r="BG61">
        <v>1</v>
      </c>
      <c r="BH61">
        <v>-1.4E-2</v>
      </c>
      <c r="BI61">
        <v>4.5999999999999999E-2</v>
      </c>
      <c r="BJ61">
        <v>5625</v>
      </c>
      <c r="BK61" s="22">
        <v>1</v>
      </c>
      <c r="BL61">
        <f>テーブル2[[#This Row],[Ts]]-テーブル2[[#This Row],[Tin]]</f>
        <v>75.772394947606017</v>
      </c>
      <c r="BM61">
        <f>テーブル2[[#This Row],[q_P]]*0.000001</f>
        <v>3.494411369339705</v>
      </c>
      <c r="BN61">
        <f>テーブル2[[#This Row],[Tsub]]</f>
        <v>75.772394947606017</v>
      </c>
      <c r="BO61">
        <f>テーブル2[[#This Row],[Fcorr]]</f>
        <v>1</v>
      </c>
      <c r="BP61">
        <f>(テーブル2[[#This Row],[Tsub]]-40)^2</f>
        <v>1279.6642402875084</v>
      </c>
      <c r="BQ61">
        <v>1</v>
      </c>
      <c r="BR61">
        <v>0.3175</v>
      </c>
    </row>
    <row r="62" spans="1:70" x14ac:dyDescent="0.15">
      <c r="A62" s="9" t="s">
        <v>130</v>
      </c>
      <c r="B62">
        <v>13789520</v>
      </c>
      <c r="C62" s="22">
        <f t="array" ref="C62">TsatFromP(テーブル2[[#This Row],[P]])</f>
        <v>608.621106065763</v>
      </c>
      <c r="D62">
        <f t="array" ref="D62">RhoGFromP(テーブル2[[#This Row],[P]])</f>
        <v>85.147893581579396</v>
      </c>
      <c r="E62">
        <f t="array" ref="E62">RhoFFromP(テーブル2[[#This Row],[P]])</f>
        <v>624.86627494838649</v>
      </c>
      <c r="F62">
        <f t="array" ref="F62">HgFromP(テーブル2[[#This Row],[P]])</f>
        <v>2643264.389866509</v>
      </c>
      <c r="G62">
        <f t="array" ref="G62">HfFromP(テーブル2[[#This Row],[P]])</f>
        <v>1562686.9740257829</v>
      </c>
      <c r="H62">
        <f t="array" ref="H62">MuGFromP(テーブル2[[#This Row],[P]])</f>
        <v>2.2019594042733509E-5</v>
      </c>
      <c r="I62">
        <f t="array" ref="I62">MuFFromP(テーブル2[[#This Row],[P]])</f>
        <v>7.2223252690249831E-5</v>
      </c>
      <c r="J62">
        <f t="array" ref="J62">KfFromP(テーブル2[[#This Row],[P]])</f>
        <v>0.4911212487937569</v>
      </c>
      <c r="K62">
        <f t="array" ref="K62">CpFFromP(テーブル2[[#This Row],[P]])</f>
        <v>7679.7516396704104</v>
      </c>
      <c r="L62">
        <f t="array" ref="L62">SigmaFromP(テーブル2[[#This Row],[P]])</f>
        <v>6.5036382888884548E-3</v>
      </c>
      <c r="M62" s="23">
        <v>61</v>
      </c>
      <c r="N62">
        <v>3254.4</v>
      </c>
      <c r="O62" s="8">
        <v>1.7719053836560401E-5</v>
      </c>
      <c r="P62" s="8">
        <v>1.4921936786020801E-2</v>
      </c>
      <c r="Q62" s="8">
        <v>4.7498000000000002E-3</v>
      </c>
      <c r="R62">
        <v>0.3175</v>
      </c>
      <c r="S62" s="15">
        <v>3530403.29296875</v>
      </c>
      <c r="T62">
        <v>531.74235590187595</v>
      </c>
      <c r="U62" s="12">
        <f>+T62+BG62*S62*テーブル2[[#This Row],[Pw]]*R62/(N62*O62*K62)</f>
        <v>569.51127976026135</v>
      </c>
      <c r="V62">
        <v>0.03</v>
      </c>
      <c r="W62" s="8">
        <f t="shared" si="0"/>
        <v>214027.31868495315</v>
      </c>
      <c r="X62">
        <v>2.5097279250446181E-2</v>
      </c>
      <c r="Y62">
        <f t="shared" si="1"/>
        <v>6.3122861547861682</v>
      </c>
      <c r="Z62">
        <f t="shared" si="2"/>
        <v>6.3122861986763308</v>
      </c>
      <c r="AA62">
        <f t="shared" si="3"/>
        <v>-4.3890162615412009E-8</v>
      </c>
      <c r="AB62">
        <f t="shared" si="4"/>
        <v>1.4677300721031837E-5</v>
      </c>
      <c r="AC62">
        <v>668.67809075086018</v>
      </c>
      <c r="AD62">
        <f t="shared" si="5"/>
        <v>5993.8730869541587</v>
      </c>
      <c r="AE62">
        <f>+gettm2(AD62,AC62,AK62,AL62,テーブル2[[#This Row],[Fcorr]])</f>
        <v>569.51128044704217</v>
      </c>
      <c r="AF62" s="14">
        <f t="shared" si="6"/>
        <v>6.8678082243422978E-7</v>
      </c>
      <c r="AG62">
        <v>1.473558647013981E-5</v>
      </c>
      <c r="AH62">
        <f t="shared" si="7"/>
        <v>53.173032937063702</v>
      </c>
      <c r="AI62">
        <f t="shared" si="8"/>
        <v>0.29171057513448312</v>
      </c>
      <c r="AJ62">
        <f t="shared" si="9"/>
        <v>37.1902965025293</v>
      </c>
      <c r="AK62">
        <f t="array" ref="AK62">+S62*テーブル2[[#This Row],[F_form]]/(E62*CpFromTP((テーブル2[[#This Row],[Tin]]+テーブル2[[#This Row],[Tf]])/2,テーブル2[[#This Row],[P]])*AI62)</f>
        <v>3.8363611538928142</v>
      </c>
      <c r="AL62">
        <f t="shared" si="10"/>
        <v>1.1293680422758512</v>
      </c>
      <c r="AM62">
        <f t="shared" si="11"/>
        <v>608.62110605803946</v>
      </c>
      <c r="AN62">
        <f t="shared" si="12"/>
        <v>7.7235426942934282E-9</v>
      </c>
      <c r="AO62">
        <f t="shared" si="13"/>
        <v>5.8285749107972785E-8</v>
      </c>
      <c r="AP62">
        <v>3.6587987247163758</v>
      </c>
      <c r="AQ62">
        <f t="shared" si="14"/>
        <v>4.073476642129092E-5</v>
      </c>
      <c r="AR62">
        <f t="shared" si="15"/>
        <v>7.3969361096238913E-6</v>
      </c>
      <c r="AS62">
        <f t="shared" si="16"/>
        <v>18.668700270914162</v>
      </c>
      <c r="AT62">
        <f t="shared" si="17"/>
        <v>11.584241696089299</v>
      </c>
      <c r="AU62">
        <f t="shared" si="18"/>
        <v>3.3792458076630694</v>
      </c>
      <c r="AV62">
        <f t="shared" si="19"/>
        <v>0.27955291705330643</v>
      </c>
      <c r="AW62">
        <f t="shared" si="20"/>
        <v>8.8241602471959696E-3</v>
      </c>
      <c r="AX62">
        <f t="shared" si="21"/>
        <v>0.27955291132186871</v>
      </c>
      <c r="AY62">
        <f t="shared" si="22"/>
        <v>5.7314377133188543E-9</v>
      </c>
      <c r="AZ62">
        <f t="shared" si="23"/>
        <v>1080577.4158407261</v>
      </c>
      <c r="BA62">
        <f t="shared" si="24"/>
        <v>1.1133371766562156E-5</v>
      </c>
      <c r="BB62" s="15">
        <f t="shared" si="25"/>
        <v>3534912.2991043734</v>
      </c>
      <c r="BC62" s="20">
        <f t="shared" si="26"/>
        <v>4509.0061356234364</v>
      </c>
      <c r="BD62" s="19">
        <f t="shared" si="27"/>
        <v>0.12771929327744791</v>
      </c>
      <c r="BE62" s="15">
        <v>4101500</v>
      </c>
      <c r="BF62" s="16">
        <f>テーブル2[[#This Row],[q_P]]/テーブル2[[#This Row],[q_M]]</f>
        <v>0.86185841743371294</v>
      </c>
      <c r="BG62">
        <v>1</v>
      </c>
      <c r="BH62">
        <v>-0.09</v>
      </c>
      <c r="BI62">
        <v>4.5999999999999999E-2</v>
      </c>
      <c r="BJ62">
        <v>5625</v>
      </c>
      <c r="BK62" s="22">
        <v>1</v>
      </c>
      <c r="BL62">
        <f>テーブル2[[#This Row],[Ts]]-テーブル2[[#This Row],[Tin]]</f>
        <v>76.878750163887048</v>
      </c>
      <c r="BM62">
        <f>テーブル2[[#This Row],[q_P]]*0.000001</f>
        <v>3.5349122991043731</v>
      </c>
      <c r="BN62">
        <f>テーブル2[[#This Row],[Tsub]]</f>
        <v>76.878750163887048</v>
      </c>
      <c r="BO62">
        <f>テーブル2[[#This Row],[Fcorr]]</f>
        <v>1</v>
      </c>
      <c r="BP62">
        <f>(テーブル2[[#This Row],[Tsub]]-40)^2</f>
        <v>1360.0422136503989</v>
      </c>
      <c r="BQ62">
        <v>1</v>
      </c>
      <c r="BR62">
        <v>0.3175</v>
      </c>
    </row>
    <row r="63" spans="1:70" x14ac:dyDescent="0.15">
      <c r="A63" s="9" t="s">
        <v>131</v>
      </c>
      <c r="B63">
        <v>13789520</v>
      </c>
      <c r="C63" s="22">
        <f t="array" ref="C63">TsatFromP(テーブル2[[#This Row],[P]])</f>
        <v>608.621106065763</v>
      </c>
      <c r="D63">
        <f t="array" ref="D63">RhoGFromP(テーブル2[[#This Row],[P]])</f>
        <v>85.147893581579396</v>
      </c>
      <c r="E63">
        <f t="array" ref="E63">RhoFFromP(テーブル2[[#This Row],[P]])</f>
        <v>624.86627494838649</v>
      </c>
      <c r="F63">
        <f t="array" ref="F63">HgFromP(テーブル2[[#This Row],[P]])</f>
        <v>2643264.389866509</v>
      </c>
      <c r="G63">
        <f t="array" ref="G63">HfFromP(テーブル2[[#This Row],[P]])</f>
        <v>1562686.9740257829</v>
      </c>
      <c r="H63">
        <f t="array" ref="H63">MuGFromP(テーブル2[[#This Row],[P]])</f>
        <v>2.2019594042733509E-5</v>
      </c>
      <c r="I63">
        <f t="array" ref="I63">MuFFromP(テーブル2[[#This Row],[P]])</f>
        <v>7.2223252690249831E-5</v>
      </c>
      <c r="J63">
        <f t="array" ref="J63">KfFromP(テーブル2[[#This Row],[P]])</f>
        <v>0.4911212487937569</v>
      </c>
      <c r="K63">
        <f t="array" ref="K63">CpFFromP(テーブル2[[#This Row],[P]])</f>
        <v>7679.7516396704104</v>
      </c>
      <c r="L63">
        <f t="array" ref="L63">SigmaFromP(テーブル2[[#This Row],[P]])</f>
        <v>6.5036382888884548E-3</v>
      </c>
      <c r="M63">
        <v>62</v>
      </c>
      <c r="N63">
        <v>3390</v>
      </c>
      <c r="O63" s="8">
        <v>1.7719053836560401E-5</v>
      </c>
      <c r="P63" s="8">
        <v>1.4921936786020801E-2</v>
      </c>
      <c r="Q63" s="8">
        <v>4.7498000000000002E-3</v>
      </c>
      <c r="R63">
        <v>0.3175</v>
      </c>
      <c r="S63" s="15">
        <v>4885709.98828125</v>
      </c>
      <c r="T63">
        <v>502.18664486312503</v>
      </c>
      <c r="U63" s="12">
        <f>+T63+BG63*S63*テーブル2[[#This Row],[Pw]]*R63/(N63*O63*K63)</f>
        <v>552.36416666430182</v>
      </c>
      <c r="V63">
        <v>0.03</v>
      </c>
      <c r="W63" s="8">
        <f t="shared" si="0"/>
        <v>222945.12363015956</v>
      </c>
      <c r="X63">
        <v>2.4678932692460711E-2</v>
      </c>
      <c r="Y63">
        <f t="shared" si="1"/>
        <v>6.3655628904620603</v>
      </c>
      <c r="Z63">
        <f t="shared" si="2"/>
        <v>6.3655629128054843</v>
      </c>
      <c r="AA63">
        <f t="shared" si="3"/>
        <v>-2.2343423999870993E-8</v>
      </c>
      <c r="AB63">
        <f t="shared" si="4"/>
        <v>1.375589740389711E-5</v>
      </c>
      <c r="AC63">
        <v>693.26798740051709</v>
      </c>
      <c r="AD63">
        <f t="shared" si="5"/>
        <v>6191.3616856873059</v>
      </c>
      <c r="AE63">
        <f>+gettm2(AD63,AC63,AK63,AL63,テーブル2[[#This Row],[Fcorr]])</f>
        <v>552.36416666430182</v>
      </c>
      <c r="AF63" s="14">
        <f t="shared" si="6"/>
        <v>0</v>
      </c>
      <c r="AG63">
        <v>1.383250241704707E-5</v>
      </c>
      <c r="AH63">
        <f t="shared" si="7"/>
        <v>56.734691438270922</v>
      </c>
      <c r="AI63">
        <f t="shared" si="8"/>
        <v>0.30132197528980814</v>
      </c>
      <c r="AJ63">
        <f t="shared" si="9"/>
        <v>36.061318574290411</v>
      </c>
      <c r="AK63">
        <f t="array" ref="AK63">+S63*テーブル2[[#This Row],[F_form]]/(E63*CpFromTP((テーブル2[[#This Row],[Tin]]+テーブル2[[#This Row],[Tf]])/2,テーブル2[[#This Row],[P]])*AI63)</f>
        <v>5.4338823225485493</v>
      </c>
      <c r="AL63">
        <f t="shared" si="10"/>
        <v>1.1293680422758512</v>
      </c>
      <c r="AM63">
        <f t="shared" si="11"/>
        <v>608.6211060349649</v>
      </c>
      <c r="AN63">
        <f t="shared" si="12"/>
        <v>3.0798105399298947E-8</v>
      </c>
      <c r="AO63">
        <f t="shared" si="13"/>
        <v>7.66050131499601E-8</v>
      </c>
      <c r="AP63">
        <v>3.7297833475328699</v>
      </c>
      <c r="AQ63">
        <f t="shared" si="14"/>
        <v>3.9199006251296988E-5</v>
      </c>
      <c r="AR63">
        <f t="shared" si="15"/>
        <v>6.9545537150985152E-6</v>
      </c>
      <c r="AS63">
        <f t="shared" si="16"/>
        <v>18.130513879622409</v>
      </c>
      <c r="AT63">
        <f t="shared" si="17"/>
        <v>11.437981842625801</v>
      </c>
      <c r="AU63">
        <f t="shared" si="18"/>
        <v>3.4465152821489657</v>
      </c>
      <c r="AV63">
        <f t="shared" si="19"/>
        <v>0.28326806538390414</v>
      </c>
      <c r="AW63">
        <f t="shared" si="20"/>
        <v>8.2702020857307618E-3</v>
      </c>
      <c r="AX63">
        <f t="shared" si="21"/>
        <v>0.28326803186954752</v>
      </c>
      <c r="AY63">
        <f t="shared" si="22"/>
        <v>3.3514356623243202E-8</v>
      </c>
      <c r="AZ63">
        <f t="shared" si="23"/>
        <v>1080577.4158407261</v>
      </c>
      <c r="BA63">
        <f t="shared" si="24"/>
        <v>1.0509727402055633E-5</v>
      </c>
      <c r="BB63" s="15">
        <f t="shared" si="25"/>
        <v>4921627.1787899388</v>
      </c>
      <c r="BC63" s="20">
        <f t="shared" si="26"/>
        <v>35917.1905086888</v>
      </c>
      <c r="BD63" s="19">
        <f t="shared" si="27"/>
        <v>0.73514782078426544</v>
      </c>
      <c r="BE63" s="15">
        <v>5300400</v>
      </c>
      <c r="BF63" s="16">
        <f>テーブル2[[#This Row],[q_P]]/テーブル2[[#This Row],[q_M]]</f>
        <v>0.92853882325672377</v>
      </c>
      <c r="BG63">
        <v>1</v>
      </c>
      <c r="BH63">
        <v>-0.14399999999999999</v>
      </c>
      <c r="BI63">
        <v>4.5999999999999999E-2</v>
      </c>
      <c r="BJ63">
        <v>5625</v>
      </c>
      <c r="BK63" s="22">
        <v>1</v>
      </c>
      <c r="BL63">
        <f>テーブル2[[#This Row],[Ts]]-テーブル2[[#This Row],[Tin]]</f>
        <v>106.43446120263798</v>
      </c>
      <c r="BM63">
        <f>テーブル2[[#This Row],[q_P]]*0.000001</f>
        <v>4.9216271787899384</v>
      </c>
      <c r="BN63">
        <f>テーブル2[[#This Row],[Tsub]]</f>
        <v>106.43446120263798</v>
      </c>
      <c r="BO63">
        <f>テーブル2[[#This Row],[Fcorr]]</f>
        <v>1</v>
      </c>
      <c r="BP63">
        <f>(テーブル2[[#This Row],[Tsub]]-40)^2</f>
        <v>4413.5376352848107</v>
      </c>
      <c r="BQ63">
        <v>1</v>
      </c>
      <c r="BR63">
        <v>0.3175</v>
      </c>
    </row>
    <row r="64" spans="1:70" x14ac:dyDescent="0.15">
      <c r="A64" s="9" t="s">
        <v>132</v>
      </c>
      <c r="B64">
        <v>13789520</v>
      </c>
      <c r="C64" s="22">
        <f t="array" ref="C64">TsatFromP(テーブル2[[#This Row],[P]])</f>
        <v>608.621106065763</v>
      </c>
      <c r="D64">
        <f t="array" ref="D64">RhoGFromP(テーブル2[[#This Row],[P]])</f>
        <v>85.147893581579396</v>
      </c>
      <c r="E64">
        <f t="array" ref="E64">RhoFFromP(テーブル2[[#This Row],[P]])</f>
        <v>624.86627494838649</v>
      </c>
      <c r="F64">
        <f t="array" ref="F64">HgFromP(テーブル2[[#This Row],[P]])</f>
        <v>2643264.389866509</v>
      </c>
      <c r="G64">
        <f t="array" ref="G64">HfFromP(テーブル2[[#This Row],[P]])</f>
        <v>1562686.9740257829</v>
      </c>
      <c r="H64">
        <f t="array" ref="H64">MuGFromP(テーブル2[[#This Row],[P]])</f>
        <v>2.2019594042733509E-5</v>
      </c>
      <c r="I64">
        <f t="array" ref="I64">MuFFromP(テーブル2[[#This Row],[P]])</f>
        <v>7.2223252690249831E-5</v>
      </c>
      <c r="J64">
        <f t="array" ref="J64">KfFromP(テーブル2[[#This Row],[P]])</f>
        <v>0.4911212487937569</v>
      </c>
      <c r="K64">
        <f t="array" ref="K64">CpFFromP(テーブル2[[#This Row],[P]])</f>
        <v>7679.7516396704104</v>
      </c>
      <c r="L64">
        <f t="array" ref="L64">SigmaFromP(テーブル2[[#This Row],[P]])</f>
        <v>6.5036382888884548E-3</v>
      </c>
      <c r="M64" s="23">
        <v>63</v>
      </c>
      <c r="N64">
        <v>3390</v>
      </c>
      <c r="O64" s="8">
        <v>1.7719053836560401E-5</v>
      </c>
      <c r="P64" s="8">
        <v>1.4921936786020801E-2</v>
      </c>
      <c r="Q64" s="8">
        <v>4.7498000000000002E-3</v>
      </c>
      <c r="R64">
        <v>0.3175</v>
      </c>
      <c r="S64" s="15">
        <v>3749439.2742187502</v>
      </c>
      <c r="T64">
        <v>528.989187332651</v>
      </c>
      <c r="U64" s="12">
        <f>+T64+BG64*S64*テーブル2[[#This Row],[Pw]]*R64/(N64*O64*K64)</f>
        <v>567.49691115898577</v>
      </c>
      <c r="V64">
        <v>0.03</v>
      </c>
      <c r="W64" s="8">
        <f t="shared" si="0"/>
        <v>222945.12363015956</v>
      </c>
      <c r="X64">
        <v>2.4678932692460711E-2</v>
      </c>
      <c r="Y64">
        <f t="shared" si="1"/>
        <v>6.3655628904620603</v>
      </c>
      <c r="Z64">
        <f t="shared" si="2"/>
        <v>6.3655629128054843</v>
      </c>
      <c r="AA64">
        <f t="shared" si="3"/>
        <v>-2.2343423999870993E-8</v>
      </c>
      <c r="AB64">
        <f t="shared" si="4"/>
        <v>1.375589740389711E-5</v>
      </c>
      <c r="AC64">
        <v>670.46613761571575</v>
      </c>
      <c r="AD64">
        <f t="shared" si="5"/>
        <v>6191.3616856873059</v>
      </c>
      <c r="AE64">
        <f>+gettm2(AD64,AC64,AK64,AL64,テーブル2[[#This Row],[Fcorr]])</f>
        <v>567.49691115898554</v>
      </c>
      <c r="AF64" s="14">
        <f t="shared" si="6"/>
        <v>0</v>
      </c>
      <c r="AG64">
        <v>1.381449031459635E-5</v>
      </c>
      <c r="AH64">
        <f t="shared" si="7"/>
        <v>56.734691438270922</v>
      </c>
      <c r="AI64">
        <f t="shared" si="8"/>
        <v>0.30132197528980814</v>
      </c>
      <c r="AJ64">
        <f t="shared" si="9"/>
        <v>36.014361043029275</v>
      </c>
      <c r="AK64">
        <f t="array" ref="AK64">+S64*テーブル2[[#This Row],[F_form]]/(E64*CpFromTP((テーブル2[[#This Row],[Tin]]+テーブル2[[#This Row],[Tf]])/2,テーブル2[[#This Row],[P]])*AI64)</f>
        <v>3.9709544885741734</v>
      </c>
      <c r="AL64">
        <f t="shared" si="10"/>
        <v>1.1293680422758512</v>
      </c>
      <c r="AM64">
        <f t="shared" si="11"/>
        <v>608.62110604338818</v>
      </c>
      <c r="AN64">
        <f t="shared" si="12"/>
        <v>2.2374820218828972E-8</v>
      </c>
      <c r="AO64">
        <f t="shared" si="13"/>
        <v>5.8592910699239745E-8</v>
      </c>
      <c r="AP64">
        <v>3.7261522481255782</v>
      </c>
      <c r="AQ64">
        <f t="shared" si="14"/>
        <v>3.9275441582524831E-5</v>
      </c>
      <c r="AR64">
        <f t="shared" si="15"/>
        <v>6.9365416126477949E-6</v>
      </c>
      <c r="AS64">
        <f t="shared" si="16"/>
        <v>18.083556348361277</v>
      </c>
      <c r="AT64">
        <f t="shared" si="17"/>
        <v>11.425015181523431</v>
      </c>
      <c r="AU64">
        <f t="shared" si="18"/>
        <v>3.442608142212686</v>
      </c>
      <c r="AV64">
        <f t="shared" si="19"/>
        <v>0.28354410591289225</v>
      </c>
      <c r="AW64">
        <f t="shared" si="20"/>
        <v>8.2702020857307618E-3</v>
      </c>
      <c r="AX64">
        <f t="shared" si="21"/>
        <v>0.28354407383298141</v>
      </c>
      <c r="AY64">
        <f t="shared" si="22"/>
        <v>3.2079910838866965E-8</v>
      </c>
      <c r="AZ64">
        <f t="shared" si="23"/>
        <v>1080577.4158407261</v>
      </c>
      <c r="BA64">
        <f t="shared" si="24"/>
        <v>1.0540482236677834E-5</v>
      </c>
      <c r="BB64" s="15">
        <f t="shared" si="25"/>
        <v>3753423.4619367709</v>
      </c>
      <c r="BC64" s="20">
        <f t="shared" si="26"/>
        <v>3984.1877180207521</v>
      </c>
      <c r="BD64" s="19">
        <f t="shared" si="27"/>
        <v>0.10626089467340194</v>
      </c>
      <c r="BE64" s="15">
        <v>5300400</v>
      </c>
      <c r="BF64" s="16">
        <f>テーブル2[[#This Row],[q_P]]/テーブル2[[#This Row],[q_M]]</f>
        <v>0.70813966152304941</v>
      </c>
      <c r="BG64">
        <v>1</v>
      </c>
      <c r="BH64">
        <v>-2.7E-2</v>
      </c>
      <c r="BI64">
        <v>4.5999999999999999E-2</v>
      </c>
      <c r="BJ64">
        <v>5625</v>
      </c>
      <c r="BK64" s="22">
        <v>1</v>
      </c>
      <c r="BL64">
        <f>テーブル2[[#This Row],[Ts]]-テーブル2[[#This Row],[Tin]]</f>
        <v>79.631918733112002</v>
      </c>
      <c r="BM64">
        <f>テーブル2[[#This Row],[q_P]]*0.000001</f>
        <v>3.7534234619367708</v>
      </c>
      <c r="BN64">
        <f>テーブル2[[#This Row],[Tsub]]</f>
        <v>79.631918733112002</v>
      </c>
      <c r="BO64">
        <f>テーブル2[[#This Row],[Fcorr]]</f>
        <v>1</v>
      </c>
      <c r="BP64">
        <f>(テーブル2[[#This Row],[Tsub]]-40)^2</f>
        <v>1570.688982467994</v>
      </c>
      <c r="BQ64">
        <v>1</v>
      </c>
      <c r="BR64">
        <v>0.3175</v>
      </c>
    </row>
    <row r="65" spans="1:70" x14ac:dyDescent="0.15">
      <c r="A65" s="9" t="s">
        <v>133</v>
      </c>
      <c r="B65">
        <v>13789520</v>
      </c>
      <c r="C65" s="22">
        <f t="array" ref="C65">TsatFromP(テーブル2[[#This Row],[P]])</f>
        <v>608.621106065763</v>
      </c>
      <c r="D65">
        <f t="array" ref="D65">RhoGFromP(テーブル2[[#This Row],[P]])</f>
        <v>85.147893581579396</v>
      </c>
      <c r="E65">
        <f t="array" ref="E65">RhoFFromP(テーブル2[[#This Row],[P]])</f>
        <v>624.86627494838649</v>
      </c>
      <c r="F65">
        <f t="array" ref="F65">HgFromP(テーブル2[[#This Row],[P]])</f>
        <v>2643264.389866509</v>
      </c>
      <c r="G65">
        <f t="array" ref="G65">HfFromP(テーブル2[[#This Row],[P]])</f>
        <v>1562686.9740257829</v>
      </c>
      <c r="H65">
        <f t="array" ref="H65">MuGFromP(テーブル2[[#This Row],[P]])</f>
        <v>2.2019594042733509E-5</v>
      </c>
      <c r="I65">
        <f t="array" ref="I65">MuFFromP(テーブル2[[#This Row],[P]])</f>
        <v>7.2223252690249831E-5</v>
      </c>
      <c r="J65">
        <f t="array" ref="J65">KfFromP(テーブル2[[#This Row],[P]])</f>
        <v>0.4911212487937569</v>
      </c>
      <c r="K65">
        <f t="array" ref="K65">CpFFromP(テーブル2[[#This Row],[P]])</f>
        <v>7679.7516396704104</v>
      </c>
      <c r="L65">
        <f t="array" ref="L65">SigmaFromP(テーブル2[[#This Row],[P]])</f>
        <v>6.5036382888884548E-3</v>
      </c>
      <c r="M65">
        <v>64</v>
      </c>
      <c r="N65">
        <v>3403.56</v>
      </c>
      <c r="O65" s="8">
        <v>1.7719053836560401E-5</v>
      </c>
      <c r="P65" s="8">
        <v>1.4921936786020801E-2</v>
      </c>
      <c r="Q65" s="8">
        <v>4.7498000000000002E-3</v>
      </c>
      <c r="R65">
        <v>0.3175</v>
      </c>
      <c r="S65" s="15">
        <v>5572082.51953125</v>
      </c>
      <c r="T65">
        <v>486.08905396706899</v>
      </c>
      <c r="U65" s="12">
        <f>+T65+BG65*S65*テーブル2[[#This Row],[Pw]]*R65/(N65*O65*K65)</f>
        <v>543.08780650687925</v>
      </c>
      <c r="V65">
        <v>0.03</v>
      </c>
      <c r="W65" s="8">
        <f t="shared" si="0"/>
        <v>223836.90412468018</v>
      </c>
      <c r="X65">
        <v>2.463857560482317E-2</v>
      </c>
      <c r="Y65">
        <f t="shared" si="1"/>
        <v>6.3707740372674042</v>
      </c>
      <c r="Z65">
        <f t="shared" si="2"/>
        <v>6.3707740577340619</v>
      </c>
      <c r="AA65">
        <f t="shared" si="3"/>
        <v>-2.0466657701945223E-8</v>
      </c>
      <c r="AB65">
        <f t="shared" si="4"/>
        <v>1.3668859484187726E-5</v>
      </c>
      <c r="AC65">
        <v>707.05414403807481</v>
      </c>
      <c r="AD65">
        <f t="shared" si="5"/>
        <v>6211.0424832401332</v>
      </c>
      <c r="AE65">
        <f>+gettm2(AD65,AC65,AK65,AL65,テーブル2[[#This Row],[Fcorr]])</f>
        <v>543.08780650687902</v>
      </c>
      <c r="AF65" s="14">
        <f t="shared" si="6"/>
        <v>0</v>
      </c>
      <c r="AG65">
        <v>1.375537603640904E-5</v>
      </c>
      <c r="AH65">
        <f t="shared" si="7"/>
        <v>57.095955633272212</v>
      </c>
      <c r="AI65">
        <f t="shared" si="8"/>
        <v>0.30227980283970002</v>
      </c>
      <c r="AJ65">
        <f t="shared" si="9"/>
        <v>35.974240993338583</v>
      </c>
      <c r="AK65">
        <f t="array" ref="AK65">+S65*テーブル2[[#This Row],[F_form]]/(E65*CpFromTP((テーブル2[[#This Row],[Tin]]+テーブル2[[#This Row],[Tf]])/2,テーブル2[[#This Row],[P]])*AI65)</f>
        <v>6.3213333636802567</v>
      </c>
      <c r="AL65">
        <f t="shared" si="10"/>
        <v>1.1293680422758512</v>
      </c>
      <c r="AM65">
        <f t="shared" si="11"/>
        <v>608.6211060334731</v>
      </c>
      <c r="AN65">
        <f t="shared" si="12"/>
        <v>3.2289904083881993E-8</v>
      </c>
      <c r="AO65">
        <f t="shared" si="13"/>
        <v>8.65165522213143E-8</v>
      </c>
      <c r="AP65">
        <v>3.7384554819493001</v>
      </c>
      <c r="AQ65">
        <f t="shared" si="14"/>
        <v>3.9017356490988851E-5</v>
      </c>
      <c r="AR65">
        <f t="shared" si="15"/>
        <v>6.9209462943151772E-6</v>
      </c>
      <c r="AS65">
        <f t="shared" si="16"/>
        <v>18.100253256227603</v>
      </c>
      <c r="AT65">
        <f t="shared" si="17"/>
        <v>11.429629651153331</v>
      </c>
      <c r="AU65">
        <f t="shared" si="18"/>
        <v>3.454946197481418</v>
      </c>
      <c r="AV65">
        <f t="shared" si="19"/>
        <v>0.28350928446788215</v>
      </c>
      <c r="AW65">
        <f t="shared" si="20"/>
        <v>8.2178738977555961E-3</v>
      </c>
      <c r="AX65">
        <f t="shared" si="21"/>
        <v>0.28350928184437452</v>
      </c>
      <c r="AY65">
        <f t="shared" si="22"/>
        <v>2.6235076333591678E-9</v>
      </c>
      <c r="AZ65">
        <f t="shared" si="23"/>
        <v>1080577.4158407261</v>
      </c>
      <c r="BA65">
        <f t="shared" si="24"/>
        <v>1.0436758356326468E-5</v>
      </c>
      <c r="BB65" s="15">
        <f t="shared" si="25"/>
        <v>5597273.751777119</v>
      </c>
      <c r="BC65" s="20">
        <f t="shared" si="26"/>
        <v>25191.232245869003</v>
      </c>
      <c r="BD65" s="19">
        <f t="shared" si="27"/>
        <v>0.45209725731032802</v>
      </c>
      <c r="BE65" s="15">
        <v>5836750</v>
      </c>
      <c r="BF65" s="16">
        <f>テーブル2[[#This Row],[q_P]]/テーブル2[[#This Row],[q_M]]</f>
        <v>0.95897096017083461</v>
      </c>
      <c r="BG65">
        <v>1</v>
      </c>
      <c r="BH65">
        <v>-0.17399999999999999</v>
      </c>
      <c r="BI65">
        <v>4.5999999999999999E-2</v>
      </c>
      <c r="BJ65">
        <v>5625</v>
      </c>
      <c r="BK65" s="22">
        <v>1</v>
      </c>
      <c r="BL65">
        <f>テーブル2[[#This Row],[Ts]]-テーブル2[[#This Row],[Tin]]</f>
        <v>122.53205209869401</v>
      </c>
      <c r="BM65">
        <f>テーブル2[[#This Row],[q_P]]*0.000001</f>
        <v>5.5972737517771192</v>
      </c>
      <c r="BN65">
        <f>テーブル2[[#This Row],[Tsub]]</f>
        <v>122.53205209869401</v>
      </c>
      <c r="BO65">
        <f>テーブル2[[#This Row],[Fcorr]]</f>
        <v>1</v>
      </c>
      <c r="BP65">
        <f>(テーブル2[[#This Row],[Tsub]]-40)^2</f>
        <v>6811.539623621542</v>
      </c>
      <c r="BQ65">
        <v>1</v>
      </c>
      <c r="BR65">
        <v>0.3175</v>
      </c>
    </row>
    <row r="66" spans="1:70" x14ac:dyDescent="0.15">
      <c r="A66" s="9" t="s">
        <v>134</v>
      </c>
      <c r="B66">
        <v>13789520</v>
      </c>
      <c r="C66" s="22">
        <f t="array" ref="C66">TsatFromP(テーブル2[[#This Row],[P]])</f>
        <v>608.621106065763</v>
      </c>
      <c r="D66">
        <f t="array" ref="D66">RhoGFromP(テーブル2[[#This Row],[P]])</f>
        <v>85.147893581579396</v>
      </c>
      <c r="E66">
        <f t="array" ref="E66">RhoFFromP(テーブル2[[#This Row],[P]])</f>
        <v>624.86627494838649</v>
      </c>
      <c r="F66">
        <f t="array" ref="F66">HgFromP(テーブル2[[#This Row],[P]])</f>
        <v>2643264.389866509</v>
      </c>
      <c r="G66">
        <f t="array" ref="G66">HfFromP(テーブル2[[#This Row],[P]])</f>
        <v>1562686.9740257829</v>
      </c>
      <c r="H66">
        <f t="array" ref="H66">MuGFromP(テーブル2[[#This Row],[P]])</f>
        <v>2.2019594042733509E-5</v>
      </c>
      <c r="I66">
        <f t="array" ref="I66">MuFFromP(テーブル2[[#This Row],[P]])</f>
        <v>7.2223252690249831E-5</v>
      </c>
      <c r="J66">
        <f t="array" ref="J66">KfFromP(テーブル2[[#This Row],[P]])</f>
        <v>0.4911212487937569</v>
      </c>
      <c r="K66">
        <f t="array" ref="K66">CpFFromP(テーブル2[[#This Row],[P]])</f>
        <v>7679.7516396704104</v>
      </c>
      <c r="L66">
        <f t="array" ref="L66">SigmaFromP(テーブル2[[#This Row],[P]])</f>
        <v>6.5036382888884548E-3</v>
      </c>
      <c r="M66" s="23">
        <v>65</v>
      </c>
      <c r="N66">
        <v>3403.56</v>
      </c>
      <c r="O66" s="8">
        <v>1.7719053836560401E-5</v>
      </c>
      <c r="P66" s="8">
        <v>1.4921936786020801E-2</v>
      </c>
      <c r="Q66" s="8">
        <v>4.7498000000000002E-3</v>
      </c>
      <c r="R66">
        <v>0.3175</v>
      </c>
      <c r="S66" s="15">
        <v>4404402.59765625</v>
      </c>
      <c r="T66">
        <v>513.90123078477097</v>
      </c>
      <c r="U66" s="12">
        <f>+T66+BG66*S66*テーブル2[[#This Row],[Pw]]*R66/(N66*O66*K66)</f>
        <v>558.95538295669985</v>
      </c>
      <c r="V66">
        <v>0.03</v>
      </c>
      <c r="W66" s="8">
        <f t="shared" ref="W66:W129" si="28">+N66*Q66/I66</f>
        <v>223836.90412468018</v>
      </c>
      <c r="X66">
        <v>2.463857560482317E-2</v>
      </c>
      <c r="Y66">
        <f t="shared" ref="Y66:Y129" si="29">IF(X66&gt;0,1/X66^0.5,1)</f>
        <v>6.3707740372674042</v>
      </c>
      <c r="Z66">
        <f t="shared" ref="Z66:Z129" si="30">IF(X66&gt;0,1.14-2*LOG((0.72*L66*E66)/(X66*Q66*N66^2)+9.35/(W66*X66^0.5)),0)</f>
        <v>6.3707740577340619</v>
      </c>
      <c r="AA66">
        <f t="shared" ref="AA66:AA129" si="31">+Y66-Z66</f>
        <v>-2.0466657701945223E-8</v>
      </c>
      <c r="AB66">
        <f t="shared" ref="AB66:AB129" si="32">32/X66*L66*V66*E66/N66^2</f>
        <v>1.3668859484187726E-5</v>
      </c>
      <c r="AC66">
        <v>683.18080760142402</v>
      </c>
      <c r="AD66">
        <f t="shared" ref="AD66:AD129" si="33">+Q66/2*AI66/I66*E66</f>
        <v>6211.0424832401332</v>
      </c>
      <c r="AE66">
        <f>+gettm2(AD66,AC66,AK66,AL66,テーブル2[[#This Row],[Fcorr]])</f>
        <v>558.9553837885079</v>
      </c>
      <c r="AF66" s="14">
        <f t="shared" ref="AF66:AF129" si="34">+AE66-U66</f>
        <v>8.3180805177107686E-7</v>
      </c>
      <c r="AG66">
        <v>1.373713799874868E-5</v>
      </c>
      <c r="AH66">
        <f t="shared" ref="AH66:AH129" si="35">+X66*N66^2/(8*E66)</f>
        <v>57.095955633272212</v>
      </c>
      <c r="AI66">
        <f t="shared" ref="AI66:AI129" si="36">+(AH66/E66)^0.5</f>
        <v>0.30227980283970002</v>
      </c>
      <c r="AJ66">
        <f t="shared" ref="AJ66:AJ129" si="37">+AG66*AI66/I66*E66</f>
        <v>35.926543310606917</v>
      </c>
      <c r="AK66">
        <f t="array" ref="AK66">+S66*テーブル2[[#This Row],[F_form]]/(E66*CpFromTP((テーブル2[[#This Row],[Tin]]+テーブル2[[#This Row],[Tf]])/2,テーブル2[[#This Row],[P]])*AI66)</f>
        <v>4.7892166647712253</v>
      </c>
      <c r="AL66">
        <f t="shared" ref="AL66:AL129" si="38">+K66*I66/J66</f>
        <v>1.1293680422758512</v>
      </c>
      <c r="AM66">
        <f t="shared" ref="AM66:AM129" si="39">+gettyp(AC66,AJ66,AK66,AL66)</f>
        <v>608.62110604179338</v>
      </c>
      <c r="AN66">
        <f t="shared" ref="AN66:AN129" si="40">+C66-AM66</f>
        <v>2.3969619178387802E-8</v>
      </c>
      <c r="AO66">
        <f t="shared" ref="AO66:AO129" si="41">+AG66-AB66</f>
        <v>6.8278514560953958E-8</v>
      </c>
      <c r="AP66">
        <v>3.73474877545193</v>
      </c>
      <c r="AQ66">
        <f t="shared" ref="AQ66:AQ129" si="42">2*PI()*L66*(D66+E66)/(D66*E66*AP66^2)</f>
        <v>3.9094843715698966E-5</v>
      </c>
      <c r="AR66">
        <f t="shared" ref="AR66:AR129" si="43">+AO66+AB66/2</f>
        <v>6.9027082566548169E-6</v>
      </c>
      <c r="AS66">
        <f t="shared" ref="AS66:AS129" si="44">+AR66*AI66/I66*E66</f>
        <v>18.052555573495933</v>
      </c>
      <c r="AT66">
        <f t="shared" ref="AT66:AT129" si="45">+getublp(AS66)</f>
        <v>11.416436288880627</v>
      </c>
      <c r="AU66">
        <f t="shared" ref="AU66:AU129" si="46">+AT66*AI66</f>
        <v>3.4509581105348324</v>
      </c>
      <c r="AV66">
        <f t="shared" ref="AV66:AV129" si="47">+AP66-AU66</f>
        <v>0.28379066491709759</v>
      </c>
      <c r="AW66">
        <f t="shared" ref="AW66:AW129" si="48">2/3*AB66/(L66/(9.8*(E66-D66)))^0.5</f>
        <v>8.2178738977555961E-3</v>
      </c>
      <c r="AX66">
        <f t="shared" ref="AX66:AX129" si="49">+(2*AQ66*9.8*(E66-D66)/(E66*AW66))^0.5</f>
        <v>0.28379066240308426</v>
      </c>
      <c r="AY66">
        <f t="shared" ref="AY66:AY129" si="50">+AV66-AX66</f>
        <v>2.5140133308454438E-9</v>
      </c>
      <c r="AZ66">
        <f t="shared" ref="AZ66:AZ129" si="51">+F66-G66</f>
        <v>1080577.4158407261</v>
      </c>
      <c r="BA66">
        <f t="shared" ref="BA66:BA129" si="52">+AQ66/AP66</f>
        <v>1.0467864390950425E-5</v>
      </c>
      <c r="BB66" s="15">
        <f t="shared" ref="BB66:BB129" si="53">+E66*AO66*AZ66/BA66</f>
        <v>4404219.4308127705</v>
      </c>
      <c r="BC66" s="20">
        <f t="shared" ref="BC66:BC129" si="54">BB66-S66</f>
        <v>-183.16684347949922</v>
      </c>
      <c r="BD66" s="19">
        <f t="shared" ref="BD66:BD129" si="55">+(BB66-S66)/S66*100</f>
        <v>-4.1587216295115538E-3</v>
      </c>
      <c r="BE66" s="15">
        <v>5836750</v>
      </c>
      <c r="BF66" s="16">
        <f>テーブル2[[#This Row],[q_P]]/テーブル2[[#This Row],[q_M]]</f>
        <v>0.75456708456123189</v>
      </c>
      <c r="BG66">
        <v>1</v>
      </c>
      <c r="BH66">
        <v>-5.6000000000000001E-2</v>
      </c>
      <c r="BI66">
        <v>4.5999999999999999E-2</v>
      </c>
      <c r="BJ66">
        <v>5625</v>
      </c>
      <c r="BK66" s="22">
        <v>1</v>
      </c>
      <c r="BL66">
        <f>テーブル2[[#This Row],[Ts]]-テーブル2[[#This Row],[Tin]]</f>
        <v>94.719875280992028</v>
      </c>
      <c r="BM66">
        <f>テーブル2[[#This Row],[q_P]]*0.000001</f>
        <v>4.4042194308127707</v>
      </c>
      <c r="BN66">
        <f>テーブル2[[#This Row],[Tsub]]</f>
        <v>94.719875280992028</v>
      </c>
      <c r="BO66">
        <f>テーブル2[[#This Row],[Fcorr]]</f>
        <v>1</v>
      </c>
      <c r="BP66">
        <f>(テーブル2[[#This Row],[Tsub]]-40)^2</f>
        <v>2994.2647507673223</v>
      </c>
      <c r="BQ66">
        <v>1</v>
      </c>
      <c r="BR66">
        <v>0.3175</v>
      </c>
    </row>
    <row r="67" spans="1:70" x14ac:dyDescent="0.15">
      <c r="A67" s="9" t="s">
        <v>135</v>
      </c>
      <c r="B67">
        <v>13789520</v>
      </c>
      <c r="C67" s="22">
        <f t="array" ref="C67">TsatFromP(テーブル2[[#This Row],[P]])</f>
        <v>608.621106065763</v>
      </c>
      <c r="D67">
        <f t="array" ref="D67">RhoGFromP(テーブル2[[#This Row],[P]])</f>
        <v>85.147893581579396</v>
      </c>
      <c r="E67">
        <f t="array" ref="E67">RhoFFromP(テーブル2[[#This Row],[P]])</f>
        <v>624.86627494838649</v>
      </c>
      <c r="F67">
        <f t="array" ref="F67">HgFromP(テーブル2[[#This Row],[P]])</f>
        <v>2643264.389866509</v>
      </c>
      <c r="G67">
        <f t="array" ref="G67">HfFromP(テーブル2[[#This Row],[P]])</f>
        <v>1562686.9740257829</v>
      </c>
      <c r="H67">
        <f t="array" ref="H67">MuGFromP(テーブル2[[#This Row],[P]])</f>
        <v>2.2019594042733509E-5</v>
      </c>
      <c r="I67">
        <f t="array" ref="I67">MuFFromP(テーブル2[[#This Row],[P]])</f>
        <v>7.2223252690249831E-5</v>
      </c>
      <c r="J67">
        <f t="array" ref="J67">KfFromP(テーブル2[[#This Row],[P]])</f>
        <v>0.4911212487937569</v>
      </c>
      <c r="K67">
        <f t="array" ref="K67">CpFFromP(テーブル2[[#This Row],[P]])</f>
        <v>7679.7516396704104</v>
      </c>
      <c r="L67">
        <f t="array" ref="L67">SigmaFromP(テーブル2[[#This Row],[P]])</f>
        <v>6.5036382888884548E-3</v>
      </c>
      <c r="M67">
        <v>66</v>
      </c>
      <c r="N67">
        <v>3457.8</v>
      </c>
      <c r="O67" s="8">
        <v>1.7719053836560401E-5</v>
      </c>
      <c r="P67" s="8">
        <v>1.4921936786020801E-2</v>
      </c>
      <c r="Q67" s="8">
        <v>4.7498000000000002E-3</v>
      </c>
      <c r="R67">
        <v>0.3175</v>
      </c>
      <c r="S67" s="15">
        <v>3680812.01171875</v>
      </c>
      <c r="T67">
        <v>531.74235590187595</v>
      </c>
      <c r="U67" s="12">
        <f>+T67+BG67*S67*テーブル2[[#This Row],[Pw]]*R67/(N67*O67*K67)</f>
        <v>568.80402635069174</v>
      </c>
      <c r="V67">
        <v>0.03</v>
      </c>
      <c r="W67" s="8">
        <f t="shared" si="28"/>
        <v>227404.02610276273</v>
      </c>
      <c r="X67">
        <v>2.447969348481388E-2</v>
      </c>
      <c r="Y67">
        <f t="shared" si="29"/>
        <v>6.3914149207841833</v>
      </c>
      <c r="Z67">
        <f t="shared" si="30"/>
        <v>6.3914149346502178</v>
      </c>
      <c r="AA67">
        <f t="shared" si="31"/>
        <v>-1.3866034542786565E-8</v>
      </c>
      <c r="AB67">
        <f t="shared" si="32"/>
        <v>1.3329350327789162E-5</v>
      </c>
      <c r="AC67">
        <v>667.89513907234891</v>
      </c>
      <c r="AD67">
        <f t="shared" si="33"/>
        <v>6289.6452084297343</v>
      </c>
      <c r="AE67">
        <f>+gettm2(AD67,AC67,AK67,AL67,テーブル2[[#This Row],[Fcorr]])</f>
        <v>568.80402702964307</v>
      </c>
      <c r="AF67" s="14">
        <f t="shared" si="34"/>
        <v>6.789513236071798E-7</v>
      </c>
      <c r="AG67">
        <v>1.338490829266164E-5</v>
      </c>
      <c r="AH67">
        <f t="shared" si="35"/>
        <v>58.550235043305349</v>
      </c>
      <c r="AI67">
        <f t="shared" si="36"/>
        <v>0.30610525023232216</v>
      </c>
      <c r="AJ67">
        <f t="shared" si="37"/>
        <v>35.448365955707906</v>
      </c>
      <c r="AK67">
        <f t="array" ref="AK67">+S67*テーブル2[[#This Row],[F_form]]/(E67*CpFromTP((テーブル2[[#This Row],[Tin]]+テーブル2[[#This Row],[Tf]])/2,テーブル2[[#This Row],[P]])*AI67)</f>
        <v>3.8155774795814508</v>
      </c>
      <c r="AL67">
        <f t="shared" si="38"/>
        <v>1.1293680422758512</v>
      </c>
      <c r="AM67">
        <f t="shared" si="39"/>
        <v>608.62110605902501</v>
      </c>
      <c r="AN67">
        <f t="shared" si="40"/>
        <v>6.7379914980847389E-9</v>
      </c>
      <c r="AO67">
        <f t="shared" si="41"/>
        <v>5.5557964872478163E-8</v>
      </c>
      <c r="AP67">
        <v>3.758444791741232</v>
      </c>
      <c r="AQ67">
        <f t="shared" si="42"/>
        <v>3.8603432095051697E-5</v>
      </c>
      <c r="AR67">
        <f t="shared" si="43"/>
        <v>6.720233128767059E-6</v>
      </c>
      <c r="AS67">
        <f t="shared" si="44"/>
        <v>17.797752367628323</v>
      </c>
      <c r="AT67">
        <f t="shared" si="45"/>
        <v>11.345360889217851</v>
      </c>
      <c r="AU67">
        <f t="shared" si="46"/>
        <v>3.4728745339700313</v>
      </c>
      <c r="AV67">
        <f t="shared" si="47"/>
        <v>0.28557025777120071</v>
      </c>
      <c r="AW67">
        <f t="shared" si="48"/>
        <v>8.013757128712478E-3</v>
      </c>
      <c r="AX67">
        <f t="shared" si="49"/>
        <v>0.28557025432128486</v>
      </c>
      <c r="AY67">
        <f t="shared" si="50"/>
        <v>3.4499158529932572E-9</v>
      </c>
      <c r="AZ67">
        <f t="shared" si="51"/>
        <v>1080577.4158407261</v>
      </c>
      <c r="BA67">
        <f t="shared" si="52"/>
        <v>1.0271118570074112E-5</v>
      </c>
      <c r="BB67" s="15">
        <f t="shared" si="53"/>
        <v>3652343.016259287</v>
      </c>
      <c r="BC67" s="20">
        <f t="shared" si="54"/>
        <v>-28468.995459462982</v>
      </c>
      <c r="BD67" s="19">
        <f t="shared" si="55"/>
        <v>-0.77344334263268777</v>
      </c>
      <c r="BE67" s="15">
        <v>4764050</v>
      </c>
      <c r="BF67" s="16">
        <f>テーブル2[[#This Row],[q_P]]/テーブル2[[#This Row],[q_M]]</f>
        <v>0.76664665909452823</v>
      </c>
      <c r="BG67">
        <v>1</v>
      </c>
      <c r="BH67">
        <v>-6.0999999999999999E-2</v>
      </c>
      <c r="BI67">
        <v>4.5999999999999999E-2</v>
      </c>
      <c r="BJ67">
        <v>5625</v>
      </c>
      <c r="BK67" s="22">
        <v>1</v>
      </c>
      <c r="BL67">
        <f>テーブル2[[#This Row],[Ts]]-テーブル2[[#This Row],[Tin]]</f>
        <v>76.878750163887048</v>
      </c>
      <c r="BM67">
        <f>テーブル2[[#This Row],[q_P]]*0.000001</f>
        <v>3.6523430162592869</v>
      </c>
      <c r="BN67">
        <f>テーブル2[[#This Row],[Tsub]]</f>
        <v>76.878750163887048</v>
      </c>
      <c r="BO67">
        <f>テーブル2[[#This Row],[Fcorr]]</f>
        <v>1</v>
      </c>
      <c r="BP67">
        <f>(テーブル2[[#This Row],[Tsub]]-40)^2</f>
        <v>1360.0422136503989</v>
      </c>
      <c r="BQ67">
        <v>1</v>
      </c>
      <c r="BR67">
        <v>0.3175</v>
      </c>
    </row>
    <row r="68" spans="1:70" x14ac:dyDescent="0.15">
      <c r="A68" s="9" t="s">
        <v>136</v>
      </c>
      <c r="B68">
        <v>13789520</v>
      </c>
      <c r="C68" s="22">
        <f t="array" ref="C68">TsatFromP(テーブル2[[#This Row],[P]])</f>
        <v>608.621106065763</v>
      </c>
      <c r="D68">
        <f t="array" ref="D68">RhoGFromP(テーブル2[[#This Row],[P]])</f>
        <v>85.147893581579396</v>
      </c>
      <c r="E68">
        <f t="array" ref="E68">RhoFFromP(テーブル2[[#This Row],[P]])</f>
        <v>624.86627494838649</v>
      </c>
      <c r="F68">
        <f t="array" ref="F68">HgFromP(テーブル2[[#This Row],[P]])</f>
        <v>2643264.389866509</v>
      </c>
      <c r="G68">
        <f t="array" ref="G68">HfFromP(テーブル2[[#This Row],[P]])</f>
        <v>1562686.9740257829</v>
      </c>
      <c r="H68">
        <f t="array" ref="H68">MuGFromP(テーブル2[[#This Row],[P]])</f>
        <v>2.2019594042733509E-5</v>
      </c>
      <c r="I68">
        <f t="array" ref="I68">MuFFromP(テーブル2[[#This Row],[P]])</f>
        <v>7.2223252690249831E-5</v>
      </c>
      <c r="J68">
        <f t="array" ref="J68">KfFromP(テーブル2[[#This Row],[P]])</f>
        <v>0.4911212487937569</v>
      </c>
      <c r="K68">
        <f t="array" ref="K68">CpFFromP(テーブル2[[#This Row],[P]])</f>
        <v>7679.7516396704104</v>
      </c>
      <c r="L68">
        <f t="array" ref="L68">SigmaFromP(テーブル2[[#This Row],[P]])</f>
        <v>6.5036382888884548E-3</v>
      </c>
      <c r="M68" s="23">
        <v>67</v>
      </c>
      <c r="N68">
        <v>3471.36</v>
      </c>
      <c r="O68" s="8">
        <v>1.7719053836560401E-5</v>
      </c>
      <c r="P68" s="8">
        <v>1.4921936786020801E-2</v>
      </c>
      <c r="Q68" s="8">
        <v>4.7498000000000002E-3</v>
      </c>
      <c r="R68">
        <v>0.3175</v>
      </c>
      <c r="S68" s="15">
        <v>5036472.20703125</v>
      </c>
      <c r="T68">
        <v>500.510864523382</v>
      </c>
      <c r="U68" s="12">
        <f>+T68+BG68*S68*テーブル2[[#This Row],[Pw]]*R68/(N68*O68*K68)</f>
        <v>551.02442828563585</v>
      </c>
      <c r="V68">
        <v>0.03</v>
      </c>
      <c r="W68" s="8">
        <f t="shared" si="28"/>
        <v>228295.80659728337</v>
      </c>
      <c r="X68">
        <v>2.4440596296902529E-2</v>
      </c>
      <c r="Y68">
        <f t="shared" si="29"/>
        <v>6.3965249944563967</v>
      </c>
      <c r="Z68">
        <f t="shared" si="30"/>
        <v>6.3965250069065593</v>
      </c>
      <c r="AA68">
        <f t="shared" si="31"/>
        <v>-1.2450162678590004E-8</v>
      </c>
      <c r="AB68">
        <f t="shared" si="32"/>
        <v>1.3246574634701771E-5</v>
      </c>
      <c r="AC68">
        <v>694.24448389806855</v>
      </c>
      <c r="AD68">
        <f t="shared" si="33"/>
        <v>6309.2660898415897</v>
      </c>
      <c r="AE68">
        <f>+gettm2(AD68,AC68,AK68,AL68,テーブル2[[#This Row],[Fcorr]])</f>
        <v>551.02442922808063</v>
      </c>
      <c r="AF68" s="14">
        <f t="shared" si="34"/>
        <v>9.4244478532345966E-7</v>
      </c>
      <c r="AG68">
        <v>1.3322209736337421E-5</v>
      </c>
      <c r="AH68">
        <f t="shared" si="35"/>
        <v>58.916105951052529</v>
      </c>
      <c r="AI68">
        <f t="shared" si="36"/>
        <v>0.3070601617758707</v>
      </c>
      <c r="AJ68">
        <f t="shared" si="37"/>
        <v>35.392381208148194</v>
      </c>
      <c r="AK68">
        <f t="array" ref="AK68">+S68*テーブル2[[#This Row],[F_form]]/(E68*CpFromTP((テーブル2[[#This Row],[Tin]]+テーブル2[[#This Row],[Tf]])/2,テーブル2[[#This Row],[P]])*AI68)</f>
        <v>5.5131351373362545</v>
      </c>
      <c r="AL68">
        <f t="shared" si="38"/>
        <v>1.1293680422758512</v>
      </c>
      <c r="AM68">
        <f t="shared" si="39"/>
        <v>608.6211060583862</v>
      </c>
      <c r="AN68">
        <f t="shared" si="40"/>
        <v>7.3767978392424993E-9</v>
      </c>
      <c r="AO68">
        <f t="shared" si="41"/>
        <v>7.5635101635649864E-8</v>
      </c>
      <c r="AP68">
        <v>3.769253622990774</v>
      </c>
      <c r="AQ68">
        <f t="shared" si="42"/>
        <v>3.838234869036214E-5</v>
      </c>
      <c r="AR68">
        <f t="shared" si="43"/>
        <v>6.6989224189865352E-6</v>
      </c>
      <c r="AS68">
        <f t="shared" si="44"/>
        <v>17.796658409445172</v>
      </c>
      <c r="AT68">
        <f t="shared" si="45"/>
        <v>11.345053549340713</v>
      </c>
      <c r="AU68">
        <f t="shared" si="46"/>
        <v>3.4836139782164754</v>
      </c>
      <c r="AV68">
        <f t="shared" si="47"/>
        <v>0.2856396447742986</v>
      </c>
      <c r="AW68">
        <f t="shared" si="48"/>
        <v>7.9639914398941542E-3</v>
      </c>
      <c r="AX68">
        <f t="shared" si="49"/>
        <v>0.28563964090361266</v>
      </c>
      <c r="AY68">
        <f t="shared" si="50"/>
        <v>3.870685938434093E-9</v>
      </c>
      <c r="AZ68">
        <f t="shared" si="51"/>
        <v>1080577.4158407261</v>
      </c>
      <c r="BA68">
        <f t="shared" si="52"/>
        <v>1.0183010359463967E-5</v>
      </c>
      <c r="BB68" s="15">
        <f t="shared" si="53"/>
        <v>5015222.2255242188</v>
      </c>
      <c r="BC68" s="20">
        <f t="shared" si="54"/>
        <v>-21249.981507031247</v>
      </c>
      <c r="BD68" s="19">
        <f t="shared" si="55"/>
        <v>-0.421921945233111</v>
      </c>
      <c r="BE68" s="15">
        <v>5742100</v>
      </c>
      <c r="BF68" s="16">
        <f>テーブル2[[#This Row],[q_P]]/テーブル2[[#This Row],[q_M]]</f>
        <v>0.87341255386082073</v>
      </c>
      <c r="BG68">
        <v>1</v>
      </c>
      <c r="BH68">
        <v>-0.128</v>
      </c>
      <c r="BI68">
        <v>4.5999999999999999E-2</v>
      </c>
      <c r="BJ68">
        <v>5625</v>
      </c>
      <c r="BK68" s="22">
        <v>1</v>
      </c>
      <c r="BL68">
        <f>テーブル2[[#This Row],[Ts]]-テーブル2[[#This Row],[Tin]]</f>
        <v>108.110241542381</v>
      </c>
      <c r="BM68">
        <f>テーブル2[[#This Row],[q_P]]*0.000001</f>
        <v>5.0152222255242185</v>
      </c>
      <c r="BN68">
        <f>テーブル2[[#This Row],[Tsub]]</f>
        <v>108.110241542381</v>
      </c>
      <c r="BO68">
        <f>テーブル2[[#This Row],[Fcorr]]</f>
        <v>1</v>
      </c>
      <c r="BP68">
        <f>(テーブル2[[#This Row],[Tsub]]-40)^2</f>
        <v>4639.0050029614831</v>
      </c>
      <c r="BQ68">
        <v>1</v>
      </c>
      <c r="BR68">
        <v>0.3175</v>
      </c>
    </row>
    <row r="69" spans="1:70" x14ac:dyDescent="0.15">
      <c r="A69" s="9" t="s">
        <v>137</v>
      </c>
      <c r="B69">
        <v>13789520</v>
      </c>
      <c r="C69" s="22">
        <f t="array" ref="C69">TsatFromP(テーブル2[[#This Row],[P]])</f>
        <v>608.621106065763</v>
      </c>
      <c r="D69">
        <f t="array" ref="D69">RhoGFromP(テーブル2[[#This Row],[P]])</f>
        <v>85.147893581579396</v>
      </c>
      <c r="E69">
        <f t="array" ref="E69">RhoFFromP(テーブル2[[#This Row],[P]])</f>
        <v>624.86627494838649</v>
      </c>
      <c r="F69">
        <f t="array" ref="F69">HgFromP(テーブル2[[#This Row],[P]])</f>
        <v>2643264.389866509</v>
      </c>
      <c r="G69">
        <f t="array" ref="G69">HfFromP(テーブル2[[#This Row],[P]])</f>
        <v>1562686.9740257829</v>
      </c>
      <c r="H69">
        <f t="array" ref="H69">MuGFromP(テーブル2[[#This Row],[P]])</f>
        <v>2.2019594042733509E-5</v>
      </c>
      <c r="I69">
        <f t="array" ref="I69">MuFFromP(テーブル2[[#This Row],[P]])</f>
        <v>7.2223252690249831E-5</v>
      </c>
      <c r="J69">
        <f t="array" ref="J69">KfFromP(テーブル2[[#This Row],[P]])</f>
        <v>0.4911212487937569</v>
      </c>
      <c r="K69">
        <f t="array" ref="K69">CpFFromP(テーブル2[[#This Row],[P]])</f>
        <v>7679.7516396704104</v>
      </c>
      <c r="L69">
        <f t="array" ref="L69">SigmaFromP(テーブル2[[#This Row],[P]])</f>
        <v>6.5036382888884548E-3</v>
      </c>
      <c r="M69">
        <v>68</v>
      </c>
      <c r="N69">
        <v>3593.4</v>
      </c>
      <c r="O69" s="8">
        <v>1.7719053836560401E-5</v>
      </c>
      <c r="P69" s="8">
        <v>1.4921936786020801E-2</v>
      </c>
      <c r="Q69" s="8">
        <v>4.7498000000000002E-3</v>
      </c>
      <c r="R69">
        <v>0.3175</v>
      </c>
      <c r="S69" s="15">
        <v>7492968.26171875</v>
      </c>
      <c r="T69">
        <v>446.050522823802</v>
      </c>
      <c r="U69" s="12">
        <f>+T69+BG69*S69*テーブル2[[#This Row],[Pw]]*R69/(N69*O69*K69)</f>
        <v>518.64934118170072</v>
      </c>
      <c r="V69">
        <v>0.03</v>
      </c>
      <c r="W69" s="8">
        <f t="shared" si="28"/>
        <v>236321.83104796908</v>
      </c>
      <c r="X69">
        <v>2.4099415895864951E-2</v>
      </c>
      <c r="Y69">
        <f t="shared" si="29"/>
        <v>6.4416443265370651</v>
      </c>
      <c r="Z69">
        <f t="shared" si="30"/>
        <v>6.4416443519234532</v>
      </c>
      <c r="AA69">
        <f t="shared" si="31"/>
        <v>-2.538638810278826E-8</v>
      </c>
      <c r="AB69">
        <f t="shared" si="32"/>
        <v>1.2537098975203588E-5</v>
      </c>
      <c r="AC69">
        <v>740.19477849764769</v>
      </c>
      <c r="AD69">
        <f t="shared" si="33"/>
        <v>6485.3304841759882</v>
      </c>
      <c r="AE69">
        <f>+gettm2(AD69,AC69,AK69,AL69,テーブル2[[#This Row],[Fcorr]])</f>
        <v>518.64934118170072</v>
      </c>
      <c r="AF69" s="14">
        <f t="shared" si="34"/>
        <v>0</v>
      </c>
      <c r="AG69">
        <v>1.2644629359960249E-5</v>
      </c>
      <c r="AH69">
        <f t="shared" si="35"/>
        <v>62.250174159922913</v>
      </c>
      <c r="AI69">
        <f t="shared" si="36"/>
        <v>0.31562888603594524</v>
      </c>
      <c r="AJ69">
        <f t="shared" si="37"/>
        <v>34.529706618913188</v>
      </c>
      <c r="AK69">
        <f t="array" ref="AK69">+S69*テーブル2[[#This Row],[F_form]]/(E69*CpFromTP((テーブル2[[#This Row],[Tin]]+テーブル2[[#This Row],[Tf]])/2,テーブル2[[#This Row],[P]])*AI69)</f>
        <v>8.5055777177989995</v>
      </c>
      <c r="AL69">
        <f t="shared" si="38"/>
        <v>1.1293680422758512</v>
      </c>
      <c r="AM69">
        <f t="shared" si="39"/>
        <v>608.62110605634643</v>
      </c>
      <c r="AN69">
        <f t="shared" si="40"/>
        <v>9.4165670816437341E-9</v>
      </c>
      <c r="AO69">
        <f t="shared" si="41"/>
        <v>1.0753038475666165E-7</v>
      </c>
      <c r="AP69">
        <v>3.8348976446980139</v>
      </c>
      <c r="AQ69">
        <f t="shared" si="42"/>
        <v>3.7079572176089415E-5</v>
      </c>
      <c r="AR69">
        <f t="shared" si="43"/>
        <v>6.3760798723584555E-6</v>
      </c>
      <c r="AS69">
        <f t="shared" si="44"/>
        <v>17.411674245546017</v>
      </c>
      <c r="AT69">
        <f t="shared" si="45"/>
        <v>11.235704574485968</v>
      </c>
      <c r="AU69">
        <f t="shared" si="46"/>
        <v>3.5463129186739804</v>
      </c>
      <c r="AV69">
        <f t="shared" si="47"/>
        <v>0.28858472602403351</v>
      </c>
      <c r="AW69">
        <f t="shared" si="48"/>
        <v>7.5374465983126231E-3</v>
      </c>
      <c r="AX69">
        <f t="shared" si="49"/>
        <v>0.28858471886925641</v>
      </c>
      <c r="AY69">
        <f t="shared" si="50"/>
        <v>7.1547771041124975E-9</v>
      </c>
      <c r="AZ69">
        <f t="shared" si="51"/>
        <v>1080577.4158407261</v>
      </c>
      <c r="BA69">
        <f t="shared" si="52"/>
        <v>9.6689861403091799E-6</v>
      </c>
      <c r="BB69" s="15">
        <f t="shared" si="53"/>
        <v>7509192.4406168573</v>
      </c>
      <c r="BC69" s="20">
        <f t="shared" si="54"/>
        <v>16224.17889810726</v>
      </c>
      <c r="BD69" s="19">
        <f t="shared" si="55"/>
        <v>0.21652539195976431</v>
      </c>
      <c r="BE69" s="15">
        <v>6941000</v>
      </c>
      <c r="BF69" s="16">
        <f>テーブル2[[#This Row],[q_P]]/テーブル2[[#This Row],[q_M]]</f>
        <v>1.081860314164653</v>
      </c>
      <c r="BG69">
        <v>1</v>
      </c>
      <c r="BH69">
        <v>-0.28399999999999997</v>
      </c>
      <c r="BI69">
        <v>4.5999999999999999E-2</v>
      </c>
      <c r="BJ69">
        <v>5625</v>
      </c>
      <c r="BK69" s="22">
        <v>1</v>
      </c>
      <c r="BL69">
        <f>テーブル2[[#This Row],[Ts]]-テーブル2[[#This Row],[Tin]]</f>
        <v>162.570583241961</v>
      </c>
      <c r="BM69">
        <f>テーブル2[[#This Row],[q_P]]*0.000001</f>
        <v>7.5091924406168573</v>
      </c>
      <c r="BN69">
        <f>テーブル2[[#This Row],[Tsub]]</f>
        <v>162.570583241961</v>
      </c>
      <c r="BO69">
        <f>テーブル2[[#This Row],[Fcorr]]</f>
        <v>1</v>
      </c>
      <c r="BP69">
        <f>(テーブル2[[#This Row],[Tsub]]-40)^2</f>
        <v>15023.547876274492</v>
      </c>
      <c r="BQ69">
        <v>1</v>
      </c>
      <c r="BR69">
        <v>0.3175</v>
      </c>
    </row>
    <row r="70" spans="1:70" x14ac:dyDescent="0.15">
      <c r="A70" s="9" t="s">
        <v>138</v>
      </c>
      <c r="B70">
        <v>13789520</v>
      </c>
      <c r="C70" s="22">
        <f t="array" ref="C70">TsatFromP(テーブル2[[#This Row],[P]])</f>
        <v>608.621106065763</v>
      </c>
      <c r="D70">
        <f t="array" ref="D70">RhoGFromP(テーブル2[[#This Row],[P]])</f>
        <v>85.147893581579396</v>
      </c>
      <c r="E70">
        <f t="array" ref="E70">RhoFFromP(テーブル2[[#This Row],[P]])</f>
        <v>624.86627494838649</v>
      </c>
      <c r="F70">
        <f t="array" ref="F70">HgFromP(テーブル2[[#This Row],[P]])</f>
        <v>2643264.389866509</v>
      </c>
      <c r="G70">
        <f t="array" ref="G70">HfFromP(テーブル2[[#This Row],[P]])</f>
        <v>1562686.9740257829</v>
      </c>
      <c r="H70">
        <f t="array" ref="H70">MuGFromP(テーブル2[[#This Row],[P]])</f>
        <v>2.2019594042733509E-5</v>
      </c>
      <c r="I70">
        <f t="array" ref="I70">MuFFromP(テーブル2[[#This Row],[P]])</f>
        <v>7.2223252690249831E-5</v>
      </c>
      <c r="J70">
        <f t="array" ref="J70">KfFromP(テーブル2[[#This Row],[P]])</f>
        <v>0.4911212487937569</v>
      </c>
      <c r="K70">
        <f t="array" ref="K70">CpFFromP(テーブル2[[#This Row],[P]])</f>
        <v>7679.7516396704104</v>
      </c>
      <c r="L70">
        <f t="array" ref="L70">SigmaFromP(テーブル2[[#This Row],[P]])</f>
        <v>6.5036382888884548E-3</v>
      </c>
      <c r="M70" s="23">
        <v>69</v>
      </c>
      <c r="N70">
        <v>3593.4</v>
      </c>
      <c r="O70" s="8">
        <v>1.7719053836560401E-5</v>
      </c>
      <c r="P70" s="8">
        <v>1.4921936786020801E-2</v>
      </c>
      <c r="Q70" s="8">
        <v>4.7498000000000002E-3</v>
      </c>
      <c r="R70">
        <v>0.3175</v>
      </c>
      <c r="S70" s="15">
        <v>6064939.00390625</v>
      </c>
      <c r="T70">
        <v>479.48806170427099</v>
      </c>
      <c r="U70" s="12">
        <f>+T70+BG70*S70*テーブル2[[#This Row],[Pw]]*R70/(N70*O70*K70)</f>
        <v>538.25080961898414</v>
      </c>
      <c r="V70">
        <v>0.03</v>
      </c>
      <c r="W70" s="8">
        <f t="shared" si="28"/>
        <v>236321.83104796908</v>
      </c>
      <c r="X70">
        <v>2.4099415895864951E-2</v>
      </c>
      <c r="Y70">
        <f t="shared" si="29"/>
        <v>6.4416443265370651</v>
      </c>
      <c r="Z70">
        <f t="shared" si="30"/>
        <v>6.4416443519234532</v>
      </c>
      <c r="AA70">
        <f t="shared" si="31"/>
        <v>-2.538638810278826E-8</v>
      </c>
      <c r="AB70">
        <f t="shared" si="32"/>
        <v>1.2537098975203588E-5</v>
      </c>
      <c r="AC70">
        <v>711.4628952976982</v>
      </c>
      <c r="AD70">
        <f t="shared" si="33"/>
        <v>6485.3304841759882</v>
      </c>
      <c r="AE70">
        <f>+gettm2(AD70,AC70,AK70,AL70,テーブル2[[#This Row],[Fcorr]])</f>
        <v>538.25081073361298</v>
      </c>
      <c r="AF70" s="14">
        <f t="shared" si="34"/>
        <v>1.11462884433422E-6</v>
      </c>
      <c r="AG70">
        <v>1.2623975986143629E-5</v>
      </c>
      <c r="AH70">
        <f t="shared" si="35"/>
        <v>62.250174159922913</v>
      </c>
      <c r="AI70">
        <f t="shared" si="36"/>
        <v>0.31562888603594524</v>
      </c>
      <c r="AJ70">
        <f t="shared" si="37"/>
        <v>34.473306789524997</v>
      </c>
      <c r="AK70">
        <f t="array" ref="AK70">+S70*テーブル2[[#This Row],[F_form]]/(E70*CpFromTP((テーブル2[[#This Row],[Tin]]+テーブル2[[#This Row],[Tf]])/2,テーブル2[[#This Row],[P]])*AI70)</f>
        <v>6.6499624852159025</v>
      </c>
      <c r="AL70">
        <f t="shared" si="38"/>
        <v>1.1293680422758512</v>
      </c>
      <c r="AM70">
        <f t="shared" si="39"/>
        <v>608.62110605824239</v>
      </c>
      <c r="AN70">
        <f t="shared" si="40"/>
        <v>7.5206116889603436E-9</v>
      </c>
      <c r="AO70">
        <f t="shared" si="41"/>
        <v>8.6877010940041613E-8</v>
      </c>
      <c r="AP70">
        <v>3.8301361839714461</v>
      </c>
      <c r="AQ70">
        <f t="shared" si="42"/>
        <v>3.7171820942031341E-5</v>
      </c>
      <c r="AR70">
        <f t="shared" si="43"/>
        <v>6.3554264985418355E-6</v>
      </c>
      <c r="AS70">
        <f t="shared" si="44"/>
        <v>17.35527441615783</v>
      </c>
      <c r="AT70">
        <f t="shared" si="45"/>
        <v>11.219482305626173</v>
      </c>
      <c r="AU70">
        <f t="shared" si="46"/>
        <v>3.5411927020247873</v>
      </c>
      <c r="AV70">
        <f t="shared" si="47"/>
        <v>0.28894348194665875</v>
      </c>
      <c r="AW70">
        <f t="shared" si="48"/>
        <v>7.5374465983126231E-3</v>
      </c>
      <c r="AX70">
        <f t="shared" si="49"/>
        <v>0.28894347499154094</v>
      </c>
      <c r="AY70">
        <f t="shared" si="50"/>
        <v>6.9551178150106807E-9</v>
      </c>
      <c r="AZ70">
        <f t="shared" si="51"/>
        <v>1080577.4158407261</v>
      </c>
      <c r="BA70">
        <f t="shared" si="52"/>
        <v>9.7050911916891938E-6</v>
      </c>
      <c r="BB70" s="15">
        <f t="shared" si="53"/>
        <v>6044330.7616323307</v>
      </c>
      <c r="BC70" s="20">
        <f t="shared" si="54"/>
        <v>-20608.242273919284</v>
      </c>
      <c r="BD70" s="19">
        <f t="shared" si="55"/>
        <v>-0.33979306734405934</v>
      </c>
      <c r="BE70" s="15">
        <v>6941000</v>
      </c>
      <c r="BF70" s="16">
        <f>テーブル2[[#This Row],[q_P]]/テーブル2[[#This Row],[q_M]]</f>
        <v>0.87081555418993384</v>
      </c>
      <c r="BG70">
        <v>1</v>
      </c>
      <c r="BH70">
        <v>-0.14799999999999999</v>
      </c>
      <c r="BI70">
        <v>4.5999999999999999E-2</v>
      </c>
      <c r="BJ70">
        <v>5625</v>
      </c>
      <c r="BK70" s="22">
        <v>1</v>
      </c>
      <c r="BL70">
        <f>テーブル2[[#This Row],[Ts]]-テーブル2[[#This Row],[Tin]]</f>
        <v>129.13304436149201</v>
      </c>
      <c r="BM70">
        <f>テーブル2[[#This Row],[q_P]]*0.000001</f>
        <v>6.0443307616323301</v>
      </c>
      <c r="BN70">
        <f>テーブル2[[#This Row],[Tsub]]</f>
        <v>129.13304436149201</v>
      </c>
      <c r="BO70">
        <f>テーブル2[[#This Row],[Fcorr]]</f>
        <v>1</v>
      </c>
      <c r="BP70">
        <f>(テーブル2[[#This Row],[Tsub]]-40)^2</f>
        <v>7944.6995971477027</v>
      </c>
      <c r="BQ70">
        <v>1</v>
      </c>
      <c r="BR70">
        <v>0.3175</v>
      </c>
    </row>
    <row r="71" spans="1:70" x14ac:dyDescent="0.15">
      <c r="A71" s="9" t="s">
        <v>139</v>
      </c>
      <c r="B71">
        <v>13789520</v>
      </c>
      <c r="C71" s="22">
        <f t="array" ref="C71">TsatFromP(テーブル2[[#This Row],[P]])</f>
        <v>608.621106065763</v>
      </c>
      <c r="D71">
        <f t="array" ref="D71">RhoGFromP(テーブル2[[#This Row],[P]])</f>
        <v>85.147893581579396</v>
      </c>
      <c r="E71">
        <f t="array" ref="E71">RhoFFromP(テーブル2[[#This Row],[P]])</f>
        <v>624.86627494838649</v>
      </c>
      <c r="F71">
        <f t="array" ref="F71">HgFromP(テーブル2[[#This Row],[P]])</f>
        <v>2643264.389866509</v>
      </c>
      <c r="G71">
        <f t="array" ref="G71">HfFromP(テーブル2[[#This Row],[P]])</f>
        <v>1562686.9740257829</v>
      </c>
      <c r="H71">
        <f t="array" ref="H71">MuGFromP(テーブル2[[#This Row],[P]])</f>
        <v>2.2019594042733509E-5</v>
      </c>
      <c r="I71">
        <f t="array" ref="I71">MuFFromP(テーブル2[[#This Row],[P]])</f>
        <v>7.2223252690249831E-5</v>
      </c>
      <c r="J71">
        <f t="array" ref="J71">KfFromP(テーブル2[[#This Row],[P]])</f>
        <v>0.4911212487937569</v>
      </c>
      <c r="K71">
        <f t="array" ref="K71">CpFFromP(テーブル2[[#This Row],[P]])</f>
        <v>7679.7516396704104</v>
      </c>
      <c r="L71">
        <f t="array" ref="L71">SigmaFromP(テーブル2[[#This Row],[P]])</f>
        <v>6.5036382888884548E-3</v>
      </c>
      <c r="M71">
        <v>70</v>
      </c>
      <c r="N71">
        <v>3606.96</v>
      </c>
      <c r="O71" s="8">
        <v>1.7719053836560401E-5</v>
      </c>
      <c r="P71" s="8">
        <v>1.4921936786020801E-2</v>
      </c>
      <c r="Q71" s="8">
        <v>4.7498000000000002E-3</v>
      </c>
      <c r="R71">
        <v>0.3175</v>
      </c>
      <c r="S71" s="15">
        <v>6249201.23046875</v>
      </c>
      <c r="T71">
        <v>475.56753850351203</v>
      </c>
      <c r="U71" s="12">
        <f>+T71+BG71*S71*テーブル2[[#This Row],[Pw]]*R71/(N71*O71*K71)</f>
        <v>535.88796532619847</v>
      </c>
      <c r="V71">
        <v>0.03</v>
      </c>
      <c r="W71" s="8">
        <f t="shared" si="28"/>
        <v>237213.61154248976</v>
      </c>
      <c r="X71">
        <v>2.4062651639905688E-2</v>
      </c>
      <c r="Y71">
        <f t="shared" si="29"/>
        <v>6.4465633993775722</v>
      </c>
      <c r="Z71">
        <f t="shared" si="30"/>
        <v>6.4465634208098503</v>
      </c>
      <c r="AA71">
        <f t="shared" si="31"/>
        <v>-2.1432278174415842E-8</v>
      </c>
      <c r="AB71">
        <f t="shared" si="32"/>
        <v>1.2462023386315327E-5</v>
      </c>
      <c r="AC71">
        <v>714.72366405820424</v>
      </c>
      <c r="AD71">
        <f t="shared" si="33"/>
        <v>6504.8361010317985</v>
      </c>
      <c r="AE71">
        <f>+gettm2(AD71,AC71,AK71,AL71,テーブル2[[#This Row],[Fcorr]])</f>
        <v>535.88796532619835</v>
      </c>
      <c r="AF71" s="14">
        <f t="shared" si="34"/>
        <v>0</v>
      </c>
      <c r="AG71">
        <v>1.255138042458762E-5</v>
      </c>
      <c r="AH71">
        <f t="shared" si="35"/>
        <v>62.625190988135977</v>
      </c>
      <c r="AI71">
        <f t="shared" si="36"/>
        <v>0.31657818786947012</v>
      </c>
      <c r="AJ71">
        <f t="shared" si="37"/>
        <v>34.378151713184288</v>
      </c>
      <c r="AK71">
        <f t="array" ref="AK71">+S71*テーブル2[[#This Row],[F_form]]/(E71*CpFromTP((テーブル2[[#This Row],[Tin]]+テーブル2[[#This Row],[Tf]])/2,テーブル2[[#This Row],[P]])*AI71)</f>
        <v>6.8638774880129771</v>
      </c>
      <c r="AL71">
        <f t="shared" si="38"/>
        <v>1.1293680422758512</v>
      </c>
      <c r="AM71">
        <f t="shared" si="39"/>
        <v>608.62110605980922</v>
      </c>
      <c r="AN71">
        <f t="shared" si="40"/>
        <v>5.9537796914810315E-9</v>
      </c>
      <c r="AO71">
        <f t="shared" si="41"/>
        <v>8.9357038272292879E-8</v>
      </c>
      <c r="AP71">
        <v>3.837125911682056</v>
      </c>
      <c r="AQ71">
        <f t="shared" si="42"/>
        <v>3.7036519538148968E-5</v>
      </c>
      <c r="AR71">
        <f t="shared" si="43"/>
        <v>6.3203687314299563E-6</v>
      </c>
      <c r="AS71">
        <f t="shared" si="44"/>
        <v>17.311450038333458</v>
      </c>
      <c r="AT71">
        <f t="shared" si="45"/>
        <v>11.206840672515646</v>
      </c>
      <c r="AU71">
        <f t="shared" si="46"/>
        <v>3.5478413118468772</v>
      </c>
      <c r="AV71">
        <f t="shared" si="47"/>
        <v>0.28928459983517874</v>
      </c>
      <c r="AW71">
        <f t="shared" si="48"/>
        <v>7.4923102997796562E-3</v>
      </c>
      <c r="AX71">
        <f t="shared" si="49"/>
        <v>0.28928459247035809</v>
      </c>
      <c r="AY71">
        <f t="shared" si="50"/>
        <v>7.3648206422305407E-9</v>
      </c>
      <c r="AZ71">
        <f t="shared" si="51"/>
        <v>1080577.4158407261</v>
      </c>
      <c r="BA71">
        <f t="shared" si="52"/>
        <v>9.6521512169803963E-6</v>
      </c>
      <c r="BB71" s="15">
        <f t="shared" si="53"/>
        <v>6250972.9662435912</v>
      </c>
      <c r="BC71" s="20">
        <f t="shared" si="54"/>
        <v>1771.7357748411596</v>
      </c>
      <c r="BD71" s="19">
        <f t="shared" si="55"/>
        <v>2.8351395794439193E-2</v>
      </c>
      <c r="BE71" s="15">
        <v>6215350</v>
      </c>
      <c r="BF71" s="16">
        <f>テーブル2[[#This Row],[q_P]]/テーブル2[[#This Row],[q_M]]</f>
        <v>1.0057314497564243</v>
      </c>
      <c r="BG71">
        <v>1</v>
      </c>
      <c r="BH71">
        <v>-0.216</v>
      </c>
      <c r="BI71">
        <v>4.5999999999999999E-2</v>
      </c>
      <c r="BJ71">
        <v>5625</v>
      </c>
      <c r="BK71" s="22">
        <v>1</v>
      </c>
      <c r="BL71">
        <f>テーブル2[[#This Row],[Ts]]-テーブル2[[#This Row],[Tin]]</f>
        <v>133.05356756225098</v>
      </c>
      <c r="BM71">
        <f>テーブル2[[#This Row],[q_P]]*0.000001</f>
        <v>6.2509729662435909</v>
      </c>
      <c r="BN71">
        <f>テーブル2[[#This Row],[Tsub]]</f>
        <v>133.05356756225098</v>
      </c>
      <c r="BO71">
        <f>テーブル2[[#This Row],[Fcorr]]</f>
        <v>1</v>
      </c>
      <c r="BP71">
        <f>(テーブル2[[#This Row],[Tsub]]-40)^2</f>
        <v>8658.9664360624065</v>
      </c>
      <c r="BQ71">
        <v>1</v>
      </c>
      <c r="BR71">
        <v>0.3175</v>
      </c>
    </row>
    <row r="72" spans="1:70" x14ac:dyDescent="0.15">
      <c r="A72" s="9" t="s">
        <v>140</v>
      </c>
      <c r="B72">
        <v>13789520</v>
      </c>
      <c r="C72" s="22">
        <f t="array" ref="C72">TsatFromP(テーブル2[[#This Row],[P]])</f>
        <v>608.621106065763</v>
      </c>
      <c r="D72">
        <f t="array" ref="D72">RhoGFromP(テーブル2[[#This Row],[P]])</f>
        <v>85.147893581579396</v>
      </c>
      <c r="E72">
        <f t="array" ref="E72">RhoFFromP(テーブル2[[#This Row],[P]])</f>
        <v>624.86627494838649</v>
      </c>
      <c r="F72">
        <f t="array" ref="F72">HgFromP(テーブル2[[#This Row],[P]])</f>
        <v>2643264.389866509</v>
      </c>
      <c r="G72">
        <f t="array" ref="G72">HfFromP(テーブル2[[#This Row],[P]])</f>
        <v>1562686.9740257829</v>
      </c>
      <c r="H72">
        <f t="array" ref="H72">MuGFromP(テーブル2[[#This Row],[P]])</f>
        <v>2.2019594042733509E-5</v>
      </c>
      <c r="I72">
        <f t="array" ref="I72">MuFFromP(テーブル2[[#This Row],[P]])</f>
        <v>7.2223252690249831E-5</v>
      </c>
      <c r="J72">
        <f t="array" ref="J72">KfFromP(テーブル2[[#This Row],[P]])</f>
        <v>0.4911212487937569</v>
      </c>
      <c r="K72">
        <f t="array" ref="K72">CpFFromP(テーブル2[[#This Row],[P]])</f>
        <v>7679.7516396704104</v>
      </c>
      <c r="L72">
        <f t="array" ref="L72">SigmaFromP(テーブル2[[#This Row],[P]])</f>
        <v>6.5036382888884548E-3</v>
      </c>
      <c r="M72" s="23">
        <v>71</v>
      </c>
      <c r="N72">
        <v>3606.96</v>
      </c>
      <c r="O72" s="8">
        <v>1.7719053836560401E-5</v>
      </c>
      <c r="P72" s="8">
        <v>1.4921936786020801E-2</v>
      </c>
      <c r="Q72" s="8">
        <v>4.7498000000000002E-3</v>
      </c>
      <c r="R72">
        <v>0.3175</v>
      </c>
      <c r="S72" s="15">
        <v>4899584.35546875</v>
      </c>
      <c r="T72">
        <v>506.68610815273303</v>
      </c>
      <c r="U72" s="12">
        <f>+T72+BG72*S72*テーブル2[[#This Row],[Pw]]*R72/(N72*O72*K72)</f>
        <v>553.9793555096378</v>
      </c>
      <c r="V72">
        <v>0.03</v>
      </c>
      <c r="W72" s="8">
        <f t="shared" si="28"/>
        <v>237213.61154248976</v>
      </c>
      <c r="X72">
        <v>2.4062651639905688E-2</v>
      </c>
      <c r="Y72">
        <f t="shared" si="29"/>
        <v>6.4465633993775722</v>
      </c>
      <c r="Z72">
        <f t="shared" si="30"/>
        <v>6.4465634208098503</v>
      </c>
      <c r="AA72">
        <f t="shared" si="31"/>
        <v>-2.1432278174415842E-8</v>
      </c>
      <c r="AB72">
        <f t="shared" si="32"/>
        <v>1.2462023386315327E-5</v>
      </c>
      <c r="AC72">
        <v>688.28319018322145</v>
      </c>
      <c r="AD72">
        <f t="shared" si="33"/>
        <v>6504.8361010317985</v>
      </c>
      <c r="AE72">
        <f>+gettm2(AD72,AC72,AK72,AL72,テーブル2[[#This Row],[Fcorr]])</f>
        <v>553.9793555096378</v>
      </c>
      <c r="AF72" s="14">
        <f t="shared" si="34"/>
        <v>0</v>
      </c>
      <c r="AG72">
        <v>1.2532029044890019E-5</v>
      </c>
      <c r="AH72">
        <f t="shared" si="35"/>
        <v>62.625190988135977</v>
      </c>
      <c r="AI72">
        <f t="shared" si="36"/>
        <v>0.31657818786947012</v>
      </c>
      <c r="AJ72">
        <f t="shared" si="37"/>
        <v>34.325148406408545</v>
      </c>
      <c r="AK72">
        <f t="array" ref="AK72">+S72*テーブル2[[#This Row],[F_form]]/(E72*CpFromTP((テーブル2[[#This Row],[Tin]]+テーブル2[[#This Row],[Tf]])/2,テーブル2[[#This Row],[P]])*AI72)</f>
        <v>5.1547038645301893</v>
      </c>
      <c r="AL72">
        <f t="shared" si="38"/>
        <v>1.1293680422758512</v>
      </c>
      <c r="AM72">
        <f t="shared" si="39"/>
        <v>608.62110606179397</v>
      </c>
      <c r="AN72">
        <f t="shared" si="40"/>
        <v>3.9690348785370588E-9</v>
      </c>
      <c r="AO72">
        <f t="shared" si="41"/>
        <v>7.0005658574692534E-8</v>
      </c>
      <c r="AP72">
        <v>3.83261271773089</v>
      </c>
      <c r="AQ72">
        <f t="shared" si="42"/>
        <v>3.7123797552377924E-5</v>
      </c>
      <c r="AR72">
        <f t="shared" si="43"/>
        <v>6.301017351732356E-6</v>
      </c>
      <c r="AS72">
        <f t="shared" si="44"/>
        <v>17.258446731557708</v>
      </c>
      <c r="AT72">
        <f t="shared" si="45"/>
        <v>11.191508446139199</v>
      </c>
      <c r="AU72">
        <f t="shared" si="46"/>
        <v>3.542987463404617</v>
      </c>
      <c r="AV72">
        <f t="shared" si="47"/>
        <v>0.28962525432627295</v>
      </c>
      <c r="AW72">
        <f t="shared" si="48"/>
        <v>7.4923102997796562E-3</v>
      </c>
      <c r="AX72">
        <f t="shared" si="49"/>
        <v>0.28962524715400578</v>
      </c>
      <c r="AY72">
        <f t="shared" si="50"/>
        <v>7.1722671690643836E-9</v>
      </c>
      <c r="AZ72">
        <f t="shared" si="51"/>
        <v>1080577.4158407261</v>
      </c>
      <c r="BA72">
        <f t="shared" si="52"/>
        <v>9.6862898201614223E-6</v>
      </c>
      <c r="BB72" s="15">
        <f t="shared" si="53"/>
        <v>4879986.9262677794</v>
      </c>
      <c r="BC72" s="20">
        <f t="shared" si="54"/>
        <v>-19597.429200970568</v>
      </c>
      <c r="BD72" s="19">
        <f t="shared" si="55"/>
        <v>-0.39998146330711876</v>
      </c>
      <c r="BE72" s="15">
        <v>6215350</v>
      </c>
      <c r="BF72" s="16">
        <f>テーブル2[[#This Row],[q_P]]/テーブル2[[#This Row],[q_M]]</f>
        <v>0.78515078415017325</v>
      </c>
      <c r="BG72">
        <v>1</v>
      </c>
      <c r="BH72">
        <v>-8.5000000000000006E-2</v>
      </c>
      <c r="BI72">
        <v>4.5999999999999999E-2</v>
      </c>
      <c r="BJ72">
        <v>5625</v>
      </c>
      <c r="BK72" s="22">
        <v>1</v>
      </c>
      <c r="BL72">
        <f>テーブル2[[#This Row],[Ts]]-テーブル2[[#This Row],[Tin]]</f>
        <v>101.93499791302997</v>
      </c>
      <c r="BM72">
        <f>テーブル2[[#This Row],[q_P]]*0.000001</f>
        <v>4.8799869262677795</v>
      </c>
      <c r="BN72">
        <f>テーブル2[[#This Row],[Tsub]]</f>
        <v>101.93499791302997</v>
      </c>
      <c r="BO72">
        <f>テーブル2[[#This Row],[Fcorr]]</f>
        <v>1</v>
      </c>
      <c r="BP72">
        <f>(テーブル2[[#This Row],[Tsub]]-40)^2</f>
        <v>3835.9439664870274</v>
      </c>
      <c r="BQ72">
        <v>1</v>
      </c>
      <c r="BR72">
        <v>0.3175</v>
      </c>
    </row>
    <row r="73" spans="1:70" x14ac:dyDescent="0.15">
      <c r="A73" s="9" t="s">
        <v>141</v>
      </c>
      <c r="B73">
        <v>13789520</v>
      </c>
      <c r="C73" s="22">
        <f t="array" ref="C73">TsatFromP(テーブル2[[#This Row],[P]])</f>
        <v>608.621106065763</v>
      </c>
      <c r="D73">
        <f t="array" ref="D73">RhoGFromP(テーブル2[[#This Row],[P]])</f>
        <v>85.147893581579396</v>
      </c>
      <c r="E73">
        <f t="array" ref="E73">RhoFFromP(テーブル2[[#This Row],[P]])</f>
        <v>624.86627494838649</v>
      </c>
      <c r="F73">
        <f t="array" ref="F73">HgFromP(テーブル2[[#This Row],[P]])</f>
        <v>2643264.389866509</v>
      </c>
      <c r="G73">
        <f t="array" ref="G73">HfFromP(テーブル2[[#This Row],[P]])</f>
        <v>1562686.9740257829</v>
      </c>
      <c r="H73">
        <f t="array" ref="H73">MuGFromP(テーブル2[[#This Row],[P]])</f>
        <v>2.2019594042733509E-5</v>
      </c>
      <c r="I73">
        <f t="array" ref="I73">MuFFromP(テーブル2[[#This Row],[P]])</f>
        <v>7.2223252690249831E-5</v>
      </c>
      <c r="J73">
        <f t="array" ref="J73">KfFromP(テーブル2[[#This Row],[P]])</f>
        <v>0.4911212487937569</v>
      </c>
      <c r="K73">
        <f t="array" ref="K73">CpFFromP(テーブル2[[#This Row],[P]])</f>
        <v>7679.7516396704104</v>
      </c>
      <c r="L73">
        <f t="array" ref="L73">SigmaFromP(テーブル2[[#This Row],[P]])</f>
        <v>6.5036382888884548E-3</v>
      </c>
      <c r="M73">
        <v>72</v>
      </c>
      <c r="N73">
        <v>3647.64</v>
      </c>
      <c r="O73" s="8">
        <v>1.7719053836560401E-5</v>
      </c>
      <c r="P73" s="8">
        <v>1.4921936786020801E-2</v>
      </c>
      <c r="Q73" s="8">
        <v>4.7498000000000002E-3</v>
      </c>
      <c r="R73">
        <v>0.3175</v>
      </c>
      <c r="S73" s="15">
        <v>8937289.16015625</v>
      </c>
      <c r="T73">
        <v>414.08396642751802</v>
      </c>
      <c r="U73" s="12">
        <f>+T73+BG73*S73*テーブル2[[#This Row],[Pw]]*R73/(N73*O73*K73)</f>
        <v>499.38907938972056</v>
      </c>
      <c r="V73">
        <v>0.03</v>
      </c>
      <c r="W73" s="8">
        <f t="shared" si="28"/>
        <v>239888.95302605163</v>
      </c>
      <c r="X73">
        <v>2.3953673772885192E-2</v>
      </c>
      <c r="Y73">
        <f t="shared" si="29"/>
        <v>6.4612111628115629</v>
      </c>
      <c r="Z73">
        <f t="shared" si="30"/>
        <v>6.4612111743555216</v>
      </c>
      <c r="AA73">
        <f t="shared" si="31"/>
        <v>-1.1543958677862065E-8</v>
      </c>
      <c r="AB73">
        <f t="shared" si="32"/>
        <v>1.2241048773257568E-5</v>
      </c>
      <c r="AC73">
        <v>767.25532476945341</v>
      </c>
      <c r="AD73">
        <f t="shared" si="33"/>
        <v>6563.2859359548429</v>
      </c>
      <c r="AE73">
        <f>+gettm2(AD73,AC73,AK73,AL73,テーブル2[[#This Row],[Fcorr]])</f>
        <v>499.38907938972056</v>
      </c>
      <c r="AF73" s="14">
        <f t="shared" si="34"/>
        <v>0</v>
      </c>
      <c r="AG73">
        <v>1.2365729149971131E-5</v>
      </c>
      <c r="AH73">
        <f t="shared" si="35"/>
        <v>63.755696846139266</v>
      </c>
      <c r="AI73">
        <f t="shared" si="36"/>
        <v>0.31942283184416953</v>
      </c>
      <c r="AJ73">
        <f t="shared" si="37"/>
        <v>34.173993101954764</v>
      </c>
      <c r="AK73">
        <f t="array" ref="AK73">+S73*テーブル2[[#This Row],[F_form]]/(E73*CpFromTP((テーブル2[[#This Row],[Tin]]+テーブル2[[#This Row],[Tf]])/2,テーブル2[[#This Row],[P]])*AI73)</f>
        <v>10.272096733806505</v>
      </c>
      <c r="AL73">
        <f t="shared" si="38"/>
        <v>1.1293680422758512</v>
      </c>
      <c r="AM73">
        <f t="shared" si="39"/>
        <v>608.62110603921269</v>
      </c>
      <c r="AN73">
        <f t="shared" si="40"/>
        <v>2.6550310394668486E-8</v>
      </c>
      <c r="AO73">
        <f t="shared" si="41"/>
        <v>1.2468037671356238E-7</v>
      </c>
      <c r="AP73">
        <v>3.8647017632661811</v>
      </c>
      <c r="AQ73">
        <f t="shared" si="42"/>
        <v>3.650987094634945E-5</v>
      </c>
      <c r="AR73">
        <f t="shared" si="43"/>
        <v>6.2452047633423465E-6</v>
      </c>
      <c r="AS73">
        <f t="shared" si="44"/>
        <v>17.259280218284147</v>
      </c>
      <c r="AT73">
        <f t="shared" si="45"/>
        <v>11.191749912423411</v>
      </c>
      <c r="AU73">
        <f t="shared" si="46"/>
        <v>3.5749004503180224</v>
      </c>
      <c r="AV73">
        <f t="shared" si="47"/>
        <v>0.2898013129481587</v>
      </c>
      <c r="AW73">
        <f t="shared" si="48"/>
        <v>7.3594578473263478E-3</v>
      </c>
      <c r="AX73">
        <f t="shared" si="49"/>
        <v>0.28980130398009174</v>
      </c>
      <c r="AY73">
        <f t="shared" si="50"/>
        <v>8.9680669557168358E-9</v>
      </c>
      <c r="AZ73">
        <f t="shared" si="51"/>
        <v>1080577.4158407261</v>
      </c>
      <c r="BA73">
        <f t="shared" si="52"/>
        <v>9.4470086394179634E-6</v>
      </c>
      <c r="BB73" s="15">
        <f t="shared" si="53"/>
        <v>8911416.9799249172</v>
      </c>
      <c r="BC73" s="20">
        <f t="shared" si="54"/>
        <v>-25872.180231332779</v>
      </c>
      <c r="BD73" s="19">
        <f t="shared" si="55"/>
        <v>-0.28948576875720622</v>
      </c>
      <c r="BE73" s="15">
        <v>8171449.9999999981</v>
      </c>
      <c r="BF73" s="16">
        <f>テーブル2[[#This Row],[q_P]]/テーブル2[[#This Row],[q_M]]</f>
        <v>1.0905551621713305</v>
      </c>
      <c r="BG73">
        <v>1</v>
      </c>
      <c r="BH73">
        <v>-0.33400000000000002</v>
      </c>
      <c r="BI73">
        <v>4.5999999999999999E-2</v>
      </c>
      <c r="BJ73">
        <v>5625</v>
      </c>
      <c r="BK73" s="22">
        <v>1</v>
      </c>
      <c r="BL73">
        <f>テーブル2[[#This Row],[Ts]]-テーブル2[[#This Row],[Tin]]</f>
        <v>194.53713963824498</v>
      </c>
      <c r="BM73">
        <f>テーブル2[[#This Row],[q_P]]*0.000001</f>
        <v>8.9114169799249172</v>
      </c>
      <c r="BN73">
        <f>テーブル2[[#This Row],[Tsub]]</f>
        <v>194.53713963824498</v>
      </c>
      <c r="BO73">
        <f>テーブル2[[#This Row],[Fcorr]]</f>
        <v>1</v>
      </c>
      <c r="BP73">
        <f>(テーブル2[[#This Row],[Tsub]]-40)^2</f>
        <v>23881.727527570427</v>
      </c>
      <c r="BQ73">
        <v>1</v>
      </c>
      <c r="BR73">
        <v>0.3175</v>
      </c>
    </row>
    <row r="74" spans="1:70" x14ac:dyDescent="0.15">
      <c r="A74" s="9" t="s">
        <v>142</v>
      </c>
      <c r="B74">
        <v>13789520</v>
      </c>
      <c r="C74" s="22">
        <f t="array" ref="C74">TsatFromP(テーブル2[[#This Row],[P]])</f>
        <v>608.621106065763</v>
      </c>
      <c r="D74">
        <f t="array" ref="D74">RhoGFromP(テーブル2[[#This Row],[P]])</f>
        <v>85.147893581579396</v>
      </c>
      <c r="E74">
        <f t="array" ref="E74">RhoFFromP(テーブル2[[#This Row],[P]])</f>
        <v>624.86627494838649</v>
      </c>
      <c r="F74">
        <f t="array" ref="F74">HgFromP(テーブル2[[#This Row],[P]])</f>
        <v>2643264.389866509</v>
      </c>
      <c r="G74">
        <f t="array" ref="G74">HfFromP(テーブル2[[#This Row],[P]])</f>
        <v>1562686.9740257829</v>
      </c>
      <c r="H74">
        <f t="array" ref="H74">MuGFromP(テーブル2[[#This Row],[P]])</f>
        <v>2.2019594042733509E-5</v>
      </c>
      <c r="I74">
        <f t="array" ref="I74">MuFFromP(テーブル2[[#This Row],[P]])</f>
        <v>7.2223252690249831E-5</v>
      </c>
      <c r="J74">
        <f t="array" ref="J74">KfFromP(テーブル2[[#This Row],[P]])</f>
        <v>0.4911212487937569</v>
      </c>
      <c r="K74">
        <f t="array" ref="K74">CpFFromP(テーブル2[[#This Row],[P]])</f>
        <v>7679.7516396704104</v>
      </c>
      <c r="L74">
        <f t="array" ref="L74">SigmaFromP(テーブル2[[#This Row],[P]])</f>
        <v>6.5036382888884548E-3</v>
      </c>
      <c r="M74" s="23">
        <v>73</v>
      </c>
      <c r="N74">
        <v>3647.64</v>
      </c>
      <c r="O74" s="8">
        <v>1.7719053836560401E-5</v>
      </c>
      <c r="P74" s="8">
        <v>1.4921936786020801E-2</v>
      </c>
      <c r="Q74" s="8">
        <v>4.7498000000000002E-3</v>
      </c>
      <c r="R74">
        <v>0.3175</v>
      </c>
      <c r="S74" s="15">
        <v>8715213.37890625</v>
      </c>
      <c r="T74">
        <v>419.27906470028603</v>
      </c>
      <c r="U74" s="12">
        <f>+T74+BG74*S74*テーブル2[[#This Row],[Pw]]*R74/(N74*O74*K74)</f>
        <v>502.46449693310626</v>
      </c>
      <c r="V74">
        <v>0.03</v>
      </c>
      <c r="W74" s="8">
        <f t="shared" si="28"/>
        <v>239888.95302605163</v>
      </c>
      <c r="X74">
        <v>2.3953673772885192E-2</v>
      </c>
      <c r="Y74">
        <f t="shared" si="29"/>
        <v>6.4612111628115629</v>
      </c>
      <c r="Z74">
        <f t="shared" si="30"/>
        <v>6.4612111743555216</v>
      </c>
      <c r="AA74">
        <f t="shared" si="31"/>
        <v>-1.1543958677862065E-8</v>
      </c>
      <c r="AB74">
        <f t="shared" si="32"/>
        <v>1.2241048773257568E-5</v>
      </c>
      <c r="AC74">
        <v>762.77530272390209</v>
      </c>
      <c r="AD74">
        <f t="shared" si="33"/>
        <v>6563.2859359548429</v>
      </c>
      <c r="AE74">
        <f>+gettm2(AD74,AC74,AK74,AL74,テーブル2[[#This Row],[Fcorr]])</f>
        <v>502.46449693310615</v>
      </c>
      <c r="AF74" s="14">
        <f t="shared" si="34"/>
        <v>0</v>
      </c>
      <c r="AG74">
        <v>1.2362963191760181E-5</v>
      </c>
      <c r="AH74">
        <f t="shared" si="35"/>
        <v>63.755696846139266</v>
      </c>
      <c r="AI74">
        <f t="shared" si="36"/>
        <v>0.31942283184416953</v>
      </c>
      <c r="AJ74">
        <f t="shared" si="37"/>
        <v>34.166349085522327</v>
      </c>
      <c r="AK74">
        <f t="array" ref="AK74">+S74*テーブル2[[#This Row],[F_form]]/(E74*CpFromTP((テーブル2[[#This Row],[Tin]]+テーブル2[[#This Row],[Tf]])/2,テーブル2[[#This Row],[P]])*AI74)</f>
        <v>9.9823618095200608</v>
      </c>
      <c r="AL74">
        <f t="shared" si="38"/>
        <v>1.1293680422758512</v>
      </c>
      <c r="AM74">
        <f t="shared" si="39"/>
        <v>608.62110604176371</v>
      </c>
      <c r="AN74">
        <f t="shared" si="40"/>
        <v>2.3999291443033144E-8</v>
      </c>
      <c r="AO74">
        <f t="shared" si="41"/>
        <v>1.2191441850261246E-7</v>
      </c>
      <c r="AP74">
        <v>3.8640436163623502</v>
      </c>
      <c r="AQ74">
        <f t="shared" si="42"/>
        <v>3.6522309162517575E-5</v>
      </c>
      <c r="AR74">
        <f t="shared" si="43"/>
        <v>6.2424388051313966E-6</v>
      </c>
      <c r="AS74">
        <f t="shared" si="44"/>
        <v>17.251636201851717</v>
      </c>
      <c r="AT74">
        <f t="shared" si="45"/>
        <v>11.189534956302174</v>
      </c>
      <c r="AU74">
        <f t="shared" si="46"/>
        <v>3.5741929427613659</v>
      </c>
      <c r="AV74">
        <f t="shared" si="47"/>
        <v>0.28985067360098427</v>
      </c>
      <c r="AW74">
        <f t="shared" si="48"/>
        <v>7.3594578473263478E-3</v>
      </c>
      <c r="AX74">
        <f t="shared" si="49"/>
        <v>0.28985066466280579</v>
      </c>
      <c r="AY74">
        <f t="shared" si="50"/>
        <v>8.9381784751374482E-9</v>
      </c>
      <c r="AZ74">
        <f t="shared" si="51"/>
        <v>1080577.4158407261</v>
      </c>
      <c r="BA74">
        <f t="shared" si="52"/>
        <v>9.4518366738572289E-6</v>
      </c>
      <c r="BB74" s="15">
        <f t="shared" si="53"/>
        <v>8709271.6194786299</v>
      </c>
      <c r="BC74" s="20">
        <f t="shared" si="54"/>
        <v>-5941.759427620098</v>
      </c>
      <c r="BD74" s="19">
        <f t="shared" si="55"/>
        <v>-6.8176866925612575E-2</v>
      </c>
      <c r="BE74" s="15">
        <v>7950600</v>
      </c>
      <c r="BF74" s="16">
        <f>テーブル2[[#This Row],[q_P]]/テーブル2[[#This Row],[q_M]]</f>
        <v>1.0954231906370122</v>
      </c>
      <c r="BG74">
        <v>1</v>
      </c>
      <c r="BH74">
        <v>-0.32900000000000001</v>
      </c>
      <c r="BI74">
        <v>4.5999999999999999E-2</v>
      </c>
      <c r="BJ74">
        <v>5625</v>
      </c>
      <c r="BK74" s="22">
        <v>1</v>
      </c>
      <c r="BL74">
        <f>テーブル2[[#This Row],[Ts]]-テーブル2[[#This Row],[Tin]]</f>
        <v>189.34204136547697</v>
      </c>
      <c r="BM74">
        <f>テーブル2[[#This Row],[q_P]]*0.000001</f>
        <v>8.7092716194786295</v>
      </c>
      <c r="BN74">
        <f>テーブル2[[#This Row],[Tsub]]</f>
        <v>189.34204136547697</v>
      </c>
      <c r="BO74">
        <f>テーブル2[[#This Row],[Fcorr]]</f>
        <v>1</v>
      </c>
      <c r="BP74">
        <f>(テーブル2[[#This Row],[Tsub]]-40)^2</f>
        <v>22303.045319207835</v>
      </c>
      <c r="BQ74">
        <v>1</v>
      </c>
      <c r="BR74">
        <v>0.3175</v>
      </c>
    </row>
    <row r="75" spans="1:70" x14ac:dyDescent="0.15">
      <c r="A75" s="9" t="s">
        <v>143</v>
      </c>
      <c r="B75">
        <v>13789520</v>
      </c>
      <c r="C75" s="22">
        <f t="array" ref="C75">TsatFromP(テーブル2[[#This Row],[P]])</f>
        <v>608.621106065763</v>
      </c>
      <c r="D75">
        <f t="array" ref="D75">RhoGFromP(テーブル2[[#This Row],[P]])</f>
        <v>85.147893581579396</v>
      </c>
      <c r="E75">
        <f t="array" ref="E75">RhoFFromP(テーブル2[[#This Row],[P]])</f>
        <v>624.86627494838649</v>
      </c>
      <c r="F75">
        <f t="array" ref="F75">HgFromP(テーブル2[[#This Row],[P]])</f>
        <v>2643264.389866509</v>
      </c>
      <c r="G75">
        <f t="array" ref="G75">HfFromP(テーブル2[[#This Row],[P]])</f>
        <v>1562686.9740257829</v>
      </c>
      <c r="H75">
        <f t="array" ref="H75">MuGFromP(テーブル2[[#This Row],[P]])</f>
        <v>2.2019594042733509E-5</v>
      </c>
      <c r="I75">
        <f t="array" ref="I75">MuFFromP(テーブル2[[#This Row],[P]])</f>
        <v>7.2223252690249831E-5</v>
      </c>
      <c r="J75">
        <f t="array" ref="J75">KfFromP(テーブル2[[#This Row],[P]])</f>
        <v>0.4911212487937569</v>
      </c>
      <c r="K75">
        <f t="array" ref="K75">CpFFromP(テーブル2[[#This Row],[P]])</f>
        <v>7679.7516396704104</v>
      </c>
      <c r="L75">
        <f t="array" ref="L75">SigmaFromP(テーブル2[[#This Row],[P]])</f>
        <v>6.5036382888884548E-3</v>
      </c>
      <c r="M75">
        <v>74</v>
      </c>
      <c r="N75">
        <v>3701.88</v>
      </c>
      <c r="O75" s="8">
        <v>1.7719053836560401E-5</v>
      </c>
      <c r="P75" s="8">
        <v>1.4921936786020801E-2</v>
      </c>
      <c r="Q75" s="8">
        <v>4.7498000000000002E-3</v>
      </c>
      <c r="R75">
        <v>0.3175</v>
      </c>
      <c r="S75" s="15">
        <v>343091.71203125</v>
      </c>
      <c r="T75">
        <v>602.76785429697395</v>
      </c>
      <c r="U75" s="12">
        <f>+T75+BG75*S75*テーブル2[[#This Row],[Pw]]*R75/(N75*O75*K75)</f>
        <v>605.99463248764459</v>
      </c>
      <c r="V75">
        <v>0.03</v>
      </c>
      <c r="W75" s="8">
        <f t="shared" si="28"/>
        <v>243456.07500413424</v>
      </c>
      <c r="X75">
        <v>2.3811358616391751E-2</v>
      </c>
      <c r="Y75">
        <f t="shared" si="29"/>
        <v>6.4804910037808234</v>
      </c>
      <c r="Z75">
        <f t="shared" si="30"/>
        <v>6.4804910224067394</v>
      </c>
      <c r="AA75">
        <f t="shared" si="31"/>
        <v>-1.8625915920722491E-8</v>
      </c>
      <c r="AB75">
        <f t="shared" si="32"/>
        <v>1.1955998419780062E-5</v>
      </c>
      <c r="AC75">
        <v>612.39260201987815</v>
      </c>
      <c r="AD75">
        <f t="shared" si="33"/>
        <v>6641.0647532744524</v>
      </c>
      <c r="AE75">
        <f>+gettm2(AD75,AC75,AK75,AL75,テーブル2[[#This Row],[Fcorr]])</f>
        <v>605.99463248764459</v>
      </c>
      <c r="AF75" s="14">
        <f t="shared" si="34"/>
        <v>0</v>
      </c>
      <c r="AG75">
        <v>1.196080393166259E-5</v>
      </c>
      <c r="AH75">
        <f t="shared" si="35"/>
        <v>65.27573584950099</v>
      </c>
      <c r="AI75">
        <f t="shared" si="36"/>
        <v>0.32320818118414246</v>
      </c>
      <c r="AJ75">
        <f t="shared" si="37"/>
        <v>33.446660243122203</v>
      </c>
      <c r="AK75">
        <f t="array" ref="AK75">+S75*テーブル2[[#This Row],[F_form]]/(E75*CpFromTP((テーブル2[[#This Row],[Tin]]+テーブル2[[#This Row],[Tf]])/2,テーブル2[[#This Row],[P]])*AI75)</f>
        <v>0.24507047008594915</v>
      </c>
      <c r="AL75">
        <f t="shared" si="38"/>
        <v>1.1293680422758512</v>
      </c>
      <c r="AM75">
        <f t="shared" si="39"/>
        <v>608.62110606504109</v>
      </c>
      <c r="AN75">
        <f t="shared" si="40"/>
        <v>7.2191141953226179E-10</v>
      </c>
      <c r="AO75">
        <f t="shared" si="41"/>
        <v>4.8055118825275682E-9</v>
      </c>
      <c r="AP75">
        <v>3.8604913537548859</v>
      </c>
      <c r="AQ75">
        <f t="shared" si="42"/>
        <v>3.6589552686973409E-5</v>
      </c>
      <c r="AR75">
        <f t="shared" si="43"/>
        <v>5.9828047217725586E-6</v>
      </c>
      <c r="AS75">
        <f t="shared" si="44"/>
        <v>16.730049081429829</v>
      </c>
      <c r="AT75">
        <f t="shared" si="45"/>
        <v>11.036032243660081</v>
      </c>
      <c r="AU75">
        <f t="shared" si="46"/>
        <v>3.5669359089629258</v>
      </c>
      <c r="AV75">
        <f t="shared" si="47"/>
        <v>0.29355544479196016</v>
      </c>
      <c r="AW75">
        <f t="shared" si="48"/>
        <v>7.1880823304371266E-3</v>
      </c>
      <c r="AX75">
        <f t="shared" si="49"/>
        <v>0.29355543545025503</v>
      </c>
      <c r="AY75">
        <f t="shared" si="50"/>
        <v>9.3417051316713184E-9</v>
      </c>
      <c r="AZ75">
        <f t="shared" si="51"/>
        <v>1080577.4158407261</v>
      </c>
      <c r="BA75">
        <f t="shared" si="52"/>
        <v>9.4779522434067302E-6</v>
      </c>
      <c r="BB75" s="15">
        <f t="shared" si="53"/>
        <v>342348.24952539237</v>
      </c>
      <c r="BC75" s="20">
        <f t="shared" si="54"/>
        <v>-743.46250585763482</v>
      </c>
      <c r="BD75" s="19">
        <f t="shared" si="55"/>
        <v>-0.21669497682005145</v>
      </c>
      <c r="BE75" s="15">
        <v>2508225</v>
      </c>
      <c r="BF75" s="16">
        <f>テーブル2[[#This Row],[q_P]]/テーブル2[[#This Row],[q_M]]</f>
        <v>0.13649024689786299</v>
      </c>
      <c r="BG75">
        <v>1</v>
      </c>
      <c r="BH75">
        <v>0.13</v>
      </c>
      <c r="BI75">
        <v>4.5999999999999999E-2</v>
      </c>
      <c r="BJ75">
        <v>5625</v>
      </c>
      <c r="BK75" s="22">
        <v>1</v>
      </c>
      <c r="BL75">
        <f>テーブル2[[#This Row],[Ts]]-テーブル2[[#This Row],[Tin]]</f>
        <v>5.8532517687890504</v>
      </c>
      <c r="BM75">
        <f>テーブル2[[#This Row],[q_P]]*0.000001</f>
        <v>0.34234824952539233</v>
      </c>
      <c r="BN75">
        <f>テーブル2[[#This Row],[Tsub]]</f>
        <v>5.8532517687890504</v>
      </c>
      <c r="BO75">
        <f>テーブル2[[#This Row],[Fcorr]]</f>
        <v>1</v>
      </c>
      <c r="BP75">
        <f>(テーブル2[[#This Row],[Tsub]]-40)^2</f>
        <v>1166.0004147657082</v>
      </c>
      <c r="BQ75">
        <v>1</v>
      </c>
      <c r="BR75">
        <v>0.3175</v>
      </c>
    </row>
    <row r="76" spans="1:70" x14ac:dyDescent="0.15">
      <c r="A76" s="9" t="s">
        <v>144</v>
      </c>
      <c r="B76">
        <v>13789520</v>
      </c>
      <c r="C76" s="22">
        <f t="array" ref="C76">TsatFromP(テーブル2[[#This Row],[P]])</f>
        <v>608.621106065763</v>
      </c>
      <c r="D76">
        <f t="array" ref="D76">RhoGFromP(テーブル2[[#This Row],[P]])</f>
        <v>85.147893581579396</v>
      </c>
      <c r="E76">
        <f t="array" ref="E76">RhoFFromP(テーブル2[[#This Row],[P]])</f>
        <v>624.86627494838649</v>
      </c>
      <c r="F76">
        <f t="array" ref="F76">HgFromP(テーブル2[[#This Row],[P]])</f>
        <v>2643264.389866509</v>
      </c>
      <c r="G76">
        <f t="array" ref="G76">HfFromP(テーブル2[[#This Row],[P]])</f>
        <v>1562686.9740257829</v>
      </c>
      <c r="H76">
        <f t="array" ref="H76">MuGFromP(テーブル2[[#This Row],[P]])</f>
        <v>2.2019594042733509E-5</v>
      </c>
      <c r="I76">
        <f t="array" ref="I76">MuFFromP(テーブル2[[#This Row],[P]])</f>
        <v>7.2223252690249831E-5</v>
      </c>
      <c r="J76">
        <f t="array" ref="J76">KfFromP(テーブル2[[#This Row],[P]])</f>
        <v>0.4911212487937569</v>
      </c>
      <c r="K76">
        <f t="array" ref="K76">CpFFromP(テーブル2[[#This Row],[P]])</f>
        <v>7679.7516396704104</v>
      </c>
      <c r="L76">
        <f t="array" ref="L76">SigmaFromP(テーブル2[[#This Row],[P]])</f>
        <v>6.5036382888884548E-3</v>
      </c>
      <c r="M76" s="23">
        <v>75</v>
      </c>
      <c r="N76">
        <v>3769.68</v>
      </c>
      <c r="O76" s="8">
        <v>1.7719053836560401E-5</v>
      </c>
      <c r="P76" s="8">
        <v>1.4921936786020801E-2</v>
      </c>
      <c r="Q76" s="8">
        <v>4.7498000000000002E-3</v>
      </c>
      <c r="R76">
        <v>0.3175</v>
      </c>
      <c r="S76" s="15">
        <v>395973.67578125</v>
      </c>
      <c r="T76">
        <v>601.93187912108897</v>
      </c>
      <c r="U76" s="12">
        <f>+T76+BG76*S76*テーブル2[[#This Row],[Pw]]*R76/(N76*O76*K76)</f>
        <v>605.58903146712385</v>
      </c>
      <c r="V76">
        <v>0.03</v>
      </c>
      <c r="W76" s="8">
        <f t="shared" si="28"/>
        <v>247914.9774767374</v>
      </c>
      <c r="X76">
        <v>2.3638084170766849E-2</v>
      </c>
      <c r="Y76">
        <f t="shared" si="29"/>
        <v>6.5041996338577084</v>
      </c>
      <c r="Z76">
        <f t="shared" si="30"/>
        <v>6.5041996482593518</v>
      </c>
      <c r="AA76">
        <f t="shared" si="31"/>
        <v>-1.4401643433359368E-8</v>
      </c>
      <c r="AB76">
        <f t="shared" si="32"/>
        <v>1.1614311032901839E-5</v>
      </c>
      <c r="AC76">
        <v>612.93563773501978</v>
      </c>
      <c r="AD76">
        <f t="shared" si="33"/>
        <v>6738.045093933315</v>
      </c>
      <c r="AE76">
        <f>+gettm2(AD76,AC76,AK76,AL76,テーブル2[[#This Row],[Fcorr]])</f>
        <v>605.58903146712385</v>
      </c>
      <c r="AF76" s="14">
        <f t="shared" si="34"/>
        <v>0</v>
      </c>
      <c r="AG76">
        <v>1.161971066556588E-5</v>
      </c>
      <c r="AH76">
        <f t="shared" si="35"/>
        <v>67.196116278937154</v>
      </c>
      <c r="AI76">
        <f t="shared" si="36"/>
        <v>0.32792803269583182</v>
      </c>
      <c r="AJ76">
        <f t="shared" si="37"/>
        <v>32.967339442941089</v>
      </c>
      <c r="AK76">
        <f t="array" ref="AK76">+S76*テーブル2[[#This Row],[F_form]]/(E76*CpFromTP((テーブル2[[#This Row],[Tin]]+テーブル2[[#This Row],[Tf]])/2,テーブル2[[#This Row],[P]])*AI76)</f>
        <v>0.28101568778087077</v>
      </c>
      <c r="AL76">
        <f t="shared" si="38"/>
        <v>1.1293680422758512</v>
      </c>
      <c r="AM76">
        <f t="shared" si="39"/>
        <v>608.6211060649033</v>
      </c>
      <c r="AN76">
        <f t="shared" si="40"/>
        <v>8.5969986685086042E-10</v>
      </c>
      <c r="AO76">
        <f t="shared" si="41"/>
        <v>5.3996326640402907E-9</v>
      </c>
      <c r="AP76">
        <v>3.890969235920783</v>
      </c>
      <c r="AQ76">
        <f t="shared" si="42"/>
        <v>3.601858722929114E-5</v>
      </c>
      <c r="AR76">
        <f t="shared" si="43"/>
        <v>5.81255514911496E-6</v>
      </c>
      <c r="AS76">
        <f t="shared" si="44"/>
        <v>16.491329616283164</v>
      </c>
      <c r="AT76">
        <f t="shared" si="45"/>
        <v>10.964173824968348</v>
      </c>
      <c r="AU76">
        <f t="shared" si="46"/>
        <v>3.5954599525570039</v>
      </c>
      <c r="AV76">
        <f t="shared" si="47"/>
        <v>0.29550928336377913</v>
      </c>
      <c r="AW76">
        <f t="shared" si="48"/>
        <v>6.9826559844375123E-3</v>
      </c>
      <c r="AX76">
        <f t="shared" si="49"/>
        <v>0.2955092716810544</v>
      </c>
      <c r="AY76">
        <f t="shared" si="50"/>
        <v>1.1682724732064997E-8</v>
      </c>
      <c r="AZ76">
        <f t="shared" si="51"/>
        <v>1080577.4158407261</v>
      </c>
      <c r="BA76">
        <f t="shared" si="52"/>
        <v>9.2569704475618866E-6</v>
      </c>
      <c r="BB76" s="15">
        <f t="shared" si="53"/>
        <v>393856.76624929142</v>
      </c>
      <c r="BC76" s="20">
        <f t="shared" si="54"/>
        <v>-2116.9095319585758</v>
      </c>
      <c r="BD76" s="19">
        <f t="shared" si="55"/>
        <v>-0.53460865240143696</v>
      </c>
      <c r="BE76" s="15">
        <v>2637580</v>
      </c>
      <c r="BF76" s="16">
        <f>テーブル2[[#This Row],[q_P]]/テーブル2[[#This Row],[q_M]]</f>
        <v>0.1493250503299583</v>
      </c>
      <c r="BG76">
        <v>1</v>
      </c>
      <c r="BH76">
        <v>0.13</v>
      </c>
      <c r="BI76">
        <v>4.5999999999999999E-2</v>
      </c>
      <c r="BJ76">
        <v>5625</v>
      </c>
      <c r="BK76" s="22">
        <v>1</v>
      </c>
      <c r="BL76">
        <f>テーブル2[[#This Row],[Ts]]-テーブル2[[#This Row],[Tin]]</f>
        <v>6.6892269446740329</v>
      </c>
      <c r="BM76">
        <f>テーブル2[[#This Row],[q_P]]*0.000001</f>
        <v>0.39385676624929139</v>
      </c>
      <c r="BN76">
        <f>テーブル2[[#This Row],[Tsub]]</f>
        <v>6.6892269446740329</v>
      </c>
      <c r="BO76">
        <f>テーブル2[[#This Row],[Fcorr]]</f>
        <v>1</v>
      </c>
      <c r="BP76">
        <f>(テーブル2[[#This Row],[Tsub]]-40)^2</f>
        <v>1109.6076015434305</v>
      </c>
      <c r="BQ76">
        <v>1</v>
      </c>
      <c r="BR76">
        <v>0.3175</v>
      </c>
    </row>
    <row r="77" spans="1:70" x14ac:dyDescent="0.15">
      <c r="A77" s="9" t="s">
        <v>145</v>
      </c>
      <c r="B77">
        <v>13789520</v>
      </c>
      <c r="C77" s="22">
        <f t="array" ref="C77">TsatFromP(テーブル2[[#This Row],[P]])</f>
        <v>608.621106065763</v>
      </c>
      <c r="D77">
        <f t="array" ref="D77">RhoGFromP(テーブル2[[#This Row],[P]])</f>
        <v>85.147893581579396</v>
      </c>
      <c r="E77">
        <f t="array" ref="E77">RhoFFromP(テーブル2[[#This Row],[P]])</f>
        <v>624.86627494838649</v>
      </c>
      <c r="F77">
        <f t="array" ref="F77">HgFromP(テーブル2[[#This Row],[P]])</f>
        <v>2643264.389866509</v>
      </c>
      <c r="G77">
        <f t="array" ref="G77">HfFromP(テーブル2[[#This Row],[P]])</f>
        <v>1562686.9740257829</v>
      </c>
      <c r="H77">
        <f t="array" ref="H77">MuGFromP(テーブル2[[#This Row],[P]])</f>
        <v>2.2019594042733509E-5</v>
      </c>
      <c r="I77">
        <f t="array" ref="I77">MuFFromP(テーブル2[[#This Row],[P]])</f>
        <v>7.2223252690249831E-5</v>
      </c>
      <c r="J77">
        <f t="array" ref="J77">KfFromP(テーブル2[[#This Row],[P]])</f>
        <v>0.4911212487937569</v>
      </c>
      <c r="K77">
        <f t="array" ref="K77">CpFFromP(テーブル2[[#This Row],[P]])</f>
        <v>7679.7516396704104</v>
      </c>
      <c r="L77">
        <f t="array" ref="L77">SigmaFromP(テーブル2[[#This Row],[P]])</f>
        <v>6.5036382888884548E-3</v>
      </c>
      <c r="M77">
        <v>76</v>
      </c>
      <c r="N77">
        <v>3783.24</v>
      </c>
      <c r="O77" s="8">
        <v>1.7719053836560401E-5</v>
      </c>
      <c r="P77" s="8">
        <v>1.4921936786020801E-2</v>
      </c>
      <c r="Q77" s="8">
        <v>4.7498000000000002E-3</v>
      </c>
      <c r="R77">
        <v>0.3175</v>
      </c>
      <c r="S77" s="15">
        <v>11638893.45703125</v>
      </c>
      <c r="T77">
        <v>357.53101423134598</v>
      </c>
      <c r="U77" s="12">
        <f>+T77+BG77*S77*テーブル2[[#This Row],[Pw]]*R77/(N77*O77*K77)</f>
        <v>464.64076834253171</v>
      </c>
      <c r="V77">
        <v>0.03</v>
      </c>
      <c r="W77" s="8">
        <f t="shared" si="28"/>
        <v>248806.75797125802</v>
      </c>
      <c r="X77">
        <v>2.360402573567142E-2</v>
      </c>
      <c r="Y77">
        <f t="shared" si="29"/>
        <v>6.5088904228757531</v>
      </c>
      <c r="Z77">
        <f t="shared" si="30"/>
        <v>6.5088904394100471</v>
      </c>
      <c r="AA77">
        <f t="shared" si="31"/>
        <v>-1.6534293934000743E-8</v>
      </c>
      <c r="AB77">
        <f t="shared" si="32"/>
        <v>1.1547841993175833E-5</v>
      </c>
      <c r="AC77">
        <v>814.16076863196679</v>
      </c>
      <c r="AD77">
        <f t="shared" si="33"/>
        <v>6757.4092639581613</v>
      </c>
      <c r="AE77">
        <f>+gettm2(AD77,AC77,AK77,AL77,テーブル2[[#This Row],[Fcorr]])</f>
        <v>464.64076834253183</v>
      </c>
      <c r="AF77" s="14">
        <f t="shared" si="34"/>
        <v>0</v>
      </c>
      <c r="AG77">
        <v>1.170116394353561E-5</v>
      </c>
      <c r="AH77">
        <f t="shared" si="35"/>
        <v>67.582895152861596</v>
      </c>
      <c r="AI77">
        <f t="shared" si="36"/>
        <v>0.3288704505770586</v>
      </c>
      <c r="AJ77">
        <f t="shared" si="37"/>
        <v>33.293845480290003</v>
      </c>
      <c r="AK77">
        <f t="array" ref="AK77">+S77*テーブル2[[#This Row],[F_form]]/(E77*CpFromTP((テーブル2[[#This Row],[Tin]]+テーブル2[[#This Row],[Tf]])/2,テーブル2[[#This Row],[P]])*AI77)</f>
        <v>13.36583746742782</v>
      </c>
      <c r="AL77">
        <f t="shared" si="38"/>
        <v>1.1293680422758512</v>
      </c>
      <c r="AM77">
        <f t="shared" si="39"/>
        <v>608.6211060599876</v>
      </c>
      <c r="AN77">
        <f t="shared" si="40"/>
        <v>5.7754050430958159E-9</v>
      </c>
      <c r="AO77">
        <f t="shared" si="41"/>
        <v>1.5332195035977733E-7</v>
      </c>
      <c r="AP77">
        <v>3.935635596800354</v>
      </c>
      <c r="AQ77">
        <f t="shared" si="42"/>
        <v>3.52056614583871E-5</v>
      </c>
      <c r="AR77">
        <f t="shared" si="43"/>
        <v>5.9272429469476938E-6</v>
      </c>
      <c r="AS77">
        <f t="shared" si="44"/>
        <v>16.865049643957647</v>
      </c>
      <c r="AT77">
        <f t="shared" si="45"/>
        <v>11.076217060588993</v>
      </c>
      <c r="AU77">
        <f t="shared" si="46"/>
        <v>3.6426404954052058</v>
      </c>
      <c r="AV77">
        <f t="shared" si="47"/>
        <v>0.29299510139514817</v>
      </c>
      <c r="AW77">
        <f t="shared" si="48"/>
        <v>6.9426940412186857E-3</v>
      </c>
      <c r="AX77">
        <f t="shared" si="49"/>
        <v>0.29299508715564121</v>
      </c>
      <c r="AY77">
        <f t="shared" si="50"/>
        <v>1.4239506962443471E-8</v>
      </c>
      <c r="AZ77">
        <f t="shared" si="51"/>
        <v>1080577.4158407261</v>
      </c>
      <c r="BA77">
        <f t="shared" si="52"/>
        <v>8.9453559895151555E-6</v>
      </c>
      <c r="BB77" s="15">
        <f t="shared" si="53"/>
        <v>11573099.284998015</v>
      </c>
      <c r="BC77" s="20">
        <f t="shared" si="54"/>
        <v>-65794.172033235431</v>
      </c>
      <c r="BD77" s="19">
        <f t="shared" si="55"/>
        <v>-0.56529576695702177</v>
      </c>
      <c r="BE77" s="15">
        <v>9969800</v>
      </c>
      <c r="BF77" s="16">
        <f>テーブル2[[#This Row],[q_P]]/テーブル2[[#This Row],[q_M]]</f>
        <v>1.1608155915863925</v>
      </c>
      <c r="BG77">
        <v>1</v>
      </c>
      <c r="BH77">
        <v>-0.45700000000000002</v>
      </c>
      <c r="BI77">
        <v>4.5999999999999999E-2</v>
      </c>
      <c r="BJ77">
        <v>5625</v>
      </c>
      <c r="BK77" s="22">
        <v>1</v>
      </c>
      <c r="BL77">
        <f>テーブル2[[#This Row],[Ts]]-テーブル2[[#This Row],[Tin]]</f>
        <v>251.09009183441702</v>
      </c>
      <c r="BM77">
        <f>テーブル2[[#This Row],[q_P]]*0.000001</f>
        <v>11.573099284998014</v>
      </c>
      <c r="BN77">
        <f>テーブル2[[#This Row],[Tsub]]</f>
        <v>251.09009183441702</v>
      </c>
      <c r="BO77">
        <f>テーブル2[[#This Row],[Fcorr]]</f>
        <v>1</v>
      </c>
      <c r="BP77">
        <f>(テーブル2[[#This Row],[Tsub]]-40)^2</f>
        <v>44559.026870662616</v>
      </c>
      <c r="BQ77">
        <v>1</v>
      </c>
      <c r="BR77">
        <v>0.3175</v>
      </c>
    </row>
    <row r="78" spans="1:70" x14ac:dyDescent="0.15">
      <c r="A78" s="9" t="s">
        <v>146</v>
      </c>
      <c r="B78">
        <v>13789520</v>
      </c>
      <c r="C78" s="22">
        <f t="array" ref="C78">TsatFromP(テーブル2[[#This Row],[P]])</f>
        <v>608.621106065763</v>
      </c>
      <c r="D78">
        <f t="array" ref="D78">RhoGFromP(テーブル2[[#This Row],[P]])</f>
        <v>85.147893581579396</v>
      </c>
      <c r="E78">
        <f t="array" ref="E78">RhoFFromP(テーブル2[[#This Row],[P]])</f>
        <v>624.86627494838649</v>
      </c>
      <c r="F78">
        <f t="array" ref="F78">HgFromP(テーブル2[[#This Row],[P]])</f>
        <v>2643264.389866509</v>
      </c>
      <c r="G78">
        <f t="array" ref="G78">HfFromP(テーブル2[[#This Row],[P]])</f>
        <v>1562686.9740257829</v>
      </c>
      <c r="H78">
        <f t="array" ref="H78">MuGFromP(テーブル2[[#This Row],[P]])</f>
        <v>2.2019594042733509E-5</v>
      </c>
      <c r="I78">
        <f t="array" ref="I78">MuFFromP(テーブル2[[#This Row],[P]])</f>
        <v>7.2223252690249831E-5</v>
      </c>
      <c r="J78">
        <f t="array" ref="J78">KfFromP(テーブル2[[#This Row],[P]])</f>
        <v>0.4911212487937569</v>
      </c>
      <c r="K78">
        <f t="array" ref="K78">CpFFromP(テーブル2[[#This Row],[P]])</f>
        <v>7679.7516396704104</v>
      </c>
      <c r="L78">
        <f t="array" ref="L78">SigmaFromP(テーブル2[[#This Row],[P]])</f>
        <v>6.5036382888884548E-3</v>
      </c>
      <c r="M78" s="23">
        <v>77</v>
      </c>
      <c r="N78">
        <v>3905.28</v>
      </c>
      <c r="O78" s="8">
        <v>1.7719053836560401E-5</v>
      </c>
      <c r="P78" s="8">
        <v>1.4921936786020801E-2</v>
      </c>
      <c r="Q78" s="8">
        <v>4.7498000000000002E-3</v>
      </c>
      <c r="R78">
        <v>0.3175</v>
      </c>
      <c r="S78" s="15">
        <v>1161834.5414062501</v>
      </c>
      <c r="T78">
        <v>588.56034428011105</v>
      </c>
      <c r="U78" s="12">
        <f>+T78+BG78*S78*テーブル2[[#This Row],[Pw]]*R78/(N78*O78*K78)</f>
        <v>598.9182828046346</v>
      </c>
      <c r="V78">
        <v>0.03</v>
      </c>
      <c r="W78" s="8">
        <f t="shared" si="28"/>
        <v>256832.78242194376</v>
      </c>
      <c r="X78">
        <v>2.3306034074063231E-2</v>
      </c>
      <c r="Y78">
        <f t="shared" si="29"/>
        <v>6.5503696908217366</v>
      </c>
      <c r="Z78">
        <f t="shared" si="30"/>
        <v>6.5503697070469586</v>
      </c>
      <c r="AA78">
        <f t="shared" si="31"/>
        <v>-1.6225222054799815E-8</v>
      </c>
      <c r="AB78">
        <f t="shared" si="32"/>
        <v>1.0975946116808049E-5</v>
      </c>
      <c r="AC78">
        <v>622.19119190899903</v>
      </c>
      <c r="AD78">
        <f t="shared" si="33"/>
        <v>6931.2195591048785</v>
      </c>
      <c r="AE78">
        <f>+gettm2(AD78,AC78,AK78,AL78,テーブル2[[#This Row],[Fcorr]])</f>
        <v>598.9182828046346</v>
      </c>
      <c r="AF78" s="14">
        <f t="shared" si="34"/>
        <v>0</v>
      </c>
      <c r="AG78">
        <v>1.099119304625929E-5</v>
      </c>
      <c r="AH78">
        <f t="shared" si="35"/>
        <v>71.104266216421237</v>
      </c>
      <c r="AI78">
        <f t="shared" si="36"/>
        <v>0.3373294720521543</v>
      </c>
      <c r="AJ78">
        <f t="shared" si="37"/>
        <v>32.078138961695203</v>
      </c>
      <c r="AK78">
        <f t="array" ref="AK78">+S78*テーブル2[[#This Row],[F_form]]/(E78*CpFromTP((テーブル2[[#This Row],[Tin]]+テーブル2[[#This Row],[Tf]])/2,テーブル2[[#This Row],[P]])*AI78)</f>
        <v>0.8878045989773985</v>
      </c>
      <c r="AL78">
        <f t="shared" si="38"/>
        <v>1.1293680422758512</v>
      </c>
      <c r="AM78">
        <f t="shared" si="39"/>
        <v>608.62110606472368</v>
      </c>
      <c r="AN78">
        <f t="shared" si="40"/>
        <v>1.0393250704510137E-9</v>
      </c>
      <c r="AO78">
        <f t="shared" si="41"/>
        <v>1.5246929451240456E-8</v>
      </c>
      <c r="AP78">
        <v>3.953174182171606</v>
      </c>
      <c r="AQ78">
        <f t="shared" si="42"/>
        <v>3.489396874264683E-5</v>
      </c>
      <c r="AR78">
        <f t="shared" si="43"/>
        <v>5.5032199878552651E-6</v>
      </c>
      <c r="AS78">
        <f t="shared" si="44"/>
        <v>16.061318799898658</v>
      </c>
      <c r="AT78">
        <f t="shared" si="45"/>
        <v>10.832069111009529</v>
      </c>
      <c r="AU78">
        <f t="shared" si="46"/>
        <v>3.653976154449293</v>
      </c>
      <c r="AV78">
        <f t="shared" si="47"/>
        <v>0.29919802772231296</v>
      </c>
      <c r="AW78">
        <f t="shared" si="48"/>
        <v>6.5988637311570741E-3</v>
      </c>
      <c r="AX78">
        <f t="shared" si="49"/>
        <v>0.2991980103869431</v>
      </c>
      <c r="AY78">
        <f t="shared" si="50"/>
        <v>1.7335369861815053E-8</v>
      </c>
      <c r="AZ78">
        <f t="shared" si="51"/>
        <v>1080577.4158407261</v>
      </c>
      <c r="BA78">
        <f t="shared" si="52"/>
        <v>8.8268229869594174E-6</v>
      </c>
      <c r="BB78" s="15">
        <f t="shared" si="53"/>
        <v>1166328.6548264325</v>
      </c>
      <c r="BC78" s="20">
        <f t="shared" si="54"/>
        <v>4494.1134201823734</v>
      </c>
      <c r="BD78" s="19">
        <f t="shared" si="55"/>
        <v>0.38681182733152619</v>
      </c>
      <c r="BE78" s="15">
        <v>3344300</v>
      </c>
      <c r="BF78" s="16">
        <f>テーブル2[[#This Row],[q_P]]/テーブル2[[#This Row],[q_M]]</f>
        <v>0.3487512049835339</v>
      </c>
      <c r="BG78">
        <v>1</v>
      </c>
      <c r="BH78">
        <v>8.8999999999999996E-2</v>
      </c>
      <c r="BI78">
        <v>4.5999999999999999E-2</v>
      </c>
      <c r="BJ78">
        <v>5625</v>
      </c>
      <c r="BK78" s="22">
        <v>1</v>
      </c>
      <c r="BL78">
        <f>テーブル2[[#This Row],[Ts]]-テーブル2[[#This Row],[Tin]]</f>
        <v>20.060761785651948</v>
      </c>
      <c r="BM78">
        <f>テーブル2[[#This Row],[q_P]]*0.000001</f>
        <v>1.1663286548264324</v>
      </c>
      <c r="BN78">
        <f>テーブル2[[#This Row],[Tsub]]</f>
        <v>20.060761785651948</v>
      </c>
      <c r="BO78">
        <f>テーブル2[[#This Row],[Fcorr]]</f>
        <v>1</v>
      </c>
      <c r="BP78">
        <f>(テーブル2[[#This Row],[Tsub]]-40)^2</f>
        <v>397.57322056851768</v>
      </c>
      <c r="BQ78">
        <v>1</v>
      </c>
      <c r="BR78">
        <v>0.3175</v>
      </c>
    </row>
    <row r="79" spans="1:70" x14ac:dyDescent="0.15">
      <c r="A79" s="9" t="s">
        <v>147</v>
      </c>
      <c r="B79">
        <v>13789520</v>
      </c>
      <c r="C79" s="22">
        <f t="array" ref="C79">TsatFromP(テーブル2[[#This Row],[P]])</f>
        <v>608.621106065763</v>
      </c>
      <c r="D79">
        <f t="array" ref="D79">RhoGFromP(テーブル2[[#This Row],[P]])</f>
        <v>85.147893581579396</v>
      </c>
      <c r="E79">
        <f t="array" ref="E79">RhoFFromP(テーブル2[[#This Row],[P]])</f>
        <v>624.86627494838649</v>
      </c>
      <c r="F79">
        <f t="array" ref="F79">HgFromP(テーブル2[[#This Row],[P]])</f>
        <v>2643264.389866509</v>
      </c>
      <c r="G79">
        <f t="array" ref="G79">HfFromP(テーブル2[[#This Row],[P]])</f>
        <v>1562686.9740257829</v>
      </c>
      <c r="H79">
        <f t="array" ref="H79">MuGFromP(テーブル2[[#This Row],[P]])</f>
        <v>2.2019594042733509E-5</v>
      </c>
      <c r="I79">
        <f t="array" ref="I79">MuFFromP(テーブル2[[#This Row],[P]])</f>
        <v>7.2223252690249831E-5</v>
      </c>
      <c r="J79">
        <f t="array" ref="J79">KfFromP(テーブル2[[#This Row],[P]])</f>
        <v>0.4911212487937569</v>
      </c>
      <c r="K79">
        <f t="array" ref="K79">CpFFromP(テーブル2[[#This Row],[P]])</f>
        <v>7679.7516396704104</v>
      </c>
      <c r="L79">
        <f t="array" ref="L79">SigmaFromP(テーブル2[[#This Row],[P]])</f>
        <v>6.5036382888884548E-3</v>
      </c>
      <c r="M79">
        <v>78</v>
      </c>
      <c r="N79">
        <v>3973.08</v>
      </c>
      <c r="O79" s="8">
        <v>1.7719053836560401E-5</v>
      </c>
      <c r="P79" s="8">
        <v>1.4921936786020801E-2</v>
      </c>
      <c r="Q79" s="8">
        <v>4.7498000000000002E-3</v>
      </c>
      <c r="R79">
        <v>0.3175</v>
      </c>
      <c r="S79" s="15">
        <v>1197501.66015625</v>
      </c>
      <c r="T79">
        <v>588.17556002646495</v>
      </c>
      <c r="U79" s="12">
        <f>+T79+BG79*S79*テーブル2[[#This Row],[Pw]]*R79/(N79*O79*K79)</f>
        <v>598.66929367476439</v>
      </c>
      <c r="V79">
        <v>0.03</v>
      </c>
      <c r="W79" s="8">
        <f t="shared" si="28"/>
        <v>261291.68489454698</v>
      </c>
      <c r="X79">
        <v>2.314682056029143E-2</v>
      </c>
      <c r="Y79">
        <f t="shared" si="29"/>
        <v>6.5728591754018684</v>
      </c>
      <c r="Z79">
        <f t="shared" si="30"/>
        <v>6.5728591860058225</v>
      </c>
      <c r="AA79">
        <f t="shared" si="31"/>
        <v>-1.0603954159194018E-8</v>
      </c>
      <c r="AB79">
        <f t="shared" si="32"/>
        <v>1.0677479180822466E-5</v>
      </c>
      <c r="AC79">
        <v>622.42114520249368</v>
      </c>
      <c r="AD79">
        <f t="shared" si="33"/>
        <v>7027.425863163131</v>
      </c>
      <c r="AE79">
        <f>+gettm2(AD79,AC79,AK79,AL79,テーブル2[[#This Row],[Fcorr]])</f>
        <v>598.66929367476439</v>
      </c>
      <c r="AF79" s="14">
        <f t="shared" si="34"/>
        <v>0</v>
      </c>
      <c r="AG79">
        <v>1.069291714152341E-5</v>
      </c>
      <c r="AH79">
        <f t="shared" si="35"/>
        <v>73.09183951099017</v>
      </c>
      <c r="AI79">
        <f t="shared" si="36"/>
        <v>0.34201165265245409</v>
      </c>
      <c r="AJ79">
        <f t="shared" si="37"/>
        <v>31.640777495053264</v>
      </c>
      <c r="AK79">
        <f t="array" ref="AK79">+S79*テーブル2[[#This Row],[F_form]]/(E79*CpFromTP((テーブル2[[#This Row],[Tin]]+テーブル2[[#This Row],[Tf]])/2,テーブル2[[#This Row],[P]])*AI79)</f>
        <v>0.90488075623402264</v>
      </c>
      <c r="AL79">
        <f t="shared" si="38"/>
        <v>1.1293680422758512</v>
      </c>
      <c r="AM79">
        <f t="shared" si="39"/>
        <v>608.62110606561873</v>
      </c>
      <c r="AN79">
        <f t="shared" si="40"/>
        <v>1.4426859706873074E-10</v>
      </c>
      <c r="AO79">
        <f t="shared" si="41"/>
        <v>1.5437960700944695E-8</v>
      </c>
      <c r="AP79">
        <v>3.9824366295774301</v>
      </c>
      <c r="AQ79">
        <f t="shared" si="42"/>
        <v>3.4383059656185779E-5</v>
      </c>
      <c r="AR79">
        <f t="shared" si="43"/>
        <v>5.3541775511121776E-6</v>
      </c>
      <c r="AS79">
        <f t="shared" si="44"/>
        <v>15.843229524886585</v>
      </c>
      <c r="AT79">
        <f t="shared" si="45"/>
        <v>10.76371124875806</v>
      </c>
      <c r="AU79">
        <f t="shared" si="46"/>
        <v>3.6813146728615544</v>
      </c>
      <c r="AV79">
        <f t="shared" si="47"/>
        <v>0.3011219567158756</v>
      </c>
      <c r="AW79">
        <f t="shared" si="48"/>
        <v>6.419422012159494E-3</v>
      </c>
      <c r="AX79">
        <f t="shared" si="49"/>
        <v>0.30112193621344852</v>
      </c>
      <c r="AY79">
        <f t="shared" si="50"/>
        <v>2.0502427089397202E-8</v>
      </c>
      <c r="AZ79">
        <f t="shared" si="51"/>
        <v>1080577.4158407261</v>
      </c>
      <c r="BA79">
        <f t="shared" si="52"/>
        <v>8.6336740177668843E-6</v>
      </c>
      <c r="BB79" s="15">
        <f t="shared" si="53"/>
        <v>1207361.3144412171</v>
      </c>
      <c r="BC79" s="20">
        <f t="shared" si="54"/>
        <v>9859.6542849671096</v>
      </c>
      <c r="BD79" s="19">
        <f t="shared" si="55"/>
        <v>0.8233520347421166</v>
      </c>
      <c r="BE79" s="15">
        <v>3129760</v>
      </c>
      <c r="BF79" s="16">
        <f>テーブル2[[#This Row],[q_P]]/テーブル2[[#This Row],[q_M]]</f>
        <v>0.38576801877499139</v>
      </c>
      <c r="BG79">
        <v>1</v>
      </c>
      <c r="BH79">
        <v>7.1999999999999995E-2</v>
      </c>
      <c r="BI79">
        <v>4.5999999999999999E-2</v>
      </c>
      <c r="BJ79">
        <v>5625</v>
      </c>
      <c r="BK79" s="22">
        <v>1</v>
      </c>
      <c r="BL79">
        <f>テーブル2[[#This Row],[Ts]]-テーブル2[[#This Row],[Tin]]</f>
        <v>20.445546039298051</v>
      </c>
      <c r="BM79">
        <f>テーブル2[[#This Row],[q_P]]*0.000001</f>
        <v>1.207361314441217</v>
      </c>
      <c r="BN79">
        <f>テーブル2[[#This Row],[Tsub]]</f>
        <v>20.445546039298051</v>
      </c>
      <c r="BO79">
        <f>テーブル2[[#This Row],[Fcorr]]</f>
        <v>1</v>
      </c>
      <c r="BP79">
        <f>(テーブル2[[#This Row],[Tsub]]-40)^2</f>
        <v>382.37666970121211</v>
      </c>
      <c r="BQ79">
        <v>1</v>
      </c>
      <c r="BR79">
        <v>0.3175</v>
      </c>
    </row>
    <row r="80" spans="1:70" x14ac:dyDescent="0.15">
      <c r="A80" s="9" t="s">
        <v>148</v>
      </c>
      <c r="B80">
        <v>13789520</v>
      </c>
      <c r="C80" s="22">
        <f t="array" ref="C80">TsatFromP(テーブル2[[#This Row],[P]])</f>
        <v>608.621106065763</v>
      </c>
      <c r="D80">
        <f t="array" ref="D80">RhoGFromP(テーブル2[[#This Row],[P]])</f>
        <v>85.147893581579396</v>
      </c>
      <c r="E80">
        <f t="array" ref="E80">RhoFFromP(テーブル2[[#This Row],[P]])</f>
        <v>624.86627494838649</v>
      </c>
      <c r="F80">
        <f t="array" ref="F80">HgFromP(テーブル2[[#This Row],[P]])</f>
        <v>2643264.389866509</v>
      </c>
      <c r="G80">
        <f t="array" ref="G80">HfFromP(テーブル2[[#This Row],[P]])</f>
        <v>1562686.9740257829</v>
      </c>
      <c r="H80">
        <f t="array" ref="H80">MuGFromP(テーブル2[[#This Row],[P]])</f>
        <v>2.2019594042733509E-5</v>
      </c>
      <c r="I80">
        <f t="array" ref="I80">MuFFromP(テーブル2[[#This Row],[P]])</f>
        <v>7.2223252690249831E-5</v>
      </c>
      <c r="J80">
        <f t="array" ref="J80">KfFromP(テーブル2[[#This Row],[P]])</f>
        <v>0.4911212487937569</v>
      </c>
      <c r="K80">
        <f t="array" ref="K80">CpFFromP(テーブル2[[#This Row],[P]])</f>
        <v>7679.7516396704104</v>
      </c>
      <c r="L80">
        <f t="array" ref="L80">SigmaFromP(テーブル2[[#This Row],[P]])</f>
        <v>6.5036382888884548E-3</v>
      </c>
      <c r="M80" s="23">
        <v>79</v>
      </c>
      <c r="N80">
        <v>2766.24</v>
      </c>
      <c r="O80" s="8">
        <v>4.7446061512773302E-5</v>
      </c>
      <c r="P80" s="8">
        <v>2.441771474076131E-2</v>
      </c>
      <c r="Q80" s="8">
        <v>7.7723999999999996E-3</v>
      </c>
      <c r="R80">
        <v>0.59055000000000002</v>
      </c>
      <c r="S80" s="15">
        <v>928553.09140624991</v>
      </c>
      <c r="T80">
        <v>584.781818283598</v>
      </c>
      <c r="U80" s="12">
        <f>+T80+BG80*S80*テーブル2[[#This Row],[Pw]]*R80/(N80*O80*K80)</f>
        <v>598.06589056439032</v>
      </c>
      <c r="V80">
        <v>0.03</v>
      </c>
      <c r="W80" s="8">
        <f t="shared" si="28"/>
        <v>297692.54326179845</v>
      </c>
      <c r="X80">
        <v>2.4120812357165521E-2</v>
      </c>
      <c r="Y80">
        <f t="shared" si="29"/>
        <v>6.4387866497231192</v>
      </c>
      <c r="Z80">
        <f t="shared" si="30"/>
        <v>6.4387866773748144</v>
      </c>
      <c r="AA80">
        <f t="shared" si="31"/>
        <v>-2.7651695155839207E-8</v>
      </c>
      <c r="AB80">
        <f t="shared" si="32"/>
        <v>2.11369857143727E-5</v>
      </c>
      <c r="AC80">
        <v>624.77140799285041</v>
      </c>
      <c r="AD80">
        <f t="shared" si="33"/>
        <v>8173.1398903448398</v>
      </c>
      <c r="AE80">
        <f>+gettm2(AD80,AC80,AK80,AL80,テーブル2[[#This Row],[Fcorr]])</f>
        <v>598.06589081210439</v>
      </c>
      <c r="AF80" s="14">
        <f t="shared" si="34"/>
        <v>2.4771406970103271E-7</v>
      </c>
      <c r="AG80">
        <v>2.115806827308891E-5</v>
      </c>
      <c r="AH80">
        <f t="shared" si="35"/>
        <v>36.922795199503511</v>
      </c>
      <c r="AI80">
        <f t="shared" si="36"/>
        <v>0.24308252720246545</v>
      </c>
      <c r="AJ80">
        <f t="shared" si="37"/>
        <v>44.497929032325288</v>
      </c>
      <c r="AK80">
        <f t="array" ref="AK80">+S80*テーブル2[[#This Row],[F_form]]/(E80*CpFromTP((テーブル2[[#This Row],[Tin]]+テーブル2[[#This Row],[Tf]])/2,テーブル2[[#This Row],[P]])*AI80)</f>
        <v>1.0029274150706411</v>
      </c>
      <c r="AL80">
        <f t="shared" si="38"/>
        <v>1.1293680422758512</v>
      </c>
      <c r="AM80">
        <f t="shared" si="39"/>
        <v>608.62110604699319</v>
      </c>
      <c r="AN80">
        <f t="shared" si="40"/>
        <v>1.8769810594676528E-8</v>
      </c>
      <c r="AO80">
        <f t="shared" si="41"/>
        <v>2.1082558716209703E-8</v>
      </c>
      <c r="AP80">
        <v>3.2894832598426311</v>
      </c>
      <c r="AQ80">
        <f t="shared" si="42"/>
        <v>5.0394937066926596E-5</v>
      </c>
      <c r="AR80">
        <f t="shared" si="43"/>
        <v>1.058957541590256E-5</v>
      </c>
      <c r="AS80">
        <f t="shared" si="44"/>
        <v>22.271134077898274</v>
      </c>
      <c r="AT80">
        <f t="shared" si="45"/>
        <v>12.466457019957373</v>
      </c>
      <c r="AU80">
        <f t="shared" si="46"/>
        <v>3.0303778776721546</v>
      </c>
      <c r="AV80">
        <f t="shared" si="47"/>
        <v>0.25910538217047652</v>
      </c>
      <c r="AW80">
        <f t="shared" si="48"/>
        <v>1.2707796387863634E-2</v>
      </c>
      <c r="AX80">
        <f t="shared" si="49"/>
        <v>0.25910537792836147</v>
      </c>
      <c r="AY80">
        <f t="shared" si="50"/>
        <v>4.2421150481253278E-9</v>
      </c>
      <c r="AZ80">
        <f t="shared" si="51"/>
        <v>1080577.4158407261</v>
      </c>
      <c r="BA80">
        <f t="shared" si="52"/>
        <v>1.5320016271898429E-5</v>
      </c>
      <c r="BB80" s="15">
        <f t="shared" si="53"/>
        <v>929195.42789359507</v>
      </c>
      <c r="BC80" s="20">
        <f t="shared" si="54"/>
        <v>642.33648734516464</v>
      </c>
      <c r="BD80" s="19">
        <f t="shared" si="55"/>
        <v>6.9176064706475346E-2</v>
      </c>
      <c r="BE80" s="15">
        <v>2236895</v>
      </c>
      <c r="BF80" s="16">
        <f>テーブル2[[#This Row],[q_P]]/テーブル2[[#This Row],[q_M]]</f>
        <v>0.41539519194847996</v>
      </c>
      <c r="BG80">
        <v>1</v>
      </c>
      <c r="BH80">
        <v>8.3000000000000004E-2</v>
      </c>
      <c r="BI80">
        <v>4.5999999999999999E-2</v>
      </c>
      <c r="BJ80">
        <v>5625</v>
      </c>
      <c r="BK80" s="22">
        <v>1</v>
      </c>
      <c r="BL80">
        <f>テーブル2[[#This Row],[Ts]]-テーブル2[[#This Row],[Tin]]</f>
        <v>23.839287782165002</v>
      </c>
      <c r="BM80">
        <f>テーブル2[[#This Row],[q_P]]*0.000001</f>
        <v>0.92919542789359499</v>
      </c>
      <c r="BN80">
        <f>テーブル2[[#This Row],[Tsub]]</f>
        <v>23.839287782165002</v>
      </c>
      <c r="BO80">
        <f>テーブル2[[#This Row],[Fcorr]]</f>
        <v>1</v>
      </c>
      <c r="BP80">
        <f>(テーブル2[[#This Row],[Tsub]]-40)^2</f>
        <v>261.16861938768136</v>
      </c>
      <c r="BQ80">
        <v>1</v>
      </c>
      <c r="BR80">
        <v>0.59055000000000002</v>
      </c>
    </row>
    <row r="81" spans="1:70" x14ac:dyDescent="0.15">
      <c r="A81" s="9" t="s">
        <v>149</v>
      </c>
      <c r="B81">
        <v>13789520</v>
      </c>
      <c r="C81" s="22">
        <f t="array" ref="C81">TsatFromP(テーブル2[[#This Row],[P]])</f>
        <v>608.621106065763</v>
      </c>
      <c r="D81">
        <f t="array" ref="D81">RhoGFromP(テーブル2[[#This Row],[P]])</f>
        <v>85.147893581579396</v>
      </c>
      <c r="E81">
        <f t="array" ref="E81">RhoFFromP(テーブル2[[#This Row],[P]])</f>
        <v>624.86627494838649</v>
      </c>
      <c r="F81">
        <f t="array" ref="F81">HgFromP(テーブル2[[#This Row],[P]])</f>
        <v>2643264.389866509</v>
      </c>
      <c r="G81">
        <f t="array" ref="G81">HfFromP(テーブル2[[#This Row],[P]])</f>
        <v>1562686.9740257829</v>
      </c>
      <c r="H81">
        <f t="array" ref="H81">MuGFromP(テーブル2[[#This Row],[P]])</f>
        <v>2.2019594042733509E-5</v>
      </c>
      <c r="I81">
        <f t="array" ref="I81">MuFFromP(テーブル2[[#This Row],[P]])</f>
        <v>7.2223252690249831E-5</v>
      </c>
      <c r="J81">
        <f t="array" ref="J81">KfFromP(テーブル2[[#This Row],[P]])</f>
        <v>0.4911212487937569</v>
      </c>
      <c r="K81">
        <f t="array" ref="K81">CpFFromP(テーブル2[[#This Row],[P]])</f>
        <v>7679.7516396704104</v>
      </c>
      <c r="L81">
        <f t="array" ref="L81">SigmaFromP(テーブル2[[#This Row],[P]])</f>
        <v>6.5036382888884548E-3</v>
      </c>
      <c r="M81">
        <v>80</v>
      </c>
      <c r="N81">
        <v>2766.24</v>
      </c>
      <c r="O81" s="8">
        <v>4.7446061512773302E-5</v>
      </c>
      <c r="P81" s="8">
        <v>2.441771474076131E-2</v>
      </c>
      <c r="Q81" s="8">
        <v>7.7723999999999996E-3</v>
      </c>
      <c r="R81">
        <v>0.59055000000000002</v>
      </c>
      <c r="S81" s="15">
        <v>948801.94766875019</v>
      </c>
      <c r="T81">
        <v>584.22817624184802</v>
      </c>
      <c r="U81" s="12">
        <f>+T81+BG81*S81*テーブル2[[#This Row],[Pw]]*R81/(N81*O81*K81)</f>
        <v>597.801932841915</v>
      </c>
      <c r="V81">
        <v>0.03</v>
      </c>
      <c r="W81" s="8">
        <f t="shared" si="28"/>
        <v>297692.54326179845</v>
      </c>
      <c r="X81">
        <v>2.4120812357165521E-2</v>
      </c>
      <c r="Y81">
        <f t="shared" si="29"/>
        <v>6.4387866497231192</v>
      </c>
      <c r="Z81">
        <f t="shared" si="30"/>
        <v>6.4387866773748144</v>
      </c>
      <c r="AA81">
        <f t="shared" si="31"/>
        <v>-2.7651695155839207E-8</v>
      </c>
      <c r="AB81">
        <f t="shared" si="32"/>
        <v>2.11369857143727E-5</v>
      </c>
      <c r="AC81">
        <v>625.17547905653669</v>
      </c>
      <c r="AD81">
        <f t="shared" si="33"/>
        <v>8173.1398903448398</v>
      </c>
      <c r="AE81">
        <f>+gettm2(AD81,AC81,AK81,AL81,テーブル2[[#This Row],[Fcorr]])</f>
        <v>597.80193284191512</v>
      </c>
      <c r="AF81" s="14">
        <f t="shared" si="34"/>
        <v>0</v>
      </c>
      <c r="AG81">
        <v>2.1158702135068721E-5</v>
      </c>
      <c r="AH81">
        <f t="shared" si="35"/>
        <v>36.922795199503511</v>
      </c>
      <c r="AI81">
        <f t="shared" si="36"/>
        <v>0.24308252720246545</v>
      </c>
      <c r="AJ81">
        <f t="shared" si="37"/>
        <v>44.499262119307993</v>
      </c>
      <c r="AK81">
        <f t="array" ref="AK81">+S81*テーブル2[[#This Row],[F_form]]/(E81*CpFromTP((テーブル2[[#This Row],[Tin]]+テーブル2[[#This Row],[Tf]])/2,テーブル2[[#This Row],[P]])*AI81)</f>
        <v>1.0280152883966882</v>
      </c>
      <c r="AL81">
        <f t="shared" si="38"/>
        <v>1.1293680422758512</v>
      </c>
      <c r="AM81">
        <f t="shared" si="39"/>
        <v>608.62110604652366</v>
      </c>
      <c r="AN81">
        <f t="shared" si="40"/>
        <v>1.9239337234466802E-8</v>
      </c>
      <c r="AO81">
        <f t="shared" si="41"/>
        <v>2.1716420696020521E-8</v>
      </c>
      <c r="AP81">
        <v>3.289550697051872</v>
      </c>
      <c r="AQ81">
        <f t="shared" si="42"/>
        <v>5.0392870852179744E-5</v>
      </c>
      <c r="AR81">
        <f t="shared" si="43"/>
        <v>1.0590209277882371E-5</v>
      </c>
      <c r="AS81">
        <f t="shared" si="44"/>
        <v>22.272467164880972</v>
      </c>
      <c r="AT81">
        <f t="shared" si="45"/>
        <v>12.46675629683349</v>
      </c>
      <c r="AU81">
        <f t="shared" si="46"/>
        <v>3.0304506266515343</v>
      </c>
      <c r="AV81">
        <f t="shared" si="47"/>
        <v>0.25910007040033767</v>
      </c>
      <c r="AW81">
        <f t="shared" si="48"/>
        <v>1.2707796387863634E-2</v>
      </c>
      <c r="AX81">
        <f t="shared" si="49"/>
        <v>0.25910006615626974</v>
      </c>
      <c r="AY81">
        <f t="shared" si="50"/>
        <v>4.2440679304256435E-9</v>
      </c>
      <c r="AZ81">
        <f t="shared" si="51"/>
        <v>1080577.4158407261</v>
      </c>
      <c r="BA81">
        <f t="shared" si="52"/>
        <v>1.5319074090374207E-5</v>
      </c>
      <c r="BB81" s="15">
        <f t="shared" si="53"/>
        <v>957191.21031468478</v>
      </c>
      <c r="BC81" s="20">
        <f t="shared" si="54"/>
        <v>8389.262645934592</v>
      </c>
      <c r="BD81" s="19">
        <f t="shared" si="55"/>
        <v>0.88419534409129252</v>
      </c>
      <c r="BE81" s="15">
        <v>2255825</v>
      </c>
      <c r="BF81" s="16">
        <f>テーブル2[[#This Row],[q_P]]/テーブル2[[#This Row],[q_M]]</f>
        <v>0.42431979888275234</v>
      </c>
      <c r="BG81">
        <v>1</v>
      </c>
      <c r="BH81">
        <v>8.2000000000000003E-2</v>
      </c>
      <c r="BI81">
        <v>4.5999999999999999E-2</v>
      </c>
      <c r="BJ81">
        <v>5625</v>
      </c>
      <c r="BK81" s="22">
        <v>1</v>
      </c>
      <c r="BL81">
        <f>テーブル2[[#This Row],[Ts]]-テーブル2[[#This Row],[Tin]]</f>
        <v>24.392929823914983</v>
      </c>
      <c r="BM81">
        <f>テーブル2[[#This Row],[q_P]]*0.000001</f>
        <v>0.95719121031468468</v>
      </c>
      <c r="BN81">
        <f>テーブル2[[#This Row],[Tsub]]</f>
        <v>24.392929823914983</v>
      </c>
      <c r="BO81">
        <f>テーブル2[[#This Row],[Fcorr]]</f>
        <v>1</v>
      </c>
      <c r="BP81">
        <f>(テーブル2[[#This Row],[Tsub]]-40)^2</f>
        <v>243.5806394812424</v>
      </c>
      <c r="BQ81">
        <v>1</v>
      </c>
      <c r="BR81">
        <v>0.59055000000000002</v>
      </c>
    </row>
    <row r="82" spans="1:70" x14ac:dyDescent="0.15">
      <c r="A82" s="9" t="s">
        <v>150</v>
      </c>
      <c r="B82">
        <v>13789520</v>
      </c>
      <c r="C82" s="22">
        <f t="array" ref="C82">TsatFromP(テーブル2[[#This Row],[P]])</f>
        <v>608.621106065763</v>
      </c>
      <c r="D82">
        <f t="array" ref="D82">RhoGFromP(テーブル2[[#This Row],[P]])</f>
        <v>85.147893581579396</v>
      </c>
      <c r="E82">
        <f t="array" ref="E82">RhoFFromP(テーブル2[[#This Row],[P]])</f>
        <v>624.86627494838649</v>
      </c>
      <c r="F82">
        <f t="array" ref="F82">HgFromP(テーブル2[[#This Row],[P]])</f>
        <v>2643264.389866509</v>
      </c>
      <c r="G82">
        <f t="array" ref="G82">HfFromP(テーブル2[[#This Row],[P]])</f>
        <v>1562686.9740257829</v>
      </c>
      <c r="H82">
        <f t="array" ref="H82">MuGFromP(テーブル2[[#This Row],[P]])</f>
        <v>2.2019594042733509E-5</v>
      </c>
      <c r="I82">
        <f t="array" ref="I82">MuFFromP(テーブル2[[#This Row],[P]])</f>
        <v>7.2223252690249831E-5</v>
      </c>
      <c r="J82">
        <f t="array" ref="J82">KfFromP(テーブル2[[#This Row],[P]])</f>
        <v>0.4911212487937569</v>
      </c>
      <c r="K82">
        <f t="array" ref="K82">CpFFromP(テーブル2[[#This Row],[P]])</f>
        <v>7679.7516396704104</v>
      </c>
      <c r="L82">
        <f t="array" ref="L82">SigmaFromP(テーブル2[[#This Row],[P]])</f>
        <v>6.5036382888884548E-3</v>
      </c>
      <c r="M82" s="23">
        <v>81</v>
      </c>
      <c r="N82">
        <v>2888.28</v>
      </c>
      <c r="O82" s="8">
        <v>4.7446061512773302E-5</v>
      </c>
      <c r="P82" s="8">
        <v>2.441771474076131E-2</v>
      </c>
      <c r="Q82" s="8">
        <v>7.7723999999999996E-3</v>
      </c>
      <c r="R82">
        <v>0.59055000000000002</v>
      </c>
      <c r="S82" s="15">
        <v>1330065.30078125</v>
      </c>
      <c r="T82">
        <v>574.77270588422698</v>
      </c>
      <c r="U82" s="12">
        <f>+T82+BG82*S82*テーブル2[[#This Row],[Pw]]*R82/(N82*O82*K82)</f>
        <v>592.99688676828771</v>
      </c>
      <c r="V82">
        <v>0.03</v>
      </c>
      <c r="W82" s="8">
        <f t="shared" si="28"/>
        <v>310826.03781746601</v>
      </c>
      <c r="X82">
        <v>2.3699630481878311E-2</v>
      </c>
      <c r="Y82">
        <f t="shared" si="29"/>
        <v>6.4957486639876469</v>
      </c>
      <c r="Z82">
        <f t="shared" si="30"/>
        <v>6.4957486725553082</v>
      </c>
      <c r="AA82">
        <f t="shared" si="31"/>
        <v>-8.5676612471274893E-9</v>
      </c>
      <c r="AB82">
        <f t="shared" si="32"/>
        <v>1.9733064588115871E-5</v>
      </c>
      <c r="AC82">
        <v>632.02126424257801</v>
      </c>
      <c r="AD82">
        <f t="shared" si="33"/>
        <v>8458.8863608814681</v>
      </c>
      <c r="AE82">
        <f>+gettm2(AD82,AC82,AK82,AL82,テーブル2[[#This Row],[Fcorr]])</f>
        <v>592.99688676828771</v>
      </c>
      <c r="AF82" s="14">
        <f t="shared" si="34"/>
        <v>0</v>
      </c>
      <c r="AG82">
        <v>1.9761478312417291E-5</v>
      </c>
      <c r="AH82">
        <f t="shared" si="35"/>
        <v>39.549690377876139</v>
      </c>
      <c r="AI82">
        <f t="shared" si="36"/>
        <v>0.25158109386462224</v>
      </c>
      <c r="AJ82">
        <f t="shared" si="37"/>
        <v>43.013766498832169</v>
      </c>
      <c r="AK82">
        <f t="array" ref="AK82">+S82*テーブル2[[#This Row],[F_form]]/(E82*CpFromTP((テーブル2[[#This Row],[Tin]]+テーブル2[[#This Row],[Tf]])/2,テーブル2[[#This Row],[P]])*AI82)</f>
        <v>1.460834015692698</v>
      </c>
      <c r="AL82">
        <f t="shared" si="38"/>
        <v>1.1293680422758512</v>
      </c>
      <c r="AM82">
        <f t="shared" si="39"/>
        <v>608.62110605589271</v>
      </c>
      <c r="AN82">
        <f t="shared" si="40"/>
        <v>9.8702912509907037E-9</v>
      </c>
      <c r="AO82">
        <f t="shared" si="41"/>
        <v>2.8413724301420734E-8</v>
      </c>
      <c r="AP82">
        <v>3.3569805301774398</v>
      </c>
      <c r="AQ82">
        <f t="shared" si="42"/>
        <v>4.8388774534276862E-5</v>
      </c>
      <c r="AR82">
        <f t="shared" si="43"/>
        <v>9.894946018359356E-6</v>
      </c>
      <c r="AS82">
        <f t="shared" si="44"/>
        <v>21.537806576181964</v>
      </c>
      <c r="AT82">
        <f t="shared" si="45"/>
        <v>12.299049181411853</v>
      </c>
      <c r="AU82">
        <f t="shared" si="46"/>
        <v>3.0942082465543805</v>
      </c>
      <c r="AV82">
        <f t="shared" si="47"/>
        <v>0.26277228362305927</v>
      </c>
      <c r="AW82">
        <f t="shared" si="48"/>
        <v>1.186374302764583E-2</v>
      </c>
      <c r="AX82">
        <f t="shared" si="49"/>
        <v>0.2627722765516381</v>
      </c>
      <c r="AY82">
        <f t="shared" si="50"/>
        <v>7.0714211708455821E-9</v>
      </c>
      <c r="AZ82">
        <f t="shared" si="51"/>
        <v>1080577.4158407261</v>
      </c>
      <c r="BA82">
        <f t="shared" si="52"/>
        <v>1.4414374494962941E-5</v>
      </c>
      <c r="BB82" s="15">
        <f t="shared" si="53"/>
        <v>1330991.6572082962</v>
      </c>
      <c r="BC82" s="20">
        <f t="shared" si="54"/>
        <v>926.35642704623751</v>
      </c>
      <c r="BD82" s="19">
        <f t="shared" si="55"/>
        <v>6.9647439603312475E-2</v>
      </c>
      <c r="BE82" s="15">
        <v>2527155</v>
      </c>
      <c r="BF82" s="16">
        <f>テーブル2[[#This Row],[q_P]]/テーブル2[[#This Row],[q_M]]</f>
        <v>0.52667590915804385</v>
      </c>
      <c r="BG82">
        <v>1</v>
      </c>
      <c r="BH82">
        <v>4.9000000000000002E-2</v>
      </c>
      <c r="BI82">
        <v>4.5999999999999999E-2</v>
      </c>
      <c r="BJ82">
        <v>5625</v>
      </c>
      <c r="BK82" s="22">
        <v>1</v>
      </c>
      <c r="BL82">
        <f>テーブル2[[#This Row],[Ts]]-テーブル2[[#This Row],[Tin]]</f>
        <v>33.848400181536022</v>
      </c>
      <c r="BM82">
        <f>テーブル2[[#This Row],[q_P]]*0.000001</f>
        <v>1.3309916572082963</v>
      </c>
      <c r="BN82">
        <f>テーブル2[[#This Row],[Tsub]]</f>
        <v>33.848400181536022</v>
      </c>
      <c r="BO82">
        <f>テーブル2[[#This Row],[Fcorr]]</f>
        <v>1</v>
      </c>
      <c r="BP82">
        <f>(テーブル2[[#This Row],[Tsub]]-40)^2</f>
        <v>37.842180326526055</v>
      </c>
      <c r="BQ82">
        <v>1</v>
      </c>
      <c r="BR82">
        <v>0.59055000000000002</v>
      </c>
    </row>
    <row r="83" spans="1:70" x14ac:dyDescent="0.15">
      <c r="A83" s="9" t="s">
        <v>151</v>
      </c>
      <c r="B83">
        <v>13789520</v>
      </c>
      <c r="C83" s="22">
        <f t="array" ref="C83">TsatFromP(テーブル2[[#This Row],[P]])</f>
        <v>608.621106065763</v>
      </c>
      <c r="D83">
        <f t="array" ref="D83">RhoGFromP(テーブル2[[#This Row],[P]])</f>
        <v>85.147893581579396</v>
      </c>
      <c r="E83">
        <f t="array" ref="E83">RhoFFromP(テーブル2[[#This Row],[P]])</f>
        <v>624.86627494838649</v>
      </c>
      <c r="F83">
        <f t="array" ref="F83">HgFromP(テーブル2[[#This Row],[P]])</f>
        <v>2643264.389866509</v>
      </c>
      <c r="G83">
        <f t="array" ref="G83">HfFromP(テーブル2[[#This Row],[P]])</f>
        <v>1562686.9740257829</v>
      </c>
      <c r="H83">
        <f t="array" ref="H83">MuGFromP(テーブル2[[#This Row],[P]])</f>
        <v>2.2019594042733509E-5</v>
      </c>
      <c r="I83">
        <f t="array" ref="I83">MuFFromP(テーブル2[[#This Row],[P]])</f>
        <v>7.2223252690249831E-5</v>
      </c>
      <c r="J83">
        <f t="array" ref="J83">KfFromP(テーブル2[[#This Row],[P]])</f>
        <v>0.4911212487937569</v>
      </c>
      <c r="K83">
        <f t="array" ref="K83">CpFFromP(テーブル2[[#This Row],[P]])</f>
        <v>7679.7516396704104</v>
      </c>
      <c r="L83">
        <f t="array" ref="L83">SigmaFromP(テーブル2[[#This Row],[P]])</f>
        <v>6.5036382888884548E-3</v>
      </c>
      <c r="M83">
        <v>82</v>
      </c>
      <c r="N83">
        <v>2915.4</v>
      </c>
      <c r="O83" s="8">
        <v>4.7446061512773302E-5</v>
      </c>
      <c r="P83" s="8">
        <v>2.441771474076131E-2</v>
      </c>
      <c r="Q83" s="8">
        <v>7.7723999999999996E-3</v>
      </c>
      <c r="R83">
        <v>0.59055000000000002</v>
      </c>
      <c r="S83" s="15">
        <v>923147.01953125</v>
      </c>
      <c r="T83">
        <v>585.88293483903703</v>
      </c>
      <c r="U83" s="12">
        <f>+T83+BG83*S83*テーブル2[[#This Row],[Pw]]*R83/(N83*O83*K83)</f>
        <v>598.41397347917257</v>
      </c>
      <c r="V83">
        <v>0.03</v>
      </c>
      <c r="W83" s="8">
        <f t="shared" si="28"/>
        <v>313744.59216316999</v>
      </c>
      <c r="X83">
        <v>2.3609874739834141E-2</v>
      </c>
      <c r="Y83">
        <f t="shared" si="29"/>
        <v>6.5080841313188298</v>
      </c>
      <c r="Z83">
        <f t="shared" si="30"/>
        <v>6.508084147444321</v>
      </c>
      <c r="AA83">
        <f t="shared" si="31"/>
        <v>-1.6125491164586947E-8</v>
      </c>
      <c r="AB83">
        <f t="shared" si="32"/>
        <v>1.9441273774930842E-5</v>
      </c>
      <c r="AC83">
        <v>623.83479306701861</v>
      </c>
      <c r="AD83">
        <f t="shared" si="33"/>
        <v>8522.1289477333576</v>
      </c>
      <c r="AE83">
        <f>+gettm2(AD83,AC83,AK83,AL83,テーブル2[[#This Row],[Fcorr]])</f>
        <v>598.41397347917257</v>
      </c>
      <c r="AF83" s="14">
        <f t="shared" si="34"/>
        <v>0</v>
      </c>
      <c r="AG83">
        <v>1.9460924162401401E-5</v>
      </c>
      <c r="AH83">
        <f t="shared" si="35"/>
        <v>40.143285038914108</v>
      </c>
      <c r="AI83">
        <f t="shared" si="36"/>
        <v>0.25346203167371806</v>
      </c>
      <c r="AJ83">
        <f t="shared" si="37"/>
        <v>42.676266057857177</v>
      </c>
      <c r="AK83">
        <f t="array" ref="AK83">+S83*テーブル2[[#This Row],[F_form]]/(E83*CpFromTP((テーブル2[[#This Row],[Tin]]+テーブル2[[#This Row],[Tf]])/2,テーブル2[[#This Row],[P]])*AI83)</f>
        <v>0.95093495926393889</v>
      </c>
      <c r="AL83">
        <f t="shared" si="38"/>
        <v>1.1293680422758512</v>
      </c>
      <c r="AM83">
        <f t="shared" si="39"/>
        <v>608.62110604673467</v>
      </c>
      <c r="AN83">
        <f t="shared" si="40"/>
        <v>1.9028334463655483E-8</v>
      </c>
      <c r="AO83">
        <f t="shared" si="41"/>
        <v>1.9650387470558693E-8</v>
      </c>
      <c r="AP83">
        <v>3.370492736222293</v>
      </c>
      <c r="AQ83">
        <f t="shared" si="42"/>
        <v>4.8001573889143926E-5</v>
      </c>
      <c r="AR83">
        <f t="shared" si="43"/>
        <v>9.7402872749359798E-6</v>
      </c>
      <c r="AS83">
        <f t="shared" si="44"/>
        <v>21.35967890097545</v>
      </c>
      <c r="AT83">
        <f t="shared" si="45"/>
        <v>12.257524906265665</v>
      </c>
      <c r="AU83">
        <f t="shared" si="46"/>
        <v>3.1068171660332959</v>
      </c>
      <c r="AV83">
        <f t="shared" si="47"/>
        <v>0.26367557018899701</v>
      </c>
      <c r="AW83">
        <f t="shared" si="48"/>
        <v>1.168831506966206E-2</v>
      </c>
      <c r="AX83">
        <f t="shared" si="49"/>
        <v>0.26367556250242247</v>
      </c>
      <c r="AY83">
        <f t="shared" si="50"/>
        <v>7.686574543530611E-9</v>
      </c>
      <c r="AZ83">
        <f t="shared" si="51"/>
        <v>1080577.4158407261</v>
      </c>
      <c r="BA83">
        <f t="shared" si="52"/>
        <v>1.4241708155391228E-5</v>
      </c>
      <c r="BB83" s="15">
        <f t="shared" si="53"/>
        <v>931648.32755132765</v>
      </c>
      <c r="BC83" s="20">
        <f t="shared" si="54"/>
        <v>8501.3080200776458</v>
      </c>
      <c r="BD83" s="19">
        <f t="shared" si="55"/>
        <v>0.92090510397730452</v>
      </c>
      <c r="BE83" s="15">
        <v>2271600</v>
      </c>
      <c r="BF83" s="16">
        <f>テーブル2[[#This Row],[q_P]]/テーブル2[[#This Row],[q_M]]</f>
        <v>0.41012868795180824</v>
      </c>
      <c r="BG83">
        <v>1</v>
      </c>
      <c r="BH83">
        <v>8.1000000000000003E-2</v>
      </c>
      <c r="BI83">
        <v>4.5999999999999999E-2</v>
      </c>
      <c r="BJ83">
        <v>5625</v>
      </c>
      <c r="BK83" s="22">
        <v>1</v>
      </c>
      <c r="BL83">
        <f>テーブル2[[#This Row],[Ts]]-テーブル2[[#This Row],[Tin]]</f>
        <v>22.738171226725967</v>
      </c>
      <c r="BM83">
        <f>テーブル2[[#This Row],[q_P]]*0.000001</f>
        <v>0.93164832755132765</v>
      </c>
      <c r="BN83">
        <f>テーブル2[[#This Row],[Tsub]]</f>
        <v>22.738171226725967</v>
      </c>
      <c r="BO83">
        <f>テーブル2[[#This Row],[Fcorr]]</f>
        <v>1</v>
      </c>
      <c r="BP83">
        <f>(テーブル2[[#This Row],[Tsub]]-40)^2</f>
        <v>297.97073259783127</v>
      </c>
      <c r="BQ83">
        <v>1</v>
      </c>
      <c r="BR83">
        <v>0.59055000000000002</v>
      </c>
    </row>
    <row r="84" spans="1:70" x14ac:dyDescent="0.15">
      <c r="A84" s="9" t="s">
        <v>152</v>
      </c>
      <c r="B84">
        <v>13789520</v>
      </c>
      <c r="C84" s="22">
        <f t="array" ref="C84">TsatFromP(テーブル2[[#This Row],[P]])</f>
        <v>608.621106065763</v>
      </c>
      <c r="D84">
        <f t="array" ref="D84">RhoGFromP(テーブル2[[#This Row],[P]])</f>
        <v>85.147893581579396</v>
      </c>
      <c r="E84">
        <f t="array" ref="E84">RhoFFromP(テーブル2[[#This Row],[P]])</f>
        <v>624.86627494838649</v>
      </c>
      <c r="F84">
        <f t="array" ref="F84">HgFromP(テーブル2[[#This Row],[P]])</f>
        <v>2643264.389866509</v>
      </c>
      <c r="G84">
        <f t="array" ref="G84">HfFromP(テーブル2[[#This Row],[P]])</f>
        <v>1562686.9740257829</v>
      </c>
      <c r="H84">
        <f t="array" ref="H84">MuGFromP(テーブル2[[#This Row],[P]])</f>
        <v>2.2019594042733509E-5</v>
      </c>
      <c r="I84">
        <f t="array" ref="I84">MuFFromP(テーブル2[[#This Row],[P]])</f>
        <v>7.2223252690249831E-5</v>
      </c>
      <c r="J84">
        <f t="array" ref="J84">KfFromP(テーブル2[[#This Row],[P]])</f>
        <v>0.4911212487937569</v>
      </c>
      <c r="K84">
        <f t="array" ref="K84">CpFFromP(テーブル2[[#This Row],[P]])</f>
        <v>7679.7516396704104</v>
      </c>
      <c r="L84">
        <f t="array" ref="L84">SigmaFromP(テーブル2[[#This Row],[P]])</f>
        <v>6.5036382888884548E-3</v>
      </c>
      <c r="M84" s="23">
        <v>83</v>
      </c>
      <c r="N84">
        <v>2915.4</v>
      </c>
      <c r="O84" s="8">
        <v>4.7446061512773302E-5</v>
      </c>
      <c r="P84" s="8">
        <v>2.441771474076131E-2</v>
      </c>
      <c r="Q84" s="8">
        <v>7.7723999999999996E-3</v>
      </c>
      <c r="R84">
        <v>0.59055000000000002</v>
      </c>
      <c r="S84" s="15">
        <v>944118.84079375013</v>
      </c>
      <c r="T84">
        <v>585.33341139100696</v>
      </c>
      <c r="U84" s="12">
        <f>+T84+BG84*S84*テーブル2[[#This Row],[Pw]]*R84/(N84*O84*K84)</f>
        <v>598.14912700786908</v>
      </c>
      <c r="V84">
        <v>0.03</v>
      </c>
      <c r="W84" s="8">
        <f t="shared" si="28"/>
        <v>313744.59216316999</v>
      </c>
      <c r="X84">
        <v>2.3609874739834141E-2</v>
      </c>
      <c r="Y84">
        <f t="shared" si="29"/>
        <v>6.5080841313188298</v>
      </c>
      <c r="Z84">
        <f t="shared" si="30"/>
        <v>6.508084147444321</v>
      </c>
      <c r="AA84">
        <f t="shared" si="31"/>
        <v>-1.6125491164586947E-8</v>
      </c>
      <c r="AB84">
        <f t="shared" si="32"/>
        <v>1.9441273774930842E-5</v>
      </c>
      <c r="AC84">
        <v>624.22957118093098</v>
      </c>
      <c r="AD84">
        <f t="shared" si="33"/>
        <v>8522.1289477333576</v>
      </c>
      <c r="AE84">
        <f>+gettm2(AD84,AC84,AK84,AL84,テーブル2[[#This Row],[Fcorr]])</f>
        <v>598.14912700786897</v>
      </c>
      <c r="AF84" s="14">
        <f t="shared" si="34"/>
        <v>0</v>
      </c>
      <c r="AG84">
        <v>1.9461006157333621E-5</v>
      </c>
      <c r="AH84">
        <f t="shared" si="35"/>
        <v>40.143285038914108</v>
      </c>
      <c r="AI84">
        <f t="shared" si="36"/>
        <v>0.25346203167371806</v>
      </c>
      <c r="AJ84">
        <f t="shared" si="37"/>
        <v>42.676445866252379</v>
      </c>
      <c r="AK84">
        <f t="array" ref="AK84">+S84*テーブル2[[#This Row],[F_form]]/(E84*CpFromTP((テーブル2[[#This Row],[Tin]]+テーブル2[[#This Row],[Tf]])/2,テーブル2[[#This Row],[P]])*AI84)</f>
        <v>0.97561001255653723</v>
      </c>
      <c r="AL84">
        <f t="shared" si="38"/>
        <v>1.1293680422758512</v>
      </c>
      <c r="AM84">
        <f t="shared" si="39"/>
        <v>608.62110604623876</v>
      </c>
      <c r="AN84">
        <f t="shared" si="40"/>
        <v>1.9524236449797172E-8</v>
      </c>
      <c r="AO84">
        <f t="shared" si="41"/>
        <v>1.9732382402778503E-8</v>
      </c>
      <c r="AP84">
        <v>3.370502630515968</v>
      </c>
      <c r="AQ84">
        <f t="shared" si="42"/>
        <v>4.8001292067099045E-5</v>
      </c>
      <c r="AR84">
        <f t="shared" si="43"/>
        <v>9.7403692698681996E-6</v>
      </c>
      <c r="AS84">
        <f t="shared" si="44"/>
        <v>21.359858709370652</v>
      </c>
      <c r="AT84">
        <f t="shared" si="45"/>
        <v>12.257566996701392</v>
      </c>
      <c r="AU84">
        <f t="shared" si="46"/>
        <v>3.1068278343606495</v>
      </c>
      <c r="AV84">
        <f t="shared" si="47"/>
        <v>0.26367479615531852</v>
      </c>
      <c r="AW84">
        <f t="shared" si="48"/>
        <v>1.168831506966206E-2</v>
      </c>
      <c r="AX84">
        <f t="shared" si="49"/>
        <v>0.26367478846847675</v>
      </c>
      <c r="AY84">
        <f t="shared" si="50"/>
        <v>7.6868417742126383E-9</v>
      </c>
      <c r="AZ84">
        <f t="shared" si="51"/>
        <v>1080577.4158407261</v>
      </c>
      <c r="BA84">
        <f t="shared" si="52"/>
        <v>1.4241582733834224E-5</v>
      </c>
      <c r="BB84" s="15">
        <f t="shared" si="53"/>
        <v>935544.04416598706</v>
      </c>
      <c r="BC84" s="20">
        <f t="shared" si="54"/>
        <v>-8574.7966277630767</v>
      </c>
      <c r="BD84" s="19">
        <f t="shared" si="55"/>
        <v>-0.90823276236643868</v>
      </c>
      <c r="BE84" s="15">
        <v>2258980</v>
      </c>
      <c r="BF84" s="16">
        <f>テーブル2[[#This Row],[q_P]]/テーブル2[[#This Row],[q_M]]</f>
        <v>0.41414445642103387</v>
      </c>
      <c r="BG84">
        <v>1</v>
      </c>
      <c r="BH84">
        <v>7.6999999999999999E-2</v>
      </c>
      <c r="BI84">
        <v>4.5999999999999999E-2</v>
      </c>
      <c r="BJ84">
        <v>5625</v>
      </c>
      <c r="BK84" s="22">
        <v>1</v>
      </c>
      <c r="BL84">
        <f>テーブル2[[#This Row],[Ts]]-テーブル2[[#This Row],[Tin]]</f>
        <v>23.28769467475604</v>
      </c>
      <c r="BM84">
        <f>テーブル2[[#This Row],[q_P]]*0.000001</f>
        <v>0.93554404416598702</v>
      </c>
      <c r="BN84">
        <f>テーブル2[[#This Row],[Tsub]]</f>
        <v>23.28769467475604</v>
      </c>
      <c r="BO84">
        <f>テーブル2[[#This Row],[Fcorr]]</f>
        <v>1</v>
      </c>
      <c r="BP84">
        <f>(テーブル2[[#This Row],[Tsub]]-40)^2</f>
        <v>279.30114928417765</v>
      </c>
      <c r="BQ84">
        <v>1</v>
      </c>
      <c r="BR84">
        <v>0.59055000000000002</v>
      </c>
    </row>
    <row r="85" spans="1:70" x14ac:dyDescent="0.15">
      <c r="A85" s="9" t="s">
        <v>153</v>
      </c>
      <c r="B85">
        <v>13789520</v>
      </c>
      <c r="C85" s="22">
        <f t="array" ref="C85">TsatFromP(テーブル2[[#This Row],[P]])</f>
        <v>608.621106065763</v>
      </c>
      <c r="D85">
        <f t="array" ref="D85">RhoGFromP(テーブル2[[#This Row],[P]])</f>
        <v>85.147893581579396</v>
      </c>
      <c r="E85">
        <f t="array" ref="E85">RhoFFromP(テーブル2[[#This Row],[P]])</f>
        <v>624.86627494838649</v>
      </c>
      <c r="F85">
        <f t="array" ref="F85">HgFromP(テーブル2[[#This Row],[P]])</f>
        <v>2643264.389866509</v>
      </c>
      <c r="G85">
        <f t="array" ref="G85">HfFromP(テーブル2[[#This Row],[P]])</f>
        <v>1562686.9740257829</v>
      </c>
      <c r="H85">
        <f t="array" ref="H85">MuGFromP(テーブル2[[#This Row],[P]])</f>
        <v>2.2019594042733509E-5</v>
      </c>
      <c r="I85">
        <f t="array" ref="I85">MuFFromP(テーブル2[[#This Row],[P]])</f>
        <v>7.2223252690249831E-5</v>
      </c>
      <c r="J85">
        <f t="array" ref="J85">KfFromP(テーブル2[[#This Row],[P]])</f>
        <v>0.4911212487937569</v>
      </c>
      <c r="K85">
        <f t="array" ref="K85">CpFFromP(テーブル2[[#This Row],[P]])</f>
        <v>7679.7516396704104</v>
      </c>
      <c r="L85">
        <f t="array" ref="L85">SigmaFromP(テーブル2[[#This Row],[P]])</f>
        <v>6.5036382888884548E-3</v>
      </c>
      <c r="M85">
        <v>84</v>
      </c>
      <c r="N85">
        <v>2996.76</v>
      </c>
      <c r="O85" s="8">
        <v>4.7446061512773302E-5</v>
      </c>
      <c r="P85" s="8">
        <v>2.441771474076131E-2</v>
      </c>
      <c r="Q85" s="8">
        <v>7.7723999999999996E-3</v>
      </c>
      <c r="R85">
        <v>0.59055000000000002</v>
      </c>
      <c r="S85" s="15">
        <v>1429043.1976562501</v>
      </c>
      <c r="T85">
        <v>573.09232433052603</v>
      </c>
      <c r="U85" s="12">
        <f>+T85+BG85*S85*テーブル2[[#This Row],[Pw]]*R85/(N85*O85*K85)</f>
        <v>591.96388165066776</v>
      </c>
      <c r="V85">
        <v>0.03</v>
      </c>
      <c r="W85" s="8">
        <f t="shared" si="28"/>
        <v>322500.25520028168</v>
      </c>
      <c r="X85">
        <v>2.3348415220437339E-2</v>
      </c>
      <c r="Y85">
        <f t="shared" si="29"/>
        <v>6.5444220008767537</v>
      </c>
      <c r="Z85">
        <f t="shared" si="30"/>
        <v>6.5444220182639521</v>
      </c>
      <c r="AA85">
        <f t="shared" si="31"/>
        <v>-1.7387198347762478E-8</v>
      </c>
      <c r="AB85">
        <f t="shared" si="32"/>
        <v>1.8606014860463931E-5</v>
      </c>
      <c r="AC85">
        <v>633.11775042722331</v>
      </c>
      <c r="AD85">
        <f t="shared" si="33"/>
        <v>8711.3161924750802</v>
      </c>
      <c r="AE85">
        <f>+gettm2(AD85,AC85,AK85,AL85,テーブル2[[#This Row],[Fcorr]])</f>
        <v>591.96388198184525</v>
      </c>
      <c r="AF85" s="14">
        <f t="shared" si="34"/>
        <v>3.3117748898803256E-7</v>
      </c>
      <c r="AG85">
        <v>1.8635044409057381E-5</v>
      </c>
      <c r="AH85">
        <f t="shared" si="35"/>
        <v>41.945392418500667</v>
      </c>
      <c r="AI85">
        <f t="shared" si="36"/>
        <v>0.25908876927802804</v>
      </c>
      <c r="AJ85">
        <f t="shared" si="37"/>
        <v>41.772364805752098</v>
      </c>
      <c r="AK85">
        <f t="array" ref="AK85">+S85*テーブル2[[#This Row],[F_form]]/(E85*CpFromTP((テーブル2[[#This Row],[Tin]]+テーブル2[[#This Row],[Tf]])/2,テーブル2[[#This Row],[P]])*AI85)</f>
        <v>1.5363076797810677</v>
      </c>
      <c r="AL85">
        <f t="shared" si="38"/>
        <v>1.1293680422758512</v>
      </c>
      <c r="AM85">
        <f t="shared" si="39"/>
        <v>608.62110606449926</v>
      </c>
      <c r="AN85">
        <f t="shared" si="40"/>
        <v>1.2637428881134838E-9</v>
      </c>
      <c r="AO85">
        <f t="shared" si="41"/>
        <v>2.9029548593450014E-8</v>
      </c>
      <c r="AP85">
        <v>3.4147955549140052</v>
      </c>
      <c r="AQ85">
        <f t="shared" si="42"/>
        <v>4.676412940134698E-5</v>
      </c>
      <c r="AR85">
        <f t="shared" si="43"/>
        <v>9.3320369788254157E-6</v>
      </c>
      <c r="AS85">
        <f t="shared" si="44"/>
        <v>20.918718759306799</v>
      </c>
      <c r="AT85">
        <f t="shared" si="45"/>
        <v>12.153221962730873</v>
      </c>
      <c r="AU85">
        <f t="shared" si="46"/>
        <v>3.1487633210866424</v>
      </c>
      <c r="AV85">
        <f t="shared" si="47"/>
        <v>0.26603223382736285</v>
      </c>
      <c r="AW85">
        <f t="shared" si="48"/>
        <v>1.118614790355682E-2</v>
      </c>
      <c r="AX85">
        <f t="shared" si="49"/>
        <v>0.26603222428322953</v>
      </c>
      <c r="AY85">
        <f t="shared" si="50"/>
        <v>9.5441333169965503E-9</v>
      </c>
      <c r="AZ85">
        <f t="shared" si="51"/>
        <v>1080577.4158407261</v>
      </c>
      <c r="BA85">
        <f t="shared" si="52"/>
        <v>1.3694561987481748E-5</v>
      </c>
      <c r="BB85" s="15">
        <f t="shared" si="53"/>
        <v>1431314.624492588</v>
      </c>
      <c r="BC85" s="20">
        <f t="shared" si="54"/>
        <v>2271.4268363378942</v>
      </c>
      <c r="BD85" s="19">
        <f t="shared" si="55"/>
        <v>0.15894738801900624</v>
      </c>
      <c r="BE85" s="15">
        <v>2587100</v>
      </c>
      <c r="BF85" s="16">
        <f>テーブル2[[#This Row],[q_P]]/テーブル2[[#This Row],[q_M]]</f>
        <v>0.55325059893030337</v>
      </c>
      <c r="BG85">
        <v>1</v>
      </c>
      <c r="BH85">
        <v>3.6999999999999998E-2</v>
      </c>
      <c r="BI85">
        <v>4.5999999999999999E-2</v>
      </c>
      <c r="BJ85">
        <v>5625</v>
      </c>
      <c r="BK85" s="22">
        <v>1</v>
      </c>
      <c r="BL85">
        <f>テーブル2[[#This Row],[Ts]]-テーブル2[[#This Row],[Tin]]</f>
        <v>35.528781735236976</v>
      </c>
      <c r="BM85">
        <f>テーブル2[[#This Row],[q_P]]*0.000001</f>
        <v>1.4313146244925878</v>
      </c>
      <c r="BN85">
        <f>テーブル2[[#This Row],[Tsub]]</f>
        <v>35.528781735236976</v>
      </c>
      <c r="BO85">
        <f>テーブル2[[#This Row],[Fcorr]]</f>
        <v>1</v>
      </c>
      <c r="BP85">
        <f>(テーブル2[[#This Row],[Tsub]]-40)^2</f>
        <v>19.991792771150472</v>
      </c>
      <c r="BQ85">
        <v>1</v>
      </c>
      <c r="BR85">
        <v>0.59055000000000002</v>
      </c>
    </row>
    <row r="86" spans="1:70" x14ac:dyDescent="0.15">
      <c r="A86" s="9" t="s">
        <v>154</v>
      </c>
      <c r="B86">
        <v>13789520</v>
      </c>
      <c r="C86" s="22">
        <f t="array" ref="C86">TsatFromP(テーブル2[[#This Row],[P]])</f>
        <v>608.621106065763</v>
      </c>
      <c r="D86">
        <f t="array" ref="D86">RhoGFromP(テーブル2[[#This Row],[P]])</f>
        <v>85.147893581579396</v>
      </c>
      <c r="E86">
        <f t="array" ref="E86">RhoFFromP(テーブル2[[#This Row],[P]])</f>
        <v>624.86627494838649</v>
      </c>
      <c r="F86">
        <f t="array" ref="F86">HgFromP(テーブル2[[#This Row],[P]])</f>
        <v>2643264.389866509</v>
      </c>
      <c r="G86">
        <f t="array" ref="G86">HfFromP(テーブル2[[#This Row],[P]])</f>
        <v>1562686.9740257829</v>
      </c>
      <c r="H86">
        <f t="array" ref="H86">MuGFromP(テーブル2[[#This Row],[P]])</f>
        <v>2.2019594042733509E-5</v>
      </c>
      <c r="I86">
        <f t="array" ref="I86">MuFFromP(テーブル2[[#This Row],[P]])</f>
        <v>7.2223252690249831E-5</v>
      </c>
      <c r="J86">
        <f t="array" ref="J86">KfFromP(テーブル2[[#This Row],[P]])</f>
        <v>0.4911212487937569</v>
      </c>
      <c r="K86">
        <f t="array" ref="K86">CpFFromP(テーブル2[[#This Row],[P]])</f>
        <v>7679.7516396704104</v>
      </c>
      <c r="L86">
        <f t="array" ref="L86">SigmaFromP(テーブル2[[#This Row],[P]])</f>
        <v>6.5036382888884548E-3</v>
      </c>
      <c r="M86" s="23">
        <v>85</v>
      </c>
      <c r="N86">
        <v>3051</v>
      </c>
      <c r="O86" s="8">
        <v>4.7446061512773302E-5</v>
      </c>
      <c r="P86" s="8">
        <v>2.441771474076131E-2</v>
      </c>
      <c r="Q86" s="8">
        <v>7.7723999999999996E-3</v>
      </c>
      <c r="R86">
        <v>0.59055000000000002</v>
      </c>
      <c r="S86" s="15">
        <v>1447764.24228125</v>
      </c>
      <c r="T86">
        <v>573.09232433052603</v>
      </c>
      <c r="U86" s="12">
        <f>+T86+BG86*S86*テーブル2[[#This Row],[Pw]]*R86/(N86*O86*K86)</f>
        <v>591.87121722994573</v>
      </c>
      <c r="V86">
        <v>0.03</v>
      </c>
      <c r="W86" s="8">
        <f t="shared" si="28"/>
        <v>328337.36389168946</v>
      </c>
      <c r="X86">
        <v>2.318030858318882E-2</v>
      </c>
      <c r="Y86">
        <f t="shared" si="29"/>
        <v>6.5681096352291144</v>
      </c>
      <c r="Z86">
        <f t="shared" si="30"/>
        <v>6.5681096469750786</v>
      </c>
      <c r="AA86">
        <f t="shared" si="31"/>
        <v>-1.1745964201281822E-8</v>
      </c>
      <c r="AB86">
        <f t="shared" si="32"/>
        <v>1.8080526362899186E-5</v>
      </c>
      <c r="AC86">
        <v>633.03739973696042</v>
      </c>
      <c r="AD86">
        <f t="shared" si="33"/>
        <v>8837.001413597367</v>
      </c>
      <c r="AE86">
        <f>+gettm2(AD86,AC86,AK86,AL86,テーブル2[[#This Row],[Fcorr]])</f>
        <v>591.87121722994561</v>
      </c>
      <c r="AF86" s="14">
        <f t="shared" si="34"/>
        <v>0</v>
      </c>
      <c r="AG86">
        <v>1.8109203067865981E-5</v>
      </c>
      <c r="AH86">
        <f t="shared" si="35"/>
        <v>43.164484208161774</v>
      </c>
      <c r="AI86">
        <f t="shared" si="36"/>
        <v>0.2628268530001111</v>
      </c>
      <c r="AJ86">
        <f t="shared" si="37"/>
        <v>41.179314783040873</v>
      </c>
      <c r="AK86">
        <f t="array" ref="AK86">+S86*テーブル2[[#This Row],[F_form]]/(E86*CpFromTP((テーブル2[[#This Row],[Tin]]+テーブル2[[#This Row],[Tf]])/2,テーブル2[[#This Row],[P]])*AI86)</f>
        <v>1.5347091410783258</v>
      </c>
      <c r="AL86">
        <f t="shared" si="38"/>
        <v>1.1293680422758512</v>
      </c>
      <c r="AM86">
        <f t="shared" si="39"/>
        <v>608.62110604730594</v>
      </c>
      <c r="AN86">
        <f t="shared" si="40"/>
        <v>1.8457058104104362E-8</v>
      </c>
      <c r="AO86">
        <f t="shared" si="41"/>
        <v>2.8676704966795383E-8</v>
      </c>
      <c r="AP86">
        <v>3.4430890015921798</v>
      </c>
      <c r="AQ86">
        <f t="shared" si="42"/>
        <v>4.5998722486401484E-5</v>
      </c>
      <c r="AR86">
        <f t="shared" si="43"/>
        <v>9.0689398864163884E-6</v>
      </c>
      <c r="AS86">
        <f t="shared" si="44"/>
        <v>20.62226200300838</v>
      </c>
      <c r="AT86">
        <f t="shared" si="45"/>
        <v>12.081855860196056</v>
      </c>
      <c r="AU86">
        <f t="shared" si="46"/>
        <v>3.1754361541362797</v>
      </c>
      <c r="AV86">
        <f t="shared" si="47"/>
        <v>0.26765284745590012</v>
      </c>
      <c r="AW86">
        <f t="shared" si="48"/>
        <v>1.0870218237829866E-2</v>
      </c>
      <c r="AX86">
        <f t="shared" si="49"/>
        <v>0.2676528368872676</v>
      </c>
      <c r="AY86">
        <f t="shared" si="50"/>
        <v>1.0568632524687871E-8</v>
      </c>
      <c r="AZ86">
        <f t="shared" si="51"/>
        <v>1080577.4158407261</v>
      </c>
      <c r="BA86">
        <f t="shared" si="52"/>
        <v>1.3359725079755533E-5</v>
      </c>
      <c r="BB86" s="15">
        <f t="shared" si="53"/>
        <v>1449354.7535731054</v>
      </c>
      <c r="BC86" s="20">
        <f t="shared" si="54"/>
        <v>1590.5112918554805</v>
      </c>
      <c r="BD86" s="19">
        <f t="shared" si="55"/>
        <v>0.1098598269942973</v>
      </c>
      <c r="BE86" s="15">
        <v>2602875</v>
      </c>
      <c r="BF86" s="16">
        <f>テーブル2[[#This Row],[q_P]]/テーブル2[[#This Row],[q_M]]</f>
        <v>0.55682841226455571</v>
      </c>
      <c r="BG86">
        <v>1</v>
      </c>
      <c r="BH86">
        <v>3.4000000000000002E-2</v>
      </c>
      <c r="BI86">
        <v>4.5999999999999999E-2</v>
      </c>
      <c r="BJ86">
        <v>5625</v>
      </c>
      <c r="BK86" s="22">
        <v>1</v>
      </c>
      <c r="BL86">
        <f>テーブル2[[#This Row],[Ts]]-テーブル2[[#This Row],[Tin]]</f>
        <v>35.528781735236976</v>
      </c>
      <c r="BM86">
        <f>テーブル2[[#This Row],[q_P]]*0.000001</f>
        <v>1.4493547535731053</v>
      </c>
      <c r="BN86">
        <f>テーブル2[[#This Row],[Tsub]]</f>
        <v>35.528781735236976</v>
      </c>
      <c r="BO86">
        <f>テーブル2[[#This Row],[Fcorr]]</f>
        <v>1</v>
      </c>
      <c r="BP86">
        <f>(テーブル2[[#This Row],[Tsub]]-40)^2</f>
        <v>19.991792771150472</v>
      </c>
      <c r="BQ86">
        <v>1</v>
      </c>
      <c r="BR86">
        <v>0.59055000000000002</v>
      </c>
    </row>
    <row r="87" spans="1:70" x14ac:dyDescent="0.15">
      <c r="A87" s="9" t="s">
        <v>155</v>
      </c>
      <c r="B87">
        <v>13789520</v>
      </c>
      <c r="C87" s="22">
        <f t="array" ref="C87">TsatFromP(テーブル2[[#This Row],[P]])</f>
        <v>608.621106065763</v>
      </c>
      <c r="D87">
        <f t="array" ref="D87">RhoGFromP(テーブル2[[#This Row],[P]])</f>
        <v>85.147893581579396</v>
      </c>
      <c r="E87">
        <f t="array" ref="E87">RhoFFromP(テーブル2[[#This Row],[P]])</f>
        <v>624.86627494838649</v>
      </c>
      <c r="F87">
        <f t="array" ref="F87">HgFromP(テーブル2[[#This Row],[P]])</f>
        <v>2643264.389866509</v>
      </c>
      <c r="G87">
        <f t="array" ref="G87">HfFromP(テーブル2[[#This Row],[P]])</f>
        <v>1562686.9740257829</v>
      </c>
      <c r="H87">
        <f t="array" ref="H87">MuGFromP(テーブル2[[#This Row],[P]])</f>
        <v>2.2019594042733509E-5</v>
      </c>
      <c r="I87">
        <f t="array" ref="I87">MuFFromP(テーブル2[[#This Row],[P]])</f>
        <v>7.2223252690249831E-5</v>
      </c>
      <c r="J87">
        <f t="array" ref="J87">KfFromP(テーブル2[[#This Row],[P]])</f>
        <v>0.4911212487937569</v>
      </c>
      <c r="K87">
        <f t="array" ref="K87">CpFFromP(テーブル2[[#This Row],[P]])</f>
        <v>7679.7516396704104</v>
      </c>
      <c r="L87">
        <f t="array" ref="L87">SigmaFromP(テーブル2[[#This Row],[P]])</f>
        <v>6.5036382888884548E-3</v>
      </c>
      <c r="M87">
        <v>86</v>
      </c>
      <c r="N87">
        <v>3051</v>
      </c>
      <c r="O87" s="8">
        <v>4.7446061512773302E-5</v>
      </c>
      <c r="P87" s="8">
        <v>2.441771474076131E-2</v>
      </c>
      <c r="Q87" s="8">
        <v>7.7723999999999996E-3</v>
      </c>
      <c r="R87">
        <v>0.59055000000000002</v>
      </c>
      <c r="S87" s="15">
        <v>1468476.4337812499</v>
      </c>
      <c r="T87">
        <v>572.54322596837198</v>
      </c>
      <c r="U87" s="12">
        <f>+T87+BG87*S87*テーブル2[[#This Row],[Pw]]*R87/(N87*O87*K87)</f>
        <v>591.59077588702974</v>
      </c>
      <c r="V87">
        <v>0.03</v>
      </c>
      <c r="W87" s="8">
        <f t="shared" si="28"/>
        <v>328337.36389168946</v>
      </c>
      <c r="X87">
        <v>2.318030858318882E-2</v>
      </c>
      <c r="Y87">
        <f t="shared" si="29"/>
        <v>6.5681096352291144</v>
      </c>
      <c r="Z87">
        <f t="shared" si="30"/>
        <v>6.5681096469750786</v>
      </c>
      <c r="AA87">
        <f t="shared" si="31"/>
        <v>-1.1745964201281822E-8</v>
      </c>
      <c r="AB87">
        <f t="shared" si="32"/>
        <v>1.8080526362899186E-5</v>
      </c>
      <c r="AC87">
        <v>633.44645304266578</v>
      </c>
      <c r="AD87">
        <f t="shared" si="33"/>
        <v>8837.001413597367</v>
      </c>
      <c r="AE87">
        <f>+gettm2(AD87,AC87,AK87,AL87,テーブル2[[#This Row],[Fcorr]])</f>
        <v>591.59077622149437</v>
      </c>
      <c r="AF87" s="14">
        <f t="shared" si="34"/>
        <v>3.3446463021391537E-7</v>
      </c>
      <c r="AG87">
        <v>1.8109684291362569E-5</v>
      </c>
      <c r="AH87">
        <f t="shared" si="35"/>
        <v>43.164484208161774</v>
      </c>
      <c r="AI87">
        <f t="shared" si="36"/>
        <v>0.2628268530001111</v>
      </c>
      <c r="AJ87">
        <f t="shared" si="37"/>
        <v>41.180409058353419</v>
      </c>
      <c r="AK87">
        <f t="array" ref="AK87">+S87*テーブル2[[#This Row],[F_form]]/(E87*CpFromTP((テーブル2[[#This Row],[Tin]]+テーブル2[[#This Row],[Tf]])/2,テーブル2[[#This Row],[P]])*AI87)</f>
        <v>1.5604140561861859</v>
      </c>
      <c r="AL87">
        <f t="shared" si="38"/>
        <v>1.1293680422758512</v>
      </c>
      <c r="AM87">
        <f t="shared" si="39"/>
        <v>608.62110604676104</v>
      </c>
      <c r="AN87">
        <f t="shared" si="40"/>
        <v>1.9001959117304068E-8</v>
      </c>
      <c r="AO87">
        <f t="shared" si="41"/>
        <v>2.9157928463383276E-8</v>
      </c>
      <c r="AP87">
        <v>3.4431537019404002</v>
      </c>
      <c r="AQ87">
        <f t="shared" si="42"/>
        <v>4.5996993777399271E-5</v>
      </c>
      <c r="AR87">
        <f t="shared" si="43"/>
        <v>9.0694211099129763E-6</v>
      </c>
      <c r="AS87">
        <f t="shared" si="44"/>
        <v>20.623356278320919</v>
      </c>
      <c r="AT87">
        <f t="shared" si="45"/>
        <v>12.082121167241601</v>
      </c>
      <c r="AU87">
        <f t="shared" si="46"/>
        <v>3.1755058839521388</v>
      </c>
      <c r="AV87">
        <f t="shared" si="47"/>
        <v>0.26764781798826132</v>
      </c>
      <c r="AW87">
        <f t="shared" si="48"/>
        <v>1.0870218237829866E-2</v>
      </c>
      <c r="AX87">
        <f t="shared" si="49"/>
        <v>0.26764780741915556</v>
      </c>
      <c r="AY87">
        <f t="shared" si="50"/>
        <v>1.0569105757252117E-8</v>
      </c>
      <c r="AZ87">
        <f t="shared" si="51"/>
        <v>1080577.4158407261</v>
      </c>
      <c r="BA87">
        <f t="shared" si="52"/>
        <v>1.3358971965578394E-5</v>
      </c>
      <c r="BB87" s="15">
        <f t="shared" si="53"/>
        <v>1473759.4398032762</v>
      </c>
      <c r="BC87" s="20">
        <f t="shared" si="54"/>
        <v>5283.0060220262967</v>
      </c>
      <c r="BD87" s="19">
        <f t="shared" si="55"/>
        <v>0.35976103534891823</v>
      </c>
      <c r="BE87" s="15">
        <v>2618650</v>
      </c>
      <c r="BF87" s="16">
        <f>テーブル2[[#This Row],[q_P]]/テーブル2[[#This Row],[q_M]]</f>
        <v>0.56279359204295198</v>
      </c>
      <c r="BG87">
        <v>1</v>
      </c>
      <c r="BH87">
        <v>3.3000000000000002E-2</v>
      </c>
      <c r="BI87">
        <v>4.5999999999999999E-2</v>
      </c>
      <c r="BJ87">
        <v>5625</v>
      </c>
      <c r="BK87" s="22">
        <v>1</v>
      </c>
      <c r="BL87">
        <f>テーブル2[[#This Row],[Ts]]-テーブル2[[#This Row],[Tin]]</f>
        <v>36.077880097391017</v>
      </c>
      <c r="BM87">
        <f>テーブル2[[#This Row],[q_P]]*0.000001</f>
        <v>1.4737594398032761</v>
      </c>
      <c r="BN87">
        <f>テーブル2[[#This Row],[Tsub]]</f>
        <v>36.077880097391017</v>
      </c>
      <c r="BO87">
        <f>テーブル2[[#This Row],[Fcorr]]</f>
        <v>1</v>
      </c>
      <c r="BP87">
        <f>(テーブル2[[#This Row],[Tsub]]-40)^2</f>
        <v>15.383024530441501</v>
      </c>
      <c r="BQ87">
        <v>1</v>
      </c>
      <c r="BR87">
        <v>0.59055000000000002</v>
      </c>
    </row>
    <row r="88" spans="1:70" x14ac:dyDescent="0.15">
      <c r="A88" s="9" t="s">
        <v>156</v>
      </c>
      <c r="B88">
        <v>10962664.096137701</v>
      </c>
      <c r="C88" s="22">
        <f t="array" ref="C88">TsatFromP(テーブル2[[#This Row],[P]])</f>
        <v>590.91885773675415</v>
      </c>
      <c r="D88">
        <f t="array" ref="D88">RhoGFromP(テーブル2[[#This Row],[P]])</f>
        <v>62.329534958310994</v>
      </c>
      <c r="E88">
        <f t="array" ref="E88">RhoFFromP(テーブル2[[#This Row],[P]])</f>
        <v>672.42409881111666</v>
      </c>
      <c r="F88">
        <f t="array" ref="F88">HgFromP(テーブル2[[#This Row],[P]])</f>
        <v>2706878.8036725009</v>
      </c>
      <c r="G88">
        <f t="array" ref="G88">HfFromP(テーブル2[[#This Row],[P]])</f>
        <v>1448743.0254953832</v>
      </c>
      <c r="H88">
        <f t="array" ref="H88">MuGFromP(テーブル2[[#This Row],[P]])</f>
        <v>2.0627960844486357E-5</v>
      </c>
      <c r="I88">
        <f t="array" ref="I88">MuFFromP(テーブル2[[#This Row],[P]])</f>
        <v>7.9154719957673361E-5</v>
      </c>
      <c r="J88">
        <f t="array" ref="J88">KfFromP(テーブル2[[#This Row],[P]])</f>
        <v>0.52383293111878571</v>
      </c>
      <c r="K88">
        <f t="array" ref="K88">CpFFromP(テーブル2[[#This Row],[P]])</f>
        <v>6433.0576498432911</v>
      </c>
      <c r="L88">
        <f t="array" ref="L88">SigmaFromP(テーブル2[[#This Row],[P]])</f>
        <v>1.0258316120707198E-2</v>
      </c>
      <c r="M88">
        <v>87</v>
      </c>
      <c r="N88">
        <v>1017.17242424647</v>
      </c>
      <c r="O88" s="8">
        <f t="shared" ref="O88:O119" si="56">PI()*Q88^2/4</f>
        <v>6.8620353649299532E-5</v>
      </c>
      <c r="P88" s="8">
        <f t="shared" ref="P88:P119" si="57">PI()*Q88</f>
        <v>2.9365094851634514E-2</v>
      </c>
      <c r="Q88" s="8">
        <v>9.3472E-3</v>
      </c>
      <c r="R88">
        <v>1.524</v>
      </c>
      <c r="S88" s="15">
        <v>725513.61298125016</v>
      </c>
      <c r="T88">
        <v>506.55651294115302</v>
      </c>
      <c r="U88" s="12">
        <f>+T88+BG88*S88*テーブル2[[#This Row],[Pw]]*R88/(N88*O88*K88)</f>
        <v>578.86628082812967</v>
      </c>
      <c r="V88">
        <v>0.03</v>
      </c>
      <c r="W88" s="8">
        <f t="shared" si="28"/>
        <v>120115.56719549626</v>
      </c>
      <c r="X88">
        <v>4.1253861327832868E-2</v>
      </c>
      <c r="Y88">
        <f t="shared" si="29"/>
        <v>4.9234292085143725</v>
      </c>
      <c r="Z88">
        <f t="shared" si="30"/>
        <v>4.9234292704113702</v>
      </c>
      <c r="AA88">
        <f t="shared" si="31"/>
        <v>-6.189699774949986E-8</v>
      </c>
      <c r="AB88">
        <f t="shared" si="32"/>
        <v>1.551446559739055E-4</v>
      </c>
      <c r="AC88">
        <v>626.31003637928768</v>
      </c>
      <c r="AD88">
        <f t="shared" si="33"/>
        <v>4312.7730943669094</v>
      </c>
      <c r="AE88">
        <f>+gettm2(AD88,AC88,AK88,AL88,テーブル2[[#This Row],[Fcorr]])</f>
        <v>578.86628109122989</v>
      </c>
      <c r="AF88" s="14">
        <f t="shared" si="34"/>
        <v>2.6310021894460078E-7</v>
      </c>
      <c r="AG88">
        <v>1.5526360365178599E-4</v>
      </c>
      <c r="AH88">
        <f t="shared" si="35"/>
        <v>7.9345171559883489</v>
      </c>
      <c r="AI88">
        <f t="shared" si="36"/>
        <v>0.10862720794115176</v>
      </c>
      <c r="AJ88">
        <f t="shared" si="37"/>
        <v>143.27642339179013</v>
      </c>
      <c r="AK88">
        <f t="array" ref="AK88">+S88*テーブル2[[#This Row],[F_form]]/(E88*CpFromTP((テーブル2[[#This Row],[Tin]]+テーブル2[[#This Row],[Tf]])/2,テーブル2[[#This Row],[P]])*AI88)</f>
        <v>2.0096721484841988</v>
      </c>
      <c r="AL88">
        <f t="shared" si="38"/>
        <v>0.97207878026562056</v>
      </c>
      <c r="AM88">
        <f t="shared" si="39"/>
        <v>590.91885767358269</v>
      </c>
      <c r="AN88">
        <f t="shared" si="40"/>
        <v>6.3171455622068606E-8</v>
      </c>
      <c r="AO88">
        <f t="shared" si="41"/>
        <v>1.1894767788049316E-7</v>
      </c>
      <c r="AP88">
        <v>2.0088175811371021</v>
      </c>
      <c r="AQ88">
        <f t="shared" si="42"/>
        <v>2.800138620505205E-4</v>
      </c>
      <c r="AR88">
        <f t="shared" si="43"/>
        <v>7.7691275664833244E-5</v>
      </c>
      <c r="AS88">
        <f t="shared" si="44"/>
        <v>71.693093836514763</v>
      </c>
      <c r="AT88">
        <f t="shared" si="45"/>
        <v>16.180986056736796</v>
      </c>
      <c r="AU88">
        <f t="shared" si="46"/>
        <v>1.7576953370780251</v>
      </c>
      <c r="AV88">
        <f t="shared" si="47"/>
        <v>0.25112224405907702</v>
      </c>
      <c r="AW88">
        <f t="shared" si="48"/>
        <v>7.896218148562599E-2</v>
      </c>
      <c r="AX88">
        <f t="shared" si="49"/>
        <v>0.25112223923710741</v>
      </c>
      <c r="AY88">
        <f t="shared" si="50"/>
        <v>4.8219696013873659E-9</v>
      </c>
      <c r="AZ88">
        <f t="shared" si="51"/>
        <v>1258135.7781771177</v>
      </c>
      <c r="BA88">
        <f t="shared" si="52"/>
        <v>1.3939237921843412E-4</v>
      </c>
      <c r="BB88" s="15">
        <f t="shared" si="53"/>
        <v>721917.7490928513</v>
      </c>
      <c r="BC88" s="20">
        <f t="shared" si="54"/>
        <v>-3595.8638883988606</v>
      </c>
      <c r="BD88" s="19">
        <f t="shared" si="55"/>
        <v>-0.49563010590840428</v>
      </c>
      <c r="BE88" s="15">
        <v>1462152.81033672</v>
      </c>
      <c r="BF88" s="16">
        <f>テーブル2[[#This Row],[q_P]]/テーブル2[[#This Row],[q_M]]</f>
        <v>0.49373618406314213</v>
      </c>
      <c r="BG88">
        <v>1</v>
      </c>
      <c r="BH88">
        <v>0.39500000000000002</v>
      </c>
      <c r="BI88">
        <v>4.5999999999999999E-2</v>
      </c>
      <c r="BJ88">
        <v>5625</v>
      </c>
      <c r="BK88" s="22">
        <v>1</v>
      </c>
      <c r="BL88">
        <f>テーブル2[[#This Row],[Ts]]-テーブル2[[#This Row],[Tin]]</f>
        <v>84.362344795601132</v>
      </c>
      <c r="BM88">
        <f>テーブル2[[#This Row],[q_P]]*0.000001</f>
        <v>0.72191774909285122</v>
      </c>
      <c r="BN88">
        <f>テーブル2[[#This Row],[Tsub]]</f>
        <v>84.362344795601132</v>
      </c>
      <c r="BO88">
        <f>テーブル2[[#This Row],[Fcorr]]</f>
        <v>1</v>
      </c>
      <c r="BP88">
        <f>(テーブル2[[#This Row],[Tsub]]-40)^2</f>
        <v>1968.0176357637988</v>
      </c>
      <c r="BQ88">
        <v>1</v>
      </c>
      <c r="BR88">
        <v>1.524</v>
      </c>
    </row>
    <row r="89" spans="1:70" x14ac:dyDescent="0.15">
      <c r="A89" s="9" t="s">
        <v>157</v>
      </c>
      <c r="B89">
        <v>10997137.8826035</v>
      </c>
      <c r="C89" s="22">
        <f t="array" ref="C89">TsatFromP(テーブル2[[#This Row],[P]])</f>
        <v>591.14538588286257</v>
      </c>
      <c r="D89">
        <f t="array" ref="D89">RhoGFromP(テーブル2[[#This Row],[P]])</f>
        <v>62.591709712512611</v>
      </c>
      <c r="E89">
        <f t="array" ref="E89">RhoFFromP(テーブル2[[#This Row],[P]])</f>
        <v>671.85012637514694</v>
      </c>
      <c r="F89">
        <f t="array" ref="F89">HgFromP(テーブル2[[#This Row],[P]])</f>
        <v>2706154.0000695144</v>
      </c>
      <c r="G89">
        <f t="array" ref="G89">HfFromP(テーブル2[[#This Row],[P]])</f>
        <v>1450155.2183028094</v>
      </c>
      <c r="H89">
        <f t="array" ref="H89">MuGFromP(テーブル2[[#This Row],[P]])</f>
        <v>2.0644130954317771E-5</v>
      </c>
      <c r="I89">
        <f t="array" ref="I89">MuFFromP(テーブル2[[#This Row],[P]])</f>
        <v>7.9067733661598914E-5</v>
      </c>
      <c r="J89">
        <f t="array" ref="J89">KfFromP(テーブル2[[#This Row],[P]])</f>
        <v>0.52342986170916894</v>
      </c>
      <c r="K89">
        <f t="array" ref="K89">CpFFromP(テーブル2[[#This Row],[P]])</f>
        <v>6446.0268474749828</v>
      </c>
      <c r="L89">
        <f t="array" ref="L89">SigmaFromP(テーブル2[[#This Row],[P]])</f>
        <v>1.0209472461236048E-2</v>
      </c>
      <c r="M89">
        <v>88</v>
      </c>
      <c r="N89">
        <v>1017.17242424647</v>
      </c>
      <c r="O89" s="8">
        <f t="shared" si="56"/>
        <v>6.8620353649299532E-5</v>
      </c>
      <c r="P89" s="8">
        <f t="shared" si="57"/>
        <v>2.9365094851634514E-2</v>
      </c>
      <c r="Q89" s="8">
        <v>9.3472E-3</v>
      </c>
      <c r="R89">
        <v>1.524</v>
      </c>
      <c r="S89" s="15">
        <v>1188180.2075597499</v>
      </c>
      <c r="T89">
        <v>451.88649460669899</v>
      </c>
      <c r="U89" s="12">
        <f>+T89+BG89*S89*テーブル2[[#This Row],[Pw]]*R89/(N89*O89*K89)</f>
        <v>570.07059368549983</v>
      </c>
      <c r="V89">
        <v>0.03</v>
      </c>
      <c r="W89" s="8">
        <f t="shared" si="28"/>
        <v>120247.71222871468</v>
      </c>
      <c r="X89">
        <v>4.119460491459976E-2</v>
      </c>
      <c r="Y89">
        <f t="shared" si="29"/>
        <v>4.9269689914128536</v>
      </c>
      <c r="Z89">
        <f t="shared" si="30"/>
        <v>4.9269690481970594</v>
      </c>
      <c r="AA89">
        <f t="shared" si="31"/>
        <v>-5.6784205781923447E-8</v>
      </c>
      <c r="AB89">
        <f t="shared" si="32"/>
        <v>1.5449607142590965E-4</v>
      </c>
      <c r="AC89">
        <v>652.95846178296517</v>
      </c>
      <c r="AD89">
        <f t="shared" si="33"/>
        <v>4314.415865377211</v>
      </c>
      <c r="AE89">
        <f>+gettm2(AD89,AC89,AK89,AL89,テーブル2[[#This Row],[Fcorr]])</f>
        <v>570.07059368549983</v>
      </c>
      <c r="AF89" s="14">
        <f t="shared" si="34"/>
        <v>0</v>
      </c>
      <c r="AG89">
        <v>1.546904425481409E-4</v>
      </c>
      <c r="AH89">
        <f t="shared" si="35"/>
        <v>7.9298889870856941</v>
      </c>
      <c r="AI89">
        <f t="shared" si="36"/>
        <v>0.10864189998703516</v>
      </c>
      <c r="AJ89">
        <f t="shared" si="37"/>
        <v>142.80188710029122</v>
      </c>
      <c r="AK89">
        <f t="array" ref="AK89">+S89*テーブル2[[#This Row],[F_form]]/(E89*CpFromTP((テーブル2[[#This Row],[Tin]]+テーブル2[[#This Row],[Tf]])/2,テーブル2[[#This Row],[P]])*AI89)</f>
        <v>3.5086561212378782</v>
      </c>
      <c r="AL89">
        <f t="shared" si="38"/>
        <v>0.97371734254408138</v>
      </c>
      <c r="AM89">
        <f t="shared" si="39"/>
        <v>591.14538579878604</v>
      </c>
      <c r="AN89">
        <f t="shared" si="40"/>
        <v>8.4076532402832527E-8</v>
      </c>
      <c r="AO89">
        <f t="shared" si="41"/>
        <v>1.9437112223124535E-7</v>
      </c>
      <c r="AP89">
        <v>2.007613865305379</v>
      </c>
      <c r="AQ89">
        <f t="shared" si="42"/>
        <v>2.7796555830318778E-4</v>
      </c>
      <c r="AR89">
        <f t="shared" si="43"/>
        <v>7.7442406835186072E-5</v>
      </c>
      <c r="AS89">
        <f t="shared" si="44"/>
        <v>71.490660027114714</v>
      </c>
      <c r="AT89">
        <f t="shared" si="45"/>
        <v>16.173917030439625</v>
      </c>
      <c r="AU89">
        <f t="shared" si="46"/>
        <v>1.7571650764196265</v>
      </c>
      <c r="AV89">
        <f t="shared" si="47"/>
        <v>0.2504487888857525</v>
      </c>
      <c r="AW89">
        <f t="shared" si="48"/>
        <v>7.8765917651280562E-2</v>
      </c>
      <c r="AX89">
        <f t="shared" si="49"/>
        <v>0.25044878434705065</v>
      </c>
      <c r="AY89">
        <f t="shared" si="50"/>
        <v>4.5387018587916828E-9</v>
      </c>
      <c r="AZ89">
        <f t="shared" si="51"/>
        <v>1255998.781766705</v>
      </c>
      <c r="BA89">
        <f t="shared" si="52"/>
        <v>1.3845568767324005E-4</v>
      </c>
      <c r="BB89" s="15">
        <f t="shared" si="53"/>
        <v>1184629.5521766837</v>
      </c>
      <c r="BC89" s="20">
        <f t="shared" si="54"/>
        <v>-3550.6553830662742</v>
      </c>
      <c r="BD89" s="19">
        <f t="shared" si="55"/>
        <v>-0.29883138605367843</v>
      </c>
      <c r="BE89" s="15">
        <v>1810104.16951718</v>
      </c>
      <c r="BF89" s="16">
        <f>テーブル2[[#This Row],[q_P]]/テーブル2[[#This Row],[q_M]]</f>
        <v>0.6544538000222756</v>
      </c>
      <c r="BG89">
        <v>1</v>
      </c>
      <c r="BH89">
        <v>0.378</v>
      </c>
      <c r="BI89">
        <v>4.5999999999999999E-2</v>
      </c>
      <c r="BJ89">
        <v>5625</v>
      </c>
      <c r="BK89" s="22">
        <v>1</v>
      </c>
      <c r="BL89">
        <f>テーブル2[[#This Row],[Ts]]-テーブル2[[#This Row],[Tin]]</f>
        <v>139.25889127616358</v>
      </c>
      <c r="BM89">
        <f>テーブル2[[#This Row],[q_P]]*0.000001</f>
        <v>1.1846295521766836</v>
      </c>
      <c r="BN89">
        <f>テーブル2[[#This Row],[Tsub]]</f>
        <v>139.25889127616358</v>
      </c>
      <c r="BO89">
        <f>テーブル2[[#This Row],[Fcorr]]</f>
        <v>1</v>
      </c>
      <c r="BP89">
        <f>(テーブル2[[#This Row],[Tsub]]-40)^2</f>
        <v>9852.3274973732623</v>
      </c>
      <c r="BQ89">
        <v>1</v>
      </c>
      <c r="BR89">
        <v>1.524</v>
      </c>
    </row>
    <row r="90" spans="1:70" x14ac:dyDescent="0.15">
      <c r="A90" s="9" t="s">
        <v>158</v>
      </c>
      <c r="B90">
        <v>10997137.8826035</v>
      </c>
      <c r="C90" s="22">
        <f t="array" ref="C90">TsatFromP(テーブル2[[#This Row],[P]])</f>
        <v>591.14538588286257</v>
      </c>
      <c r="D90">
        <f t="array" ref="D90">RhoGFromP(テーブル2[[#This Row],[P]])</f>
        <v>62.591709712512611</v>
      </c>
      <c r="E90">
        <f t="array" ref="E90">RhoFFromP(テーブル2[[#This Row],[P]])</f>
        <v>671.85012637514694</v>
      </c>
      <c r="F90">
        <f t="array" ref="F90">HgFromP(テーブル2[[#This Row],[P]])</f>
        <v>2706154.0000695144</v>
      </c>
      <c r="G90">
        <f t="array" ref="G90">HfFromP(テーブル2[[#This Row],[P]])</f>
        <v>1450155.2183028094</v>
      </c>
      <c r="H90">
        <f t="array" ref="H90">MuGFromP(テーブル2[[#This Row],[P]])</f>
        <v>2.0644130954317771E-5</v>
      </c>
      <c r="I90">
        <f t="array" ref="I90">MuFFromP(テーブル2[[#This Row],[P]])</f>
        <v>7.9067733661598914E-5</v>
      </c>
      <c r="J90">
        <f t="array" ref="J90">KfFromP(テーブル2[[#This Row],[P]])</f>
        <v>0.52342986170916894</v>
      </c>
      <c r="K90">
        <f t="array" ref="K90">CpFFromP(テーブル2[[#This Row],[P]])</f>
        <v>6446.0268474749828</v>
      </c>
      <c r="L90">
        <f t="array" ref="L90">SigmaFromP(テーブル2[[#This Row],[P]])</f>
        <v>1.0209472461236048E-2</v>
      </c>
      <c r="M90">
        <v>89</v>
      </c>
      <c r="N90">
        <v>1017.17242424647</v>
      </c>
      <c r="O90" s="8">
        <f t="shared" si="56"/>
        <v>6.8620353649299532E-5</v>
      </c>
      <c r="P90" s="8">
        <f t="shared" si="57"/>
        <v>2.9365094851634514E-2</v>
      </c>
      <c r="Q90" s="8">
        <v>9.3472E-3</v>
      </c>
      <c r="R90">
        <v>1.524</v>
      </c>
      <c r="S90" s="15">
        <v>1188180.2075597499</v>
      </c>
      <c r="T90">
        <v>451.88649460669899</v>
      </c>
      <c r="U90" s="12">
        <f>+T90+BG90*S90*テーブル2[[#This Row],[Pw]]*R90/(N90*O90*K90)</f>
        <v>570.07059368549983</v>
      </c>
      <c r="V90">
        <v>0.03</v>
      </c>
      <c r="W90" s="8">
        <f t="shared" si="28"/>
        <v>120247.71222871468</v>
      </c>
      <c r="X90">
        <v>4.119460491459976E-2</v>
      </c>
      <c r="Y90">
        <f t="shared" si="29"/>
        <v>4.9269689914128536</v>
      </c>
      <c r="Z90">
        <f t="shared" si="30"/>
        <v>4.9269690481970594</v>
      </c>
      <c r="AA90">
        <f t="shared" si="31"/>
        <v>-5.6784205781923447E-8</v>
      </c>
      <c r="AB90">
        <f t="shared" si="32"/>
        <v>1.5449607142590965E-4</v>
      </c>
      <c r="AC90">
        <v>652.95846178296517</v>
      </c>
      <c r="AD90">
        <f t="shared" si="33"/>
        <v>4314.415865377211</v>
      </c>
      <c r="AE90">
        <f>+gettm2(AD90,AC90,AK90,AL90,テーブル2[[#This Row],[Fcorr]])</f>
        <v>570.07059368549983</v>
      </c>
      <c r="AF90" s="14">
        <f t="shared" si="34"/>
        <v>0</v>
      </c>
      <c r="AG90">
        <v>1.546904425481409E-4</v>
      </c>
      <c r="AH90">
        <f t="shared" si="35"/>
        <v>7.9298889870856941</v>
      </c>
      <c r="AI90">
        <f t="shared" si="36"/>
        <v>0.10864189998703516</v>
      </c>
      <c r="AJ90">
        <f t="shared" si="37"/>
        <v>142.80188710029122</v>
      </c>
      <c r="AK90">
        <f t="array" ref="AK90">+S90*テーブル2[[#This Row],[F_form]]/(E90*CpFromTP((テーブル2[[#This Row],[Tin]]+テーブル2[[#This Row],[Tf]])/2,テーブル2[[#This Row],[P]])*AI90)</f>
        <v>3.5086561212378782</v>
      </c>
      <c r="AL90">
        <f t="shared" si="38"/>
        <v>0.97371734254408138</v>
      </c>
      <c r="AM90">
        <f t="shared" si="39"/>
        <v>591.14538579878604</v>
      </c>
      <c r="AN90">
        <f t="shared" si="40"/>
        <v>8.4076532402832527E-8</v>
      </c>
      <c r="AO90">
        <f t="shared" si="41"/>
        <v>1.9437112223124535E-7</v>
      </c>
      <c r="AP90">
        <v>2.007613865305379</v>
      </c>
      <c r="AQ90">
        <f t="shared" si="42"/>
        <v>2.7796555830318778E-4</v>
      </c>
      <c r="AR90">
        <f t="shared" si="43"/>
        <v>7.7442406835186072E-5</v>
      </c>
      <c r="AS90">
        <f t="shared" si="44"/>
        <v>71.490660027114714</v>
      </c>
      <c r="AT90">
        <f t="shared" si="45"/>
        <v>16.173917030439625</v>
      </c>
      <c r="AU90">
        <f t="shared" si="46"/>
        <v>1.7571650764196265</v>
      </c>
      <c r="AV90">
        <f t="shared" si="47"/>
        <v>0.2504487888857525</v>
      </c>
      <c r="AW90">
        <f t="shared" si="48"/>
        <v>7.8765917651280562E-2</v>
      </c>
      <c r="AX90">
        <f t="shared" si="49"/>
        <v>0.25044878434705065</v>
      </c>
      <c r="AY90">
        <f t="shared" si="50"/>
        <v>4.5387018587916828E-9</v>
      </c>
      <c r="AZ90">
        <f t="shared" si="51"/>
        <v>1255998.781766705</v>
      </c>
      <c r="BA90">
        <f t="shared" si="52"/>
        <v>1.3845568767324005E-4</v>
      </c>
      <c r="BB90" s="15">
        <f t="shared" si="53"/>
        <v>1184629.5521766837</v>
      </c>
      <c r="BC90" s="20">
        <f t="shared" si="54"/>
        <v>-3550.6553830662742</v>
      </c>
      <c r="BD90" s="19">
        <f t="shared" si="55"/>
        <v>-0.29883138605367843</v>
      </c>
      <c r="BE90" s="15">
        <v>1810104.16951718</v>
      </c>
      <c r="BF90" s="16">
        <f>テーブル2[[#This Row],[q_P]]/テーブル2[[#This Row],[q_M]]</f>
        <v>0.6544538000222756</v>
      </c>
      <c r="BG90">
        <v>1</v>
      </c>
      <c r="BH90">
        <v>0.378</v>
      </c>
      <c r="BI90">
        <v>4.5999999999999999E-2</v>
      </c>
      <c r="BJ90">
        <v>5625</v>
      </c>
      <c r="BK90" s="22">
        <v>1</v>
      </c>
      <c r="BL90">
        <f>テーブル2[[#This Row],[Ts]]-テーブル2[[#This Row],[Tin]]</f>
        <v>139.25889127616358</v>
      </c>
      <c r="BM90">
        <f>テーブル2[[#This Row],[q_P]]*0.000001</f>
        <v>1.1846295521766836</v>
      </c>
      <c r="BN90">
        <f>テーブル2[[#This Row],[Tsub]]</f>
        <v>139.25889127616358</v>
      </c>
      <c r="BO90">
        <f>テーブル2[[#This Row],[Fcorr]]</f>
        <v>1</v>
      </c>
      <c r="BP90">
        <f>(テーブル2[[#This Row],[Tsub]]-40)^2</f>
        <v>9852.3274973732623</v>
      </c>
      <c r="BQ90">
        <v>1</v>
      </c>
      <c r="BR90">
        <v>1.524</v>
      </c>
    </row>
    <row r="91" spans="1:70" x14ac:dyDescent="0.15">
      <c r="A91" s="9" t="s">
        <v>159</v>
      </c>
      <c r="B91">
        <v>11066085.455535199</v>
      </c>
      <c r="C91" s="22">
        <f t="array" ref="C91">TsatFromP(テーブル2[[#This Row],[P]])</f>
        <v>591.59844217507987</v>
      </c>
      <c r="D91">
        <f t="array" ref="D91">RhoGFromP(テーブル2[[#This Row],[P]])</f>
        <v>63.116059220916618</v>
      </c>
      <c r="E91">
        <f t="array" ref="E91">RhoFFromP(テーブル2[[#This Row],[P]])</f>
        <v>670.70218150320568</v>
      </c>
      <c r="F91">
        <f t="array" ref="F91">HgFromP(テーブル2[[#This Row],[P]])</f>
        <v>2704704.3928635395</v>
      </c>
      <c r="G91">
        <f t="array" ref="G91">HfFromP(テーブル2[[#This Row],[P]])</f>
        <v>1452979.6039176662</v>
      </c>
      <c r="H91">
        <f t="array" ref="H91">MuGFromP(テーブル2[[#This Row],[P]])</f>
        <v>2.0676471173980647E-5</v>
      </c>
      <c r="I91">
        <f t="array" ref="I91">MuFFromP(テーブル2[[#This Row],[P]])</f>
        <v>7.8893761069449763E-5</v>
      </c>
      <c r="J91">
        <f t="array" ref="J91">KfFromP(テーブル2[[#This Row],[P]])</f>
        <v>0.52262372288993442</v>
      </c>
      <c r="K91">
        <f t="array" ref="K91">CpFFromP(テーブル2[[#This Row],[P]])</f>
        <v>6471.9652427384026</v>
      </c>
      <c r="L91">
        <f t="array" ref="L91">SigmaFromP(テーブル2[[#This Row],[P]])</f>
        <v>1.0111785142293607E-2</v>
      </c>
      <c r="M91">
        <v>90</v>
      </c>
      <c r="N91">
        <v>1017.17242424647</v>
      </c>
      <c r="O91" s="8">
        <f t="shared" si="56"/>
        <v>6.8620353649299532E-5</v>
      </c>
      <c r="P91" s="8">
        <f t="shared" si="57"/>
        <v>2.9365094851634514E-2</v>
      </c>
      <c r="Q91" s="8">
        <v>9.3472E-3</v>
      </c>
      <c r="R91">
        <v>1.524</v>
      </c>
      <c r="S91" s="15">
        <v>726588.21618125006</v>
      </c>
      <c r="T91">
        <v>507.48014958658098</v>
      </c>
      <c r="U91" s="12">
        <f>+T91+BG91*S91*テーブル2[[#This Row],[Pw]]*R91/(N91*O91*K91)</f>
        <v>579.4616705660452</v>
      </c>
      <c r="V91">
        <v>0.03</v>
      </c>
      <c r="W91" s="8">
        <f t="shared" si="28"/>
        <v>120512.87649408694</v>
      </c>
      <c r="X91">
        <v>4.1075713965040873E-2</v>
      </c>
      <c r="Y91">
        <f t="shared" si="29"/>
        <v>4.9340942329244344</v>
      </c>
      <c r="Z91">
        <f t="shared" si="30"/>
        <v>4.9340942800857652</v>
      </c>
      <c r="AA91">
        <f t="shared" si="31"/>
        <v>-4.7161330840594928E-8</v>
      </c>
      <c r="AB91">
        <f t="shared" si="32"/>
        <v>1.5319849834416488E-4</v>
      </c>
      <c r="AC91">
        <v>627.08447248755317</v>
      </c>
      <c r="AD91">
        <f t="shared" si="33"/>
        <v>4317.6856869005624</v>
      </c>
      <c r="AE91">
        <f>+gettm2(AD91,AC91,AK91,AL91,テーブル2[[#This Row],[Fcorr]])</f>
        <v>579.46167083688988</v>
      </c>
      <c r="AF91" s="14">
        <f t="shared" si="34"/>
        <v>2.7084468001703499E-7</v>
      </c>
      <c r="AG91">
        <v>1.5331730843342611E-4</v>
      </c>
      <c r="AH91">
        <f t="shared" si="35"/>
        <v>7.9205359725476043</v>
      </c>
      <c r="AI91">
        <f t="shared" si="36"/>
        <v>0.10867069032704717</v>
      </c>
      <c r="AJ91">
        <f t="shared" si="37"/>
        <v>141.64155002078115</v>
      </c>
      <c r="AK91">
        <f t="array" ref="AK91">+S91*テーブル2[[#This Row],[F_form]]/(E91*CpFromTP((テーブル2[[#This Row],[Tin]]+テーブル2[[#This Row],[Tf]])/2,テーブル2[[#This Row],[P]])*AI91)</f>
        <v>2.0131418366618776</v>
      </c>
      <c r="AL91">
        <f t="shared" si="38"/>
        <v>0.97698909779095466</v>
      </c>
      <c r="AM91">
        <f t="shared" si="39"/>
        <v>591.59844215540386</v>
      </c>
      <c r="AN91">
        <f t="shared" si="40"/>
        <v>1.9676008378155529E-8</v>
      </c>
      <c r="AO91">
        <f t="shared" si="41"/>
        <v>1.1881008926123014E-7</v>
      </c>
      <c r="AP91">
        <v>2.004481835088249</v>
      </c>
      <c r="AQ91">
        <f t="shared" si="42"/>
        <v>2.7410841002442165E-4</v>
      </c>
      <c r="AR91">
        <f t="shared" si="43"/>
        <v>7.6718059261343669E-5</v>
      </c>
      <c r="AS91">
        <f t="shared" si="44"/>
        <v>70.875656110812386</v>
      </c>
      <c r="AT91">
        <f t="shared" si="45"/>
        <v>16.152317548251201</v>
      </c>
      <c r="AU91">
        <f t="shared" si="46"/>
        <v>1.755283498350136</v>
      </c>
      <c r="AV91">
        <f t="shared" si="47"/>
        <v>0.24919833673811298</v>
      </c>
      <c r="AW91">
        <f t="shared" si="48"/>
        <v>7.8372967922635525E-2</v>
      </c>
      <c r="AX91">
        <f t="shared" si="49"/>
        <v>0.24919833287258167</v>
      </c>
      <c r="AY91">
        <f t="shared" si="50"/>
        <v>3.8655313117086365E-9</v>
      </c>
      <c r="AZ91">
        <f t="shared" si="51"/>
        <v>1251724.7889458733</v>
      </c>
      <c r="BA91">
        <f t="shared" si="52"/>
        <v>1.3674776454751649E-4</v>
      </c>
      <c r="BB91" s="15">
        <f t="shared" si="53"/>
        <v>729409.90843988908</v>
      </c>
      <c r="BC91" s="20">
        <f t="shared" si="54"/>
        <v>2821.6922586390283</v>
      </c>
      <c r="BD91" s="19">
        <f t="shared" si="55"/>
        <v>0.38834819995692677</v>
      </c>
      <c r="BE91" s="15">
        <v>1463730.1057092501</v>
      </c>
      <c r="BF91" s="16">
        <f>テーブル2[[#This Row],[q_P]]/テーブル2[[#This Row],[q_M]]</f>
        <v>0.49832267956697773</v>
      </c>
      <c r="BG91">
        <v>1</v>
      </c>
      <c r="BH91">
        <v>0.39800000000000002</v>
      </c>
      <c r="BI91">
        <v>4.5999999999999999E-2</v>
      </c>
      <c r="BJ91">
        <v>5625</v>
      </c>
      <c r="BK91" s="22">
        <v>1</v>
      </c>
      <c r="BL91">
        <f>テーブル2[[#This Row],[Ts]]-テーブル2[[#This Row],[Tin]]</f>
        <v>84.118292588498889</v>
      </c>
      <c r="BM91">
        <f>テーブル2[[#This Row],[q_P]]*0.000001</f>
        <v>0.72940990843988907</v>
      </c>
      <c r="BN91">
        <f>テーブル2[[#This Row],[Tsub]]</f>
        <v>84.118292588498889</v>
      </c>
      <c r="BO91">
        <f>テーブル2[[#This Row],[Fcorr]]</f>
        <v>1</v>
      </c>
      <c r="BP91">
        <f>(テーブル2[[#This Row],[Tsub]]-40)^2</f>
        <v>1946.423740924396</v>
      </c>
      <c r="BQ91">
        <v>1</v>
      </c>
      <c r="BR91">
        <v>1.524</v>
      </c>
    </row>
    <row r="92" spans="1:70" x14ac:dyDescent="0.15">
      <c r="A92" s="9" t="s">
        <v>160</v>
      </c>
      <c r="B92">
        <v>11100559.2420011</v>
      </c>
      <c r="C92" s="22">
        <f t="array" ref="C92">TsatFromP(テーブル2[[#This Row],[P]])</f>
        <v>591.82497032118886</v>
      </c>
      <c r="D92">
        <f t="array" ref="D92">RhoGFromP(テーブル2[[#This Row],[P]])</f>
        <v>63.378233975119002</v>
      </c>
      <c r="E92">
        <f t="array" ref="E92">RhoFFromP(テーブル2[[#This Row],[P]])</f>
        <v>670.12820906723414</v>
      </c>
      <c r="F92">
        <f t="array" ref="F92">HgFromP(テーブル2[[#This Row],[P]])</f>
        <v>2703979.5892605507</v>
      </c>
      <c r="G92">
        <f t="array" ref="G92">HfFromP(テーブル2[[#This Row],[P]])</f>
        <v>1454391.7967250969</v>
      </c>
      <c r="H92">
        <f t="array" ref="H92">MuGFromP(テーブル2[[#This Row],[P]])</f>
        <v>2.0692641283812112E-5</v>
      </c>
      <c r="I92">
        <f t="array" ref="I92">MuFFromP(テーブル2[[#This Row],[P]])</f>
        <v>7.8806774773375072E-5</v>
      </c>
      <c r="J92">
        <f t="array" ref="J92">KfFromP(テーブル2[[#This Row],[P]])</f>
        <v>0.52222065348031665</v>
      </c>
      <c r="K92">
        <f t="array" ref="K92">CpFFromP(テーブル2[[#This Row],[P]])</f>
        <v>6484.9344403701325</v>
      </c>
      <c r="L92">
        <f t="array" ref="L92">SigmaFromP(テーブル2[[#This Row],[P]])</f>
        <v>1.0062941482822316E-2</v>
      </c>
      <c r="M92">
        <v>91</v>
      </c>
      <c r="N92">
        <v>1017.17242424647</v>
      </c>
      <c r="O92" s="8">
        <f t="shared" si="56"/>
        <v>6.8620353649299532E-5</v>
      </c>
      <c r="P92" s="8">
        <f t="shared" si="57"/>
        <v>2.9365094851634514E-2</v>
      </c>
      <c r="Q92" s="8">
        <v>9.3472E-3</v>
      </c>
      <c r="R92">
        <v>1.524</v>
      </c>
      <c r="S92" s="15">
        <v>251440.26521874999</v>
      </c>
      <c r="T92">
        <v>563.20065007780795</v>
      </c>
      <c r="U92" s="12">
        <f>+T92+BG92*S92*テーブル2[[#This Row],[Pw]]*R92/(N92*O92*K92)</f>
        <v>588.06047589334594</v>
      </c>
      <c r="V92">
        <v>0.03</v>
      </c>
      <c r="W92" s="8">
        <f t="shared" si="28"/>
        <v>120645.89765610851</v>
      </c>
      <c r="X92">
        <v>4.1016077268350139E-2</v>
      </c>
      <c r="Y92">
        <f t="shared" si="29"/>
        <v>4.9376799756223537</v>
      </c>
      <c r="Z92">
        <f t="shared" si="30"/>
        <v>4.9376800182882841</v>
      </c>
      <c r="AA92">
        <f t="shared" si="31"/>
        <v>-4.2665930344298886E-8</v>
      </c>
      <c r="AB92">
        <f t="shared" si="32"/>
        <v>1.5254950471217183E-4</v>
      </c>
      <c r="AC92">
        <v>602.81274499643939</v>
      </c>
      <c r="AD92">
        <f t="shared" si="33"/>
        <v>4319.3125504361979</v>
      </c>
      <c r="AE92">
        <f>+gettm2(AD92,AC92,AK92,AL92,テーブル2[[#This Row],[Fcorr]])</f>
        <v>588.06047589334594</v>
      </c>
      <c r="AF92" s="14">
        <f t="shared" si="34"/>
        <v>0</v>
      </c>
      <c r="AG92">
        <v>1.5259053051571881E-4</v>
      </c>
      <c r="AH92">
        <f t="shared" si="35"/>
        <v>7.9158105443676883</v>
      </c>
      <c r="AI92">
        <f t="shared" si="36"/>
        <v>0.10868478377249091</v>
      </c>
      <c r="AJ92">
        <f t="shared" si="37"/>
        <v>141.02323552170961</v>
      </c>
      <c r="AK92">
        <f t="array" ref="AK92">+S92*テーブル2[[#This Row],[F_form]]/(E92*CpFromTP((テーブル2[[#This Row],[Tin]]+テーブル2[[#This Row],[Tf]])/2,テーブル2[[#This Row],[P]])*AI92)</f>
        <v>0.62319530768709241</v>
      </c>
      <c r="AL92">
        <f t="shared" si="38"/>
        <v>0.97862228247089933</v>
      </c>
      <c r="AM92">
        <f t="shared" si="39"/>
        <v>591.82497029275578</v>
      </c>
      <c r="AN92">
        <f t="shared" si="40"/>
        <v>2.8433078114176169E-8</v>
      </c>
      <c r="AO92">
        <f t="shared" si="41"/>
        <v>4.1025803546984032E-8</v>
      </c>
      <c r="AP92">
        <v>2.0027780608324952</v>
      </c>
      <c r="AQ92">
        <f t="shared" si="42"/>
        <v>2.7223569252637496E-4</v>
      </c>
      <c r="AR92">
        <f t="shared" si="43"/>
        <v>7.6315778159632898E-5</v>
      </c>
      <c r="AS92">
        <f t="shared" si="44"/>
        <v>70.530575659279165</v>
      </c>
      <c r="AT92">
        <f t="shared" si="45"/>
        <v>16.140115782733687</v>
      </c>
      <c r="AU92">
        <f t="shared" si="46"/>
        <v>1.7541849939093788</v>
      </c>
      <c r="AV92">
        <f t="shared" si="47"/>
        <v>0.24859306692311645</v>
      </c>
      <c r="AW92">
        <f t="shared" si="48"/>
        <v>7.8176278185764739E-2</v>
      </c>
      <c r="AX92">
        <f t="shared" si="49"/>
        <v>0.24859306340225407</v>
      </c>
      <c r="AY92">
        <f t="shared" si="50"/>
        <v>3.5208623794247274E-9</v>
      </c>
      <c r="AZ92">
        <f t="shared" si="51"/>
        <v>1249587.7925354538</v>
      </c>
      <c r="BA92">
        <f t="shared" si="52"/>
        <v>1.3592903669676443E-4</v>
      </c>
      <c r="BB92" s="15">
        <f t="shared" si="53"/>
        <v>252737.41006223706</v>
      </c>
      <c r="BC92" s="20">
        <f t="shared" si="54"/>
        <v>1297.144843487069</v>
      </c>
      <c r="BD92" s="19">
        <f t="shared" si="55"/>
        <v>0.51588588739300312</v>
      </c>
      <c r="BE92" s="15">
        <v>1117356.04190133</v>
      </c>
      <c r="BF92" s="16">
        <f>テーブル2[[#This Row],[q_P]]/テーブル2[[#This Row],[q_M]]</f>
        <v>0.22619236893566239</v>
      </c>
      <c r="BG92">
        <v>1</v>
      </c>
      <c r="BH92">
        <v>0.44</v>
      </c>
      <c r="BI92">
        <v>4.5999999999999999E-2</v>
      </c>
      <c r="BJ92">
        <v>5625</v>
      </c>
      <c r="BK92" s="22">
        <v>1</v>
      </c>
      <c r="BL92">
        <f>テーブル2[[#This Row],[Ts]]-テーブル2[[#This Row],[Tin]]</f>
        <v>28.624320243380907</v>
      </c>
      <c r="BM92">
        <f>テーブル2[[#This Row],[q_P]]*0.000001</f>
        <v>0.25273741006223704</v>
      </c>
      <c r="BN92">
        <f>テーブル2[[#This Row],[Tsub]]</f>
        <v>28.624320243380907</v>
      </c>
      <c r="BO92">
        <f>テーブル2[[#This Row],[Fcorr]]</f>
        <v>1</v>
      </c>
      <c r="BP92">
        <f>(テーブル2[[#This Row],[Tsub]]-40)^2</f>
        <v>129.40608992515342</v>
      </c>
      <c r="BQ92">
        <v>1</v>
      </c>
      <c r="BR92">
        <v>1.524</v>
      </c>
    </row>
    <row r="93" spans="1:70" x14ac:dyDescent="0.15">
      <c r="A93" s="9" t="s">
        <v>161</v>
      </c>
      <c r="B93">
        <v>11100559.2420011</v>
      </c>
      <c r="C93" s="22">
        <f t="array" ref="C93">TsatFromP(テーブル2[[#This Row],[P]])</f>
        <v>591.82497032118886</v>
      </c>
      <c r="D93">
        <f t="array" ref="D93">RhoGFromP(テーブル2[[#This Row],[P]])</f>
        <v>63.378233975119002</v>
      </c>
      <c r="E93">
        <f t="array" ref="E93">RhoFFromP(テーブル2[[#This Row],[P]])</f>
        <v>670.12820906723414</v>
      </c>
      <c r="F93">
        <f t="array" ref="F93">HgFromP(テーブル2[[#This Row],[P]])</f>
        <v>2703979.5892605507</v>
      </c>
      <c r="G93">
        <f t="array" ref="G93">HfFromP(テーブル2[[#This Row],[P]])</f>
        <v>1454391.7967250969</v>
      </c>
      <c r="H93">
        <f t="array" ref="H93">MuGFromP(テーブル2[[#This Row],[P]])</f>
        <v>2.0692641283812112E-5</v>
      </c>
      <c r="I93">
        <f t="array" ref="I93">MuFFromP(テーブル2[[#This Row],[P]])</f>
        <v>7.8806774773375072E-5</v>
      </c>
      <c r="J93">
        <f t="array" ref="J93">KfFromP(テーブル2[[#This Row],[P]])</f>
        <v>0.52222065348031665</v>
      </c>
      <c r="K93">
        <f t="array" ref="K93">CpFFromP(テーブル2[[#This Row],[P]])</f>
        <v>6484.9344403701325</v>
      </c>
      <c r="L93">
        <f t="array" ref="L93">SigmaFromP(テーブル2[[#This Row],[P]])</f>
        <v>1.0062941482822316E-2</v>
      </c>
      <c r="M93">
        <v>92</v>
      </c>
      <c r="N93">
        <v>1017.17242424647</v>
      </c>
      <c r="O93" s="8">
        <f t="shared" si="56"/>
        <v>6.8620353649299532E-5</v>
      </c>
      <c r="P93" s="8">
        <f t="shared" si="57"/>
        <v>2.9365094851634514E-2</v>
      </c>
      <c r="Q93" s="8">
        <v>9.3472E-3</v>
      </c>
      <c r="R93">
        <v>1.524</v>
      </c>
      <c r="S93" s="15">
        <v>251440.26521874999</v>
      </c>
      <c r="T93">
        <v>563.20065007780795</v>
      </c>
      <c r="U93" s="12">
        <f>+T93+BG93*S93*テーブル2[[#This Row],[Pw]]*R93/(N93*O93*K93)</f>
        <v>588.06047589334594</v>
      </c>
      <c r="V93">
        <v>0.03</v>
      </c>
      <c r="W93" s="8">
        <f t="shared" si="28"/>
        <v>120645.89765610851</v>
      </c>
      <c r="X93">
        <v>4.1016077268350139E-2</v>
      </c>
      <c r="Y93">
        <f t="shared" si="29"/>
        <v>4.9376799756223537</v>
      </c>
      <c r="Z93">
        <f t="shared" si="30"/>
        <v>4.9376800182882841</v>
      </c>
      <c r="AA93">
        <f t="shared" si="31"/>
        <v>-4.2665930344298886E-8</v>
      </c>
      <c r="AB93">
        <f t="shared" si="32"/>
        <v>1.5254950471217183E-4</v>
      </c>
      <c r="AC93">
        <v>602.81274499643939</v>
      </c>
      <c r="AD93">
        <f t="shared" si="33"/>
        <v>4319.3125504361979</v>
      </c>
      <c r="AE93">
        <f>+gettm2(AD93,AC93,AK93,AL93,テーブル2[[#This Row],[Fcorr]])</f>
        <v>588.06047589334594</v>
      </c>
      <c r="AF93" s="14">
        <f t="shared" si="34"/>
        <v>0</v>
      </c>
      <c r="AG93">
        <v>1.5259053051571881E-4</v>
      </c>
      <c r="AH93">
        <f t="shared" si="35"/>
        <v>7.9158105443676883</v>
      </c>
      <c r="AI93">
        <f t="shared" si="36"/>
        <v>0.10868478377249091</v>
      </c>
      <c r="AJ93">
        <f t="shared" si="37"/>
        <v>141.02323552170961</v>
      </c>
      <c r="AK93">
        <f t="array" ref="AK93">+S93*テーブル2[[#This Row],[F_form]]/(E93*CpFromTP((テーブル2[[#This Row],[Tin]]+テーブル2[[#This Row],[Tf]])/2,テーブル2[[#This Row],[P]])*AI93)</f>
        <v>0.62319530768709241</v>
      </c>
      <c r="AL93">
        <f t="shared" si="38"/>
        <v>0.97862228247089933</v>
      </c>
      <c r="AM93">
        <f t="shared" si="39"/>
        <v>591.82497029275578</v>
      </c>
      <c r="AN93">
        <f t="shared" si="40"/>
        <v>2.8433078114176169E-8</v>
      </c>
      <c r="AO93">
        <f t="shared" si="41"/>
        <v>4.1025803546984032E-8</v>
      </c>
      <c r="AP93">
        <v>2.0027780608324952</v>
      </c>
      <c r="AQ93">
        <f t="shared" si="42"/>
        <v>2.7223569252637496E-4</v>
      </c>
      <c r="AR93">
        <f t="shared" si="43"/>
        <v>7.6315778159632898E-5</v>
      </c>
      <c r="AS93">
        <f t="shared" si="44"/>
        <v>70.530575659279165</v>
      </c>
      <c r="AT93">
        <f t="shared" si="45"/>
        <v>16.140115782733687</v>
      </c>
      <c r="AU93">
        <f t="shared" si="46"/>
        <v>1.7541849939093788</v>
      </c>
      <c r="AV93">
        <f t="shared" si="47"/>
        <v>0.24859306692311645</v>
      </c>
      <c r="AW93">
        <f t="shared" si="48"/>
        <v>7.8176278185764739E-2</v>
      </c>
      <c r="AX93">
        <f t="shared" si="49"/>
        <v>0.24859306340225407</v>
      </c>
      <c r="AY93">
        <f t="shared" si="50"/>
        <v>3.5208623794247274E-9</v>
      </c>
      <c r="AZ93">
        <f t="shared" si="51"/>
        <v>1249587.7925354538</v>
      </c>
      <c r="BA93">
        <f t="shared" si="52"/>
        <v>1.3592903669676443E-4</v>
      </c>
      <c r="BB93" s="15">
        <f t="shared" si="53"/>
        <v>252737.41006223706</v>
      </c>
      <c r="BC93" s="20">
        <f t="shared" si="54"/>
        <v>1297.144843487069</v>
      </c>
      <c r="BD93" s="19">
        <f t="shared" si="55"/>
        <v>0.51588588739300312</v>
      </c>
      <c r="BE93" s="15">
        <v>1123980.68246596</v>
      </c>
      <c r="BF93" s="16">
        <f>テーブル2[[#This Row],[q_P]]/テーブル2[[#This Row],[q_M]]</f>
        <v>0.22485921155490254</v>
      </c>
      <c r="BG93">
        <v>1</v>
      </c>
      <c r="BH93">
        <v>0.44400000000000001</v>
      </c>
      <c r="BI93">
        <v>4.5999999999999999E-2</v>
      </c>
      <c r="BJ93">
        <v>5625</v>
      </c>
      <c r="BK93" s="22">
        <v>1</v>
      </c>
      <c r="BL93">
        <f>テーブル2[[#This Row],[Ts]]-テーブル2[[#This Row],[Tin]]</f>
        <v>28.624320243380907</v>
      </c>
      <c r="BM93">
        <f>テーブル2[[#This Row],[q_P]]*0.000001</f>
        <v>0.25273741006223704</v>
      </c>
      <c r="BN93">
        <f>テーブル2[[#This Row],[Tsub]]</f>
        <v>28.624320243380907</v>
      </c>
      <c r="BO93">
        <f>テーブル2[[#This Row],[Fcorr]]</f>
        <v>1</v>
      </c>
      <c r="BP93">
        <f>(テーブル2[[#This Row],[Tsub]]-40)^2</f>
        <v>129.40608992515342</v>
      </c>
      <c r="BQ93">
        <v>1</v>
      </c>
      <c r="BR93">
        <v>1.524</v>
      </c>
    </row>
    <row r="94" spans="1:70" x14ac:dyDescent="0.15">
      <c r="A94" s="9" t="s">
        <v>162</v>
      </c>
      <c r="B94">
        <v>10997137.8826035</v>
      </c>
      <c r="C94" s="22">
        <f t="array" ref="C94">TsatFromP(テーブル2[[#This Row],[P]])</f>
        <v>591.14538588286257</v>
      </c>
      <c r="D94">
        <f t="array" ref="D94">RhoGFromP(テーブル2[[#This Row],[P]])</f>
        <v>62.591709712512611</v>
      </c>
      <c r="E94">
        <f t="array" ref="E94">RhoFFromP(テーブル2[[#This Row],[P]])</f>
        <v>671.85012637514694</v>
      </c>
      <c r="F94">
        <f t="array" ref="F94">HgFromP(テーブル2[[#This Row],[P]])</f>
        <v>2706154.0000695144</v>
      </c>
      <c r="G94">
        <f t="array" ref="G94">HfFromP(テーブル2[[#This Row],[P]])</f>
        <v>1450155.2183028094</v>
      </c>
      <c r="H94">
        <f t="array" ref="H94">MuGFromP(テーブル2[[#This Row],[P]])</f>
        <v>2.0644130954317771E-5</v>
      </c>
      <c r="I94">
        <f t="array" ref="I94">MuFFromP(テーブル2[[#This Row],[P]])</f>
        <v>7.9067733661598914E-5</v>
      </c>
      <c r="J94">
        <f t="array" ref="J94">KfFromP(テーブル2[[#This Row],[P]])</f>
        <v>0.52342986170916894</v>
      </c>
      <c r="K94">
        <f t="array" ref="K94">CpFFromP(テーブル2[[#This Row],[P]])</f>
        <v>6446.0268474749828</v>
      </c>
      <c r="L94">
        <f t="array" ref="L94">SigmaFromP(テーブル2[[#This Row],[P]])</f>
        <v>1.0209472461236048E-2</v>
      </c>
      <c r="M94">
        <v>93</v>
      </c>
      <c r="N94">
        <v>2034.3448484929399</v>
      </c>
      <c r="O94" s="8">
        <f t="shared" si="56"/>
        <v>6.8620353649299532E-5</v>
      </c>
      <c r="P94" s="8">
        <f t="shared" si="57"/>
        <v>2.9365094851634514E-2</v>
      </c>
      <c r="Q94" s="8">
        <v>9.3472E-3</v>
      </c>
      <c r="R94">
        <v>1.524</v>
      </c>
      <c r="S94" s="15">
        <v>1299408.29296875</v>
      </c>
      <c r="T94">
        <v>508.01717724928898</v>
      </c>
      <c r="U94" s="12">
        <f>+T94+BG94*S94*テーブル2[[#This Row],[Pw]]*R94/(N94*O94*K94)</f>
        <v>572.64095967848402</v>
      </c>
      <c r="V94">
        <v>0.03</v>
      </c>
      <c r="W94" s="8">
        <f t="shared" si="28"/>
        <v>240495.42445742936</v>
      </c>
      <c r="X94">
        <v>2.9492300038704899E-2</v>
      </c>
      <c r="Y94">
        <f t="shared" si="29"/>
        <v>5.8229850920735604</v>
      </c>
      <c r="Z94">
        <f t="shared" si="30"/>
        <v>5.8229851049200771</v>
      </c>
      <c r="AA94">
        <f t="shared" si="31"/>
        <v>-1.2846516739273284E-8</v>
      </c>
      <c r="AB94">
        <f t="shared" si="32"/>
        <v>5.3949714119411331E-5</v>
      </c>
      <c r="AC94">
        <v>626.04803472220203</v>
      </c>
      <c r="AD94">
        <f t="shared" si="33"/>
        <v>7301.0639212210572</v>
      </c>
      <c r="AE94">
        <f>+gettm2(AD94,AC94,AK94,AL94,テーブル2[[#This Row],[Fcorr]])</f>
        <v>572.64095993896433</v>
      </c>
      <c r="AF94" s="14">
        <f t="shared" si="34"/>
        <v>2.6048030576930614E-7</v>
      </c>
      <c r="AG94">
        <v>5.4012325329541969E-5</v>
      </c>
      <c r="AH94">
        <f t="shared" si="35"/>
        <v>22.708863528667269</v>
      </c>
      <c r="AI94">
        <f t="shared" si="36"/>
        <v>0.18384909593292045</v>
      </c>
      <c r="AJ94">
        <f t="shared" si="37"/>
        <v>84.377661709340359</v>
      </c>
      <c r="AK94">
        <f t="array" ref="AK94">+S94*テーブル2[[#This Row],[F_form]]/(E94*CpFromTP((テーブル2[[#This Row],[Tin]]+テーブル2[[#This Row],[Tf]])/2,テーブル2[[#This Row],[P]])*AI94)</f>
        <v>2.1410147180321699</v>
      </c>
      <c r="AL94">
        <f t="shared" si="38"/>
        <v>0.97371734254408138</v>
      </c>
      <c r="AM94">
        <f t="shared" si="39"/>
        <v>591.14538578752297</v>
      </c>
      <c r="AN94">
        <f t="shared" si="40"/>
        <v>9.5339601102750748E-8</v>
      </c>
      <c r="AO94">
        <f t="shared" si="41"/>
        <v>6.2611210130637731E-8</v>
      </c>
      <c r="AP94">
        <v>3.0139892426275532</v>
      </c>
      <c r="AQ94">
        <f t="shared" si="42"/>
        <v>1.2332978216019188E-4</v>
      </c>
      <c r="AR94">
        <f t="shared" si="43"/>
        <v>2.7037468269836303E-5</v>
      </c>
      <c r="AS94">
        <f t="shared" si="44"/>
        <v>42.237736243166069</v>
      </c>
      <c r="AT94">
        <f t="shared" si="45"/>
        <v>14.858285113084472</v>
      </c>
      <c r="AU94">
        <f t="shared" si="46"/>
        <v>2.7316822851541511</v>
      </c>
      <c r="AV94">
        <f t="shared" si="47"/>
        <v>0.28230695747340206</v>
      </c>
      <c r="AW94">
        <f t="shared" si="48"/>
        <v>2.7504898347383084E-2</v>
      </c>
      <c r="AX94">
        <f t="shared" si="49"/>
        <v>0.28230694540041895</v>
      </c>
      <c r="AY94">
        <f t="shared" si="50"/>
        <v>1.2072983113231572E-8</v>
      </c>
      <c r="AZ94">
        <f t="shared" si="51"/>
        <v>1255998.781766705</v>
      </c>
      <c r="BA94">
        <f t="shared" si="52"/>
        <v>4.0919118229060005E-5</v>
      </c>
      <c r="BB94" s="15">
        <f t="shared" si="53"/>
        <v>1291181.969120828</v>
      </c>
      <c r="BC94" s="20">
        <f t="shared" si="54"/>
        <v>-8226.3238479220308</v>
      </c>
      <c r="BD94" s="19">
        <f t="shared" si="55"/>
        <v>-0.63308229541366101</v>
      </c>
      <c r="BE94" s="15">
        <v>1988969.46476225</v>
      </c>
      <c r="BF94" s="16">
        <f>テーブル2[[#This Row],[q_P]]/テーブル2[[#This Row],[q_M]]</f>
        <v>0.64917133822120721</v>
      </c>
      <c r="BG94">
        <v>1</v>
      </c>
      <c r="BH94">
        <v>0.151</v>
      </c>
      <c r="BI94">
        <v>4.5999999999999999E-2</v>
      </c>
      <c r="BJ94">
        <v>5625</v>
      </c>
      <c r="BK94" s="22">
        <v>1</v>
      </c>
      <c r="BL94">
        <f>テーブル2[[#This Row],[Ts]]-テーブル2[[#This Row],[Tin]]</f>
        <v>83.128208633573593</v>
      </c>
      <c r="BM94">
        <f>テーブル2[[#This Row],[q_P]]*0.000001</f>
        <v>1.2911819691208279</v>
      </c>
      <c r="BN94">
        <f>テーブル2[[#This Row],[Tsub]]</f>
        <v>83.128208633573593</v>
      </c>
      <c r="BO94">
        <f>テーブル2[[#This Row],[Fcorr]]</f>
        <v>1</v>
      </c>
      <c r="BP94">
        <f>(テーブル2[[#This Row],[Tsub]]-40)^2</f>
        <v>1860.0423799410519</v>
      </c>
      <c r="BQ94">
        <v>1</v>
      </c>
      <c r="BR94">
        <v>1.524</v>
      </c>
    </row>
    <row r="95" spans="1:70" x14ac:dyDescent="0.15">
      <c r="A95" s="9" t="s">
        <v>163</v>
      </c>
      <c r="B95">
        <v>11031611.6690694</v>
      </c>
      <c r="C95" s="22">
        <f t="array" ref="C95">TsatFromP(テーブル2[[#This Row],[P]])</f>
        <v>591.37191402897156</v>
      </c>
      <c r="D95">
        <f t="array" ref="D95">RhoGFromP(テーブル2[[#This Row],[P]])</f>
        <v>62.853884466714995</v>
      </c>
      <c r="E95">
        <f t="array" ref="E95">RhoFFromP(テーブル2[[#This Row],[P]])</f>
        <v>671.2761539391754</v>
      </c>
      <c r="F95">
        <f t="array" ref="F95">HgFromP(テーブル2[[#This Row],[P]])</f>
        <v>2705429.1964665256</v>
      </c>
      <c r="G95">
        <f t="array" ref="G95">HfFromP(テーブル2[[#This Row],[P]])</f>
        <v>1451567.41111024</v>
      </c>
      <c r="H95">
        <f t="array" ref="H95">MuGFromP(テーブル2[[#This Row],[P]])</f>
        <v>2.0660301064149233E-5</v>
      </c>
      <c r="I95">
        <f t="array" ref="I95">MuFFromP(テーブル2[[#This Row],[P]])</f>
        <v>7.898074736552421E-5</v>
      </c>
      <c r="J95">
        <f t="array" ref="J95">KfFromP(テーブル2[[#This Row],[P]])</f>
        <v>0.52302679229955118</v>
      </c>
      <c r="K95">
        <f t="array" ref="K95">CpFFromP(テーブル2[[#This Row],[P]])</f>
        <v>6458.9960451067118</v>
      </c>
      <c r="L95">
        <f t="array" ref="L95">SigmaFromP(テーブル2[[#This Row],[P]])</f>
        <v>1.0160628801764757E-2</v>
      </c>
      <c r="M95">
        <v>94</v>
      </c>
      <c r="N95">
        <v>2034.3448484929399</v>
      </c>
      <c r="O95" s="8">
        <f t="shared" si="56"/>
        <v>6.8620353649299532E-5</v>
      </c>
      <c r="P95" s="8">
        <f t="shared" si="57"/>
        <v>2.9365094851634514E-2</v>
      </c>
      <c r="Q95" s="8">
        <v>9.3472E-3</v>
      </c>
      <c r="R95">
        <v>1.524</v>
      </c>
      <c r="S95" s="15">
        <v>451398.55546875001</v>
      </c>
      <c r="T95">
        <v>563.22085425488206</v>
      </c>
      <c r="U95" s="12">
        <f>+T95+BG95*S95*テーブル2[[#This Row],[Pw]]*R95/(N95*O95*K95)</f>
        <v>585.62528923410446</v>
      </c>
      <c r="V95">
        <v>0.03</v>
      </c>
      <c r="W95" s="8">
        <f t="shared" si="28"/>
        <v>240760.29668128473</v>
      </c>
      <c r="X95">
        <v>2.945536501496401E-2</v>
      </c>
      <c r="Y95">
        <f t="shared" si="29"/>
        <v>5.8266347618926959</v>
      </c>
      <c r="Z95">
        <f t="shared" si="30"/>
        <v>5.8266347737278812</v>
      </c>
      <c r="AA95">
        <f t="shared" si="31"/>
        <v>-1.1835185276254379E-8</v>
      </c>
      <c r="AB95">
        <f t="shared" si="32"/>
        <v>5.37130090298092E-5</v>
      </c>
      <c r="AC95">
        <v>602.19725747098698</v>
      </c>
      <c r="AD95">
        <f t="shared" si="33"/>
        <v>7304.5267714927313</v>
      </c>
      <c r="AE95">
        <f>+gettm2(AD95,AC95,AK95,AL95,テーブル2[[#This Row],[Fcorr]])</f>
        <v>585.62528923410434</v>
      </c>
      <c r="AF95" s="14">
        <f t="shared" si="34"/>
        <v>0</v>
      </c>
      <c r="AG95">
        <v>5.3734838739493329E-5</v>
      </c>
      <c r="AH95">
        <f t="shared" si="35"/>
        <v>22.699816640976252</v>
      </c>
      <c r="AI95">
        <f t="shared" si="36"/>
        <v>0.18389103818348951</v>
      </c>
      <c r="AJ95">
        <f t="shared" si="37"/>
        <v>83.983988388923677</v>
      </c>
      <c r="AK95">
        <f t="array" ref="AK95">+S95*テーブル2[[#This Row],[F_form]]/(E95*CpFromTP((テーブル2[[#This Row],[Tin]]+テーブル2[[#This Row],[Tf]])/2,テーブル2[[#This Row],[P]])*AI95)</f>
        <v>0.66391238979576006</v>
      </c>
      <c r="AL95">
        <f t="shared" si="38"/>
        <v>0.97535411643181125</v>
      </c>
      <c r="AM95">
        <f t="shared" si="39"/>
        <v>591.37191400379754</v>
      </c>
      <c r="AN95">
        <f t="shared" si="40"/>
        <v>2.5174017537210602E-8</v>
      </c>
      <c r="AO95">
        <f t="shared" si="41"/>
        <v>2.182970968412864E-8</v>
      </c>
      <c r="AP95">
        <v>3.011454611463753</v>
      </c>
      <c r="AQ95">
        <f t="shared" si="42"/>
        <v>1.2248628476811517E-4</v>
      </c>
      <c r="AR95">
        <f t="shared" si="43"/>
        <v>2.6878334224588729E-5</v>
      </c>
      <c r="AS95">
        <f t="shared" si="44"/>
        <v>42.00905338853083</v>
      </c>
      <c r="AT95">
        <f t="shared" si="45"/>
        <v>14.844712879810265</v>
      </c>
      <c r="AU95">
        <f t="shared" si="46"/>
        <v>2.729809663004128</v>
      </c>
      <c r="AV95">
        <f t="shared" si="47"/>
        <v>0.28164494845962507</v>
      </c>
      <c r="AW95">
        <f t="shared" si="48"/>
        <v>2.7431118692853366E-2</v>
      </c>
      <c r="AX95">
        <f t="shared" si="49"/>
        <v>0.28164493660667</v>
      </c>
      <c r="AY95">
        <f t="shared" si="50"/>
        <v>1.1852955061897319E-8</v>
      </c>
      <c r="AZ95">
        <f t="shared" si="51"/>
        <v>1253861.7853562855</v>
      </c>
      <c r="BA95">
        <f t="shared" si="52"/>
        <v>4.0673462021258642E-5</v>
      </c>
      <c r="BB95" s="15">
        <f t="shared" si="53"/>
        <v>451739.12483486487</v>
      </c>
      <c r="BC95" s="20">
        <f t="shared" si="54"/>
        <v>340.56936611485435</v>
      </c>
      <c r="BD95" s="19">
        <f t="shared" si="55"/>
        <v>7.5447597691400178E-2</v>
      </c>
      <c r="BE95" s="15">
        <v>1385496.2552316899</v>
      </c>
      <c r="BF95" s="16">
        <f>テーブル2[[#This Row],[q_P]]/テーブル2[[#This Row],[q_M]]</f>
        <v>0.32604860758668935</v>
      </c>
      <c r="BG95">
        <v>1</v>
      </c>
      <c r="BH95">
        <v>0.224</v>
      </c>
      <c r="BI95">
        <v>4.5999999999999999E-2</v>
      </c>
      <c r="BJ95">
        <v>5625</v>
      </c>
      <c r="BK95" s="22">
        <v>1</v>
      </c>
      <c r="BL95">
        <f>テーブル2[[#This Row],[Ts]]-テーブル2[[#This Row],[Tin]]</f>
        <v>28.151059774089504</v>
      </c>
      <c r="BM95">
        <f>テーブル2[[#This Row],[q_P]]*0.000001</f>
        <v>0.45173912483486484</v>
      </c>
      <c r="BN95">
        <f>テーブル2[[#This Row],[Tsub]]</f>
        <v>28.151059774089504</v>
      </c>
      <c r="BO95">
        <f>テーブル2[[#This Row],[Fcorr]]</f>
        <v>1</v>
      </c>
      <c r="BP95">
        <f>(テーブル2[[#This Row],[Tsub]]-40)^2</f>
        <v>140.39738447719989</v>
      </c>
      <c r="BQ95">
        <v>1</v>
      </c>
      <c r="BR95">
        <v>1.524</v>
      </c>
    </row>
    <row r="96" spans="1:70" x14ac:dyDescent="0.15">
      <c r="A96" s="9" t="s">
        <v>164</v>
      </c>
      <c r="B96">
        <v>11031611.6690694</v>
      </c>
      <c r="C96" s="22">
        <f t="array" ref="C96">TsatFromP(テーブル2[[#This Row],[P]])</f>
        <v>591.37191402897156</v>
      </c>
      <c r="D96">
        <f t="array" ref="D96">RhoGFromP(テーブル2[[#This Row],[P]])</f>
        <v>62.853884466714995</v>
      </c>
      <c r="E96">
        <f t="array" ref="E96">RhoFFromP(テーブル2[[#This Row],[P]])</f>
        <v>671.2761539391754</v>
      </c>
      <c r="F96">
        <f t="array" ref="F96">HgFromP(テーブル2[[#This Row],[P]])</f>
        <v>2705429.1964665256</v>
      </c>
      <c r="G96">
        <f t="array" ref="G96">HfFromP(テーブル2[[#This Row],[P]])</f>
        <v>1451567.41111024</v>
      </c>
      <c r="H96">
        <f t="array" ref="H96">MuGFromP(テーブル2[[#This Row],[P]])</f>
        <v>2.0660301064149233E-5</v>
      </c>
      <c r="I96">
        <f t="array" ref="I96">MuFFromP(テーブル2[[#This Row],[P]])</f>
        <v>7.898074736552421E-5</v>
      </c>
      <c r="J96">
        <f t="array" ref="J96">KfFromP(テーブル2[[#This Row],[P]])</f>
        <v>0.52302679229955118</v>
      </c>
      <c r="K96">
        <f t="array" ref="K96">CpFFromP(テーブル2[[#This Row],[P]])</f>
        <v>6458.9960451067118</v>
      </c>
      <c r="L96">
        <f t="array" ref="L96">SigmaFromP(テーブル2[[#This Row],[P]])</f>
        <v>1.0160628801764757E-2</v>
      </c>
      <c r="M96">
        <v>95</v>
      </c>
      <c r="N96">
        <v>2034.3448484929399</v>
      </c>
      <c r="O96" s="8">
        <f t="shared" si="56"/>
        <v>6.8620353649299532E-5</v>
      </c>
      <c r="P96" s="8">
        <f t="shared" si="57"/>
        <v>2.9365094851634514E-2</v>
      </c>
      <c r="Q96" s="8">
        <v>9.3472E-3</v>
      </c>
      <c r="R96">
        <v>1.524</v>
      </c>
      <c r="S96" s="15">
        <v>2153254.4355937499</v>
      </c>
      <c r="T96">
        <v>451.67797883511702</v>
      </c>
      <c r="U96" s="12">
        <f>+T96+BG96*S96*テーブル2[[#This Row],[Pw]]*R96/(N96*O96*K96)</f>
        <v>558.55126943722269</v>
      </c>
      <c r="V96">
        <v>0.03</v>
      </c>
      <c r="W96" s="8">
        <f t="shared" si="28"/>
        <v>240760.29668128473</v>
      </c>
      <c r="X96">
        <v>2.945536501496401E-2</v>
      </c>
      <c r="Y96">
        <f t="shared" si="29"/>
        <v>5.8266347618926959</v>
      </c>
      <c r="Z96">
        <f t="shared" si="30"/>
        <v>5.8266347737278812</v>
      </c>
      <c r="AA96">
        <f t="shared" si="31"/>
        <v>-1.1835185276254379E-8</v>
      </c>
      <c r="AB96">
        <f t="shared" si="32"/>
        <v>5.37130090298092E-5</v>
      </c>
      <c r="AC96">
        <v>653.24085099632498</v>
      </c>
      <c r="AD96">
        <f t="shared" si="33"/>
        <v>7304.5267714927313</v>
      </c>
      <c r="AE96">
        <f>+gettm2(AD96,AC96,AK96,AL96,テーブル2[[#This Row],[Fcorr]])</f>
        <v>558.55126943722269</v>
      </c>
      <c r="AF96" s="14">
        <f t="shared" si="34"/>
        <v>0</v>
      </c>
      <c r="AG96">
        <v>5.3817922994773923E-5</v>
      </c>
      <c r="AH96">
        <f t="shared" si="35"/>
        <v>22.699816640976252</v>
      </c>
      <c r="AI96">
        <f t="shared" si="36"/>
        <v>0.18389103818348951</v>
      </c>
      <c r="AJ96">
        <f t="shared" si="37"/>
        <v>84.113843568439833</v>
      </c>
      <c r="AK96">
        <f t="array" ref="AK96">+S96*テーブル2[[#This Row],[F_form]]/(E96*CpFromTP((テーブル2[[#This Row],[Tin]]+テーブル2[[#This Row],[Tf]])/2,テーブル2[[#This Row],[P]])*AI96)</f>
        <v>3.7934894324591895</v>
      </c>
      <c r="AL96">
        <f t="shared" si="38"/>
        <v>0.97535411643181125</v>
      </c>
      <c r="AM96">
        <f t="shared" si="39"/>
        <v>591.37191387782025</v>
      </c>
      <c r="AN96">
        <f t="shared" si="40"/>
        <v>1.511513119112351E-7</v>
      </c>
      <c r="AO96">
        <f t="shared" si="41"/>
        <v>1.0491396496472297E-7</v>
      </c>
      <c r="AP96">
        <v>3.012752191221872</v>
      </c>
      <c r="AQ96">
        <f t="shared" si="42"/>
        <v>1.2238079882888006E-4</v>
      </c>
      <c r="AR96">
        <f t="shared" si="43"/>
        <v>2.6961418479869323E-5</v>
      </c>
      <c r="AS96">
        <f t="shared" si="44"/>
        <v>42.138908568046972</v>
      </c>
      <c r="AT96">
        <f t="shared" si="45"/>
        <v>14.852428769748402</v>
      </c>
      <c r="AU96">
        <f t="shared" si="46"/>
        <v>2.7312285460153616</v>
      </c>
      <c r="AV96">
        <f t="shared" si="47"/>
        <v>0.28152364520651041</v>
      </c>
      <c r="AW96">
        <f t="shared" si="48"/>
        <v>2.7431118692853366E-2</v>
      </c>
      <c r="AX96">
        <f t="shared" si="49"/>
        <v>0.28152363331136998</v>
      </c>
      <c r="AY96">
        <f t="shared" si="50"/>
        <v>1.1895140428208606E-8</v>
      </c>
      <c r="AZ96">
        <f t="shared" si="51"/>
        <v>1253861.7853562855</v>
      </c>
      <c r="BA96">
        <f t="shared" si="52"/>
        <v>4.0620930983124265E-5</v>
      </c>
      <c r="BB96" s="15">
        <f t="shared" si="53"/>
        <v>2173873.7275675829</v>
      </c>
      <c r="BC96" s="20">
        <f t="shared" si="54"/>
        <v>20619.291973832995</v>
      </c>
      <c r="BD96" s="19">
        <f t="shared" si="55"/>
        <v>0.95758734467194173</v>
      </c>
      <c r="BE96" s="15">
        <v>2603483.7419005302</v>
      </c>
      <c r="BF96" s="16">
        <f>テーブル2[[#This Row],[q_P]]/テーブル2[[#This Row],[q_M]]</f>
        <v>0.8349864808376587</v>
      </c>
      <c r="BG96">
        <v>1</v>
      </c>
      <c r="BH96">
        <v>0.11600000000000001</v>
      </c>
      <c r="BI96">
        <v>4.5999999999999999E-2</v>
      </c>
      <c r="BJ96">
        <v>5625</v>
      </c>
      <c r="BK96" s="22">
        <v>1</v>
      </c>
      <c r="BL96">
        <f>テーブル2[[#This Row],[Ts]]-テーブル2[[#This Row],[Tin]]</f>
        <v>139.69393519385454</v>
      </c>
      <c r="BM96">
        <f>テーブル2[[#This Row],[q_P]]*0.000001</f>
        <v>2.1738737275675826</v>
      </c>
      <c r="BN96">
        <f>テーブル2[[#This Row],[Tsub]]</f>
        <v>139.69393519385454</v>
      </c>
      <c r="BO96">
        <f>テーブル2[[#This Row],[Fcorr]]</f>
        <v>1</v>
      </c>
      <c r="BP96">
        <f>(テーブル2[[#This Row],[Tsub]]-40)^2</f>
        <v>9938.8807144364691</v>
      </c>
      <c r="BQ96">
        <v>1</v>
      </c>
      <c r="BR96">
        <v>1.524</v>
      </c>
    </row>
    <row r="97" spans="1:70" x14ac:dyDescent="0.15">
      <c r="A97" s="9" t="s">
        <v>165</v>
      </c>
      <c r="B97">
        <v>11066085.455535199</v>
      </c>
      <c r="C97" s="22">
        <f t="array" ref="C97">TsatFromP(テーブル2[[#This Row],[P]])</f>
        <v>591.59844217507987</v>
      </c>
      <c r="D97">
        <f t="array" ref="D97">RhoGFromP(テーブル2[[#This Row],[P]])</f>
        <v>63.116059220916618</v>
      </c>
      <c r="E97">
        <f t="array" ref="E97">RhoFFromP(テーブル2[[#This Row],[P]])</f>
        <v>670.70218150320568</v>
      </c>
      <c r="F97">
        <f t="array" ref="F97">HgFromP(テーブル2[[#This Row],[P]])</f>
        <v>2704704.3928635395</v>
      </c>
      <c r="G97">
        <f t="array" ref="G97">HfFromP(テーブル2[[#This Row],[P]])</f>
        <v>1452979.6039176662</v>
      </c>
      <c r="H97">
        <f t="array" ref="H97">MuGFromP(テーブル2[[#This Row],[P]])</f>
        <v>2.0676471173980647E-5</v>
      </c>
      <c r="I97">
        <f t="array" ref="I97">MuFFromP(テーブル2[[#This Row],[P]])</f>
        <v>7.8893761069449763E-5</v>
      </c>
      <c r="J97">
        <f t="array" ref="J97">KfFromP(テーブル2[[#This Row],[P]])</f>
        <v>0.52262372288993442</v>
      </c>
      <c r="K97">
        <f t="array" ref="K97">CpFFromP(テーブル2[[#This Row],[P]])</f>
        <v>6471.9652427384026</v>
      </c>
      <c r="L97">
        <f t="array" ref="L97">SigmaFromP(テーブル2[[#This Row],[P]])</f>
        <v>1.0111785142293607E-2</v>
      </c>
      <c r="M97">
        <v>96</v>
      </c>
      <c r="N97">
        <v>2034.3448484929399</v>
      </c>
      <c r="O97" s="8">
        <f t="shared" si="56"/>
        <v>6.8620353649299532E-5</v>
      </c>
      <c r="P97" s="8">
        <f t="shared" si="57"/>
        <v>2.9365094851634514E-2</v>
      </c>
      <c r="Q97" s="8">
        <v>9.3472E-3</v>
      </c>
      <c r="R97">
        <v>1.524</v>
      </c>
      <c r="S97" s="15">
        <v>451329.86321874999</v>
      </c>
      <c r="T97">
        <v>563.49230128878798</v>
      </c>
      <c r="U97" s="12">
        <f>+T97+BG97*S97*テーブル2[[#This Row],[Pw]]*R97/(N97*O97*K97)</f>
        <v>585.84843733286266</v>
      </c>
      <c r="V97">
        <v>0.03</v>
      </c>
      <c r="W97" s="8">
        <f t="shared" si="28"/>
        <v>241025.75298817389</v>
      </c>
      <c r="X97">
        <v>2.9418344856899779E-2</v>
      </c>
      <c r="Y97">
        <f t="shared" si="29"/>
        <v>5.8302997390222586</v>
      </c>
      <c r="Z97">
        <f t="shared" si="30"/>
        <v>5.8302997498897371</v>
      </c>
      <c r="AA97">
        <f t="shared" si="31"/>
        <v>-1.0867478472675884E-8</v>
      </c>
      <c r="AB97">
        <f t="shared" si="32"/>
        <v>5.3476306437943659E-5</v>
      </c>
      <c r="AC97">
        <v>602.41986682774427</v>
      </c>
      <c r="AD97">
        <f t="shared" si="33"/>
        <v>7307.9838090413841</v>
      </c>
      <c r="AE97">
        <f>+gettm2(AD97,AC97,AK97,AL97,テーブル2[[#This Row],[Fcorr]])</f>
        <v>585.84843735706113</v>
      </c>
      <c r="AF97" s="14">
        <f t="shared" si="34"/>
        <v>2.4198470782721415E-8</v>
      </c>
      <c r="AG97">
        <v>5.3498126759829889E-5</v>
      </c>
      <c r="AH97">
        <f t="shared" si="35"/>
        <v>22.690688603995753</v>
      </c>
      <c r="AI97">
        <f t="shared" si="36"/>
        <v>0.18393271373060477</v>
      </c>
      <c r="AJ97">
        <f t="shared" si="37"/>
        <v>83.6535955526533</v>
      </c>
      <c r="AK97">
        <f t="array" ref="AK97">+S97*テーブル2[[#This Row],[F_form]]/(E97*CpFromTP((テーブル2[[#This Row],[Tin]]+テーブル2[[#This Row],[Tf]])/2,テーブル2[[#This Row],[P]])*AI97)</f>
        <v>0.66345757994855048</v>
      </c>
      <c r="AL97">
        <f t="shared" si="38"/>
        <v>0.97698909779095466</v>
      </c>
      <c r="AM97">
        <f t="shared" si="39"/>
        <v>591.59844215339115</v>
      </c>
      <c r="AN97">
        <f t="shared" si="40"/>
        <v>2.168872015317902E-8</v>
      </c>
      <c r="AO97">
        <f t="shared" si="41"/>
        <v>2.1820321886230104E-8</v>
      </c>
      <c r="AP97">
        <v>3.0095433583736479</v>
      </c>
      <c r="AQ97">
        <f t="shared" si="42"/>
        <v>1.2159771144548574E-4</v>
      </c>
      <c r="AR97">
        <f t="shared" si="43"/>
        <v>2.6759973540858059E-5</v>
      </c>
      <c r="AS97">
        <f t="shared" si="44"/>
        <v>41.843857704332109</v>
      </c>
      <c r="AT97">
        <f t="shared" si="45"/>
        <v>14.834862542131885</v>
      </c>
      <c r="AU97">
        <f t="shared" si="46"/>
        <v>2.7286165251948158</v>
      </c>
      <c r="AV97">
        <f t="shared" si="47"/>
        <v>0.28092683317883216</v>
      </c>
      <c r="AW97">
        <f t="shared" si="48"/>
        <v>2.7357297195345642E-2</v>
      </c>
      <c r="AX97">
        <f t="shared" si="49"/>
        <v>0.28092682152989917</v>
      </c>
      <c r="AY97">
        <f t="shared" si="50"/>
        <v>1.1648932984886784E-8</v>
      </c>
      <c r="AZ97">
        <f t="shared" si="51"/>
        <v>1251724.7889458733</v>
      </c>
      <c r="BA97">
        <f t="shared" si="52"/>
        <v>4.0404040402726393E-5</v>
      </c>
      <c r="BB97" s="15">
        <f t="shared" si="53"/>
        <v>453393.12253326905</v>
      </c>
      <c r="BC97" s="20">
        <f t="shared" si="54"/>
        <v>2063.2593145190622</v>
      </c>
      <c r="BD97" s="19">
        <f t="shared" si="55"/>
        <v>0.45715107345313072</v>
      </c>
      <c r="BE97" s="15">
        <v>1385496.2552316899</v>
      </c>
      <c r="BF97" s="16">
        <f>テーブル2[[#This Row],[q_P]]/テーブル2[[#This Row],[q_M]]</f>
        <v>0.32724240200667326</v>
      </c>
      <c r="BG97">
        <v>1</v>
      </c>
      <c r="BH97">
        <v>0.224</v>
      </c>
      <c r="BI97">
        <v>4.5999999999999999E-2</v>
      </c>
      <c r="BJ97">
        <v>5625</v>
      </c>
      <c r="BK97" s="22">
        <v>1</v>
      </c>
      <c r="BL97">
        <f>テーブル2[[#This Row],[Ts]]-テーブル2[[#This Row],[Tin]]</f>
        <v>28.106140886291882</v>
      </c>
      <c r="BM97">
        <f>テーブル2[[#This Row],[q_P]]*0.000001</f>
        <v>0.45339312253326902</v>
      </c>
      <c r="BN97">
        <f>テーブル2[[#This Row],[Tsub]]</f>
        <v>28.106140886291882</v>
      </c>
      <c r="BO97">
        <f>テーブル2[[#This Row],[Fcorr]]</f>
        <v>1</v>
      </c>
      <c r="BP97">
        <f>(テーブル2[[#This Row],[Tsub]]-40)^2</f>
        <v>141.46388461673766</v>
      </c>
      <c r="BQ97">
        <v>1</v>
      </c>
      <c r="BR97">
        <v>1.524</v>
      </c>
    </row>
    <row r="98" spans="1:70" x14ac:dyDescent="0.15">
      <c r="A98" s="9" t="s">
        <v>166</v>
      </c>
      <c r="B98">
        <v>11066085.455535199</v>
      </c>
      <c r="C98" s="22">
        <f t="array" ref="C98">TsatFromP(テーブル2[[#This Row],[P]])</f>
        <v>591.59844217507987</v>
      </c>
      <c r="D98">
        <f t="array" ref="D98">RhoGFromP(テーブル2[[#This Row],[P]])</f>
        <v>63.116059220916618</v>
      </c>
      <c r="E98">
        <f t="array" ref="E98">RhoFFromP(テーブル2[[#This Row],[P]])</f>
        <v>670.70218150320568</v>
      </c>
      <c r="F98">
        <f t="array" ref="F98">HgFromP(テーブル2[[#This Row],[P]])</f>
        <v>2704704.3928635395</v>
      </c>
      <c r="G98">
        <f t="array" ref="G98">HfFromP(テーブル2[[#This Row],[P]])</f>
        <v>1452979.6039176662</v>
      </c>
      <c r="H98">
        <f t="array" ref="H98">MuGFromP(テーブル2[[#This Row],[P]])</f>
        <v>2.0676471173980647E-5</v>
      </c>
      <c r="I98">
        <f t="array" ref="I98">MuFFromP(テーブル2[[#This Row],[P]])</f>
        <v>7.8893761069449763E-5</v>
      </c>
      <c r="J98">
        <f t="array" ref="J98">KfFromP(テーブル2[[#This Row],[P]])</f>
        <v>0.52262372288993442</v>
      </c>
      <c r="K98">
        <f t="array" ref="K98">CpFFromP(テーブル2[[#This Row],[P]])</f>
        <v>6471.9652427384026</v>
      </c>
      <c r="L98">
        <f t="array" ref="L98">SigmaFromP(テーブル2[[#This Row],[P]])</f>
        <v>1.0111785142293607E-2</v>
      </c>
      <c r="M98">
        <v>97</v>
      </c>
      <c r="N98">
        <v>2034.3448484929399</v>
      </c>
      <c r="O98" s="8">
        <f t="shared" si="56"/>
        <v>6.8620353649299532E-5</v>
      </c>
      <c r="P98" s="8">
        <f t="shared" si="57"/>
        <v>2.9365094851634514E-2</v>
      </c>
      <c r="Q98" s="8">
        <v>9.3472E-3</v>
      </c>
      <c r="R98">
        <v>1.524</v>
      </c>
      <c r="S98" s="15">
        <v>2154258.5570312501</v>
      </c>
      <c r="T98">
        <v>452.00279575601002</v>
      </c>
      <c r="U98" s="12">
        <f>+T98+BG98*S98*テーブル2[[#This Row],[Pw]]*R98/(N98*O98*K98)</f>
        <v>558.71166060185362</v>
      </c>
      <c r="V98">
        <v>0.03</v>
      </c>
      <c r="W98" s="8">
        <f t="shared" si="28"/>
        <v>241025.75298817389</v>
      </c>
      <c r="X98">
        <v>2.9418344856899779E-2</v>
      </c>
      <c r="Y98">
        <f t="shared" si="29"/>
        <v>5.8302997390222586</v>
      </c>
      <c r="Z98">
        <f t="shared" si="30"/>
        <v>5.8302997498897371</v>
      </c>
      <c r="AA98">
        <f t="shared" si="31"/>
        <v>-1.0867478472675884E-8</v>
      </c>
      <c r="AB98">
        <f t="shared" si="32"/>
        <v>5.3476306437943659E-5</v>
      </c>
      <c r="AC98">
        <v>653.53298473016036</v>
      </c>
      <c r="AD98">
        <f t="shared" si="33"/>
        <v>7307.9838090413841</v>
      </c>
      <c r="AE98">
        <f>+gettm2(AD98,AC98,AK98,AL98,テーブル2[[#This Row],[Fcorr]])</f>
        <v>558.71166060185362</v>
      </c>
      <c r="AF98" s="14">
        <f t="shared" si="34"/>
        <v>0</v>
      </c>
      <c r="AG98">
        <v>5.3580538550913838E-5</v>
      </c>
      <c r="AH98">
        <f t="shared" si="35"/>
        <v>22.690688603995753</v>
      </c>
      <c r="AI98">
        <f t="shared" si="36"/>
        <v>0.18393271373060477</v>
      </c>
      <c r="AJ98">
        <f t="shared" si="37"/>
        <v>83.782460674810864</v>
      </c>
      <c r="AK98">
        <f t="array" ref="AK98">+S98*テーブル2[[#This Row],[F_form]]/(E98*CpFromTP((テーブル2[[#This Row],[Tin]]+テーブル2[[#This Row],[Tf]])/2,テーブル2[[#This Row],[P]])*AI98)</f>
        <v>3.796288446025716</v>
      </c>
      <c r="AL98">
        <f t="shared" si="38"/>
        <v>0.97698909779095466</v>
      </c>
      <c r="AM98">
        <f t="shared" si="39"/>
        <v>591.59844204424132</v>
      </c>
      <c r="AN98">
        <f t="shared" si="40"/>
        <v>1.308385435550008E-7</v>
      </c>
      <c r="AO98">
        <f t="shared" si="41"/>
        <v>1.0423211297017906E-7</v>
      </c>
      <c r="AP98">
        <v>3.0108366407577418</v>
      </c>
      <c r="AQ98">
        <f t="shared" si="42"/>
        <v>1.21493271104178E-4</v>
      </c>
      <c r="AR98">
        <f t="shared" si="43"/>
        <v>2.6842385331942008E-5</v>
      </c>
      <c r="AS98">
        <f t="shared" si="44"/>
        <v>41.972722826489672</v>
      </c>
      <c r="AT98">
        <f t="shared" si="45"/>
        <v>14.842549876957451</v>
      </c>
      <c r="AU98">
        <f t="shared" si="46"/>
        <v>2.7300304775506379</v>
      </c>
      <c r="AV98">
        <f t="shared" si="47"/>
        <v>0.28080616320710394</v>
      </c>
      <c r="AW98">
        <f t="shared" si="48"/>
        <v>2.7357297195345642E-2</v>
      </c>
      <c r="AX98">
        <f t="shared" si="49"/>
        <v>0.28080615151260702</v>
      </c>
      <c r="AY98">
        <f t="shared" si="50"/>
        <v>1.1694496926395459E-8</v>
      </c>
      <c r="AZ98">
        <f t="shared" si="51"/>
        <v>1251724.7889458733</v>
      </c>
      <c r="BA98">
        <f t="shared" si="52"/>
        <v>4.0351997002933249E-5</v>
      </c>
      <c r="BB98" s="15">
        <f t="shared" si="53"/>
        <v>2168578.1671705032</v>
      </c>
      <c r="BC98" s="20">
        <f t="shared" si="54"/>
        <v>14319.610139253084</v>
      </c>
      <c r="BD98" s="19">
        <f t="shared" si="55"/>
        <v>0.66471176788485009</v>
      </c>
      <c r="BE98" s="15">
        <v>2603483.7419005302</v>
      </c>
      <c r="BF98" s="16">
        <f>テーブル2[[#This Row],[q_P]]/テーブル2[[#This Row],[q_M]]</f>
        <v>0.8329524522351931</v>
      </c>
      <c r="BG98">
        <v>1</v>
      </c>
      <c r="BH98">
        <v>0.11600000000000001</v>
      </c>
      <c r="BI98">
        <v>4.5999999999999999E-2</v>
      </c>
      <c r="BJ98">
        <v>5625</v>
      </c>
      <c r="BK98" s="22">
        <v>1</v>
      </c>
      <c r="BL98">
        <f>テーブル2[[#This Row],[Ts]]-テーブル2[[#This Row],[Tin]]</f>
        <v>139.59564641906985</v>
      </c>
      <c r="BM98">
        <f>テーブル2[[#This Row],[q_P]]*0.000001</f>
        <v>2.1685781671705029</v>
      </c>
      <c r="BN98">
        <f>テーブル2[[#This Row],[Tsub]]</f>
        <v>139.59564641906985</v>
      </c>
      <c r="BO98">
        <f>テーブル2[[#This Row],[Fcorr]]</f>
        <v>1</v>
      </c>
      <c r="BP98">
        <f>(テーブル2[[#This Row],[Tsub]]-40)^2</f>
        <v>9919.2927856323804</v>
      </c>
      <c r="BQ98">
        <v>1</v>
      </c>
      <c r="BR98">
        <v>1.524</v>
      </c>
    </row>
    <row r="99" spans="1:70" x14ac:dyDescent="0.15">
      <c r="A99" s="9" t="s">
        <v>167</v>
      </c>
      <c r="B99">
        <v>11100559.2420011</v>
      </c>
      <c r="C99" s="22">
        <f t="array" ref="C99">TsatFromP(テーブル2[[#This Row],[P]])</f>
        <v>591.82497032118886</v>
      </c>
      <c r="D99">
        <f t="array" ref="D99">RhoGFromP(テーブル2[[#This Row],[P]])</f>
        <v>63.378233975119002</v>
      </c>
      <c r="E99">
        <f t="array" ref="E99">RhoFFromP(テーブル2[[#This Row],[P]])</f>
        <v>670.12820906723414</v>
      </c>
      <c r="F99">
        <f t="array" ref="F99">HgFromP(テーブル2[[#This Row],[P]])</f>
        <v>2703979.5892605507</v>
      </c>
      <c r="G99">
        <f t="array" ref="G99">HfFromP(テーブル2[[#This Row],[P]])</f>
        <v>1454391.7967250969</v>
      </c>
      <c r="H99">
        <f t="array" ref="H99">MuGFromP(テーブル2[[#This Row],[P]])</f>
        <v>2.0692641283812112E-5</v>
      </c>
      <c r="I99">
        <f t="array" ref="I99">MuFFromP(テーブル2[[#This Row],[P]])</f>
        <v>7.8806774773375072E-5</v>
      </c>
      <c r="J99">
        <f t="array" ref="J99">KfFromP(テーブル2[[#This Row],[P]])</f>
        <v>0.52222065348031665</v>
      </c>
      <c r="K99">
        <f t="array" ref="K99">CpFFromP(テーブル2[[#This Row],[P]])</f>
        <v>6484.9344403701325</v>
      </c>
      <c r="L99">
        <f t="array" ref="L99">SigmaFromP(テーブル2[[#This Row],[P]])</f>
        <v>1.0062941482822316E-2</v>
      </c>
      <c r="M99">
        <v>98</v>
      </c>
      <c r="N99">
        <v>2034.3448484929399</v>
      </c>
      <c r="O99" s="8">
        <f t="shared" si="56"/>
        <v>6.8620353649299532E-5</v>
      </c>
      <c r="P99" s="8">
        <f t="shared" si="57"/>
        <v>2.9365094851634514E-2</v>
      </c>
      <c r="Q99" s="8">
        <v>9.3472E-3</v>
      </c>
      <c r="R99">
        <v>1.524</v>
      </c>
      <c r="S99" s="15">
        <v>1326521.77734375</v>
      </c>
      <c r="T99">
        <v>507.23595773091199</v>
      </c>
      <c r="U99" s="12">
        <f>+T99+BG99*S99*テーブル2[[#This Row],[Pw]]*R99/(N99*O99*K99)</f>
        <v>572.81236868600263</v>
      </c>
      <c r="V99">
        <v>0.03</v>
      </c>
      <c r="W99" s="8">
        <f t="shared" si="28"/>
        <v>241291.79531221703</v>
      </c>
      <c r="X99">
        <v>2.93812388502834E-2</v>
      </c>
      <c r="Y99">
        <f t="shared" si="29"/>
        <v>5.8339801638063493</v>
      </c>
      <c r="Z99">
        <f t="shared" si="30"/>
        <v>5.8339801737503301</v>
      </c>
      <c r="AA99">
        <f t="shared" si="31"/>
        <v>-9.943980749937964E-9</v>
      </c>
      <c r="AB99">
        <f t="shared" si="32"/>
        <v>5.3239605589866309E-5</v>
      </c>
      <c r="AC99">
        <v>627.58430642792359</v>
      </c>
      <c r="AD99">
        <f t="shared" si="33"/>
        <v>7311.4349003299303</v>
      </c>
      <c r="AE99">
        <f>+gettm2(AD99,AC99,AK99,AL99,テーブル2[[#This Row],[Fcorr]])</f>
        <v>572.81236896184566</v>
      </c>
      <c r="AF99" s="14">
        <f t="shared" si="34"/>
        <v>2.7584303552430356E-7</v>
      </c>
      <c r="AG99">
        <v>5.3302597782390393E-5</v>
      </c>
      <c r="AH99">
        <f t="shared" si="35"/>
        <v>22.681478657845744</v>
      </c>
      <c r="AI99">
        <f t="shared" si="36"/>
        <v>0.18397411901316402</v>
      </c>
      <c r="AJ99">
        <f t="shared" si="37"/>
        <v>83.387211936070244</v>
      </c>
      <c r="AK99">
        <f t="array" ref="AK99">+S99*テーブル2[[#This Row],[F_form]]/(E99*CpFromTP((テーブル2[[#This Row],[Tin]]+テーブル2[[#This Row],[Tf]])/2,テーブル2[[#This Row],[P]])*AI99)</f>
        <v>2.1914344414628188</v>
      </c>
      <c r="AL99">
        <f t="shared" si="38"/>
        <v>0.97862228247089933</v>
      </c>
      <c r="AM99">
        <f t="shared" si="39"/>
        <v>591.82497025833743</v>
      </c>
      <c r="AN99">
        <f t="shared" si="40"/>
        <v>6.2851427173882257E-8</v>
      </c>
      <c r="AO99">
        <f t="shared" si="41"/>
        <v>6.2992192524084399E-8</v>
      </c>
      <c r="AP99">
        <v>3.0082709524647</v>
      </c>
      <c r="AQ99">
        <f t="shared" si="42"/>
        <v>1.2066374901527567E-4</v>
      </c>
      <c r="AR99">
        <f t="shared" si="43"/>
        <v>2.6682794987457239E-5</v>
      </c>
      <c r="AS99">
        <f t="shared" si="44"/>
        <v>41.742878832087335</v>
      </c>
      <c r="AT99">
        <f t="shared" si="45"/>
        <v>14.828822174631414</v>
      </c>
      <c r="AU99">
        <f t="shared" si="46"/>
        <v>2.7281194955806853</v>
      </c>
      <c r="AV99">
        <f t="shared" si="47"/>
        <v>0.28015145688401466</v>
      </c>
      <c r="AW99">
        <f t="shared" si="48"/>
        <v>2.7283433171066174E-2</v>
      </c>
      <c r="AX99">
        <f t="shared" si="49"/>
        <v>0.28015144541717263</v>
      </c>
      <c r="AY99">
        <f t="shared" si="50"/>
        <v>1.1466842031460089E-8</v>
      </c>
      <c r="AZ99">
        <f t="shared" si="51"/>
        <v>1249587.7925354538</v>
      </c>
      <c r="BA99">
        <f t="shared" si="52"/>
        <v>4.0110665203350425E-5</v>
      </c>
      <c r="BB99" s="15">
        <f t="shared" si="53"/>
        <v>1315078.0655078127</v>
      </c>
      <c r="BC99" s="20">
        <f t="shared" si="54"/>
        <v>-11443.711835937342</v>
      </c>
      <c r="BD99" s="19">
        <f t="shared" si="55"/>
        <v>-0.86268556094513771</v>
      </c>
      <c r="BE99" s="15">
        <v>1988969.46476225</v>
      </c>
      <c r="BF99" s="16">
        <f>テーブル2[[#This Row],[q_P]]/テーブル2[[#This Row],[q_M]]</f>
        <v>0.66118564855142692</v>
      </c>
      <c r="BG99">
        <v>1</v>
      </c>
      <c r="BH99">
        <v>0.156</v>
      </c>
      <c r="BI99">
        <v>4.5999999999999999E-2</v>
      </c>
      <c r="BJ99">
        <v>5625</v>
      </c>
      <c r="BK99" s="22">
        <v>1</v>
      </c>
      <c r="BL99">
        <f>テーブル2[[#This Row],[Ts]]-テーブル2[[#This Row],[Tin]]</f>
        <v>84.589012590276866</v>
      </c>
      <c r="BM99">
        <f>テーブル2[[#This Row],[q_P]]*0.000001</f>
        <v>1.3150780655078127</v>
      </c>
      <c r="BN99">
        <f>テーブル2[[#This Row],[Tsub]]</f>
        <v>84.589012590276866</v>
      </c>
      <c r="BO99">
        <f>テーブル2[[#This Row],[Fcorr]]</f>
        <v>1</v>
      </c>
      <c r="BP99">
        <f>(テーブル2[[#This Row],[Tsub]]-40)^2</f>
        <v>1988.1800437758689</v>
      </c>
      <c r="BQ99">
        <v>1</v>
      </c>
      <c r="BR99">
        <v>1.524</v>
      </c>
    </row>
    <row r="100" spans="1:70" x14ac:dyDescent="0.15">
      <c r="A100" s="9" t="s">
        <v>168</v>
      </c>
      <c r="B100">
        <v>10962664.096137701</v>
      </c>
      <c r="C100" s="22">
        <f t="array" ref="C100">TsatFromP(テーブル2[[#This Row],[P]])</f>
        <v>590.91885773675415</v>
      </c>
      <c r="D100">
        <f t="array" ref="D100">RhoGFromP(テーブル2[[#This Row],[P]])</f>
        <v>62.329534958310994</v>
      </c>
      <c r="E100">
        <f t="array" ref="E100">RhoFFromP(テーブル2[[#This Row],[P]])</f>
        <v>672.42409881111666</v>
      </c>
      <c r="F100">
        <f t="array" ref="F100">HgFromP(テーブル2[[#This Row],[P]])</f>
        <v>2706878.8036725009</v>
      </c>
      <c r="G100">
        <f t="array" ref="G100">HfFromP(テーブル2[[#This Row],[P]])</f>
        <v>1448743.0254953832</v>
      </c>
      <c r="H100">
        <f t="array" ref="H100">MuGFromP(テーブル2[[#This Row],[P]])</f>
        <v>2.0627960844486357E-5</v>
      </c>
      <c r="I100">
        <f t="array" ref="I100">MuFFromP(テーブル2[[#This Row],[P]])</f>
        <v>7.9154719957673361E-5</v>
      </c>
      <c r="J100">
        <f t="array" ref="J100">KfFromP(テーブル2[[#This Row],[P]])</f>
        <v>0.52383293111878571</v>
      </c>
      <c r="K100">
        <f t="array" ref="K100">CpFFromP(テーブル2[[#This Row],[P]])</f>
        <v>6433.0576498432911</v>
      </c>
      <c r="L100">
        <f t="array" ref="L100">SigmaFromP(テーブル2[[#This Row],[P]])</f>
        <v>1.0258316120707198E-2</v>
      </c>
      <c r="M100">
        <v>99</v>
      </c>
      <c r="N100">
        <v>4068.6896969858799</v>
      </c>
      <c r="O100" s="8">
        <f t="shared" si="56"/>
        <v>6.8620353649299532E-5</v>
      </c>
      <c r="P100" s="8">
        <f t="shared" si="57"/>
        <v>2.9365094851634514E-2</v>
      </c>
      <c r="Q100" s="8">
        <v>9.3472E-3</v>
      </c>
      <c r="R100">
        <v>1.524</v>
      </c>
      <c r="S100" s="15">
        <v>2321258.04296875</v>
      </c>
      <c r="T100">
        <v>507.70933491723503</v>
      </c>
      <c r="U100" s="12">
        <f>+T100+BG100*S100*テーブル2[[#This Row],[Pw]]*R100/(N100*O100*K100)</f>
        <v>565.54754335660778</v>
      </c>
      <c r="V100">
        <v>0.03</v>
      </c>
      <c r="W100" s="8">
        <f t="shared" si="28"/>
        <v>480462.26878198504</v>
      </c>
      <c r="X100">
        <v>2.202552059223345E-2</v>
      </c>
      <c r="Y100">
        <f t="shared" si="29"/>
        <v>6.7380915735687354</v>
      </c>
      <c r="Z100">
        <f t="shared" si="30"/>
        <v>6.7380916019165955</v>
      </c>
      <c r="AA100">
        <f t="shared" si="31"/>
        <v>-2.8347860059341201E-8</v>
      </c>
      <c r="AB100">
        <f t="shared" si="32"/>
        <v>1.8161648258494195E-5</v>
      </c>
      <c r="AC100">
        <v>624.24978069358474</v>
      </c>
      <c r="AD100">
        <f t="shared" si="33"/>
        <v>12605.131759142809</v>
      </c>
      <c r="AE100">
        <f>+gettm2(AD100,AC100,AK100,AL100,テーブル2[[#This Row],[Fcorr]])</f>
        <v>565.54754359910555</v>
      </c>
      <c r="AF100" s="14">
        <f t="shared" si="34"/>
        <v>2.424977765258518E-7</v>
      </c>
      <c r="AG100">
        <v>1.8197154459428841E-5</v>
      </c>
      <c r="AH100">
        <f t="shared" si="35"/>
        <v>67.780077940289715</v>
      </c>
      <c r="AI100">
        <f t="shared" si="36"/>
        <v>0.3174895221161691</v>
      </c>
      <c r="AJ100">
        <f t="shared" si="37"/>
        <v>49.079409791718092</v>
      </c>
      <c r="AK100">
        <f t="array" ref="AK100">+S100*テーブル2[[#This Row],[F_form]]/(E100*CpFromTP((テーブル2[[#This Row],[Tin]]+テーブル2[[#This Row],[Tf]])/2,テーブル2[[#This Row],[P]])*AI100)</f>
        <v>2.2321682627030182</v>
      </c>
      <c r="AL100">
        <f t="shared" si="38"/>
        <v>0.97207878026562056</v>
      </c>
      <c r="AM100">
        <f t="shared" si="39"/>
        <v>590.91885773530942</v>
      </c>
      <c r="AN100">
        <f t="shared" si="40"/>
        <v>1.4447323337662965E-9</v>
      </c>
      <c r="AO100">
        <f t="shared" si="41"/>
        <v>3.5506200934646182E-8</v>
      </c>
      <c r="AP100">
        <v>4.4466260218321008</v>
      </c>
      <c r="AQ100">
        <f t="shared" si="42"/>
        <v>5.7147774523518617E-5</v>
      </c>
      <c r="AR100">
        <f t="shared" si="43"/>
        <v>9.1163303301817436E-6</v>
      </c>
      <c r="AS100">
        <f t="shared" si="44"/>
        <v>24.587586650935201</v>
      </c>
      <c r="AT100">
        <f t="shared" si="45"/>
        <v>12.961208539477262</v>
      </c>
      <c r="AU100">
        <f t="shared" si="46"/>
        <v>4.1150479052466462</v>
      </c>
      <c r="AV100">
        <f t="shared" si="47"/>
        <v>0.33157811658545455</v>
      </c>
      <c r="AW100">
        <f t="shared" si="48"/>
        <v>9.2435240960315589E-3</v>
      </c>
      <c r="AX100">
        <f t="shared" si="49"/>
        <v>0.33157810941410831</v>
      </c>
      <c r="AY100">
        <f t="shared" si="50"/>
        <v>7.171346239065457E-9</v>
      </c>
      <c r="AZ100">
        <f t="shared" si="51"/>
        <v>1258135.7781771177</v>
      </c>
      <c r="BA100">
        <f t="shared" si="52"/>
        <v>1.2851940829503932E-5</v>
      </c>
      <c r="BB100" s="15">
        <f t="shared" si="53"/>
        <v>2337255.9360081926</v>
      </c>
      <c r="BC100" s="20">
        <f t="shared" si="54"/>
        <v>15997.893039442599</v>
      </c>
      <c r="BD100" s="19">
        <f t="shared" si="55"/>
        <v>0.68919063470350983</v>
      </c>
      <c r="BE100" s="15">
        <v>3141972.3820827999</v>
      </c>
      <c r="BF100" s="16">
        <f>テーブル2[[#This Row],[q_P]]/テーブル2[[#This Row],[q_M]]</f>
        <v>0.74388175699330483</v>
      </c>
      <c r="BG100">
        <v>1</v>
      </c>
      <c r="BH100">
        <v>5.3999999999999999E-2</v>
      </c>
      <c r="BI100">
        <v>4.5999999999999999E-2</v>
      </c>
      <c r="BJ100">
        <v>5625</v>
      </c>
      <c r="BK100" s="22">
        <v>1</v>
      </c>
      <c r="BL100">
        <f>テーブル2[[#This Row],[Ts]]-テーブル2[[#This Row],[Tin]]</f>
        <v>83.209522819519123</v>
      </c>
      <c r="BM100">
        <f>テーブル2[[#This Row],[q_P]]*0.000001</f>
        <v>2.3372559360081926</v>
      </c>
      <c r="BN100">
        <f>テーブル2[[#This Row],[Tsub]]</f>
        <v>83.209522819519123</v>
      </c>
      <c r="BO100">
        <f>テーブル2[[#This Row],[Fcorr]]</f>
        <v>1</v>
      </c>
      <c r="BP100">
        <f>(テーブル2[[#This Row],[Tsub]]-40)^2</f>
        <v>1867.0628622905438</v>
      </c>
      <c r="BQ100">
        <v>1</v>
      </c>
      <c r="BR100">
        <v>1.524</v>
      </c>
    </row>
    <row r="101" spans="1:70" x14ac:dyDescent="0.15">
      <c r="A101" s="9" t="s">
        <v>169</v>
      </c>
      <c r="B101">
        <v>11066085.455535199</v>
      </c>
      <c r="C101" s="22">
        <f t="array" ref="C101">TsatFromP(テーブル2[[#This Row],[P]])</f>
        <v>591.59844217507987</v>
      </c>
      <c r="D101">
        <f t="array" ref="D101">RhoGFromP(テーブル2[[#This Row],[P]])</f>
        <v>63.116059220916618</v>
      </c>
      <c r="E101">
        <f t="array" ref="E101">RhoFFromP(テーブル2[[#This Row],[P]])</f>
        <v>670.70218150320568</v>
      </c>
      <c r="F101">
        <f t="array" ref="F101">HgFromP(テーブル2[[#This Row],[P]])</f>
        <v>2704704.3928635395</v>
      </c>
      <c r="G101">
        <f t="array" ref="G101">HfFromP(テーブル2[[#This Row],[P]])</f>
        <v>1452979.6039176662</v>
      </c>
      <c r="H101">
        <f t="array" ref="H101">MuGFromP(テーブル2[[#This Row],[P]])</f>
        <v>2.0676471173980647E-5</v>
      </c>
      <c r="I101">
        <f t="array" ref="I101">MuFFromP(テーブル2[[#This Row],[P]])</f>
        <v>7.8893761069449763E-5</v>
      </c>
      <c r="J101">
        <f t="array" ref="J101">KfFromP(テーブル2[[#This Row],[P]])</f>
        <v>0.52262372288993442</v>
      </c>
      <c r="K101">
        <f t="array" ref="K101">CpFFromP(テーブル2[[#This Row],[P]])</f>
        <v>6471.9652427384026</v>
      </c>
      <c r="L101">
        <f t="array" ref="L101">SigmaFromP(テーブル2[[#This Row],[P]])</f>
        <v>1.0111785142293607E-2</v>
      </c>
      <c r="M101">
        <v>100</v>
      </c>
      <c r="N101">
        <v>4068.6896969858799</v>
      </c>
      <c r="O101" s="8">
        <f t="shared" si="56"/>
        <v>6.8620353649299532E-5</v>
      </c>
      <c r="P101" s="8">
        <f t="shared" si="57"/>
        <v>2.9365094851634514E-2</v>
      </c>
      <c r="Q101" s="8">
        <v>9.3472E-3</v>
      </c>
      <c r="R101">
        <v>1.524</v>
      </c>
      <c r="S101" s="15">
        <v>814219.75390625</v>
      </c>
      <c r="T101">
        <v>563.49230128878798</v>
      </c>
      <c r="U101" s="12">
        <f>+T101+BG101*S101*テーブル2[[#This Row],[Pw]]*R101/(N101*O101*K101)</f>
        <v>583.65804819758341</v>
      </c>
      <c r="V101">
        <v>0.03</v>
      </c>
      <c r="W101" s="8">
        <f t="shared" si="28"/>
        <v>482051.50597634778</v>
      </c>
      <c r="X101">
        <v>2.19536601587824E-2</v>
      </c>
      <c r="Y101">
        <f t="shared" si="29"/>
        <v>6.7491103875770921</v>
      </c>
      <c r="Z101">
        <f t="shared" si="30"/>
        <v>6.7491104089474563</v>
      </c>
      <c r="AA101">
        <f t="shared" si="31"/>
        <v>-2.1370364144956966E-8</v>
      </c>
      <c r="AB101">
        <f t="shared" si="32"/>
        <v>1.7914830751301113E-5</v>
      </c>
      <c r="AC101">
        <v>602.00428867084236</v>
      </c>
      <c r="AD101">
        <f t="shared" si="33"/>
        <v>12626.178458440925</v>
      </c>
      <c r="AE101">
        <f>+gettm2(AD101,AC101,AK101,AL101,テーブル2[[#This Row],[Fcorr]])</f>
        <v>583.65804819758341</v>
      </c>
      <c r="AF101" s="14">
        <f t="shared" si="34"/>
        <v>0</v>
      </c>
      <c r="AG101">
        <v>1.7927129864331101E-5</v>
      </c>
      <c r="AH101">
        <f t="shared" si="35"/>
        <v>67.732385190806511</v>
      </c>
      <c r="AI101">
        <f t="shared" si="36"/>
        <v>0.3177849498017124</v>
      </c>
      <c r="AJ101">
        <f t="shared" si="37"/>
        <v>48.431860003999127</v>
      </c>
      <c r="AK101">
        <f t="array" ref="AK101">+S101*テーブル2[[#This Row],[F_form]]/(E101*CpFromTP((テーブル2[[#This Row],[Tin]]+テーブル2[[#This Row],[Tf]])/2,テーブル2[[#This Row],[P]])*AI101)</f>
        <v>0.69630713858187576</v>
      </c>
      <c r="AL101">
        <f t="shared" si="38"/>
        <v>0.97698909779095466</v>
      </c>
      <c r="AM101">
        <f t="shared" si="39"/>
        <v>591.59844217037551</v>
      </c>
      <c r="AN101">
        <f t="shared" si="40"/>
        <v>4.7043613449204713E-9</v>
      </c>
      <c r="AO101">
        <f t="shared" si="41"/>
        <v>1.2299113029987861E-8</v>
      </c>
      <c r="AP101">
        <v>4.4258123043440074</v>
      </c>
      <c r="AQ101">
        <f t="shared" si="42"/>
        <v>5.6226445162387225E-5</v>
      </c>
      <c r="AR101">
        <f t="shared" si="43"/>
        <v>8.9697144886805443E-6</v>
      </c>
      <c r="AS101">
        <f t="shared" si="44"/>
        <v>24.232543618483337</v>
      </c>
      <c r="AT101">
        <f t="shared" si="45"/>
        <v>12.888482536911592</v>
      </c>
      <c r="AU101">
        <f t="shared" si="46"/>
        <v>4.0957657760126969</v>
      </c>
      <c r="AV101">
        <f t="shared" si="47"/>
        <v>0.33004652833131054</v>
      </c>
      <c r="AW101">
        <f t="shared" si="48"/>
        <v>9.164831711711386E-3</v>
      </c>
      <c r="AX101">
        <f t="shared" si="49"/>
        <v>0.33004652544414015</v>
      </c>
      <c r="AY101">
        <f t="shared" si="50"/>
        <v>2.8871703916522051E-9</v>
      </c>
      <c r="AZ101">
        <f t="shared" si="51"/>
        <v>1251724.7889458733</v>
      </c>
      <c r="BA101">
        <f t="shared" si="52"/>
        <v>1.2704209147595356E-5</v>
      </c>
      <c r="BB101" s="15">
        <f t="shared" si="53"/>
        <v>812764.50671589933</v>
      </c>
      <c r="BC101" s="20">
        <f t="shared" si="54"/>
        <v>-1455.2471903506666</v>
      </c>
      <c r="BD101" s="19">
        <f t="shared" si="55"/>
        <v>-0.17872904499910047</v>
      </c>
      <c r="BE101" s="15">
        <v>1832501.76380712</v>
      </c>
      <c r="BF101" s="16">
        <f>テーブル2[[#This Row],[q_P]]/テーブル2[[#This Row],[q_M]]</f>
        <v>0.44352727117017215</v>
      </c>
      <c r="BG101">
        <v>1</v>
      </c>
      <c r="BH101">
        <v>0.104</v>
      </c>
      <c r="BI101">
        <v>4.5999999999999999E-2</v>
      </c>
      <c r="BJ101">
        <v>5625</v>
      </c>
      <c r="BK101" s="22">
        <v>1</v>
      </c>
      <c r="BL101">
        <f>テーブル2[[#This Row],[Ts]]-テーブル2[[#This Row],[Tin]]</f>
        <v>28.106140886291882</v>
      </c>
      <c r="BM101">
        <f>テーブル2[[#This Row],[q_P]]*0.000001</f>
        <v>0.81276450671589928</v>
      </c>
      <c r="BN101">
        <f>テーブル2[[#This Row],[Tsub]]</f>
        <v>28.106140886291882</v>
      </c>
      <c r="BO101">
        <f>テーブル2[[#This Row],[Fcorr]]</f>
        <v>1</v>
      </c>
      <c r="BP101">
        <f>(テーブル2[[#This Row],[Tsub]]-40)^2</f>
        <v>141.46388461673766</v>
      </c>
      <c r="BQ101">
        <v>1</v>
      </c>
      <c r="BR101">
        <v>1.524</v>
      </c>
    </row>
    <row r="102" spans="1:70" x14ac:dyDescent="0.15">
      <c r="A102" s="9" t="s">
        <v>170</v>
      </c>
      <c r="B102">
        <v>11066085.455535199</v>
      </c>
      <c r="C102" s="22">
        <f t="array" ref="C102">TsatFromP(テーブル2[[#This Row],[P]])</f>
        <v>591.59844217507987</v>
      </c>
      <c r="D102">
        <f t="array" ref="D102">RhoGFromP(テーブル2[[#This Row],[P]])</f>
        <v>63.116059220916618</v>
      </c>
      <c r="E102">
        <f t="array" ref="E102">RhoFFromP(テーブル2[[#This Row],[P]])</f>
        <v>670.70218150320568</v>
      </c>
      <c r="F102">
        <f t="array" ref="F102">HgFromP(テーブル2[[#This Row],[P]])</f>
        <v>2704704.3928635395</v>
      </c>
      <c r="G102">
        <f t="array" ref="G102">HfFromP(テーブル2[[#This Row],[P]])</f>
        <v>1452979.6039176662</v>
      </c>
      <c r="H102">
        <f t="array" ref="H102">MuGFromP(テーブル2[[#This Row],[P]])</f>
        <v>2.0676471173980647E-5</v>
      </c>
      <c r="I102">
        <f t="array" ref="I102">MuFFromP(テーブル2[[#This Row],[P]])</f>
        <v>7.8893761069449763E-5</v>
      </c>
      <c r="J102">
        <f t="array" ref="J102">KfFromP(テーブル2[[#This Row],[P]])</f>
        <v>0.52262372288993442</v>
      </c>
      <c r="K102">
        <f t="array" ref="K102">CpFFromP(テーブル2[[#This Row],[P]])</f>
        <v>6471.9652427384026</v>
      </c>
      <c r="L102">
        <f t="array" ref="L102">SigmaFromP(テーブル2[[#This Row],[P]])</f>
        <v>1.0111785142293607E-2</v>
      </c>
      <c r="M102">
        <v>101</v>
      </c>
      <c r="N102">
        <v>4068.6896969858799</v>
      </c>
      <c r="O102" s="8">
        <f t="shared" si="56"/>
        <v>6.8620353649299532E-5</v>
      </c>
      <c r="P102" s="8">
        <f t="shared" si="57"/>
        <v>2.9365094851634514E-2</v>
      </c>
      <c r="Q102" s="8">
        <v>9.3472E-3</v>
      </c>
      <c r="R102">
        <v>1.524</v>
      </c>
      <c r="S102" s="15">
        <v>2338283.68359375</v>
      </c>
      <c r="T102">
        <v>508.03105271669699</v>
      </c>
      <c r="U102" s="12">
        <f>+T102+BG102*S102*テーブル2[[#This Row],[Pw]]*R102/(N102*O102*K102)</f>
        <v>565.94322782433596</v>
      </c>
      <c r="V102">
        <v>0.03</v>
      </c>
      <c r="W102" s="8">
        <f t="shared" si="28"/>
        <v>482051.50597634778</v>
      </c>
      <c r="X102">
        <v>2.19536601587824E-2</v>
      </c>
      <c r="Y102">
        <f t="shared" si="29"/>
        <v>6.7491103875770921</v>
      </c>
      <c r="Z102">
        <f t="shared" si="30"/>
        <v>6.7491104089474563</v>
      </c>
      <c r="AA102">
        <f t="shared" si="31"/>
        <v>-2.1370364144956966E-8</v>
      </c>
      <c r="AB102">
        <f t="shared" si="32"/>
        <v>1.7914830751301113E-5</v>
      </c>
      <c r="AC102">
        <v>625.23613909343067</v>
      </c>
      <c r="AD102">
        <f t="shared" si="33"/>
        <v>12626.178458440925</v>
      </c>
      <c r="AE102">
        <f>+gettm2(AD102,AC102,AK102,AL102,テーブル2[[#This Row],[Fcorr]])</f>
        <v>565.94322782433596</v>
      </c>
      <c r="AF102" s="14">
        <f t="shared" si="34"/>
        <v>0</v>
      </c>
      <c r="AG102">
        <v>1.7950130975970469E-5</v>
      </c>
      <c r="AH102">
        <f t="shared" si="35"/>
        <v>67.732385190806511</v>
      </c>
      <c r="AI102">
        <f t="shared" si="36"/>
        <v>0.3177849498017124</v>
      </c>
      <c r="AJ102">
        <f t="shared" si="37"/>
        <v>48.493999712211476</v>
      </c>
      <c r="AK102">
        <f t="array" ref="AK102">+S102*テーブル2[[#This Row],[F_form]]/(E102*CpFromTP((テーブル2[[#This Row],[Tin]]+テーブル2[[#This Row],[Tf]])/2,テーブル2[[#This Row],[P]])*AI102)</f>
        <v>2.2503835292113301</v>
      </c>
      <c r="AL102">
        <f t="shared" si="38"/>
        <v>0.97698909779095466</v>
      </c>
      <c r="AM102">
        <f t="shared" si="39"/>
        <v>591.59844215929252</v>
      </c>
      <c r="AN102">
        <f t="shared" si="40"/>
        <v>1.5787350093887653E-8</v>
      </c>
      <c r="AO102">
        <f t="shared" si="41"/>
        <v>3.5300224669356216E-8</v>
      </c>
      <c r="AP102">
        <v>4.4295994078993708</v>
      </c>
      <c r="AQ102">
        <f t="shared" si="42"/>
        <v>5.6130344216991898E-5</v>
      </c>
      <c r="AR102">
        <f t="shared" si="43"/>
        <v>8.9927156003199126E-6</v>
      </c>
      <c r="AS102">
        <f t="shared" si="44"/>
        <v>24.294683326695683</v>
      </c>
      <c r="AT102">
        <f t="shared" si="45"/>
        <v>12.901287666338483</v>
      </c>
      <c r="AU102">
        <f t="shared" si="46"/>
        <v>4.099835053424826</v>
      </c>
      <c r="AV102">
        <f t="shared" si="47"/>
        <v>0.32976435447454477</v>
      </c>
      <c r="AW102">
        <f t="shared" si="48"/>
        <v>9.164831711711386E-3</v>
      </c>
      <c r="AX102">
        <f t="shared" si="49"/>
        <v>0.32976435086020017</v>
      </c>
      <c r="AY102">
        <f t="shared" si="50"/>
        <v>3.6143446013880975E-9</v>
      </c>
      <c r="AZ102">
        <f t="shared" si="51"/>
        <v>1251724.7889458733</v>
      </c>
      <c r="BA102">
        <f t="shared" si="52"/>
        <v>1.2671652456177825E-5</v>
      </c>
      <c r="BB102" s="15">
        <f t="shared" si="53"/>
        <v>2338744.5492778909</v>
      </c>
      <c r="BC102" s="20">
        <f t="shared" si="54"/>
        <v>460.86568414093927</v>
      </c>
      <c r="BD102" s="19">
        <f t="shared" si="55"/>
        <v>1.9709571057376005E-2</v>
      </c>
      <c r="BE102" s="15">
        <v>3154590.7450630502</v>
      </c>
      <c r="BF102" s="16">
        <f>テーブル2[[#This Row],[q_P]]/テーブル2[[#This Row],[q_M]]</f>
        <v>0.74137811788677743</v>
      </c>
      <c r="BG102">
        <v>1</v>
      </c>
      <c r="BH102">
        <v>5.3999999999999999E-2</v>
      </c>
      <c r="BI102">
        <v>4.5999999999999999E-2</v>
      </c>
      <c r="BJ102">
        <v>5625</v>
      </c>
      <c r="BK102" s="22">
        <v>1</v>
      </c>
      <c r="BL102">
        <f>テーブル2[[#This Row],[Ts]]-テーブル2[[#This Row],[Tin]]</f>
        <v>83.567389458382877</v>
      </c>
      <c r="BM102">
        <f>テーブル2[[#This Row],[q_P]]*0.000001</f>
        <v>2.3387445492778909</v>
      </c>
      <c r="BN102">
        <f>テーブル2[[#This Row],[Tsub]]</f>
        <v>83.567389458382877</v>
      </c>
      <c r="BO102">
        <f>テーブル2[[#This Row],[Fcorr]]</f>
        <v>1</v>
      </c>
      <c r="BP102">
        <f>(テーブル2[[#This Row],[Tsub]]-40)^2</f>
        <v>1898.1174242184113</v>
      </c>
      <c r="BQ102">
        <v>1</v>
      </c>
      <c r="BR102">
        <v>1.524</v>
      </c>
    </row>
    <row r="103" spans="1:70" x14ac:dyDescent="0.15">
      <c r="A103" s="9" t="s">
        <v>171</v>
      </c>
      <c r="B103">
        <v>11100559.2420011</v>
      </c>
      <c r="C103" s="22">
        <f t="array" ref="C103">TsatFromP(テーブル2[[#This Row],[P]])</f>
        <v>591.82497032118886</v>
      </c>
      <c r="D103">
        <f t="array" ref="D103">RhoGFromP(テーブル2[[#This Row],[P]])</f>
        <v>63.378233975119002</v>
      </c>
      <c r="E103">
        <f t="array" ref="E103">RhoFFromP(テーブル2[[#This Row],[P]])</f>
        <v>670.12820906723414</v>
      </c>
      <c r="F103">
        <f t="array" ref="F103">HgFromP(テーブル2[[#This Row],[P]])</f>
        <v>2703979.5892605507</v>
      </c>
      <c r="G103">
        <f t="array" ref="G103">HfFromP(テーブル2[[#This Row],[P]])</f>
        <v>1454391.7967250969</v>
      </c>
      <c r="H103">
        <f t="array" ref="H103">MuGFromP(テーブル2[[#This Row],[P]])</f>
        <v>2.0692641283812112E-5</v>
      </c>
      <c r="I103">
        <f t="array" ref="I103">MuFFromP(テーブル2[[#This Row],[P]])</f>
        <v>7.8806774773375072E-5</v>
      </c>
      <c r="J103">
        <f t="array" ref="J103">KfFromP(テーブル2[[#This Row],[P]])</f>
        <v>0.52222065348031665</v>
      </c>
      <c r="K103">
        <f t="array" ref="K103">CpFFromP(テーブル2[[#This Row],[P]])</f>
        <v>6484.9344403701325</v>
      </c>
      <c r="L103">
        <f t="array" ref="L103">SigmaFromP(テーブル2[[#This Row],[P]])</f>
        <v>1.0062941482822316E-2</v>
      </c>
      <c r="M103">
        <v>102</v>
      </c>
      <c r="N103">
        <v>4068.6896969858799</v>
      </c>
      <c r="O103" s="8">
        <f t="shared" si="56"/>
        <v>6.8620353649299532E-5</v>
      </c>
      <c r="P103" s="8">
        <f t="shared" si="57"/>
        <v>2.9365094851634514E-2</v>
      </c>
      <c r="Q103" s="8">
        <v>9.3472E-3</v>
      </c>
      <c r="R103">
        <v>1.524</v>
      </c>
      <c r="S103" s="15">
        <v>829931.21953124984</v>
      </c>
      <c r="T103">
        <v>563.20065007780795</v>
      </c>
      <c r="U103" s="12">
        <f>+T103+BG103*S103*テーブル2[[#This Row],[Pw]]*R103/(N103*O103*K103)</f>
        <v>583.7144145881125</v>
      </c>
      <c r="V103">
        <v>0.03</v>
      </c>
      <c r="W103" s="8">
        <f t="shared" si="28"/>
        <v>482583.59062443406</v>
      </c>
      <c r="X103">
        <v>2.1929591494646621E-2</v>
      </c>
      <c r="Y103">
        <f t="shared" si="29"/>
        <v>6.7528130904714239</v>
      </c>
      <c r="Z103">
        <f t="shared" si="30"/>
        <v>6.752813109732573</v>
      </c>
      <c r="AA103">
        <f t="shared" si="31"/>
        <v>-1.9261149120097798E-8</v>
      </c>
      <c r="AB103">
        <f t="shared" si="32"/>
        <v>1.7832588998666525E-5</v>
      </c>
      <c r="AC103">
        <v>602.44673908530535</v>
      </c>
      <c r="AD103">
        <f t="shared" si="33"/>
        <v>12633.184305863404</v>
      </c>
      <c r="AE103">
        <f>+gettm2(AD103,AC103,AK103,AL103,テーブル2[[#This Row],[Fcorr]])</f>
        <v>583.71441461257984</v>
      </c>
      <c r="AF103" s="14">
        <f t="shared" si="34"/>
        <v>2.4467340153933037E-8</v>
      </c>
      <c r="AG103">
        <v>1.7845233036161629E-5</v>
      </c>
      <c r="AH103">
        <f t="shared" si="35"/>
        <v>67.716077459586799</v>
      </c>
      <c r="AI103">
        <f t="shared" si="36"/>
        <v>0.31788273911831866</v>
      </c>
      <c r="AJ103">
        <f t="shared" si="37"/>
        <v>48.237358337665235</v>
      </c>
      <c r="AK103">
        <f t="array" ref="AK103">+S103*テーブル2[[#This Row],[F_form]]/(E103*CpFromTP((テーブル2[[#This Row],[Tin]]+テーブル2[[#This Row],[Tf]])/2,テーブル2[[#This Row],[P]])*AI103)</f>
        <v>0.7105160045518808</v>
      </c>
      <c r="AL103">
        <f t="shared" si="38"/>
        <v>0.97862228247089933</v>
      </c>
      <c r="AM103">
        <f t="shared" si="39"/>
        <v>591.82497031703031</v>
      </c>
      <c r="AN103">
        <f t="shared" si="40"/>
        <v>4.1585508370189928E-9</v>
      </c>
      <c r="AO103">
        <f t="shared" si="41"/>
        <v>1.2644037495103535E-8</v>
      </c>
      <c r="AP103">
        <v>4.4201137040995082</v>
      </c>
      <c r="AQ103">
        <f t="shared" si="42"/>
        <v>5.5891251248146526E-5</v>
      </c>
      <c r="AR103">
        <f t="shared" si="43"/>
        <v>8.9289385368283662E-6</v>
      </c>
      <c r="AS103">
        <f t="shared" si="44"/>
        <v>24.135768185441425</v>
      </c>
      <c r="AT103">
        <f t="shared" si="45"/>
        <v>12.868474486481384</v>
      </c>
      <c r="AU103">
        <f t="shared" si="46"/>
        <v>4.0906659180369012</v>
      </c>
      <c r="AV103">
        <f t="shared" si="47"/>
        <v>0.32944778606260705</v>
      </c>
      <c r="AW103">
        <f t="shared" si="48"/>
        <v>9.1385772832399698E-3</v>
      </c>
      <c r="AX103">
        <f t="shared" si="49"/>
        <v>0.32944778426206855</v>
      </c>
      <c r="AY103">
        <f t="shared" si="50"/>
        <v>1.8005384960773085E-9</v>
      </c>
      <c r="AZ103">
        <f t="shared" si="51"/>
        <v>1249587.7925354538</v>
      </c>
      <c r="BA103">
        <f t="shared" si="52"/>
        <v>1.2644754182750832E-5</v>
      </c>
      <c r="BB103" s="15">
        <f t="shared" si="53"/>
        <v>837336.56768438604</v>
      </c>
      <c r="BC103" s="20">
        <f t="shared" si="54"/>
        <v>7405.3481531362049</v>
      </c>
      <c r="BD103" s="19">
        <f t="shared" si="55"/>
        <v>0.89228456272783552</v>
      </c>
      <c r="BE103" s="15">
        <v>1868148.63922634</v>
      </c>
      <c r="BF103" s="16">
        <f>テーブル2[[#This Row],[q_P]]/テーブル2[[#This Row],[q_M]]</f>
        <v>0.4482173153155275</v>
      </c>
      <c r="BG103">
        <v>1</v>
      </c>
      <c r="BH103">
        <v>0.106</v>
      </c>
      <c r="BI103">
        <v>4.5999999999999999E-2</v>
      </c>
      <c r="BJ103">
        <v>5625</v>
      </c>
      <c r="BK103" s="22">
        <v>1</v>
      </c>
      <c r="BL103">
        <f>テーブル2[[#This Row],[Ts]]-テーブル2[[#This Row],[Tin]]</f>
        <v>28.624320243380907</v>
      </c>
      <c r="BM103">
        <f>テーブル2[[#This Row],[q_P]]*0.000001</f>
        <v>0.83733656768438602</v>
      </c>
      <c r="BN103">
        <f>テーブル2[[#This Row],[Tsub]]</f>
        <v>28.624320243380907</v>
      </c>
      <c r="BO103">
        <f>テーブル2[[#This Row],[Fcorr]]</f>
        <v>1</v>
      </c>
      <c r="BP103">
        <f>(テーブル2[[#This Row],[Tsub]]-40)^2</f>
        <v>129.40608992515342</v>
      </c>
      <c r="BQ103">
        <v>1</v>
      </c>
      <c r="BR103">
        <v>1.524</v>
      </c>
    </row>
    <row r="104" spans="1:70" x14ac:dyDescent="0.15">
      <c r="A104" s="9" t="s">
        <v>172</v>
      </c>
      <c r="B104">
        <v>12065825.263044599</v>
      </c>
      <c r="C104" s="22">
        <f t="array" ref="C104">TsatFromP(テーブル2[[#This Row],[P]])</f>
        <v>598.16775841223</v>
      </c>
      <c r="D104">
        <f t="array" ref="D104">RhoGFromP(テーブル2[[#This Row],[P]])</f>
        <v>70.719127092772837</v>
      </c>
      <c r="E104">
        <f t="array" ref="E104">RhoFFromP(テーブル2[[#This Row],[P]])</f>
        <v>654.05698086006123</v>
      </c>
      <c r="F104">
        <f t="array" ref="F104">HgFromP(テーブル2[[#This Row],[P]])</f>
        <v>2683685.0883769058</v>
      </c>
      <c r="G104">
        <f t="array" ref="G104">HfFromP(テーブル2[[#This Row],[P]])</f>
        <v>1493933.1953330804</v>
      </c>
      <c r="H104">
        <f t="array" ref="H104">MuGFromP(テーブル2[[#This Row],[P]])</f>
        <v>2.1145404359092259E-5</v>
      </c>
      <c r="I104">
        <f t="array" ref="I104">MuFFromP(テーブル2[[#This Row],[P]])</f>
        <v>7.6371158483287791E-5</v>
      </c>
      <c r="J104">
        <f t="array" ref="J104">KfFromP(テーブル2[[#This Row],[P]])</f>
        <v>0.51093471001103663</v>
      </c>
      <c r="K104">
        <f t="array" ref="K104">CpFFromP(テーブル2[[#This Row],[P]])</f>
        <v>6848.0719740579098</v>
      </c>
      <c r="L104">
        <f t="array" ref="L104">SigmaFromP(テーブル2[[#This Row],[P]])</f>
        <v>8.6953190176285583E-3</v>
      </c>
      <c r="M104">
        <v>103</v>
      </c>
      <c r="N104">
        <v>2305.590828292</v>
      </c>
      <c r="O104" s="8">
        <f t="shared" si="56"/>
        <v>2.8502295699234246E-6</v>
      </c>
      <c r="P104" s="8">
        <f t="shared" si="57"/>
        <v>5.9847340050885557E-3</v>
      </c>
      <c r="Q104" s="8">
        <v>1.905E-3</v>
      </c>
      <c r="R104">
        <v>0.15240000000000001</v>
      </c>
      <c r="S104" s="15">
        <v>3116361.46484375</v>
      </c>
      <c r="T104">
        <v>509.74524427840402</v>
      </c>
      <c r="U104" s="12">
        <f>+T104+BG104*S104*テーブル2[[#This Row],[Pw]]*R104/(N104*O104*K104)</f>
        <v>572.90599040887446</v>
      </c>
      <c r="V104">
        <v>0.03</v>
      </c>
      <c r="W104" s="8">
        <f t="shared" si="28"/>
        <v>57510.59189258454</v>
      </c>
      <c r="X104">
        <v>3.9249802747889043E-2</v>
      </c>
      <c r="Y104">
        <f t="shared" si="29"/>
        <v>5.0475573345957878</v>
      </c>
      <c r="Z104">
        <f t="shared" si="30"/>
        <v>5.0475573462201444</v>
      </c>
      <c r="AA104">
        <f t="shared" si="31"/>
        <v>-1.162435658841332E-8</v>
      </c>
      <c r="AB104">
        <f t="shared" si="32"/>
        <v>2.6167991399821489E-5</v>
      </c>
      <c r="AC104">
        <v>659.72297118324286</v>
      </c>
      <c r="AD104">
        <f t="shared" si="33"/>
        <v>2014.148964617714</v>
      </c>
      <c r="AE104">
        <f>+gettm2(AD104,AC104,AK104,AL104,テーブル2[[#This Row],[Fcorr]])</f>
        <v>572.90599040887446</v>
      </c>
      <c r="AF104" s="14">
        <f t="shared" si="34"/>
        <v>0</v>
      </c>
      <c r="AG104">
        <v>2.6239293574199541E-5</v>
      </c>
      <c r="AH104">
        <f t="shared" si="35"/>
        <v>39.874603525073958</v>
      </c>
      <c r="AI104">
        <f t="shared" si="36"/>
        <v>0.2469109760616825</v>
      </c>
      <c r="AJ104">
        <f t="shared" si="37"/>
        <v>55.485402608686869</v>
      </c>
      <c r="AK104">
        <f t="array" ref="AK104">+S104*テーブル2[[#This Row],[F_form]]/(E104*CpFromTP((テーブル2[[#This Row],[Tin]]+テーブル2[[#This Row],[Tf]])/2,テーブル2[[#This Row],[P]])*AI104)</f>
        <v>3.9178380092004685</v>
      </c>
      <c r="AL104">
        <f t="shared" si="38"/>
        <v>1.023604738117011</v>
      </c>
      <c r="AM104">
        <f t="shared" si="39"/>
        <v>598.16775841085382</v>
      </c>
      <c r="AN104">
        <f t="shared" si="40"/>
        <v>1.376179170620162E-9</v>
      </c>
      <c r="AO104">
        <f t="shared" si="41"/>
        <v>7.1302174378052094E-8</v>
      </c>
      <c r="AP104">
        <v>3.6355816830110541</v>
      </c>
      <c r="AQ104">
        <f t="shared" si="42"/>
        <v>6.476926474460489E-5</v>
      </c>
      <c r="AR104">
        <f t="shared" si="43"/>
        <v>1.3155297874288796E-5</v>
      </c>
      <c r="AS104">
        <f t="shared" si="44"/>
        <v>27.818088811271803</v>
      </c>
      <c r="AT104">
        <f t="shared" si="45"/>
        <v>13.578432428813835</v>
      </c>
      <c r="AU104">
        <f t="shared" si="46"/>
        <v>3.3526640043860261</v>
      </c>
      <c r="AV104">
        <f t="shared" si="47"/>
        <v>0.28291767862502804</v>
      </c>
      <c r="AW104">
        <f t="shared" si="48"/>
        <v>1.414521284679595E-2</v>
      </c>
      <c r="AX104">
        <f t="shared" si="49"/>
        <v>0.28291766355242642</v>
      </c>
      <c r="AY104">
        <f t="shared" si="50"/>
        <v>1.5072601611265668E-8</v>
      </c>
      <c r="AZ104">
        <f t="shared" si="51"/>
        <v>1189751.8930438254</v>
      </c>
      <c r="BA104">
        <f t="shared" si="52"/>
        <v>1.7815378773435182E-5</v>
      </c>
      <c r="BB104" s="15">
        <f t="shared" si="53"/>
        <v>3114438.0987756033</v>
      </c>
      <c r="BC104" s="20">
        <f t="shared" si="54"/>
        <v>-1923.3660681466572</v>
      </c>
      <c r="BD104" s="19">
        <f t="shared" si="55"/>
        <v>-6.1718324072624613E-2</v>
      </c>
      <c r="BE104" s="15">
        <v>3217681.8</v>
      </c>
      <c r="BF104" s="16">
        <f>テーブル2[[#This Row],[q_P]]/テーブル2[[#This Row],[q_M]]</f>
        <v>0.96791363856289436</v>
      </c>
      <c r="BG104">
        <v>1</v>
      </c>
      <c r="BH104">
        <v>-2.1000000000000001E-2</v>
      </c>
      <c r="BI104">
        <v>4.5999999999999999E-2</v>
      </c>
      <c r="BJ104">
        <v>5625</v>
      </c>
      <c r="BK104" s="22">
        <v>1</v>
      </c>
      <c r="BL104">
        <f>テーブル2[[#This Row],[Ts]]-テーブル2[[#This Row],[Tin]]</f>
        <v>88.422514133825985</v>
      </c>
      <c r="BM104">
        <f>テーブル2[[#This Row],[q_P]]*0.000001</f>
        <v>3.1144380987756031</v>
      </c>
      <c r="BN104">
        <f>テーブル2[[#This Row],[Tsub]]</f>
        <v>88.422514133825985</v>
      </c>
      <c r="BO104">
        <f>テーブル2[[#This Row],[Fcorr]]</f>
        <v>1</v>
      </c>
      <c r="BP104">
        <f>(テーブル2[[#This Row],[Tsub]]-40)^2</f>
        <v>2344.7398750405773</v>
      </c>
      <c r="BQ104">
        <v>1</v>
      </c>
      <c r="BR104">
        <v>0.15240000000000001</v>
      </c>
    </row>
    <row r="105" spans="1:70" x14ac:dyDescent="0.15">
      <c r="A105" s="9" t="s">
        <v>173</v>
      </c>
      <c r="B105">
        <v>12065825.263044599</v>
      </c>
      <c r="C105" s="22">
        <f t="array" ref="C105">TsatFromP(テーブル2[[#This Row],[P]])</f>
        <v>598.16775841223</v>
      </c>
      <c r="D105">
        <f t="array" ref="D105">RhoGFromP(テーブル2[[#This Row],[P]])</f>
        <v>70.719127092772837</v>
      </c>
      <c r="E105">
        <f t="array" ref="E105">RhoFFromP(テーブル2[[#This Row],[P]])</f>
        <v>654.05698086006123</v>
      </c>
      <c r="F105">
        <f t="array" ref="F105">HgFromP(テーブル2[[#This Row],[P]])</f>
        <v>2683685.0883769058</v>
      </c>
      <c r="G105">
        <f t="array" ref="G105">HfFromP(テーブル2[[#This Row],[P]])</f>
        <v>1493933.1953330804</v>
      </c>
      <c r="H105">
        <f t="array" ref="H105">MuGFromP(テーブル2[[#This Row],[P]])</f>
        <v>2.1145404359092259E-5</v>
      </c>
      <c r="I105">
        <f t="array" ref="I105">MuFFromP(テーブル2[[#This Row],[P]])</f>
        <v>7.6371158483287791E-5</v>
      </c>
      <c r="J105">
        <f t="array" ref="J105">KfFromP(テーブル2[[#This Row],[P]])</f>
        <v>0.51093471001103663</v>
      </c>
      <c r="K105">
        <f t="array" ref="K105">CpFFromP(テーブル2[[#This Row],[P]])</f>
        <v>6848.0719740579098</v>
      </c>
      <c r="L105">
        <f t="array" ref="L105">SigmaFromP(テーブル2[[#This Row],[P]])</f>
        <v>8.6953190176285583E-3</v>
      </c>
      <c r="M105">
        <v>104</v>
      </c>
      <c r="N105">
        <v>2359.8400242518101</v>
      </c>
      <c r="O105" s="8">
        <f t="shared" si="56"/>
        <v>2.8502295699234246E-6</v>
      </c>
      <c r="P105" s="8">
        <f t="shared" si="57"/>
        <v>5.9847340050885557E-3</v>
      </c>
      <c r="Q105" s="8">
        <v>1.905E-3</v>
      </c>
      <c r="R105">
        <v>0.15240000000000001</v>
      </c>
      <c r="S105" s="15">
        <v>3323367.87890625</v>
      </c>
      <c r="T105">
        <v>505.32839124330701</v>
      </c>
      <c r="U105" s="12">
        <f>+T105+BG105*S105*テーブル2[[#This Row],[Pw]]*R105/(N105*O105*K105)</f>
        <v>571.13621323245957</v>
      </c>
      <c r="V105">
        <v>0.03</v>
      </c>
      <c r="W105" s="8">
        <f t="shared" si="28"/>
        <v>58863.782290057075</v>
      </c>
      <c r="X105">
        <v>3.8799010040635622E-2</v>
      </c>
      <c r="Y105">
        <f t="shared" si="29"/>
        <v>5.0767955918200967</v>
      </c>
      <c r="Z105">
        <f t="shared" si="30"/>
        <v>5.076795648350104</v>
      </c>
      <c r="AA105">
        <f t="shared" si="31"/>
        <v>-5.6530007341848432E-8</v>
      </c>
      <c r="AB105">
        <f t="shared" si="32"/>
        <v>2.5268913480376843E-5</v>
      </c>
      <c r="AC105">
        <v>662.97487868833946</v>
      </c>
      <c r="AD105">
        <f t="shared" si="33"/>
        <v>2049.6678894582788</v>
      </c>
      <c r="AE105">
        <f>+gettm2(AD105,AC105,AK105,AL105,テーブル2[[#This Row],[Fcorr]])</f>
        <v>571.13621386220825</v>
      </c>
      <c r="AF105" s="14">
        <f t="shared" si="34"/>
        <v>6.2974868342280388E-7</v>
      </c>
      <c r="AG105">
        <v>2.5342561666786881E-5</v>
      </c>
      <c r="AH105">
        <f t="shared" si="35"/>
        <v>41.29335766358664</v>
      </c>
      <c r="AI105">
        <f t="shared" si="36"/>
        <v>0.25126517853384667</v>
      </c>
      <c r="AJ105">
        <f t="shared" si="37"/>
        <v>54.534209853049177</v>
      </c>
      <c r="AK105">
        <f t="array" ref="AK105">+S105*テーブル2[[#This Row],[F_form]]/(E105*CpFromTP((テーブル2[[#This Row],[Tin]]+テーブル2[[#This Row],[Tf]])/2,テーブル2[[#This Row],[P]])*AI105)</f>
        <v>4.1361944496332264</v>
      </c>
      <c r="AL105">
        <f t="shared" si="38"/>
        <v>1.023604738117011</v>
      </c>
      <c r="AM105">
        <f t="shared" si="39"/>
        <v>598.16775830021106</v>
      </c>
      <c r="AN105">
        <f t="shared" si="40"/>
        <v>1.120189381254022E-7</v>
      </c>
      <c r="AO105">
        <f t="shared" si="41"/>
        <v>7.3648186410037332E-8</v>
      </c>
      <c r="AP105">
        <v>3.6751098206559059</v>
      </c>
      <c r="AQ105">
        <f t="shared" si="42"/>
        <v>6.3383488425854923E-5</v>
      </c>
      <c r="AR105">
        <f t="shared" si="43"/>
        <v>1.2708104926598459E-5</v>
      </c>
      <c r="AS105">
        <f t="shared" si="44"/>
        <v>27.34634604085608</v>
      </c>
      <c r="AT105">
        <f t="shared" si="45"/>
        <v>13.492914599870103</v>
      </c>
      <c r="AU105">
        <f t="shared" si="46"/>
        <v>3.3902995958783078</v>
      </c>
      <c r="AV105">
        <f t="shared" si="47"/>
        <v>0.2848102247775981</v>
      </c>
      <c r="AW105">
        <f t="shared" si="48"/>
        <v>1.3659212666572497E-2</v>
      </c>
      <c r="AX105">
        <f t="shared" si="49"/>
        <v>0.28481021272900647</v>
      </c>
      <c r="AY105">
        <f t="shared" si="50"/>
        <v>1.204859162440286E-8</v>
      </c>
      <c r="AZ105">
        <f t="shared" si="51"/>
        <v>1189751.8930438254</v>
      </c>
      <c r="BA105">
        <f t="shared" si="52"/>
        <v>1.7246692349058215E-5</v>
      </c>
      <c r="BB105" s="15">
        <f t="shared" si="53"/>
        <v>3322983.8472857857</v>
      </c>
      <c r="BC105" s="20">
        <f t="shared" si="54"/>
        <v>-384.0316204642877</v>
      </c>
      <c r="BD105" s="19">
        <f t="shared" si="55"/>
        <v>-1.155549534259433E-2</v>
      </c>
      <c r="BE105" s="15">
        <v>3438503.1</v>
      </c>
      <c r="BF105" s="16">
        <f>テーブル2[[#This Row],[q_P]]/テーブル2[[#This Row],[q_M]]</f>
        <v>0.96640420283052397</v>
      </c>
      <c r="BG105">
        <v>1</v>
      </c>
      <c r="BH105">
        <v>-2.1000000000000001E-2</v>
      </c>
      <c r="BI105">
        <v>4.5999999999999999E-2</v>
      </c>
      <c r="BJ105">
        <v>5625</v>
      </c>
      <c r="BK105" s="22">
        <v>1</v>
      </c>
      <c r="BL105">
        <f>テーブル2[[#This Row],[Ts]]-テーブル2[[#This Row],[Tin]]</f>
        <v>92.83936716892299</v>
      </c>
      <c r="BM105">
        <f>テーブル2[[#This Row],[q_P]]*0.000001</f>
        <v>3.3229838472857858</v>
      </c>
      <c r="BN105">
        <f>テーブル2[[#This Row],[Tsub]]</f>
        <v>92.83936716892299</v>
      </c>
      <c r="BO105">
        <f>テーブル2[[#This Row],[Fcorr]]</f>
        <v>1</v>
      </c>
      <c r="BP105">
        <f>(テーブル2[[#This Row],[Tsub]]-40)^2</f>
        <v>2791.9987228122568</v>
      </c>
      <c r="BQ105">
        <v>1</v>
      </c>
      <c r="BR105">
        <v>0.15240000000000001</v>
      </c>
    </row>
    <row r="106" spans="1:70" x14ac:dyDescent="0.15">
      <c r="A106" s="9" t="s">
        <v>174</v>
      </c>
      <c r="B106">
        <v>12065825.263044599</v>
      </c>
      <c r="C106" s="22">
        <f t="array" ref="C106">TsatFromP(テーブル2[[#This Row],[P]])</f>
        <v>598.16775841223</v>
      </c>
      <c r="D106">
        <f t="array" ref="D106">RhoGFromP(テーブル2[[#This Row],[P]])</f>
        <v>70.719127092772837</v>
      </c>
      <c r="E106">
        <f t="array" ref="E106">RhoFFromP(テーブル2[[#This Row],[P]])</f>
        <v>654.05698086006123</v>
      </c>
      <c r="F106">
        <f t="array" ref="F106">HgFromP(テーブル2[[#This Row],[P]])</f>
        <v>2683685.0883769058</v>
      </c>
      <c r="G106">
        <f t="array" ref="G106">HfFromP(テーブル2[[#This Row],[P]])</f>
        <v>1493933.1953330804</v>
      </c>
      <c r="H106">
        <f t="array" ref="H106">MuGFromP(テーブル2[[#This Row],[P]])</f>
        <v>2.1145404359092259E-5</v>
      </c>
      <c r="I106">
        <f t="array" ref="I106">MuFFromP(テーブル2[[#This Row],[P]])</f>
        <v>7.6371158483287791E-5</v>
      </c>
      <c r="J106">
        <f t="array" ref="J106">KfFromP(テーブル2[[#This Row],[P]])</f>
        <v>0.51093471001103663</v>
      </c>
      <c r="K106">
        <f t="array" ref="K106">CpFFromP(テーブル2[[#This Row],[P]])</f>
        <v>6848.0719740579098</v>
      </c>
      <c r="L106">
        <f t="array" ref="L106">SigmaFromP(テーブル2[[#This Row],[P]])</f>
        <v>8.6953190176285583E-3</v>
      </c>
      <c r="M106">
        <v>105</v>
      </c>
      <c r="N106">
        <v>2373.4023232417599</v>
      </c>
      <c r="O106" s="8">
        <f t="shared" si="56"/>
        <v>2.8502295699234246E-6</v>
      </c>
      <c r="P106" s="8">
        <f t="shared" si="57"/>
        <v>5.9847340050885557E-3</v>
      </c>
      <c r="Q106" s="8">
        <v>1.905E-3</v>
      </c>
      <c r="R106">
        <v>0.15240000000000001</v>
      </c>
      <c r="S106" s="15">
        <v>3872772.55859375</v>
      </c>
      <c r="T106">
        <v>489.74374548652298</v>
      </c>
      <c r="U106" s="12">
        <f>+T106+BG106*S106*テーブル2[[#This Row],[Pw]]*R106/(N106*O106*K106)</f>
        <v>565.99241875713005</v>
      </c>
      <c r="V106">
        <v>0.03</v>
      </c>
      <c r="W106" s="8">
        <f t="shared" si="28"/>
        <v>59202.079889425142</v>
      </c>
      <c r="X106">
        <v>3.8689057939631663E-2</v>
      </c>
      <c r="Y106">
        <f t="shared" si="29"/>
        <v>5.0840044557431749</v>
      </c>
      <c r="Z106">
        <f t="shared" si="30"/>
        <v>5.0840044978888566</v>
      </c>
      <c r="AA106">
        <f t="shared" si="31"/>
        <v>-4.2145681611316377E-8</v>
      </c>
      <c r="AB106">
        <f t="shared" si="32"/>
        <v>2.505194544630002E-5</v>
      </c>
      <c r="AC106">
        <v>675.01812988454321</v>
      </c>
      <c r="AD106">
        <f t="shared" si="33"/>
        <v>2058.5245604412471</v>
      </c>
      <c r="AE106">
        <f>+gettm2(AD106,AC106,AK106,AL106,テーブル2[[#This Row],[Fcorr]])</f>
        <v>565.99241875712983</v>
      </c>
      <c r="AF106" s="14">
        <f t="shared" si="34"/>
        <v>0</v>
      </c>
      <c r="AG106">
        <v>2.5136620968882202E-5</v>
      </c>
      <c r="AH106">
        <f t="shared" si="35"/>
        <v>41.650988117952117</v>
      </c>
      <c r="AI106">
        <f t="shared" si="36"/>
        <v>0.25235090223923162</v>
      </c>
      <c r="AJ106">
        <f t="shared" si="37"/>
        <v>54.324778615166899</v>
      </c>
      <c r="AK106">
        <f t="array" ref="AK106">+S106*テーブル2[[#This Row],[F_form]]/(E106*CpFromTP((テーブル2[[#This Row],[Tin]]+テーブル2[[#This Row],[Tf]])/2,テーブル2[[#This Row],[P]])*AI106)</f>
        <v>4.9078457773538142</v>
      </c>
      <c r="AL106">
        <f t="shared" si="38"/>
        <v>1.023604738117011</v>
      </c>
      <c r="AM106">
        <f t="shared" si="39"/>
        <v>598.16775831803398</v>
      </c>
      <c r="AN106">
        <f t="shared" si="40"/>
        <v>9.4196025202109013E-8</v>
      </c>
      <c r="AO106">
        <f t="shared" si="41"/>
        <v>8.4675522582181994E-8</v>
      </c>
      <c r="AP106">
        <v>3.685881000590622</v>
      </c>
      <c r="AQ106">
        <f t="shared" si="42"/>
        <v>6.3013580978410456E-5</v>
      </c>
      <c r="AR106">
        <f t="shared" si="43"/>
        <v>1.2610648245732192E-5</v>
      </c>
      <c r="AS106">
        <f t="shared" si="44"/>
        <v>27.253888857664094</v>
      </c>
      <c r="AT106">
        <f t="shared" si="45"/>
        <v>13.475981106500454</v>
      </c>
      <c r="AU106">
        <f t="shared" si="46"/>
        <v>3.4006759907842286</v>
      </c>
      <c r="AV106">
        <f t="shared" si="47"/>
        <v>0.28520500980639341</v>
      </c>
      <c r="AW106">
        <f t="shared" si="48"/>
        <v>1.3541929724367446E-2</v>
      </c>
      <c r="AX106">
        <f t="shared" si="49"/>
        <v>0.28520499360575668</v>
      </c>
      <c r="AY106">
        <f t="shared" si="50"/>
        <v>1.6200636721031003E-8</v>
      </c>
      <c r="AZ106">
        <f t="shared" si="51"/>
        <v>1189751.8930438254</v>
      </c>
      <c r="BA106">
        <f t="shared" si="52"/>
        <v>1.7095934721797374E-5</v>
      </c>
      <c r="BB106" s="15">
        <f t="shared" si="53"/>
        <v>3854224.6491171182</v>
      </c>
      <c r="BC106" s="20">
        <f t="shared" si="54"/>
        <v>-18547.909476631787</v>
      </c>
      <c r="BD106" s="19">
        <f t="shared" si="55"/>
        <v>-0.47893102928220382</v>
      </c>
      <c r="BE106" s="15">
        <v>3974783.4</v>
      </c>
      <c r="BF106" s="16">
        <f>テーブル2[[#This Row],[q_P]]/テーブル2[[#This Row],[q_M]]</f>
        <v>0.96966910174705834</v>
      </c>
      <c r="BG106">
        <v>1</v>
      </c>
      <c r="BH106">
        <v>-2.3E-2</v>
      </c>
      <c r="BI106">
        <v>4.5999999999999999E-2</v>
      </c>
      <c r="BJ106">
        <v>5625</v>
      </c>
      <c r="BK106" s="22">
        <v>1</v>
      </c>
      <c r="BL106">
        <f>テーブル2[[#This Row],[Ts]]-テーブル2[[#This Row],[Tin]]</f>
        <v>108.42401292570702</v>
      </c>
      <c r="BM106">
        <f>テーブル2[[#This Row],[q_P]]*0.000001</f>
        <v>3.8542246491171182</v>
      </c>
      <c r="BN106">
        <f>テーブル2[[#This Row],[Tsub]]</f>
        <v>108.42401292570702</v>
      </c>
      <c r="BO106">
        <f>テーブル2[[#This Row],[Fcorr]]</f>
        <v>1</v>
      </c>
      <c r="BP106">
        <f>(テーブル2[[#This Row],[Tsub]]-40)^2</f>
        <v>4681.8455448573213</v>
      </c>
      <c r="BQ106">
        <v>1</v>
      </c>
      <c r="BR106">
        <v>0.15240000000000001</v>
      </c>
    </row>
    <row r="107" spans="1:70" x14ac:dyDescent="0.15">
      <c r="A107" s="9" t="s">
        <v>175</v>
      </c>
      <c r="B107">
        <v>12065825.263044599</v>
      </c>
      <c r="C107" s="22">
        <f t="array" ref="C107">TsatFromP(テーブル2[[#This Row],[P]])</f>
        <v>598.16775841223</v>
      </c>
      <c r="D107">
        <f t="array" ref="D107">RhoGFromP(テーブル2[[#This Row],[P]])</f>
        <v>70.719127092772837</v>
      </c>
      <c r="E107">
        <f t="array" ref="E107">RhoFFromP(テーブル2[[#This Row],[P]])</f>
        <v>654.05698086006123</v>
      </c>
      <c r="F107">
        <f t="array" ref="F107">HgFromP(テーブル2[[#This Row],[P]])</f>
        <v>2683685.0883769058</v>
      </c>
      <c r="G107">
        <f t="array" ref="G107">HfFromP(テーブル2[[#This Row],[P]])</f>
        <v>1493933.1953330804</v>
      </c>
      <c r="H107">
        <f t="array" ref="H107">MuGFromP(テーブル2[[#This Row],[P]])</f>
        <v>2.1145404359092259E-5</v>
      </c>
      <c r="I107">
        <f t="array" ref="I107">MuFFromP(テーブル2[[#This Row],[P]])</f>
        <v>7.6371158483287791E-5</v>
      </c>
      <c r="J107">
        <f t="array" ref="J107">KfFromP(テーブル2[[#This Row],[P]])</f>
        <v>0.51093471001103663</v>
      </c>
      <c r="K107">
        <f t="array" ref="K107">CpFFromP(テーブル2[[#This Row],[P]])</f>
        <v>6848.0719740579098</v>
      </c>
      <c r="L107">
        <f t="array" ref="L107">SigmaFromP(テーブル2[[#This Row],[P]])</f>
        <v>8.6953190176285583E-3</v>
      </c>
      <c r="M107">
        <v>106</v>
      </c>
      <c r="N107">
        <v>2427.65151920157</v>
      </c>
      <c r="O107" s="8">
        <f t="shared" si="56"/>
        <v>2.8502295699234246E-6</v>
      </c>
      <c r="P107" s="8">
        <f t="shared" si="57"/>
        <v>5.9847340050885557E-3</v>
      </c>
      <c r="Q107" s="8">
        <v>1.905E-3</v>
      </c>
      <c r="R107">
        <v>0.15240000000000001</v>
      </c>
      <c r="S107" s="15">
        <v>3996234.31640625</v>
      </c>
      <c r="T107">
        <v>488.095222083176</v>
      </c>
      <c r="U107" s="12">
        <f>+T107+BG107*S107*テーブル2[[#This Row],[Pw]]*R107/(N107*O107*K107)</f>
        <v>565.01645941539311</v>
      </c>
      <c r="V107">
        <v>0.03</v>
      </c>
      <c r="W107" s="8">
        <f t="shared" si="28"/>
        <v>60555.270286897678</v>
      </c>
      <c r="X107">
        <v>3.8259725010977207E-2</v>
      </c>
      <c r="Y107">
        <f t="shared" si="29"/>
        <v>5.1124500501846093</v>
      </c>
      <c r="Z107">
        <f t="shared" si="30"/>
        <v>5.1124500834252942</v>
      </c>
      <c r="AA107">
        <f t="shared" si="31"/>
        <v>-3.3240684871316262E-8</v>
      </c>
      <c r="AB107">
        <f t="shared" si="32"/>
        <v>2.4213513007879937E-5</v>
      </c>
      <c r="AC107">
        <v>676.12142444050983</v>
      </c>
      <c r="AD107">
        <f t="shared" si="33"/>
        <v>2093.8611544431333</v>
      </c>
      <c r="AE107">
        <f>+gettm2(AD107,AC107,AK107,AL107,テーブル2[[#This Row],[Fcorr]])</f>
        <v>565.01646017660732</v>
      </c>
      <c r="AF107" s="14">
        <f t="shared" si="34"/>
        <v>7.6121420988783939E-7</v>
      </c>
      <c r="AG107">
        <v>2.429852627474098E-5</v>
      </c>
      <c r="AH107">
        <f t="shared" si="35"/>
        <v>43.093221614552789</v>
      </c>
      <c r="AI107">
        <f t="shared" si="36"/>
        <v>0.25668275309483951</v>
      </c>
      <c r="AJ107">
        <f t="shared" si="37"/>
        <v>53.414950421938009</v>
      </c>
      <c r="AK107">
        <f t="array" ref="AK107">+S107*テーブル2[[#This Row],[F_form]]/(E107*CpFromTP((テーブル2[[#This Row],[Tin]]+テーブル2[[#This Row],[Tf]])/2,テーブル2[[#This Row],[P]])*AI107)</f>
        <v>4.991765323732519</v>
      </c>
      <c r="AL107">
        <f t="shared" si="38"/>
        <v>1.023604738117011</v>
      </c>
      <c r="AM107">
        <f t="shared" si="39"/>
        <v>598.16775827399852</v>
      </c>
      <c r="AN107">
        <f t="shared" si="40"/>
        <v>1.3823148492519977E-7</v>
      </c>
      <c r="AO107">
        <f t="shared" si="41"/>
        <v>8.5013266861042535E-8</v>
      </c>
      <c r="AP107">
        <v>3.7246249403448068</v>
      </c>
      <c r="AQ107">
        <f t="shared" si="42"/>
        <v>6.1709451513758837E-5</v>
      </c>
      <c r="AR107">
        <f t="shared" si="43"/>
        <v>1.2191769770801011E-5</v>
      </c>
      <c r="AS107">
        <f t="shared" si="44"/>
        <v>26.800916668760415</v>
      </c>
      <c r="AT107">
        <f t="shared" si="45"/>
        <v>13.39218045495045</v>
      </c>
      <c r="AU107">
        <f t="shared" si="46"/>
        <v>3.4375417491195819</v>
      </c>
      <c r="AV107">
        <f t="shared" si="47"/>
        <v>0.28708319122522497</v>
      </c>
      <c r="AW107">
        <f t="shared" si="48"/>
        <v>1.3088711702475589E-2</v>
      </c>
      <c r="AX107">
        <f t="shared" si="49"/>
        <v>0.28708315801375012</v>
      </c>
      <c r="AY107">
        <f t="shared" si="50"/>
        <v>3.3211474848027223E-8</v>
      </c>
      <c r="AZ107">
        <f t="shared" si="51"/>
        <v>1189751.8930438254</v>
      </c>
      <c r="BA107">
        <f t="shared" si="52"/>
        <v>1.6567963889552351E-5</v>
      </c>
      <c r="BB107" s="15">
        <f t="shared" si="53"/>
        <v>3992910.3178642914</v>
      </c>
      <c r="BC107" s="20">
        <f t="shared" si="54"/>
        <v>-3323.9985419586301</v>
      </c>
      <c r="BD107" s="19">
        <f t="shared" si="55"/>
        <v>-8.3178269309990033E-2</v>
      </c>
      <c r="BE107" s="15">
        <v>4069421.1</v>
      </c>
      <c r="BF107" s="16">
        <f>テーブル2[[#This Row],[q_P]]/テーブル2[[#This Row],[q_M]]</f>
        <v>0.98119860779811929</v>
      </c>
      <c r="BG107">
        <v>1</v>
      </c>
      <c r="BH107">
        <v>-2.9000000000000001E-2</v>
      </c>
      <c r="BI107">
        <v>4.5999999999999999E-2</v>
      </c>
      <c r="BJ107">
        <v>5625</v>
      </c>
      <c r="BK107" s="22">
        <v>1</v>
      </c>
      <c r="BL107">
        <f>テーブル2[[#This Row],[Ts]]-テーブル2[[#This Row],[Tin]]</f>
        <v>110.072536329054</v>
      </c>
      <c r="BM107">
        <f>テーブル2[[#This Row],[q_P]]*0.000001</f>
        <v>3.9929103178642911</v>
      </c>
      <c r="BN107">
        <f>テーブル2[[#This Row],[Tsub]]</f>
        <v>110.072536329054</v>
      </c>
      <c r="BO107">
        <f>テーブル2[[#This Row],[Fcorr]]</f>
        <v>1</v>
      </c>
      <c r="BP107">
        <f>(テーブル2[[#This Row],[Tsub]]-40)^2</f>
        <v>4910.1603475865932</v>
      </c>
      <c r="BQ107">
        <v>1</v>
      </c>
      <c r="BR107">
        <v>0.15240000000000001</v>
      </c>
    </row>
    <row r="108" spans="1:70" x14ac:dyDescent="0.15">
      <c r="A108" s="9" t="s">
        <v>176</v>
      </c>
      <c r="B108">
        <v>12065825.263044599</v>
      </c>
      <c r="C108" s="22">
        <f t="array" ref="C108">TsatFromP(テーブル2[[#This Row],[P]])</f>
        <v>598.16775841223</v>
      </c>
      <c r="D108">
        <f t="array" ref="D108">RhoGFromP(テーブル2[[#This Row],[P]])</f>
        <v>70.719127092772837</v>
      </c>
      <c r="E108">
        <f t="array" ref="E108">RhoFFromP(テーブル2[[#This Row],[P]])</f>
        <v>654.05698086006123</v>
      </c>
      <c r="F108">
        <f t="array" ref="F108">HgFromP(テーブル2[[#This Row],[P]])</f>
        <v>2683685.0883769058</v>
      </c>
      <c r="G108">
        <f t="array" ref="G108">HfFromP(テーブル2[[#This Row],[P]])</f>
        <v>1493933.1953330804</v>
      </c>
      <c r="H108">
        <f t="array" ref="H108">MuGFromP(テーブル2[[#This Row],[P]])</f>
        <v>2.1145404359092259E-5</v>
      </c>
      <c r="I108">
        <f t="array" ref="I108">MuFFromP(テーブル2[[#This Row],[P]])</f>
        <v>7.6371158483287791E-5</v>
      </c>
      <c r="J108">
        <f t="array" ref="J108">KfFromP(テーブル2[[#This Row],[P]])</f>
        <v>0.51093471001103663</v>
      </c>
      <c r="K108">
        <f t="array" ref="K108">CpFFromP(テーブル2[[#This Row],[P]])</f>
        <v>6848.0719740579098</v>
      </c>
      <c r="L108">
        <f t="array" ref="L108">SigmaFromP(テーブル2[[#This Row],[P]])</f>
        <v>8.6953190176285583E-3</v>
      </c>
      <c r="M108">
        <v>107</v>
      </c>
      <c r="N108">
        <v>2509.0253131412901</v>
      </c>
      <c r="O108" s="8">
        <f t="shared" si="56"/>
        <v>2.8502295699234246E-6</v>
      </c>
      <c r="P108" s="8">
        <f t="shared" si="57"/>
        <v>5.9847340050885557E-3</v>
      </c>
      <c r="Q108" s="8">
        <v>1.905E-3</v>
      </c>
      <c r="R108">
        <v>0.15240000000000001</v>
      </c>
      <c r="S108" s="15">
        <v>5177421.33203125</v>
      </c>
      <c r="T108">
        <v>457.53598356801803</v>
      </c>
      <c r="U108" s="12">
        <f>+T108+BG108*S108*テーブル2[[#This Row],[Pw]]*R108/(N108*O108*K108)</f>
        <v>553.96109025150349</v>
      </c>
      <c r="V108">
        <v>0.03</v>
      </c>
      <c r="W108" s="8">
        <f t="shared" si="28"/>
        <v>62585.055883106616</v>
      </c>
      <c r="X108">
        <v>3.7645423118246292E-2</v>
      </c>
      <c r="Y108">
        <f t="shared" si="29"/>
        <v>5.1539939996903605</v>
      </c>
      <c r="Z108">
        <f t="shared" si="30"/>
        <v>5.1539940048134589</v>
      </c>
      <c r="AA108">
        <f t="shared" si="31"/>
        <v>-5.1230983899586136E-9</v>
      </c>
      <c r="AB108">
        <f t="shared" si="32"/>
        <v>2.3038280944948389E-5</v>
      </c>
      <c r="AC108">
        <v>699.84347499628984</v>
      </c>
      <c r="AD108">
        <f t="shared" si="33"/>
        <v>2146.603072226239</v>
      </c>
      <c r="AE108">
        <f>+gettm2(AD108,AC108,AK108,AL108,テーブル2[[#This Row],[Fcorr]])</f>
        <v>553.96109025150361</v>
      </c>
      <c r="AF108" s="14">
        <f t="shared" si="34"/>
        <v>0</v>
      </c>
      <c r="AG108">
        <v>2.314260095332363E-5</v>
      </c>
      <c r="AH108">
        <f t="shared" si="35"/>
        <v>45.291499162146557</v>
      </c>
      <c r="AI108">
        <f t="shared" si="36"/>
        <v>0.26314829195415784</v>
      </c>
      <c r="AJ108">
        <f t="shared" si="37"/>
        <v>52.155357801270753</v>
      </c>
      <c r="AK108">
        <f t="array" ref="AK108">+S108*テーブル2[[#This Row],[F_form]]/(E108*CpFromTP((テーブル2[[#This Row],[Tin]]+テーブル2[[#This Row],[Tf]])/2,テーブル2[[#This Row],[P]])*AI108)</f>
        <v>6.5357761019731146</v>
      </c>
      <c r="AL108">
        <f t="shared" si="38"/>
        <v>1.023604738117011</v>
      </c>
      <c r="AM108">
        <f t="shared" si="39"/>
        <v>598.16775834802047</v>
      </c>
      <c r="AN108">
        <f t="shared" si="40"/>
        <v>6.4209530137304682E-8</v>
      </c>
      <c r="AO108">
        <f t="shared" si="41"/>
        <v>1.0432000837524126E-7</v>
      </c>
      <c r="AP108">
        <v>3.7837673198526769</v>
      </c>
      <c r="AQ108">
        <f t="shared" si="42"/>
        <v>5.9795422178840497E-5</v>
      </c>
      <c r="AR108">
        <f t="shared" si="43"/>
        <v>1.1623460480849436E-5</v>
      </c>
      <c r="AS108">
        <f t="shared" si="44"/>
        <v>26.195229373324594</v>
      </c>
      <c r="AT108">
        <f t="shared" si="45"/>
        <v>13.277886545999781</v>
      </c>
      <c r="AU108">
        <f t="shared" si="46"/>
        <v>3.4940531653409348</v>
      </c>
      <c r="AV108">
        <f t="shared" si="47"/>
        <v>0.28971415451174209</v>
      </c>
      <c r="AW108">
        <f t="shared" si="48"/>
        <v>1.2453435290902813E-2</v>
      </c>
      <c r="AX108">
        <f t="shared" si="49"/>
        <v>0.28971414970586518</v>
      </c>
      <c r="AY108">
        <f t="shared" si="50"/>
        <v>4.8058769186454242E-9</v>
      </c>
      <c r="AZ108">
        <f t="shared" si="51"/>
        <v>1189751.8930438254</v>
      </c>
      <c r="BA108">
        <f t="shared" si="52"/>
        <v>1.5803144623905856E-5</v>
      </c>
      <c r="BB108" s="15">
        <f t="shared" si="53"/>
        <v>5136840.5882151509</v>
      </c>
      <c r="BC108" s="20">
        <f t="shared" si="54"/>
        <v>-40580.74381609913</v>
      </c>
      <c r="BD108" s="19">
        <f t="shared" si="55"/>
        <v>-0.78380222921085219</v>
      </c>
      <c r="BE108" s="15">
        <v>5110435.8000000007</v>
      </c>
      <c r="BF108" s="16">
        <f>テーブル2[[#This Row],[q_P]]/テーブル2[[#This Row],[q_M]]</f>
        <v>1.0051668368899478</v>
      </c>
      <c r="BG108">
        <v>1</v>
      </c>
      <c r="BH108">
        <v>-4.5999999999999999E-2</v>
      </c>
      <c r="BI108">
        <v>4.5999999999999999E-2</v>
      </c>
      <c r="BJ108">
        <v>5625</v>
      </c>
      <c r="BK108" s="22">
        <v>1</v>
      </c>
      <c r="BL108">
        <f>テーブル2[[#This Row],[Ts]]-テーブル2[[#This Row],[Tin]]</f>
        <v>140.63177484421198</v>
      </c>
      <c r="BM108">
        <f>テーブル2[[#This Row],[q_P]]*0.000001</f>
        <v>5.1368405882151507</v>
      </c>
      <c r="BN108">
        <f>テーブル2[[#This Row],[Tsub]]</f>
        <v>140.63177484421198</v>
      </c>
      <c r="BO108">
        <f>テーブル2[[#This Row],[Fcorr]]</f>
        <v>1</v>
      </c>
      <c r="BP108">
        <f>(テーブル2[[#This Row],[Tsub]]-40)^2</f>
        <v>10126.754108296174</v>
      </c>
      <c r="BQ108">
        <v>1</v>
      </c>
      <c r="BR108">
        <v>0.15240000000000001</v>
      </c>
    </row>
    <row r="109" spans="1:70" x14ac:dyDescent="0.15">
      <c r="A109" s="9" t="s">
        <v>177</v>
      </c>
      <c r="B109">
        <v>12065825.263044599</v>
      </c>
      <c r="C109" s="22">
        <f t="array" ref="C109">TsatFromP(テーブル2[[#This Row],[P]])</f>
        <v>598.16775841223</v>
      </c>
      <c r="D109">
        <f t="array" ref="D109">RhoGFromP(テーブル2[[#This Row],[P]])</f>
        <v>70.719127092772837</v>
      </c>
      <c r="E109">
        <f t="array" ref="E109">RhoFFromP(テーブル2[[#This Row],[P]])</f>
        <v>654.05698086006123</v>
      </c>
      <c r="F109">
        <f t="array" ref="F109">HgFromP(テーブル2[[#This Row],[P]])</f>
        <v>2683685.0883769058</v>
      </c>
      <c r="G109">
        <f t="array" ref="G109">HfFromP(テーブル2[[#This Row],[P]])</f>
        <v>1493933.1953330804</v>
      </c>
      <c r="H109">
        <f t="array" ref="H109">MuGFromP(テーブル2[[#This Row],[P]])</f>
        <v>2.1145404359092259E-5</v>
      </c>
      <c r="I109">
        <f t="array" ref="I109">MuFFromP(テーブル2[[#This Row],[P]])</f>
        <v>7.6371158483287791E-5</v>
      </c>
      <c r="J109">
        <f t="array" ref="J109">KfFromP(テーブル2[[#This Row],[P]])</f>
        <v>0.51093471001103663</v>
      </c>
      <c r="K109">
        <f t="array" ref="K109">CpFFromP(テーブル2[[#This Row],[P]])</f>
        <v>6848.0719740579098</v>
      </c>
      <c r="L109">
        <f t="array" ref="L109">SigmaFromP(テーブル2[[#This Row],[P]])</f>
        <v>8.6953190176285583E-3</v>
      </c>
      <c r="M109">
        <v>108</v>
      </c>
      <c r="N109">
        <v>2509.0253131412901</v>
      </c>
      <c r="O109" s="8">
        <f t="shared" si="56"/>
        <v>2.8502295699234246E-6</v>
      </c>
      <c r="P109" s="8">
        <f t="shared" si="57"/>
        <v>5.9847340050885557E-3</v>
      </c>
      <c r="Q109" s="8">
        <v>1.905E-3</v>
      </c>
      <c r="R109">
        <v>0.15240000000000001</v>
      </c>
      <c r="S109" s="15">
        <v>5156818.41796875</v>
      </c>
      <c r="T109">
        <v>458.12079612380802</v>
      </c>
      <c r="U109" s="12">
        <f>+T109+BG109*S109*テーブル2[[#This Row],[Pw]]*R109/(N109*O109*K109)</f>
        <v>554.16219090535185</v>
      </c>
      <c r="V109">
        <v>0.03</v>
      </c>
      <c r="W109" s="8">
        <f t="shared" si="28"/>
        <v>62585.055883106616</v>
      </c>
      <c r="X109">
        <v>3.7645423118246292E-2</v>
      </c>
      <c r="Y109">
        <f t="shared" si="29"/>
        <v>5.1539939996903605</v>
      </c>
      <c r="Z109">
        <f t="shared" si="30"/>
        <v>5.1539940048134589</v>
      </c>
      <c r="AA109">
        <f t="shared" si="31"/>
        <v>-5.1230983899586136E-9</v>
      </c>
      <c r="AB109">
        <f t="shared" si="32"/>
        <v>2.3038280944948389E-5</v>
      </c>
      <c r="AC109">
        <v>699.37960283900463</v>
      </c>
      <c r="AD109">
        <f t="shared" si="33"/>
        <v>2146.603072226239</v>
      </c>
      <c r="AE109">
        <f>+gettm2(AD109,AC109,AK109,AL109,テーブル2[[#This Row],[Fcorr]])</f>
        <v>554.16219090535174</v>
      </c>
      <c r="AF109" s="14">
        <f t="shared" si="34"/>
        <v>0</v>
      </c>
      <c r="AG109">
        <v>2.31420236618074E-5</v>
      </c>
      <c r="AH109">
        <f t="shared" si="35"/>
        <v>45.291499162146557</v>
      </c>
      <c r="AI109">
        <f t="shared" si="36"/>
        <v>0.26314829195415784</v>
      </c>
      <c r="AJ109">
        <f t="shared" si="37"/>
        <v>52.154056787368063</v>
      </c>
      <c r="AK109">
        <f t="array" ref="AK109">+S109*テーブル2[[#This Row],[F_form]]/(E109*CpFromTP((テーブル2[[#This Row],[Tin]]+テーブル2[[#This Row],[Tf]])/2,テーブル2[[#This Row],[P]])*AI109)</f>
        <v>6.5059842020458394</v>
      </c>
      <c r="AL109">
        <f t="shared" si="38"/>
        <v>1.023604738117011</v>
      </c>
      <c r="AM109">
        <f t="shared" si="39"/>
        <v>598.16775834836653</v>
      </c>
      <c r="AN109">
        <f t="shared" si="40"/>
        <v>6.3863467403280083E-8</v>
      </c>
      <c r="AO109">
        <f t="shared" si="41"/>
        <v>1.0374271685901159E-7</v>
      </c>
      <c r="AP109">
        <v>3.7837066183736101</v>
      </c>
      <c r="AQ109">
        <f t="shared" si="42"/>
        <v>5.9797340773514411E-5</v>
      </c>
      <c r="AR109">
        <f t="shared" si="43"/>
        <v>1.1622883189333206E-5</v>
      </c>
      <c r="AS109">
        <f t="shared" si="44"/>
        <v>26.193928359421903</v>
      </c>
      <c r="AT109">
        <f t="shared" si="45"/>
        <v>13.277638209519628</v>
      </c>
      <c r="AU109">
        <f t="shared" si="46"/>
        <v>3.4939878160203528</v>
      </c>
      <c r="AV109">
        <f t="shared" si="47"/>
        <v>0.28971880235325731</v>
      </c>
      <c r="AW109">
        <f t="shared" si="48"/>
        <v>1.2453435290902813E-2</v>
      </c>
      <c r="AX109">
        <f t="shared" si="49"/>
        <v>0.2897187975496775</v>
      </c>
      <c r="AY109">
        <f t="shared" si="50"/>
        <v>4.8035798116963235E-9</v>
      </c>
      <c r="AZ109">
        <f t="shared" si="51"/>
        <v>1189751.8930438254</v>
      </c>
      <c r="BA109">
        <f t="shared" si="52"/>
        <v>1.5803905219062076E-5</v>
      </c>
      <c r="BB109" s="15">
        <f t="shared" si="53"/>
        <v>5108168.2183713522</v>
      </c>
      <c r="BC109" s="20">
        <f t="shared" si="54"/>
        <v>-48650.199597397819</v>
      </c>
      <c r="BD109" s="19">
        <f t="shared" si="55"/>
        <v>-0.94341502170946989</v>
      </c>
      <c r="BE109" s="15">
        <v>5110435.8000000007</v>
      </c>
      <c r="BF109" s="16">
        <f>テーブル2[[#This Row],[q_P]]/テーブル2[[#This Row],[q_M]]</f>
        <v>0.99955628409838382</v>
      </c>
      <c r="BG109">
        <v>1</v>
      </c>
      <c r="BH109">
        <v>-4.2999999999999997E-2</v>
      </c>
      <c r="BI109">
        <v>4.5999999999999999E-2</v>
      </c>
      <c r="BJ109">
        <v>5625</v>
      </c>
      <c r="BK109" s="22">
        <v>1</v>
      </c>
      <c r="BL109">
        <f>テーブル2[[#This Row],[Ts]]-テーブル2[[#This Row],[Tin]]</f>
        <v>140.04696228842198</v>
      </c>
      <c r="BM109">
        <f>テーブル2[[#This Row],[q_P]]*0.000001</f>
        <v>5.1081682183713522</v>
      </c>
      <c r="BN109">
        <f>テーブル2[[#This Row],[Tsub]]</f>
        <v>140.04696228842198</v>
      </c>
      <c r="BO109">
        <f>テーブル2[[#This Row],[Fcorr]]</f>
        <v>1</v>
      </c>
      <c r="BP109">
        <f>(テーブル2[[#This Row],[Tsub]]-40)^2</f>
        <v>10009.394663140931</v>
      </c>
      <c r="BQ109">
        <v>1</v>
      </c>
      <c r="BR109">
        <v>0.15240000000000001</v>
      </c>
    </row>
    <row r="110" spans="1:70" x14ac:dyDescent="0.15">
      <c r="A110" s="9" t="s">
        <v>178</v>
      </c>
      <c r="B110">
        <v>12065825.263044599</v>
      </c>
      <c r="C110" s="22">
        <f t="array" ref="C110">TsatFromP(テーブル2[[#This Row],[P]])</f>
        <v>598.16775841223</v>
      </c>
      <c r="D110">
        <f t="array" ref="D110">RhoGFromP(テーブル2[[#This Row],[P]])</f>
        <v>70.719127092772837</v>
      </c>
      <c r="E110">
        <f t="array" ref="E110">RhoFFromP(テーブル2[[#This Row],[P]])</f>
        <v>654.05698086006123</v>
      </c>
      <c r="F110">
        <f t="array" ref="F110">HgFromP(テーブル2[[#This Row],[P]])</f>
        <v>2683685.0883769058</v>
      </c>
      <c r="G110">
        <f t="array" ref="G110">HfFromP(テーブル2[[#This Row],[P]])</f>
        <v>1493933.1953330804</v>
      </c>
      <c r="H110">
        <f t="array" ref="H110">MuGFromP(テーブル2[[#This Row],[P]])</f>
        <v>2.1145404359092259E-5</v>
      </c>
      <c r="I110">
        <f t="array" ref="I110">MuFFromP(テーブル2[[#This Row],[P]])</f>
        <v>7.6371158483287791E-5</v>
      </c>
      <c r="J110">
        <f t="array" ref="J110">KfFromP(テーブル2[[#This Row],[P]])</f>
        <v>0.51093471001103663</v>
      </c>
      <c r="K110">
        <f t="array" ref="K110">CpFFromP(テーブル2[[#This Row],[P]])</f>
        <v>6848.0719740579098</v>
      </c>
      <c r="L110">
        <f t="array" ref="L110">SigmaFromP(テーブル2[[#This Row],[P]])</f>
        <v>8.6953190176285583E-3</v>
      </c>
      <c r="M110">
        <v>109</v>
      </c>
      <c r="N110">
        <v>2563.2745091011002</v>
      </c>
      <c r="O110" s="8">
        <f t="shared" si="56"/>
        <v>2.8502295699234246E-6</v>
      </c>
      <c r="P110" s="8">
        <f t="shared" si="57"/>
        <v>5.9847340050885557E-3</v>
      </c>
      <c r="Q110" s="8">
        <v>1.905E-3</v>
      </c>
      <c r="R110">
        <v>0.15240000000000001</v>
      </c>
      <c r="S110" s="15">
        <v>4541772.94921875</v>
      </c>
      <c r="T110">
        <v>477.56256686264697</v>
      </c>
      <c r="U110" s="12">
        <f>+T110+BG110*S110*テーブル2[[#This Row],[Pw]]*R110/(N110*O110*K110)</f>
        <v>560.35906386805732</v>
      </c>
      <c r="V110">
        <v>0.03</v>
      </c>
      <c r="W110" s="8">
        <f t="shared" si="28"/>
        <v>63938.246280579144</v>
      </c>
      <c r="X110">
        <v>3.7254333224781548E-2</v>
      </c>
      <c r="Y110">
        <f t="shared" si="29"/>
        <v>5.1809762634966674</v>
      </c>
      <c r="Z110">
        <f t="shared" si="30"/>
        <v>5.1809763082277911</v>
      </c>
      <c r="AA110">
        <f t="shared" si="31"/>
        <v>-4.4731123693964037E-8</v>
      </c>
      <c r="AB110">
        <f t="shared" si="32"/>
        <v>2.2305158130225816E-5</v>
      </c>
      <c r="AC110">
        <v>683.84871322237086</v>
      </c>
      <c r="AD110">
        <f t="shared" si="33"/>
        <v>2181.5949940127603</v>
      </c>
      <c r="AE110">
        <f>+gettm2(AD110,AC110,AK110,AL110,テーブル2[[#This Row],[Fcorr]])</f>
        <v>560.35906470654436</v>
      </c>
      <c r="AF110" s="14">
        <f t="shared" si="34"/>
        <v>8.3848703980038408E-7</v>
      </c>
      <c r="AG110">
        <v>2.2394769029829261E-5</v>
      </c>
      <c r="AH110">
        <f t="shared" si="35"/>
        <v>46.780133815839633</v>
      </c>
      <c r="AI110">
        <f t="shared" si="36"/>
        <v>0.26743789004961149</v>
      </c>
      <c r="AJ110">
        <f t="shared" si="37"/>
        <v>51.292720217897653</v>
      </c>
      <c r="AK110">
        <f t="array" ref="AK110">+S110*テーブル2[[#This Row],[F_form]]/(E110*CpFromTP((テーブル2[[#This Row],[Tin]]+テーブル2[[#This Row],[Tf]])/2,テーブル2[[#This Row],[P]])*AI110)</f>
        <v>5.5224243725919182</v>
      </c>
      <c r="AL110">
        <f t="shared" si="38"/>
        <v>1.023604738117011</v>
      </c>
      <c r="AM110">
        <f t="shared" si="39"/>
        <v>598.16775834528346</v>
      </c>
      <c r="AN110">
        <f t="shared" si="40"/>
        <v>6.6946540755452588E-8</v>
      </c>
      <c r="AO110">
        <f t="shared" si="41"/>
        <v>8.9610899603444693E-8</v>
      </c>
      <c r="AP110">
        <v>3.819700987961856</v>
      </c>
      <c r="AQ110">
        <f t="shared" si="42"/>
        <v>5.8675668507989982E-5</v>
      </c>
      <c r="AR110">
        <f t="shared" si="43"/>
        <v>1.1242189964716353E-5</v>
      </c>
      <c r="AS110">
        <f t="shared" si="44"/>
        <v>25.748981993454787</v>
      </c>
      <c r="AT110">
        <f t="shared" si="45"/>
        <v>13.191975460467406</v>
      </c>
      <c r="AU110">
        <f t="shared" si="46"/>
        <v>3.5280340827336549</v>
      </c>
      <c r="AV110">
        <f t="shared" si="47"/>
        <v>0.29166690522820105</v>
      </c>
      <c r="AW110">
        <f t="shared" si="48"/>
        <v>1.2057142809044094E-2</v>
      </c>
      <c r="AX110">
        <f t="shared" si="49"/>
        <v>0.29166689847382071</v>
      </c>
      <c r="AY110">
        <f t="shared" si="50"/>
        <v>6.7543803328184993E-9</v>
      </c>
      <c r="AZ110">
        <f t="shared" si="51"/>
        <v>1189751.8930438254</v>
      </c>
      <c r="BA110">
        <f t="shared" si="52"/>
        <v>1.5361325059975069E-5</v>
      </c>
      <c r="BB110" s="15">
        <f t="shared" si="53"/>
        <v>4539459.5201459145</v>
      </c>
      <c r="BC110" s="20">
        <f t="shared" si="54"/>
        <v>-2313.4290728354827</v>
      </c>
      <c r="BD110" s="19">
        <f t="shared" si="55"/>
        <v>-5.0936695838866751E-2</v>
      </c>
      <c r="BE110" s="15">
        <v>4605701.4000000004</v>
      </c>
      <c r="BF110" s="16">
        <f>テーブル2[[#This Row],[q_P]]/テーブル2[[#This Row],[q_M]]</f>
        <v>0.9856174176089475</v>
      </c>
      <c r="BG110">
        <v>1</v>
      </c>
      <c r="BH110">
        <v>-3.5999999999999997E-2</v>
      </c>
      <c r="BI110">
        <v>4.5999999999999999E-2</v>
      </c>
      <c r="BJ110">
        <v>5625</v>
      </c>
      <c r="BK110" s="22">
        <v>1</v>
      </c>
      <c r="BL110">
        <f>テーブル2[[#This Row],[Ts]]-テーブル2[[#This Row],[Tin]]</f>
        <v>120.60519154958303</v>
      </c>
      <c r="BM110">
        <f>テーブル2[[#This Row],[q_P]]*0.000001</f>
        <v>4.5394595201459147</v>
      </c>
      <c r="BN110">
        <f>テーブル2[[#This Row],[Tsub]]</f>
        <v>120.60519154958303</v>
      </c>
      <c r="BO110">
        <f>テーブル2[[#This Row],[Fcorr]]</f>
        <v>1</v>
      </c>
      <c r="BP110">
        <f>(テーブル2[[#This Row],[Tsub]]-40)^2</f>
        <v>6497.1969047449711</v>
      </c>
      <c r="BQ110">
        <v>1</v>
      </c>
      <c r="BR110">
        <v>0.15240000000000001</v>
      </c>
    </row>
    <row r="111" spans="1:70" x14ac:dyDescent="0.15">
      <c r="A111" s="9" t="s">
        <v>179</v>
      </c>
      <c r="B111">
        <v>12065825.263044599</v>
      </c>
      <c r="C111" s="22">
        <f t="array" ref="C111">TsatFromP(テーブル2[[#This Row],[P]])</f>
        <v>598.16775841223</v>
      </c>
      <c r="D111">
        <f t="array" ref="D111">RhoGFromP(テーブル2[[#This Row],[P]])</f>
        <v>70.719127092772837</v>
      </c>
      <c r="E111">
        <f t="array" ref="E111">RhoFFromP(テーブル2[[#This Row],[P]])</f>
        <v>654.05698086006123</v>
      </c>
      <c r="F111">
        <f t="array" ref="F111">HgFromP(テーブル2[[#This Row],[P]])</f>
        <v>2683685.0883769058</v>
      </c>
      <c r="G111">
        <f t="array" ref="G111">HfFromP(テーブル2[[#This Row],[P]])</f>
        <v>1493933.1953330804</v>
      </c>
      <c r="H111">
        <f t="array" ref="H111">MuGFromP(テーブル2[[#This Row],[P]])</f>
        <v>2.1145404359092259E-5</v>
      </c>
      <c r="I111">
        <f t="array" ref="I111">MuFFromP(テーブル2[[#This Row],[P]])</f>
        <v>7.6371158483287791E-5</v>
      </c>
      <c r="J111">
        <f t="array" ref="J111">KfFromP(テーブル2[[#This Row],[P]])</f>
        <v>0.51093471001103663</v>
      </c>
      <c r="K111">
        <f t="array" ref="K111">CpFFromP(テーブル2[[#This Row],[P]])</f>
        <v>6848.0719740579098</v>
      </c>
      <c r="L111">
        <f t="array" ref="L111">SigmaFromP(テーブル2[[#This Row],[P]])</f>
        <v>8.6953190176285583E-3</v>
      </c>
      <c r="M111">
        <v>110</v>
      </c>
      <c r="N111">
        <v>2576.83680809105</v>
      </c>
      <c r="O111" s="8">
        <f t="shared" si="56"/>
        <v>2.8502295699234246E-6</v>
      </c>
      <c r="P111" s="8">
        <f t="shared" si="57"/>
        <v>5.9847340050885557E-3</v>
      </c>
      <c r="Q111" s="8">
        <v>1.905E-3</v>
      </c>
      <c r="R111">
        <v>0.15240000000000001</v>
      </c>
      <c r="S111" s="15">
        <v>4077429.4766562502</v>
      </c>
      <c r="T111">
        <v>490.87515158354</v>
      </c>
      <c r="U111" s="12">
        <f>+T111+BG111*S111*テーブル2[[#This Row],[Pw]]*R111/(N111*O111*K111)</f>
        <v>564.81545100795267</v>
      </c>
      <c r="V111">
        <v>0.03</v>
      </c>
      <c r="W111" s="8">
        <f t="shared" si="28"/>
        <v>64276.543879947218</v>
      </c>
      <c r="X111">
        <v>3.7158742995459342E-2</v>
      </c>
      <c r="Y111">
        <f t="shared" si="29"/>
        <v>5.1876359695613941</v>
      </c>
      <c r="Z111">
        <f t="shared" si="30"/>
        <v>5.1876360006330158</v>
      </c>
      <c r="AA111">
        <f t="shared" si="31"/>
        <v>-3.107162172000244E-8</v>
      </c>
      <c r="AB111">
        <f t="shared" si="32"/>
        <v>2.212776209361495E-5</v>
      </c>
      <c r="AC111">
        <v>673.46298451091093</v>
      </c>
      <c r="AD111">
        <f t="shared" si="33"/>
        <v>2190.3223508466467</v>
      </c>
      <c r="AE111">
        <f>+gettm2(AD111,AC111,AK111,AL111,テーブル2[[#This Row],[Fcorr]])</f>
        <v>564.81545100795267</v>
      </c>
      <c r="AF111" s="14">
        <f t="shared" si="34"/>
        <v>0</v>
      </c>
      <c r="AG111">
        <v>2.220694701183174E-5</v>
      </c>
      <c r="AH111">
        <f t="shared" si="35"/>
        <v>47.155165429788987</v>
      </c>
      <c r="AI111">
        <f t="shared" si="36"/>
        <v>0.26850776136109245</v>
      </c>
      <c r="AJ111">
        <f t="shared" si="37"/>
        <v>51.066007752317283</v>
      </c>
      <c r="AK111">
        <f t="array" ref="AK111">+S111*テーブル2[[#This Row],[F_form]]/(E111*CpFromTP((テーブル2[[#This Row],[Tin]]+テーブル2[[#This Row],[Tf]])/2,テーブル2[[#This Row],[P]])*AI111)</f>
        <v>4.8564958755838497</v>
      </c>
      <c r="AL111">
        <f t="shared" si="38"/>
        <v>1.023604738117011</v>
      </c>
      <c r="AM111">
        <f t="shared" si="39"/>
        <v>598.16775837556781</v>
      </c>
      <c r="AN111">
        <f t="shared" si="40"/>
        <v>3.6662186175817624E-8</v>
      </c>
      <c r="AO111">
        <f t="shared" si="41"/>
        <v>7.9184918216790193E-8</v>
      </c>
      <c r="AP111">
        <v>3.8278298271159139</v>
      </c>
      <c r="AQ111">
        <f t="shared" si="42"/>
        <v>5.8426723989637263E-5</v>
      </c>
      <c r="AR111">
        <f t="shared" si="43"/>
        <v>1.1143065965024265E-5</v>
      </c>
      <c r="AS111">
        <f t="shared" si="44"/>
        <v>25.624048756064258</v>
      </c>
      <c r="AT111">
        <f t="shared" si="45"/>
        <v>13.167656575274895</v>
      </c>
      <c r="AU111">
        <f t="shared" si="46"/>
        <v>3.5356179893987316</v>
      </c>
      <c r="AV111">
        <f t="shared" si="47"/>
        <v>0.29221183771718229</v>
      </c>
      <c r="AW111">
        <f t="shared" si="48"/>
        <v>1.1961250668997921E-2</v>
      </c>
      <c r="AX111">
        <f t="shared" si="49"/>
        <v>0.29221183046017041</v>
      </c>
      <c r="AY111">
        <f t="shared" si="50"/>
        <v>7.2570118803128025E-9</v>
      </c>
      <c r="AZ111">
        <f t="shared" si="51"/>
        <v>1189751.8930438254</v>
      </c>
      <c r="BA111">
        <f t="shared" si="52"/>
        <v>1.526366809092425E-5</v>
      </c>
      <c r="BB111" s="15">
        <f t="shared" si="53"/>
        <v>4036970.2469375697</v>
      </c>
      <c r="BC111" s="20">
        <f t="shared" si="54"/>
        <v>-40459.229718680494</v>
      </c>
      <c r="BD111" s="19">
        <f t="shared" si="55"/>
        <v>-0.9922729491782557</v>
      </c>
      <c r="BE111" s="15">
        <v>3974783.4</v>
      </c>
      <c r="BF111" s="16">
        <f>テーブル2[[#This Row],[q_P]]/テーブル2[[#This Row],[q_M]]</f>
        <v>1.0156453423191738</v>
      </c>
      <c r="BG111">
        <v>1</v>
      </c>
      <c r="BH111">
        <v>-5.3999999999999999E-2</v>
      </c>
      <c r="BI111">
        <v>4.5999999999999999E-2</v>
      </c>
      <c r="BJ111">
        <v>5625</v>
      </c>
      <c r="BK111" s="22">
        <v>1</v>
      </c>
      <c r="BL111">
        <f>テーブル2[[#This Row],[Ts]]-テーブル2[[#This Row],[Tin]]</f>
        <v>107.29260682869</v>
      </c>
      <c r="BM111">
        <f>テーブル2[[#This Row],[q_P]]*0.000001</f>
        <v>4.0369702469375692</v>
      </c>
      <c r="BN111">
        <f>テーブル2[[#This Row],[Tsub]]</f>
        <v>107.29260682869</v>
      </c>
      <c r="BO111">
        <f>テーブル2[[#This Row],[Fcorr]]</f>
        <v>1</v>
      </c>
      <c r="BP111">
        <f>(テーブル2[[#This Row],[Tsub]]-40)^2</f>
        <v>4528.2949338006556</v>
      </c>
      <c r="BQ111">
        <v>1</v>
      </c>
      <c r="BR111">
        <v>0.15240000000000001</v>
      </c>
    </row>
    <row r="112" spans="1:70" x14ac:dyDescent="0.15">
      <c r="A112" s="9" t="s">
        <v>180</v>
      </c>
      <c r="B112">
        <v>12065825.263044599</v>
      </c>
      <c r="C112" s="22">
        <f t="array" ref="C112">TsatFromP(テーブル2[[#This Row],[P]])</f>
        <v>598.16775841223</v>
      </c>
      <c r="D112">
        <f t="array" ref="D112">RhoGFromP(テーブル2[[#This Row],[P]])</f>
        <v>70.719127092772837</v>
      </c>
      <c r="E112">
        <f t="array" ref="E112">RhoFFromP(テーブル2[[#This Row],[P]])</f>
        <v>654.05698086006123</v>
      </c>
      <c r="F112">
        <f t="array" ref="F112">HgFromP(テーブル2[[#This Row],[P]])</f>
        <v>2683685.0883769058</v>
      </c>
      <c r="G112">
        <f t="array" ref="G112">HfFromP(テーブル2[[#This Row],[P]])</f>
        <v>1493933.1953330804</v>
      </c>
      <c r="H112">
        <f t="array" ref="H112">MuGFromP(テーブル2[[#This Row],[P]])</f>
        <v>2.1145404359092259E-5</v>
      </c>
      <c r="I112">
        <f t="array" ref="I112">MuFFromP(テーブル2[[#This Row],[P]])</f>
        <v>7.6371158483287791E-5</v>
      </c>
      <c r="J112">
        <f t="array" ref="J112">KfFromP(テーブル2[[#This Row],[P]])</f>
        <v>0.51093471001103663</v>
      </c>
      <c r="K112">
        <f t="array" ref="K112">CpFFromP(テーブル2[[#This Row],[P]])</f>
        <v>6848.0719740579098</v>
      </c>
      <c r="L112">
        <f t="array" ref="L112">SigmaFromP(テーブル2[[#This Row],[P]])</f>
        <v>8.6953190176285583E-3</v>
      </c>
      <c r="M112">
        <v>111</v>
      </c>
      <c r="N112">
        <v>2590.3991070810098</v>
      </c>
      <c r="O112" s="8">
        <f t="shared" si="56"/>
        <v>2.8502295699234246E-6</v>
      </c>
      <c r="P112" s="8">
        <f t="shared" si="57"/>
        <v>5.9847340050885557E-3</v>
      </c>
      <c r="Q112" s="8">
        <v>1.905E-3</v>
      </c>
      <c r="R112">
        <v>0.15240000000000001</v>
      </c>
      <c r="S112" s="15">
        <v>4577493.00390625</v>
      </c>
      <c r="T112">
        <v>477.56256686264697</v>
      </c>
      <c r="U112" s="12">
        <f>+T112+BG112*S112*テーブル2[[#This Row],[Pw]]*R112/(N112*O112*K112)</f>
        <v>560.13644264998641</v>
      </c>
      <c r="V112">
        <v>0.03</v>
      </c>
      <c r="W112" s="8">
        <f t="shared" si="28"/>
        <v>64614.841479315524</v>
      </c>
      <c r="X112">
        <v>3.7064000565584669E-2</v>
      </c>
      <c r="Y112">
        <f t="shared" si="29"/>
        <v>5.194262015671395</v>
      </c>
      <c r="Z112">
        <f t="shared" si="30"/>
        <v>5.1942620358384497</v>
      </c>
      <c r="AA112">
        <f t="shared" si="31"/>
        <v>-2.0167054692876718E-8</v>
      </c>
      <c r="AB112">
        <f t="shared" si="32"/>
        <v>2.195263625188634E-5</v>
      </c>
      <c r="AC112">
        <v>683.74516302586255</v>
      </c>
      <c r="AD112">
        <f t="shared" si="33"/>
        <v>2199.0415788359164</v>
      </c>
      <c r="AE112">
        <f>+gettm2(AD112,AC112,AK112,AL112,テーブル2[[#This Row],[Fcorr]])</f>
        <v>560.13644348743799</v>
      </c>
      <c r="AF112" s="14">
        <f t="shared" si="34"/>
        <v>8.374515800824156E-7</v>
      </c>
      <c r="AG112">
        <v>2.2042438728113169E-5</v>
      </c>
      <c r="AH112">
        <f t="shared" si="35"/>
        <v>47.531342939541787</v>
      </c>
      <c r="AI112">
        <f t="shared" si="36"/>
        <v>0.26957663617182098</v>
      </c>
      <c r="AJ112">
        <f t="shared" si="37"/>
        <v>50.889490038912264</v>
      </c>
      <c r="AK112">
        <f t="array" ref="AK112">+S112*テーブル2[[#This Row],[F_form]]/(E112*CpFromTP((テーブル2[[#This Row],[Tin]]+テーブル2[[#This Row],[Tf]])/2,テーブル2[[#This Row],[P]])*AI112)</f>
        <v>5.5227737062762383</v>
      </c>
      <c r="AL112">
        <f t="shared" si="38"/>
        <v>1.023604738117011</v>
      </c>
      <c r="AM112">
        <f t="shared" si="39"/>
        <v>598.16775827583092</v>
      </c>
      <c r="AN112">
        <f t="shared" si="40"/>
        <v>1.3639908047480276E-7</v>
      </c>
      <c r="AO112">
        <f t="shared" si="41"/>
        <v>8.9802476226828282E-8</v>
      </c>
      <c r="AP112">
        <v>3.838283875131816</v>
      </c>
      <c r="AQ112">
        <f t="shared" si="42"/>
        <v>5.8108892370949948E-5</v>
      </c>
      <c r="AR112">
        <f t="shared" si="43"/>
        <v>1.1066120602169998E-5</v>
      </c>
      <c r="AS112">
        <f t="shared" si="44"/>
        <v>25.548408735521864</v>
      </c>
      <c r="AT112">
        <f t="shared" si="45"/>
        <v>13.152875171500526</v>
      </c>
      <c r="AU112">
        <f t="shared" si="46"/>
        <v>3.5457078447209747</v>
      </c>
      <c r="AV112">
        <f t="shared" si="47"/>
        <v>0.29257603041084135</v>
      </c>
      <c r="AW112">
        <f t="shared" si="48"/>
        <v>1.1866585691912887E-2</v>
      </c>
      <c r="AX112">
        <f t="shared" si="49"/>
        <v>0.29257602252564491</v>
      </c>
      <c r="AY112">
        <f t="shared" si="50"/>
        <v>7.885196440238218E-9</v>
      </c>
      <c r="AZ112">
        <f t="shared" si="51"/>
        <v>1189751.8930438254</v>
      </c>
      <c r="BA112">
        <f t="shared" si="52"/>
        <v>1.5139289917412465E-5</v>
      </c>
      <c r="BB112" s="15">
        <f t="shared" si="53"/>
        <v>4615883.0428416999</v>
      </c>
      <c r="BC112" s="20">
        <f t="shared" si="54"/>
        <v>38390.038935449906</v>
      </c>
      <c r="BD112" s="19">
        <f t="shared" si="55"/>
        <v>0.83866952724317378</v>
      </c>
      <c r="BE112" s="15">
        <v>4542609.5999999996</v>
      </c>
      <c r="BF112" s="16">
        <f>テーブル2[[#This Row],[q_P]]/テーブル2[[#This Row],[q_M]]</f>
        <v>1.016130253157062</v>
      </c>
      <c r="BG112">
        <v>1</v>
      </c>
      <c r="BH112">
        <v>-4.7E-2</v>
      </c>
      <c r="BI112">
        <v>4.5999999999999999E-2</v>
      </c>
      <c r="BJ112">
        <v>5625</v>
      </c>
      <c r="BK112" s="22">
        <v>1</v>
      </c>
      <c r="BL112">
        <f>テーブル2[[#This Row],[Ts]]-テーブル2[[#This Row],[Tin]]</f>
        <v>120.60519154958303</v>
      </c>
      <c r="BM112">
        <f>テーブル2[[#This Row],[q_P]]*0.000001</f>
        <v>4.6158830428416993</v>
      </c>
      <c r="BN112">
        <f>テーブル2[[#This Row],[Tsub]]</f>
        <v>120.60519154958303</v>
      </c>
      <c r="BO112">
        <f>テーブル2[[#This Row],[Fcorr]]</f>
        <v>1</v>
      </c>
      <c r="BP112">
        <f>(テーブル2[[#This Row],[Tsub]]-40)^2</f>
        <v>6497.1969047449711</v>
      </c>
      <c r="BQ112">
        <v>1</v>
      </c>
      <c r="BR112">
        <v>0.15240000000000001</v>
      </c>
    </row>
    <row r="113" spans="1:70" x14ac:dyDescent="0.15">
      <c r="A113" s="9" t="s">
        <v>181</v>
      </c>
      <c r="B113">
        <v>12065825.263044599</v>
      </c>
      <c r="C113" s="22">
        <f t="array" ref="C113">TsatFromP(テーブル2[[#This Row],[P]])</f>
        <v>598.16775841223</v>
      </c>
      <c r="D113">
        <f t="array" ref="D113">RhoGFromP(テーブル2[[#This Row],[P]])</f>
        <v>70.719127092772837</v>
      </c>
      <c r="E113">
        <f t="array" ref="E113">RhoFFromP(テーブル2[[#This Row],[P]])</f>
        <v>654.05698086006123</v>
      </c>
      <c r="F113">
        <f t="array" ref="F113">HgFromP(テーブル2[[#This Row],[P]])</f>
        <v>2683685.0883769058</v>
      </c>
      <c r="G113">
        <f t="array" ref="G113">HfFromP(テーブル2[[#This Row],[P]])</f>
        <v>1493933.1953330804</v>
      </c>
      <c r="H113">
        <f t="array" ref="H113">MuGFromP(テーブル2[[#This Row],[P]])</f>
        <v>2.1145404359092259E-5</v>
      </c>
      <c r="I113">
        <f t="array" ref="I113">MuFFromP(テーブル2[[#This Row],[P]])</f>
        <v>7.6371158483287791E-5</v>
      </c>
      <c r="J113">
        <f t="array" ref="J113">KfFromP(テーブル2[[#This Row],[P]])</f>
        <v>0.51093471001103663</v>
      </c>
      <c r="K113">
        <f t="array" ref="K113">CpFFromP(テーブル2[[#This Row],[P]])</f>
        <v>6848.0719740579098</v>
      </c>
      <c r="L113">
        <f t="array" ref="L113">SigmaFromP(テーブル2[[#This Row],[P]])</f>
        <v>8.6953190176285583E-3</v>
      </c>
      <c r="M113">
        <v>112</v>
      </c>
      <c r="N113">
        <v>2590.3991070810098</v>
      </c>
      <c r="O113" s="8">
        <f t="shared" si="56"/>
        <v>2.8502295699234246E-6</v>
      </c>
      <c r="P113" s="8">
        <f t="shared" si="57"/>
        <v>5.9847340050885557E-3</v>
      </c>
      <c r="Q113" s="8">
        <v>1.905E-3</v>
      </c>
      <c r="R113">
        <v>0.15240000000000001</v>
      </c>
      <c r="S113" s="15">
        <v>4093466.7398437499</v>
      </c>
      <c r="T113">
        <v>490.87515158354</v>
      </c>
      <c r="U113" s="12">
        <f>+T113+BG113*S113*テーブル2[[#This Row],[Pw]]*R113/(N113*O113*K113)</f>
        <v>564.71762689197101</v>
      </c>
      <c r="V113">
        <v>0.03</v>
      </c>
      <c r="W113" s="8">
        <f t="shared" si="28"/>
        <v>64614.841479315524</v>
      </c>
      <c r="X113">
        <v>3.7064000565584669E-2</v>
      </c>
      <c r="Y113">
        <f t="shared" si="29"/>
        <v>5.194262015671395</v>
      </c>
      <c r="Z113">
        <f t="shared" si="30"/>
        <v>5.1942620358384497</v>
      </c>
      <c r="AA113">
        <f t="shared" si="31"/>
        <v>-2.0167054692876718E-8</v>
      </c>
      <c r="AB113">
        <f t="shared" si="32"/>
        <v>2.195263625188634E-5</v>
      </c>
      <c r="AC113">
        <v>673.41935335890116</v>
      </c>
      <c r="AD113">
        <f t="shared" si="33"/>
        <v>2199.0415788359164</v>
      </c>
      <c r="AE113">
        <f>+gettm2(AD113,AC113,AK113,AL113,テーブル2[[#This Row],[Fcorr]])</f>
        <v>564.71762689197089</v>
      </c>
      <c r="AF113" s="14">
        <f t="shared" si="34"/>
        <v>0</v>
      </c>
      <c r="AG113">
        <v>2.2032772056932751E-5</v>
      </c>
      <c r="AH113">
        <f t="shared" si="35"/>
        <v>47.531342939541787</v>
      </c>
      <c r="AI113">
        <f t="shared" si="36"/>
        <v>0.26957663617182098</v>
      </c>
      <c r="AJ113">
        <f t="shared" si="37"/>
        <v>50.867172546151451</v>
      </c>
      <c r="AK113">
        <f t="array" ref="AK113">+S113*テーブル2[[#This Row],[F_form]]/(E113*CpFromTP((テーブル2[[#This Row],[Tin]]+テーブル2[[#This Row],[Tf]])/2,テーブル2[[#This Row],[P]])*AI113)</f>
        <v>4.8567369599826309</v>
      </c>
      <c r="AL113">
        <f t="shared" si="38"/>
        <v>1.023604738117011</v>
      </c>
      <c r="AM113">
        <f t="shared" si="39"/>
        <v>598.16775829606479</v>
      </c>
      <c r="AN113">
        <f t="shared" si="40"/>
        <v>1.1616521078394726E-7</v>
      </c>
      <c r="AO113">
        <f t="shared" si="41"/>
        <v>8.0135805046410263E-8</v>
      </c>
      <c r="AP113">
        <v>3.837189386066441</v>
      </c>
      <c r="AQ113">
        <f t="shared" si="42"/>
        <v>5.8142046125541226E-5</v>
      </c>
      <c r="AR113">
        <f t="shared" si="43"/>
        <v>1.105645393098958E-5</v>
      </c>
      <c r="AS113">
        <f t="shared" si="44"/>
        <v>25.526091242761051</v>
      </c>
      <c r="AT113">
        <f t="shared" si="45"/>
        <v>13.148505575285059</v>
      </c>
      <c r="AU113">
        <f t="shared" si="46"/>
        <v>3.5445299036717799</v>
      </c>
      <c r="AV113">
        <f t="shared" si="47"/>
        <v>0.29265948239466111</v>
      </c>
      <c r="AW113">
        <f t="shared" si="48"/>
        <v>1.1866585691912887E-2</v>
      </c>
      <c r="AX113">
        <f t="shared" si="49"/>
        <v>0.29265947455921093</v>
      </c>
      <c r="AY113">
        <f t="shared" si="50"/>
        <v>7.8354501775734775E-9</v>
      </c>
      <c r="AZ113">
        <f t="shared" si="51"/>
        <v>1189751.8930438254</v>
      </c>
      <c r="BA113">
        <f t="shared" si="52"/>
        <v>1.5152248241034433E-5</v>
      </c>
      <c r="BB113" s="15">
        <f t="shared" si="53"/>
        <v>4115489.6821276373</v>
      </c>
      <c r="BC113" s="20">
        <f t="shared" si="54"/>
        <v>22022.942283887416</v>
      </c>
      <c r="BD113" s="19">
        <f t="shared" si="55"/>
        <v>0.53800222851518875</v>
      </c>
      <c r="BE113" s="15">
        <v>3974783.4</v>
      </c>
      <c r="BF113" s="16">
        <f>テーブル2[[#This Row],[q_P]]/テーブル2[[#This Row],[q_M]]</f>
        <v>1.0353997357762028</v>
      </c>
      <c r="BG113">
        <v>1</v>
      </c>
      <c r="BH113">
        <v>-5.6000000000000001E-2</v>
      </c>
      <c r="BI113">
        <v>4.5999999999999999E-2</v>
      </c>
      <c r="BJ113">
        <v>5625</v>
      </c>
      <c r="BK113" s="22">
        <v>1</v>
      </c>
      <c r="BL113">
        <f>テーブル2[[#This Row],[Ts]]-テーブル2[[#This Row],[Tin]]</f>
        <v>107.29260682869</v>
      </c>
      <c r="BM113">
        <f>テーブル2[[#This Row],[q_P]]*0.000001</f>
        <v>4.1154896821276372</v>
      </c>
      <c r="BN113">
        <f>テーブル2[[#This Row],[Tsub]]</f>
        <v>107.29260682869</v>
      </c>
      <c r="BO113">
        <f>テーブル2[[#This Row],[Fcorr]]</f>
        <v>1</v>
      </c>
      <c r="BP113">
        <f>(テーブル2[[#This Row],[Tsub]]-40)^2</f>
        <v>4528.2949338006556</v>
      </c>
      <c r="BQ113">
        <v>1</v>
      </c>
      <c r="BR113">
        <v>0.15240000000000001</v>
      </c>
    </row>
    <row r="114" spans="1:70" x14ac:dyDescent="0.15">
      <c r="A114" s="9" t="s">
        <v>182</v>
      </c>
      <c r="B114">
        <v>12065825.263044599</v>
      </c>
      <c r="C114" s="22">
        <f t="array" ref="C114">TsatFromP(テーブル2[[#This Row],[P]])</f>
        <v>598.16775841223</v>
      </c>
      <c r="D114">
        <f t="array" ref="D114">RhoGFromP(テーブル2[[#This Row],[P]])</f>
        <v>70.719127092772837</v>
      </c>
      <c r="E114">
        <f t="array" ref="E114">RhoFFromP(テーブル2[[#This Row],[P]])</f>
        <v>654.05698086006123</v>
      </c>
      <c r="F114">
        <f t="array" ref="F114">HgFromP(テーブル2[[#This Row],[P]])</f>
        <v>2683685.0883769058</v>
      </c>
      <c r="G114">
        <f t="array" ref="G114">HfFromP(テーブル2[[#This Row],[P]])</f>
        <v>1493933.1953330804</v>
      </c>
      <c r="H114">
        <f t="array" ref="H114">MuGFromP(テーブル2[[#This Row],[P]])</f>
        <v>2.1145404359092259E-5</v>
      </c>
      <c r="I114">
        <f t="array" ref="I114">MuFFromP(テーブル2[[#This Row],[P]])</f>
        <v>7.6371158483287791E-5</v>
      </c>
      <c r="J114">
        <f t="array" ref="J114">KfFromP(テーブル2[[#This Row],[P]])</f>
        <v>0.51093471001103663</v>
      </c>
      <c r="K114">
        <f t="array" ref="K114">CpFFromP(テーブル2[[#This Row],[P]])</f>
        <v>6848.0719740579098</v>
      </c>
      <c r="L114">
        <f t="array" ref="L114">SigmaFromP(テーブル2[[#This Row],[P]])</f>
        <v>8.6953190176285583E-3</v>
      </c>
      <c r="M114">
        <v>113</v>
      </c>
      <c r="N114">
        <v>3200.7025616288902</v>
      </c>
      <c r="O114" s="8">
        <f t="shared" si="56"/>
        <v>2.8502295699234246E-6</v>
      </c>
      <c r="P114" s="8">
        <f t="shared" si="57"/>
        <v>5.9847340050885557E-3</v>
      </c>
      <c r="Q114" s="8">
        <v>1.905E-3</v>
      </c>
      <c r="R114">
        <v>0.15240000000000001</v>
      </c>
      <c r="S114" s="15">
        <v>6357331.34765625</v>
      </c>
      <c r="T114">
        <v>453.64790590713602</v>
      </c>
      <c r="U114" s="12">
        <f>+T114+BG114*S114*テーブル2[[#This Row],[Pw]]*R114/(N114*O114*K114)</f>
        <v>546.4614149177321</v>
      </c>
      <c r="V114">
        <v>0.03</v>
      </c>
      <c r="W114" s="8">
        <f t="shared" si="28"/>
        <v>79838.233450881977</v>
      </c>
      <c r="X114">
        <v>3.3515797014276462E-2</v>
      </c>
      <c r="Y114">
        <f t="shared" si="29"/>
        <v>5.4622959187728934</v>
      </c>
      <c r="Z114">
        <f t="shared" si="30"/>
        <v>5.4622959290082331</v>
      </c>
      <c r="AA114">
        <f t="shared" si="31"/>
        <v>-1.0235339686914813E-8</v>
      </c>
      <c r="AB114">
        <f t="shared" si="32"/>
        <v>1.5901282462099238E-5</v>
      </c>
      <c r="AC114">
        <v>699.64097322901466</v>
      </c>
      <c r="AD114">
        <f t="shared" si="33"/>
        <v>2583.81077803982</v>
      </c>
      <c r="AE114">
        <f>+gettm2(AD114,AC114,AK114,AL114,テーブル2[[#This Row],[Fcorr]])</f>
        <v>546.46141591414175</v>
      </c>
      <c r="AF114" s="14">
        <f t="shared" si="34"/>
        <v>9.9640965345315635E-7</v>
      </c>
      <c r="AG114">
        <v>1.5993657290192679E-5</v>
      </c>
      <c r="AH114">
        <f t="shared" si="35"/>
        <v>65.619756431751057</v>
      </c>
      <c r="AI114">
        <f t="shared" si="36"/>
        <v>0.31674481499216933</v>
      </c>
      <c r="AJ114">
        <f t="shared" si="37"/>
        <v>43.385390117244079</v>
      </c>
      <c r="AK114">
        <f t="array" ref="AK114">+S114*テーブル2[[#This Row],[F_form]]/(E114*CpFromTP((テーブル2[[#This Row],[Tin]]+テーブル2[[#This Row],[Tf]])/2,テーブル2[[#This Row],[P]])*AI114)</f>
        <v>6.7216238866612184</v>
      </c>
      <c r="AL114">
        <f t="shared" si="38"/>
        <v>1.023604738117011</v>
      </c>
      <c r="AM114">
        <f t="shared" si="39"/>
        <v>598.16775839742627</v>
      </c>
      <c r="AN114">
        <f t="shared" si="40"/>
        <v>1.4803731573920231E-8</v>
      </c>
      <c r="AO114">
        <f t="shared" si="41"/>
        <v>9.2374828093441197E-8</v>
      </c>
      <c r="AP114">
        <v>4.2281964881233698</v>
      </c>
      <c r="AQ114">
        <f t="shared" si="42"/>
        <v>4.7885768101605845E-5</v>
      </c>
      <c r="AR114">
        <f t="shared" si="43"/>
        <v>8.0430160591430603E-6</v>
      </c>
      <c r="AS114">
        <f t="shared" si="44"/>
        <v>21.817985912400207</v>
      </c>
      <c r="AT114">
        <f t="shared" si="45"/>
        <v>12.363673357441593</v>
      </c>
      <c r="AU114">
        <f t="shared" si="46"/>
        <v>3.9161294302264507</v>
      </c>
      <c r="AV114">
        <f t="shared" si="47"/>
        <v>0.31206705789691913</v>
      </c>
      <c r="AW114">
        <f t="shared" si="48"/>
        <v>8.5955020974575712E-3</v>
      </c>
      <c r="AX114">
        <f t="shared" si="49"/>
        <v>0.31206705782268623</v>
      </c>
      <c r="AY114">
        <f t="shared" si="50"/>
        <v>7.4232897606663073E-11</v>
      </c>
      <c r="AZ114">
        <f t="shared" si="51"/>
        <v>1189751.8930438254</v>
      </c>
      <c r="BA114">
        <f t="shared" si="52"/>
        <v>1.1325341250368267E-5</v>
      </c>
      <c r="BB114" s="15">
        <f t="shared" si="53"/>
        <v>6347085.317598233</v>
      </c>
      <c r="BC114" s="20">
        <f t="shared" si="54"/>
        <v>-10246.030058017001</v>
      </c>
      <c r="BD114" s="19">
        <f t="shared" si="55"/>
        <v>-0.16116872784669925</v>
      </c>
      <c r="BE114" s="15">
        <v>6561547.1999999993</v>
      </c>
      <c r="BF114" s="16">
        <f>テーブル2[[#This Row],[q_P]]/テーブル2[[#This Row],[q_M]]</f>
        <v>0.96731534867237312</v>
      </c>
      <c r="BG114">
        <v>1</v>
      </c>
      <c r="BH114">
        <v>-5.6000000000000001E-2</v>
      </c>
      <c r="BI114">
        <v>4.5999999999999999E-2</v>
      </c>
      <c r="BJ114">
        <v>5625</v>
      </c>
      <c r="BK114" s="22">
        <v>1</v>
      </c>
      <c r="BL114">
        <f>テーブル2[[#This Row],[Ts]]-テーブル2[[#This Row],[Tin]]</f>
        <v>144.51985250509398</v>
      </c>
      <c r="BM114">
        <f>テーブル2[[#This Row],[q_P]]*0.000001</f>
        <v>6.3470853175982329</v>
      </c>
      <c r="BN114">
        <f>テーブル2[[#This Row],[Tsub]]</f>
        <v>144.51985250509398</v>
      </c>
      <c r="BO114">
        <f>テーブル2[[#This Row],[Fcorr]]</f>
        <v>1</v>
      </c>
      <c r="BP114">
        <f>(テーブル2[[#This Row],[Tsub]]-40)^2</f>
        <v>10924.3995676866</v>
      </c>
      <c r="BQ114">
        <v>1</v>
      </c>
      <c r="BR114">
        <v>0.15240000000000001</v>
      </c>
    </row>
    <row r="115" spans="1:70" x14ac:dyDescent="0.15">
      <c r="A115" s="9" t="s">
        <v>183</v>
      </c>
      <c r="B115">
        <v>12065825.263044599</v>
      </c>
      <c r="C115" s="22">
        <f t="array" ref="C115">TsatFromP(テーブル2[[#This Row],[P]])</f>
        <v>598.16775841223</v>
      </c>
      <c r="D115">
        <f t="array" ref="D115">RhoGFromP(テーブル2[[#This Row],[P]])</f>
        <v>70.719127092772837</v>
      </c>
      <c r="E115">
        <f t="array" ref="E115">RhoFFromP(テーブル2[[#This Row],[P]])</f>
        <v>654.05698086006123</v>
      </c>
      <c r="F115">
        <f t="array" ref="F115">HgFromP(テーブル2[[#This Row],[P]])</f>
        <v>2683685.0883769058</v>
      </c>
      <c r="G115">
        <f t="array" ref="G115">HfFromP(テーブル2[[#This Row],[P]])</f>
        <v>1493933.1953330804</v>
      </c>
      <c r="H115">
        <f t="array" ref="H115">MuGFromP(テーブル2[[#This Row],[P]])</f>
        <v>2.1145404359092259E-5</v>
      </c>
      <c r="I115">
        <f t="array" ref="I115">MuFFromP(テーブル2[[#This Row],[P]])</f>
        <v>7.6371158483287791E-5</v>
      </c>
      <c r="J115">
        <f t="array" ref="J115">KfFromP(テーブル2[[#This Row],[P]])</f>
        <v>0.51093471001103663</v>
      </c>
      <c r="K115">
        <f t="array" ref="K115">CpFFromP(テーブル2[[#This Row],[P]])</f>
        <v>6848.0719740579098</v>
      </c>
      <c r="L115">
        <f t="array" ref="L115">SigmaFromP(テーブル2[[#This Row],[P]])</f>
        <v>8.6953190176285583E-3</v>
      </c>
      <c r="M115">
        <v>114</v>
      </c>
      <c r="N115">
        <v>3200.7025616288902</v>
      </c>
      <c r="O115" s="8">
        <f t="shared" si="56"/>
        <v>2.8502295699234246E-6</v>
      </c>
      <c r="P115" s="8">
        <f t="shared" si="57"/>
        <v>5.9847340050885557E-3</v>
      </c>
      <c r="Q115" s="8">
        <v>1.905E-3</v>
      </c>
      <c r="R115">
        <v>0.15240000000000001</v>
      </c>
      <c r="S115" s="15">
        <v>4883532.71484375</v>
      </c>
      <c r="T115">
        <v>488.66227888857202</v>
      </c>
      <c r="U115" s="12">
        <f>+T115+BG115*S115*テーブル2[[#This Row],[Pw]]*R115/(N115*O115*K115)</f>
        <v>559.95914589862537</v>
      </c>
      <c r="V115">
        <v>0.03</v>
      </c>
      <c r="W115" s="8">
        <f t="shared" si="28"/>
        <v>79838.233450881977</v>
      </c>
      <c r="X115">
        <v>3.3515797014276462E-2</v>
      </c>
      <c r="Y115">
        <f t="shared" si="29"/>
        <v>5.4622959187728934</v>
      </c>
      <c r="Z115">
        <f t="shared" si="30"/>
        <v>5.4622959290082331</v>
      </c>
      <c r="AA115">
        <f t="shared" si="31"/>
        <v>-1.0235339686914813E-8</v>
      </c>
      <c r="AB115">
        <f t="shared" si="32"/>
        <v>1.5901282462099238E-5</v>
      </c>
      <c r="AC115">
        <v>673.10301178076327</v>
      </c>
      <c r="AD115">
        <f t="shared" si="33"/>
        <v>2583.81077803982</v>
      </c>
      <c r="AE115">
        <f>+gettm2(AD115,AC115,AK115,AL115,テーブル2[[#This Row],[Fcorr]])</f>
        <v>559.95914589862514</v>
      </c>
      <c r="AF115" s="14">
        <f t="shared" si="34"/>
        <v>0</v>
      </c>
      <c r="AG115">
        <v>1.5972448838284978E-5</v>
      </c>
      <c r="AH115">
        <f t="shared" si="35"/>
        <v>65.619756431751057</v>
      </c>
      <c r="AI115">
        <f t="shared" si="36"/>
        <v>0.31674481499216933</v>
      </c>
      <c r="AJ115">
        <f t="shared" si="37"/>
        <v>43.327858750709005</v>
      </c>
      <c r="AK115">
        <f t="array" ref="AK115">+S115*テーブル2[[#This Row],[F_form]]/(E115*CpFromTP((テーブル2[[#This Row],[Tin]]+テーブル2[[#This Row],[Tf]])/2,テーブル2[[#This Row],[P]])*AI115)</f>
        <v>4.9648303264076112</v>
      </c>
      <c r="AL115">
        <f t="shared" si="38"/>
        <v>1.023604738117011</v>
      </c>
      <c r="AM115">
        <f t="shared" si="39"/>
        <v>598.16775839063894</v>
      </c>
      <c r="AN115">
        <f t="shared" si="40"/>
        <v>2.1591063159576152E-8</v>
      </c>
      <c r="AO115">
        <f t="shared" si="41"/>
        <v>7.1166376185740195E-8</v>
      </c>
      <c r="AP115">
        <v>4.2243025472005149</v>
      </c>
      <c r="AQ115">
        <f t="shared" si="42"/>
        <v>4.7974090512655475E-5</v>
      </c>
      <c r="AR115">
        <f t="shared" si="43"/>
        <v>8.0218076072353593E-6</v>
      </c>
      <c r="AS115">
        <f t="shared" si="44"/>
        <v>21.76045454586513</v>
      </c>
      <c r="AT115">
        <f t="shared" si="45"/>
        <v>12.350471554129353</v>
      </c>
      <c r="AU115">
        <f t="shared" si="46"/>
        <v>3.9119478274787518</v>
      </c>
      <c r="AV115">
        <f t="shared" si="47"/>
        <v>0.3123547197217631</v>
      </c>
      <c r="AW115">
        <f t="shared" si="48"/>
        <v>8.5955020974575712E-3</v>
      </c>
      <c r="AX115">
        <f t="shared" si="49"/>
        <v>0.31235471967302791</v>
      </c>
      <c r="AY115">
        <f t="shared" si="50"/>
        <v>4.873518255621434E-11</v>
      </c>
      <c r="AZ115">
        <f t="shared" si="51"/>
        <v>1189751.8930438254</v>
      </c>
      <c r="BA115">
        <f t="shared" si="52"/>
        <v>1.1356689057332874E-5</v>
      </c>
      <c r="BB115" s="15">
        <f t="shared" si="53"/>
        <v>4876352.662653842</v>
      </c>
      <c r="BC115" s="20">
        <f t="shared" si="54"/>
        <v>-7180.0521899079904</v>
      </c>
      <c r="BD115" s="19">
        <f t="shared" si="55"/>
        <v>-0.14702578254639007</v>
      </c>
      <c r="BE115" s="15">
        <v>5205073.5</v>
      </c>
      <c r="BF115" s="16">
        <f>テーブル2[[#This Row],[q_P]]/テーブル2[[#This Row],[q_M]]</f>
        <v>0.93684607194381442</v>
      </c>
      <c r="BG115">
        <v>1</v>
      </c>
      <c r="BH115">
        <v>-0.04</v>
      </c>
      <c r="BI115">
        <v>4.5999999999999999E-2</v>
      </c>
      <c r="BJ115">
        <v>5625</v>
      </c>
      <c r="BK115" s="22">
        <v>1</v>
      </c>
      <c r="BL115">
        <f>テーブル2[[#This Row],[Ts]]-テーブル2[[#This Row],[Tin]]</f>
        <v>109.50547952365798</v>
      </c>
      <c r="BM115">
        <f>テーブル2[[#This Row],[q_P]]*0.000001</f>
        <v>4.8763526626538418</v>
      </c>
      <c r="BN115">
        <f>テーブル2[[#This Row],[Tsub]]</f>
        <v>109.50547952365798</v>
      </c>
      <c r="BO115">
        <f>テーブル2[[#This Row],[Fcorr]]</f>
        <v>1</v>
      </c>
      <c r="BP115">
        <f>(テーブル2[[#This Row],[Tsub]]-40)^2</f>
        <v>4831.0116838136391</v>
      </c>
      <c r="BQ115">
        <v>1</v>
      </c>
      <c r="BR115">
        <v>0.15240000000000001</v>
      </c>
    </row>
    <row r="116" spans="1:70" x14ac:dyDescent="0.15">
      <c r="A116" s="9" t="s">
        <v>184</v>
      </c>
      <c r="B116">
        <v>12065825.263044599</v>
      </c>
      <c r="C116" s="22">
        <f t="array" ref="C116">TsatFromP(テーブル2[[#This Row],[P]])</f>
        <v>598.16775841223</v>
      </c>
      <c r="D116">
        <f t="array" ref="D116">RhoGFromP(テーブル2[[#This Row],[P]])</f>
        <v>70.719127092772837</v>
      </c>
      <c r="E116">
        <f t="array" ref="E116">RhoFFromP(テーブル2[[#This Row],[P]])</f>
        <v>654.05698086006123</v>
      </c>
      <c r="F116">
        <f t="array" ref="F116">HgFromP(テーブル2[[#This Row],[P]])</f>
        <v>2683685.0883769058</v>
      </c>
      <c r="G116">
        <f t="array" ref="G116">HfFromP(テーブル2[[#This Row],[P]])</f>
        <v>1493933.1953330804</v>
      </c>
      <c r="H116">
        <f t="array" ref="H116">MuGFromP(テーブル2[[#This Row],[P]])</f>
        <v>2.1145404359092259E-5</v>
      </c>
      <c r="I116">
        <f t="array" ref="I116">MuFFromP(テーブル2[[#This Row],[P]])</f>
        <v>7.6371158483287791E-5</v>
      </c>
      <c r="J116">
        <f t="array" ref="J116">KfFromP(テーブル2[[#This Row],[P]])</f>
        <v>0.51093471001103663</v>
      </c>
      <c r="K116">
        <f t="array" ref="K116">CpFFromP(テーブル2[[#This Row],[P]])</f>
        <v>6848.0719740579098</v>
      </c>
      <c r="L116">
        <f t="array" ref="L116">SigmaFromP(テーブル2[[#This Row],[P]])</f>
        <v>8.6953190176285583E-3</v>
      </c>
      <c r="M116">
        <v>115</v>
      </c>
      <c r="N116">
        <v>3200.7025616288902</v>
      </c>
      <c r="O116" s="8">
        <f t="shared" si="56"/>
        <v>2.8502295699234246E-6</v>
      </c>
      <c r="P116" s="8">
        <f t="shared" si="57"/>
        <v>5.9847340050885557E-3</v>
      </c>
      <c r="Q116" s="8">
        <v>1.905E-3</v>
      </c>
      <c r="R116">
        <v>0.15240000000000001</v>
      </c>
      <c r="S116" s="15">
        <v>4953449.27734375</v>
      </c>
      <c r="T116">
        <v>487.01157338752699</v>
      </c>
      <c r="U116" s="12">
        <f>+T116+BG116*S116*テーブル2[[#This Row],[Pw]]*R116/(N116*O116*K116)</f>
        <v>559.32918340257982</v>
      </c>
      <c r="V116">
        <v>0.03</v>
      </c>
      <c r="W116" s="8">
        <f t="shared" si="28"/>
        <v>79838.233450881977</v>
      </c>
      <c r="X116">
        <v>3.3515797014276462E-2</v>
      </c>
      <c r="Y116">
        <f t="shared" si="29"/>
        <v>5.4622959187728934</v>
      </c>
      <c r="Z116">
        <f t="shared" si="30"/>
        <v>5.4622959290082331</v>
      </c>
      <c r="AA116">
        <f t="shared" si="31"/>
        <v>-1.0235339686914813E-8</v>
      </c>
      <c r="AB116">
        <f t="shared" si="32"/>
        <v>1.5901282462099238E-5</v>
      </c>
      <c r="AC116">
        <v>674.33957684745451</v>
      </c>
      <c r="AD116">
        <f t="shared" si="33"/>
        <v>2583.81077803982</v>
      </c>
      <c r="AE116">
        <f>+gettm2(AD116,AC116,AK116,AL116,テーブル2[[#This Row],[Fcorr]])</f>
        <v>559.32918414597555</v>
      </c>
      <c r="AF116" s="14">
        <f t="shared" si="34"/>
        <v>7.4339573075121734E-7</v>
      </c>
      <c r="AG116">
        <v>1.5972908620923109E-5</v>
      </c>
      <c r="AH116">
        <f t="shared" si="35"/>
        <v>65.619756431751057</v>
      </c>
      <c r="AI116">
        <f t="shared" si="36"/>
        <v>0.31674481499216933</v>
      </c>
      <c r="AJ116">
        <f t="shared" si="37"/>
        <v>43.329105985707386</v>
      </c>
      <c r="AK116">
        <f t="array" ref="AK116">+S116*テーブル2[[#This Row],[F_form]]/(E116*CpFromTP((テーブル2[[#This Row],[Tin]]+テーブル2[[#This Row],[Tf]])/2,テーブル2[[#This Row],[P]])*AI116)</f>
        <v>5.0467348016123861</v>
      </c>
      <c r="AL116">
        <f t="shared" si="38"/>
        <v>1.023604738117011</v>
      </c>
      <c r="AM116">
        <f t="shared" si="39"/>
        <v>598.16775839050206</v>
      </c>
      <c r="AN116">
        <f t="shared" si="40"/>
        <v>2.1727942112192977E-8</v>
      </c>
      <c r="AO116">
        <f t="shared" si="41"/>
        <v>7.1626158823870513E-8</v>
      </c>
      <c r="AP116">
        <v>4.2243870686709588</v>
      </c>
      <c r="AQ116">
        <f t="shared" si="42"/>
        <v>4.7972170802154125E-5</v>
      </c>
      <c r="AR116">
        <f t="shared" si="43"/>
        <v>8.0222673898734896E-6</v>
      </c>
      <c r="AS116">
        <f t="shared" si="44"/>
        <v>21.761701780863511</v>
      </c>
      <c r="AT116">
        <f t="shared" si="45"/>
        <v>12.350758128854501</v>
      </c>
      <c r="AU116">
        <f t="shared" si="46"/>
        <v>3.9120385985370505</v>
      </c>
      <c r="AV116">
        <f t="shared" si="47"/>
        <v>0.31234847013390832</v>
      </c>
      <c r="AW116">
        <f t="shared" si="48"/>
        <v>8.5955020974575712E-3</v>
      </c>
      <c r="AX116">
        <f t="shared" si="49"/>
        <v>0.3123484700846787</v>
      </c>
      <c r="AY116">
        <f t="shared" si="50"/>
        <v>4.9229620380231154E-11</v>
      </c>
      <c r="AZ116">
        <f t="shared" si="51"/>
        <v>1189751.8930438254</v>
      </c>
      <c r="BA116">
        <f t="shared" si="52"/>
        <v>1.1356007397600222E-5</v>
      </c>
      <c r="BB116" s="15">
        <f t="shared" si="53"/>
        <v>4908151.7801972842</v>
      </c>
      <c r="BC116" s="20">
        <f t="shared" si="54"/>
        <v>-45297.497146465816</v>
      </c>
      <c r="BD116" s="19">
        <f t="shared" si="55"/>
        <v>-0.91446373244698409</v>
      </c>
      <c r="BE116" s="15">
        <v>5394348.8999999994</v>
      </c>
      <c r="BF116" s="16">
        <f>テーブル2[[#This Row],[q_P]]/テーブル2[[#This Row],[q_M]]</f>
        <v>0.90986917442386506</v>
      </c>
      <c r="BG116">
        <v>1</v>
      </c>
      <c r="BH116">
        <v>-0.03</v>
      </c>
      <c r="BI116">
        <v>4.5999999999999999E-2</v>
      </c>
      <c r="BJ116">
        <v>5625</v>
      </c>
      <c r="BK116" s="22">
        <v>1</v>
      </c>
      <c r="BL116">
        <f>テーブル2[[#This Row],[Ts]]-テーブル2[[#This Row],[Tin]]</f>
        <v>111.15618502470301</v>
      </c>
      <c r="BM116">
        <f>テーブル2[[#This Row],[q_P]]*0.000001</f>
        <v>4.9081517801972838</v>
      </c>
      <c r="BN116">
        <f>テーブル2[[#This Row],[Tsub]]</f>
        <v>111.15618502470301</v>
      </c>
      <c r="BO116">
        <f>テーブル2[[#This Row],[Fcorr]]</f>
        <v>1</v>
      </c>
      <c r="BP116">
        <f>(テーブル2[[#This Row],[Tsub]]-40)^2</f>
        <v>5063.2026672697684</v>
      </c>
      <c r="BQ116">
        <v>1</v>
      </c>
      <c r="BR116">
        <v>0.15240000000000001</v>
      </c>
    </row>
    <row r="117" spans="1:70" x14ac:dyDescent="0.15">
      <c r="A117" s="9" t="s">
        <v>185</v>
      </c>
      <c r="B117">
        <v>12065825.263044599</v>
      </c>
      <c r="C117" s="22">
        <f t="array" ref="C117">TsatFromP(テーブル2[[#This Row],[P]])</f>
        <v>598.16775841223</v>
      </c>
      <c r="D117">
        <f t="array" ref="D117">RhoGFromP(テーブル2[[#This Row],[P]])</f>
        <v>70.719127092772837</v>
      </c>
      <c r="E117">
        <f t="array" ref="E117">RhoFFromP(テーブル2[[#This Row],[P]])</f>
        <v>654.05698086006123</v>
      </c>
      <c r="F117">
        <f t="array" ref="F117">HgFromP(テーブル2[[#This Row],[P]])</f>
        <v>2683685.0883769058</v>
      </c>
      <c r="G117">
        <f t="array" ref="G117">HfFromP(テーブル2[[#This Row],[P]])</f>
        <v>1493933.1953330804</v>
      </c>
      <c r="H117">
        <f t="array" ref="H117">MuGFromP(テーブル2[[#This Row],[P]])</f>
        <v>2.1145404359092259E-5</v>
      </c>
      <c r="I117">
        <f t="array" ref="I117">MuFFromP(テーブル2[[#This Row],[P]])</f>
        <v>7.6371158483287791E-5</v>
      </c>
      <c r="J117">
        <f t="array" ref="J117">KfFromP(テーブル2[[#This Row],[P]])</f>
        <v>0.51093471001103663</v>
      </c>
      <c r="K117">
        <f t="array" ref="K117">CpFFromP(テーブル2[[#This Row],[P]])</f>
        <v>6848.0719740579098</v>
      </c>
      <c r="L117">
        <f t="array" ref="L117">SigmaFromP(テーブル2[[#This Row],[P]])</f>
        <v>8.6953190176285583E-3</v>
      </c>
      <c r="M117">
        <v>116</v>
      </c>
      <c r="N117">
        <v>3200.7025616288902</v>
      </c>
      <c r="O117" s="8">
        <f t="shared" si="56"/>
        <v>2.8502295699234246E-6</v>
      </c>
      <c r="P117" s="8">
        <f t="shared" si="57"/>
        <v>5.9847340050885557E-3</v>
      </c>
      <c r="Q117" s="8">
        <v>1.905E-3</v>
      </c>
      <c r="R117">
        <v>0.15240000000000001</v>
      </c>
      <c r="S117" s="15">
        <v>3264593.3301562499</v>
      </c>
      <c r="T117">
        <v>526.45012634417299</v>
      </c>
      <c r="U117" s="12">
        <f>+T117+BG117*S117*テーブル2[[#This Row],[Pw]]*R117/(N117*O117*K117)</f>
        <v>574.1113769373319</v>
      </c>
      <c r="V117">
        <v>0.03</v>
      </c>
      <c r="W117" s="8">
        <f t="shared" si="28"/>
        <v>79838.233450881977</v>
      </c>
      <c r="X117">
        <v>3.3515797014276462E-2</v>
      </c>
      <c r="Y117">
        <f t="shared" si="29"/>
        <v>5.4622959187728934</v>
      </c>
      <c r="Z117">
        <f t="shared" si="30"/>
        <v>5.4622959290082331</v>
      </c>
      <c r="AA117">
        <f t="shared" si="31"/>
        <v>-1.0235339686914813E-8</v>
      </c>
      <c r="AB117">
        <f t="shared" si="32"/>
        <v>1.5901282462099238E-5</v>
      </c>
      <c r="AC117">
        <v>645.31394943649877</v>
      </c>
      <c r="AD117">
        <f t="shared" si="33"/>
        <v>2583.81077803982</v>
      </c>
      <c r="AE117">
        <f>+gettm2(AD117,AC117,AK117,AL117,テーブル2[[#This Row],[Fcorr]])</f>
        <v>574.11137739047149</v>
      </c>
      <c r="AF117" s="14">
        <f t="shared" si="34"/>
        <v>4.5313959162740503E-7</v>
      </c>
      <c r="AG117">
        <v>1.5949323744599101E-5</v>
      </c>
      <c r="AH117">
        <f t="shared" si="35"/>
        <v>65.619756431751057</v>
      </c>
      <c r="AI117">
        <f t="shared" si="36"/>
        <v>0.31674481499216933</v>
      </c>
      <c r="AJ117">
        <f t="shared" si="37"/>
        <v>43.265128182405853</v>
      </c>
      <c r="AK117">
        <f t="array" ref="AK117">+S117*テーブル2[[#This Row],[F_form]]/(E117*CpFromTP((テーブル2[[#This Row],[Tin]]+テーブル2[[#This Row],[Tf]])/2,テーブル2[[#This Row],[P]])*AI117)</f>
        <v>3.124417627559132</v>
      </c>
      <c r="AL117">
        <f t="shared" si="38"/>
        <v>1.023604738117011</v>
      </c>
      <c r="AM117">
        <f t="shared" si="39"/>
        <v>598.16775839232457</v>
      </c>
      <c r="AN117">
        <f t="shared" si="40"/>
        <v>1.9905428416677751E-8</v>
      </c>
      <c r="AO117">
        <f t="shared" si="41"/>
        <v>4.8041282499862773E-8</v>
      </c>
      <c r="AP117">
        <v>4.2200455202264084</v>
      </c>
      <c r="AQ117">
        <f t="shared" si="42"/>
        <v>4.8070928333356427E-5</v>
      </c>
      <c r="AR117">
        <f t="shared" si="43"/>
        <v>7.9986825135494819E-6</v>
      </c>
      <c r="AS117">
        <f t="shared" si="44"/>
        <v>21.697723977561985</v>
      </c>
      <c r="AT117">
        <f t="shared" si="45"/>
        <v>12.336036846094371</v>
      </c>
      <c r="AU117">
        <f t="shared" si="46"/>
        <v>3.9073757085527459</v>
      </c>
      <c r="AV117">
        <f t="shared" si="47"/>
        <v>0.31266981167366259</v>
      </c>
      <c r="AW117">
        <f t="shared" si="48"/>
        <v>8.5955020974575712E-3</v>
      </c>
      <c r="AX117">
        <f t="shared" si="49"/>
        <v>0.31266981164555863</v>
      </c>
      <c r="AY117">
        <f t="shared" si="50"/>
        <v>2.8103963600756288E-11</v>
      </c>
      <c r="AZ117">
        <f t="shared" si="51"/>
        <v>1189751.8930438254</v>
      </c>
      <c r="BA117">
        <f t="shared" si="52"/>
        <v>1.1391092371623847E-5</v>
      </c>
      <c r="BB117" s="15">
        <f t="shared" si="53"/>
        <v>3281868.7526514092</v>
      </c>
      <c r="BC117" s="20">
        <f t="shared" si="54"/>
        <v>17275.422495159321</v>
      </c>
      <c r="BD117" s="19">
        <f t="shared" si="55"/>
        <v>0.52917532899365716</v>
      </c>
      <c r="BE117" s="15">
        <v>3974783.4</v>
      </c>
      <c r="BF117" s="16">
        <f>テーブル2[[#This Row],[q_P]]/テーブル2[[#This Row],[q_M]]</f>
        <v>0.82567235051132837</v>
      </c>
      <c r="BG117">
        <v>1</v>
      </c>
      <c r="BH117">
        <v>4.0000000000000001E-3</v>
      </c>
      <c r="BI117">
        <v>4.5999999999999999E-2</v>
      </c>
      <c r="BJ117">
        <v>5625</v>
      </c>
      <c r="BK117" s="22">
        <v>1</v>
      </c>
      <c r="BL117">
        <f>テーブル2[[#This Row],[Ts]]-テーブル2[[#This Row],[Tin]]</f>
        <v>71.717632068057014</v>
      </c>
      <c r="BM117">
        <f>テーブル2[[#This Row],[q_P]]*0.000001</f>
        <v>3.281868752651409</v>
      </c>
      <c r="BN117">
        <f>テーブル2[[#This Row],[Tsub]]</f>
        <v>71.717632068057014</v>
      </c>
      <c r="BO117">
        <f>テーブル2[[#This Row],[Fcorr]]</f>
        <v>1</v>
      </c>
      <c r="BP117">
        <f>(テーブル2[[#This Row],[Tsub]]-40)^2</f>
        <v>1006.0081840046387</v>
      </c>
      <c r="BQ117">
        <v>1</v>
      </c>
      <c r="BR117">
        <v>0.15240000000000001</v>
      </c>
    </row>
    <row r="118" spans="1:70" x14ac:dyDescent="0.15">
      <c r="A118" s="9" t="s">
        <v>186</v>
      </c>
      <c r="B118">
        <v>12065825.263044599</v>
      </c>
      <c r="C118" s="22">
        <f t="array" ref="C118">TsatFromP(テーブル2[[#This Row],[P]])</f>
        <v>598.16775841223</v>
      </c>
      <c r="D118">
        <f t="array" ref="D118">RhoGFromP(テーブル2[[#This Row],[P]])</f>
        <v>70.719127092772837</v>
      </c>
      <c r="E118">
        <f t="array" ref="E118">RhoFFromP(テーブル2[[#This Row],[P]])</f>
        <v>654.05698086006123</v>
      </c>
      <c r="F118">
        <f t="array" ref="F118">HgFromP(テーブル2[[#This Row],[P]])</f>
        <v>2683685.0883769058</v>
      </c>
      <c r="G118">
        <f t="array" ref="G118">HfFromP(テーブル2[[#This Row],[P]])</f>
        <v>1493933.1953330804</v>
      </c>
      <c r="H118">
        <f t="array" ref="H118">MuGFromP(テーブル2[[#This Row],[P]])</f>
        <v>2.1145404359092259E-5</v>
      </c>
      <c r="I118">
        <f t="array" ref="I118">MuFFromP(テーブル2[[#This Row],[P]])</f>
        <v>7.6371158483287791E-5</v>
      </c>
      <c r="J118">
        <f t="array" ref="J118">KfFromP(テーブル2[[#This Row],[P]])</f>
        <v>0.51093471001103663</v>
      </c>
      <c r="K118">
        <f t="array" ref="K118">CpFFromP(テーブル2[[#This Row],[P]])</f>
        <v>6848.0719740579098</v>
      </c>
      <c r="L118">
        <f t="array" ref="L118">SigmaFromP(テーブル2[[#This Row],[P]])</f>
        <v>8.6953190176285583E-3</v>
      </c>
      <c r="M118">
        <v>117</v>
      </c>
      <c r="N118">
        <v>3214.26486061884</v>
      </c>
      <c r="O118" s="8">
        <f t="shared" si="56"/>
        <v>2.8502295699234246E-6</v>
      </c>
      <c r="P118" s="8">
        <f t="shared" si="57"/>
        <v>5.9847340050885557E-3</v>
      </c>
      <c r="Q118" s="8">
        <v>1.905E-3</v>
      </c>
      <c r="R118">
        <v>0.15240000000000001</v>
      </c>
      <c r="S118" s="15">
        <v>4947044.5704687508</v>
      </c>
      <c r="T118">
        <v>487.52777357266399</v>
      </c>
      <c r="U118" s="12">
        <f>+T118+BG118*S118*テーブル2[[#This Row],[Pw]]*R118/(N118*O118*K118)</f>
        <v>559.44713536386575</v>
      </c>
      <c r="V118">
        <v>0.03</v>
      </c>
      <c r="W118" s="8">
        <f t="shared" si="28"/>
        <v>80176.531050250036</v>
      </c>
      <c r="X118">
        <v>3.3449932776735442E-2</v>
      </c>
      <c r="Y118">
        <f t="shared" si="29"/>
        <v>5.4676710122319481</v>
      </c>
      <c r="Z118">
        <f t="shared" si="30"/>
        <v>5.4676710211262467</v>
      </c>
      <c r="AA118">
        <f t="shared" si="31"/>
        <v>-8.8942986309348271E-9</v>
      </c>
      <c r="AB118">
        <f t="shared" si="32"/>
        <v>1.5798424110076485E-5</v>
      </c>
      <c r="AC118">
        <v>673.90977288117267</v>
      </c>
      <c r="AD118">
        <f t="shared" si="33"/>
        <v>2592.2083036275662</v>
      </c>
      <c r="AE118">
        <f>+gettm2(AD118,AC118,AK118,AL118,テーブル2[[#This Row],[Fcorr]])</f>
        <v>559.44713536386553</v>
      </c>
      <c r="AF118" s="14">
        <f t="shared" si="34"/>
        <v>0</v>
      </c>
      <c r="AG118">
        <v>1.5870784299300718E-5</v>
      </c>
      <c r="AH118">
        <f t="shared" si="35"/>
        <v>66.046985119857951</v>
      </c>
      <c r="AI118">
        <f t="shared" si="36"/>
        <v>0.31777425287178862</v>
      </c>
      <c r="AJ118">
        <f t="shared" si="37"/>
        <v>43.191998788167282</v>
      </c>
      <c r="AK118">
        <f t="array" ref="AK118">+S118*テーブル2[[#This Row],[F_form]]/(E118*CpFromTP((テーブル2[[#This Row],[Tin]]+テーブル2[[#This Row],[Tf]])/2,テーブル2[[#This Row],[P]])*AI118)</f>
        <v>5.0208940650482798</v>
      </c>
      <c r="AL118">
        <f t="shared" si="38"/>
        <v>1.023604738117011</v>
      </c>
      <c r="AM118">
        <f t="shared" si="39"/>
        <v>598.16775836189913</v>
      </c>
      <c r="AN118">
        <f t="shared" si="40"/>
        <v>5.0330868361925241E-8</v>
      </c>
      <c r="AO118">
        <f t="shared" si="41"/>
        <v>7.2360189224233171E-8</v>
      </c>
      <c r="AP118">
        <v>4.2325922073177296</v>
      </c>
      <c r="AQ118">
        <f t="shared" si="42"/>
        <v>4.7786357113151956E-5</v>
      </c>
      <c r="AR118">
        <f t="shared" si="43"/>
        <v>7.9715722442624758E-6</v>
      </c>
      <c r="AS118">
        <f t="shared" si="44"/>
        <v>21.694462744928323</v>
      </c>
      <c r="AT118">
        <f t="shared" si="45"/>
        <v>12.335285274697275</v>
      </c>
      <c r="AU118">
        <f t="shared" si="46"/>
        <v>3.9198360621273025</v>
      </c>
      <c r="AV118">
        <f t="shared" si="47"/>
        <v>0.31275614519042705</v>
      </c>
      <c r="AW118">
        <f t="shared" si="48"/>
        <v>8.539901602172998E-3</v>
      </c>
      <c r="AX118">
        <f t="shared" si="49"/>
        <v>0.31275614507799537</v>
      </c>
      <c r="AY118">
        <f t="shared" si="50"/>
        <v>1.1243167508112606E-10</v>
      </c>
      <c r="AZ118">
        <f t="shared" si="51"/>
        <v>1189751.8930438254</v>
      </c>
      <c r="BA118">
        <f t="shared" si="52"/>
        <v>1.1290092400239766E-5</v>
      </c>
      <c r="BB118" s="15">
        <f t="shared" si="53"/>
        <v>4987399.8444545949</v>
      </c>
      <c r="BC118" s="20">
        <f t="shared" si="54"/>
        <v>40355.273985844105</v>
      </c>
      <c r="BD118" s="19">
        <f t="shared" si="55"/>
        <v>0.81574510621440166</v>
      </c>
      <c r="BE118" s="15">
        <v>5425894.7999999998</v>
      </c>
      <c r="BF118" s="16">
        <f>テーブル2[[#This Row],[q_P]]/テーブル2[[#This Row],[q_M]]</f>
        <v>0.91918476643789615</v>
      </c>
      <c r="BG118">
        <v>1</v>
      </c>
      <c r="BH118">
        <v>-2.8000000000000001E-2</v>
      </c>
      <c r="BI118">
        <v>4.5999999999999999E-2</v>
      </c>
      <c r="BJ118">
        <v>5625</v>
      </c>
      <c r="BK118" s="22">
        <v>1</v>
      </c>
      <c r="BL118">
        <f>テーブル2[[#This Row],[Ts]]-テーブル2[[#This Row],[Tin]]</f>
        <v>110.63998483956601</v>
      </c>
      <c r="BM118">
        <f>テーブル2[[#This Row],[q_P]]*0.000001</f>
        <v>4.9873998444545951</v>
      </c>
      <c r="BN118">
        <f>テーブル2[[#This Row],[Tsub]]</f>
        <v>110.63998483956601</v>
      </c>
      <c r="BO118">
        <f>テーブル2[[#This Row],[Fcorr]]</f>
        <v>1</v>
      </c>
      <c r="BP118">
        <f>(テーブル2[[#This Row],[Tsub]]-40)^2</f>
        <v>4990.007458134116</v>
      </c>
      <c r="BQ118">
        <v>1</v>
      </c>
      <c r="BR118">
        <v>0.15240000000000001</v>
      </c>
    </row>
    <row r="119" spans="1:70" x14ac:dyDescent="0.15">
      <c r="A119" s="9" t="s">
        <v>187</v>
      </c>
      <c r="B119">
        <v>12065825.263044599</v>
      </c>
      <c r="C119" s="22">
        <f t="array" ref="C119">TsatFromP(テーブル2[[#This Row],[P]])</f>
        <v>598.16775841223</v>
      </c>
      <c r="D119">
        <f t="array" ref="D119">RhoGFromP(テーブル2[[#This Row],[P]])</f>
        <v>70.719127092772837</v>
      </c>
      <c r="E119">
        <f t="array" ref="E119">RhoFFromP(テーブル2[[#This Row],[P]])</f>
        <v>654.05698086006123</v>
      </c>
      <c r="F119">
        <f t="array" ref="F119">HgFromP(テーブル2[[#This Row],[P]])</f>
        <v>2683685.0883769058</v>
      </c>
      <c r="G119">
        <f t="array" ref="G119">HfFromP(テーブル2[[#This Row],[P]])</f>
        <v>1493933.1953330804</v>
      </c>
      <c r="H119">
        <f t="array" ref="H119">MuGFromP(テーブル2[[#This Row],[P]])</f>
        <v>2.1145404359092259E-5</v>
      </c>
      <c r="I119">
        <f t="array" ref="I119">MuFFromP(テーブル2[[#This Row],[P]])</f>
        <v>7.6371158483287791E-5</v>
      </c>
      <c r="J119">
        <f t="array" ref="J119">KfFromP(テーブル2[[#This Row],[P]])</f>
        <v>0.51093471001103663</v>
      </c>
      <c r="K119">
        <f t="array" ref="K119">CpFFromP(テーブル2[[#This Row],[P]])</f>
        <v>6848.0719740579098</v>
      </c>
      <c r="L119">
        <f t="array" ref="L119">SigmaFromP(テーブル2[[#This Row],[P]])</f>
        <v>8.6953190176285583E-3</v>
      </c>
      <c r="M119">
        <v>118</v>
      </c>
      <c r="N119">
        <v>3254.9517575886998</v>
      </c>
      <c r="O119" s="8">
        <f t="shared" si="56"/>
        <v>2.8502295699234246E-6</v>
      </c>
      <c r="P119" s="8">
        <f t="shared" si="57"/>
        <v>5.9847340050885557E-3</v>
      </c>
      <c r="Q119" s="8">
        <v>1.905E-3</v>
      </c>
      <c r="R119">
        <v>0.15240000000000001</v>
      </c>
      <c r="S119" s="15">
        <v>6246432.3570312494</v>
      </c>
      <c r="T119">
        <v>458.12079612380802</v>
      </c>
      <c r="U119" s="12">
        <f>+T119+BG119*S119*テーブル2[[#This Row],[Pw]]*R119/(N119*O119*K119)</f>
        <v>547.79533400455216</v>
      </c>
      <c r="V119">
        <v>0.03</v>
      </c>
      <c r="W119" s="8">
        <f t="shared" si="28"/>
        <v>81191.42384835449</v>
      </c>
      <c r="X119">
        <v>3.3255093087555303E-2</v>
      </c>
      <c r="Y119">
        <f t="shared" si="29"/>
        <v>5.4836650054080129</v>
      </c>
      <c r="Z119">
        <f t="shared" si="30"/>
        <v>5.4836650106196787</v>
      </c>
      <c r="AA119">
        <f t="shared" si="31"/>
        <v>-5.2116657656142706E-9</v>
      </c>
      <c r="AB119">
        <f t="shared" si="32"/>
        <v>1.549619448597549E-5</v>
      </c>
      <c r="AC119">
        <v>695.98221146749358</v>
      </c>
      <c r="AD119">
        <f t="shared" si="33"/>
        <v>2617.3647697636375</v>
      </c>
      <c r="AE119">
        <f>+gettm2(AD119,AC119,AK119,AL119,テーブル2[[#This Row],[Fcorr]])</f>
        <v>547.79533400455205</v>
      </c>
      <c r="AF119" s="14">
        <f t="shared" si="34"/>
        <v>0</v>
      </c>
      <c r="AG119">
        <v>1.5584471376951549E-5</v>
      </c>
      <c r="AH119">
        <f t="shared" si="35"/>
        <v>67.335130767735862</v>
      </c>
      <c r="AI119">
        <f t="shared" si="36"/>
        <v>0.3208581397724275</v>
      </c>
      <c r="AJ119">
        <f t="shared" si="37"/>
        <v>42.824405603593483</v>
      </c>
      <c r="AK119">
        <f t="array" ref="AK119">+S119*テーブル2[[#This Row],[F_form]]/(E119*CpFromTP((テーブル2[[#This Row],[Tin]]+テーブル2[[#This Row],[Tf]])/2,テーブル2[[#This Row],[P]])*AI119)</f>
        <v>6.4932605917354174</v>
      </c>
      <c r="AL119">
        <f t="shared" si="38"/>
        <v>1.023604738117011</v>
      </c>
      <c r="AM119">
        <f t="shared" si="39"/>
        <v>598.16775834414193</v>
      </c>
      <c r="AN119">
        <f t="shared" si="40"/>
        <v>6.8088070293015335E-8</v>
      </c>
      <c r="AO119">
        <f t="shared" si="41"/>
        <v>8.8276890976059241E-8</v>
      </c>
      <c r="AP119">
        <v>4.2597095136070049</v>
      </c>
      <c r="AQ119">
        <f t="shared" si="42"/>
        <v>4.7179877901942416E-5</v>
      </c>
      <c r="AR119">
        <f t="shared" si="43"/>
        <v>7.8363741339638042E-6</v>
      </c>
      <c r="AS119">
        <f t="shared" si="44"/>
        <v>21.533490373673381</v>
      </c>
      <c r="AT119">
        <f t="shared" si="45"/>
        <v>12.298047074944511</v>
      </c>
      <c r="AU119">
        <f t="shared" si="46"/>
        <v>3.9459285073004393</v>
      </c>
      <c r="AV119">
        <f t="shared" si="47"/>
        <v>0.31378100630656558</v>
      </c>
      <c r="AW119">
        <f t="shared" si="48"/>
        <v>8.3765301650536462E-3</v>
      </c>
      <c r="AX119">
        <f t="shared" si="49"/>
        <v>0.31378100572039597</v>
      </c>
      <c r="AY119">
        <f t="shared" si="50"/>
        <v>5.8616961284840841E-10</v>
      </c>
      <c r="AZ119">
        <f t="shared" si="51"/>
        <v>1189751.8930438254</v>
      </c>
      <c r="BA119">
        <f t="shared" si="52"/>
        <v>1.1075843963357912E-5</v>
      </c>
      <c r="BB119" s="15">
        <f t="shared" si="53"/>
        <v>6202148.9270478226</v>
      </c>
      <c r="BC119" s="20">
        <f t="shared" si="54"/>
        <v>-44283.429983426817</v>
      </c>
      <c r="BD119" s="19">
        <f t="shared" si="55"/>
        <v>-0.70893955865190006</v>
      </c>
      <c r="BE119" s="15">
        <v>6624639</v>
      </c>
      <c r="BF119" s="16">
        <f>テーブル2[[#This Row],[q_P]]/テーブル2[[#This Row],[q_M]]</f>
        <v>0.93622443835019875</v>
      </c>
      <c r="BG119">
        <v>1</v>
      </c>
      <c r="BH119">
        <v>-4.3999999999999997E-2</v>
      </c>
      <c r="BI119">
        <v>4.5999999999999999E-2</v>
      </c>
      <c r="BJ119">
        <v>5625</v>
      </c>
      <c r="BK119" s="22">
        <v>1</v>
      </c>
      <c r="BL119">
        <f>テーブル2[[#This Row],[Ts]]-テーブル2[[#This Row],[Tin]]</f>
        <v>140.04696228842198</v>
      </c>
      <c r="BM119">
        <f>テーブル2[[#This Row],[q_P]]*0.000001</f>
        <v>6.2021489270478227</v>
      </c>
      <c r="BN119">
        <f>テーブル2[[#This Row],[Tsub]]</f>
        <v>140.04696228842198</v>
      </c>
      <c r="BO119">
        <f>テーブル2[[#This Row],[Fcorr]]</f>
        <v>1</v>
      </c>
      <c r="BP119">
        <f>(テーブル2[[#This Row],[Tsub]]-40)^2</f>
        <v>10009.394663140931</v>
      </c>
      <c r="BQ119">
        <v>1</v>
      </c>
      <c r="BR119">
        <v>0.15240000000000001</v>
      </c>
    </row>
    <row r="120" spans="1:70" x14ac:dyDescent="0.15">
      <c r="A120" s="9" t="s">
        <v>188</v>
      </c>
      <c r="B120">
        <v>12065825.263044599</v>
      </c>
      <c r="C120" s="22">
        <f t="array" ref="C120">TsatFromP(テーブル2[[#This Row],[P]])</f>
        <v>598.16775841223</v>
      </c>
      <c r="D120">
        <f t="array" ref="D120">RhoGFromP(テーブル2[[#This Row],[P]])</f>
        <v>70.719127092772837</v>
      </c>
      <c r="E120">
        <f t="array" ref="E120">RhoFFromP(テーブル2[[#This Row],[P]])</f>
        <v>654.05698086006123</v>
      </c>
      <c r="F120">
        <f t="array" ref="F120">HgFromP(テーブル2[[#This Row],[P]])</f>
        <v>2683685.0883769058</v>
      </c>
      <c r="G120">
        <f t="array" ref="G120">HfFromP(テーブル2[[#This Row],[P]])</f>
        <v>1493933.1953330804</v>
      </c>
      <c r="H120">
        <f t="array" ref="H120">MuGFromP(テーブル2[[#This Row],[P]])</f>
        <v>2.1145404359092259E-5</v>
      </c>
      <c r="I120">
        <f t="array" ref="I120">MuFFromP(テーブル2[[#This Row],[P]])</f>
        <v>7.6371158483287791E-5</v>
      </c>
      <c r="J120">
        <f t="array" ref="J120">KfFromP(テーブル2[[#This Row],[P]])</f>
        <v>0.51093471001103663</v>
      </c>
      <c r="K120">
        <f t="array" ref="K120">CpFFromP(テーブル2[[#This Row],[P]])</f>
        <v>6848.0719740579098</v>
      </c>
      <c r="L120">
        <f t="array" ref="L120">SigmaFromP(テーブル2[[#This Row],[P]])</f>
        <v>8.6953190176285583E-3</v>
      </c>
      <c r="M120">
        <v>119</v>
      </c>
      <c r="N120">
        <v>3295.6386545585601</v>
      </c>
      <c r="O120" s="8">
        <f t="shared" ref="O120:O151" si="58">PI()*Q120^2/4</f>
        <v>2.8502295699234246E-6</v>
      </c>
      <c r="P120" s="8">
        <f t="shared" ref="P120:P151" si="59">PI()*Q120</f>
        <v>5.9847340050885557E-3</v>
      </c>
      <c r="Q120" s="8">
        <v>1.905E-3</v>
      </c>
      <c r="R120">
        <v>0.15240000000000001</v>
      </c>
      <c r="S120" s="15">
        <v>3506963.10546875</v>
      </c>
      <c r="T120">
        <v>522.60407503228396</v>
      </c>
      <c r="U120" s="12">
        <f>+T120+BG120*S120*テーブル2[[#This Row],[Pw]]*R120/(N120*O120*K120)</f>
        <v>572.32890091332672</v>
      </c>
      <c r="V120">
        <v>0.03</v>
      </c>
      <c r="W120" s="8">
        <f t="shared" si="28"/>
        <v>82206.316646458974</v>
      </c>
      <c r="X120">
        <v>3.3064274849559552E-2</v>
      </c>
      <c r="Y120">
        <f t="shared" si="29"/>
        <v>5.4994657138155487</v>
      </c>
      <c r="Z120">
        <f t="shared" si="30"/>
        <v>5.4994657451812641</v>
      </c>
      <c r="AA120">
        <f t="shared" si="31"/>
        <v>-3.1365715358333546E-8</v>
      </c>
      <c r="AB120">
        <f t="shared" si="32"/>
        <v>1.5203170290678916E-5</v>
      </c>
      <c r="AC120">
        <v>647.89564415913628</v>
      </c>
      <c r="AD120">
        <f t="shared" si="33"/>
        <v>2642.4677860547035</v>
      </c>
      <c r="AE120">
        <f>+gettm2(AD120,AC120,AK120,AL120,テーブル2[[#This Row],[Fcorr]])</f>
        <v>572.32890139228311</v>
      </c>
      <c r="AF120" s="14">
        <f t="shared" si="34"/>
        <v>4.7895639454509364E-7</v>
      </c>
      <c r="AG120">
        <v>1.525230204098302E-5</v>
      </c>
      <c r="AH120">
        <f t="shared" si="35"/>
        <v>68.63294050946466</v>
      </c>
      <c r="AI120">
        <f t="shared" si="36"/>
        <v>0.32393547435065517</v>
      </c>
      <c r="AJ120">
        <f t="shared" si="37"/>
        <v>42.313613445117113</v>
      </c>
      <c r="AK120">
        <f t="array" ref="AK120">+S120*テーブル2[[#This Row],[F_form]]/(E120*CpFromTP((テーブル2[[#This Row],[Tin]]+テーブル2[[#This Row],[Tf]])/2,テーブル2[[#This Row],[P]])*AI120)</f>
        <v>3.307695384492209</v>
      </c>
      <c r="AL120">
        <f t="shared" si="38"/>
        <v>1.023604738117011</v>
      </c>
      <c r="AM120">
        <f t="shared" si="39"/>
        <v>598.16775839966135</v>
      </c>
      <c r="AN120">
        <f t="shared" si="40"/>
        <v>1.256864834431326E-8</v>
      </c>
      <c r="AO120">
        <f t="shared" si="41"/>
        <v>4.9131750304104587E-8</v>
      </c>
      <c r="AP120">
        <v>4.2759838753735382</v>
      </c>
      <c r="AQ120">
        <f t="shared" si="42"/>
        <v>4.6821428824333842E-5</v>
      </c>
      <c r="AR120">
        <f t="shared" si="43"/>
        <v>7.6507168956435632E-6</v>
      </c>
      <c r="AS120">
        <f t="shared" si="44"/>
        <v>21.224958464002693</v>
      </c>
      <c r="AT120">
        <f t="shared" si="45"/>
        <v>12.225888876290247</v>
      </c>
      <c r="AU120">
        <f t="shared" si="46"/>
        <v>3.9603991124994797</v>
      </c>
      <c r="AV120">
        <f t="shared" si="47"/>
        <v>0.31558476287405846</v>
      </c>
      <c r="AW120">
        <f t="shared" si="48"/>
        <v>8.2181347594452708E-3</v>
      </c>
      <c r="AX120">
        <f t="shared" si="49"/>
        <v>0.31558476178458372</v>
      </c>
      <c r="AY120">
        <f t="shared" si="50"/>
        <v>1.0894747326517518E-9</v>
      </c>
      <c r="AZ120">
        <f t="shared" si="51"/>
        <v>1189751.8930438254</v>
      </c>
      <c r="BA120">
        <f t="shared" si="52"/>
        <v>1.0949860941709854E-5</v>
      </c>
      <c r="BB120" s="15">
        <f t="shared" si="53"/>
        <v>3491609.1423078282</v>
      </c>
      <c r="BC120" s="20">
        <f t="shared" si="54"/>
        <v>-15353.96316092182</v>
      </c>
      <c r="BD120" s="19">
        <f t="shared" si="55"/>
        <v>-0.43781364956417379</v>
      </c>
      <c r="BE120" s="15">
        <v>4037875.2</v>
      </c>
      <c r="BF120" s="16">
        <f>テーブル2[[#This Row],[q_P]]/テーブル2[[#This Row],[q_M]]</f>
        <v>0.86471447713585303</v>
      </c>
      <c r="BG120">
        <v>1</v>
      </c>
      <c r="BH120">
        <v>-1.6E-2</v>
      </c>
      <c r="BI120">
        <v>4.5999999999999999E-2</v>
      </c>
      <c r="BJ120">
        <v>5625</v>
      </c>
      <c r="BK120" s="22">
        <v>1</v>
      </c>
      <c r="BL120">
        <f>テーブル2[[#This Row],[Ts]]-テーブル2[[#This Row],[Tin]]</f>
        <v>75.563683379946042</v>
      </c>
      <c r="BM120">
        <f>テーブル2[[#This Row],[q_P]]*0.000001</f>
        <v>3.4916091423078282</v>
      </c>
      <c r="BN120">
        <f>テーブル2[[#This Row],[Tsub]]</f>
        <v>75.563683379946042</v>
      </c>
      <c r="BO120">
        <f>テーブル2[[#This Row],[Fcorr]]</f>
        <v>1</v>
      </c>
      <c r="BP120">
        <f>(テーブル2[[#This Row],[Tsub]]-40)^2</f>
        <v>1264.7755755490502</v>
      </c>
      <c r="BQ120">
        <v>1</v>
      </c>
      <c r="BR120">
        <v>0.15240000000000001</v>
      </c>
    </row>
    <row r="121" spans="1:70" x14ac:dyDescent="0.15">
      <c r="A121" s="9" t="s">
        <v>189</v>
      </c>
      <c r="B121">
        <v>12065825.263044599</v>
      </c>
      <c r="C121" s="22">
        <f t="array" ref="C121">TsatFromP(テーブル2[[#This Row],[P]])</f>
        <v>598.16775841223</v>
      </c>
      <c r="D121">
        <f t="array" ref="D121">RhoGFromP(テーブル2[[#This Row],[P]])</f>
        <v>70.719127092772837</v>
      </c>
      <c r="E121">
        <f t="array" ref="E121">RhoFFromP(テーブル2[[#This Row],[P]])</f>
        <v>654.05698086006123</v>
      </c>
      <c r="F121">
        <f t="array" ref="F121">HgFromP(テーブル2[[#This Row],[P]])</f>
        <v>2683685.0883769058</v>
      </c>
      <c r="G121">
        <f t="array" ref="G121">HfFromP(テーブル2[[#This Row],[P]])</f>
        <v>1493933.1953330804</v>
      </c>
      <c r="H121">
        <f t="array" ref="H121">MuGFromP(テーブル2[[#This Row],[P]])</f>
        <v>2.1145404359092259E-5</v>
      </c>
      <c r="I121">
        <f t="array" ref="I121">MuFFromP(テーブル2[[#This Row],[P]])</f>
        <v>7.6371158483287791E-5</v>
      </c>
      <c r="J121">
        <f t="array" ref="J121">KfFromP(テーブル2[[#This Row],[P]])</f>
        <v>0.51093471001103663</v>
      </c>
      <c r="K121">
        <f t="array" ref="K121">CpFFromP(テーブル2[[#This Row],[P]])</f>
        <v>6848.0719740579098</v>
      </c>
      <c r="L121">
        <f t="array" ref="L121">SigmaFromP(テーブル2[[#This Row],[P]])</f>
        <v>8.6953190176285583E-3</v>
      </c>
      <c r="M121">
        <v>120</v>
      </c>
      <c r="N121">
        <v>3811.0060161767701</v>
      </c>
      <c r="O121" s="8">
        <f t="shared" si="58"/>
        <v>2.8502295699234246E-6</v>
      </c>
      <c r="P121" s="8">
        <f t="shared" si="59"/>
        <v>5.9847340050885557E-3</v>
      </c>
      <c r="Q121" s="8">
        <v>1.905E-3</v>
      </c>
      <c r="R121">
        <v>0.15240000000000001</v>
      </c>
      <c r="S121" s="15">
        <v>3272268.95703125</v>
      </c>
      <c r="T121">
        <v>535.47689091834604</v>
      </c>
      <c r="U121" s="12">
        <f>+T121+BG121*S121*テーブル2[[#This Row],[Pw]]*R121/(N121*O121*K121)</f>
        <v>575.59967125462265</v>
      </c>
      <c r="V121">
        <v>0.03</v>
      </c>
      <c r="W121" s="8">
        <f t="shared" si="28"/>
        <v>95061.6254224484</v>
      </c>
      <c r="X121">
        <v>3.0945300439482609E-2</v>
      </c>
      <c r="Y121">
        <f t="shared" si="29"/>
        <v>5.6846358323022708</v>
      </c>
      <c r="Z121">
        <f t="shared" si="30"/>
        <v>5.684635867397569</v>
      </c>
      <c r="AA121">
        <f t="shared" si="31"/>
        <v>-3.5095298223097871E-8</v>
      </c>
      <c r="AB121">
        <f t="shared" si="32"/>
        <v>1.2147820509179229E-5</v>
      </c>
      <c r="AC121">
        <v>637.92118866300666</v>
      </c>
      <c r="AD121">
        <f t="shared" si="33"/>
        <v>2956.1577007653841</v>
      </c>
      <c r="AE121">
        <f>+gettm2(AD121,AC121,AK121,AL121,テーブル2[[#This Row],[Fcorr]])</f>
        <v>575.59967125462254</v>
      </c>
      <c r="AF121" s="14">
        <f t="shared" si="34"/>
        <v>0</v>
      </c>
      <c r="AG121">
        <v>1.2185747449607321E-5</v>
      </c>
      <c r="AH121">
        <f t="shared" si="35"/>
        <v>85.89510203307465</v>
      </c>
      <c r="AI121">
        <f t="shared" si="36"/>
        <v>0.36239016880599828</v>
      </c>
      <c r="AJ121">
        <f t="shared" si="37"/>
        <v>37.81941329421398</v>
      </c>
      <c r="AK121">
        <f t="array" ref="AK121">+S121*テーブル2[[#This Row],[F_form]]/(E121*CpFromTP((テーブル2[[#This Row],[Tin]]+テーブル2[[#This Row],[Tf]])/2,テーブル2[[#This Row],[P]])*AI121)</f>
        <v>2.6945482175486029</v>
      </c>
      <c r="AL121">
        <f t="shared" si="38"/>
        <v>1.023604738117011</v>
      </c>
      <c r="AM121">
        <f t="shared" si="39"/>
        <v>598.16775840418336</v>
      </c>
      <c r="AN121">
        <f t="shared" si="40"/>
        <v>8.046640687098261E-9</v>
      </c>
      <c r="AO121">
        <f t="shared" si="41"/>
        <v>3.7926940428092133E-8</v>
      </c>
      <c r="AP121">
        <v>4.5580858608629136</v>
      </c>
      <c r="AQ121">
        <f t="shared" si="42"/>
        <v>4.1205176319700779E-5</v>
      </c>
      <c r="AR121">
        <f t="shared" si="43"/>
        <v>6.1118371950177064E-6</v>
      </c>
      <c r="AS121">
        <f t="shared" si="44"/>
        <v>18.96856124921354</v>
      </c>
      <c r="AT121">
        <f t="shared" si="45"/>
        <v>11.663914687960986</v>
      </c>
      <c r="AU121">
        <f t="shared" si="46"/>
        <v>4.2268880127089448</v>
      </c>
      <c r="AV121">
        <f t="shared" si="47"/>
        <v>0.3311978481539688</v>
      </c>
      <c r="AW121">
        <f t="shared" si="48"/>
        <v>6.5665531641907193E-3</v>
      </c>
      <c r="AX121">
        <f t="shared" si="49"/>
        <v>0.33119782706648743</v>
      </c>
      <c r="AY121">
        <f t="shared" si="50"/>
        <v>2.1087481372195072E-8</v>
      </c>
      <c r="AZ121">
        <f t="shared" si="51"/>
        <v>1189751.8930438254</v>
      </c>
      <c r="BA121">
        <f t="shared" si="52"/>
        <v>9.0400175813932621E-6</v>
      </c>
      <c r="BB121" s="15">
        <f t="shared" si="53"/>
        <v>3264754.4627972869</v>
      </c>
      <c r="BC121" s="20">
        <f t="shared" si="54"/>
        <v>-7514.4942339630798</v>
      </c>
      <c r="BD121" s="19">
        <f t="shared" si="55"/>
        <v>-0.229641705270479</v>
      </c>
      <c r="BE121" s="15">
        <v>4053648.15</v>
      </c>
      <c r="BF121" s="16">
        <f>テーブル2[[#This Row],[q_P]]/テーブル2[[#This Row],[q_M]]</f>
        <v>0.80538673855975562</v>
      </c>
      <c r="BG121">
        <v>1</v>
      </c>
      <c r="BH121">
        <v>-7.0000000000000001E-3</v>
      </c>
      <c r="BI121">
        <v>4.5999999999999999E-2</v>
      </c>
      <c r="BJ121">
        <v>5625</v>
      </c>
      <c r="BK121" s="22">
        <v>1</v>
      </c>
      <c r="BL121">
        <f>テーブル2[[#This Row],[Ts]]-テーブル2[[#This Row],[Tin]]</f>
        <v>62.690867493883957</v>
      </c>
      <c r="BM121">
        <f>テーブル2[[#This Row],[q_P]]*0.000001</f>
        <v>3.2647544627972866</v>
      </c>
      <c r="BN121">
        <f>テーブル2[[#This Row],[Tsub]]</f>
        <v>62.690867493883957</v>
      </c>
      <c r="BO121">
        <f>テーブル2[[#This Row],[Fcorr]]</f>
        <v>1</v>
      </c>
      <c r="BP121">
        <f>(テーブル2[[#This Row],[Tsub]]-40)^2</f>
        <v>514.8754676249996</v>
      </c>
      <c r="BQ121">
        <v>1</v>
      </c>
      <c r="BR121">
        <v>0.15240000000000001</v>
      </c>
    </row>
    <row r="122" spans="1:70" x14ac:dyDescent="0.15">
      <c r="A122" s="9" t="s">
        <v>190</v>
      </c>
      <c r="B122">
        <v>12065825.263044599</v>
      </c>
      <c r="C122" s="22">
        <f t="array" ref="C122">TsatFromP(テーブル2[[#This Row],[P]])</f>
        <v>598.16775841223</v>
      </c>
      <c r="D122">
        <f t="array" ref="D122">RhoGFromP(テーブル2[[#This Row],[P]])</f>
        <v>70.719127092772837</v>
      </c>
      <c r="E122">
        <f t="array" ref="E122">RhoFFromP(テーブル2[[#This Row],[P]])</f>
        <v>654.05698086006123</v>
      </c>
      <c r="F122">
        <f t="array" ref="F122">HgFromP(テーブル2[[#This Row],[P]])</f>
        <v>2683685.0883769058</v>
      </c>
      <c r="G122">
        <f t="array" ref="G122">HfFromP(テーブル2[[#This Row],[P]])</f>
        <v>1493933.1953330804</v>
      </c>
      <c r="H122">
        <f t="array" ref="H122">MuGFromP(テーブル2[[#This Row],[P]])</f>
        <v>2.1145404359092259E-5</v>
      </c>
      <c r="I122">
        <f t="array" ref="I122">MuFFromP(テーブル2[[#This Row],[P]])</f>
        <v>7.6371158483287791E-5</v>
      </c>
      <c r="J122">
        <f t="array" ref="J122">KfFromP(テーブル2[[#This Row],[P]])</f>
        <v>0.51093471001103663</v>
      </c>
      <c r="K122">
        <f t="array" ref="K122">CpFFromP(テーブル2[[#This Row],[P]])</f>
        <v>6848.0719740579098</v>
      </c>
      <c r="L122">
        <f t="array" ref="L122">SigmaFromP(テーブル2[[#This Row],[P]])</f>
        <v>8.6953190176285583E-3</v>
      </c>
      <c r="M122">
        <v>121</v>
      </c>
      <c r="N122">
        <v>4041.5650990059698</v>
      </c>
      <c r="O122" s="8">
        <f t="shared" si="58"/>
        <v>2.8502295699234246E-6</v>
      </c>
      <c r="P122" s="8">
        <f t="shared" si="59"/>
        <v>5.9847340050885557E-3</v>
      </c>
      <c r="Q122" s="8">
        <v>1.905E-3</v>
      </c>
      <c r="R122">
        <v>0.15240000000000001</v>
      </c>
      <c r="S122" s="15">
        <v>3737501.98046875</v>
      </c>
      <c r="T122">
        <v>529.302558596925</v>
      </c>
      <c r="U122" s="12">
        <f>+T122+BG122*S122*テーブル2[[#This Row],[Pw]]*R122/(N122*O122*K122)</f>
        <v>572.51546879104569</v>
      </c>
      <c r="V122">
        <v>0.03</v>
      </c>
      <c r="W122" s="8">
        <f t="shared" si="28"/>
        <v>100812.68461170686</v>
      </c>
      <c r="X122">
        <v>3.0144337567857841E-2</v>
      </c>
      <c r="Y122">
        <f t="shared" si="29"/>
        <v>5.7596637200681835</v>
      </c>
      <c r="Z122">
        <f t="shared" si="30"/>
        <v>5.7596637569575666</v>
      </c>
      <c r="AA122">
        <f t="shared" si="31"/>
        <v>-3.6889383103755335E-8</v>
      </c>
      <c r="AB122">
        <f t="shared" si="32"/>
        <v>1.1088363050011967E-5</v>
      </c>
      <c r="AC122">
        <v>641.82040900582058</v>
      </c>
      <c r="AD122">
        <f t="shared" si="33"/>
        <v>3094.1621066426928</v>
      </c>
      <c r="AE122">
        <f>+gettm2(AD122,AC122,AK122,AL122,テーブル2[[#This Row],[Fcorr]])</f>
        <v>572.51546920924977</v>
      </c>
      <c r="AF122" s="14">
        <f t="shared" si="34"/>
        <v>4.1820408114290331E-7</v>
      </c>
      <c r="AG122">
        <v>1.1128276389613479E-5</v>
      </c>
      <c r="AH122">
        <f t="shared" si="35"/>
        <v>94.102103025414635</v>
      </c>
      <c r="AI122">
        <f t="shared" si="36"/>
        <v>0.37930788599304177</v>
      </c>
      <c r="AJ122">
        <f t="shared" si="37"/>
        <v>36.14980694696964</v>
      </c>
      <c r="AK122">
        <f t="array" ref="AK122">+S122*テーブル2[[#This Row],[F_form]]/(E122*CpFromTP((テーブル2[[#This Row],[Tin]]+テーブル2[[#This Row],[Tf]])/2,テーブル2[[#This Row],[P]])*AI122)</f>
        <v>2.9816559755845886</v>
      </c>
      <c r="AL122">
        <f t="shared" si="38"/>
        <v>1.023604738117011</v>
      </c>
      <c r="AM122">
        <f t="shared" si="39"/>
        <v>598.16775840860521</v>
      </c>
      <c r="AN122">
        <f t="shared" si="40"/>
        <v>3.6247911339160055E-9</v>
      </c>
      <c r="AO122">
        <f t="shared" si="41"/>
        <v>3.9913339601512434E-8</v>
      </c>
      <c r="AP122">
        <v>4.6773042065595281</v>
      </c>
      <c r="AQ122">
        <f t="shared" si="42"/>
        <v>3.9131414485436074E-5</v>
      </c>
      <c r="AR122">
        <f t="shared" si="43"/>
        <v>5.5840948646074959E-6</v>
      </c>
      <c r="AS122">
        <f t="shared" si="44"/>
        <v>18.139731999964905</v>
      </c>
      <c r="AT122">
        <f t="shared" si="45"/>
        <v>11.440523352978825</v>
      </c>
      <c r="AU122">
        <f t="shared" si="46"/>
        <v>4.3394807276724245</v>
      </c>
      <c r="AV122">
        <f t="shared" si="47"/>
        <v>0.33782347888710351</v>
      </c>
      <c r="AW122">
        <f t="shared" si="48"/>
        <v>5.993859179655522E-3</v>
      </c>
      <c r="AX122">
        <f t="shared" si="49"/>
        <v>0.33782347766433907</v>
      </c>
      <c r="AY122">
        <f t="shared" si="50"/>
        <v>1.2227644452522668E-9</v>
      </c>
      <c r="AZ122">
        <f t="shared" si="51"/>
        <v>1189751.8930438254</v>
      </c>
      <c r="BA122">
        <f t="shared" si="52"/>
        <v>8.366232504303983E-6</v>
      </c>
      <c r="BB122" s="15">
        <f t="shared" si="53"/>
        <v>3712445.8463801444</v>
      </c>
      <c r="BC122" s="20">
        <f t="shared" si="54"/>
        <v>-25056.134088605642</v>
      </c>
      <c r="BD122" s="19">
        <f t="shared" si="55"/>
        <v>-0.67039788124642419</v>
      </c>
      <c r="BE122" s="15">
        <v>4653020.25</v>
      </c>
      <c r="BF122" s="16">
        <f>テーブル2[[#This Row],[q_P]]/テーブル2[[#This Row],[q_M]]</f>
        <v>0.79785722969508766</v>
      </c>
      <c r="BG122">
        <v>1</v>
      </c>
      <c r="BH122">
        <v>-8.9999999999999993E-3</v>
      </c>
      <c r="BI122">
        <v>4.5999999999999999E-2</v>
      </c>
      <c r="BJ122">
        <v>5625</v>
      </c>
      <c r="BK122" s="22">
        <v>1</v>
      </c>
      <c r="BL122">
        <f>テーブル2[[#This Row],[Ts]]-テーブル2[[#This Row],[Tin]]</f>
        <v>68.865199815305004</v>
      </c>
      <c r="BM122">
        <f>テーブル2[[#This Row],[q_P]]*0.000001</f>
        <v>3.7124458463801444</v>
      </c>
      <c r="BN122">
        <f>テーブル2[[#This Row],[Tsub]]</f>
        <v>68.865199815305004</v>
      </c>
      <c r="BO122">
        <f>テーブル2[[#This Row],[Fcorr]]</f>
        <v>1</v>
      </c>
      <c r="BP122">
        <f>(テーブル2[[#This Row],[Tsub]]-40)^2</f>
        <v>833.19976037748404</v>
      </c>
      <c r="BQ122">
        <v>1</v>
      </c>
      <c r="BR122">
        <v>0.15240000000000001</v>
      </c>
    </row>
    <row r="123" spans="1:70" x14ac:dyDescent="0.15">
      <c r="A123" s="9" t="s">
        <v>191</v>
      </c>
      <c r="B123">
        <v>12065825.263044599</v>
      </c>
      <c r="C123" s="22">
        <f t="array" ref="C123">TsatFromP(テーブル2[[#This Row],[P]])</f>
        <v>598.16775841223</v>
      </c>
      <c r="D123">
        <f t="array" ref="D123">RhoGFromP(テーブル2[[#This Row],[P]])</f>
        <v>70.719127092772837</v>
      </c>
      <c r="E123">
        <f t="array" ref="E123">RhoFFromP(テーブル2[[#This Row],[P]])</f>
        <v>654.05698086006123</v>
      </c>
      <c r="F123">
        <f t="array" ref="F123">HgFromP(テーブル2[[#This Row],[P]])</f>
        <v>2683685.0883769058</v>
      </c>
      <c r="G123">
        <f t="array" ref="G123">HfFromP(テーブル2[[#This Row],[P]])</f>
        <v>1493933.1953330804</v>
      </c>
      <c r="H123">
        <f t="array" ref="H123">MuGFromP(テーブル2[[#This Row],[P]])</f>
        <v>2.1145404359092259E-5</v>
      </c>
      <c r="I123">
        <f t="array" ref="I123">MuFFromP(テーブル2[[#This Row],[P]])</f>
        <v>7.6371158483287791E-5</v>
      </c>
      <c r="J123">
        <f t="array" ref="J123">KfFromP(テーブル2[[#This Row],[P]])</f>
        <v>0.51093471001103663</v>
      </c>
      <c r="K123">
        <f t="array" ref="K123">CpFFromP(テーブル2[[#This Row],[P]])</f>
        <v>6848.0719740579098</v>
      </c>
      <c r="L123">
        <f t="array" ref="L123">SigmaFromP(テーブル2[[#This Row],[P]])</f>
        <v>8.6953190176285583E-3</v>
      </c>
      <c r="M123">
        <v>122</v>
      </c>
      <c r="N123">
        <v>4041.5650990059698</v>
      </c>
      <c r="O123" s="8">
        <f t="shared" si="58"/>
        <v>2.8502295699234246E-6</v>
      </c>
      <c r="P123" s="8">
        <f t="shared" si="59"/>
        <v>5.9847340050885557E-3</v>
      </c>
      <c r="Q123" s="8">
        <v>1.905E-3</v>
      </c>
      <c r="R123">
        <v>0.15240000000000001</v>
      </c>
      <c r="S123" s="15">
        <v>3911523.07328125</v>
      </c>
      <c r="T123">
        <v>525.91640840595801</v>
      </c>
      <c r="U123" s="12">
        <f>+T123+BG123*S123*テーブル2[[#This Row],[Pw]]*R123/(N123*O123*K123)</f>
        <v>571.14134639160545</v>
      </c>
      <c r="V123">
        <v>0.03</v>
      </c>
      <c r="W123" s="8">
        <f t="shared" si="28"/>
        <v>100812.68461170686</v>
      </c>
      <c r="X123">
        <v>3.0144337567857841E-2</v>
      </c>
      <c r="Y123">
        <f t="shared" si="29"/>
        <v>5.7596637200681835</v>
      </c>
      <c r="Z123">
        <f t="shared" si="30"/>
        <v>5.7596637569575666</v>
      </c>
      <c r="AA123">
        <f t="shared" si="31"/>
        <v>-3.6889383103755335E-8</v>
      </c>
      <c r="AB123">
        <f t="shared" si="32"/>
        <v>1.1088363050011967E-5</v>
      </c>
      <c r="AC123">
        <v>644.1623943045953</v>
      </c>
      <c r="AD123">
        <f t="shared" si="33"/>
        <v>3094.1621066426928</v>
      </c>
      <c r="AE123">
        <f>+gettm2(AD123,AC123,AK123,AL123,テーブル2[[#This Row],[Fcorr]])</f>
        <v>571.14134639160534</v>
      </c>
      <c r="AF123" s="14">
        <f t="shared" si="34"/>
        <v>0</v>
      </c>
      <c r="AG123">
        <v>1.113018161645498E-5</v>
      </c>
      <c r="AH123">
        <f t="shared" si="35"/>
        <v>94.102103025414635</v>
      </c>
      <c r="AI123">
        <f t="shared" si="36"/>
        <v>0.37930788599304177</v>
      </c>
      <c r="AJ123">
        <f t="shared" si="37"/>
        <v>36.155996008069408</v>
      </c>
      <c r="AK123">
        <f t="array" ref="AK123">+S123*テーブル2[[#This Row],[F_form]]/(E123*CpFromTP((テーブル2[[#This Row],[Tin]]+テーブル2[[#This Row],[Tf]])/2,テーブル2[[#This Row],[P]])*AI123)</f>
        <v>3.1415313900032835</v>
      </c>
      <c r="AL123">
        <f t="shared" si="38"/>
        <v>1.023604738117011</v>
      </c>
      <c r="AM123">
        <f t="shared" si="39"/>
        <v>598.16775840832838</v>
      </c>
      <c r="AN123">
        <f t="shared" si="40"/>
        <v>3.9016185837681405E-9</v>
      </c>
      <c r="AO123">
        <f t="shared" si="41"/>
        <v>4.1818566443013451E-8</v>
      </c>
      <c r="AP123">
        <v>4.6779075979486118</v>
      </c>
      <c r="AQ123">
        <f t="shared" si="42"/>
        <v>3.912132021347733E-5</v>
      </c>
      <c r="AR123">
        <f t="shared" si="43"/>
        <v>5.5860000914489969E-6</v>
      </c>
      <c r="AS123">
        <f t="shared" si="44"/>
        <v>18.145921061064673</v>
      </c>
      <c r="AT123">
        <f t="shared" si="45"/>
        <v>11.442229002633079</v>
      </c>
      <c r="AU123">
        <f t="shared" si="46"/>
        <v>4.3401276940370241</v>
      </c>
      <c r="AV123">
        <f t="shared" si="47"/>
        <v>0.33777990391158763</v>
      </c>
      <c r="AW123">
        <f t="shared" si="48"/>
        <v>5.993859179655522E-3</v>
      </c>
      <c r="AX123">
        <f t="shared" si="49"/>
        <v>0.33777990267419972</v>
      </c>
      <c r="AY123">
        <f t="shared" si="50"/>
        <v>1.2373879143545707E-9</v>
      </c>
      <c r="AZ123">
        <f t="shared" si="51"/>
        <v>1189751.8930438254</v>
      </c>
      <c r="BA123">
        <f t="shared" si="52"/>
        <v>8.3629955047921605E-6</v>
      </c>
      <c r="BB123" s="15">
        <f t="shared" si="53"/>
        <v>3891161.5997951338</v>
      </c>
      <c r="BC123" s="20">
        <f t="shared" si="54"/>
        <v>-20361.473486116156</v>
      </c>
      <c r="BD123" s="19">
        <f t="shared" si="55"/>
        <v>-0.52055102589579194</v>
      </c>
      <c r="BE123" s="15">
        <v>5173527.5999999996</v>
      </c>
      <c r="BF123" s="16">
        <f>テーブル2[[#This Row],[q_P]]/テーブル2[[#This Row],[q_M]]</f>
        <v>0.75212928211596553</v>
      </c>
      <c r="BG123">
        <v>1</v>
      </c>
      <c r="BH123">
        <v>-1.2E-2</v>
      </c>
      <c r="BI123">
        <v>4.5999999999999999E-2</v>
      </c>
      <c r="BJ123">
        <v>5625</v>
      </c>
      <c r="BK123" s="22">
        <v>1</v>
      </c>
      <c r="BL123">
        <f>テーブル2[[#This Row],[Ts]]-テーブル2[[#This Row],[Tin]]</f>
        <v>72.251350006271991</v>
      </c>
      <c r="BM123">
        <f>テーブル2[[#This Row],[q_P]]*0.000001</f>
        <v>3.8911615997951334</v>
      </c>
      <c r="BN123">
        <f>テーブル2[[#This Row],[Tsub]]</f>
        <v>72.251350006271991</v>
      </c>
      <c r="BO123">
        <f>テーブル2[[#This Row],[Fcorr]]</f>
        <v>1</v>
      </c>
      <c r="BP123">
        <f>(テーブル2[[#This Row],[Tsub]]-40)^2</f>
        <v>1040.1495772270603</v>
      </c>
      <c r="BQ123">
        <v>1</v>
      </c>
      <c r="BR123">
        <v>0.15240000000000001</v>
      </c>
    </row>
    <row r="124" spans="1:70" x14ac:dyDescent="0.15">
      <c r="A124" s="9" t="s">
        <v>192</v>
      </c>
      <c r="B124">
        <v>12065825.263044599</v>
      </c>
      <c r="C124" s="22">
        <f t="array" ref="C124">TsatFromP(テーブル2[[#This Row],[P]])</f>
        <v>598.16775841223</v>
      </c>
      <c r="D124">
        <f t="array" ref="D124">RhoGFromP(テーブル2[[#This Row],[P]])</f>
        <v>70.719127092772837</v>
      </c>
      <c r="E124">
        <f t="array" ref="E124">RhoFFromP(テーブル2[[#This Row],[P]])</f>
        <v>654.05698086006123</v>
      </c>
      <c r="F124">
        <f t="array" ref="F124">HgFromP(テーブル2[[#This Row],[P]])</f>
        <v>2683685.0883769058</v>
      </c>
      <c r="G124">
        <f t="array" ref="G124">HfFromP(テーブル2[[#This Row],[P]])</f>
        <v>1493933.1953330804</v>
      </c>
      <c r="H124">
        <f t="array" ref="H124">MuGFromP(テーブル2[[#This Row],[P]])</f>
        <v>2.1145404359092259E-5</v>
      </c>
      <c r="I124">
        <f t="array" ref="I124">MuFFromP(テーブル2[[#This Row],[P]])</f>
        <v>7.6371158483287791E-5</v>
      </c>
      <c r="J124">
        <f t="array" ref="J124">KfFromP(テーブル2[[#This Row],[P]])</f>
        <v>0.51093471001103663</v>
      </c>
      <c r="K124">
        <f t="array" ref="K124">CpFFromP(テーブル2[[#This Row],[P]])</f>
        <v>6848.0719740579098</v>
      </c>
      <c r="L124">
        <f t="array" ref="L124">SigmaFromP(テーブル2[[#This Row],[P]])</f>
        <v>8.6953190176285583E-3</v>
      </c>
      <c r="M124">
        <v>123</v>
      </c>
      <c r="N124">
        <v>4082.2519959758301</v>
      </c>
      <c r="O124" s="8">
        <f t="shared" si="58"/>
        <v>2.8502295699234246E-6</v>
      </c>
      <c r="P124" s="8">
        <f t="shared" si="59"/>
        <v>5.9847340050885557E-3</v>
      </c>
      <c r="Q124" s="8">
        <v>1.905E-3</v>
      </c>
      <c r="R124">
        <v>0.15240000000000001</v>
      </c>
      <c r="S124" s="15">
        <v>3913093.38671875</v>
      </c>
      <c r="T124">
        <v>526.45012634417299</v>
      </c>
      <c r="U124" s="12">
        <f>+T124+BG124*S124*テーブル2[[#This Row],[Pw]]*R124/(N124*O124*K124)</f>
        <v>571.24229241062926</v>
      </c>
      <c r="V124">
        <v>0.03</v>
      </c>
      <c r="W124" s="8">
        <f t="shared" si="28"/>
        <v>101827.57740981132</v>
      </c>
      <c r="X124">
        <v>3.001077046922809E-2</v>
      </c>
      <c r="Y124">
        <f t="shared" si="29"/>
        <v>5.7724665819879704</v>
      </c>
      <c r="Z124">
        <f t="shared" si="30"/>
        <v>5.7724666136455927</v>
      </c>
      <c r="AA124">
        <f t="shared" si="31"/>
        <v>-3.1657622301395349E-8</v>
      </c>
      <c r="AB124">
        <f t="shared" si="32"/>
        <v>1.0916805512103191E-5</v>
      </c>
      <c r="AC124">
        <v>643.72299703381736</v>
      </c>
      <c r="AD124">
        <f t="shared" si="33"/>
        <v>3118.3797028357458</v>
      </c>
      <c r="AE124">
        <f>+gettm2(AD124,AC124,AK124,AL124,テーブル2[[#This Row],[Fcorr]])</f>
        <v>571.24229284785918</v>
      </c>
      <c r="AF124" s="14">
        <f t="shared" si="34"/>
        <v>4.3722991449612891E-7</v>
      </c>
      <c r="AG124">
        <v>1.0958325875093449E-5</v>
      </c>
      <c r="AH124">
        <f t="shared" si="35"/>
        <v>95.580917051109239</v>
      </c>
      <c r="AI124">
        <f t="shared" si="36"/>
        <v>0.38227667848006092</v>
      </c>
      <c r="AJ124">
        <f t="shared" si="37"/>
        <v>35.876347491812261</v>
      </c>
      <c r="AK124">
        <f t="array" ref="AK124">+S124*テーブル2[[#This Row],[F_form]]/(E124*CpFromTP((テーブル2[[#This Row],[Tin]]+テーブル2[[#This Row],[Tf]])/2,テーブル2[[#This Row],[P]])*AI124)</f>
        <v>3.115650478978786</v>
      </c>
      <c r="AL124">
        <f t="shared" si="38"/>
        <v>1.023604738117011</v>
      </c>
      <c r="AM124">
        <f t="shared" si="39"/>
        <v>598.16775840903949</v>
      </c>
      <c r="AN124">
        <f t="shared" si="40"/>
        <v>3.1905074138194323E-9</v>
      </c>
      <c r="AO124">
        <f t="shared" si="41"/>
        <v>4.1520362990258073E-8</v>
      </c>
      <c r="AP124">
        <v>4.6982652238709646</v>
      </c>
      <c r="AQ124">
        <f t="shared" si="42"/>
        <v>3.8783028642806549E-5</v>
      </c>
      <c r="AR124">
        <f t="shared" si="43"/>
        <v>5.4999231190418538E-6</v>
      </c>
      <c r="AS124">
        <f t="shared" si="44"/>
        <v>18.006140285120402</v>
      </c>
      <c r="AT124">
        <f t="shared" si="45"/>
        <v>11.403564133383643</v>
      </c>
      <c r="AU124">
        <f t="shared" si="46"/>
        <v>4.359316619744253</v>
      </c>
      <c r="AV124">
        <f t="shared" si="47"/>
        <v>0.33894860412671157</v>
      </c>
      <c r="AW124">
        <f t="shared" si="48"/>
        <v>5.9011230635312847E-3</v>
      </c>
      <c r="AX124">
        <f t="shared" si="49"/>
        <v>0.3389486023286119</v>
      </c>
      <c r="AY124">
        <f t="shared" si="50"/>
        <v>1.7980996691591145E-9</v>
      </c>
      <c r="AZ124">
        <f t="shared" si="51"/>
        <v>1189751.8930438254</v>
      </c>
      <c r="BA124">
        <f t="shared" si="52"/>
        <v>8.2547550627320016E-6</v>
      </c>
      <c r="BB124" s="15">
        <f t="shared" si="53"/>
        <v>3914073.1704052659</v>
      </c>
      <c r="BC124" s="20">
        <f t="shared" si="54"/>
        <v>979.78368651587516</v>
      </c>
      <c r="BD124" s="19">
        <f t="shared" si="55"/>
        <v>2.5038597081309479E-2</v>
      </c>
      <c r="BE124" s="15">
        <v>4700339.0999999996</v>
      </c>
      <c r="BF124" s="16">
        <f>テーブル2[[#This Row],[q_P]]/テーブル2[[#This Row],[q_M]]</f>
        <v>0.8327214456517118</v>
      </c>
      <c r="BG124">
        <v>1</v>
      </c>
      <c r="BH124">
        <v>-0.02</v>
      </c>
      <c r="BI124">
        <v>4.5999999999999999E-2</v>
      </c>
      <c r="BJ124">
        <v>5625</v>
      </c>
      <c r="BK124" s="22">
        <v>1</v>
      </c>
      <c r="BL124">
        <f>テーブル2[[#This Row],[Ts]]-テーブル2[[#This Row],[Tin]]</f>
        <v>71.717632068057014</v>
      </c>
      <c r="BM124">
        <f>テーブル2[[#This Row],[q_P]]*0.000001</f>
        <v>3.9140731704052656</v>
      </c>
      <c r="BN124">
        <f>テーブル2[[#This Row],[Tsub]]</f>
        <v>71.717632068057014</v>
      </c>
      <c r="BO124">
        <f>テーブル2[[#This Row],[Fcorr]]</f>
        <v>1</v>
      </c>
      <c r="BP124">
        <f>(テーブル2[[#This Row],[Tsub]]-40)^2</f>
        <v>1006.0081840046387</v>
      </c>
      <c r="BQ124">
        <v>1</v>
      </c>
      <c r="BR124">
        <v>0.15240000000000001</v>
      </c>
    </row>
    <row r="125" spans="1:70" x14ac:dyDescent="0.15">
      <c r="A125" s="9" t="s">
        <v>193</v>
      </c>
      <c r="B125">
        <v>12065825.263044599</v>
      </c>
      <c r="C125" s="22">
        <f t="array" ref="C125">TsatFromP(テーブル2[[#This Row],[P]])</f>
        <v>598.16775841223</v>
      </c>
      <c r="D125">
        <f t="array" ref="D125">RhoGFromP(テーブル2[[#This Row],[P]])</f>
        <v>70.719127092772837</v>
      </c>
      <c r="E125">
        <f t="array" ref="E125">RhoFFromP(テーブル2[[#This Row],[P]])</f>
        <v>654.05698086006123</v>
      </c>
      <c r="F125">
        <f t="array" ref="F125">HgFromP(テーブル2[[#This Row],[P]])</f>
        <v>2683685.0883769058</v>
      </c>
      <c r="G125">
        <f t="array" ref="G125">HfFromP(テーブル2[[#This Row],[P]])</f>
        <v>1493933.1953330804</v>
      </c>
      <c r="H125">
        <f t="array" ref="H125">MuGFromP(テーブル2[[#This Row],[P]])</f>
        <v>2.1145404359092259E-5</v>
      </c>
      <c r="I125">
        <f t="array" ref="I125">MuFFromP(テーブル2[[#This Row],[P]])</f>
        <v>7.6371158483287791E-5</v>
      </c>
      <c r="J125">
        <f t="array" ref="J125">KfFromP(テーブル2[[#This Row],[P]])</f>
        <v>0.51093471001103663</v>
      </c>
      <c r="K125">
        <f t="array" ref="K125">CpFFromP(テーブル2[[#This Row],[P]])</f>
        <v>6848.0719740579098</v>
      </c>
      <c r="L125">
        <f t="array" ref="L125">SigmaFromP(テーブル2[[#This Row],[P]])</f>
        <v>8.6953190176285583E-3</v>
      </c>
      <c r="M125">
        <v>124</v>
      </c>
      <c r="N125">
        <v>2325.9342767769299</v>
      </c>
      <c r="O125" s="8">
        <f t="shared" si="58"/>
        <v>2.8502295699234246E-6</v>
      </c>
      <c r="P125" s="8">
        <f t="shared" si="59"/>
        <v>5.9847340050885557E-3</v>
      </c>
      <c r="Q125" s="8">
        <v>1.905E-3</v>
      </c>
      <c r="R125">
        <v>0.69596000000000002</v>
      </c>
      <c r="S125" s="15">
        <v>2963578.97265625</v>
      </c>
      <c r="T125">
        <v>298.737706474898</v>
      </c>
      <c r="U125" s="12">
        <f>+T125+BG125*S125*テーブル2[[#This Row],[Pw]]*R125/(N125*O125*K125)</f>
        <v>570.63196722715452</v>
      </c>
      <c r="V125">
        <v>0.03</v>
      </c>
      <c r="W125" s="8">
        <f t="shared" si="28"/>
        <v>58018.038291636774</v>
      </c>
      <c r="X125">
        <v>3.9078656698317407E-2</v>
      </c>
      <c r="Y125">
        <f t="shared" si="29"/>
        <v>5.0585982172817463</v>
      </c>
      <c r="Z125">
        <f t="shared" si="30"/>
        <v>5.0585982262515321</v>
      </c>
      <c r="AA125">
        <f t="shared" si="31"/>
        <v>-8.9697858030035604E-9</v>
      </c>
      <c r="AB125">
        <f t="shared" si="32"/>
        <v>2.582485157616558E-5</v>
      </c>
      <c r="AC125">
        <v>664.84625901754418</v>
      </c>
      <c r="AD125">
        <f t="shared" si="33"/>
        <v>2027.4860022981834</v>
      </c>
      <c r="AE125">
        <f>+gettm2(AD125,AC125,AK125,AL125,テーブル2[[#This Row],[Fcorr]])</f>
        <v>570.63196722715418</v>
      </c>
      <c r="AF125" s="14">
        <f t="shared" si="34"/>
        <v>0</v>
      </c>
      <c r="AG125">
        <v>2.5892422966480331E-5</v>
      </c>
      <c r="AH125">
        <f t="shared" si="35"/>
        <v>40.404425134371074</v>
      </c>
      <c r="AI125">
        <f t="shared" si="36"/>
        <v>0.2485459400337148</v>
      </c>
      <c r="AJ125">
        <f t="shared" si="37"/>
        <v>55.11446207886916</v>
      </c>
      <c r="AK125">
        <f t="array" ref="AK125">+S125*テーブル2[[#This Row],[F_form]]/(E125*CpFromTP((テーブル2[[#This Row],[Tin]]+テーブル2[[#This Row],[Tf]])/2,テーブル2[[#This Row],[P]])*AI125)</f>
        <v>4.2484572423270777</v>
      </c>
      <c r="AL125">
        <f t="shared" si="38"/>
        <v>1.023604738117011</v>
      </c>
      <c r="AM125">
        <f t="shared" si="39"/>
        <v>598.16775835230942</v>
      </c>
      <c r="AN125">
        <f t="shared" si="40"/>
        <v>5.9920580497418996E-8</v>
      </c>
      <c r="AO125">
        <f t="shared" si="41"/>
        <v>6.7571390314750431E-8</v>
      </c>
      <c r="AP125">
        <v>3.650056458981767</v>
      </c>
      <c r="AQ125">
        <f t="shared" si="42"/>
        <v>6.4256581350664321E-5</v>
      </c>
      <c r="AR125">
        <f t="shared" si="43"/>
        <v>1.297999717839754E-5</v>
      </c>
      <c r="AS125">
        <f t="shared" si="44"/>
        <v>27.629147075140086</v>
      </c>
      <c r="AT125">
        <f t="shared" si="45"/>
        <v>13.54435634469022</v>
      </c>
      <c r="AU125">
        <f t="shared" si="46"/>
        <v>3.3663947798426399</v>
      </c>
      <c r="AV125">
        <f t="shared" si="47"/>
        <v>0.2836616791391271</v>
      </c>
      <c r="AW125">
        <f t="shared" si="48"/>
        <v>1.3959727237004059E-2</v>
      </c>
      <c r="AX125">
        <f t="shared" si="49"/>
        <v>0.28366167592740277</v>
      </c>
      <c r="AY125">
        <f t="shared" si="50"/>
        <v>3.2117243309315313E-9</v>
      </c>
      <c r="AZ125">
        <f t="shared" si="51"/>
        <v>1189751.8930438254</v>
      </c>
      <c r="BA125">
        <f t="shared" si="52"/>
        <v>1.7604270529171367E-5</v>
      </c>
      <c r="BB125" s="15">
        <f t="shared" si="53"/>
        <v>2986873.369549606</v>
      </c>
      <c r="BC125" s="20">
        <f t="shared" si="54"/>
        <v>23294.396893355995</v>
      </c>
      <c r="BD125" s="19">
        <f t="shared" si="55"/>
        <v>0.78602247850602314</v>
      </c>
      <c r="BE125" s="15">
        <v>2104111.5299999998</v>
      </c>
      <c r="BF125" s="16">
        <f>テーブル2[[#This Row],[q_P]]/テーブル2[[#This Row],[q_M]]</f>
        <v>1.4195413726712511</v>
      </c>
      <c r="BG125">
        <v>1</v>
      </c>
      <c r="BH125">
        <v>-4.4999999999999998E-2</v>
      </c>
      <c r="BI125">
        <v>4.5999999999999999E-2</v>
      </c>
      <c r="BJ125">
        <v>5625</v>
      </c>
      <c r="BK125" s="22">
        <v>1</v>
      </c>
      <c r="BL125">
        <f>テーブル2[[#This Row],[Ts]]-テーブル2[[#This Row],[Tin]]</f>
        <v>299.430051937332</v>
      </c>
      <c r="BM125">
        <f>テーブル2[[#This Row],[q_P]]*0.000001</f>
        <v>2.9868733695496057</v>
      </c>
      <c r="BN125">
        <f>テーブル2[[#This Row],[Tsub]]</f>
        <v>299.430051937332</v>
      </c>
      <c r="BO125">
        <f>テーブル2[[#This Row],[Fcorr]]</f>
        <v>1</v>
      </c>
      <c r="BP125">
        <f>(テーブル2[[#This Row],[Tsub]]-40)^2</f>
        <v>67303.95184820678</v>
      </c>
      <c r="BQ125">
        <v>1</v>
      </c>
      <c r="BR125">
        <v>0.69596000000000002</v>
      </c>
    </row>
    <row r="126" spans="1:70" x14ac:dyDescent="0.15">
      <c r="A126" s="9" t="s">
        <v>194</v>
      </c>
      <c r="B126">
        <v>12065825.263044599</v>
      </c>
      <c r="C126" s="22">
        <f t="array" ref="C126">TsatFromP(テーブル2[[#This Row],[P]])</f>
        <v>598.16775841223</v>
      </c>
      <c r="D126">
        <f t="array" ref="D126">RhoGFromP(テーブル2[[#This Row],[P]])</f>
        <v>70.719127092772837</v>
      </c>
      <c r="E126">
        <f t="array" ref="E126">RhoFFromP(テーブル2[[#This Row],[P]])</f>
        <v>654.05698086006123</v>
      </c>
      <c r="F126">
        <f t="array" ref="F126">HgFromP(テーブル2[[#This Row],[P]])</f>
        <v>2683685.0883769058</v>
      </c>
      <c r="G126">
        <f t="array" ref="G126">HfFromP(テーブル2[[#This Row],[P]])</f>
        <v>1493933.1953330804</v>
      </c>
      <c r="H126">
        <f t="array" ref="H126">MuGFromP(テーブル2[[#This Row],[P]])</f>
        <v>2.1145404359092259E-5</v>
      </c>
      <c r="I126">
        <f t="array" ref="I126">MuFFromP(テーブル2[[#This Row],[P]])</f>
        <v>7.6371158483287791E-5</v>
      </c>
      <c r="J126">
        <f t="array" ref="J126">KfFromP(テーブル2[[#This Row],[P]])</f>
        <v>0.51093471001103663</v>
      </c>
      <c r="K126">
        <f t="array" ref="K126">CpFFromP(テーブル2[[#This Row],[P]])</f>
        <v>6848.0719740579098</v>
      </c>
      <c r="L126">
        <f t="array" ref="L126">SigmaFromP(テーブル2[[#This Row],[P]])</f>
        <v>8.6953190176285583E-3</v>
      </c>
      <c r="M126">
        <v>125</v>
      </c>
      <c r="N126">
        <v>2454.77611718148</v>
      </c>
      <c r="O126" s="8">
        <f t="shared" si="58"/>
        <v>2.8502295699234246E-6</v>
      </c>
      <c r="P126" s="8">
        <f t="shared" si="59"/>
        <v>5.9847340050885557E-3</v>
      </c>
      <c r="Q126" s="8">
        <v>1.905E-3</v>
      </c>
      <c r="R126">
        <v>0.69596000000000002</v>
      </c>
      <c r="S126" s="15">
        <v>3126217.28515625</v>
      </c>
      <c r="T126">
        <v>297.61642558059998</v>
      </c>
      <c r="U126" s="12">
        <f>+T126+BG126*S126*テーブル2[[#This Row],[Pw]]*R126/(N126*O126*K126)</f>
        <v>569.3781222450782</v>
      </c>
      <c r="V126">
        <v>0.03</v>
      </c>
      <c r="W126" s="8">
        <f t="shared" si="28"/>
        <v>61231.865485634073</v>
      </c>
      <c r="X126">
        <v>3.8051118795571243E-2</v>
      </c>
      <c r="Y126">
        <f t="shared" si="29"/>
        <v>5.1264447918666685</v>
      </c>
      <c r="Z126">
        <f t="shared" si="30"/>
        <v>5.1264447975649539</v>
      </c>
      <c r="AA126">
        <f t="shared" si="31"/>
        <v>-5.6982853990916738E-9</v>
      </c>
      <c r="AB126">
        <f t="shared" si="32"/>
        <v>2.3811191581321038E-5</v>
      </c>
      <c r="AC126">
        <v>665.32160269393717</v>
      </c>
      <c r="AD126">
        <f t="shared" si="33"/>
        <v>2111.476328501953</v>
      </c>
      <c r="AE126">
        <f>+gettm2(AD126,AC126,AK126,AL126,テーブル2[[#This Row],[Fcorr]])</f>
        <v>569.37812224507832</v>
      </c>
      <c r="AF126" s="14">
        <f t="shared" si="34"/>
        <v>0</v>
      </c>
      <c r="AG126">
        <v>2.387715852129293E-5</v>
      </c>
      <c r="AH126">
        <f t="shared" si="35"/>
        <v>43.821338321176839</v>
      </c>
      <c r="AI126">
        <f t="shared" si="36"/>
        <v>0.25884216627468104</v>
      </c>
      <c r="AJ126">
        <f t="shared" si="37"/>
        <v>52.930241479893667</v>
      </c>
      <c r="AK126">
        <f t="array" ref="AK126">+S126*テーブル2[[#This Row],[F_form]]/(E126*CpFromTP((テーブル2[[#This Row],[Tin]]+テーブル2[[#This Row],[Tf]])/2,テーブル2[[#This Row],[P]])*AI126)</f>
        <v>4.30648299933471</v>
      </c>
      <c r="AL126">
        <f t="shared" si="38"/>
        <v>1.023604738117011</v>
      </c>
      <c r="AM126">
        <f t="shared" si="39"/>
        <v>598.16775831666143</v>
      </c>
      <c r="AN126">
        <f t="shared" si="40"/>
        <v>9.5568566393922083E-8</v>
      </c>
      <c r="AO126">
        <f t="shared" si="41"/>
        <v>6.5966939971891865E-8</v>
      </c>
      <c r="AP126">
        <v>3.741877272387689</v>
      </c>
      <c r="AQ126">
        <f t="shared" si="42"/>
        <v>6.1141727043018986E-5</v>
      </c>
      <c r="AR126">
        <f t="shared" si="43"/>
        <v>1.1971562730632411E-5</v>
      </c>
      <c r="AS126">
        <f t="shared" si="44"/>
        <v>26.538237607250959</v>
      </c>
      <c r="AT126">
        <f t="shared" si="45"/>
        <v>13.34293310773289</v>
      </c>
      <c r="AU126">
        <f t="shared" si="46"/>
        <v>3.4537137100637434</v>
      </c>
      <c r="AV126">
        <f t="shared" si="47"/>
        <v>0.28816356232394558</v>
      </c>
      <c r="AW126">
        <f t="shared" si="48"/>
        <v>1.2871235239549932E-2</v>
      </c>
      <c r="AX126">
        <f t="shared" si="49"/>
        <v>0.28816355933710458</v>
      </c>
      <c r="AY126">
        <f t="shared" si="50"/>
        <v>2.9868409967548359E-9</v>
      </c>
      <c r="AZ126">
        <f t="shared" si="51"/>
        <v>1189751.8930438254</v>
      </c>
      <c r="BA126">
        <f t="shared" si="52"/>
        <v>1.6339853659605597E-5</v>
      </c>
      <c r="BB126" s="15">
        <f t="shared" si="53"/>
        <v>3141594.7749641491</v>
      </c>
      <c r="BC126" s="20">
        <f t="shared" si="54"/>
        <v>15377.48980789911</v>
      </c>
      <c r="BD126" s="19">
        <f t="shared" si="55"/>
        <v>0.49188806807875274</v>
      </c>
      <c r="BE126" s="15">
        <v>2161840.5269999998</v>
      </c>
      <c r="BF126" s="16">
        <f>テーブル2[[#This Row],[q_P]]/テーブル2[[#This Row],[q_M]]</f>
        <v>1.453203756580399</v>
      </c>
      <c r="BG126">
        <v>1</v>
      </c>
      <c r="BH126">
        <v>-7.9000000000000001E-2</v>
      </c>
      <c r="BI126">
        <v>4.5999999999999999E-2</v>
      </c>
      <c r="BJ126">
        <v>5625</v>
      </c>
      <c r="BK126" s="22">
        <v>1</v>
      </c>
      <c r="BL126">
        <f>テーブル2[[#This Row],[Ts]]-テーブル2[[#This Row],[Tin]]</f>
        <v>300.55133283163002</v>
      </c>
      <c r="BM126">
        <f>テーブル2[[#This Row],[q_P]]*0.000001</f>
        <v>3.1415947749641489</v>
      </c>
      <c r="BN126">
        <f>テーブル2[[#This Row],[Tsub]]</f>
        <v>300.55133283163002</v>
      </c>
      <c r="BO126">
        <f>テーブル2[[#This Row],[Fcorr]]</f>
        <v>1</v>
      </c>
      <c r="BP126">
        <f>(テーブル2[[#This Row],[Tsub]]-40)^2</f>
        <v>67886.997040338843</v>
      </c>
      <c r="BQ126">
        <v>1</v>
      </c>
      <c r="BR126">
        <v>0.69596000000000002</v>
      </c>
    </row>
    <row r="127" spans="1:70" x14ac:dyDescent="0.15">
      <c r="A127" s="9" t="s">
        <v>195</v>
      </c>
      <c r="B127">
        <v>12065825.263044599</v>
      </c>
      <c r="C127" s="22">
        <f t="array" ref="C127">TsatFromP(テーブル2[[#This Row],[P]])</f>
        <v>598.16775841223</v>
      </c>
      <c r="D127">
        <f t="array" ref="D127">RhoGFromP(テーブル2[[#This Row],[P]])</f>
        <v>70.719127092772837</v>
      </c>
      <c r="E127">
        <f t="array" ref="E127">RhoFFromP(テーブル2[[#This Row],[P]])</f>
        <v>654.05698086006123</v>
      </c>
      <c r="F127">
        <f t="array" ref="F127">HgFromP(テーブル2[[#This Row],[P]])</f>
        <v>2683685.0883769058</v>
      </c>
      <c r="G127">
        <f t="array" ref="G127">HfFromP(テーブル2[[#This Row],[P]])</f>
        <v>1493933.1953330804</v>
      </c>
      <c r="H127">
        <f t="array" ref="H127">MuGFromP(テーブル2[[#This Row],[P]])</f>
        <v>2.1145404359092259E-5</v>
      </c>
      <c r="I127">
        <f t="array" ref="I127">MuFFromP(テーブル2[[#This Row],[P]])</f>
        <v>7.6371158483287791E-5</v>
      </c>
      <c r="J127">
        <f t="array" ref="J127">KfFromP(テーブル2[[#This Row],[P]])</f>
        <v>0.51093471001103663</v>
      </c>
      <c r="K127">
        <f t="array" ref="K127">CpFFromP(テーブル2[[#This Row],[P]])</f>
        <v>6848.0719740579098</v>
      </c>
      <c r="L127">
        <f t="array" ref="L127">SigmaFromP(テーブル2[[#This Row],[P]])</f>
        <v>8.6953190176285583E-3</v>
      </c>
      <c r="M127">
        <v>126</v>
      </c>
      <c r="N127">
        <v>2739.5843959704898</v>
      </c>
      <c r="O127" s="8">
        <f t="shared" si="58"/>
        <v>2.8502295699234246E-6</v>
      </c>
      <c r="P127" s="8">
        <f t="shared" si="59"/>
        <v>5.9847340050885557E-3</v>
      </c>
      <c r="Q127" s="8">
        <v>1.905E-3</v>
      </c>
      <c r="R127">
        <v>0.69596000000000002</v>
      </c>
      <c r="S127" s="15">
        <v>3426558.8026562501</v>
      </c>
      <c r="T127">
        <v>300.41963647945403</v>
      </c>
      <c r="U127" s="12">
        <f>+T127+BG127*S127*テーブル2[[#This Row],[Pw]]*R127/(N127*O127*K127)</f>
        <v>567.32326607227935</v>
      </c>
      <c r="V127">
        <v>0.03</v>
      </c>
      <c r="W127" s="8">
        <f t="shared" si="28"/>
        <v>68336.11507236505</v>
      </c>
      <c r="X127">
        <v>3.6074469187045377E-2</v>
      </c>
      <c r="Y127">
        <f t="shared" si="29"/>
        <v>5.2650200002155882</v>
      </c>
      <c r="Z127">
        <f t="shared" si="30"/>
        <v>5.2650200301068129</v>
      </c>
      <c r="AA127">
        <f t="shared" si="31"/>
        <v>-2.9891224606615197E-8</v>
      </c>
      <c r="AB127">
        <f t="shared" si="32"/>
        <v>2.0165222639742553E-5</v>
      </c>
      <c r="AC127">
        <v>664.98934447875479</v>
      </c>
      <c r="AD127">
        <f t="shared" si="33"/>
        <v>2294.4324221766942</v>
      </c>
      <c r="AE127">
        <f>+gettm2(AD127,AC127,AK127,AL127,テーブル2[[#This Row],[Fcorr]])</f>
        <v>567.32326672217278</v>
      </c>
      <c r="AF127" s="14">
        <f t="shared" si="34"/>
        <v>6.4989342263288563E-7</v>
      </c>
      <c r="AG127">
        <v>2.022677924799637E-5</v>
      </c>
      <c r="AH127">
        <f t="shared" si="35"/>
        <v>51.744446404423556</v>
      </c>
      <c r="AI127">
        <f t="shared" si="36"/>
        <v>0.28127043174025795</v>
      </c>
      <c r="AJ127">
        <f t="shared" si="37"/>
        <v>48.723336590880429</v>
      </c>
      <c r="AK127">
        <f t="array" ref="AK127">+S127*テーブル2[[#This Row],[F_form]]/(E127*CpFromTP((テーブル2[[#This Row],[Tin]]+テーブル2[[#This Row],[Tf]])/2,テーブル2[[#This Row],[P]])*AI127)</f>
        <v>4.3428369154160995</v>
      </c>
      <c r="AL127">
        <f t="shared" si="38"/>
        <v>1.023604738117011</v>
      </c>
      <c r="AM127">
        <f t="shared" si="39"/>
        <v>598.16775839844331</v>
      </c>
      <c r="AN127">
        <f t="shared" si="40"/>
        <v>1.3786689123662654E-8</v>
      </c>
      <c r="AO127">
        <f t="shared" si="41"/>
        <v>6.15566082538165E-8</v>
      </c>
      <c r="AP127">
        <v>3.934684838395631</v>
      </c>
      <c r="AQ127">
        <f t="shared" si="42"/>
        <v>5.5296402371884171E-5</v>
      </c>
      <c r="AR127">
        <f t="shared" si="43"/>
        <v>1.0144167928125093E-5</v>
      </c>
      <c r="AS127">
        <f t="shared" si="44"/>
        <v>24.435808703721989</v>
      </c>
      <c r="AT127">
        <f t="shared" si="45"/>
        <v>12.930248131478363</v>
      </c>
      <c r="AU127">
        <f t="shared" si="46"/>
        <v>3.6368964744495829</v>
      </c>
      <c r="AV127">
        <f t="shared" si="47"/>
        <v>0.29778836394604813</v>
      </c>
      <c r="AW127">
        <f t="shared" si="48"/>
        <v>1.0900392085276088E-2</v>
      </c>
      <c r="AX127">
        <f t="shared" si="49"/>
        <v>0.29778834850896141</v>
      </c>
      <c r="AY127">
        <f t="shared" si="50"/>
        <v>1.5437086720027082E-8</v>
      </c>
      <c r="AZ127">
        <f t="shared" si="51"/>
        <v>1189751.8930438254</v>
      </c>
      <c r="BA127">
        <f t="shared" si="52"/>
        <v>1.4053578531192169E-5</v>
      </c>
      <c r="BB127" s="15">
        <f t="shared" si="53"/>
        <v>3408472.1304607652</v>
      </c>
      <c r="BC127" s="20">
        <f t="shared" si="54"/>
        <v>-18086.672195484862</v>
      </c>
      <c r="BD127" s="19">
        <f t="shared" si="55"/>
        <v>-0.52783778820501104</v>
      </c>
      <c r="BE127" s="15">
        <v>2460580.2000000002</v>
      </c>
      <c r="BF127" s="16">
        <f>テーブル2[[#This Row],[q_P]]/テーブル2[[#This Row],[q_M]]</f>
        <v>1.3852310647955166</v>
      </c>
      <c r="BG127">
        <v>1</v>
      </c>
      <c r="BH127">
        <v>-4.7E-2</v>
      </c>
      <c r="BI127">
        <v>4.5999999999999999E-2</v>
      </c>
      <c r="BJ127">
        <v>5625</v>
      </c>
      <c r="BK127" s="22">
        <v>1</v>
      </c>
      <c r="BL127">
        <f>テーブル2[[#This Row],[Ts]]-テーブル2[[#This Row],[Tin]]</f>
        <v>297.74812193277597</v>
      </c>
      <c r="BM127">
        <f>テーブル2[[#This Row],[q_P]]*0.000001</f>
        <v>3.408472130460765</v>
      </c>
      <c r="BN127">
        <f>テーブル2[[#This Row],[Tsub]]</f>
        <v>297.74812193277597</v>
      </c>
      <c r="BO127">
        <f>テーブル2[[#This Row],[Fcorr]]</f>
        <v>1</v>
      </c>
      <c r="BP127">
        <f>(テーブル2[[#This Row],[Tsub]]-40)^2</f>
        <v>66434.094359873154</v>
      </c>
      <c r="BQ127">
        <v>1</v>
      </c>
      <c r="BR127">
        <v>0.69596000000000002</v>
      </c>
    </row>
    <row r="128" spans="1:70" x14ac:dyDescent="0.15">
      <c r="A128" s="9" t="s">
        <v>196</v>
      </c>
      <c r="B128">
        <v>12065825.263044599</v>
      </c>
      <c r="C128" s="22">
        <f t="array" ref="C128">TsatFromP(テーブル2[[#This Row],[P]])</f>
        <v>598.16775841223</v>
      </c>
      <c r="D128">
        <f t="array" ref="D128">RhoGFromP(テーブル2[[#This Row],[P]])</f>
        <v>70.719127092772837</v>
      </c>
      <c r="E128">
        <f t="array" ref="E128">RhoFFromP(テーブル2[[#This Row],[P]])</f>
        <v>654.05698086006123</v>
      </c>
      <c r="F128">
        <f t="array" ref="F128">HgFromP(テーブル2[[#This Row],[P]])</f>
        <v>2683685.0883769058</v>
      </c>
      <c r="G128">
        <f t="array" ref="G128">HfFromP(テーブル2[[#This Row],[P]])</f>
        <v>1493933.1953330804</v>
      </c>
      <c r="H128">
        <f t="array" ref="H128">MuGFromP(テーブル2[[#This Row],[P]])</f>
        <v>2.1145404359092259E-5</v>
      </c>
      <c r="I128">
        <f t="array" ref="I128">MuFFromP(テーブル2[[#This Row],[P]])</f>
        <v>7.6371158483287791E-5</v>
      </c>
      <c r="J128">
        <f t="array" ref="J128">KfFromP(テーブル2[[#This Row],[P]])</f>
        <v>0.51093471001103663</v>
      </c>
      <c r="K128">
        <f t="array" ref="K128">CpFFromP(テーブル2[[#This Row],[P]])</f>
        <v>6848.0719740579098</v>
      </c>
      <c r="L128">
        <f t="array" ref="L128">SigmaFromP(テーブル2[[#This Row],[P]])</f>
        <v>8.6953190176285583E-3</v>
      </c>
      <c r="M128">
        <v>127</v>
      </c>
      <c r="N128">
        <v>2834.5204889001602</v>
      </c>
      <c r="O128" s="8">
        <f t="shared" si="58"/>
        <v>2.8502295699234246E-6</v>
      </c>
      <c r="P128" s="8">
        <f t="shared" si="59"/>
        <v>5.9847340050885557E-3</v>
      </c>
      <c r="Q128" s="8">
        <v>1.905E-3</v>
      </c>
      <c r="R128">
        <v>0.69596000000000002</v>
      </c>
      <c r="S128" s="15">
        <v>3568393.84765625</v>
      </c>
      <c r="T128">
        <v>297.61642558059998</v>
      </c>
      <c r="U128" s="12">
        <f>+T128+BG128*S128*テーブル2[[#This Row],[Pw]]*R128/(N128*O128*K128)</f>
        <v>566.25857642779761</v>
      </c>
      <c r="V128">
        <v>0.03</v>
      </c>
      <c r="W128" s="8">
        <f t="shared" si="28"/>
        <v>70704.198267942062</v>
      </c>
      <c r="X128">
        <v>3.5490800697075997E-2</v>
      </c>
      <c r="Y128">
        <f t="shared" si="29"/>
        <v>5.3081367316897365</v>
      </c>
      <c r="Z128">
        <f t="shared" si="30"/>
        <v>5.3081367455630755</v>
      </c>
      <c r="AA128">
        <f t="shared" si="31"/>
        <v>-1.3873338922110179E-8</v>
      </c>
      <c r="AB128">
        <f t="shared" si="32"/>
        <v>1.9146850222054113E-5</v>
      </c>
      <c r="AC128">
        <v>665.77099227354267</v>
      </c>
      <c r="AD128">
        <f t="shared" si="33"/>
        <v>2354.65948696959</v>
      </c>
      <c r="AE128">
        <f>+gettm2(AD128,AC128,AK128,AL128,テーブル2[[#This Row],[Fcorr]])</f>
        <v>566.25857708550745</v>
      </c>
      <c r="AF128" s="14">
        <f t="shared" si="34"/>
        <v>6.5770984747359762E-7</v>
      </c>
      <c r="AG128">
        <v>1.9208608203278501E-5</v>
      </c>
      <c r="AH128">
        <f t="shared" si="35"/>
        <v>54.496602313917549</v>
      </c>
      <c r="AI128">
        <f t="shared" si="36"/>
        <v>0.28865356159538591</v>
      </c>
      <c r="AJ128">
        <f t="shared" si="37"/>
        <v>47.485282453891465</v>
      </c>
      <c r="AK128">
        <f t="array" ref="AK128">+S128*テーブル2[[#This Row],[F_form]]/(E128*CpFromTP((テーブル2[[#This Row],[Tin]]+テーブル2[[#This Row],[Tf]])/2,テーブル2[[#This Row],[P]])*AI128)</f>
        <v>4.4120884296742533</v>
      </c>
      <c r="AL128">
        <f t="shared" si="38"/>
        <v>1.023604738117011</v>
      </c>
      <c r="AM128">
        <f t="shared" si="39"/>
        <v>598.16775836948898</v>
      </c>
      <c r="AN128">
        <f t="shared" si="40"/>
        <v>4.2741021388792433E-8</v>
      </c>
      <c r="AO128">
        <f t="shared" si="41"/>
        <v>6.1757981224388266E-8</v>
      </c>
      <c r="AP128">
        <v>3.996351483768052</v>
      </c>
      <c r="AQ128">
        <f t="shared" si="42"/>
        <v>5.3603040474718034E-5</v>
      </c>
      <c r="AR128">
        <f t="shared" si="43"/>
        <v>9.6351830922514449E-6</v>
      </c>
      <c r="AS128">
        <f t="shared" si="44"/>
        <v>23.81897666861822</v>
      </c>
      <c r="AT128">
        <f t="shared" si="45"/>
        <v>12.802413009945576</v>
      </c>
      <c r="AU128">
        <f t="shared" si="46"/>
        <v>3.6954621123358953</v>
      </c>
      <c r="AV128">
        <f t="shared" si="47"/>
        <v>0.30088937143215677</v>
      </c>
      <c r="AW128">
        <f t="shared" si="48"/>
        <v>1.0349906784917595E-2</v>
      </c>
      <c r="AX128">
        <f t="shared" si="49"/>
        <v>0.30088934975505488</v>
      </c>
      <c r="AY128">
        <f t="shared" si="50"/>
        <v>2.1677101891270922E-8</v>
      </c>
      <c r="AZ128">
        <f t="shared" si="51"/>
        <v>1189751.8930438254</v>
      </c>
      <c r="BA128">
        <f t="shared" si="52"/>
        <v>1.3412994500718233E-5</v>
      </c>
      <c r="BB128" s="15">
        <f t="shared" si="53"/>
        <v>3582938.3407887351</v>
      </c>
      <c r="BC128" s="20">
        <f t="shared" si="54"/>
        <v>14544.493132485077</v>
      </c>
      <c r="BD128" s="19">
        <f t="shared" si="55"/>
        <v>0.40759214799224081</v>
      </c>
      <c r="BE128" s="15">
        <v>2523672</v>
      </c>
      <c r="BF128" s="16">
        <f>テーブル2[[#This Row],[q_P]]/テーブル2[[#This Row],[q_M]]</f>
        <v>1.4197321762846895</v>
      </c>
      <c r="BG128">
        <v>1</v>
      </c>
      <c r="BH128">
        <v>-5.6000000000000001E-2</v>
      </c>
      <c r="BI128">
        <v>4.5999999999999999E-2</v>
      </c>
      <c r="BJ128">
        <v>5625</v>
      </c>
      <c r="BK128" s="22">
        <v>1</v>
      </c>
      <c r="BL128">
        <f>テーブル2[[#This Row],[Ts]]-テーブル2[[#This Row],[Tin]]</f>
        <v>300.55133283163002</v>
      </c>
      <c r="BM128">
        <f>テーブル2[[#This Row],[q_P]]*0.000001</f>
        <v>3.582938340788735</v>
      </c>
      <c r="BN128">
        <f>テーブル2[[#This Row],[Tsub]]</f>
        <v>300.55133283163002</v>
      </c>
      <c r="BO128">
        <f>テーブル2[[#This Row],[Fcorr]]</f>
        <v>1</v>
      </c>
      <c r="BP128">
        <f>(テーブル2[[#This Row],[Tsub]]-40)^2</f>
        <v>67886.997040338843</v>
      </c>
      <c r="BQ128">
        <v>1</v>
      </c>
      <c r="BR128">
        <v>0.69596000000000002</v>
      </c>
    </row>
    <row r="129" spans="1:70" x14ac:dyDescent="0.15">
      <c r="A129" s="9" t="s">
        <v>197</v>
      </c>
      <c r="B129">
        <v>12065825.263044599</v>
      </c>
      <c r="C129" s="22">
        <f t="array" ref="C129">TsatFromP(テーブル2[[#This Row],[P]])</f>
        <v>598.16775841223</v>
      </c>
      <c r="D129">
        <f t="array" ref="D129">RhoGFromP(テーブル2[[#This Row],[P]])</f>
        <v>70.719127092772837</v>
      </c>
      <c r="E129">
        <f t="array" ref="E129">RhoFFromP(テーブル2[[#This Row],[P]])</f>
        <v>654.05698086006123</v>
      </c>
      <c r="F129">
        <f t="array" ref="F129">HgFromP(テーブル2[[#This Row],[P]])</f>
        <v>2683685.0883769058</v>
      </c>
      <c r="G129">
        <f t="array" ref="G129">HfFromP(テーブル2[[#This Row],[P]])</f>
        <v>1493933.1953330804</v>
      </c>
      <c r="H129">
        <f t="array" ref="H129">MuGFromP(テーブル2[[#This Row],[P]])</f>
        <v>2.1145404359092259E-5</v>
      </c>
      <c r="I129">
        <f t="array" ref="I129">MuFFromP(テーブル2[[#This Row],[P]])</f>
        <v>7.6371158483287791E-5</v>
      </c>
      <c r="J129">
        <f t="array" ref="J129">KfFromP(テーブル2[[#This Row],[P]])</f>
        <v>0.51093471001103663</v>
      </c>
      <c r="K129">
        <f t="array" ref="K129">CpFFromP(テーブル2[[#This Row],[P]])</f>
        <v>6848.0719740579098</v>
      </c>
      <c r="L129">
        <f t="array" ref="L129">SigmaFromP(テーブル2[[#This Row],[P]])</f>
        <v>8.6953190176285583E-3</v>
      </c>
      <c r="M129">
        <v>128</v>
      </c>
      <c r="N129">
        <v>3295.6386545585601</v>
      </c>
      <c r="O129" s="8">
        <f t="shared" si="58"/>
        <v>2.8502295699234246E-6</v>
      </c>
      <c r="P129" s="8">
        <f t="shared" si="59"/>
        <v>5.9847340050885557E-3</v>
      </c>
      <c r="Q129" s="8">
        <v>1.905E-3</v>
      </c>
      <c r="R129">
        <v>0.69596000000000002</v>
      </c>
      <c r="S129" s="15">
        <v>4103513.5135937501</v>
      </c>
      <c r="T129">
        <v>297.11185267539003</v>
      </c>
      <c r="U129" s="12">
        <f>+T129+BG129*S129*テーブル2[[#This Row],[Pw]]*R129/(N129*O129*K129)</f>
        <v>562.81533998867167</v>
      </c>
      <c r="V129">
        <v>0.03</v>
      </c>
      <c r="W129" s="8">
        <f t="shared" si="28"/>
        <v>82206.316646458974</v>
      </c>
      <c r="X129">
        <v>3.3064274849559552E-2</v>
      </c>
      <c r="Y129">
        <f t="shared" si="29"/>
        <v>5.4994657138155487</v>
      </c>
      <c r="Z129">
        <f t="shared" si="30"/>
        <v>5.4994657451812641</v>
      </c>
      <c r="AA129">
        <f t="shared" si="31"/>
        <v>-3.1365715358333546E-8</v>
      </c>
      <c r="AB129">
        <f t="shared" si="32"/>
        <v>1.5203170290678916E-5</v>
      </c>
      <c r="AC129">
        <v>666.22411188559533</v>
      </c>
      <c r="AD129">
        <f t="shared" si="33"/>
        <v>2642.4677860547035</v>
      </c>
      <c r="AE129">
        <f>+gettm2(AD129,AC129,AK129,AL129,テーブル2[[#This Row],[Fcorr]])</f>
        <v>562.81534065091262</v>
      </c>
      <c r="AF129" s="14">
        <f t="shared" si="34"/>
        <v>6.6224095007783035E-7</v>
      </c>
      <c r="AG129">
        <v>1.5261176473988111E-5</v>
      </c>
      <c r="AH129">
        <f t="shared" si="35"/>
        <v>68.63294050946466</v>
      </c>
      <c r="AI129">
        <f t="shared" si="36"/>
        <v>0.32393547435065517</v>
      </c>
      <c r="AJ129">
        <f t="shared" si="37"/>
        <v>42.338233291138586</v>
      </c>
      <c r="AK129">
        <f t="array" ref="AK129">+S129*テーブル2[[#This Row],[F_form]]/(E129*CpFromTP((テーブル2[[#This Row],[Tin]]+テーブル2[[#This Row],[Tf]])/2,テーブル2[[#This Row],[P]])*AI129)</f>
        <v>4.5263922038334252</v>
      </c>
      <c r="AL129">
        <f t="shared" si="38"/>
        <v>1.023604738117011</v>
      </c>
      <c r="AM129">
        <f t="shared" si="39"/>
        <v>598.16775839434899</v>
      </c>
      <c r="AN129">
        <f t="shared" si="40"/>
        <v>1.7881006897368934E-8</v>
      </c>
      <c r="AO129">
        <f t="shared" si="41"/>
        <v>5.8006183309195188E-8</v>
      </c>
      <c r="AP129">
        <v>4.2777325235297852</v>
      </c>
      <c r="AQ129">
        <f t="shared" si="42"/>
        <v>4.6783157394084537E-5</v>
      </c>
      <c r="AR129">
        <f t="shared" si="43"/>
        <v>7.6595913286486538E-6</v>
      </c>
      <c r="AS129">
        <f t="shared" si="44"/>
        <v>21.249578310024166</v>
      </c>
      <c r="AT129">
        <f t="shared" si="45"/>
        <v>12.231685254696849</v>
      </c>
      <c r="AU129">
        <f t="shared" si="46"/>
        <v>3.9622767650881383</v>
      </c>
      <c r="AV129">
        <f t="shared" si="47"/>
        <v>0.31545575844164686</v>
      </c>
      <c r="AW129">
        <f t="shared" si="48"/>
        <v>8.2181347594452708E-3</v>
      </c>
      <c r="AX129">
        <f t="shared" si="49"/>
        <v>0.31545575729241437</v>
      </c>
      <c r="AY129">
        <f t="shared" si="50"/>
        <v>1.1492324869522008E-9</v>
      </c>
      <c r="AZ129">
        <f t="shared" si="51"/>
        <v>1189751.8930438254</v>
      </c>
      <c r="BA129">
        <f t="shared" si="52"/>
        <v>1.093643820335949E-5</v>
      </c>
      <c r="BB129" s="15">
        <f t="shared" si="53"/>
        <v>4127341.2426133342</v>
      </c>
      <c r="BC129" s="20">
        <f t="shared" si="54"/>
        <v>23827.729019584134</v>
      </c>
      <c r="BD129" s="19">
        <f t="shared" si="55"/>
        <v>0.58066651762324595</v>
      </c>
      <c r="BE129" s="15">
        <v>3006324.27</v>
      </c>
      <c r="BF129" s="16">
        <f>テーブル2[[#This Row],[q_P]]/テーブル2[[#This Row],[q_M]]</f>
        <v>1.3728862464371929</v>
      </c>
      <c r="BG129">
        <v>1</v>
      </c>
      <c r="BH129">
        <v>-4.2000000000000003E-2</v>
      </c>
      <c r="BI129">
        <v>4.5999999999999999E-2</v>
      </c>
      <c r="BJ129">
        <v>5625</v>
      </c>
      <c r="BK129" s="22">
        <v>1</v>
      </c>
      <c r="BL129">
        <f>テーブル2[[#This Row],[Ts]]-テーブル2[[#This Row],[Tin]]</f>
        <v>301.05590573683997</v>
      </c>
      <c r="BM129">
        <f>テーブル2[[#This Row],[q_P]]*0.000001</f>
        <v>4.1273412426133342</v>
      </c>
      <c r="BN129">
        <f>テーブル2[[#This Row],[Tsub]]</f>
        <v>301.05590573683997</v>
      </c>
      <c r="BO129">
        <f>テーブル2[[#This Row],[Fcorr]]</f>
        <v>1</v>
      </c>
      <c r="BP129">
        <f>(テーブル2[[#This Row],[Tsub]]-40)^2</f>
        <v>68150.185920081873</v>
      </c>
      <c r="BQ129">
        <v>1</v>
      </c>
      <c r="BR129">
        <v>0.69596000000000002</v>
      </c>
    </row>
    <row r="130" spans="1:70" x14ac:dyDescent="0.15">
      <c r="A130" s="9" t="s">
        <v>198</v>
      </c>
      <c r="B130">
        <v>12065825.263044599</v>
      </c>
      <c r="C130" s="22">
        <f t="array" ref="C130">TsatFromP(テーブル2[[#This Row],[P]])</f>
        <v>598.16775841223</v>
      </c>
      <c r="D130">
        <f t="array" ref="D130">RhoGFromP(テーブル2[[#This Row],[P]])</f>
        <v>70.719127092772837</v>
      </c>
      <c r="E130">
        <f t="array" ref="E130">RhoFFromP(テーブル2[[#This Row],[P]])</f>
        <v>654.05698086006123</v>
      </c>
      <c r="F130">
        <f t="array" ref="F130">HgFromP(テーブル2[[#This Row],[P]])</f>
        <v>2683685.0883769058</v>
      </c>
      <c r="G130">
        <f t="array" ref="G130">HfFromP(テーブル2[[#This Row],[P]])</f>
        <v>1493933.1953330804</v>
      </c>
      <c r="H130">
        <f t="array" ref="H130">MuGFromP(テーブル2[[#This Row],[P]])</f>
        <v>2.1145404359092259E-5</v>
      </c>
      <c r="I130">
        <f t="array" ref="I130">MuFFromP(テーブル2[[#This Row],[P]])</f>
        <v>7.6371158483287791E-5</v>
      </c>
      <c r="J130">
        <f t="array" ref="J130">KfFromP(テーブル2[[#This Row],[P]])</f>
        <v>0.51093471001103663</v>
      </c>
      <c r="K130">
        <f t="array" ref="K130">CpFFromP(テーブル2[[#This Row],[P]])</f>
        <v>6848.0719740579098</v>
      </c>
      <c r="L130">
        <f t="array" ref="L130">SigmaFromP(テーブル2[[#This Row],[P]])</f>
        <v>8.6953190176285583E-3</v>
      </c>
      <c r="M130">
        <v>129</v>
      </c>
      <c r="N130">
        <v>3471.9485414279502</v>
      </c>
      <c r="O130" s="8">
        <f t="shared" si="58"/>
        <v>2.8502295699234246E-6</v>
      </c>
      <c r="P130" s="8">
        <f t="shared" si="59"/>
        <v>5.9847340050885557E-3</v>
      </c>
      <c r="Q130" s="8">
        <v>1.905E-3</v>
      </c>
      <c r="R130">
        <v>0.69596000000000002</v>
      </c>
      <c r="S130" s="15">
        <v>4343195.60546875</v>
      </c>
      <c r="T130">
        <v>294.30874222031798</v>
      </c>
      <c r="U130" s="12">
        <f>+T130+BG130*S130*テーブル2[[#This Row],[Pw]]*R130/(N130*O130*K130)</f>
        <v>561.25084919084793</v>
      </c>
      <c r="V130">
        <v>0.03</v>
      </c>
      <c r="W130" s="8">
        <f t="shared" ref="W130:W193" si="60">+N130*Q130/I130</f>
        <v>86604.185438244895</v>
      </c>
      <c r="X130">
        <v>3.2280713915647422E-2</v>
      </c>
      <c r="Y130">
        <f t="shared" ref="Y130:Y193" si="61">IF(X130&gt;0,1/X130^0.5,1)</f>
        <v>5.5658107404926085</v>
      </c>
      <c r="Z130">
        <f t="shared" ref="Z130:Z193" si="62">IF(X130&gt;0,1.14-2*LOG((0.72*L130*E130)/(X130*Q130*N130^2)+9.35/(W130*X130^0.5)),0)</f>
        <v>5.5658107462575783</v>
      </c>
      <c r="AA130">
        <f t="shared" ref="AA130:AA193" si="63">+Y130-Z130</f>
        <v>-5.7649698348427592E-9</v>
      </c>
      <c r="AB130">
        <f t="shared" ref="AB130:AB193" si="64">32/X130*L130*V130*E130/N130^2</f>
        <v>1.4030806913641187E-5</v>
      </c>
      <c r="AC130">
        <v>666.99369060809352</v>
      </c>
      <c r="AD130">
        <f t="shared" ref="AD130:AD193" si="65">+Q130/2*AI130/I130*E130</f>
        <v>2750.6507882578589</v>
      </c>
      <c r="AE130">
        <f>+gettm2(AD130,AC130,AK130,AL130,テーブル2[[#This Row],[Fcorr]])</f>
        <v>561.25084986078468</v>
      </c>
      <c r="AF130" s="14">
        <f t="shared" ref="AF130:AF193" si="66">+AE130-U130</f>
        <v>6.699367531837197E-7</v>
      </c>
      <c r="AG130">
        <v>1.408776719755435E-5</v>
      </c>
      <c r="AH130">
        <f t="shared" ref="AH130:AH193" si="67">+X130*N130^2/(8*E130)</f>
        <v>74.36766028766057</v>
      </c>
      <c r="AI130">
        <f t="shared" ref="AI130:AI193" si="68">+(AH130/E130)^0.5</f>
        <v>0.33719743815596592</v>
      </c>
      <c r="AJ130">
        <f t="shared" ref="AJ130:AJ193" si="69">+AG130*AI130/I130*E130</f>
        <v>40.682968972961781</v>
      </c>
      <c r="AK130">
        <f t="array" ref="AK130">+S130*テーブル2[[#This Row],[F_form]]/(E130*CpFromTP((テーブル2[[#This Row],[Tin]]+テーブル2[[#This Row],[Tf]])/2,テーブル2[[#This Row],[P]])*AI130)</f>
        <v>4.6081337432180227</v>
      </c>
      <c r="AL130">
        <f t="shared" ref="AL130:AL193" si="70">+K130*I130/J130</f>
        <v>1.023604738117011</v>
      </c>
      <c r="AM130">
        <f t="shared" ref="AM130:AM193" si="71">+gettyp(AC130,AJ130,AK130,AL130)</f>
        <v>598.16775840431637</v>
      </c>
      <c r="AN130">
        <f t="shared" ref="AN130:AN193" si="72">+C130-AM130</f>
        <v>7.9136270869639702E-9</v>
      </c>
      <c r="AO130">
        <f t="shared" ref="AO130:AO193" si="73">+AG130-AB130</f>
        <v>5.696028391316385E-8</v>
      </c>
      <c r="AP130">
        <v>4.3784762305645311</v>
      </c>
      <c r="AQ130">
        <f t="shared" ref="AQ130:AQ193" si="74">2*PI()*L130*(D130+E130)/(D130*E130*AP130^2)</f>
        <v>4.4655071343375088E-5</v>
      </c>
      <c r="AR130">
        <f t="shared" ref="AR130:AR193" si="75">+AO130+AB130/2</f>
        <v>7.0723637407337571E-6</v>
      </c>
      <c r="AS130">
        <f t="shared" ref="AS130:AS193" si="76">+AR130*AI130/I130*E130</f>
        <v>20.423730076950772</v>
      </c>
      <c r="AT130">
        <f t="shared" ref="AT130:AT193" si="77">+getublp(AS130)</f>
        <v>12.033487319390172</v>
      </c>
      <c r="AU130">
        <f t="shared" ref="AU130:AU193" si="78">+AT130*AI130</f>
        <v>4.0576610961806674</v>
      </c>
      <c r="AV130">
        <f t="shared" ref="AV130:AV193" si="79">+AP130-AU130</f>
        <v>0.32081513438386366</v>
      </c>
      <c r="AW130">
        <f t="shared" ref="AW130:AW193" si="80">2/3*AB130/(L130/(9.8*(E130-D130)))^0.5</f>
        <v>7.5844090275535882E-3</v>
      </c>
      <c r="AX130">
        <f t="shared" ref="AX130:AX193" si="81">+(2*AQ130*9.8*(E130-D130)/(E130*AW130))^0.5</f>
        <v>0.32081513100826758</v>
      </c>
      <c r="AY130">
        <f t="shared" ref="AY130:AY193" si="82">+AV130-AX130</f>
        <v>3.3755960804349172E-9</v>
      </c>
      <c r="AZ130">
        <f t="shared" ref="AZ130:AZ193" si="83">+F130-G130</f>
        <v>1189751.8930438254</v>
      </c>
      <c r="BA130">
        <f t="shared" ref="BA130:BA193" si="84">+AQ130/AP130</f>
        <v>1.0198769844096553E-5</v>
      </c>
      <c r="BB130" s="15">
        <f t="shared" ref="BB130:BB193" si="85">+E130*AO130*AZ130/BA130</f>
        <v>4346066.2670651497</v>
      </c>
      <c r="BC130" s="20">
        <f t="shared" ref="BC130:BC193" si="86">BB130-S130</f>
        <v>2870.6615963997319</v>
      </c>
      <c r="BD130" s="19">
        <f t="shared" ref="BD130:BD193" si="87">+(BB130-S130)/S130*100</f>
        <v>6.6095609251057647E-2</v>
      </c>
      <c r="BE130" s="15">
        <v>3091498.2</v>
      </c>
      <c r="BF130" s="16">
        <f>テーブル2[[#This Row],[q_P]]/テーブル2[[#This Row],[q_M]]</f>
        <v>1.4058123233146793</v>
      </c>
      <c r="BG130">
        <v>1</v>
      </c>
      <c r="BH130">
        <v>-7.8E-2</v>
      </c>
      <c r="BI130">
        <v>4.5999999999999999E-2</v>
      </c>
      <c r="BJ130">
        <v>5625</v>
      </c>
      <c r="BK130" s="22">
        <v>1</v>
      </c>
      <c r="BL130">
        <f>テーブル2[[#This Row],[Ts]]-テーブル2[[#This Row],[Tin]]</f>
        <v>303.85901619191202</v>
      </c>
      <c r="BM130">
        <f>テーブル2[[#This Row],[q_P]]*0.000001</f>
        <v>4.3460662670651491</v>
      </c>
      <c r="BN130">
        <f>テーブル2[[#This Row],[Tsub]]</f>
        <v>303.85901619191202</v>
      </c>
      <c r="BO130">
        <f>テーブル2[[#This Row],[Fcorr]]</f>
        <v>1</v>
      </c>
      <c r="BP130">
        <f>(テーブル2[[#This Row],[Tsub]]-40)^2</f>
        <v>69621.580425763692</v>
      </c>
      <c r="BQ130">
        <v>1</v>
      </c>
      <c r="BR130">
        <v>0.69596000000000002</v>
      </c>
    </row>
    <row r="131" spans="1:70" x14ac:dyDescent="0.15">
      <c r="A131" s="9" t="s">
        <v>199</v>
      </c>
      <c r="B131">
        <v>12065825.263044599</v>
      </c>
      <c r="C131" s="22">
        <f t="array" ref="C131">TsatFromP(テーブル2[[#This Row],[P]])</f>
        <v>598.16775841223</v>
      </c>
      <c r="D131">
        <f t="array" ref="D131">RhoGFromP(テーブル2[[#This Row],[P]])</f>
        <v>70.719127092772837</v>
      </c>
      <c r="E131">
        <f t="array" ref="E131">RhoFFromP(テーブル2[[#This Row],[P]])</f>
        <v>654.05698086006123</v>
      </c>
      <c r="F131">
        <f t="array" ref="F131">HgFromP(テーブル2[[#This Row],[P]])</f>
        <v>2683685.0883769058</v>
      </c>
      <c r="G131">
        <f t="array" ref="G131">HfFromP(テーブル2[[#This Row],[P]])</f>
        <v>1493933.1953330804</v>
      </c>
      <c r="H131">
        <f t="array" ref="H131">MuGFromP(テーブル2[[#This Row],[P]])</f>
        <v>2.1145404359092259E-5</v>
      </c>
      <c r="I131">
        <f t="array" ref="I131">MuFFromP(テーブル2[[#This Row],[P]])</f>
        <v>7.6371158483287791E-5</v>
      </c>
      <c r="J131">
        <f t="array" ref="J131">KfFromP(テーブル2[[#This Row],[P]])</f>
        <v>0.51093471001103663</v>
      </c>
      <c r="K131">
        <f t="array" ref="K131">CpFFromP(テーブル2[[#This Row],[P]])</f>
        <v>6848.0719740579098</v>
      </c>
      <c r="L131">
        <f t="array" ref="L131">SigmaFromP(テーブル2[[#This Row],[P]])</f>
        <v>8.6953190176285583E-3</v>
      </c>
      <c r="M131">
        <v>130</v>
      </c>
      <c r="N131">
        <v>4000.87820203611</v>
      </c>
      <c r="O131" s="8">
        <f t="shared" si="58"/>
        <v>2.8502295699234246E-6</v>
      </c>
      <c r="P131" s="8">
        <f t="shared" si="59"/>
        <v>5.9847340050885557E-3</v>
      </c>
      <c r="Q131" s="8">
        <v>1.905E-3</v>
      </c>
      <c r="R131">
        <v>0.69596000000000002</v>
      </c>
      <c r="S131" s="15">
        <v>4853035.1804687502</v>
      </c>
      <c r="T131">
        <v>299.85899298833198</v>
      </c>
      <c r="U131" s="12">
        <f>+T131+BG131*S131*テーブル2[[#This Row],[Pw]]*R131/(N131*O131*K131)</f>
        <v>558.70357782108022</v>
      </c>
      <c r="V131">
        <v>0.03</v>
      </c>
      <c r="W131" s="8">
        <f t="shared" si="60"/>
        <v>99797.791813602395</v>
      </c>
      <c r="X131">
        <v>3.0280138556132801E-2</v>
      </c>
      <c r="Y131">
        <f t="shared" si="61"/>
        <v>5.7467336773813669</v>
      </c>
      <c r="Z131">
        <f t="shared" si="62"/>
        <v>5.7467337191382422</v>
      </c>
      <c r="AA131">
        <f t="shared" si="63"/>
        <v>-4.1756875290843709E-8</v>
      </c>
      <c r="AB131">
        <f t="shared" si="64"/>
        <v>1.1264289915258989E-5</v>
      </c>
      <c r="AC131">
        <v>665.75739785602002</v>
      </c>
      <c r="AD131">
        <f t="shared" si="65"/>
        <v>3069.9045449326177</v>
      </c>
      <c r="AE131">
        <f>+gettm2(AD131,AC131,AK131,AL131,テーブル2[[#This Row],[Fcorr]])</f>
        <v>558.70357782108022</v>
      </c>
      <c r="AF131" s="14">
        <f t="shared" si="66"/>
        <v>0</v>
      </c>
      <c r="AG131">
        <v>1.1316655590398E-5</v>
      </c>
      <c r="AH131">
        <f t="shared" si="67"/>
        <v>92.63240647792189</v>
      </c>
      <c r="AI131">
        <f t="shared" si="68"/>
        <v>0.37633419420364228</v>
      </c>
      <c r="AJ131">
        <f t="shared" si="69"/>
        <v>36.473545858687594</v>
      </c>
      <c r="AK131">
        <f t="array" ref="AK131">+S131*テーブル2[[#This Row],[F_form]]/(E131*CpFromTP((テーブル2[[#This Row],[Tin]]+テーブル2[[#This Row],[Tf]])/2,テーブル2[[#This Row],[P]])*AI131)</f>
        <v>4.6096331231952545</v>
      </c>
      <c r="AL131">
        <f t="shared" si="70"/>
        <v>1.023604738117011</v>
      </c>
      <c r="AM131">
        <f t="shared" si="71"/>
        <v>598.16775840942444</v>
      </c>
      <c r="AN131">
        <f t="shared" si="72"/>
        <v>2.8055637812940404E-9</v>
      </c>
      <c r="AO131">
        <f t="shared" si="73"/>
        <v>5.236567513901062E-8</v>
      </c>
      <c r="AP131">
        <v>4.6605653767108697</v>
      </c>
      <c r="AQ131">
        <f t="shared" si="74"/>
        <v>3.941300708465171E-5</v>
      </c>
      <c r="AR131">
        <f t="shared" si="75"/>
        <v>5.6845106327685054E-6</v>
      </c>
      <c r="AS131">
        <f t="shared" si="76"/>
        <v>18.321160133599815</v>
      </c>
      <c r="AT131">
        <f t="shared" si="77"/>
        <v>11.49028341655416</v>
      </c>
      <c r="AU131">
        <f t="shared" si="78"/>
        <v>4.3241865507403832</v>
      </c>
      <c r="AV131">
        <f t="shared" si="79"/>
        <v>0.33637882597048652</v>
      </c>
      <c r="AW131">
        <f t="shared" si="80"/>
        <v>6.0889571532204978E-3</v>
      </c>
      <c r="AX131">
        <f t="shared" si="81"/>
        <v>0.33637882516474449</v>
      </c>
      <c r="AY131">
        <f t="shared" si="82"/>
        <v>8.0574202865335565E-10</v>
      </c>
      <c r="AZ131">
        <f t="shared" si="83"/>
        <v>1189751.8930438254</v>
      </c>
      <c r="BA131">
        <f t="shared" si="84"/>
        <v>8.4567008289597052E-6</v>
      </c>
      <c r="BB131" s="15">
        <f t="shared" si="85"/>
        <v>4818565.0919966819</v>
      </c>
      <c r="BC131" s="20">
        <f t="shared" si="86"/>
        <v>-34470.08847206831</v>
      </c>
      <c r="BD131" s="19">
        <f t="shared" si="87"/>
        <v>-0.71027897367805348</v>
      </c>
      <c r="BE131" s="15">
        <v>3615160.14</v>
      </c>
      <c r="BF131" s="16">
        <f>テーブル2[[#This Row],[q_P]]/テーブル2[[#This Row],[q_M]]</f>
        <v>1.3328773568511081</v>
      </c>
      <c r="BG131">
        <v>1</v>
      </c>
      <c r="BH131">
        <v>-4.2999999999999997E-2</v>
      </c>
      <c r="BI131">
        <v>4.5999999999999999E-2</v>
      </c>
      <c r="BJ131">
        <v>5625</v>
      </c>
      <c r="BK131" s="22">
        <v>1</v>
      </c>
      <c r="BL131">
        <f>テーブル2[[#This Row],[Ts]]-テーブル2[[#This Row],[Tin]]</f>
        <v>298.30876542389802</v>
      </c>
      <c r="BM131">
        <f>テーブル2[[#This Row],[q_P]]*0.000001</f>
        <v>4.8185650919966818</v>
      </c>
      <c r="BN131">
        <f>テーブル2[[#This Row],[Tsub]]</f>
        <v>298.30876542389802</v>
      </c>
      <c r="BO131">
        <f>テーブル2[[#This Row],[Fcorr]]</f>
        <v>1</v>
      </c>
      <c r="BP131">
        <f>(テーブル2[[#This Row],[Tsub]]-40)^2</f>
        <v>66723.418294818373</v>
      </c>
      <c r="BQ131">
        <v>1</v>
      </c>
      <c r="BR131">
        <v>0.69596000000000002</v>
      </c>
    </row>
    <row r="132" spans="1:70" x14ac:dyDescent="0.15">
      <c r="A132" s="9" t="s">
        <v>200</v>
      </c>
      <c r="B132">
        <v>12065825.263044599</v>
      </c>
      <c r="C132" s="22">
        <f t="array" ref="C132">TsatFromP(テーブル2[[#This Row],[P]])</f>
        <v>598.16775841223</v>
      </c>
      <c r="D132">
        <f t="array" ref="D132">RhoGFromP(テーブル2[[#This Row],[P]])</f>
        <v>70.719127092772837</v>
      </c>
      <c r="E132">
        <f t="array" ref="E132">RhoFFromP(テーブル2[[#This Row],[P]])</f>
        <v>654.05698086006123</v>
      </c>
      <c r="F132">
        <f t="array" ref="F132">HgFromP(テーブル2[[#This Row],[P]])</f>
        <v>2683685.0883769058</v>
      </c>
      <c r="G132">
        <f t="array" ref="G132">HfFromP(テーブル2[[#This Row],[P]])</f>
        <v>1493933.1953330804</v>
      </c>
      <c r="H132">
        <f t="array" ref="H132">MuGFromP(テーブル2[[#This Row],[P]])</f>
        <v>2.1145404359092259E-5</v>
      </c>
      <c r="I132">
        <f t="array" ref="I132">MuFFromP(テーブル2[[#This Row],[P]])</f>
        <v>7.6371158483287791E-5</v>
      </c>
      <c r="J132">
        <f t="array" ref="J132">KfFromP(テーブル2[[#This Row],[P]])</f>
        <v>0.51093471001103663</v>
      </c>
      <c r="K132">
        <f t="array" ref="K132">CpFFromP(テーブル2[[#This Row],[P]])</f>
        <v>6848.0719740579098</v>
      </c>
      <c r="L132">
        <f t="array" ref="L132">SigmaFromP(テーブル2[[#This Row],[P]])</f>
        <v>8.6953190176285583E-3</v>
      </c>
      <c r="M132">
        <v>131</v>
      </c>
      <c r="N132">
        <v>4028.00280001602</v>
      </c>
      <c r="O132" s="8">
        <f t="shared" si="58"/>
        <v>2.8502295699234246E-6</v>
      </c>
      <c r="P132" s="8">
        <f t="shared" si="59"/>
        <v>5.9847340050885557E-3</v>
      </c>
      <c r="Q132" s="8">
        <v>1.905E-3</v>
      </c>
      <c r="R132">
        <v>0.69596000000000002</v>
      </c>
      <c r="S132" s="15">
        <v>4927346.81640625</v>
      </c>
      <c r="T132">
        <v>297.11185267539003</v>
      </c>
      <c r="U132" s="12">
        <f>+T132+BG132*S132*テーブル2[[#This Row],[Pw]]*R132/(N132*O132*K132)</f>
        <v>558.15021876330763</v>
      </c>
      <c r="V132">
        <v>0.03</v>
      </c>
      <c r="W132" s="8">
        <f t="shared" si="60"/>
        <v>100474.38701233879</v>
      </c>
      <c r="X132">
        <v>3.0189353342588428E-2</v>
      </c>
      <c r="Y132">
        <f t="shared" si="61"/>
        <v>5.7553679598019443</v>
      </c>
      <c r="Z132">
        <f t="shared" si="62"/>
        <v>5.7553679983791914</v>
      </c>
      <c r="AA132">
        <f t="shared" si="63"/>
        <v>-3.8577247174487184E-8</v>
      </c>
      <c r="AB132">
        <f t="shared" si="64"/>
        <v>1.1146512323351711E-5</v>
      </c>
      <c r="AC132">
        <v>666.43737555555037</v>
      </c>
      <c r="AD132">
        <f t="shared" si="65"/>
        <v>3086.0807201296298</v>
      </c>
      <c r="AE132">
        <f>+gettm2(AD132,AC132,AK132,AL132,テーブル2[[#This Row],[Fcorr]])</f>
        <v>558.15021942768135</v>
      </c>
      <c r="AF132" s="14">
        <f t="shared" si="66"/>
        <v>6.6437371515348786E-7</v>
      </c>
      <c r="AG132">
        <v>1.1199773376919701E-5</v>
      </c>
      <c r="AH132">
        <f t="shared" si="67"/>
        <v>93.611189926148086</v>
      </c>
      <c r="AI132">
        <f t="shared" si="68"/>
        <v>0.37831720304608762</v>
      </c>
      <c r="AJ132">
        <f t="shared" si="69"/>
        <v>36.287039042869289</v>
      </c>
      <c r="AK132">
        <f t="array" ref="AK132">+S132*テーブル2[[#This Row],[F_form]]/(E132*CpFromTP((テーブル2[[#This Row],[Tin]]+テーブル2[[#This Row],[Tf]])/2,テーブル2[[#This Row],[P]])*AI132)</f>
        <v>4.6600811273939593</v>
      </c>
      <c r="AL132">
        <f t="shared" si="70"/>
        <v>1.023604738117011</v>
      </c>
      <c r="AM132">
        <f t="shared" si="71"/>
        <v>598.167758401073</v>
      </c>
      <c r="AN132">
        <f t="shared" si="72"/>
        <v>1.1156998880323954E-8</v>
      </c>
      <c r="AO132">
        <f t="shared" si="73"/>
        <v>5.3261053567989851E-8</v>
      </c>
      <c r="AP132">
        <v>4.67464848359805</v>
      </c>
      <c r="AQ132">
        <f t="shared" si="74"/>
        <v>3.9175889151730965E-5</v>
      </c>
      <c r="AR132">
        <f t="shared" si="75"/>
        <v>5.6265172152438452E-6</v>
      </c>
      <c r="AS132">
        <f t="shared" si="76"/>
        <v>18.229801889177409</v>
      </c>
      <c r="AT132">
        <f t="shared" si="77"/>
        <v>11.465288606673083</v>
      </c>
      <c r="AU132">
        <f t="shared" si="78"/>
        <v>4.3375159177927358</v>
      </c>
      <c r="AV132">
        <f t="shared" si="79"/>
        <v>0.33713256580531414</v>
      </c>
      <c r="AW132">
        <f t="shared" si="80"/>
        <v>6.025292002897845E-3</v>
      </c>
      <c r="AX132">
        <f t="shared" si="81"/>
        <v>0.33713256465785951</v>
      </c>
      <c r="AY132">
        <f t="shared" si="82"/>
        <v>1.1474546313117173E-9</v>
      </c>
      <c r="AZ132">
        <f t="shared" si="83"/>
        <v>1189751.8930438254</v>
      </c>
      <c r="BA132">
        <f t="shared" si="84"/>
        <v>8.3804994726742554E-6</v>
      </c>
      <c r="BB132" s="15">
        <f t="shared" si="85"/>
        <v>4945518.6022956828</v>
      </c>
      <c r="BC132" s="20">
        <f t="shared" si="86"/>
        <v>18171.785889432766</v>
      </c>
      <c r="BD132" s="19">
        <f t="shared" si="87"/>
        <v>0.36879453723304828</v>
      </c>
      <c r="BE132" s="15">
        <v>3671942.76</v>
      </c>
      <c r="BF132" s="16">
        <f>テーブル2[[#This Row],[q_P]]/テーブル2[[#This Row],[q_M]]</f>
        <v>1.3468397863303521</v>
      </c>
      <c r="BG132">
        <v>1</v>
      </c>
      <c r="BH132">
        <v>-4.2000000000000003E-2</v>
      </c>
      <c r="BI132">
        <v>4.5999999999999999E-2</v>
      </c>
      <c r="BJ132">
        <v>5625</v>
      </c>
      <c r="BK132" s="22">
        <v>1</v>
      </c>
      <c r="BL132">
        <f>テーブル2[[#This Row],[Ts]]-テーブル2[[#This Row],[Tin]]</f>
        <v>301.05590573683997</v>
      </c>
      <c r="BM132">
        <f>テーブル2[[#This Row],[q_P]]*0.000001</f>
        <v>4.9455186022956825</v>
      </c>
      <c r="BN132">
        <f>テーブル2[[#This Row],[Tsub]]</f>
        <v>301.05590573683997</v>
      </c>
      <c r="BO132">
        <f>テーブル2[[#This Row],[Fcorr]]</f>
        <v>1</v>
      </c>
      <c r="BP132">
        <f>(テーブル2[[#This Row],[Tsub]]-40)^2</f>
        <v>68150.185920081873</v>
      </c>
      <c r="BQ132">
        <v>1</v>
      </c>
      <c r="BR132">
        <v>0.69596000000000002</v>
      </c>
    </row>
    <row r="133" spans="1:70" x14ac:dyDescent="0.15">
      <c r="A133" s="9" t="s">
        <v>201</v>
      </c>
      <c r="B133">
        <v>12065825.263044599</v>
      </c>
      <c r="C133" s="22">
        <f t="array" ref="C133">TsatFromP(テーブル2[[#This Row],[P]])</f>
        <v>598.16775841223</v>
      </c>
      <c r="D133">
        <f t="array" ref="D133">RhoGFromP(テーブル2[[#This Row],[P]])</f>
        <v>70.719127092772837</v>
      </c>
      <c r="E133">
        <f t="array" ref="E133">RhoFFromP(テーブル2[[#This Row],[P]])</f>
        <v>654.05698086006123</v>
      </c>
      <c r="F133">
        <f t="array" ref="F133">HgFromP(テーブル2[[#This Row],[P]])</f>
        <v>2683685.0883769058</v>
      </c>
      <c r="G133">
        <f t="array" ref="G133">HfFromP(テーブル2[[#This Row],[P]])</f>
        <v>1493933.1953330804</v>
      </c>
      <c r="H133">
        <f t="array" ref="H133">MuGFromP(テーブル2[[#This Row],[P]])</f>
        <v>2.1145404359092259E-5</v>
      </c>
      <c r="I133">
        <f t="array" ref="I133">MuFFromP(テーブル2[[#This Row],[P]])</f>
        <v>7.6371158483287791E-5</v>
      </c>
      <c r="J133">
        <f t="array" ref="J133">KfFromP(テーブル2[[#This Row],[P]])</f>
        <v>0.51093471001103663</v>
      </c>
      <c r="K133">
        <f t="array" ref="K133">CpFFromP(テーブル2[[#This Row],[P]])</f>
        <v>6848.0719740579098</v>
      </c>
      <c r="L133">
        <f t="array" ref="L133">SigmaFromP(テーブル2[[#This Row],[P]])</f>
        <v>8.6953190176285583E-3</v>
      </c>
      <c r="M133">
        <v>132</v>
      </c>
      <c r="N133">
        <v>4109.3765939557297</v>
      </c>
      <c r="O133" s="8">
        <f t="shared" si="58"/>
        <v>2.8502295699234246E-6</v>
      </c>
      <c r="P133" s="8">
        <f t="shared" si="59"/>
        <v>5.9847340050885557E-3</v>
      </c>
      <c r="Q133" s="8">
        <v>1.905E-3</v>
      </c>
      <c r="R133">
        <v>0.69596000000000002</v>
      </c>
      <c r="S133" s="15">
        <v>5009458.43265625</v>
      </c>
      <c r="T133">
        <v>297.61642558059998</v>
      </c>
      <c r="U133" s="12">
        <f>+T133+BG133*S133*テーブル2[[#This Row],[Pw]]*R133/(N133*O133*K133)</f>
        <v>557.74964085065892</v>
      </c>
      <c r="V133">
        <v>0.03</v>
      </c>
      <c r="W133" s="8">
        <f t="shared" si="60"/>
        <v>102504.17260854747</v>
      </c>
      <c r="X133">
        <v>2.9922937230895039E-2</v>
      </c>
      <c r="Y133">
        <f t="shared" si="61"/>
        <v>5.7809323771818422</v>
      </c>
      <c r="Z133">
        <f t="shared" si="62"/>
        <v>5.7809324053556983</v>
      </c>
      <c r="AA133">
        <f t="shared" si="63"/>
        <v>-2.817385613695933E-8</v>
      </c>
      <c r="AB133">
        <f t="shared" si="64"/>
        <v>1.0804787528474191E-5</v>
      </c>
      <c r="AC133">
        <v>666.32049253885225</v>
      </c>
      <c r="AD133">
        <f t="shared" si="65"/>
        <v>3134.5028285365606</v>
      </c>
      <c r="AE133">
        <f>+gettm2(AD133,AC133,AK133,AL133,テーブル2[[#This Row],[Fcorr]])</f>
        <v>557.74964151386382</v>
      </c>
      <c r="AF133" s="14">
        <f t="shared" si="66"/>
        <v>6.6320490077487193E-7</v>
      </c>
      <c r="AG133">
        <v>1.0857536782913491E-5</v>
      </c>
      <c r="AH133">
        <f t="shared" si="67"/>
        <v>96.571846449143194</v>
      </c>
      <c r="AI133">
        <f t="shared" si="68"/>
        <v>0.38425318407815057</v>
      </c>
      <c r="AJ133">
        <f t="shared" si="69"/>
        <v>35.730162474521876</v>
      </c>
      <c r="AK133">
        <f t="array" ref="AK133">+S133*テーブル2[[#This Row],[F_form]]/(E133*CpFromTP((テーブル2[[#This Row],[Tin]]+テーブル2[[#This Row],[Tf]])/2,テーブル2[[#This Row],[P]])*AI133)</f>
        <v>4.6644128762253958</v>
      </c>
      <c r="AL133">
        <f t="shared" si="70"/>
        <v>1.023604738117011</v>
      </c>
      <c r="AM133">
        <f t="shared" si="71"/>
        <v>598.16775840445052</v>
      </c>
      <c r="AN133">
        <f t="shared" si="72"/>
        <v>7.7794766184524633E-9</v>
      </c>
      <c r="AO133">
        <f t="shared" si="73"/>
        <v>5.2749254439299754E-8</v>
      </c>
      <c r="AP133">
        <v>4.7155119710003879</v>
      </c>
      <c r="AQ133">
        <f t="shared" si="74"/>
        <v>3.8499853499744613E-5</v>
      </c>
      <c r="AR133">
        <f t="shared" si="75"/>
        <v>5.4551430186763953E-6</v>
      </c>
      <c r="AS133">
        <f t="shared" si="76"/>
        <v>17.951875298805913</v>
      </c>
      <c r="AT133">
        <f t="shared" si="77"/>
        <v>11.388472914741982</v>
      </c>
      <c r="AU133">
        <f t="shared" si="78"/>
        <v>4.3760569792773829</v>
      </c>
      <c r="AV133">
        <f t="shared" si="79"/>
        <v>0.33945499172300497</v>
      </c>
      <c r="AW133">
        <f t="shared" si="80"/>
        <v>5.8405712925951358E-3</v>
      </c>
      <c r="AX133">
        <f t="shared" si="81"/>
        <v>0.33945498941766583</v>
      </c>
      <c r="AY133">
        <f t="shared" si="82"/>
        <v>2.3053391418059732E-9</v>
      </c>
      <c r="AZ133">
        <f t="shared" si="83"/>
        <v>1189751.8930438254</v>
      </c>
      <c r="BA133">
        <f t="shared" si="84"/>
        <v>8.16451187835219E-6</v>
      </c>
      <c r="BB133" s="15">
        <f t="shared" si="85"/>
        <v>5027569.585226899</v>
      </c>
      <c r="BC133" s="20">
        <f t="shared" si="86"/>
        <v>18111.15257064905</v>
      </c>
      <c r="BD133" s="19">
        <f t="shared" si="87"/>
        <v>0.36153913270512295</v>
      </c>
      <c r="BE133" s="15">
        <v>3653015.22</v>
      </c>
      <c r="BF133" s="16">
        <f>テーブル2[[#This Row],[q_P]]/テーブル2[[#This Row],[q_M]]</f>
        <v>1.3762793972774356</v>
      </c>
      <c r="BG133">
        <v>1</v>
      </c>
      <c r="BH133">
        <v>-6.8000000000000005E-2</v>
      </c>
      <c r="BI133">
        <v>4.5999999999999999E-2</v>
      </c>
      <c r="BJ133">
        <v>5625</v>
      </c>
      <c r="BK133" s="22">
        <v>1</v>
      </c>
      <c r="BL133">
        <f>テーブル2[[#This Row],[Ts]]-テーブル2[[#This Row],[Tin]]</f>
        <v>300.55133283163002</v>
      </c>
      <c r="BM133">
        <f>テーブル2[[#This Row],[q_P]]*0.000001</f>
        <v>5.0275695852268987</v>
      </c>
      <c r="BN133">
        <f>テーブル2[[#This Row],[Tsub]]</f>
        <v>300.55133283163002</v>
      </c>
      <c r="BO133">
        <f>テーブル2[[#This Row],[Fcorr]]</f>
        <v>1</v>
      </c>
      <c r="BP133">
        <f>(テーブル2[[#This Row],[Tsub]]-40)^2</f>
        <v>67886.997040338843</v>
      </c>
      <c r="BQ133">
        <v>1</v>
      </c>
      <c r="BR133">
        <v>0.69596000000000002</v>
      </c>
    </row>
    <row r="134" spans="1:70" x14ac:dyDescent="0.15">
      <c r="A134" s="9" t="s">
        <v>202</v>
      </c>
      <c r="B134">
        <v>15513203.909628799</v>
      </c>
      <c r="C134" s="22">
        <f t="array" ref="C134">TsatFromP(テーブル2[[#This Row],[P]])</f>
        <v>617.97483343502051</v>
      </c>
      <c r="D134">
        <f t="array" ref="D134">RhoGFromP(テーブル2[[#This Row],[P]])</f>
        <v>102.22394330033012</v>
      </c>
      <c r="E134">
        <f t="array" ref="E134">RhoFFromP(テーブル2[[#This Row],[P]])</f>
        <v>593.99780321429478</v>
      </c>
      <c r="F134">
        <f t="array" ref="F134">HgFromP(テーブル2[[#This Row],[P]])</f>
        <v>2595333.5493798093</v>
      </c>
      <c r="G134">
        <f t="array" ref="G134">HfFromP(テーブル2[[#This Row],[P]])</f>
        <v>1630481.3857882055</v>
      </c>
      <c r="H134">
        <f t="array" ref="H134">MuGFromP(テーブル2[[#This Row],[P]])</f>
        <v>2.3048203873610289E-5</v>
      </c>
      <c r="I134">
        <f t="array" ref="I134">MuFFromP(テーブル2[[#This Row],[P]])</f>
        <v>6.8200503236293109E-5</v>
      </c>
      <c r="J134">
        <f t="array" ref="J134">KfFromP(テーブル2[[#This Row],[P]])</f>
        <v>0.47171772328903144</v>
      </c>
      <c r="K134">
        <f t="array" ref="K134">CpFFromP(テーブル2[[#This Row],[P]])</f>
        <v>9005.0430614720299</v>
      </c>
      <c r="L134">
        <f t="array" ref="L134">SigmaFromP(テーブル2[[#This Row],[P]])</f>
        <v>4.6429387983550419E-3</v>
      </c>
      <c r="M134">
        <v>133</v>
      </c>
      <c r="N134">
        <v>2034.345</v>
      </c>
      <c r="O134" s="8">
        <f t="shared" si="58"/>
        <v>2.8502295699234246E-6</v>
      </c>
      <c r="P134" s="8">
        <f t="shared" si="59"/>
        <v>5.9847340050885557E-3</v>
      </c>
      <c r="Q134" s="8">
        <v>1.905E-3</v>
      </c>
      <c r="R134">
        <v>0.15240000000000001</v>
      </c>
      <c r="S134" s="15">
        <v>3055865.72265625</v>
      </c>
      <c r="T134">
        <v>532.51320671869905</v>
      </c>
      <c r="U134" s="12">
        <f>+T134+BG134*S134*テーブル2[[#This Row],[Pw]]*R134/(N134*O134*K134)</f>
        <v>585.89262610251524</v>
      </c>
      <c r="V134">
        <v>0.03</v>
      </c>
      <c r="W134" s="8">
        <f t="shared" si="60"/>
        <v>56824.026819463106</v>
      </c>
      <c r="X134">
        <v>3.5196888733325868E-2</v>
      </c>
      <c r="Y134">
        <f t="shared" si="61"/>
        <v>5.3302534800051387</v>
      </c>
      <c r="Z134">
        <f t="shared" si="62"/>
        <v>5.3302535319536952</v>
      </c>
      <c r="AA134">
        <f t="shared" si="63"/>
        <v>-5.1948556567538162E-8</v>
      </c>
      <c r="AB134">
        <f t="shared" si="64"/>
        <v>1.8175884064821805E-5</v>
      </c>
      <c r="AC134">
        <v>692.46511502385511</v>
      </c>
      <c r="AD134">
        <f t="shared" si="65"/>
        <v>1884.5564685194799</v>
      </c>
      <c r="AE134">
        <f>+gettm2(AD134,AC134,AK134,AL134,テーブル2[[#This Row],[Fcorr]])</f>
        <v>585.89262610251512</v>
      </c>
      <c r="AF134" s="14">
        <f t="shared" si="66"/>
        <v>0</v>
      </c>
      <c r="AG134">
        <v>1.8254897812804101E-5</v>
      </c>
      <c r="AH134">
        <f t="shared" si="67"/>
        <v>30.6534006167511</v>
      </c>
      <c r="AI134">
        <f t="shared" si="68"/>
        <v>0.22716787271669706</v>
      </c>
      <c r="AJ134">
        <f t="shared" si="69"/>
        <v>36.1179902942594</v>
      </c>
      <c r="AK134">
        <f t="array" ref="AK134">+S134*テーブル2[[#This Row],[F_form]]/(E134*CpFromTP((テーブル2[[#This Row],[Tin]]+テーブル2[[#This Row],[Tf]])/2,テーブル2[[#This Row],[P]])*AI134)</f>
        <v>4.3677358962694495</v>
      </c>
      <c r="AL134">
        <f t="shared" si="70"/>
        <v>1.3019406270656069</v>
      </c>
      <c r="AM134">
        <f t="shared" si="71"/>
        <v>617.97483342764679</v>
      </c>
      <c r="AN134">
        <f t="shared" si="72"/>
        <v>7.3737282946240157E-9</v>
      </c>
      <c r="AO134">
        <f t="shared" si="73"/>
        <v>7.9013747982296066E-8</v>
      </c>
      <c r="AP134">
        <v>2.832824390793208</v>
      </c>
      <c r="AQ134">
        <f t="shared" si="74"/>
        <v>4.1681528526361128E-5</v>
      </c>
      <c r="AR134">
        <f t="shared" si="75"/>
        <v>9.1669557803931984E-6</v>
      </c>
      <c r="AS134">
        <f t="shared" si="76"/>
        <v>18.13716095808088</v>
      </c>
      <c r="AT134">
        <f t="shared" si="77"/>
        <v>11.439814625830858</v>
      </c>
      <c r="AU134">
        <f t="shared" si="78"/>
        <v>2.5987583528233538</v>
      </c>
      <c r="AV134">
        <f t="shared" si="79"/>
        <v>0.23406603796985426</v>
      </c>
      <c r="AW134">
        <f t="shared" si="80"/>
        <v>1.2345354442456491E-2</v>
      </c>
      <c r="AX134">
        <f t="shared" si="81"/>
        <v>0.23406602139217045</v>
      </c>
      <c r="AY134">
        <f t="shared" si="82"/>
        <v>1.6577683809027022E-8</v>
      </c>
      <c r="AZ134">
        <f t="shared" si="83"/>
        <v>964852.16359160375</v>
      </c>
      <c r="BA134">
        <f t="shared" si="84"/>
        <v>1.4713770702422555E-5</v>
      </c>
      <c r="BB134" s="15">
        <f t="shared" si="85"/>
        <v>3077685.8864232074</v>
      </c>
      <c r="BC134" s="20">
        <f t="shared" si="86"/>
        <v>21820.163766957354</v>
      </c>
      <c r="BD134" s="19">
        <f t="shared" si="87"/>
        <v>0.71404196870242764</v>
      </c>
      <c r="BE134" s="15">
        <v>3059952.3</v>
      </c>
      <c r="BF134" s="16">
        <f>テーブル2[[#This Row],[q_P]]/テーブル2[[#This Row],[q_M]]</f>
        <v>1.0057953800205341</v>
      </c>
      <c r="BG134">
        <v>1</v>
      </c>
      <c r="BH134">
        <v>-1.9E-2</v>
      </c>
      <c r="BI134">
        <v>4.5999999999999999E-2</v>
      </c>
      <c r="BJ134">
        <v>5625</v>
      </c>
      <c r="BK134" s="22">
        <v>1</v>
      </c>
      <c r="BL134">
        <f>テーブル2[[#This Row],[Ts]]-テーブル2[[#This Row],[Tin]]</f>
        <v>85.461626716321462</v>
      </c>
      <c r="BM134">
        <f>テーブル2[[#This Row],[q_P]]*0.000001</f>
        <v>3.0776858864232071</v>
      </c>
      <c r="BN134">
        <f>テーブル2[[#This Row],[Tsub]]</f>
        <v>85.461626716321462</v>
      </c>
      <c r="BO134">
        <f>テーブル2[[#This Row],[Fcorr]]</f>
        <v>1</v>
      </c>
      <c r="BP134">
        <f>(テーブル2[[#This Row],[Tsub]]-40)^2</f>
        <v>2066.7595036941534</v>
      </c>
      <c r="BQ134">
        <v>1</v>
      </c>
      <c r="BR134">
        <v>0.15240000000000001</v>
      </c>
    </row>
    <row r="135" spans="1:70" x14ac:dyDescent="0.15">
      <c r="A135" s="9" t="s">
        <v>203</v>
      </c>
      <c r="B135">
        <v>15513203.909628799</v>
      </c>
      <c r="C135" s="22">
        <f t="array" ref="C135">TsatFromP(テーブル2[[#This Row],[P]])</f>
        <v>617.97483343502051</v>
      </c>
      <c r="D135">
        <f t="array" ref="D135">RhoGFromP(テーブル2[[#This Row],[P]])</f>
        <v>102.22394330033012</v>
      </c>
      <c r="E135">
        <f t="array" ref="E135">RhoFFromP(テーブル2[[#This Row],[P]])</f>
        <v>593.99780321429478</v>
      </c>
      <c r="F135">
        <f t="array" ref="F135">HgFromP(テーブル2[[#This Row],[P]])</f>
        <v>2595333.5493798093</v>
      </c>
      <c r="G135">
        <f t="array" ref="G135">HfFromP(テーブル2[[#This Row],[P]])</f>
        <v>1630481.3857882055</v>
      </c>
      <c r="H135">
        <f t="array" ref="H135">MuGFromP(テーブル2[[#This Row],[P]])</f>
        <v>2.3048203873610289E-5</v>
      </c>
      <c r="I135">
        <f t="array" ref="I135">MuFFromP(テーブル2[[#This Row],[P]])</f>
        <v>6.8200503236293109E-5</v>
      </c>
      <c r="J135">
        <f t="array" ref="J135">KfFromP(テーブル2[[#This Row],[P]])</f>
        <v>0.47171772328903144</v>
      </c>
      <c r="K135">
        <f t="array" ref="K135">CpFFromP(テーブル2[[#This Row],[P]])</f>
        <v>9005.0430614720299</v>
      </c>
      <c r="L135">
        <f t="array" ref="L135">SigmaFromP(テーブル2[[#This Row],[P]])</f>
        <v>4.6429387983550419E-3</v>
      </c>
      <c r="M135">
        <v>134</v>
      </c>
      <c r="N135">
        <v>2061.4695999999999</v>
      </c>
      <c r="O135" s="8">
        <f t="shared" si="58"/>
        <v>2.8502295699234246E-6</v>
      </c>
      <c r="P135" s="8">
        <f t="shared" si="59"/>
        <v>5.9847340050885557E-3</v>
      </c>
      <c r="Q135" s="8">
        <v>1.905E-3</v>
      </c>
      <c r="R135">
        <v>0.15240000000000001</v>
      </c>
      <c r="S135" s="15">
        <v>3232979.8983437498</v>
      </c>
      <c r="T135">
        <v>528.04902786314199</v>
      </c>
      <c r="U135" s="12">
        <f>+T135+BG135*S135*テーブル2[[#This Row],[Pw]]*R135/(N135*O135*K135)</f>
        <v>583.77918325019346</v>
      </c>
      <c r="V135">
        <v>0.03</v>
      </c>
      <c r="W135" s="8">
        <f t="shared" si="60"/>
        <v>57581.680510389277</v>
      </c>
      <c r="X135">
        <v>3.4978260181261399E-2</v>
      </c>
      <c r="Y135">
        <f t="shared" si="61"/>
        <v>5.3468856722663531</v>
      </c>
      <c r="Z135">
        <f t="shared" si="62"/>
        <v>5.3468857046363132</v>
      </c>
      <c r="AA135">
        <f t="shared" si="63"/>
        <v>-3.2369960045741664E-8</v>
      </c>
      <c r="AB135">
        <f t="shared" si="64"/>
        <v>1.7811354909090326E-5</v>
      </c>
      <c r="AC135">
        <v>696.71605467574113</v>
      </c>
      <c r="AD135">
        <f t="shared" si="65"/>
        <v>1903.743564791582</v>
      </c>
      <c r="AE135">
        <f>+gettm2(AD135,AC135,AK135,AL135,テーブル2[[#This Row],[Fcorr]])</f>
        <v>583.77918421735399</v>
      </c>
      <c r="AF135" s="14">
        <f t="shared" si="66"/>
        <v>9.6716053121781442E-7</v>
      </c>
      <c r="AG135">
        <v>1.789304330498579E-5</v>
      </c>
      <c r="AH135">
        <f t="shared" si="67"/>
        <v>31.280756497544875</v>
      </c>
      <c r="AI135">
        <f t="shared" si="68"/>
        <v>0.22948072028404431</v>
      </c>
      <c r="AJ135">
        <f t="shared" si="69"/>
        <v>35.762484038219213</v>
      </c>
      <c r="AK135">
        <f t="array" ref="AK135">+S135*テーブル2[[#This Row],[F_form]]/(E135*CpFromTP((テーブル2[[#This Row],[Tin]]+テーブル2[[#This Row],[Tf]])/2,テーブル2[[#This Row],[P]])*AI135)</f>
        <v>4.6236939782341961</v>
      </c>
      <c r="AL135">
        <f t="shared" si="70"/>
        <v>1.3019406270656069</v>
      </c>
      <c r="AM135">
        <f t="shared" si="71"/>
        <v>617.97483340397457</v>
      </c>
      <c r="AN135">
        <f t="shared" si="72"/>
        <v>3.104594270553207E-8</v>
      </c>
      <c r="AO135">
        <f t="shared" si="73"/>
        <v>8.1688395895464531E-8</v>
      </c>
      <c r="AP135">
        <v>2.8492258973269848</v>
      </c>
      <c r="AQ135">
        <f t="shared" si="74"/>
        <v>4.1203032115004143E-5</v>
      </c>
      <c r="AR135">
        <f t="shared" si="75"/>
        <v>8.9873658504406275E-6</v>
      </c>
      <c r="AS135">
        <f t="shared" si="76"/>
        <v>17.962876537746947</v>
      </c>
      <c r="AT135">
        <f t="shared" si="77"/>
        <v>11.391536068104472</v>
      </c>
      <c r="AU135">
        <f t="shared" si="78"/>
        <v>2.6141379020502842</v>
      </c>
      <c r="AV135">
        <f t="shared" si="79"/>
        <v>0.23508799527670066</v>
      </c>
      <c r="AW135">
        <f t="shared" si="80"/>
        <v>1.2097760343810998E-2</v>
      </c>
      <c r="AX135">
        <f t="shared" si="81"/>
        <v>0.23508798649997814</v>
      </c>
      <c r="AY135">
        <f t="shared" si="82"/>
        <v>8.7767225154244954E-9</v>
      </c>
      <c r="AZ135">
        <f t="shared" si="83"/>
        <v>964852.16359160375</v>
      </c>
      <c r="BA135">
        <f t="shared" si="84"/>
        <v>1.4461132110886317E-5</v>
      </c>
      <c r="BB135" s="15">
        <f t="shared" si="85"/>
        <v>3237454.6097342651</v>
      </c>
      <c r="BC135" s="20">
        <f t="shared" si="86"/>
        <v>4474.7113905153237</v>
      </c>
      <c r="BD135" s="19">
        <f t="shared" si="87"/>
        <v>0.13840826516761551</v>
      </c>
      <c r="BE135" s="15">
        <v>3217681.8</v>
      </c>
      <c r="BF135" s="16">
        <f>テーブル2[[#This Row],[q_P]]/テーブル2[[#This Row],[q_M]]</f>
        <v>1.0061450481940959</v>
      </c>
      <c r="BG135">
        <v>1</v>
      </c>
      <c r="BH135">
        <v>-2.1999999999999999E-2</v>
      </c>
      <c r="BI135">
        <v>4.5999999999999999E-2</v>
      </c>
      <c r="BJ135">
        <v>5625</v>
      </c>
      <c r="BK135" s="22">
        <v>1</v>
      </c>
      <c r="BL135">
        <f>テーブル2[[#This Row],[Ts]]-テーブル2[[#This Row],[Tin]]</f>
        <v>89.925805571878527</v>
      </c>
      <c r="BM135">
        <f>テーブル2[[#This Row],[q_P]]*0.000001</f>
        <v>3.2374546097342649</v>
      </c>
      <c r="BN135">
        <f>テーブル2[[#This Row],[Tsub]]</f>
        <v>89.925805571878527</v>
      </c>
      <c r="BO135">
        <f>テーブル2[[#This Row],[Fcorr]]</f>
        <v>1</v>
      </c>
      <c r="BP135">
        <f>(テーブル2[[#This Row],[Tsub]]-40)^2</f>
        <v>2492.5860620010171</v>
      </c>
      <c r="BQ135">
        <v>1</v>
      </c>
      <c r="BR135">
        <v>0.15240000000000001</v>
      </c>
    </row>
    <row r="136" spans="1:70" x14ac:dyDescent="0.15">
      <c r="A136" s="9" t="s">
        <v>204</v>
      </c>
      <c r="B136">
        <v>15513203.909628799</v>
      </c>
      <c r="C136" s="22">
        <f t="array" ref="C136">TsatFromP(テーブル2[[#This Row],[P]])</f>
        <v>617.97483343502051</v>
      </c>
      <c r="D136">
        <f t="array" ref="D136">RhoGFromP(テーブル2[[#This Row],[P]])</f>
        <v>102.22394330033012</v>
      </c>
      <c r="E136">
        <f t="array" ref="E136">RhoFFromP(テーブル2[[#This Row],[P]])</f>
        <v>593.99780321429478</v>
      </c>
      <c r="F136">
        <f t="array" ref="F136">HgFromP(テーブル2[[#This Row],[P]])</f>
        <v>2595333.5493798093</v>
      </c>
      <c r="G136">
        <f t="array" ref="G136">HfFromP(テーブル2[[#This Row],[P]])</f>
        <v>1630481.3857882055</v>
      </c>
      <c r="H136">
        <f t="array" ref="H136">MuGFromP(テーブル2[[#This Row],[P]])</f>
        <v>2.3048203873610289E-5</v>
      </c>
      <c r="I136">
        <f t="array" ref="I136">MuFFromP(テーブル2[[#This Row],[P]])</f>
        <v>6.8200503236293109E-5</v>
      </c>
      <c r="J136">
        <f t="array" ref="J136">KfFromP(テーブル2[[#This Row],[P]])</f>
        <v>0.47171772328903144</v>
      </c>
      <c r="K136">
        <f t="array" ref="K136">CpFFromP(テーブル2[[#This Row],[P]])</f>
        <v>9005.0430614720299</v>
      </c>
      <c r="L136">
        <f t="array" ref="L136">SigmaFromP(テーブル2[[#This Row],[P]])</f>
        <v>4.6429387983550419E-3</v>
      </c>
      <c r="M136">
        <v>135</v>
      </c>
      <c r="N136">
        <v>2115.7188000000001</v>
      </c>
      <c r="O136" s="8">
        <f t="shared" si="58"/>
        <v>2.8502295699234246E-6</v>
      </c>
      <c r="P136" s="8">
        <f t="shared" si="59"/>
        <v>5.9847340050885557E-3</v>
      </c>
      <c r="Q136" s="8">
        <v>1.905E-3</v>
      </c>
      <c r="R136">
        <v>0.15240000000000001</v>
      </c>
      <c r="S136" s="15">
        <v>3742000.25390625</v>
      </c>
      <c r="T136">
        <v>514.67337606307899</v>
      </c>
      <c r="U136" s="12">
        <f>+T136+BG136*S136*テーブル2[[#This Row],[Pw]]*R136/(N136*O136*K136)</f>
        <v>577.52406634710485</v>
      </c>
      <c r="V136">
        <v>0.03</v>
      </c>
      <c r="W136" s="8">
        <f t="shared" si="60"/>
        <v>59096.987892241639</v>
      </c>
      <c r="X136">
        <v>3.4555174610075408E-2</v>
      </c>
      <c r="Y136">
        <f t="shared" si="61"/>
        <v>5.3795191032892387</v>
      </c>
      <c r="Z136">
        <f t="shared" si="62"/>
        <v>5.3795191594520224</v>
      </c>
      <c r="AA136">
        <f t="shared" si="63"/>
        <v>-5.6162783756974477E-8</v>
      </c>
      <c r="AB136">
        <f t="shared" si="64"/>
        <v>1.7116700383670199E-5</v>
      </c>
      <c r="AC136">
        <v>709.63670370418276</v>
      </c>
      <c r="AD136">
        <f t="shared" si="65"/>
        <v>1941.9896130098641</v>
      </c>
      <c r="AE136">
        <f>+gettm2(AD136,AC136,AK136,AL136,テーブル2[[#This Row],[Fcorr]])</f>
        <v>577.52406634710462</v>
      </c>
      <c r="AF136" s="14">
        <f t="shared" si="66"/>
        <v>0</v>
      </c>
      <c r="AG136">
        <v>1.7207445615557651E-5</v>
      </c>
      <c r="AH136">
        <f t="shared" si="67"/>
        <v>32.550237096756334</v>
      </c>
      <c r="AI136">
        <f t="shared" si="68"/>
        <v>0.23409096866805426</v>
      </c>
      <c r="AJ136">
        <f t="shared" si="69"/>
        <v>35.083129293275675</v>
      </c>
      <c r="AK136">
        <f t="array" ref="AK136">+S136*テーブル2[[#This Row],[F_form]]/(E136*CpFromTP((テーブル2[[#This Row],[Tin]]+テーブル2[[#This Row],[Tf]])/2,テーブル2[[#This Row],[P]])*AI136)</f>
        <v>5.3975929073325073</v>
      </c>
      <c r="AL136">
        <f t="shared" si="70"/>
        <v>1.3019406270656069</v>
      </c>
      <c r="AM136">
        <f t="shared" si="71"/>
        <v>617.97483341692134</v>
      </c>
      <c r="AN136">
        <f t="shared" si="72"/>
        <v>1.8099171938956715E-8</v>
      </c>
      <c r="AO136">
        <f t="shared" si="73"/>
        <v>9.0745231887451772E-8</v>
      </c>
      <c r="AP136">
        <v>2.8821073289421908</v>
      </c>
      <c r="AQ136">
        <f t="shared" si="74"/>
        <v>4.0268239538943363E-5</v>
      </c>
      <c r="AR136">
        <f t="shared" si="75"/>
        <v>8.6490954237225512E-6</v>
      </c>
      <c r="AS136">
        <f t="shared" si="76"/>
        <v>17.634071889554168</v>
      </c>
      <c r="AT136">
        <f t="shared" si="77"/>
        <v>11.299164667073647</v>
      </c>
      <c r="AU136">
        <f t="shared" si="78"/>
        <v>2.645032402055123</v>
      </c>
      <c r="AV136">
        <f t="shared" si="79"/>
        <v>0.23707492688706777</v>
      </c>
      <c r="AW136">
        <f t="shared" si="80"/>
        <v>1.1625939754463948E-2</v>
      </c>
      <c r="AX136">
        <f t="shared" si="81"/>
        <v>0.23707492618553155</v>
      </c>
      <c r="AY136">
        <f t="shared" si="82"/>
        <v>7.015362180062823E-10</v>
      </c>
      <c r="AZ136">
        <f t="shared" si="83"/>
        <v>964852.16359160375</v>
      </c>
      <c r="BA136">
        <f t="shared" si="84"/>
        <v>1.3971804288677502E-5</v>
      </c>
      <c r="BB136" s="15">
        <f t="shared" si="85"/>
        <v>3722347.6780566778</v>
      </c>
      <c r="BC136" s="20">
        <f t="shared" si="86"/>
        <v>-19652.575849572197</v>
      </c>
      <c r="BD136" s="19">
        <f t="shared" si="87"/>
        <v>-0.52518905708402874</v>
      </c>
      <c r="BE136" s="15">
        <v>3722416.2</v>
      </c>
      <c r="BF136" s="16">
        <f>テーブル2[[#This Row],[q_P]]/テーブル2[[#This Row],[q_M]]</f>
        <v>0.99998159207900439</v>
      </c>
      <c r="BG136">
        <v>1</v>
      </c>
      <c r="BH136">
        <v>-2.1999999999999999E-2</v>
      </c>
      <c r="BI136">
        <v>4.5999999999999999E-2</v>
      </c>
      <c r="BJ136">
        <v>5625</v>
      </c>
      <c r="BK136" s="22">
        <v>1</v>
      </c>
      <c r="BL136">
        <f>テーブル2[[#This Row],[Ts]]-テーブル2[[#This Row],[Tin]]</f>
        <v>103.30145737194152</v>
      </c>
      <c r="BM136">
        <f>テーブル2[[#This Row],[q_P]]*0.000001</f>
        <v>3.7223476780566775</v>
      </c>
      <c r="BN136">
        <f>テーブル2[[#This Row],[Tsub]]</f>
        <v>103.30145737194152</v>
      </c>
      <c r="BO136">
        <f>テーブル2[[#This Row],[Fcorr]]</f>
        <v>1</v>
      </c>
      <c r="BP136">
        <f>(テーブル2[[#This Row],[Tsub]]-40)^2</f>
        <v>4007.0745054117301</v>
      </c>
      <c r="BQ136">
        <v>1</v>
      </c>
      <c r="BR136">
        <v>0.15240000000000001</v>
      </c>
    </row>
    <row r="137" spans="1:70" x14ac:dyDescent="0.15">
      <c r="A137" s="9" t="s">
        <v>205</v>
      </c>
      <c r="B137">
        <v>15513203.909628799</v>
      </c>
      <c r="C137" s="22">
        <f t="array" ref="C137">TsatFromP(テーブル2[[#This Row],[P]])</f>
        <v>617.97483343502051</v>
      </c>
      <c r="D137">
        <f t="array" ref="D137">RhoGFromP(テーブル2[[#This Row],[P]])</f>
        <v>102.22394330033012</v>
      </c>
      <c r="E137">
        <f t="array" ref="E137">RhoFFromP(テーブル2[[#This Row],[P]])</f>
        <v>593.99780321429478</v>
      </c>
      <c r="F137">
        <f t="array" ref="F137">HgFromP(テーブル2[[#This Row],[P]])</f>
        <v>2595333.5493798093</v>
      </c>
      <c r="G137">
        <f t="array" ref="G137">HfFromP(テーブル2[[#This Row],[P]])</f>
        <v>1630481.3857882055</v>
      </c>
      <c r="H137">
        <f t="array" ref="H137">MuGFromP(テーブル2[[#This Row],[P]])</f>
        <v>2.3048203873610289E-5</v>
      </c>
      <c r="I137">
        <f t="array" ref="I137">MuFFromP(テーブル2[[#This Row],[P]])</f>
        <v>6.8200503236293109E-5</v>
      </c>
      <c r="J137">
        <f t="array" ref="J137">KfFromP(テーブル2[[#This Row],[P]])</f>
        <v>0.47171772328903144</v>
      </c>
      <c r="K137">
        <f t="array" ref="K137">CpFFromP(テーブル2[[#This Row],[P]])</f>
        <v>9005.0430614720299</v>
      </c>
      <c r="L137">
        <f t="array" ref="L137">SigmaFromP(テーブル2[[#This Row],[P]])</f>
        <v>4.6429387983550419E-3</v>
      </c>
      <c r="M137">
        <v>136</v>
      </c>
      <c r="N137">
        <v>2156.4056999999998</v>
      </c>
      <c r="O137" s="8">
        <f t="shared" si="58"/>
        <v>2.8502295699234246E-6</v>
      </c>
      <c r="P137" s="8">
        <f t="shared" si="59"/>
        <v>5.9847340050885557E-3</v>
      </c>
      <c r="Q137" s="8">
        <v>1.905E-3</v>
      </c>
      <c r="R137">
        <v>0.15240000000000001</v>
      </c>
      <c r="S137" s="15">
        <v>3829275.9610312502</v>
      </c>
      <c r="T137">
        <v>513.57370580890699</v>
      </c>
      <c r="U137" s="12">
        <f>+T137+BG137*S137*テーブル2[[#This Row],[Pw]]*R137/(N137*O137*K137)</f>
        <v>576.6767598595103</v>
      </c>
      <c r="V137">
        <v>0.03</v>
      </c>
      <c r="W137" s="8">
        <f t="shared" si="60"/>
        <v>60233.468428630891</v>
      </c>
      <c r="X137">
        <v>3.4249617312816838E-2</v>
      </c>
      <c r="Y137">
        <f t="shared" si="61"/>
        <v>5.4034624570516518</v>
      </c>
      <c r="Z137">
        <f t="shared" si="62"/>
        <v>5.4034625052942005</v>
      </c>
      <c r="AA137">
        <f t="shared" si="63"/>
        <v>-4.8242548622567938E-8</v>
      </c>
      <c r="AB137">
        <f t="shared" si="64"/>
        <v>1.6623878854372252E-5</v>
      </c>
      <c r="AC137">
        <v>710.45461029609339</v>
      </c>
      <c r="AD137">
        <f t="shared" si="65"/>
        <v>1970.5649071683551</v>
      </c>
      <c r="AE137">
        <f>+gettm2(AD137,AC137,AK137,AL137,テーブル2[[#This Row],[Fcorr]])</f>
        <v>576.67676096405637</v>
      </c>
      <c r="AF137" s="14">
        <f t="shared" si="66"/>
        <v>1.1045460723835276E-6</v>
      </c>
      <c r="AG137">
        <v>1.671485875793634E-5</v>
      </c>
      <c r="AH137">
        <f t="shared" si="67"/>
        <v>33.515201878174665</v>
      </c>
      <c r="AI137">
        <f t="shared" si="68"/>
        <v>0.23753548672557787</v>
      </c>
      <c r="AJ137">
        <f t="shared" si="69"/>
        <v>34.580277266839886</v>
      </c>
      <c r="AK137">
        <f t="array" ref="AK137">+S137*テーブル2[[#This Row],[F_form]]/(E137*CpFromTP((テーブル2[[#This Row],[Tin]]+テーブル2[[#This Row],[Tf]])/2,テーブル2[[#This Row],[P]])*AI137)</f>
        <v>5.4573547130679234</v>
      </c>
      <c r="AL137">
        <f t="shared" si="70"/>
        <v>1.3019406270656069</v>
      </c>
      <c r="AM137">
        <f t="shared" si="71"/>
        <v>617.97483340140627</v>
      </c>
      <c r="AN137">
        <f t="shared" si="72"/>
        <v>3.3614242056501098E-8</v>
      </c>
      <c r="AO137">
        <f t="shared" si="73"/>
        <v>9.097990356408763E-8</v>
      </c>
      <c r="AP137">
        <v>2.9056228638069861</v>
      </c>
      <c r="AQ137">
        <f t="shared" si="74"/>
        <v>3.9619086202504324E-5</v>
      </c>
      <c r="AR137">
        <f t="shared" si="75"/>
        <v>8.4029193307502138E-6</v>
      </c>
      <c r="AS137">
        <f t="shared" si="76"/>
        <v>17.384249817262965</v>
      </c>
      <c r="AT137">
        <f t="shared" si="77"/>
        <v>11.227823066895578</v>
      </c>
      <c r="AU137">
        <f t="shared" si="78"/>
        <v>2.6670064170637113</v>
      </c>
      <c r="AV137">
        <f t="shared" si="79"/>
        <v>0.23861644674327476</v>
      </c>
      <c r="AW137">
        <f t="shared" si="80"/>
        <v>1.1291207400628578E-2</v>
      </c>
      <c r="AX137">
        <f t="shared" si="81"/>
        <v>0.2386164450690455</v>
      </c>
      <c r="AY137">
        <f t="shared" si="82"/>
        <v>1.6742292552329729E-9</v>
      </c>
      <c r="AZ137">
        <f t="shared" si="83"/>
        <v>964852.16359160375</v>
      </c>
      <c r="BA137">
        <f t="shared" si="84"/>
        <v>1.3635316095563367E-5</v>
      </c>
      <c r="BB137" s="15">
        <f t="shared" si="85"/>
        <v>3824070.3723689271</v>
      </c>
      <c r="BC137" s="20">
        <f t="shared" si="86"/>
        <v>-5205.5886623230763</v>
      </c>
      <c r="BD137" s="19">
        <f t="shared" si="87"/>
        <v>-0.13594185207067647</v>
      </c>
      <c r="BE137" s="15">
        <v>3785508</v>
      </c>
      <c r="BF137" s="16">
        <f>テーブル2[[#This Row],[q_P]]/テーブル2[[#This Row],[q_M]]</f>
        <v>1.0101868421276423</v>
      </c>
      <c r="BG137">
        <v>1</v>
      </c>
      <c r="BH137">
        <v>-2.8000000000000001E-2</v>
      </c>
      <c r="BI137">
        <v>4.5999999999999999E-2</v>
      </c>
      <c r="BJ137">
        <v>5625</v>
      </c>
      <c r="BK137" s="22">
        <v>1</v>
      </c>
      <c r="BL137">
        <f>テーブル2[[#This Row],[Ts]]-テーブル2[[#This Row],[Tin]]</f>
        <v>104.40112762611352</v>
      </c>
      <c r="BM137">
        <f>テーブル2[[#This Row],[q_P]]*0.000001</f>
        <v>3.8240703723689271</v>
      </c>
      <c r="BN137">
        <f>テーブル2[[#This Row],[Tsub]]</f>
        <v>104.40112762611352</v>
      </c>
      <c r="BO137">
        <f>テーブル2[[#This Row],[Fcorr]]</f>
        <v>1</v>
      </c>
      <c r="BP137">
        <f>(テーブル2[[#This Row],[Tsub]]-40)^2</f>
        <v>4147.5052395149623</v>
      </c>
      <c r="BQ137">
        <v>1</v>
      </c>
      <c r="BR137">
        <v>0.15240000000000001</v>
      </c>
    </row>
    <row r="138" spans="1:70" x14ac:dyDescent="0.15">
      <c r="A138" s="9" t="s">
        <v>206</v>
      </c>
      <c r="B138">
        <v>15513203.909628799</v>
      </c>
      <c r="C138" s="22">
        <f t="array" ref="C138">TsatFromP(テーブル2[[#This Row],[P]])</f>
        <v>617.97483343502051</v>
      </c>
      <c r="D138">
        <f t="array" ref="D138">RhoGFromP(テーブル2[[#This Row],[P]])</f>
        <v>102.22394330033012</v>
      </c>
      <c r="E138">
        <f t="array" ref="E138">RhoFFromP(テーブル2[[#This Row],[P]])</f>
        <v>593.99780321429478</v>
      </c>
      <c r="F138">
        <f t="array" ref="F138">HgFromP(テーブル2[[#This Row],[P]])</f>
        <v>2595333.5493798093</v>
      </c>
      <c r="G138">
        <f t="array" ref="G138">HfFromP(テーブル2[[#This Row],[P]])</f>
        <v>1630481.3857882055</v>
      </c>
      <c r="H138">
        <f t="array" ref="H138">MuGFromP(テーブル2[[#This Row],[P]])</f>
        <v>2.3048203873610289E-5</v>
      </c>
      <c r="I138">
        <f t="array" ref="I138">MuFFromP(テーブル2[[#This Row],[P]])</f>
        <v>6.8200503236293109E-5</v>
      </c>
      <c r="J138">
        <f t="array" ref="J138">KfFromP(テーブル2[[#This Row],[P]])</f>
        <v>0.47171772328903144</v>
      </c>
      <c r="K138">
        <f t="array" ref="K138">CpFFromP(テーブル2[[#This Row],[P]])</f>
        <v>9005.0430614720299</v>
      </c>
      <c r="L138">
        <f t="array" ref="L138">SigmaFromP(テーブル2[[#This Row],[P]])</f>
        <v>4.6429387983550419E-3</v>
      </c>
      <c r="M138">
        <v>137</v>
      </c>
      <c r="N138">
        <v>2251.3418000000001</v>
      </c>
      <c r="O138" s="8">
        <f t="shared" si="58"/>
        <v>2.8502295699234246E-6</v>
      </c>
      <c r="P138" s="8">
        <f t="shared" si="59"/>
        <v>5.9847340050885557E-3</v>
      </c>
      <c r="Q138" s="8">
        <v>1.905E-3</v>
      </c>
      <c r="R138">
        <v>0.15240000000000001</v>
      </c>
      <c r="S138" s="15">
        <v>5268560.4820312494</v>
      </c>
      <c r="T138">
        <v>475.20630857768703</v>
      </c>
      <c r="U138" s="12">
        <f>+T138+BG138*S138*テーブル2[[#This Row],[Pw]]*R138/(N138*O138*K138)</f>
        <v>558.36635432724984</v>
      </c>
      <c r="V138">
        <v>0.03</v>
      </c>
      <c r="W138" s="8">
        <f t="shared" si="60"/>
        <v>62885.256346872506</v>
      </c>
      <c r="X138">
        <v>3.357281400257757E-2</v>
      </c>
      <c r="Y138">
        <f t="shared" si="61"/>
        <v>5.4576556165522208</v>
      </c>
      <c r="Z138">
        <f t="shared" si="62"/>
        <v>5.4576556280147015</v>
      </c>
      <c r="AA138">
        <f t="shared" si="63"/>
        <v>-1.1462480742352454E-8</v>
      </c>
      <c r="AB138">
        <f t="shared" si="64"/>
        <v>1.5558883062568597E-5</v>
      </c>
      <c r="AC138">
        <v>748.0677459354248</v>
      </c>
      <c r="AD138">
        <f t="shared" si="65"/>
        <v>2036.8906689837515</v>
      </c>
      <c r="AE138">
        <f>+gettm2(AD138,AC138,AK138,AL138,テーブル2[[#This Row],[Fcorr]])</f>
        <v>558.36635580792722</v>
      </c>
      <c r="AF138" s="14">
        <f t="shared" si="66"/>
        <v>1.4806773833697662E-6</v>
      </c>
      <c r="AG138">
        <v>1.567645819645786E-5</v>
      </c>
      <c r="AH138">
        <f t="shared" si="67"/>
        <v>35.809296436130261</v>
      </c>
      <c r="AI138">
        <f t="shared" si="68"/>
        <v>0.24553051498268005</v>
      </c>
      <c r="AJ138">
        <f t="shared" si="69"/>
        <v>33.523602543914819</v>
      </c>
      <c r="AK138">
        <f t="array" ref="AK138">+S138*テーブル2[[#This Row],[F_form]]/(E138*CpFromTP((テーブル2[[#This Row],[Tin]]+テーブル2[[#This Row],[Tf]])/2,テーブル2[[#This Row],[P]])*AI138)</f>
        <v>7.7122654177971119</v>
      </c>
      <c r="AL138">
        <f t="shared" si="70"/>
        <v>1.3019406270656069</v>
      </c>
      <c r="AM138">
        <f t="shared" si="71"/>
        <v>617.97483337116626</v>
      </c>
      <c r="AN138">
        <f t="shared" si="72"/>
        <v>6.3854258769424632E-8</v>
      </c>
      <c r="AO138">
        <f t="shared" si="73"/>
        <v>1.1757513388926331E-7</v>
      </c>
      <c r="AP138">
        <v>2.9630510890262389</v>
      </c>
      <c r="AQ138">
        <f t="shared" si="74"/>
        <v>3.8098218097777583E-5</v>
      </c>
      <c r="AR138">
        <f t="shared" si="75"/>
        <v>7.8970166651735619E-6</v>
      </c>
      <c r="AS138">
        <f t="shared" si="76"/>
        <v>16.887516596431716</v>
      </c>
      <c r="AT138">
        <f t="shared" si="77"/>
        <v>11.082873430250554</v>
      </c>
      <c r="AU138">
        <f t="shared" si="78"/>
        <v>2.7211836208172806</v>
      </c>
      <c r="AV138">
        <f t="shared" si="79"/>
        <v>0.24186746820895832</v>
      </c>
      <c r="AW138">
        <f t="shared" si="80"/>
        <v>1.0567845033073247E-2</v>
      </c>
      <c r="AX138">
        <f t="shared" si="81"/>
        <v>0.24186746350075236</v>
      </c>
      <c r="AY138">
        <f t="shared" si="82"/>
        <v>4.7082059639880214E-9</v>
      </c>
      <c r="AZ138">
        <f t="shared" si="83"/>
        <v>964852.16359160375</v>
      </c>
      <c r="BA138">
        <f t="shared" si="84"/>
        <v>1.2857766185293139E-5</v>
      </c>
      <c r="BB138" s="15">
        <f t="shared" si="85"/>
        <v>5240775.6896851519</v>
      </c>
      <c r="BC138" s="20">
        <f t="shared" si="86"/>
        <v>-27784.792346097529</v>
      </c>
      <c r="BD138" s="19">
        <f t="shared" si="87"/>
        <v>-0.52736971400175203</v>
      </c>
      <c r="BE138" s="15">
        <v>4889614.5</v>
      </c>
      <c r="BF138" s="16">
        <f>テーブル2[[#This Row],[q_P]]/テーブル2[[#This Row],[q_M]]</f>
        <v>1.0718177659374071</v>
      </c>
      <c r="BG138">
        <v>1</v>
      </c>
      <c r="BH138">
        <v>-7.0999999999999994E-2</v>
      </c>
      <c r="BI138">
        <v>4.5999999999999999E-2</v>
      </c>
      <c r="BJ138">
        <v>5625</v>
      </c>
      <c r="BK138" s="22">
        <v>1</v>
      </c>
      <c r="BL138">
        <f>テーブル2[[#This Row],[Ts]]-テーブル2[[#This Row],[Tin]]</f>
        <v>142.76852485733349</v>
      </c>
      <c r="BM138">
        <f>テーブル2[[#This Row],[q_P]]*0.000001</f>
        <v>5.2407756896851518</v>
      </c>
      <c r="BN138">
        <f>テーブル2[[#This Row],[Tsub]]</f>
        <v>142.76852485733349</v>
      </c>
      <c r="BO138">
        <f>テーブル2[[#This Row],[Fcorr]]</f>
        <v>1</v>
      </c>
      <c r="BP138">
        <f>(テーブル2[[#This Row],[Tsub]]-40)^2</f>
        <v>10561.369701352371</v>
      </c>
      <c r="BQ138">
        <v>1</v>
      </c>
      <c r="BR138">
        <v>0.15240000000000001</v>
      </c>
    </row>
    <row r="139" spans="1:70" x14ac:dyDescent="0.15">
      <c r="A139" s="9" t="s">
        <v>207</v>
      </c>
      <c r="B139">
        <v>15513203.909628799</v>
      </c>
      <c r="C139" s="22">
        <f t="array" ref="C139">TsatFromP(テーブル2[[#This Row],[P]])</f>
        <v>617.97483343502051</v>
      </c>
      <c r="D139">
        <f t="array" ref="D139">RhoGFromP(テーブル2[[#This Row],[P]])</f>
        <v>102.22394330033012</v>
      </c>
      <c r="E139">
        <f t="array" ref="E139">RhoFFromP(テーブル2[[#This Row],[P]])</f>
        <v>593.99780321429478</v>
      </c>
      <c r="F139">
        <f t="array" ref="F139">HgFromP(テーブル2[[#This Row],[P]])</f>
        <v>2595333.5493798093</v>
      </c>
      <c r="G139">
        <f t="array" ref="G139">HfFromP(テーブル2[[#This Row],[P]])</f>
        <v>1630481.3857882055</v>
      </c>
      <c r="H139">
        <f t="array" ref="H139">MuGFromP(テーブル2[[#This Row],[P]])</f>
        <v>2.3048203873610289E-5</v>
      </c>
      <c r="I139">
        <f t="array" ref="I139">MuFFromP(テーブル2[[#This Row],[P]])</f>
        <v>6.8200503236293109E-5</v>
      </c>
      <c r="J139">
        <f t="array" ref="J139">KfFromP(テーブル2[[#This Row],[P]])</f>
        <v>0.47171772328903144</v>
      </c>
      <c r="K139">
        <f t="array" ref="K139">CpFFromP(テーブル2[[#This Row],[P]])</f>
        <v>9005.0430614720299</v>
      </c>
      <c r="L139">
        <f t="array" ref="L139">SigmaFromP(テーブル2[[#This Row],[P]])</f>
        <v>4.6429387983550419E-3</v>
      </c>
      <c r="M139">
        <v>138</v>
      </c>
      <c r="N139">
        <v>2264.9041000000002</v>
      </c>
      <c r="O139" s="8">
        <f t="shared" si="58"/>
        <v>2.8502295699234246E-6</v>
      </c>
      <c r="P139" s="8">
        <f t="shared" si="59"/>
        <v>5.9847340050885557E-3</v>
      </c>
      <c r="Q139" s="8">
        <v>1.905E-3</v>
      </c>
      <c r="R139">
        <v>0.15240000000000001</v>
      </c>
      <c r="S139" s="15">
        <v>5384189.74609375</v>
      </c>
      <c r="T139">
        <v>472.471300672398</v>
      </c>
      <c r="U139" s="12">
        <f>+T139+BG139*S139*テーブル2[[#This Row],[Pw]]*R139/(N139*O139*K139)</f>
        <v>556.94756939946467</v>
      </c>
      <c r="V139">
        <v>0.03</v>
      </c>
      <c r="W139" s="8">
        <f t="shared" si="60"/>
        <v>63264.083192335595</v>
      </c>
      <c r="X139">
        <v>3.348001219959474E-2</v>
      </c>
      <c r="Y139">
        <f t="shared" si="61"/>
        <v>5.4652143024798709</v>
      </c>
      <c r="Z139">
        <f t="shared" si="62"/>
        <v>5.4652143120479932</v>
      </c>
      <c r="AA139">
        <f t="shared" si="63"/>
        <v>-9.5681222944676847E-9</v>
      </c>
      <c r="AB139">
        <f t="shared" si="64"/>
        <v>1.5415719072528481E-5</v>
      </c>
      <c r="AC139">
        <v>750.68728547593764</v>
      </c>
      <c r="AD139">
        <f t="shared" si="65"/>
        <v>2046.3269944671649</v>
      </c>
      <c r="AE139">
        <f>+gettm2(AD139,AC139,AK139,AL139,テーブル2[[#This Row],[Fcorr]])</f>
        <v>556.94756939946478</v>
      </c>
      <c r="AF139" s="14">
        <f t="shared" si="66"/>
        <v>0</v>
      </c>
      <c r="AG139">
        <v>1.5535727609215432E-5</v>
      </c>
      <c r="AH139">
        <f t="shared" si="67"/>
        <v>36.141853207190096</v>
      </c>
      <c r="AI139">
        <f t="shared" si="68"/>
        <v>0.24666798686114988</v>
      </c>
      <c r="AJ139">
        <f t="shared" si="69"/>
        <v>33.37656565399093</v>
      </c>
      <c r="AK139">
        <f t="array" ref="AK139">+S139*テーブル2[[#This Row],[F_form]]/(E139*CpFromTP((テーブル2[[#This Row],[Tin]]+テーブル2[[#This Row],[Tf]])/2,テーブル2[[#This Row],[P]])*AI139)</f>
        <v>7.8726877878269486</v>
      </c>
      <c r="AL139">
        <f t="shared" si="70"/>
        <v>1.3019406270656069</v>
      </c>
      <c r="AM139">
        <f t="shared" si="71"/>
        <v>617.97483332881131</v>
      </c>
      <c r="AN139">
        <f t="shared" si="72"/>
        <v>1.0620919965731446E-7</v>
      </c>
      <c r="AO139">
        <f t="shared" si="73"/>
        <v>1.2000853668695067E-7</v>
      </c>
      <c r="AP139">
        <v>2.970982804204839</v>
      </c>
      <c r="AQ139">
        <f t="shared" si="74"/>
        <v>3.78950659021151E-5</v>
      </c>
      <c r="AR139">
        <f t="shared" si="75"/>
        <v>7.8278680729511912E-6</v>
      </c>
      <c r="AS139">
        <f t="shared" si="76"/>
        <v>16.817194484837469</v>
      </c>
      <c r="AT139">
        <f t="shared" si="77"/>
        <v>11.062009221248552</v>
      </c>
      <c r="AU139">
        <f t="shared" si="78"/>
        <v>2.7286435452448567</v>
      </c>
      <c r="AV139">
        <f t="shared" si="79"/>
        <v>0.24233925895998221</v>
      </c>
      <c r="AW139">
        <f t="shared" si="80"/>
        <v>1.0470605735433675E-2</v>
      </c>
      <c r="AX139">
        <f t="shared" si="81"/>
        <v>0.2423392538112342</v>
      </c>
      <c r="AY139">
        <f t="shared" si="82"/>
        <v>5.1487480112744066E-9</v>
      </c>
      <c r="AZ139">
        <f t="shared" si="83"/>
        <v>964852.16359160375</v>
      </c>
      <c r="BA139">
        <f t="shared" si="84"/>
        <v>1.2755060664936237E-5</v>
      </c>
      <c r="BB139" s="15">
        <f t="shared" si="85"/>
        <v>5392314.6447791234</v>
      </c>
      <c r="BC139" s="20">
        <f t="shared" si="86"/>
        <v>8124.8986853733659</v>
      </c>
      <c r="BD139" s="19">
        <f t="shared" si="87"/>
        <v>0.150902904030602</v>
      </c>
      <c r="BE139" s="15">
        <v>5015798.0999999996</v>
      </c>
      <c r="BF139" s="16">
        <f>テーブル2[[#This Row],[q_P]]/テーブル2[[#This Row],[q_M]]</f>
        <v>1.0750661285148466</v>
      </c>
      <c r="BG139">
        <v>1</v>
      </c>
      <c r="BH139">
        <v>-6.9000000000000006E-2</v>
      </c>
      <c r="BI139">
        <v>4.5999999999999999E-2</v>
      </c>
      <c r="BJ139">
        <v>5625</v>
      </c>
      <c r="BK139" s="22">
        <v>1</v>
      </c>
      <c r="BL139">
        <f>テーブル2[[#This Row],[Ts]]-テーブル2[[#This Row],[Tin]]</f>
        <v>145.50353276262251</v>
      </c>
      <c r="BM139">
        <f>テーブル2[[#This Row],[q_P]]*0.000001</f>
        <v>5.3923146447791233</v>
      </c>
      <c r="BN139">
        <f>テーブル2[[#This Row],[Tsub]]</f>
        <v>145.50353276262251</v>
      </c>
      <c r="BO139">
        <f>テーブル2[[#This Row],[Fcorr]]</f>
        <v>1</v>
      </c>
      <c r="BP139">
        <f>(テーブル2[[#This Row],[Tsub]]-40)^2</f>
        <v>11130.995425393761</v>
      </c>
      <c r="BQ139">
        <v>1</v>
      </c>
      <c r="BR139">
        <v>0.15240000000000001</v>
      </c>
    </row>
    <row r="140" spans="1:70" x14ac:dyDescent="0.15">
      <c r="A140" s="9" t="s">
        <v>208</v>
      </c>
      <c r="B140">
        <v>15513203.909628799</v>
      </c>
      <c r="C140" s="22">
        <f t="array" ref="C140">TsatFromP(テーブル2[[#This Row],[P]])</f>
        <v>617.97483343502051</v>
      </c>
      <c r="D140">
        <f t="array" ref="D140">RhoGFromP(テーブル2[[#This Row],[P]])</f>
        <v>102.22394330033012</v>
      </c>
      <c r="E140">
        <f t="array" ref="E140">RhoFFromP(テーブル2[[#This Row],[P]])</f>
        <v>593.99780321429478</v>
      </c>
      <c r="F140">
        <f t="array" ref="F140">HgFromP(テーブル2[[#This Row],[P]])</f>
        <v>2595333.5493798093</v>
      </c>
      <c r="G140">
        <f t="array" ref="G140">HfFromP(テーブル2[[#This Row],[P]])</f>
        <v>1630481.3857882055</v>
      </c>
      <c r="H140">
        <f t="array" ref="H140">MuGFromP(テーブル2[[#This Row],[P]])</f>
        <v>2.3048203873610289E-5</v>
      </c>
      <c r="I140">
        <f t="array" ref="I140">MuFFromP(テーブル2[[#This Row],[P]])</f>
        <v>6.8200503236293109E-5</v>
      </c>
      <c r="J140">
        <f t="array" ref="J140">KfFromP(テーブル2[[#This Row],[P]])</f>
        <v>0.47171772328903144</v>
      </c>
      <c r="K140">
        <f t="array" ref="K140">CpFFromP(テーブル2[[#This Row],[P]])</f>
        <v>9005.0430614720299</v>
      </c>
      <c r="L140">
        <f t="array" ref="L140">SigmaFromP(テーブル2[[#This Row],[P]])</f>
        <v>4.6429387983550419E-3</v>
      </c>
      <c r="M140">
        <v>139</v>
      </c>
      <c r="N140">
        <v>2305.5909999999999</v>
      </c>
      <c r="O140" s="8">
        <f t="shared" si="58"/>
        <v>2.8502295699234246E-6</v>
      </c>
      <c r="P140" s="8">
        <f t="shared" si="59"/>
        <v>5.9847340050885557E-3</v>
      </c>
      <c r="Q140" s="8">
        <v>1.905E-3</v>
      </c>
      <c r="R140">
        <v>0.15240000000000001</v>
      </c>
      <c r="S140" s="15">
        <v>4587694.82421875</v>
      </c>
      <c r="T140">
        <v>497.21408100250602</v>
      </c>
      <c r="U140" s="12">
        <f>+T140+BG140*S140*テーブル2[[#This Row],[Pw]]*R140/(N140*O140*K140)</f>
        <v>567.92336456300825</v>
      </c>
      <c r="V140">
        <v>0.03</v>
      </c>
      <c r="W140" s="8">
        <f t="shared" si="60"/>
        <v>64400.563728724846</v>
      </c>
      <c r="X140">
        <v>3.3207089835678563E-2</v>
      </c>
      <c r="Y140">
        <f t="shared" si="61"/>
        <v>5.4876270913902703</v>
      </c>
      <c r="Z140">
        <f t="shared" si="62"/>
        <v>5.4876271449188492</v>
      </c>
      <c r="AA140">
        <f t="shared" si="63"/>
        <v>-5.3528578902728441E-8</v>
      </c>
      <c r="AB140">
        <f t="shared" si="64"/>
        <v>1.4998702032369333E-5</v>
      </c>
      <c r="AC140">
        <v>725.58266289322194</v>
      </c>
      <c r="AD140">
        <f t="shared" si="65"/>
        <v>2074.5795298419616</v>
      </c>
      <c r="AE140">
        <f>+gettm2(AD140,AC140,AK140,AL140,テーブル2[[#This Row],[Fcorr]])</f>
        <v>567.92336456300836</v>
      </c>
      <c r="AF140" s="14">
        <f t="shared" si="66"/>
        <v>0</v>
      </c>
      <c r="AG140">
        <v>1.5098848155741961E-5</v>
      </c>
      <c r="AH140">
        <f t="shared" si="67"/>
        <v>37.146724736593228</v>
      </c>
      <c r="AI140">
        <f t="shared" si="68"/>
        <v>0.25007359898641984</v>
      </c>
      <c r="AJ140">
        <f t="shared" si="69"/>
        <v>32.885838643668585</v>
      </c>
      <c r="AK140">
        <f t="array" ref="AK140">+S140*テーブル2[[#This Row],[F_form]]/(E140*CpFromTP((テーブル2[[#This Row],[Tin]]+テーブル2[[#This Row],[Tf]])/2,テーブル2[[#This Row],[P]])*AI140)</f>
        <v>6.3974996595080222</v>
      </c>
      <c r="AL140">
        <f t="shared" si="70"/>
        <v>1.3019406270656069</v>
      </c>
      <c r="AM140">
        <f t="shared" si="71"/>
        <v>617.97483339387452</v>
      </c>
      <c r="AN140">
        <f t="shared" si="72"/>
        <v>4.114599505555816E-8</v>
      </c>
      <c r="AO140">
        <f t="shared" si="73"/>
        <v>1.0014612337262739E-7</v>
      </c>
      <c r="AP140">
        <v>2.9905204849496538</v>
      </c>
      <c r="AQ140">
        <f t="shared" si="74"/>
        <v>3.740153096682221E-5</v>
      </c>
      <c r="AR140">
        <f t="shared" si="75"/>
        <v>7.599497139557294E-6</v>
      </c>
      <c r="AS140">
        <f t="shared" si="76"/>
        <v>16.551980265425829</v>
      </c>
      <c r="AT140">
        <f t="shared" si="77"/>
        <v>10.982528740826066</v>
      </c>
      <c r="AU140">
        <f t="shared" si="78"/>
        <v>2.7464404881901681</v>
      </c>
      <c r="AV140">
        <f t="shared" si="79"/>
        <v>0.24407999675948577</v>
      </c>
      <c r="AW140">
        <f t="shared" si="80"/>
        <v>1.0187361016720221E-2</v>
      </c>
      <c r="AX140">
        <f t="shared" si="81"/>
        <v>0.24407999053290896</v>
      </c>
      <c r="AY140">
        <f t="shared" si="82"/>
        <v>6.2265768097091723E-9</v>
      </c>
      <c r="AZ140">
        <f t="shared" si="83"/>
        <v>964852.16359160375</v>
      </c>
      <c r="BA140">
        <f t="shared" si="84"/>
        <v>1.2506696126996059E-5</v>
      </c>
      <c r="BB140" s="15">
        <f t="shared" si="85"/>
        <v>4589201.8334892411</v>
      </c>
      <c r="BC140" s="20">
        <f t="shared" si="86"/>
        <v>1507.0092704910785</v>
      </c>
      <c r="BD140" s="19">
        <f t="shared" si="87"/>
        <v>3.2848943276162904E-2</v>
      </c>
      <c r="BE140" s="15">
        <v>4416426</v>
      </c>
      <c r="BF140" s="16">
        <f>テーブル2[[#This Row],[q_P]]/テーブル2[[#This Row],[q_M]]</f>
        <v>1.039121188374772</v>
      </c>
      <c r="BG140">
        <v>1</v>
      </c>
      <c r="BH140">
        <v>-5.2999999999999999E-2</v>
      </c>
      <c r="BI140">
        <v>4.5999999999999999E-2</v>
      </c>
      <c r="BJ140">
        <v>5625</v>
      </c>
      <c r="BK140" s="22">
        <v>1</v>
      </c>
      <c r="BL140">
        <f>テーブル2[[#This Row],[Ts]]-テーブル2[[#This Row],[Tin]]</f>
        <v>120.76075243251449</v>
      </c>
      <c r="BM140">
        <f>テーブル2[[#This Row],[q_P]]*0.000001</f>
        <v>4.5892018334892413</v>
      </c>
      <c r="BN140">
        <f>テーブル2[[#This Row],[Tsub]]</f>
        <v>120.76075243251449</v>
      </c>
      <c r="BO140">
        <f>テーブル2[[#This Row],[Fcorr]]</f>
        <v>1</v>
      </c>
      <c r="BP140">
        <f>(テーブル2[[#This Row],[Tsub]]-40)^2</f>
        <v>6522.2991334658955</v>
      </c>
      <c r="BQ140">
        <v>1</v>
      </c>
      <c r="BR140">
        <v>0.15240000000000001</v>
      </c>
    </row>
    <row r="141" spans="1:70" x14ac:dyDescent="0.15">
      <c r="A141" s="9" t="s">
        <v>209</v>
      </c>
      <c r="B141">
        <v>15513203.909628799</v>
      </c>
      <c r="C141" s="22">
        <f t="array" ref="C141">TsatFromP(テーブル2[[#This Row],[P]])</f>
        <v>617.97483343502051</v>
      </c>
      <c r="D141">
        <f t="array" ref="D141">RhoGFromP(テーブル2[[#This Row],[P]])</f>
        <v>102.22394330033012</v>
      </c>
      <c r="E141">
        <f t="array" ref="E141">RhoFFromP(テーブル2[[#This Row],[P]])</f>
        <v>593.99780321429478</v>
      </c>
      <c r="F141">
        <f t="array" ref="F141">HgFromP(テーブル2[[#This Row],[P]])</f>
        <v>2595333.5493798093</v>
      </c>
      <c r="G141">
        <f t="array" ref="G141">HfFromP(テーブル2[[#This Row],[P]])</f>
        <v>1630481.3857882055</v>
      </c>
      <c r="H141">
        <f t="array" ref="H141">MuGFromP(テーブル2[[#This Row],[P]])</f>
        <v>2.3048203873610289E-5</v>
      </c>
      <c r="I141">
        <f t="array" ref="I141">MuFFromP(テーブル2[[#This Row],[P]])</f>
        <v>6.8200503236293109E-5</v>
      </c>
      <c r="J141">
        <f t="array" ref="J141">KfFromP(テーブル2[[#This Row],[P]])</f>
        <v>0.47171772328903144</v>
      </c>
      <c r="K141">
        <f t="array" ref="K141">CpFFromP(テーブル2[[#This Row],[P]])</f>
        <v>9005.0430614720299</v>
      </c>
      <c r="L141">
        <f t="array" ref="L141">SigmaFromP(テーブル2[[#This Row],[P]])</f>
        <v>4.6429387983550419E-3</v>
      </c>
      <c r="M141">
        <v>140</v>
      </c>
      <c r="N141">
        <v>2319.1532999999999</v>
      </c>
      <c r="O141" s="8">
        <f t="shared" si="58"/>
        <v>2.8502295699234246E-6</v>
      </c>
      <c r="P141" s="8">
        <f t="shared" si="59"/>
        <v>5.9847340050885557E-3</v>
      </c>
      <c r="Q141" s="8">
        <v>1.905E-3</v>
      </c>
      <c r="R141">
        <v>0.15240000000000001</v>
      </c>
      <c r="S141" s="15">
        <v>3976631.40234375</v>
      </c>
      <c r="T141">
        <v>515.02285575524695</v>
      </c>
      <c r="U141" s="12">
        <f>+T141+BG141*S141*テーブル2[[#This Row],[Pw]]*R141/(N141*O141*K141)</f>
        <v>575.95550556044316</v>
      </c>
      <c r="V141">
        <v>0.03</v>
      </c>
      <c r="W141" s="8">
        <f t="shared" si="60"/>
        <v>64779.390574187935</v>
      </c>
      <c r="X141">
        <v>3.3117894312529747E-2</v>
      </c>
      <c r="Y141">
        <f t="shared" si="61"/>
        <v>5.4950119606918042</v>
      </c>
      <c r="Z141">
        <f t="shared" si="62"/>
        <v>5.4950120000108633</v>
      </c>
      <c r="AA141">
        <f t="shared" si="63"/>
        <v>-3.9319059119691246E-8</v>
      </c>
      <c r="AB141">
        <f t="shared" si="64"/>
        <v>1.4863716064969792E-5</v>
      </c>
      <c r="AC141">
        <v>707.95557526356708</v>
      </c>
      <c r="AD141">
        <f t="shared" si="65"/>
        <v>2083.9784646425678</v>
      </c>
      <c r="AE141">
        <f>+gettm2(AD141,AC141,AK141,AL141,テーブル2[[#This Row],[Fcorr]])</f>
        <v>575.9555066399987</v>
      </c>
      <c r="AF141" s="14">
        <f t="shared" si="66"/>
        <v>1.0795555454023997E-6</v>
      </c>
      <c r="AG141">
        <v>1.4950249454311011E-5</v>
      </c>
      <c r="AH141">
        <f t="shared" si="67"/>
        <v>37.484075541222154</v>
      </c>
      <c r="AI141">
        <f t="shared" si="68"/>
        <v>0.25120656372381184</v>
      </c>
      <c r="AJ141">
        <f t="shared" si="69"/>
        <v>32.709709085373696</v>
      </c>
      <c r="AK141">
        <f t="array" ref="AK141">+S141*テーブル2[[#This Row],[F_form]]/(E141*CpFromTP((テーブル2[[#This Row],[Tin]]+テーブル2[[#This Row],[Tf]])/2,テーブル2[[#This Row],[P]])*AI141)</f>
        <v>5.3538074604389854</v>
      </c>
      <c r="AL141">
        <f t="shared" si="70"/>
        <v>1.3019406270656069</v>
      </c>
      <c r="AM141">
        <f t="shared" si="71"/>
        <v>617.97483339716996</v>
      </c>
      <c r="AN141">
        <f t="shared" si="72"/>
        <v>3.7850554690521676E-8</v>
      </c>
      <c r="AO141">
        <f t="shared" si="73"/>
        <v>8.6533389341218573E-8</v>
      </c>
      <c r="AP141">
        <v>2.995834749079509</v>
      </c>
      <c r="AQ141">
        <f t="shared" si="74"/>
        <v>3.7268956682189688E-5</v>
      </c>
      <c r="AR141">
        <f t="shared" si="75"/>
        <v>7.5183914218261146E-6</v>
      </c>
      <c r="AS141">
        <f t="shared" si="76"/>
        <v>16.449517912691903</v>
      </c>
      <c r="AT141">
        <f t="shared" si="77"/>
        <v>10.95148085281304</v>
      </c>
      <c r="AU141">
        <f t="shared" si="78"/>
        <v>2.7510838727222842</v>
      </c>
      <c r="AV141">
        <f t="shared" si="79"/>
        <v>0.24475087635722481</v>
      </c>
      <c r="AW141">
        <f t="shared" si="80"/>
        <v>1.0095676364333462E-2</v>
      </c>
      <c r="AX141">
        <f t="shared" si="81"/>
        <v>0.24475086984109634</v>
      </c>
      <c r="AY141">
        <f t="shared" si="82"/>
        <v>6.516128470135385E-9</v>
      </c>
      <c r="AZ141">
        <f t="shared" si="83"/>
        <v>964852.16359160375</v>
      </c>
      <c r="BA141">
        <f t="shared" si="84"/>
        <v>1.2440257825849986E-5</v>
      </c>
      <c r="BB141" s="15">
        <f t="shared" si="85"/>
        <v>3986575.0750578656</v>
      </c>
      <c r="BC141" s="20">
        <f t="shared" si="86"/>
        <v>9943.6727141155861</v>
      </c>
      <c r="BD141" s="19">
        <f t="shared" si="87"/>
        <v>0.25005266287076489</v>
      </c>
      <c r="BE141" s="15">
        <v>3848599.8</v>
      </c>
      <c r="BF141" s="16">
        <f>テーブル2[[#This Row],[q_P]]/テーブル2[[#This Row],[q_M]]</f>
        <v>1.0358507722881101</v>
      </c>
      <c r="BG141">
        <v>1</v>
      </c>
      <c r="BH141">
        <v>-5.2999999999999999E-2</v>
      </c>
      <c r="BI141">
        <v>4.5999999999999999E-2</v>
      </c>
      <c r="BJ141">
        <v>5625</v>
      </c>
      <c r="BK141" s="22">
        <v>1</v>
      </c>
      <c r="BL141">
        <f>テーブル2[[#This Row],[Ts]]-テーブル2[[#This Row],[Tin]]</f>
        <v>102.95197767977356</v>
      </c>
      <c r="BM141">
        <f>テーブル2[[#This Row],[q_P]]*0.000001</f>
        <v>3.9865750750578655</v>
      </c>
      <c r="BN141">
        <f>テーブル2[[#This Row],[Tsub]]</f>
        <v>102.95197767977356</v>
      </c>
      <c r="BO141">
        <f>テーブル2[[#This Row],[Fcorr]]</f>
        <v>1</v>
      </c>
      <c r="BP141">
        <f>(テーブル2[[#This Row],[Tsub]]-40)^2</f>
        <v>3962.9514937947088</v>
      </c>
      <c r="BQ141">
        <v>1</v>
      </c>
      <c r="BR141">
        <v>0.15240000000000001</v>
      </c>
    </row>
    <row r="142" spans="1:70" x14ac:dyDescent="0.15">
      <c r="A142" s="9" t="s">
        <v>210</v>
      </c>
      <c r="B142">
        <v>15513203.909628799</v>
      </c>
      <c r="C142" s="22">
        <f t="array" ref="C142">TsatFromP(テーブル2[[#This Row],[P]])</f>
        <v>617.97483343502051</v>
      </c>
      <c r="D142">
        <f t="array" ref="D142">RhoGFromP(テーブル2[[#This Row],[P]])</f>
        <v>102.22394330033012</v>
      </c>
      <c r="E142">
        <f t="array" ref="E142">RhoFFromP(テーブル2[[#This Row],[P]])</f>
        <v>593.99780321429478</v>
      </c>
      <c r="F142">
        <f t="array" ref="F142">HgFromP(テーブル2[[#This Row],[P]])</f>
        <v>2595333.5493798093</v>
      </c>
      <c r="G142">
        <f t="array" ref="G142">HfFromP(テーブル2[[#This Row],[P]])</f>
        <v>1630481.3857882055</v>
      </c>
      <c r="H142">
        <f t="array" ref="H142">MuGFromP(テーブル2[[#This Row],[P]])</f>
        <v>2.3048203873610289E-5</v>
      </c>
      <c r="I142">
        <f t="array" ref="I142">MuFFromP(テーブル2[[#This Row],[P]])</f>
        <v>6.8200503236293109E-5</v>
      </c>
      <c r="J142">
        <f t="array" ref="J142">KfFromP(テーブル2[[#This Row],[P]])</f>
        <v>0.47171772328903144</v>
      </c>
      <c r="K142">
        <f t="array" ref="K142">CpFFromP(テーブル2[[#This Row],[P]])</f>
        <v>9005.0430614720299</v>
      </c>
      <c r="L142">
        <f t="array" ref="L142">SigmaFromP(テーブル2[[#This Row],[P]])</f>
        <v>4.6429387983550419E-3</v>
      </c>
      <c r="M142">
        <v>141</v>
      </c>
      <c r="N142">
        <v>2319.1532999999999</v>
      </c>
      <c r="O142" s="8">
        <f t="shared" si="58"/>
        <v>2.8502295699234246E-6</v>
      </c>
      <c r="P142" s="8">
        <f t="shared" si="59"/>
        <v>5.9847340050885557E-3</v>
      </c>
      <c r="Q142" s="8">
        <v>1.905E-3</v>
      </c>
      <c r="R142">
        <v>0.15240000000000001</v>
      </c>
      <c r="S142" s="15">
        <v>4040547.41796875</v>
      </c>
      <c r="T142">
        <v>513.223397961415</v>
      </c>
      <c r="U142" s="12">
        <f>+T142+BG142*S142*テーブル2[[#This Row],[Pw]]*R142/(N142*O142*K142)</f>
        <v>575.13541241044663</v>
      </c>
      <c r="V142">
        <v>0.03</v>
      </c>
      <c r="W142" s="8">
        <f t="shared" si="60"/>
        <v>64779.390574187935</v>
      </c>
      <c r="X142">
        <v>3.3117894312529747E-2</v>
      </c>
      <c r="Y142">
        <f t="shared" si="61"/>
        <v>5.4950119606918042</v>
      </c>
      <c r="Z142">
        <f t="shared" si="62"/>
        <v>5.4950120000108633</v>
      </c>
      <c r="AA142">
        <f t="shared" si="63"/>
        <v>-3.9319059119691246E-8</v>
      </c>
      <c r="AB142">
        <f t="shared" si="64"/>
        <v>1.4863716064969792E-5</v>
      </c>
      <c r="AC142">
        <v>709.71482261536221</v>
      </c>
      <c r="AD142">
        <f t="shared" si="65"/>
        <v>2083.9784646425678</v>
      </c>
      <c r="AE142">
        <f>+gettm2(AD142,AC142,AK142,AL142,テーブル2[[#This Row],[Fcorr]])</f>
        <v>575.13541241044652</v>
      </c>
      <c r="AF142" s="14">
        <f t="shared" si="66"/>
        <v>0</v>
      </c>
      <c r="AG142">
        <v>1.495132599444377E-5</v>
      </c>
      <c r="AH142">
        <f t="shared" si="67"/>
        <v>37.484075541222154</v>
      </c>
      <c r="AI142">
        <f t="shared" si="68"/>
        <v>0.25120656372381184</v>
      </c>
      <c r="AJ142">
        <f t="shared" si="69"/>
        <v>32.712064451728544</v>
      </c>
      <c r="AK142">
        <f t="array" ref="AK142">+S142*テーブル2[[#This Row],[F_form]]/(E142*CpFromTP((テーブル2[[#This Row],[Tin]]+テーブル2[[#This Row],[Tf]])/2,テーブル2[[#This Row],[P]])*AI142)</f>
        <v>5.4584233015156931</v>
      </c>
      <c r="AL142">
        <f t="shared" si="70"/>
        <v>1.3019406270656069</v>
      </c>
      <c r="AM142">
        <f t="shared" si="71"/>
        <v>617.97483339634493</v>
      </c>
      <c r="AN142">
        <f t="shared" si="72"/>
        <v>3.8675580071867444E-8</v>
      </c>
      <c r="AO142">
        <f t="shared" si="73"/>
        <v>8.7609929473978179E-8</v>
      </c>
      <c r="AP142">
        <v>2.996001002801028</v>
      </c>
      <c r="AQ142">
        <f t="shared" si="74"/>
        <v>3.7264820548174337E-5</v>
      </c>
      <c r="AR142">
        <f t="shared" si="75"/>
        <v>7.5194679619588742E-6</v>
      </c>
      <c r="AS142">
        <f t="shared" si="76"/>
        <v>16.451873279046751</v>
      </c>
      <c r="AT142">
        <f t="shared" si="77"/>
        <v>10.952196739367851</v>
      </c>
      <c r="AU142">
        <f t="shared" si="78"/>
        <v>2.7512637081237346</v>
      </c>
      <c r="AV142">
        <f t="shared" si="79"/>
        <v>0.24473729467729344</v>
      </c>
      <c r="AW142">
        <f t="shared" si="80"/>
        <v>1.0095676364333462E-2</v>
      </c>
      <c r="AX142">
        <f t="shared" si="81"/>
        <v>0.24473728815573706</v>
      </c>
      <c r="AY142">
        <f t="shared" si="82"/>
        <v>6.521556378258353E-9</v>
      </c>
      <c r="AZ142">
        <f t="shared" si="83"/>
        <v>964852.16359160375</v>
      </c>
      <c r="BA142">
        <f t="shared" si="84"/>
        <v>1.2438186940970523E-5</v>
      </c>
      <c r="BB142" s="15">
        <f t="shared" si="85"/>
        <v>4036843.051614196</v>
      </c>
      <c r="BC142" s="20">
        <f t="shared" si="86"/>
        <v>-3704.3663545539603</v>
      </c>
      <c r="BD142" s="19">
        <f t="shared" si="87"/>
        <v>-9.1679813930168066E-2</v>
      </c>
      <c r="BE142" s="15">
        <v>3911691.6</v>
      </c>
      <c r="BF142" s="16">
        <f>テーブル2[[#This Row],[q_P]]/テーブル2[[#This Row],[q_M]]</f>
        <v>1.0319942021027926</v>
      </c>
      <c r="BG142">
        <v>1</v>
      </c>
      <c r="BH142">
        <v>-5.2999999999999999E-2</v>
      </c>
      <c r="BI142">
        <v>4.5999999999999999E-2</v>
      </c>
      <c r="BJ142">
        <v>5625</v>
      </c>
      <c r="BK142" s="22">
        <v>1</v>
      </c>
      <c r="BL142">
        <f>テーブル2[[#This Row],[Ts]]-テーブル2[[#This Row],[Tin]]</f>
        <v>104.75143547360551</v>
      </c>
      <c r="BM142">
        <f>テーブル2[[#This Row],[q_P]]*0.000001</f>
        <v>4.0368430516141958</v>
      </c>
      <c r="BN142">
        <f>テーブル2[[#This Row],[Tsub]]</f>
        <v>104.75143547360551</v>
      </c>
      <c r="BO142">
        <f>テーブル2[[#This Row],[Fcorr]]</f>
        <v>1</v>
      </c>
      <c r="BP142">
        <f>(テーブル2[[#This Row],[Tsub]]-40)^2</f>
        <v>4192.7483958924986</v>
      </c>
      <c r="BQ142">
        <v>1</v>
      </c>
      <c r="BR142">
        <v>0.15240000000000001</v>
      </c>
    </row>
    <row r="143" spans="1:70" x14ac:dyDescent="0.15">
      <c r="A143" s="9" t="s">
        <v>211</v>
      </c>
      <c r="B143">
        <v>15513203.909628799</v>
      </c>
      <c r="C143" s="22">
        <f t="array" ref="C143">TsatFromP(テーブル2[[#This Row],[P]])</f>
        <v>617.97483343502051</v>
      </c>
      <c r="D143">
        <f t="array" ref="D143">RhoGFromP(テーブル2[[#This Row],[P]])</f>
        <v>102.22394330033012</v>
      </c>
      <c r="E143">
        <f t="array" ref="E143">RhoFFromP(テーブル2[[#This Row],[P]])</f>
        <v>593.99780321429478</v>
      </c>
      <c r="F143">
        <f t="array" ref="F143">HgFromP(テーブル2[[#This Row],[P]])</f>
        <v>2595333.5493798093</v>
      </c>
      <c r="G143">
        <f t="array" ref="G143">HfFromP(テーブル2[[#This Row],[P]])</f>
        <v>1630481.3857882055</v>
      </c>
      <c r="H143">
        <f t="array" ref="H143">MuGFromP(テーブル2[[#This Row],[P]])</f>
        <v>2.3048203873610289E-5</v>
      </c>
      <c r="I143">
        <f t="array" ref="I143">MuFFromP(テーブル2[[#This Row],[P]])</f>
        <v>6.8200503236293109E-5</v>
      </c>
      <c r="J143">
        <f t="array" ref="J143">KfFromP(テーブル2[[#This Row],[P]])</f>
        <v>0.47171772328903144</v>
      </c>
      <c r="K143">
        <f t="array" ref="K143">CpFFromP(テーブル2[[#This Row],[P]])</f>
        <v>9005.0430614720299</v>
      </c>
      <c r="L143">
        <f t="array" ref="L143">SigmaFromP(テーブル2[[#This Row],[P]])</f>
        <v>4.6429387983550419E-3</v>
      </c>
      <c r="M143">
        <v>142</v>
      </c>
      <c r="N143">
        <v>2319.1532999999999</v>
      </c>
      <c r="O143" s="8">
        <f t="shared" si="58"/>
        <v>2.8502295699234246E-6</v>
      </c>
      <c r="P143" s="8">
        <f t="shared" si="59"/>
        <v>5.9847340050885557E-3</v>
      </c>
      <c r="Q143" s="8">
        <v>1.905E-3</v>
      </c>
      <c r="R143">
        <v>0.15240000000000001</v>
      </c>
      <c r="S143" s="15">
        <v>4476734.43359375</v>
      </c>
      <c r="T143">
        <v>500.89394004301198</v>
      </c>
      <c r="U143" s="12">
        <f>+T143+BG143*S143*テーブル2[[#This Row],[Pw]]*R143/(N143*O143*K143)</f>
        <v>569.48950848122843</v>
      </c>
      <c r="V143">
        <v>0.03</v>
      </c>
      <c r="W143" s="8">
        <f t="shared" si="60"/>
        <v>64779.390574187935</v>
      </c>
      <c r="X143">
        <v>3.3117894312529747E-2</v>
      </c>
      <c r="Y143">
        <f t="shared" si="61"/>
        <v>5.4950119606918042</v>
      </c>
      <c r="Z143">
        <f t="shared" si="62"/>
        <v>5.4950120000108633</v>
      </c>
      <c r="AA143">
        <f t="shared" si="63"/>
        <v>-3.9319059119691246E-8</v>
      </c>
      <c r="AB143">
        <f t="shared" si="64"/>
        <v>1.4863716064969792E-5</v>
      </c>
      <c r="AC143">
        <v>721.83828906281917</v>
      </c>
      <c r="AD143">
        <f t="shared" si="65"/>
        <v>2083.9784646425678</v>
      </c>
      <c r="AE143">
        <f>+gettm2(AD143,AC143,AK143,AL143,テーブル2[[#This Row],[Fcorr]])</f>
        <v>569.48950969961129</v>
      </c>
      <c r="AF143" s="14">
        <f t="shared" si="66"/>
        <v>1.2183828630440985E-6</v>
      </c>
      <c r="AG143">
        <v>1.496144984130562E-5</v>
      </c>
      <c r="AH143">
        <f t="shared" si="67"/>
        <v>37.484075541222154</v>
      </c>
      <c r="AI143">
        <f t="shared" si="68"/>
        <v>0.25120656372381184</v>
      </c>
      <c r="AJ143">
        <f t="shared" si="69"/>
        <v>32.734214455759442</v>
      </c>
      <c r="AK143">
        <f t="array" ref="AK143">+S143*テーブル2[[#This Row],[F_form]]/(E143*CpFromTP((テーブル2[[#This Row],[Tin]]+テーブル2[[#This Row],[Tf]])/2,テーブル2[[#This Row],[P]])*AI143)</f>
        <v>6.179133390222221</v>
      </c>
      <c r="AL143">
        <f t="shared" si="70"/>
        <v>1.3019406270656069</v>
      </c>
      <c r="AM143">
        <f t="shared" si="71"/>
        <v>617.97483339039434</v>
      </c>
      <c r="AN143">
        <f t="shared" si="72"/>
        <v>4.462617653189227E-8</v>
      </c>
      <c r="AO143">
        <f t="shared" si="73"/>
        <v>9.7733776335827866E-8</v>
      </c>
      <c r="AP143">
        <v>2.9975633672561228</v>
      </c>
      <c r="AQ143">
        <f t="shared" si="74"/>
        <v>3.7225984966649275E-5</v>
      </c>
      <c r="AR143">
        <f t="shared" si="75"/>
        <v>7.5295918088207239E-6</v>
      </c>
      <c r="AS143">
        <f t="shared" si="76"/>
        <v>16.474023283077653</v>
      </c>
      <c r="AT143">
        <f t="shared" si="77"/>
        <v>10.958923969203637</v>
      </c>
      <c r="AU143">
        <f t="shared" si="78"/>
        <v>2.7529536324141626</v>
      </c>
      <c r="AV143">
        <f t="shared" si="79"/>
        <v>0.24460973484196025</v>
      </c>
      <c r="AW143">
        <f t="shared" si="80"/>
        <v>1.0095676364333462E-2</v>
      </c>
      <c r="AX143">
        <f t="shared" si="81"/>
        <v>0.24460972827025554</v>
      </c>
      <c r="AY143">
        <f t="shared" si="82"/>
        <v>6.5717047081914615E-9</v>
      </c>
      <c r="AZ143">
        <f t="shared" si="83"/>
        <v>964852.16359160375</v>
      </c>
      <c r="BA143">
        <f t="shared" si="84"/>
        <v>1.241874829846376E-5</v>
      </c>
      <c r="BB143" s="15">
        <f t="shared" si="85"/>
        <v>4510373.1035318328</v>
      </c>
      <c r="BC143" s="20">
        <f t="shared" si="86"/>
        <v>33638.669938082807</v>
      </c>
      <c r="BD143" s="19">
        <f t="shared" si="87"/>
        <v>0.75141088749101825</v>
      </c>
      <c r="BE143" s="15">
        <v>4447971.8999999994</v>
      </c>
      <c r="BF143" s="16">
        <f>テーブル2[[#This Row],[q_P]]/テーブル2[[#This Row],[q_M]]</f>
        <v>1.0140291361849281</v>
      </c>
      <c r="BG143">
        <v>1</v>
      </c>
      <c r="BH143">
        <v>-3.5000000000000003E-2</v>
      </c>
      <c r="BI143">
        <v>4.5999999999999999E-2</v>
      </c>
      <c r="BJ143">
        <v>5625</v>
      </c>
      <c r="BK143" s="22">
        <v>1</v>
      </c>
      <c r="BL143">
        <f>テーブル2[[#This Row],[Ts]]-テーブル2[[#This Row],[Tin]]</f>
        <v>117.08089339200853</v>
      </c>
      <c r="BM143">
        <f>テーブル2[[#This Row],[q_P]]*0.000001</f>
        <v>4.5103731035318324</v>
      </c>
      <c r="BN143">
        <f>テーブル2[[#This Row],[Tsub]]</f>
        <v>117.08089339200853</v>
      </c>
      <c r="BO143">
        <f>テーブル2[[#This Row],[Fcorr]]</f>
        <v>1</v>
      </c>
      <c r="BP143">
        <f>(テーブル2[[#This Row],[Tsub]]-40)^2</f>
        <v>5941.4641261101851</v>
      </c>
      <c r="BQ143">
        <v>1</v>
      </c>
      <c r="BR143">
        <v>0.15240000000000001</v>
      </c>
    </row>
    <row r="144" spans="1:70" x14ac:dyDescent="0.15">
      <c r="A144" s="9" t="s">
        <v>212</v>
      </c>
      <c r="B144">
        <v>15513203.909628799</v>
      </c>
      <c r="C144" s="22">
        <f t="array" ref="C144">TsatFromP(テーブル2[[#This Row],[P]])</f>
        <v>617.97483343502051</v>
      </c>
      <c r="D144">
        <f t="array" ref="D144">RhoGFromP(テーブル2[[#This Row],[P]])</f>
        <v>102.22394330033012</v>
      </c>
      <c r="E144">
        <f t="array" ref="E144">RhoFFromP(テーブル2[[#This Row],[P]])</f>
        <v>593.99780321429478</v>
      </c>
      <c r="F144">
        <f t="array" ref="F144">HgFromP(テーブル2[[#This Row],[P]])</f>
        <v>2595333.5493798093</v>
      </c>
      <c r="G144">
        <f t="array" ref="G144">HfFromP(テーブル2[[#This Row],[P]])</f>
        <v>1630481.3857882055</v>
      </c>
      <c r="H144">
        <f t="array" ref="H144">MuGFromP(テーブル2[[#This Row],[P]])</f>
        <v>2.3048203873610289E-5</v>
      </c>
      <c r="I144">
        <f t="array" ref="I144">MuFFromP(テーブル2[[#This Row],[P]])</f>
        <v>6.8200503236293109E-5</v>
      </c>
      <c r="J144">
        <f t="array" ref="J144">KfFromP(テーブル2[[#This Row],[P]])</f>
        <v>0.47171772328903144</v>
      </c>
      <c r="K144">
        <f t="array" ref="K144">CpFFromP(テーブル2[[#This Row],[P]])</f>
        <v>9005.0430614720299</v>
      </c>
      <c r="L144">
        <f t="array" ref="L144">SigmaFromP(テーブル2[[#This Row],[P]])</f>
        <v>4.6429387983550419E-3</v>
      </c>
      <c r="M144">
        <v>143</v>
      </c>
      <c r="N144">
        <v>2875.2076000000002</v>
      </c>
      <c r="O144" s="8">
        <f t="shared" si="58"/>
        <v>2.8502295699234246E-6</v>
      </c>
      <c r="P144" s="8">
        <f t="shared" si="59"/>
        <v>5.9847340050885557E-3</v>
      </c>
      <c r="Q144" s="8">
        <v>1.905E-3</v>
      </c>
      <c r="R144">
        <v>0.15240000000000001</v>
      </c>
      <c r="S144" s="15">
        <v>4713393.58203125</v>
      </c>
      <c r="T144">
        <v>511.31829053055202</v>
      </c>
      <c r="U144" s="12">
        <f>+T144+BG144*S144*テーブル2[[#This Row],[Pw]]*R144/(N144*O144*K144)</f>
        <v>569.57268372305475</v>
      </c>
      <c r="V144">
        <v>0.03</v>
      </c>
      <c r="W144" s="8">
        <f t="shared" si="60"/>
        <v>80311.291238174526</v>
      </c>
      <c r="X144">
        <v>3.007705250927251E-2</v>
      </c>
      <c r="Y144">
        <f t="shared" si="61"/>
        <v>5.766102562650592</v>
      </c>
      <c r="Z144">
        <f t="shared" si="62"/>
        <v>5.7661025972645295</v>
      </c>
      <c r="AA144">
        <f t="shared" si="63"/>
        <v>-3.4613937494043512E-8</v>
      </c>
      <c r="AB144">
        <f t="shared" si="64"/>
        <v>1.0648178955476381E-5</v>
      </c>
      <c r="AC144">
        <v>705.99038471433153</v>
      </c>
      <c r="AD144">
        <f t="shared" si="65"/>
        <v>2462.1769220775036</v>
      </c>
      <c r="AE144">
        <f>+gettm2(AD144,AC144,AK144,AL144,テーブル2[[#This Row],[Fcorr]])</f>
        <v>569.5726847829585</v>
      </c>
      <c r="AF144" s="14">
        <f t="shared" si="66"/>
        <v>1.0599037523206789E-6</v>
      </c>
      <c r="AG144">
        <v>1.072608329483176E-5</v>
      </c>
      <c r="AH144">
        <f t="shared" si="67"/>
        <v>52.32375020482354</v>
      </c>
      <c r="AI144">
        <f t="shared" si="68"/>
        <v>0.29679529533010102</v>
      </c>
      <c r="AJ144">
        <f t="shared" si="69"/>
        <v>27.72652467487222</v>
      </c>
      <c r="AK144">
        <f t="array" ref="AK144">+S144*テーブル2[[#This Row],[F_form]]/(E144*CpFromTP((テーブル2[[#This Row],[Tin]]+テーブル2[[#This Row],[Tf]])/2,テーブル2[[#This Row],[P]])*AI144)</f>
        <v>5.4397300273726223</v>
      </c>
      <c r="AL144">
        <f t="shared" si="70"/>
        <v>1.3019406270656069</v>
      </c>
      <c r="AM144">
        <f t="shared" si="71"/>
        <v>617.97483342096871</v>
      </c>
      <c r="AN144">
        <f t="shared" si="72"/>
        <v>1.4051806829229463E-8</v>
      </c>
      <c r="AO144">
        <f t="shared" si="73"/>
        <v>7.7904339355378913E-8</v>
      </c>
      <c r="AP144">
        <v>3.2720082532854802</v>
      </c>
      <c r="AQ144">
        <f t="shared" si="74"/>
        <v>3.1243103106385787E-5</v>
      </c>
      <c r="AR144">
        <f t="shared" si="75"/>
        <v>5.4019938170935692E-6</v>
      </c>
      <c r="AS144">
        <f t="shared" si="76"/>
        <v>13.96395224110567</v>
      </c>
      <c r="AT144">
        <f t="shared" si="77"/>
        <v>10.132395845463446</v>
      </c>
      <c r="AU144">
        <f t="shared" si="78"/>
        <v>3.0072474173558121</v>
      </c>
      <c r="AV144">
        <f t="shared" si="79"/>
        <v>0.26476083592966804</v>
      </c>
      <c r="AW144">
        <f t="shared" si="80"/>
        <v>7.2324153754086363E-3</v>
      </c>
      <c r="AX144">
        <f t="shared" si="81"/>
        <v>0.2647608319023802</v>
      </c>
      <c r="AY144">
        <f t="shared" si="82"/>
        <v>4.0272878365499309E-9</v>
      </c>
      <c r="AZ144">
        <f t="shared" si="83"/>
        <v>964852.16359160375</v>
      </c>
      <c r="BA144">
        <f t="shared" si="84"/>
        <v>9.5486015583897278E-6</v>
      </c>
      <c r="BB144" s="15">
        <f t="shared" si="85"/>
        <v>4675924.5119666252</v>
      </c>
      <c r="BC144" s="20">
        <f t="shared" si="86"/>
        <v>-37469.070064624771</v>
      </c>
      <c r="BD144" s="19">
        <f t="shared" si="87"/>
        <v>-0.79494889218390641</v>
      </c>
      <c r="BE144" s="15">
        <v>5394348.8999999994</v>
      </c>
      <c r="BF144" s="16">
        <f>テーブル2[[#This Row],[q_P]]/テーブル2[[#This Row],[q_M]]</f>
        <v>0.86681907282019255</v>
      </c>
      <c r="BG144">
        <v>1</v>
      </c>
      <c r="BH144">
        <v>1E-3</v>
      </c>
      <c r="BI144">
        <v>4.5999999999999999E-2</v>
      </c>
      <c r="BJ144">
        <v>5625</v>
      </c>
      <c r="BK144" s="22">
        <v>1</v>
      </c>
      <c r="BL144">
        <f>テーブル2[[#This Row],[Ts]]-テーブル2[[#This Row],[Tin]]</f>
        <v>106.65654290446849</v>
      </c>
      <c r="BM144">
        <f>テーブル2[[#This Row],[q_P]]*0.000001</f>
        <v>4.6759245119666248</v>
      </c>
      <c r="BN144">
        <f>テーブル2[[#This Row],[Tsub]]</f>
        <v>106.65654290446849</v>
      </c>
      <c r="BO144">
        <f>テーブル2[[#This Row],[Fcorr]]</f>
        <v>1</v>
      </c>
      <c r="BP144">
        <f>(テーブル2[[#This Row],[Tsub]]-40)^2</f>
        <v>4443.0947119752491</v>
      </c>
      <c r="BQ144">
        <v>1</v>
      </c>
      <c r="BR144">
        <v>0.15240000000000001</v>
      </c>
    </row>
    <row r="145" spans="1:70" x14ac:dyDescent="0.15">
      <c r="A145" s="9" t="s">
        <v>213</v>
      </c>
      <c r="B145">
        <v>15513203.909628799</v>
      </c>
      <c r="C145" s="22">
        <f t="array" ref="C145">TsatFromP(テーブル2[[#This Row],[P]])</f>
        <v>617.97483343502051</v>
      </c>
      <c r="D145">
        <f t="array" ref="D145">RhoGFromP(テーブル2[[#This Row],[P]])</f>
        <v>102.22394330033012</v>
      </c>
      <c r="E145">
        <f t="array" ref="E145">RhoFFromP(テーブル2[[#This Row],[P]])</f>
        <v>593.99780321429478</v>
      </c>
      <c r="F145">
        <f t="array" ref="F145">HgFromP(テーブル2[[#This Row],[P]])</f>
        <v>2595333.5493798093</v>
      </c>
      <c r="G145">
        <f t="array" ref="G145">HfFromP(テーブル2[[#This Row],[P]])</f>
        <v>1630481.3857882055</v>
      </c>
      <c r="H145">
        <f t="array" ref="H145">MuGFromP(テーブル2[[#This Row],[P]])</f>
        <v>2.3048203873610289E-5</v>
      </c>
      <c r="I145">
        <f t="array" ref="I145">MuFFromP(テーブル2[[#This Row],[P]])</f>
        <v>6.8200503236293109E-5</v>
      </c>
      <c r="J145">
        <f t="array" ref="J145">KfFromP(テーブル2[[#This Row],[P]])</f>
        <v>0.47171772328903144</v>
      </c>
      <c r="K145">
        <f t="array" ref="K145">CpFFromP(テーブル2[[#This Row],[P]])</f>
        <v>9005.0430614720299</v>
      </c>
      <c r="L145">
        <f t="array" ref="L145">SigmaFromP(テーブル2[[#This Row],[P]])</f>
        <v>4.6429387983550419E-3</v>
      </c>
      <c r="M145">
        <v>144</v>
      </c>
      <c r="N145">
        <v>2929.4567999999999</v>
      </c>
      <c r="O145" s="8">
        <f t="shared" si="58"/>
        <v>2.8502295699234246E-6</v>
      </c>
      <c r="P145" s="8">
        <f t="shared" si="59"/>
        <v>5.9847340050885557E-3</v>
      </c>
      <c r="Q145" s="8">
        <v>1.905E-3</v>
      </c>
      <c r="R145">
        <v>0.15240000000000001</v>
      </c>
      <c r="S145" s="15">
        <v>3544605.8201562501</v>
      </c>
      <c r="T145">
        <v>540.88707296318796</v>
      </c>
      <c r="U145" s="12">
        <f>+T145+BG145*S145*テーブル2[[#This Row],[Pw]]*R145/(N145*O145*K145)</f>
        <v>583.88475389804023</v>
      </c>
      <c r="V145">
        <v>0.03</v>
      </c>
      <c r="W145" s="8">
        <f t="shared" si="60"/>
        <v>81826.598620026867</v>
      </c>
      <c r="X145">
        <v>2.9832242040537481E-2</v>
      </c>
      <c r="Y145">
        <f t="shared" si="61"/>
        <v>5.7897132269993108</v>
      </c>
      <c r="Z145">
        <f t="shared" si="62"/>
        <v>5.7897132518930503</v>
      </c>
      <c r="AA145">
        <f t="shared" si="63"/>
        <v>-2.4893739514197932E-8</v>
      </c>
      <c r="AB145">
        <f t="shared" si="64"/>
        <v>1.0341628698207303E-5</v>
      </c>
      <c r="AC145">
        <v>678.80558435211685</v>
      </c>
      <c r="AD145">
        <f t="shared" si="65"/>
        <v>2498.4027920342492</v>
      </c>
      <c r="AE145">
        <f>+gettm2(AD145,AC145,AK145,AL145,テーブル2[[#This Row],[Fcorr]])</f>
        <v>583.88475389804012</v>
      </c>
      <c r="AF145" s="14">
        <f t="shared" si="66"/>
        <v>0</v>
      </c>
      <c r="AG145">
        <v>1.0399852669285069E-5</v>
      </c>
      <c r="AH145">
        <f t="shared" si="67"/>
        <v>53.874749525593217</v>
      </c>
      <c r="AI145">
        <f t="shared" si="68"/>
        <v>0.30116202774319267</v>
      </c>
      <c r="AJ145">
        <f t="shared" si="69"/>
        <v>27.278762147702526</v>
      </c>
      <c r="AK145">
        <f t="array" ref="AK145">+S145*テーブル2[[#This Row],[F_form]]/(E145*CpFromTP((テーブル2[[#This Row],[Tin]]+テーブル2[[#This Row],[Tf]])/2,テーブル2[[#This Row],[P]])*AI145)</f>
        <v>3.7794475851898599</v>
      </c>
      <c r="AL145">
        <f t="shared" si="70"/>
        <v>1.3019406270656069</v>
      </c>
      <c r="AM145">
        <f t="shared" si="71"/>
        <v>617.97483343461909</v>
      </c>
      <c r="AN145">
        <f t="shared" si="72"/>
        <v>4.014282239950262E-10</v>
      </c>
      <c r="AO145">
        <f t="shared" si="73"/>
        <v>5.8223971077766472E-8</v>
      </c>
      <c r="AP145">
        <v>3.2915476613267729</v>
      </c>
      <c r="AQ145">
        <f t="shared" si="74"/>
        <v>3.08732711305876E-5</v>
      </c>
      <c r="AR145">
        <f t="shared" si="75"/>
        <v>5.2290383201814179E-6</v>
      </c>
      <c r="AS145">
        <f t="shared" si="76"/>
        <v>13.715741668026597</v>
      </c>
      <c r="AT145">
        <f t="shared" si="77"/>
        <v>10.042721000356027</v>
      </c>
      <c r="AU145">
        <f t="shared" si="78"/>
        <v>3.0244862205263652</v>
      </c>
      <c r="AV145">
        <f t="shared" si="79"/>
        <v>0.26706144080040772</v>
      </c>
      <c r="AW145">
        <f t="shared" si="80"/>
        <v>7.0242014823778389E-3</v>
      </c>
      <c r="AX145">
        <f t="shared" si="81"/>
        <v>0.26706143585063419</v>
      </c>
      <c r="AY145">
        <f t="shared" si="82"/>
        <v>4.9497735354897543E-9</v>
      </c>
      <c r="AZ145">
        <f t="shared" si="83"/>
        <v>964852.16359160375</v>
      </c>
      <c r="BA145">
        <f t="shared" si="84"/>
        <v>9.3795607134374756E-6</v>
      </c>
      <c r="BB145" s="15">
        <f t="shared" si="85"/>
        <v>3557664.0679743527</v>
      </c>
      <c r="BC145" s="20">
        <f t="shared" si="86"/>
        <v>13058.247818102594</v>
      </c>
      <c r="BD145" s="19">
        <f t="shared" si="87"/>
        <v>0.36839774239063267</v>
      </c>
      <c r="BE145" s="15">
        <v>4164058.8</v>
      </c>
      <c r="BF145" s="16">
        <f>テーブル2[[#This Row],[q_P]]/テーブル2[[#This Row],[q_M]]</f>
        <v>0.85437411882232617</v>
      </c>
      <c r="BG145">
        <v>1</v>
      </c>
      <c r="BH145">
        <v>-4.0000000000000001E-3</v>
      </c>
      <c r="BI145">
        <v>4.5999999999999999E-2</v>
      </c>
      <c r="BJ145">
        <v>5625</v>
      </c>
      <c r="BK145" s="22">
        <v>1</v>
      </c>
      <c r="BL145">
        <f>テーブル2[[#This Row],[Ts]]-テーブル2[[#This Row],[Tin]]</f>
        <v>77.087760471832553</v>
      </c>
      <c r="BM145">
        <f>テーブル2[[#This Row],[q_P]]*0.000001</f>
        <v>3.5576640679743528</v>
      </c>
      <c r="BN145">
        <f>テーブル2[[#This Row],[Tsub]]</f>
        <v>77.087760471832553</v>
      </c>
      <c r="BO145">
        <f>テーブル2[[#This Row],[Fcorr]]</f>
        <v>1</v>
      </c>
      <c r="BP145">
        <f>(テーブル2[[#This Row],[Tsub]]-40)^2</f>
        <v>1375.5019768160253</v>
      </c>
      <c r="BQ145">
        <v>1</v>
      </c>
      <c r="BR145">
        <v>0.15240000000000001</v>
      </c>
    </row>
    <row r="146" spans="1:70" x14ac:dyDescent="0.15">
      <c r="A146" s="9" t="s">
        <v>214</v>
      </c>
      <c r="B146">
        <v>15513203.909628799</v>
      </c>
      <c r="C146" s="22">
        <f t="array" ref="C146">TsatFromP(テーブル2[[#This Row],[P]])</f>
        <v>617.97483343502051</v>
      </c>
      <c r="D146">
        <f t="array" ref="D146">RhoGFromP(テーブル2[[#This Row],[P]])</f>
        <v>102.22394330033012</v>
      </c>
      <c r="E146">
        <f t="array" ref="E146">RhoFFromP(テーブル2[[#This Row],[P]])</f>
        <v>593.99780321429478</v>
      </c>
      <c r="F146">
        <f t="array" ref="F146">HgFromP(テーブル2[[#This Row],[P]])</f>
        <v>2595333.5493798093</v>
      </c>
      <c r="G146">
        <f t="array" ref="G146">HfFromP(テーブル2[[#This Row],[P]])</f>
        <v>1630481.3857882055</v>
      </c>
      <c r="H146">
        <f t="array" ref="H146">MuGFromP(テーブル2[[#This Row],[P]])</f>
        <v>2.3048203873610289E-5</v>
      </c>
      <c r="I146">
        <f t="array" ref="I146">MuFFromP(テーブル2[[#This Row],[P]])</f>
        <v>6.8200503236293109E-5</v>
      </c>
      <c r="J146">
        <f t="array" ref="J146">KfFromP(テーブル2[[#This Row],[P]])</f>
        <v>0.47171772328903144</v>
      </c>
      <c r="K146">
        <f t="array" ref="K146">CpFFromP(テーブル2[[#This Row],[P]])</f>
        <v>9005.0430614720299</v>
      </c>
      <c r="L146">
        <f t="array" ref="L146">SigmaFromP(テーブル2[[#This Row],[P]])</f>
        <v>4.6429387983550419E-3</v>
      </c>
      <c r="M146">
        <v>145</v>
      </c>
      <c r="N146">
        <v>2956.5814</v>
      </c>
      <c r="O146" s="8">
        <f t="shared" si="58"/>
        <v>2.8502295699234246E-6</v>
      </c>
      <c r="P146" s="8">
        <f t="shared" si="59"/>
        <v>5.9847340050885557E-3</v>
      </c>
      <c r="Q146" s="8">
        <v>1.905E-3</v>
      </c>
      <c r="R146">
        <v>0.15240000000000001</v>
      </c>
      <c r="S146" s="15">
        <v>3399087.98828125</v>
      </c>
      <c r="T146">
        <v>544.80126491492899</v>
      </c>
      <c r="U146" s="12">
        <f>+T146+BG146*S146*テーブル2[[#This Row],[Pw]]*R146/(N146*O146*K146)</f>
        <v>585.65546869276977</v>
      </c>
      <c r="V146">
        <v>0.03</v>
      </c>
      <c r="W146" s="8">
        <f t="shared" si="60"/>
        <v>82584.252310953045</v>
      </c>
      <c r="X146">
        <v>2.9712616755100299E-2</v>
      </c>
      <c r="Y146">
        <f t="shared" si="61"/>
        <v>5.8013564355317948</v>
      </c>
      <c r="Z146">
        <f t="shared" si="62"/>
        <v>5.8013564559704935</v>
      </c>
      <c r="AA146">
        <f t="shared" si="63"/>
        <v>-2.0438698733471483E-8</v>
      </c>
      <c r="AB146">
        <f t="shared" si="64"/>
        <v>1.0193620209276483E-5</v>
      </c>
      <c r="AC146">
        <v>675.14618475048269</v>
      </c>
      <c r="AD146">
        <f t="shared" si="65"/>
        <v>2516.4754776415803</v>
      </c>
      <c r="AE146">
        <f>+gettm2(AD146,AC146,AK146,AL146,テーブル2[[#This Row],[Fcorr]])</f>
        <v>585.65546869276977</v>
      </c>
      <c r="AF146" s="14">
        <f t="shared" si="66"/>
        <v>0</v>
      </c>
      <c r="AG146">
        <v>1.0248915798472461E-5</v>
      </c>
      <c r="AH146">
        <f t="shared" si="67"/>
        <v>54.656995685946825</v>
      </c>
      <c r="AI146">
        <f t="shared" si="68"/>
        <v>0.30334054221716883</v>
      </c>
      <c r="AJ146">
        <f t="shared" si="69"/>
        <v>27.077317878497976</v>
      </c>
      <c r="AK146">
        <f t="array" ref="AK146">+S146*テーブル2[[#This Row],[F_form]]/(E146*CpFromTP((テーブル2[[#This Row],[Tin]]+テーブル2[[#This Row],[Tf]])/2,テーブル2[[#This Row],[P]])*AI146)</f>
        <v>3.5606511682164945</v>
      </c>
      <c r="AL146">
        <f t="shared" si="70"/>
        <v>1.3019406270656069</v>
      </c>
      <c r="AM146">
        <f t="shared" si="71"/>
        <v>617.97483343260865</v>
      </c>
      <c r="AN146">
        <f t="shared" si="72"/>
        <v>2.4118662622640841E-9</v>
      </c>
      <c r="AO146">
        <f t="shared" si="73"/>
        <v>5.5295589195978131E-8</v>
      </c>
      <c r="AP146">
        <v>3.3028858052805461</v>
      </c>
      <c r="AQ146">
        <f t="shared" si="74"/>
        <v>3.0661671459949148E-5</v>
      </c>
      <c r="AR146">
        <f t="shared" si="75"/>
        <v>5.1521056938342194E-6</v>
      </c>
      <c r="AS146">
        <f t="shared" si="76"/>
        <v>13.611703555644485</v>
      </c>
      <c r="AT146">
        <f t="shared" si="77"/>
        <v>10.00464989119228</v>
      </c>
      <c r="AU146">
        <f t="shared" si="78"/>
        <v>3.0348159226872053</v>
      </c>
      <c r="AV146">
        <f t="shared" si="79"/>
        <v>0.26806988259334075</v>
      </c>
      <c r="AW146">
        <f t="shared" si="80"/>
        <v>6.9236717227344098E-3</v>
      </c>
      <c r="AX146">
        <f t="shared" si="81"/>
        <v>0.26806987709591751</v>
      </c>
      <c r="AY146">
        <f t="shared" si="82"/>
        <v>5.4974232388538269E-9</v>
      </c>
      <c r="AZ146">
        <f t="shared" si="83"/>
        <v>964852.16359160375</v>
      </c>
      <c r="BA146">
        <f t="shared" si="84"/>
        <v>9.2832974760823607E-6</v>
      </c>
      <c r="BB146" s="15">
        <f t="shared" si="85"/>
        <v>3413766.6910962756</v>
      </c>
      <c r="BC146" s="20">
        <f t="shared" si="86"/>
        <v>14678.702815025579</v>
      </c>
      <c r="BD146" s="19">
        <f t="shared" si="87"/>
        <v>0.43184239024209164</v>
      </c>
      <c r="BE146" s="15">
        <v>4164058.8</v>
      </c>
      <c r="BF146" s="16">
        <f>テーブル2[[#This Row],[q_P]]/テーブル2[[#This Row],[q_M]]</f>
        <v>0.81981711956043357</v>
      </c>
      <c r="BG146">
        <v>1</v>
      </c>
      <c r="BH146">
        <v>1.0999999999999999E-2</v>
      </c>
      <c r="BI146">
        <v>4.5999999999999999E-2</v>
      </c>
      <c r="BJ146">
        <v>5625</v>
      </c>
      <c r="BK146" s="22">
        <v>1</v>
      </c>
      <c r="BL146">
        <f>テーブル2[[#This Row],[Ts]]-テーブル2[[#This Row],[Tin]]</f>
        <v>73.173568520091521</v>
      </c>
      <c r="BM146">
        <f>テーブル2[[#This Row],[q_P]]*0.000001</f>
        <v>3.4137666910962756</v>
      </c>
      <c r="BN146">
        <f>テーブル2[[#This Row],[Tsub]]</f>
        <v>73.173568520091521</v>
      </c>
      <c r="BO146">
        <f>テーブル2[[#This Row],[Fcorr]]</f>
        <v>1</v>
      </c>
      <c r="BP146">
        <f>(テーブル2[[#This Row],[Tsub]]-40)^2</f>
        <v>1100.4856483572071</v>
      </c>
      <c r="BQ146">
        <v>1</v>
      </c>
      <c r="BR146">
        <v>0.15240000000000001</v>
      </c>
    </row>
    <row r="147" spans="1:70" x14ac:dyDescent="0.15">
      <c r="A147" s="9" t="s">
        <v>215</v>
      </c>
      <c r="B147">
        <v>15513203.909628799</v>
      </c>
      <c r="C147" s="22">
        <f t="array" ref="C147">TsatFromP(テーブル2[[#This Row],[P]])</f>
        <v>617.97483343502051</v>
      </c>
      <c r="D147">
        <f t="array" ref="D147">RhoGFromP(テーブル2[[#This Row],[P]])</f>
        <v>102.22394330033012</v>
      </c>
      <c r="E147">
        <f t="array" ref="E147">RhoFFromP(テーブル2[[#This Row],[P]])</f>
        <v>593.99780321429478</v>
      </c>
      <c r="F147">
        <f t="array" ref="F147">HgFromP(テーブル2[[#This Row],[P]])</f>
        <v>2595333.5493798093</v>
      </c>
      <c r="G147">
        <f t="array" ref="G147">HfFromP(テーブル2[[#This Row],[P]])</f>
        <v>1630481.3857882055</v>
      </c>
      <c r="H147">
        <f t="array" ref="H147">MuGFromP(テーブル2[[#This Row],[P]])</f>
        <v>2.3048203873610289E-5</v>
      </c>
      <c r="I147">
        <f t="array" ref="I147">MuFFromP(テーブル2[[#This Row],[P]])</f>
        <v>6.8200503236293109E-5</v>
      </c>
      <c r="J147">
        <f t="array" ref="J147">KfFromP(テーブル2[[#This Row],[P]])</f>
        <v>0.47171772328903144</v>
      </c>
      <c r="K147">
        <f t="array" ref="K147">CpFFromP(テーブル2[[#This Row],[P]])</f>
        <v>9005.0430614720299</v>
      </c>
      <c r="L147">
        <f t="array" ref="L147">SigmaFromP(テーブル2[[#This Row],[P]])</f>
        <v>4.6429387983550419E-3</v>
      </c>
      <c r="M147">
        <v>146</v>
      </c>
      <c r="N147">
        <v>2983.7060000000001</v>
      </c>
      <c r="O147" s="8">
        <f t="shared" si="58"/>
        <v>2.8502295699234246E-6</v>
      </c>
      <c r="P147" s="8">
        <f t="shared" si="59"/>
        <v>5.9847340050885557E-3</v>
      </c>
      <c r="Q147" s="8">
        <v>1.905E-3</v>
      </c>
      <c r="R147">
        <v>0.15240000000000001</v>
      </c>
      <c r="S147" s="15">
        <v>5002398.92578125</v>
      </c>
      <c r="T147">
        <v>506.78358716530897</v>
      </c>
      <c r="U147" s="12">
        <f>+T147+BG147*S147*テーブル2[[#This Row],[Pw]]*R147/(N147*O147*K147)</f>
        <v>566.36166386176149</v>
      </c>
      <c r="V147">
        <v>0.03</v>
      </c>
      <c r="W147" s="8">
        <f t="shared" si="60"/>
        <v>83341.906001879222</v>
      </c>
      <c r="X147">
        <v>2.9594784018131641E-2</v>
      </c>
      <c r="Y147">
        <f t="shared" si="61"/>
        <v>5.8128941210789371</v>
      </c>
      <c r="Z147">
        <f t="shared" si="62"/>
        <v>5.8128941374986907</v>
      </c>
      <c r="AA147">
        <f t="shared" si="63"/>
        <v>-1.6419753556817795E-8</v>
      </c>
      <c r="AB147">
        <f t="shared" si="64"/>
        <v>1.0048975809118475E-5</v>
      </c>
      <c r="AC147">
        <v>708.70983593068502</v>
      </c>
      <c r="AD147">
        <f t="shared" si="65"/>
        <v>2534.5217744995784</v>
      </c>
      <c r="AE147">
        <f>+gettm2(AD147,AC147,AK147,AL147,テーブル2[[#This Row],[Fcorr]])</f>
        <v>566.36166494885958</v>
      </c>
      <c r="AF147" s="14">
        <f t="shared" si="66"/>
        <v>1.0870980986510403E-6</v>
      </c>
      <c r="AG147">
        <v>1.012819253051503E-5</v>
      </c>
      <c r="AH147">
        <f t="shared" si="67"/>
        <v>55.443725448820643</v>
      </c>
      <c r="AI147">
        <f t="shared" si="68"/>
        <v>0.30551587574318734</v>
      </c>
      <c r="AJ147">
        <f t="shared" si="69"/>
        <v>26.950261947416617</v>
      </c>
      <c r="AK147">
        <f t="array" ref="AK147">+S147*テーブル2[[#This Row],[F_form]]/(E147*CpFromTP((テーブル2[[#This Row],[Tin]]+テーブル2[[#This Row],[Tf]])/2,テーブル2[[#This Row],[P]])*AI147)</f>
        <v>5.6596679254299653</v>
      </c>
      <c r="AL147">
        <f t="shared" si="70"/>
        <v>1.3019406270656069</v>
      </c>
      <c r="AM147">
        <f t="shared" si="71"/>
        <v>617.97483343479962</v>
      </c>
      <c r="AN147">
        <f t="shared" si="72"/>
        <v>2.2089352569309995E-10</v>
      </c>
      <c r="AO147">
        <f t="shared" si="73"/>
        <v>7.9216721396554575E-8</v>
      </c>
      <c r="AP147">
        <v>3.3215514313724772</v>
      </c>
      <c r="AQ147">
        <f t="shared" si="74"/>
        <v>3.0318030111609576E-5</v>
      </c>
      <c r="AR147">
        <f t="shared" si="75"/>
        <v>5.1037046259557921E-6</v>
      </c>
      <c r="AS147">
        <f t="shared" si="76"/>
        <v>13.580525464671055</v>
      </c>
      <c r="AT147">
        <f t="shared" si="77"/>
        <v>9.993184076965397</v>
      </c>
      <c r="AU147">
        <f t="shared" si="78"/>
        <v>3.0530763847369586</v>
      </c>
      <c r="AV147">
        <f t="shared" si="79"/>
        <v>0.26847504663551858</v>
      </c>
      <c r="AW147">
        <f t="shared" si="80"/>
        <v>6.8254269065978895E-3</v>
      </c>
      <c r="AX147">
        <f t="shared" si="81"/>
        <v>0.26847504032108882</v>
      </c>
      <c r="AY147">
        <f t="shared" si="82"/>
        <v>6.3144297568484831E-9</v>
      </c>
      <c r="AZ147">
        <f t="shared" si="83"/>
        <v>964852.16359160375</v>
      </c>
      <c r="BA147">
        <f t="shared" si="84"/>
        <v>9.1276714324673449E-6</v>
      </c>
      <c r="BB147" s="15">
        <f t="shared" si="85"/>
        <v>4973962.1873237807</v>
      </c>
      <c r="BC147" s="20">
        <f t="shared" si="86"/>
        <v>-28436.73845746927</v>
      </c>
      <c r="BD147" s="19">
        <f t="shared" si="87"/>
        <v>-0.56846202950573677</v>
      </c>
      <c r="BE147" s="15">
        <v>5520532.5</v>
      </c>
      <c r="BF147" s="16">
        <f>テーブル2[[#This Row],[q_P]]/テーブル2[[#This Row],[q_M]]</f>
        <v>0.90099318993661948</v>
      </c>
      <c r="BG147">
        <v>1</v>
      </c>
      <c r="BH147">
        <v>-0.03</v>
      </c>
      <c r="BI147">
        <v>4.5999999999999999E-2</v>
      </c>
      <c r="BJ147">
        <v>5625</v>
      </c>
      <c r="BK147" s="22">
        <v>1</v>
      </c>
      <c r="BL147">
        <f>テーブル2[[#This Row],[Ts]]-テーブル2[[#This Row],[Tin]]</f>
        <v>111.19124626971154</v>
      </c>
      <c r="BM147">
        <f>テーブル2[[#This Row],[q_P]]*0.000001</f>
        <v>4.9739621873237807</v>
      </c>
      <c r="BN147">
        <f>テーブル2[[#This Row],[Tsub]]</f>
        <v>111.19124626971154</v>
      </c>
      <c r="BO147">
        <f>テーブル2[[#This Row],[Fcorr]]</f>
        <v>1</v>
      </c>
      <c r="BP147">
        <f>(テーブル2[[#This Row],[Tsub]]-40)^2</f>
        <v>5068.1935454347176</v>
      </c>
      <c r="BQ147">
        <v>1</v>
      </c>
      <c r="BR147">
        <v>0.15240000000000001</v>
      </c>
    </row>
    <row r="148" spans="1:70" x14ac:dyDescent="0.15">
      <c r="A148" s="9" t="s">
        <v>216</v>
      </c>
      <c r="B148">
        <v>15513203.909628799</v>
      </c>
      <c r="C148" s="22">
        <f t="array" ref="C148">TsatFromP(テーブル2[[#This Row],[P]])</f>
        <v>617.97483343502051</v>
      </c>
      <c r="D148">
        <f t="array" ref="D148">RhoGFromP(テーブル2[[#This Row],[P]])</f>
        <v>102.22394330033012</v>
      </c>
      <c r="E148">
        <f t="array" ref="E148">RhoFFromP(テーブル2[[#This Row],[P]])</f>
        <v>593.99780321429478</v>
      </c>
      <c r="F148">
        <f t="array" ref="F148">HgFromP(テーブル2[[#This Row],[P]])</f>
        <v>2595333.5493798093</v>
      </c>
      <c r="G148">
        <f t="array" ref="G148">HfFromP(テーブル2[[#This Row],[P]])</f>
        <v>1630481.3857882055</v>
      </c>
      <c r="H148">
        <f t="array" ref="H148">MuGFromP(テーブル2[[#This Row],[P]])</f>
        <v>2.3048203873610289E-5</v>
      </c>
      <c r="I148">
        <f t="array" ref="I148">MuFFromP(テーブル2[[#This Row],[P]])</f>
        <v>6.8200503236293109E-5</v>
      </c>
      <c r="J148">
        <f t="array" ref="J148">KfFromP(テーブル2[[#This Row],[P]])</f>
        <v>0.47171772328903144</v>
      </c>
      <c r="K148">
        <f t="array" ref="K148">CpFFromP(テーブル2[[#This Row],[P]])</f>
        <v>9005.0430614720299</v>
      </c>
      <c r="L148">
        <f t="array" ref="L148">SigmaFromP(テーブル2[[#This Row],[P]])</f>
        <v>4.6429387983550419E-3</v>
      </c>
      <c r="M148">
        <v>147</v>
      </c>
      <c r="N148">
        <v>2997.2683000000002</v>
      </c>
      <c r="O148" s="8">
        <f t="shared" si="58"/>
        <v>2.8502295699234246E-6</v>
      </c>
      <c r="P148" s="8">
        <f t="shared" si="59"/>
        <v>5.9847340050885557E-3</v>
      </c>
      <c r="Q148" s="8">
        <v>1.905E-3</v>
      </c>
      <c r="R148">
        <v>0.15240000000000001</v>
      </c>
      <c r="S148" s="15">
        <v>5076080.76171875</v>
      </c>
      <c r="T148">
        <v>505.31581815094103</v>
      </c>
      <c r="U148" s="12">
        <f>+T148+BG148*S148*テーブル2[[#This Row],[Pw]]*R148/(N148*O148*K148)</f>
        <v>565.4978833876437</v>
      </c>
      <c r="V148">
        <v>0.03</v>
      </c>
      <c r="W148" s="8">
        <f t="shared" si="60"/>
        <v>83720.732847342311</v>
      </c>
      <c r="X148">
        <v>2.9536526159325539E-2</v>
      </c>
      <c r="Y148">
        <f t="shared" si="61"/>
        <v>5.8186239746990411</v>
      </c>
      <c r="Z148">
        <f t="shared" si="62"/>
        <v>5.8186239892910878</v>
      </c>
      <c r="AA148">
        <f t="shared" si="63"/>
        <v>-1.4592046682082582E-8</v>
      </c>
      <c r="AB148">
        <f t="shared" si="64"/>
        <v>9.9778822390283174E-6</v>
      </c>
      <c r="AC148">
        <v>709.86129122428724</v>
      </c>
      <c r="AD148">
        <f t="shared" si="65"/>
        <v>2543.5351287382805</v>
      </c>
      <c r="AE148">
        <f>+gettm2(AD148,AC148,AK148,AL148,テーブル2[[#This Row],[Fcorr]])</f>
        <v>565.49788448625657</v>
      </c>
      <c r="AF148" s="14">
        <f t="shared" si="66"/>
        <v>1.0986128700096742E-6</v>
      </c>
      <c r="AG148">
        <v>1.005861786816685E-5</v>
      </c>
      <c r="AH148">
        <f t="shared" si="67"/>
        <v>55.838768433577201</v>
      </c>
      <c r="AI148">
        <f t="shared" si="68"/>
        <v>0.30660236189664103</v>
      </c>
      <c r="AJ148">
        <f t="shared" si="69"/>
        <v>26.860312749855055</v>
      </c>
      <c r="AK148">
        <f t="array" ref="AK148">+S148*テーブル2[[#This Row],[F_form]]/(E148*CpFromTP((テーブル2[[#This Row],[Tin]]+テーブル2[[#This Row],[Tf]])/2,テーブル2[[#This Row],[P]])*AI148)</f>
        <v>5.7377428808436477</v>
      </c>
      <c r="AL148">
        <f t="shared" si="70"/>
        <v>1.3019406270656069</v>
      </c>
      <c r="AM148">
        <f t="shared" si="71"/>
        <v>617.97483343411091</v>
      </c>
      <c r="AN148">
        <f t="shared" si="72"/>
        <v>9.0960838861064985E-10</v>
      </c>
      <c r="AO148">
        <f t="shared" si="73"/>
        <v>8.073562913853255E-8</v>
      </c>
      <c r="AP148">
        <v>3.3280262779848999</v>
      </c>
      <c r="AQ148">
        <f t="shared" si="74"/>
        <v>3.0200174290873562E-5</v>
      </c>
      <c r="AR148">
        <f t="shared" si="75"/>
        <v>5.0696767486526913E-6</v>
      </c>
      <c r="AS148">
        <f t="shared" si="76"/>
        <v>13.537953702410281</v>
      </c>
      <c r="AT148">
        <f t="shared" si="77"/>
        <v>9.9774856312782596</v>
      </c>
      <c r="AU148">
        <f t="shared" si="78"/>
        <v>3.0591206603397127</v>
      </c>
      <c r="AV148">
        <f t="shared" si="79"/>
        <v>0.26890561764518717</v>
      </c>
      <c r="AW148">
        <f t="shared" si="80"/>
        <v>6.7771390038905161E-3</v>
      </c>
      <c r="AX148">
        <f t="shared" si="81"/>
        <v>0.26890561101057903</v>
      </c>
      <c r="AY148">
        <f t="shared" si="82"/>
        <v>6.6346081406543078E-9</v>
      </c>
      <c r="AZ148">
        <f t="shared" si="83"/>
        <v>964852.16359160375</v>
      </c>
      <c r="BA148">
        <f t="shared" si="84"/>
        <v>9.0744999493091702E-6</v>
      </c>
      <c r="BB148" s="15">
        <f t="shared" si="85"/>
        <v>5099036.7873276975</v>
      </c>
      <c r="BC148" s="20">
        <f t="shared" si="86"/>
        <v>22956.025608947501</v>
      </c>
      <c r="BD148" s="19">
        <f t="shared" si="87"/>
        <v>0.45223917204135733</v>
      </c>
      <c r="BE148" s="15">
        <v>5520532.5</v>
      </c>
      <c r="BF148" s="16">
        <f>テーブル2[[#This Row],[q_P]]/テーブル2[[#This Row],[q_M]]</f>
        <v>0.92364944637635904</v>
      </c>
      <c r="BG148">
        <v>1</v>
      </c>
      <c r="BH148">
        <v>-3.9E-2</v>
      </c>
      <c r="BI148">
        <v>4.5999999999999999E-2</v>
      </c>
      <c r="BJ148">
        <v>5625</v>
      </c>
      <c r="BK148" s="22">
        <v>1</v>
      </c>
      <c r="BL148">
        <f>テーブル2[[#This Row],[Ts]]-テーブル2[[#This Row],[Tin]]</f>
        <v>112.65901528407949</v>
      </c>
      <c r="BM148">
        <f>テーブル2[[#This Row],[q_P]]*0.000001</f>
        <v>5.0990367873276972</v>
      </c>
      <c r="BN148">
        <f>テーブル2[[#This Row],[Tsub]]</f>
        <v>112.65901528407949</v>
      </c>
      <c r="BO148">
        <f>テーブル2[[#This Row],[Fcorr]]</f>
        <v>1</v>
      </c>
      <c r="BP148">
        <f>(テーブル2[[#This Row],[Tsub]]-40)^2</f>
        <v>5279.332502052097</v>
      </c>
      <c r="BQ148">
        <v>1</v>
      </c>
      <c r="BR148">
        <v>0.15240000000000001</v>
      </c>
    </row>
    <row r="149" spans="1:70" x14ac:dyDescent="0.15">
      <c r="A149" s="9" t="s">
        <v>217</v>
      </c>
      <c r="B149">
        <v>15513203.909628799</v>
      </c>
      <c r="C149" s="22">
        <f t="array" ref="C149">TsatFromP(テーブル2[[#This Row],[P]])</f>
        <v>617.97483343502051</v>
      </c>
      <c r="D149">
        <f t="array" ref="D149">RhoGFromP(テーブル2[[#This Row],[P]])</f>
        <v>102.22394330033012</v>
      </c>
      <c r="E149">
        <f t="array" ref="E149">RhoFFromP(テーブル2[[#This Row],[P]])</f>
        <v>593.99780321429478</v>
      </c>
      <c r="F149">
        <f t="array" ref="F149">HgFromP(テーブル2[[#This Row],[P]])</f>
        <v>2595333.5493798093</v>
      </c>
      <c r="G149">
        <f t="array" ref="G149">HfFromP(テーブル2[[#This Row],[P]])</f>
        <v>1630481.3857882055</v>
      </c>
      <c r="H149">
        <f t="array" ref="H149">MuGFromP(テーブル2[[#This Row],[P]])</f>
        <v>2.3048203873610289E-5</v>
      </c>
      <c r="I149">
        <f t="array" ref="I149">MuFFromP(テーブル2[[#This Row],[P]])</f>
        <v>6.8200503236293109E-5</v>
      </c>
      <c r="J149">
        <f t="array" ref="J149">KfFromP(テーブル2[[#This Row],[P]])</f>
        <v>0.47171772328903144</v>
      </c>
      <c r="K149">
        <f t="array" ref="K149">CpFFromP(テーブル2[[#This Row],[P]])</f>
        <v>9005.0430614720299</v>
      </c>
      <c r="L149">
        <f t="array" ref="L149">SigmaFromP(テーブル2[[#This Row],[P]])</f>
        <v>4.6429387983550419E-3</v>
      </c>
      <c r="M149">
        <v>148</v>
      </c>
      <c r="N149">
        <v>3024.3928999999998</v>
      </c>
      <c r="O149" s="8">
        <f t="shared" si="58"/>
        <v>2.8502295699234246E-6</v>
      </c>
      <c r="P149" s="8">
        <f t="shared" si="59"/>
        <v>5.9847340050885557E-3</v>
      </c>
      <c r="Q149" s="8">
        <v>1.905E-3</v>
      </c>
      <c r="R149">
        <v>0.15240000000000001</v>
      </c>
      <c r="S149" s="15">
        <v>6789642.08984375</v>
      </c>
      <c r="T149">
        <v>464.11830000844998</v>
      </c>
      <c r="U149" s="12">
        <f>+T149+BG149*S149*テーブル2[[#This Row],[Pw]]*R149/(N149*O149*K149)</f>
        <v>543.89441006563823</v>
      </c>
      <c r="V149">
        <v>0.03</v>
      </c>
      <c r="W149" s="8">
        <f t="shared" si="60"/>
        <v>84478.386538268489</v>
      </c>
      <c r="X149">
        <v>2.9421300873239079E-2</v>
      </c>
      <c r="Y149">
        <f t="shared" si="61"/>
        <v>5.8300068407870205</v>
      </c>
      <c r="Z149">
        <f t="shared" si="62"/>
        <v>5.8300068521006256</v>
      </c>
      <c r="AA149">
        <f t="shared" si="63"/>
        <v>-1.1313605163820739E-8</v>
      </c>
      <c r="AB149">
        <f t="shared" si="64"/>
        <v>9.8380888363249655E-6</v>
      </c>
      <c r="AC149">
        <v>746.92101927760314</v>
      </c>
      <c r="AD149">
        <f t="shared" si="65"/>
        <v>2561.542448243682</v>
      </c>
      <c r="AE149">
        <f>+gettm2(AD149,AC149,AK149,AL149,テーブル2[[#This Row],[Fcorr]])</f>
        <v>543.89441153484836</v>
      </c>
      <c r="AF149" s="14">
        <f t="shared" si="66"/>
        <v>1.4692101331092999E-6</v>
      </c>
      <c r="AG149">
        <v>9.9435833207945902E-6</v>
      </c>
      <c r="AH149">
        <f t="shared" si="67"/>
        <v>56.632204188423465</v>
      </c>
      <c r="AI149">
        <f t="shared" si="68"/>
        <v>0.3087729970215124</v>
      </c>
      <c r="AJ149">
        <f t="shared" si="69"/>
        <v>26.74111366284852</v>
      </c>
      <c r="AK149">
        <f t="array" ref="AK149">+S149*テーブル2[[#This Row],[F_form]]/(E149*CpFromTP((テーブル2[[#This Row],[Tin]]+テーブル2[[#This Row],[Tf]])/2,テーブル2[[#This Row],[P]])*AI149)</f>
        <v>8.0635982007374132</v>
      </c>
      <c r="AL149">
        <f t="shared" si="70"/>
        <v>1.3019406270656069</v>
      </c>
      <c r="AM149">
        <f t="shared" si="71"/>
        <v>617.97483343617807</v>
      </c>
      <c r="AN149">
        <f t="shared" si="72"/>
        <v>-1.1575593816814944E-9</v>
      </c>
      <c r="AO149">
        <f t="shared" si="73"/>
        <v>1.054944844696247E-7</v>
      </c>
      <c r="AP149">
        <v>3.3471263183201452</v>
      </c>
      <c r="AQ149">
        <f t="shared" si="74"/>
        <v>2.9856489173134122E-5</v>
      </c>
      <c r="AR149">
        <f t="shared" si="75"/>
        <v>5.0245389026321074E-6</v>
      </c>
      <c r="AS149">
        <f t="shared" si="76"/>
        <v>13.512409114901702</v>
      </c>
      <c r="AT149">
        <f t="shared" si="77"/>
        <v>9.9680422847049144</v>
      </c>
      <c r="AU149">
        <f t="shared" si="78"/>
        <v>3.0778622906855002</v>
      </c>
      <c r="AV149">
        <f t="shared" si="79"/>
        <v>0.26926402763464496</v>
      </c>
      <c r="AW149">
        <f t="shared" si="80"/>
        <v>6.682189063687601E-3</v>
      </c>
      <c r="AX149">
        <f t="shared" si="81"/>
        <v>0.26926402014870021</v>
      </c>
      <c r="AY149">
        <f t="shared" si="82"/>
        <v>7.4859447529718182E-9</v>
      </c>
      <c r="AZ149">
        <f t="shared" si="83"/>
        <v>964852.16359160375</v>
      </c>
      <c r="BA149">
        <f t="shared" si="84"/>
        <v>8.9200365727811815E-6</v>
      </c>
      <c r="BB149" s="15">
        <f t="shared" si="85"/>
        <v>6778111.8795138942</v>
      </c>
      <c r="BC149" s="20">
        <f t="shared" si="86"/>
        <v>-11530.210329855792</v>
      </c>
      <c r="BD149" s="19">
        <f t="shared" si="87"/>
        <v>-0.16982059108981895</v>
      </c>
      <c r="BE149" s="15">
        <v>6561547.1999999993</v>
      </c>
      <c r="BF149" s="16">
        <f>テーブル2[[#This Row],[q_P]]/テーブル2[[#This Row],[q_M]]</f>
        <v>1.0330051240832185</v>
      </c>
      <c r="BG149">
        <v>1</v>
      </c>
      <c r="BH149">
        <v>-0.122</v>
      </c>
      <c r="BI149">
        <v>4.5999999999999999E-2</v>
      </c>
      <c r="BJ149">
        <v>5625</v>
      </c>
      <c r="BK149" s="22">
        <v>1</v>
      </c>
      <c r="BL149">
        <f>テーブル2[[#This Row],[Ts]]-テーブル2[[#This Row],[Tin]]</f>
        <v>153.85653342657054</v>
      </c>
      <c r="BM149">
        <f>テーブル2[[#This Row],[q_P]]*0.000001</f>
        <v>6.7781118795138937</v>
      </c>
      <c r="BN149">
        <f>テーブル2[[#This Row],[Tsub]]</f>
        <v>153.85653342657054</v>
      </c>
      <c r="BO149">
        <f>テーブル2[[#This Row],[Fcorr]]</f>
        <v>1</v>
      </c>
      <c r="BP149">
        <f>(テーブル2[[#This Row],[Tsub]]-40)^2</f>
        <v>12963.310203915773</v>
      </c>
      <c r="BQ149">
        <v>1</v>
      </c>
      <c r="BR149">
        <v>0.15240000000000001</v>
      </c>
    </row>
    <row r="150" spans="1:70" x14ac:dyDescent="0.15">
      <c r="A150" s="9" t="s">
        <v>218</v>
      </c>
      <c r="B150">
        <v>15513203.909628799</v>
      </c>
      <c r="C150" s="22">
        <f t="array" ref="C150">TsatFromP(テーブル2[[#This Row],[P]])</f>
        <v>617.97483343502051</v>
      </c>
      <c r="D150">
        <f t="array" ref="D150">RhoGFromP(テーブル2[[#This Row],[P]])</f>
        <v>102.22394330033012</v>
      </c>
      <c r="E150">
        <f t="array" ref="E150">RhoFFromP(テーブル2[[#This Row],[P]])</f>
        <v>593.99780321429478</v>
      </c>
      <c r="F150">
        <f t="array" ref="F150">HgFromP(テーブル2[[#This Row],[P]])</f>
        <v>2595333.5493798093</v>
      </c>
      <c r="G150">
        <f t="array" ref="G150">HfFromP(テーブル2[[#This Row],[P]])</f>
        <v>1630481.3857882055</v>
      </c>
      <c r="H150">
        <f t="array" ref="H150">MuGFromP(テーブル2[[#This Row],[P]])</f>
        <v>2.3048203873610289E-5</v>
      </c>
      <c r="I150">
        <f t="array" ref="I150">MuFFromP(テーブル2[[#This Row],[P]])</f>
        <v>6.8200503236293109E-5</v>
      </c>
      <c r="J150">
        <f t="array" ref="J150">KfFromP(テーブル2[[#This Row],[P]])</f>
        <v>0.47171772328903144</v>
      </c>
      <c r="K150">
        <f t="array" ref="K150">CpFFromP(テーブル2[[#This Row],[P]])</f>
        <v>9005.0430614720299</v>
      </c>
      <c r="L150">
        <f t="array" ref="L150">SigmaFromP(テーブル2[[#This Row],[P]])</f>
        <v>4.6429387983550419E-3</v>
      </c>
      <c r="M150">
        <v>149</v>
      </c>
      <c r="N150">
        <v>3024.3928999999998</v>
      </c>
      <c r="O150" s="8">
        <f t="shared" si="58"/>
        <v>2.8502295699234246E-6</v>
      </c>
      <c r="P150" s="8">
        <f t="shared" si="59"/>
        <v>5.9847340050885557E-3</v>
      </c>
      <c r="Q150" s="8">
        <v>1.905E-3</v>
      </c>
      <c r="R150">
        <v>0.15240000000000001</v>
      </c>
      <c r="S150" s="15">
        <v>6744360.3515625</v>
      </c>
      <c r="T150">
        <v>465.232089236273</v>
      </c>
      <c r="U150" s="12">
        <f>+T150+BG150*S150*テーブル2[[#This Row],[Pw]]*R150/(N150*O150*K150)</f>
        <v>544.47615343759662</v>
      </c>
      <c r="V150">
        <v>0.03</v>
      </c>
      <c r="W150" s="8">
        <f t="shared" si="60"/>
        <v>84478.386538268489</v>
      </c>
      <c r="X150">
        <v>2.9421300873239079E-2</v>
      </c>
      <c r="Y150">
        <f t="shared" si="61"/>
        <v>5.8300068407870205</v>
      </c>
      <c r="Z150">
        <f t="shared" si="62"/>
        <v>5.8300068521006256</v>
      </c>
      <c r="AA150">
        <f t="shared" si="63"/>
        <v>-1.1313605163820739E-8</v>
      </c>
      <c r="AB150">
        <f t="shared" si="64"/>
        <v>9.8380888363249655E-6</v>
      </c>
      <c r="AC150">
        <v>745.90025500633055</v>
      </c>
      <c r="AD150">
        <f t="shared" si="65"/>
        <v>2561.542448243682</v>
      </c>
      <c r="AE150">
        <f>+gettm2(AD150,AC150,AK150,AL150,テーブル2[[#This Row],[Fcorr]])</f>
        <v>544.47615343759674</v>
      </c>
      <c r="AF150" s="14">
        <f t="shared" si="66"/>
        <v>0</v>
      </c>
      <c r="AG150">
        <v>9.9428744009127979E-6</v>
      </c>
      <c r="AH150">
        <f t="shared" si="67"/>
        <v>56.632204188423465</v>
      </c>
      <c r="AI150">
        <f t="shared" si="68"/>
        <v>0.3087729970215124</v>
      </c>
      <c r="AJ150">
        <f t="shared" si="69"/>
        <v>26.739207176371238</v>
      </c>
      <c r="AK150">
        <f t="array" ref="AK150">+S150*テーブル2[[#This Row],[F_form]]/(E150*CpFromTP((テーブル2[[#This Row],[Tin]]+テーブル2[[#This Row],[Tf]])/2,テーブル2[[#This Row],[P]])*AI150)</f>
        <v>7.9999515386315334</v>
      </c>
      <c r="AL150">
        <f t="shared" si="70"/>
        <v>1.3019406270656069</v>
      </c>
      <c r="AM150">
        <f t="shared" si="71"/>
        <v>617.97483343622616</v>
      </c>
      <c r="AN150">
        <f t="shared" si="72"/>
        <v>-1.205648914037738E-9</v>
      </c>
      <c r="AO150">
        <f t="shared" si="73"/>
        <v>1.0478556458783237E-7</v>
      </c>
      <c r="AP150">
        <v>3.3469246973187352</v>
      </c>
      <c r="AQ150">
        <f t="shared" si="74"/>
        <v>2.986008643157602E-5</v>
      </c>
      <c r="AR150">
        <f t="shared" si="75"/>
        <v>5.0238299827503151E-6</v>
      </c>
      <c r="AS150">
        <f t="shared" si="76"/>
        <v>13.510502628424417</v>
      </c>
      <c r="AT150">
        <f t="shared" si="77"/>
        <v>9.9673367772827106</v>
      </c>
      <c r="AU150">
        <f t="shared" si="78"/>
        <v>3.0776444490443255</v>
      </c>
      <c r="AV150">
        <f t="shared" si="79"/>
        <v>0.26928024827440966</v>
      </c>
      <c r="AW150">
        <f t="shared" si="80"/>
        <v>6.682189063687601E-3</v>
      </c>
      <c r="AX150">
        <f t="shared" si="81"/>
        <v>0.26928024079490409</v>
      </c>
      <c r="AY150">
        <f t="shared" si="82"/>
        <v>7.4795055704512947E-9</v>
      </c>
      <c r="AZ150">
        <f t="shared" si="83"/>
        <v>964852.16359160375</v>
      </c>
      <c r="BA150">
        <f t="shared" si="84"/>
        <v>8.9216487169541999E-6</v>
      </c>
      <c r="BB150" s="15">
        <f t="shared" si="85"/>
        <v>6731346.5880341148</v>
      </c>
      <c r="BC150" s="20">
        <f t="shared" si="86"/>
        <v>-13013.7635283852</v>
      </c>
      <c r="BD150" s="19">
        <f t="shared" si="87"/>
        <v>-0.19295771355648628</v>
      </c>
      <c r="BE150" s="15">
        <v>6593093.0999999996</v>
      </c>
      <c r="BF150" s="16">
        <f>テーブル2[[#This Row],[q_P]]/テーブル2[[#This Row],[q_M]]</f>
        <v>1.0209694427087819</v>
      </c>
      <c r="BG150">
        <v>1</v>
      </c>
      <c r="BH150">
        <v>-0.113</v>
      </c>
      <c r="BI150">
        <v>4.5999999999999999E-2</v>
      </c>
      <c r="BJ150">
        <v>5625</v>
      </c>
      <c r="BK150" s="22">
        <v>1</v>
      </c>
      <c r="BL150">
        <f>テーブル2[[#This Row],[Ts]]-テーブル2[[#This Row],[Tin]]</f>
        <v>152.74274419874752</v>
      </c>
      <c r="BM150">
        <f>テーブル2[[#This Row],[q_P]]*0.000001</f>
        <v>6.7313465880341141</v>
      </c>
      <c r="BN150">
        <f>テーブル2[[#This Row],[Tsub]]</f>
        <v>152.74274419874752</v>
      </c>
      <c r="BO150">
        <f>テーブル2[[#This Row],[Fcorr]]</f>
        <v>1</v>
      </c>
      <c r="BP150">
        <f>(テーブル2[[#This Row],[Tsub]]-40)^2</f>
        <v>12710.926369464216</v>
      </c>
      <c r="BQ150">
        <v>1</v>
      </c>
      <c r="BR150">
        <v>0.15240000000000001</v>
      </c>
    </row>
    <row r="151" spans="1:70" x14ac:dyDescent="0.15">
      <c r="A151" s="9" t="s">
        <v>219</v>
      </c>
      <c r="B151">
        <v>15513203.909628799</v>
      </c>
      <c r="C151" s="22">
        <f t="array" ref="C151">TsatFromP(テーブル2[[#This Row],[P]])</f>
        <v>617.97483343502051</v>
      </c>
      <c r="D151">
        <f t="array" ref="D151">RhoGFromP(テーブル2[[#This Row],[P]])</f>
        <v>102.22394330033012</v>
      </c>
      <c r="E151">
        <f t="array" ref="E151">RhoFFromP(テーブル2[[#This Row],[P]])</f>
        <v>593.99780321429478</v>
      </c>
      <c r="F151">
        <f t="array" ref="F151">HgFromP(テーブル2[[#This Row],[P]])</f>
        <v>2595333.5493798093</v>
      </c>
      <c r="G151">
        <f t="array" ref="G151">HfFromP(テーブル2[[#This Row],[P]])</f>
        <v>1630481.3857882055</v>
      </c>
      <c r="H151">
        <f t="array" ref="H151">MuGFromP(テーブル2[[#This Row],[P]])</f>
        <v>2.3048203873610289E-5</v>
      </c>
      <c r="I151">
        <f t="array" ref="I151">MuFFromP(テーブル2[[#This Row],[P]])</f>
        <v>6.8200503236293109E-5</v>
      </c>
      <c r="J151">
        <f t="array" ref="J151">KfFromP(テーブル2[[#This Row],[P]])</f>
        <v>0.47171772328903144</v>
      </c>
      <c r="K151">
        <f t="array" ref="K151">CpFFromP(テーブル2[[#This Row],[P]])</f>
        <v>9005.0430614720299</v>
      </c>
      <c r="L151">
        <f t="array" ref="L151">SigmaFromP(テーブル2[[#This Row],[P]])</f>
        <v>4.6429387983550419E-3</v>
      </c>
      <c r="M151">
        <v>150</v>
      </c>
      <c r="N151">
        <v>3553.3226</v>
      </c>
      <c r="O151" s="8">
        <f t="shared" si="58"/>
        <v>2.8502295699234246E-6</v>
      </c>
      <c r="P151" s="8">
        <f t="shared" si="59"/>
        <v>5.9847340050885557E-3</v>
      </c>
      <c r="Q151" s="8">
        <v>1.905E-3</v>
      </c>
      <c r="R151">
        <v>0.15240000000000001</v>
      </c>
      <c r="S151" s="15">
        <v>3613308.22265625</v>
      </c>
      <c r="T151">
        <v>548.629770529251</v>
      </c>
      <c r="U151" s="12">
        <f>+T151+BG151*S151*テーブル2[[#This Row],[Pw]]*R151/(N151*O151*K151)</f>
        <v>584.76531107436381</v>
      </c>
      <c r="V151">
        <v>0.03</v>
      </c>
      <c r="W151" s="8">
        <f t="shared" si="60"/>
        <v>99252.633511328895</v>
      </c>
      <c r="X151">
        <v>2.7468199435430069E-2</v>
      </c>
      <c r="Y151">
        <f t="shared" si="61"/>
        <v>6.0337165478324737</v>
      </c>
      <c r="Z151">
        <f t="shared" si="62"/>
        <v>6.0337165682810801</v>
      </c>
      <c r="AA151">
        <f t="shared" si="63"/>
        <v>-2.0448606363743238E-8</v>
      </c>
      <c r="AB151">
        <f t="shared" si="64"/>
        <v>7.6339544209671053E-6</v>
      </c>
      <c r="AC151">
        <v>667.8142841403901</v>
      </c>
      <c r="AD151">
        <f t="shared" si="65"/>
        <v>2907.9179329237704</v>
      </c>
      <c r="AE151">
        <f>+gettm2(AD151,AC151,AK151,AL151,テーブル2[[#This Row],[Fcorr]])</f>
        <v>584.76531175250659</v>
      </c>
      <c r="AF151" s="14">
        <f t="shared" si="66"/>
        <v>6.7814278281730367E-7</v>
      </c>
      <c r="AG151">
        <v>7.6808897476370321E-6</v>
      </c>
      <c r="AH151">
        <f t="shared" si="67"/>
        <v>72.983492575270361</v>
      </c>
      <c r="AI151">
        <f t="shared" si="68"/>
        <v>0.3505257294709711</v>
      </c>
      <c r="AJ151">
        <f t="shared" si="69"/>
        <v>23.449235735395341</v>
      </c>
      <c r="AK151">
        <f t="array" ref="AK151">+S151*テーブル2[[#This Row],[F_form]]/(E151*CpFromTP((テーブル2[[#This Row],[Tin]]+テーブル2[[#This Row],[Tf]])/2,テーブル2[[#This Row],[P]])*AI151)</f>
        <v>3.2569680542540387</v>
      </c>
      <c r="AL151">
        <f t="shared" si="70"/>
        <v>1.3019406270656069</v>
      </c>
      <c r="AM151">
        <f t="shared" si="71"/>
        <v>617.97483340313624</v>
      </c>
      <c r="AN151">
        <f t="shared" si="72"/>
        <v>3.1884269446891267E-8</v>
      </c>
      <c r="AO151">
        <f t="shared" si="73"/>
        <v>4.6935326669926783E-8</v>
      </c>
      <c r="AP151">
        <v>3.5446445559082989</v>
      </c>
      <c r="AQ151">
        <f t="shared" si="74"/>
        <v>2.6621808710776569E-5</v>
      </c>
      <c r="AR151">
        <f t="shared" si="75"/>
        <v>3.8639125371534794E-6</v>
      </c>
      <c r="AS151">
        <f t="shared" si="76"/>
        <v>11.796263053057835</v>
      </c>
      <c r="AT151">
        <f t="shared" si="77"/>
        <v>9.2889139544789572</v>
      </c>
      <c r="AU151">
        <f t="shared" si="78"/>
        <v>3.2560033398868193</v>
      </c>
      <c r="AV151">
        <f t="shared" si="79"/>
        <v>0.28864121602147952</v>
      </c>
      <c r="AW151">
        <f t="shared" si="80"/>
        <v>5.185105318029579E-3</v>
      </c>
      <c r="AX151">
        <f t="shared" si="81"/>
        <v>0.28864120212984018</v>
      </c>
      <c r="AY151">
        <f t="shared" si="82"/>
        <v>1.3891639338847739E-8</v>
      </c>
      <c r="AZ151">
        <f t="shared" si="83"/>
        <v>964852.16359160375</v>
      </c>
      <c r="BA151">
        <f t="shared" si="84"/>
        <v>7.5104310998976461E-6</v>
      </c>
      <c r="BB151" s="15">
        <f t="shared" si="85"/>
        <v>3581628.9560783198</v>
      </c>
      <c r="BC151" s="20">
        <f t="shared" si="86"/>
        <v>-31679.26657793019</v>
      </c>
      <c r="BD151" s="19">
        <f t="shared" si="87"/>
        <v>-0.87673856271917538</v>
      </c>
      <c r="BE151" s="15">
        <v>4700339.0999999996</v>
      </c>
      <c r="BF151" s="16">
        <f>テーブル2[[#This Row],[q_P]]/テーブル2[[#This Row],[q_M]]</f>
        <v>0.76199373702172257</v>
      </c>
      <c r="BG151">
        <v>1</v>
      </c>
      <c r="BH151">
        <v>3.0000000000000001E-3</v>
      </c>
      <c r="BI151">
        <v>4.5999999999999999E-2</v>
      </c>
      <c r="BJ151">
        <v>5625</v>
      </c>
      <c r="BK151" s="22">
        <v>1</v>
      </c>
      <c r="BL151">
        <f>テーブル2[[#This Row],[Ts]]-テーブル2[[#This Row],[Tin]]</f>
        <v>69.34506290576951</v>
      </c>
      <c r="BM151">
        <f>テーブル2[[#This Row],[q_P]]*0.000001</f>
        <v>3.5816289560783194</v>
      </c>
      <c r="BN151">
        <f>テーブル2[[#This Row],[Tsub]]</f>
        <v>69.34506290576951</v>
      </c>
      <c r="BO151">
        <f>テーブル2[[#This Row],[Fcorr]]</f>
        <v>1</v>
      </c>
      <c r="BP151">
        <f>(テーブル2[[#This Row],[Tsub]]-40)^2</f>
        <v>861.13271694356968</v>
      </c>
      <c r="BQ151">
        <v>1</v>
      </c>
      <c r="BR151">
        <v>0.15240000000000001</v>
      </c>
    </row>
    <row r="152" spans="1:70" x14ac:dyDescent="0.15">
      <c r="A152" s="9" t="s">
        <v>220</v>
      </c>
      <c r="B152">
        <v>15513203.909628799</v>
      </c>
      <c r="C152" s="22">
        <f t="array" ref="C152">TsatFromP(テーブル2[[#This Row],[P]])</f>
        <v>617.97483343502051</v>
      </c>
      <c r="D152">
        <f t="array" ref="D152">RhoGFromP(テーブル2[[#This Row],[P]])</f>
        <v>102.22394330033012</v>
      </c>
      <c r="E152">
        <f t="array" ref="E152">RhoFFromP(テーブル2[[#This Row],[P]])</f>
        <v>593.99780321429478</v>
      </c>
      <c r="F152">
        <f t="array" ref="F152">HgFromP(テーブル2[[#This Row],[P]])</f>
        <v>2595333.5493798093</v>
      </c>
      <c r="G152">
        <f t="array" ref="G152">HfFromP(テーブル2[[#This Row],[P]])</f>
        <v>1630481.3857882055</v>
      </c>
      <c r="H152">
        <f t="array" ref="H152">MuGFromP(テーブル2[[#This Row],[P]])</f>
        <v>2.3048203873610289E-5</v>
      </c>
      <c r="I152">
        <f t="array" ref="I152">MuFFromP(テーブル2[[#This Row],[P]])</f>
        <v>6.8200503236293109E-5</v>
      </c>
      <c r="J152">
        <f t="array" ref="J152">KfFromP(テーブル2[[#This Row],[P]])</f>
        <v>0.47171772328903144</v>
      </c>
      <c r="K152">
        <f t="array" ref="K152">CpFFromP(テーブル2[[#This Row],[P]])</f>
        <v>9005.0430614720299</v>
      </c>
      <c r="L152">
        <f t="array" ref="L152">SigmaFromP(テーブル2[[#This Row],[P]])</f>
        <v>4.6429387983550419E-3</v>
      </c>
      <c r="M152">
        <v>151</v>
      </c>
      <c r="N152">
        <v>3675.3833</v>
      </c>
      <c r="O152" s="8">
        <f t="shared" ref="O152:O183" si="88">PI()*Q152^2/4</f>
        <v>2.8502295699234246E-6</v>
      </c>
      <c r="P152" s="8">
        <f t="shared" ref="P152:P183" si="89">PI()*Q152</f>
        <v>5.9847340050885557E-3</v>
      </c>
      <c r="Q152" s="8">
        <v>1.905E-3</v>
      </c>
      <c r="R152">
        <v>0.15240000000000001</v>
      </c>
      <c r="S152" s="15">
        <v>4028926.32421875</v>
      </c>
      <c r="T152">
        <v>541.45534065612401</v>
      </c>
      <c r="U152" s="12">
        <f>+T152+BG152*S152*テーブル2[[#This Row],[Pw]]*R152/(N152*O152*K152)</f>
        <v>580.40923413832354</v>
      </c>
      <c r="V152">
        <v>0.03</v>
      </c>
      <c r="W152" s="8">
        <f t="shared" si="60"/>
        <v>102662.07512049668</v>
      </c>
      <c r="X152">
        <v>2.708359145704433E-2</v>
      </c>
      <c r="Y152">
        <f t="shared" si="61"/>
        <v>6.0764072462979852</v>
      </c>
      <c r="Z152">
        <f t="shared" si="62"/>
        <v>6.0764072546537502</v>
      </c>
      <c r="AA152">
        <f t="shared" si="63"/>
        <v>-8.3557649688259517E-9</v>
      </c>
      <c r="AB152">
        <f t="shared" si="64"/>
        <v>7.2366488824017176E-6</v>
      </c>
      <c r="AC152">
        <v>672.75768533763062</v>
      </c>
      <c r="AD152">
        <f t="shared" si="65"/>
        <v>2986.6764416017722</v>
      </c>
      <c r="AE152">
        <f>+gettm2(AD152,AC152,AK152,AL152,テーブル2[[#This Row],[Fcorr]])</f>
        <v>580.40923413832365</v>
      </c>
      <c r="AF152" s="14">
        <f t="shared" si="66"/>
        <v>0</v>
      </c>
      <c r="AG152">
        <v>7.2876711654072331E-6</v>
      </c>
      <c r="AH152">
        <f t="shared" si="67"/>
        <v>76.990422619163439</v>
      </c>
      <c r="AI152">
        <f t="shared" si="68"/>
        <v>0.36001942370279044</v>
      </c>
      <c r="AJ152">
        <f t="shared" si="69"/>
        <v>22.851355153661224</v>
      </c>
      <c r="AK152">
        <f t="array" ref="AK152">+S152*テーブル2[[#This Row],[F_form]]/(E152*CpFromTP((テーブル2[[#This Row],[Tin]]+テーブル2[[#This Row],[Tf]])/2,テーブル2[[#This Row],[P]])*AI152)</f>
        <v>3.6121055554388795</v>
      </c>
      <c r="AL152">
        <f t="shared" si="70"/>
        <v>1.3019406270656069</v>
      </c>
      <c r="AM152">
        <f t="shared" si="71"/>
        <v>617.9748334212976</v>
      </c>
      <c r="AN152">
        <f t="shared" si="72"/>
        <v>1.3722910807700828E-8</v>
      </c>
      <c r="AO152">
        <f t="shared" si="73"/>
        <v>5.1022283005515521E-8</v>
      </c>
      <c r="AP152">
        <v>3.591852487816217</v>
      </c>
      <c r="AQ152">
        <f t="shared" si="74"/>
        <v>2.5926623316764372E-5</v>
      </c>
      <c r="AR152">
        <f t="shared" si="75"/>
        <v>3.6693467242063743E-6</v>
      </c>
      <c r="AS152">
        <f t="shared" si="76"/>
        <v>11.505670779271197</v>
      </c>
      <c r="AT152">
        <f t="shared" si="77"/>
        <v>9.1642001253539185</v>
      </c>
      <c r="AU152">
        <f t="shared" si="78"/>
        <v>3.2992900478269576</v>
      </c>
      <c r="AV152">
        <f t="shared" si="79"/>
        <v>0.29256243998925946</v>
      </c>
      <c r="AW152">
        <f t="shared" si="80"/>
        <v>4.9152489700220649E-3</v>
      </c>
      <c r="AX152">
        <f t="shared" si="81"/>
        <v>0.29256243024165468</v>
      </c>
      <c r="AY152">
        <f t="shared" si="82"/>
        <v>9.7476047788980225E-9</v>
      </c>
      <c r="AZ152">
        <f t="shared" si="83"/>
        <v>964852.16359160375</v>
      </c>
      <c r="BA152">
        <f t="shared" si="84"/>
        <v>7.2181759703966304E-6</v>
      </c>
      <c r="BB152" s="15">
        <f t="shared" si="85"/>
        <v>4051147.3124386272</v>
      </c>
      <c r="BC152" s="20">
        <f t="shared" si="86"/>
        <v>22220.988219877239</v>
      </c>
      <c r="BD152" s="19">
        <f t="shared" si="87"/>
        <v>0.55153622656989432</v>
      </c>
      <c r="BE152" s="15">
        <v>5078889.9000000004</v>
      </c>
      <c r="BF152" s="16">
        <f>テーブル2[[#This Row],[q_P]]/テーブル2[[#This Row],[q_M]]</f>
        <v>0.79764424750350016</v>
      </c>
      <c r="BG152">
        <v>1</v>
      </c>
      <c r="BH152">
        <v>-1.4E-2</v>
      </c>
      <c r="BI152">
        <v>4.5999999999999999E-2</v>
      </c>
      <c r="BJ152">
        <v>5625</v>
      </c>
      <c r="BK152" s="22">
        <v>1</v>
      </c>
      <c r="BL152">
        <f>テーブル2[[#This Row],[Ts]]-テーブル2[[#This Row],[Tin]]</f>
        <v>76.519492778896506</v>
      </c>
      <c r="BM152">
        <f>テーブル2[[#This Row],[q_P]]*0.000001</f>
        <v>4.0511473124386272</v>
      </c>
      <c r="BN152">
        <f>テーブル2[[#This Row],[Tsub]]</f>
        <v>76.519492778896506</v>
      </c>
      <c r="BO152">
        <f>テーブル2[[#This Row],[Fcorr]]</f>
        <v>1</v>
      </c>
      <c r="BP152">
        <f>(テーブル2[[#This Row],[Tsub]]-40)^2</f>
        <v>1333.6733528278739</v>
      </c>
      <c r="BQ152">
        <v>1</v>
      </c>
      <c r="BR152">
        <v>0.15240000000000001</v>
      </c>
    </row>
    <row r="153" spans="1:70" x14ac:dyDescent="0.15">
      <c r="A153" s="9" t="s">
        <v>221</v>
      </c>
      <c r="B153">
        <v>15513203.909628799</v>
      </c>
      <c r="C153" s="22">
        <f t="array" ref="C153">TsatFromP(テーブル2[[#This Row],[P]])</f>
        <v>617.97483343502051</v>
      </c>
      <c r="D153">
        <f t="array" ref="D153">RhoGFromP(テーブル2[[#This Row],[P]])</f>
        <v>102.22394330033012</v>
      </c>
      <c r="E153">
        <f t="array" ref="E153">RhoFFromP(テーブル2[[#This Row],[P]])</f>
        <v>593.99780321429478</v>
      </c>
      <c r="F153">
        <f t="array" ref="F153">HgFromP(テーブル2[[#This Row],[P]])</f>
        <v>2595333.5493798093</v>
      </c>
      <c r="G153">
        <f t="array" ref="G153">HfFromP(テーブル2[[#This Row],[P]])</f>
        <v>1630481.3857882055</v>
      </c>
      <c r="H153">
        <f t="array" ref="H153">MuGFromP(テーブル2[[#This Row],[P]])</f>
        <v>2.3048203873610289E-5</v>
      </c>
      <c r="I153">
        <f t="array" ref="I153">MuFFromP(テーブル2[[#This Row],[P]])</f>
        <v>6.8200503236293109E-5</v>
      </c>
      <c r="J153">
        <f t="array" ref="J153">KfFromP(テーブル2[[#This Row],[P]])</f>
        <v>0.47171772328903144</v>
      </c>
      <c r="K153">
        <f t="array" ref="K153">CpFFromP(テーブル2[[#This Row],[P]])</f>
        <v>9005.0430614720299</v>
      </c>
      <c r="L153">
        <f t="array" ref="L153">SigmaFromP(テーブル2[[#This Row],[P]])</f>
        <v>4.6429387983550419E-3</v>
      </c>
      <c r="M153">
        <v>152</v>
      </c>
      <c r="N153">
        <v>3743.1948000000002</v>
      </c>
      <c r="O153" s="8">
        <f t="shared" si="88"/>
        <v>2.8502295699234246E-6</v>
      </c>
      <c r="P153" s="8">
        <f t="shared" si="89"/>
        <v>5.9847340050885557E-3</v>
      </c>
      <c r="Q153" s="8">
        <v>1.905E-3</v>
      </c>
      <c r="R153">
        <v>0.15240000000000001</v>
      </c>
      <c r="S153" s="15">
        <v>4286578.0601562494</v>
      </c>
      <c r="T153">
        <v>536.98317199257201</v>
      </c>
      <c r="U153" s="12">
        <f>+T153+BG153*S153*テーブル2[[#This Row],[Pw]]*R153/(N153*O153*K153)</f>
        <v>577.67736985044382</v>
      </c>
      <c r="V153">
        <v>0.03</v>
      </c>
      <c r="W153" s="8">
        <f t="shared" si="60"/>
        <v>104556.20934781212</v>
      </c>
      <c r="X153">
        <v>2.6878779410128451E-2</v>
      </c>
      <c r="Y153">
        <f t="shared" si="61"/>
        <v>6.0995139434554897</v>
      </c>
      <c r="Z153">
        <f t="shared" si="62"/>
        <v>6.0995139494937094</v>
      </c>
      <c r="AA153">
        <f t="shared" si="63"/>
        <v>-6.0382197020203421E-9</v>
      </c>
      <c r="AB153">
        <f t="shared" si="64"/>
        <v>7.0299887495018681E-6</v>
      </c>
      <c r="AC153">
        <v>675.83911673614705</v>
      </c>
      <c r="AD153">
        <f t="shared" si="65"/>
        <v>3030.2580390165544</v>
      </c>
      <c r="AE153">
        <f>+gettm2(AD153,AC153,AK153,AL153,テーブル2[[#This Row],[Fcorr]])</f>
        <v>577.67736985044371</v>
      </c>
      <c r="AF153" s="14">
        <f t="shared" si="66"/>
        <v>0</v>
      </c>
      <c r="AG153">
        <v>7.0826251157525323E-6</v>
      </c>
      <c r="AH153">
        <f t="shared" si="67"/>
        <v>79.253705184390782</v>
      </c>
      <c r="AI153">
        <f t="shared" si="68"/>
        <v>0.36527282891494062</v>
      </c>
      <c r="AJ153">
        <f t="shared" si="69"/>
        <v>22.532474219789673</v>
      </c>
      <c r="AK153">
        <f t="array" ref="AK153">+S153*テーブル2[[#This Row],[F_form]]/(E153*CpFromTP((テーブル2[[#This Row],[Tin]]+テーブル2[[#This Row],[Tf]])/2,テーブル2[[#This Row],[P]])*AI153)</f>
        <v>3.8339986564199036</v>
      </c>
      <c r="AL153">
        <f t="shared" si="70"/>
        <v>1.3019406270656069</v>
      </c>
      <c r="AM153">
        <f t="shared" si="71"/>
        <v>617.97483338798406</v>
      </c>
      <c r="AN153">
        <f t="shared" si="72"/>
        <v>4.7036451178428251E-8</v>
      </c>
      <c r="AO153">
        <f t="shared" si="73"/>
        <v>5.2636366250664286E-8</v>
      </c>
      <c r="AP153">
        <v>3.6172923743649958</v>
      </c>
      <c r="AQ153">
        <f t="shared" si="74"/>
        <v>2.556322939834163E-5</v>
      </c>
      <c r="AR153">
        <f t="shared" si="75"/>
        <v>3.5676307410015983E-6</v>
      </c>
      <c r="AS153">
        <f t="shared" si="76"/>
        <v>11.349965074186544</v>
      </c>
      <c r="AT153">
        <f t="shared" si="77"/>
        <v>9.0960733337924804</v>
      </c>
      <c r="AU153">
        <f t="shared" si="78"/>
        <v>3.3225484386521345</v>
      </c>
      <c r="AV153">
        <f t="shared" si="79"/>
        <v>0.29474393571286139</v>
      </c>
      <c r="AW153">
        <f t="shared" si="80"/>
        <v>4.7748820651345248E-3</v>
      </c>
      <c r="AX153">
        <f t="shared" si="81"/>
        <v>0.29474393026351431</v>
      </c>
      <c r="AY153">
        <f t="shared" si="82"/>
        <v>5.44934708468503E-9</v>
      </c>
      <c r="AZ153">
        <f t="shared" si="83"/>
        <v>964852.16359160375</v>
      </c>
      <c r="BA153">
        <f t="shared" si="84"/>
        <v>7.0669513969904557E-6</v>
      </c>
      <c r="BB153" s="15">
        <f t="shared" si="85"/>
        <v>4268737.1093809735</v>
      </c>
      <c r="BC153" s="20">
        <f t="shared" si="86"/>
        <v>-17840.950775275938</v>
      </c>
      <c r="BD153" s="19">
        <f t="shared" si="87"/>
        <v>-0.4162049664068318</v>
      </c>
      <c r="BE153" s="15">
        <v>5552078.4000000004</v>
      </c>
      <c r="BF153" s="16">
        <f>テーブル2[[#This Row],[q_P]]/テーブル2[[#This Row],[q_M]]</f>
        <v>0.76885389611590738</v>
      </c>
      <c r="BG153">
        <v>1</v>
      </c>
      <c r="BH153">
        <v>-3.0000000000000001E-3</v>
      </c>
      <c r="BI153">
        <v>4.5999999999999999E-2</v>
      </c>
      <c r="BJ153">
        <v>5625</v>
      </c>
      <c r="BK153" s="22">
        <v>1</v>
      </c>
      <c r="BL153">
        <f>テーブル2[[#This Row],[Ts]]-テーブル2[[#This Row],[Tin]]</f>
        <v>80.991661442448503</v>
      </c>
      <c r="BM153">
        <f>テーブル2[[#This Row],[q_P]]*0.000001</f>
        <v>4.2687371093809734</v>
      </c>
      <c r="BN153">
        <f>テーブル2[[#This Row],[Tsub]]</f>
        <v>80.991661442448503</v>
      </c>
      <c r="BO153">
        <f>テーブル2[[#This Row],[Fcorr]]</f>
        <v>1</v>
      </c>
      <c r="BP153">
        <f>(テーブル2[[#This Row],[Tsub]]-40)^2</f>
        <v>1680.3163078123193</v>
      </c>
      <c r="BQ153">
        <v>1</v>
      </c>
      <c r="BR153">
        <v>0.15240000000000001</v>
      </c>
    </row>
    <row r="154" spans="1:70" x14ac:dyDescent="0.15">
      <c r="A154" s="9" t="s">
        <v>222</v>
      </c>
      <c r="B154">
        <v>15513203.909628799</v>
      </c>
      <c r="C154" s="22">
        <f t="array" ref="C154">TsatFromP(テーブル2[[#This Row],[P]])</f>
        <v>617.97483343502051</v>
      </c>
      <c r="D154">
        <f t="array" ref="D154">RhoGFromP(テーブル2[[#This Row],[P]])</f>
        <v>102.22394330033012</v>
      </c>
      <c r="E154">
        <f t="array" ref="E154">RhoFFromP(テーブル2[[#This Row],[P]])</f>
        <v>593.99780321429478</v>
      </c>
      <c r="F154">
        <f t="array" ref="F154">HgFromP(テーブル2[[#This Row],[P]])</f>
        <v>2595333.5493798093</v>
      </c>
      <c r="G154">
        <f t="array" ref="G154">HfFromP(テーブル2[[#This Row],[P]])</f>
        <v>1630481.3857882055</v>
      </c>
      <c r="H154">
        <f t="array" ref="H154">MuGFromP(テーブル2[[#This Row],[P]])</f>
        <v>2.3048203873610289E-5</v>
      </c>
      <c r="I154">
        <f t="array" ref="I154">MuFFromP(テーブル2[[#This Row],[P]])</f>
        <v>6.8200503236293109E-5</v>
      </c>
      <c r="J154">
        <f t="array" ref="J154">KfFromP(テーブル2[[#This Row],[P]])</f>
        <v>0.47171772328903144</v>
      </c>
      <c r="K154">
        <f t="array" ref="K154">CpFFromP(テーブル2[[#This Row],[P]])</f>
        <v>9005.0430614720299</v>
      </c>
      <c r="L154">
        <f t="array" ref="L154">SigmaFromP(テーブル2[[#This Row],[P]])</f>
        <v>4.6429387983550419E-3</v>
      </c>
      <c r="M154">
        <v>153</v>
      </c>
      <c r="N154">
        <v>3811.0063</v>
      </c>
      <c r="O154" s="8">
        <f t="shared" si="88"/>
        <v>2.8502295699234246E-6</v>
      </c>
      <c r="P154" s="8">
        <f t="shared" si="89"/>
        <v>5.9847340050885557E-3</v>
      </c>
      <c r="Q154" s="8">
        <v>1.905E-3</v>
      </c>
      <c r="R154">
        <v>0.15240000000000001</v>
      </c>
      <c r="S154" s="15">
        <v>4116640.52734375</v>
      </c>
      <c r="T154">
        <v>541.45534065612401</v>
      </c>
      <c r="U154" s="12">
        <f>+T154+BG154*S154*テーブル2[[#This Row],[Pw]]*R154/(N154*O154*K154)</f>
        <v>579.84086372052525</v>
      </c>
      <c r="V154">
        <v>0.03</v>
      </c>
      <c r="W154" s="8">
        <f t="shared" si="60"/>
        <v>106450.34357512755</v>
      </c>
      <c r="X154">
        <v>2.667991224564829E-2</v>
      </c>
      <c r="Y154">
        <f t="shared" si="61"/>
        <v>6.1222040681412571</v>
      </c>
      <c r="Z154">
        <f t="shared" si="62"/>
        <v>6.1222040707463092</v>
      </c>
      <c r="AA154">
        <f t="shared" si="63"/>
        <v>-2.6050521739762189E-9</v>
      </c>
      <c r="AB154">
        <f t="shared" si="64"/>
        <v>6.8325890505261315E-6</v>
      </c>
      <c r="AC154">
        <v>671.87819721699577</v>
      </c>
      <c r="AD154">
        <f t="shared" si="65"/>
        <v>3073.7198141315603</v>
      </c>
      <c r="AE154">
        <f>+gettm2(AD154,AC154,AK154,AL154,テーブル2[[#This Row],[Fcorr]])</f>
        <v>579.84086372052525</v>
      </c>
      <c r="AF154" s="14">
        <f t="shared" si="66"/>
        <v>0</v>
      </c>
      <c r="AG154">
        <v>6.8819209187382773E-6</v>
      </c>
      <c r="AH154">
        <f t="shared" si="67"/>
        <v>81.543416658389901</v>
      </c>
      <c r="AI154">
        <f t="shared" si="68"/>
        <v>0.37051179052861077</v>
      </c>
      <c r="AJ154">
        <f t="shared" si="69"/>
        <v>22.207975524632353</v>
      </c>
      <c r="AK154">
        <f t="array" ref="AK154">+S154*テーブル2[[#This Row],[F_form]]/(E154*CpFromTP((テーブル2[[#This Row],[Tin]]+テーブル2[[#This Row],[Tf]])/2,テーブル2[[#This Row],[P]])*AI154)</f>
        <v>3.5897488222574236</v>
      </c>
      <c r="AL154">
        <f t="shared" si="70"/>
        <v>1.3019406270656069</v>
      </c>
      <c r="AM154">
        <f t="shared" si="71"/>
        <v>617.9748334183588</v>
      </c>
      <c r="AN154">
        <f t="shared" si="72"/>
        <v>1.6661715562804602E-8</v>
      </c>
      <c r="AO154">
        <f t="shared" si="73"/>
        <v>4.9331868212145839E-8</v>
      </c>
      <c r="AP154">
        <v>3.6399545050422062</v>
      </c>
      <c r="AQ154">
        <f t="shared" si="74"/>
        <v>2.5245910130882246E-5</v>
      </c>
      <c r="AR154">
        <f t="shared" si="75"/>
        <v>3.4656263934752116E-6</v>
      </c>
      <c r="AS154">
        <f t="shared" si="76"/>
        <v>11.183584791603209</v>
      </c>
      <c r="AT154">
        <f t="shared" si="77"/>
        <v>9.0222352979399574</v>
      </c>
      <c r="AU154">
        <f t="shared" si="78"/>
        <v>3.3428445548101675</v>
      </c>
      <c r="AV154">
        <f t="shared" si="79"/>
        <v>0.29710995023203868</v>
      </c>
      <c r="AW154">
        <f t="shared" si="80"/>
        <v>4.6408049967510238E-3</v>
      </c>
      <c r="AX154">
        <f t="shared" si="81"/>
        <v>0.29710994728886525</v>
      </c>
      <c r="AY154">
        <f t="shared" si="82"/>
        <v>2.9431734271945231E-9</v>
      </c>
      <c r="AZ154">
        <f t="shared" si="83"/>
        <v>964852.16359160375</v>
      </c>
      <c r="BA154">
        <f t="shared" si="84"/>
        <v>6.9357762839921849E-6</v>
      </c>
      <c r="BB154" s="15">
        <f t="shared" si="85"/>
        <v>4076412.2699817535</v>
      </c>
      <c r="BC154" s="20">
        <f t="shared" si="86"/>
        <v>-40228.257361996453</v>
      </c>
      <c r="BD154" s="19">
        <f t="shared" si="87"/>
        <v>-0.97721083720549229</v>
      </c>
      <c r="BE154" s="15">
        <v>5236619.4000000004</v>
      </c>
      <c r="BF154" s="16">
        <f>テーブル2[[#This Row],[q_P]]/テーブル2[[#This Row],[q_M]]</f>
        <v>0.7784434877932418</v>
      </c>
      <c r="BG154">
        <v>1</v>
      </c>
      <c r="BH154">
        <v>-1.7000000000000001E-2</v>
      </c>
      <c r="BI154">
        <v>4.5999999999999999E-2</v>
      </c>
      <c r="BJ154">
        <v>5625</v>
      </c>
      <c r="BK154" s="22">
        <v>1</v>
      </c>
      <c r="BL154">
        <f>テーブル2[[#This Row],[Ts]]-テーブル2[[#This Row],[Tin]]</f>
        <v>76.519492778896506</v>
      </c>
      <c r="BM154">
        <f>テーブル2[[#This Row],[q_P]]*0.000001</f>
        <v>4.0764122699817538</v>
      </c>
      <c r="BN154">
        <f>テーブル2[[#This Row],[Tsub]]</f>
        <v>76.519492778896506</v>
      </c>
      <c r="BO154">
        <f>テーブル2[[#This Row],[Fcorr]]</f>
        <v>1</v>
      </c>
      <c r="BP154">
        <f>(テーブル2[[#This Row],[Tsub]]-40)^2</f>
        <v>1333.6733528278739</v>
      </c>
      <c r="BQ154">
        <v>1</v>
      </c>
      <c r="BR154">
        <v>0.15240000000000001</v>
      </c>
    </row>
    <row r="155" spans="1:70" x14ac:dyDescent="0.15">
      <c r="A155" s="9" t="s">
        <v>223</v>
      </c>
      <c r="B155">
        <v>15513203.909628799</v>
      </c>
      <c r="C155" s="22">
        <f t="array" ref="C155">TsatFromP(テーブル2[[#This Row],[P]])</f>
        <v>617.97483343502051</v>
      </c>
      <c r="D155">
        <f t="array" ref="D155">RhoGFromP(テーブル2[[#This Row],[P]])</f>
        <v>102.22394330033012</v>
      </c>
      <c r="E155">
        <f t="array" ref="E155">RhoFFromP(テーブル2[[#This Row],[P]])</f>
        <v>593.99780321429478</v>
      </c>
      <c r="F155">
        <f t="array" ref="F155">HgFromP(テーブル2[[#This Row],[P]])</f>
        <v>2595333.5493798093</v>
      </c>
      <c r="G155">
        <f t="array" ref="G155">HfFromP(テーブル2[[#This Row],[P]])</f>
        <v>1630481.3857882055</v>
      </c>
      <c r="H155">
        <f t="array" ref="H155">MuGFromP(テーブル2[[#This Row],[P]])</f>
        <v>2.3048203873610289E-5</v>
      </c>
      <c r="I155">
        <f t="array" ref="I155">MuFFromP(テーブル2[[#This Row],[P]])</f>
        <v>6.8200503236293109E-5</v>
      </c>
      <c r="J155">
        <f t="array" ref="J155">KfFromP(テーブル2[[#This Row],[P]])</f>
        <v>0.47171772328903144</v>
      </c>
      <c r="K155">
        <f t="array" ref="K155">CpFFromP(テーブル2[[#This Row],[P]])</f>
        <v>9005.0430614720299</v>
      </c>
      <c r="L155">
        <f t="array" ref="L155">SigmaFromP(テーブル2[[#This Row],[P]])</f>
        <v>4.6429387983550419E-3</v>
      </c>
      <c r="M155">
        <v>154</v>
      </c>
      <c r="N155">
        <v>2102.1565000000001</v>
      </c>
      <c r="O155" s="8">
        <f t="shared" si="88"/>
        <v>2.8502295699234246E-6</v>
      </c>
      <c r="P155" s="8">
        <f t="shared" si="89"/>
        <v>5.9847340050885557E-3</v>
      </c>
      <c r="Q155" s="8">
        <v>1.905E-3</v>
      </c>
      <c r="R155">
        <v>0.69596000000000002</v>
      </c>
      <c r="S155" s="15">
        <v>3550235.95703125</v>
      </c>
      <c r="T155">
        <v>299.28719429629098</v>
      </c>
      <c r="U155" s="12">
        <f>+T155+BG155*S155*テーブル2[[#This Row],[Pw]]*R155/(N155*O155*K155)</f>
        <v>573.35351538122916</v>
      </c>
      <c r="V155">
        <v>0.03</v>
      </c>
      <c r="W155" s="8">
        <f t="shared" si="60"/>
        <v>58718.16104677855</v>
      </c>
      <c r="X155">
        <v>3.4659226492567419E-2</v>
      </c>
      <c r="Y155">
        <f t="shared" si="61"/>
        <v>5.3714379963301013</v>
      </c>
      <c r="Z155">
        <f t="shared" si="62"/>
        <v>5.3714380084148781</v>
      </c>
      <c r="AA155">
        <f t="shared" si="63"/>
        <v>-1.2084776734866409E-8</v>
      </c>
      <c r="AB155">
        <f t="shared" si="64"/>
        <v>1.7286221546981502E-5</v>
      </c>
      <c r="AC155">
        <v>719.48438545954878</v>
      </c>
      <c r="AD155">
        <f t="shared" si="65"/>
        <v>1932.4438764511658</v>
      </c>
      <c r="AE155">
        <f>+gettm2(AD155,AC155,AK155,AL155,テーブル2[[#This Row],[Fcorr]])</f>
        <v>573.35351538122916</v>
      </c>
      <c r="AF155" s="14">
        <f t="shared" si="66"/>
        <v>0</v>
      </c>
      <c r="AG155">
        <v>1.7373379540586281E-5</v>
      </c>
      <c r="AH155">
        <f t="shared" si="67"/>
        <v>32.231025981493005</v>
      </c>
      <c r="AI155">
        <f t="shared" si="68"/>
        <v>0.23294030817908676</v>
      </c>
      <c r="AJ155">
        <f t="shared" si="69"/>
        <v>35.247329035661863</v>
      </c>
      <c r="AK155">
        <f t="array" ref="AK155">+S155*テーブル2[[#This Row],[F_form]]/(E155*CpFromTP((テーブル2[[#This Row],[Tin]]+テーブル2[[#This Row],[Tf]])/2,テーブル2[[#This Row],[P]])*AI155)</f>
        <v>5.973376521539322</v>
      </c>
      <c r="AL155">
        <f t="shared" si="70"/>
        <v>1.3019406270656069</v>
      </c>
      <c r="AM155">
        <f t="shared" si="71"/>
        <v>617.97483342564988</v>
      </c>
      <c r="AN155">
        <f t="shared" si="72"/>
        <v>9.3706375992042013E-9</v>
      </c>
      <c r="AO155">
        <f t="shared" si="73"/>
        <v>8.7157993604779162E-8</v>
      </c>
      <c r="AP155">
        <v>2.8737660613968492</v>
      </c>
      <c r="AQ155">
        <f t="shared" si="74"/>
        <v>4.0502340450096499E-5</v>
      </c>
      <c r="AR155">
        <f t="shared" si="75"/>
        <v>8.73026876709553E-6</v>
      </c>
      <c r="AS155">
        <f t="shared" si="76"/>
        <v>17.712078129917717</v>
      </c>
      <c r="AT155">
        <f t="shared" si="77"/>
        <v>11.321233935428005</v>
      </c>
      <c r="AU155">
        <f t="shared" si="78"/>
        <v>2.6371717218861348</v>
      </c>
      <c r="AV155">
        <f t="shared" si="79"/>
        <v>0.2365943395107144</v>
      </c>
      <c r="AW155">
        <f t="shared" si="80"/>
        <v>1.1741081270503106E-2</v>
      </c>
      <c r="AX155">
        <f t="shared" si="81"/>
        <v>0.2365943390983978</v>
      </c>
      <c r="AY155">
        <f t="shared" si="82"/>
        <v>4.1231659753115935E-10</v>
      </c>
      <c r="AZ155">
        <f t="shared" si="83"/>
        <v>964852.16359160375</v>
      </c>
      <c r="BA155">
        <f t="shared" si="84"/>
        <v>1.409381960284184E-5</v>
      </c>
      <c r="BB155" s="15">
        <f t="shared" si="85"/>
        <v>3544248.2180104521</v>
      </c>
      <c r="BC155" s="20">
        <f t="shared" si="86"/>
        <v>-5987.7390207978897</v>
      </c>
      <c r="BD155" s="19">
        <f t="shared" si="87"/>
        <v>-0.16865749469240657</v>
      </c>
      <c r="BE155" s="15">
        <v>2082029.4</v>
      </c>
      <c r="BF155" s="16">
        <f>テーブル2[[#This Row],[q_P]]/テーブル2[[#This Row],[q_M]]</f>
        <v>1.7023045966644141</v>
      </c>
      <c r="BG155">
        <v>1</v>
      </c>
      <c r="BH155">
        <v>-6.0999999999999999E-2</v>
      </c>
      <c r="BI155">
        <v>4.5999999999999999E-2</v>
      </c>
      <c r="BJ155">
        <v>5625</v>
      </c>
      <c r="BK155" s="22">
        <v>1</v>
      </c>
      <c r="BL155">
        <f>テーブル2[[#This Row],[Ts]]-テーブル2[[#This Row],[Tin]]</f>
        <v>318.68763913872954</v>
      </c>
      <c r="BM155">
        <f>テーブル2[[#This Row],[q_P]]*0.000001</f>
        <v>3.544248218010452</v>
      </c>
      <c r="BN155">
        <f>テーブル2[[#This Row],[Tsub]]</f>
        <v>318.68763913872954</v>
      </c>
      <c r="BO155">
        <f>テーブル2[[#This Row],[Fcorr]]</f>
        <v>1</v>
      </c>
      <c r="BP155">
        <f>(テーブル2[[#This Row],[Tsub]]-40)^2</f>
        <v>77666.800208718734</v>
      </c>
      <c r="BQ155">
        <v>1</v>
      </c>
      <c r="BR155">
        <v>0.69596000000000002</v>
      </c>
    </row>
    <row r="156" spans="1:70" x14ac:dyDescent="0.15">
      <c r="A156" s="9" t="s">
        <v>224</v>
      </c>
      <c r="B156">
        <v>15513203.909628799</v>
      </c>
      <c r="C156" s="22">
        <f t="array" ref="C156">TsatFromP(テーブル2[[#This Row],[P]])</f>
        <v>617.97483343502051</v>
      </c>
      <c r="D156">
        <f t="array" ref="D156">RhoGFromP(テーブル2[[#This Row],[P]])</f>
        <v>102.22394330033012</v>
      </c>
      <c r="E156">
        <f t="array" ref="E156">RhoFFromP(テーブル2[[#This Row],[P]])</f>
        <v>593.99780321429478</v>
      </c>
      <c r="F156">
        <f t="array" ref="F156">HgFromP(テーブル2[[#This Row],[P]])</f>
        <v>2595333.5493798093</v>
      </c>
      <c r="G156">
        <f t="array" ref="G156">HfFromP(テーブル2[[#This Row],[P]])</f>
        <v>1630481.3857882055</v>
      </c>
      <c r="H156">
        <f t="array" ref="H156">MuGFromP(テーブル2[[#This Row],[P]])</f>
        <v>2.3048203873610289E-5</v>
      </c>
      <c r="I156">
        <f t="array" ref="I156">MuFFromP(テーブル2[[#This Row],[P]])</f>
        <v>6.8200503236293109E-5</v>
      </c>
      <c r="J156">
        <f t="array" ref="J156">KfFromP(テーブル2[[#This Row],[P]])</f>
        <v>0.47171772328903144</v>
      </c>
      <c r="K156">
        <f t="array" ref="K156">CpFFromP(テーブル2[[#This Row],[P]])</f>
        <v>9005.0430614720299</v>
      </c>
      <c r="L156">
        <f t="array" ref="L156">SigmaFromP(テーブル2[[#This Row],[P]])</f>
        <v>4.6429387983550419E-3</v>
      </c>
      <c r="M156">
        <v>155</v>
      </c>
      <c r="N156">
        <v>2197.0925999999999</v>
      </c>
      <c r="O156" s="8">
        <f t="shared" si="88"/>
        <v>2.8502295699234246E-6</v>
      </c>
      <c r="P156" s="8">
        <f t="shared" si="89"/>
        <v>5.9847340050885557E-3</v>
      </c>
      <c r="Q156" s="8">
        <v>1.905E-3</v>
      </c>
      <c r="R156">
        <v>0.69596000000000002</v>
      </c>
      <c r="S156" s="15">
        <v>3712322.0219312501</v>
      </c>
      <c r="T156">
        <v>297.60162944706502</v>
      </c>
      <c r="U156" s="12">
        <f>+T156+BG156*S156*テーブル2[[#This Row],[Pw]]*R156/(N156*O156*K156)</f>
        <v>571.79741615633861</v>
      </c>
      <c r="V156">
        <v>0.03</v>
      </c>
      <c r="W156" s="8">
        <f t="shared" si="60"/>
        <v>61369.94896502015</v>
      </c>
      <c r="X156">
        <v>3.395356844651478E-2</v>
      </c>
      <c r="Y156">
        <f t="shared" si="61"/>
        <v>5.426968337501763</v>
      </c>
      <c r="Z156">
        <f t="shared" si="62"/>
        <v>5.4269683533117252</v>
      </c>
      <c r="AA156">
        <f t="shared" si="63"/>
        <v>-1.5809962228274799E-8</v>
      </c>
      <c r="AB156">
        <f t="shared" si="64"/>
        <v>1.6153509213842976E-5</v>
      </c>
      <c r="AC156">
        <v>720.17893479896577</v>
      </c>
      <c r="AD156">
        <f t="shared" si="65"/>
        <v>1999.0492101440236</v>
      </c>
      <c r="AE156">
        <f>+gettm2(AD156,AC156,AK156,AL156,テーブル2[[#This Row],[Fcorr]])</f>
        <v>571.79741735812763</v>
      </c>
      <c r="AF156" s="14">
        <f t="shared" si="66"/>
        <v>1.2017890185234137E-6</v>
      </c>
      <c r="AG156">
        <v>1.6239787556377458E-5</v>
      </c>
      <c r="AH156">
        <f t="shared" si="67"/>
        <v>34.491121924463648</v>
      </c>
      <c r="AI156">
        <f t="shared" si="68"/>
        <v>0.24096903654002516</v>
      </c>
      <c r="AJ156">
        <f t="shared" si="69"/>
        <v>34.083080826753914</v>
      </c>
      <c r="AK156">
        <f t="array" ref="AK156">+S156*テーブル2[[#This Row],[F_form]]/(E156*CpFromTP((テーブル2[[#This Row],[Tin]]+テーブル2[[#This Row],[Tf]])/2,テーブル2[[#This Row],[P]])*AI156)</f>
        <v>6.044113680612262</v>
      </c>
      <c r="AL156">
        <f t="shared" si="70"/>
        <v>1.3019406270656069</v>
      </c>
      <c r="AM156">
        <f t="shared" si="71"/>
        <v>617.97483341704879</v>
      </c>
      <c r="AN156">
        <f t="shared" si="72"/>
        <v>1.7971728993870784E-8</v>
      </c>
      <c r="AO156">
        <f t="shared" si="73"/>
        <v>8.6278342534481942E-8</v>
      </c>
      <c r="AP156">
        <v>2.9281554229991809</v>
      </c>
      <c r="AQ156">
        <f t="shared" si="74"/>
        <v>3.9011683604514849E-5</v>
      </c>
      <c r="AR156">
        <f t="shared" si="75"/>
        <v>8.1630329494559701E-6</v>
      </c>
      <c r="AS156">
        <f t="shared" si="76"/>
        <v>17.132078288702992</v>
      </c>
      <c r="AT156">
        <f t="shared" si="77"/>
        <v>11.154763147389284</v>
      </c>
      <c r="AU156">
        <f t="shared" si="78"/>
        <v>2.6879525284585744</v>
      </c>
      <c r="AV156">
        <f t="shared" si="79"/>
        <v>0.2402028945406065</v>
      </c>
      <c r="AW156">
        <f t="shared" si="80"/>
        <v>1.0971724732792707E-2</v>
      </c>
      <c r="AX156">
        <f t="shared" si="81"/>
        <v>0.2402028917407209</v>
      </c>
      <c r="AY156">
        <f t="shared" si="82"/>
        <v>2.7998856011457463E-9</v>
      </c>
      <c r="AZ156">
        <f t="shared" si="83"/>
        <v>964852.16359160375</v>
      </c>
      <c r="BA156">
        <f t="shared" si="84"/>
        <v>1.3322955229117209E-5</v>
      </c>
      <c r="BB156" s="15">
        <f t="shared" si="85"/>
        <v>3711477.5575580467</v>
      </c>
      <c r="BC156" s="20">
        <f t="shared" si="86"/>
        <v>-844.46437320346013</v>
      </c>
      <c r="BD156" s="19">
        <f t="shared" si="87"/>
        <v>-2.2747605628354053E-2</v>
      </c>
      <c r="BE156" s="15">
        <v>2145121.2000000002</v>
      </c>
      <c r="BF156" s="16">
        <f>テーブル2[[#This Row],[q_P]]/テーブル2[[#This Row],[q_M]]</f>
        <v>1.7301948055699818</v>
      </c>
      <c r="BG156">
        <v>1</v>
      </c>
      <c r="BH156">
        <v>-0.09</v>
      </c>
      <c r="BI156">
        <v>4.5999999999999999E-2</v>
      </c>
      <c r="BJ156">
        <v>5625</v>
      </c>
      <c r="BK156" s="22">
        <v>1</v>
      </c>
      <c r="BL156">
        <f>テーブル2[[#This Row],[Ts]]-テーブル2[[#This Row],[Tin]]</f>
        <v>320.37320398795549</v>
      </c>
      <c r="BM156">
        <f>テーブル2[[#This Row],[q_P]]*0.000001</f>
        <v>3.7114775575580463</v>
      </c>
      <c r="BN156">
        <f>テーブル2[[#This Row],[Tsub]]</f>
        <v>320.37320398795549</v>
      </c>
      <c r="BO156">
        <f>テーブル2[[#This Row],[Fcorr]]</f>
        <v>1</v>
      </c>
      <c r="BP156">
        <f>(テーブル2[[#This Row],[Tsub]]-40)^2</f>
        <v>78609.133514471701</v>
      </c>
      <c r="BQ156">
        <v>1</v>
      </c>
      <c r="BR156">
        <v>0.69596000000000002</v>
      </c>
    </row>
    <row r="157" spans="1:70" x14ac:dyDescent="0.15">
      <c r="A157" s="9" t="s">
        <v>225</v>
      </c>
      <c r="B157">
        <v>15513203.909628799</v>
      </c>
      <c r="C157" s="22">
        <f t="array" ref="C157">TsatFromP(テーブル2[[#This Row],[P]])</f>
        <v>617.97483343502051</v>
      </c>
      <c r="D157">
        <f t="array" ref="D157">RhoGFromP(テーブル2[[#This Row],[P]])</f>
        <v>102.22394330033012</v>
      </c>
      <c r="E157">
        <f t="array" ref="E157">RhoFFromP(テーブル2[[#This Row],[P]])</f>
        <v>593.99780321429478</v>
      </c>
      <c r="F157">
        <f t="array" ref="F157">HgFromP(テーブル2[[#This Row],[P]])</f>
        <v>2595333.5493798093</v>
      </c>
      <c r="G157">
        <f t="array" ref="G157">HfFromP(テーブル2[[#This Row],[P]])</f>
        <v>1630481.3857882055</v>
      </c>
      <c r="H157">
        <f t="array" ref="H157">MuGFromP(テーブル2[[#This Row],[P]])</f>
        <v>2.3048203873610289E-5</v>
      </c>
      <c r="I157">
        <f t="array" ref="I157">MuFFromP(テーブル2[[#This Row],[P]])</f>
        <v>6.8200503236293109E-5</v>
      </c>
      <c r="J157">
        <f t="array" ref="J157">KfFromP(テーブル2[[#This Row],[P]])</f>
        <v>0.47171772328903144</v>
      </c>
      <c r="K157">
        <f t="array" ref="K157">CpFFromP(テーブル2[[#This Row],[P]])</f>
        <v>9005.0430614720299</v>
      </c>
      <c r="L157">
        <f t="array" ref="L157">SigmaFromP(テーブル2[[#This Row],[P]])</f>
        <v>4.6429387983550419E-3</v>
      </c>
      <c r="M157">
        <v>156</v>
      </c>
      <c r="N157">
        <v>2454.7763</v>
      </c>
      <c r="O157" s="8">
        <f t="shared" si="88"/>
        <v>2.8502295699234246E-6</v>
      </c>
      <c r="P157" s="8">
        <f t="shared" si="89"/>
        <v>5.9847340050885557E-3</v>
      </c>
      <c r="Q157" s="8">
        <v>1.905E-3</v>
      </c>
      <c r="R157">
        <v>0.69596000000000002</v>
      </c>
      <c r="S157" s="15">
        <v>4097869.2867187499</v>
      </c>
      <c r="T157">
        <v>297.60162944706502</v>
      </c>
      <c r="U157" s="12">
        <f>+T157+BG157*S157*テーブル2[[#This Row],[Pw]]*R157/(N157*O157*K157)</f>
        <v>568.50204821258171</v>
      </c>
      <c r="V157">
        <v>0.03</v>
      </c>
      <c r="W157" s="8">
        <f t="shared" si="60"/>
        <v>68567.659028818816</v>
      </c>
      <c r="X157">
        <v>3.2271405788035647E-2</v>
      </c>
      <c r="Y157">
        <f t="shared" si="61"/>
        <v>5.5666133634366881</v>
      </c>
      <c r="Z157">
        <f t="shared" si="62"/>
        <v>5.56661336910736</v>
      </c>
      <c r="AA157">
        <f t="shared" si="63"/>
        <v>-5.6706719320231969E-9</v>
      </c>
      <c r="AB157">
        <f t="shared" si="64"/>
        <v>1.3614675770691901E-5</v>
      </c>
      <c r="AC157">
        <v>720.35473162469407</v>
      </c>
      <c r="AD157">
        <f t="shared" si="65"/>
        <v>2177.4754911050431</v>
      </c>
      <c r="AE157">
        <f>+gettm2(AD157,AC157,AK157,AL157,テーブル2[[#This Row],[Fcorr]])</f>
        <v>568.50204941612878</v>
      </c>
      <c r="AF157" s="14">
        <f t="shared" si="66"/>
        <v>1.2035470717819408E-6</v>
      </c>
      <c r="AG157">
        <v>1.3697685591680461E-5</v>
      </c>
      <c r="AH157">
        <f t="shared" si="67"/>
        <v>40.922947059964436</v>
      </c>
      <c r="AI157">
        <f t="shared" si="68"/>
        <v>0.26247686576124729</v>
      </c>
      <c r="AJ157">
        <f t="shared" si="69"/>
        <v>31.313779171387804</v>
      </c>
      <c r="AK157">
        <f t="array" ref="AK157">+S157*テーブル2[[#This Row],[F_form]]/(E157*CpFromTP((テーブル2[[#This Row],[Tin]]+テーブル2[[#This Row],[Tf]])/2,テーブル2[[#This Row],[P]])*AI157)</f>
        <v>6.1313277205046326</v>
      </c>
      <c r="AL157">
        <f t="shared" si="70"/>
        <v>1.3019406270656069</v>
      </c>
      <c r="AM157">
        <f t="shared" si="71"/>
        <v>617.97483341916723</v>
      </c>
      <c r="AN157">
        <f t="shared" si="72"/>
        <v>1.585328845976619E-8</v>
      </c>
      <c r="AO157">
        <f t="shared" si="73"/>
        <v>8.30098209885598E-8</v>
      </c>
      <c r="AP157">
        <v>3.0673929998221841</v>
      </c>
      <c r="AQ157">
        <f t="shared" si="74"/>
        <v>3.5550367838739255E-5</v>
      </c>
      <c r="AR157">
        <f t="shared" si="75"/>
        <v>6.8903477063345102E-6</v>
      </c>
      <c r="AS157">
        <f t="shared" si="76"/>
        <v>15.751772446966136</v>
      </c>
      <c r="AT157">
        <f t="shared" si="77"/>
        <v>10.734764476276082</v>
      </c>
      <c r="AU157">
        <f t="shared" si="78"/>
        <v>2.8176273344181233</v>
      </c>
      <c r="AV157">
        <f t="shared" si="79"/>
        <v>0.24976566540406075</v>
      </c>
      <c r="AW157">
        <f t="shared" si="80"/>
        <v>9.2473079938719237E-3</v>
      </c>
      <c r="AX157">
        <f t="shared" si="81"/>
        <v>0.24976565824287233</v>
      </c>
      <c r="AY157">
        <f t="shared" si="82"/>
        <v>7.1611884200351028E-9</v>
      </c>
      <c r="AZ157">
        <f t="shared" si="83"/>
        <v>964852.16359160375</v>
      </c>
      <c r="BA157">
        <f t="shared" si="84"/>
        <v>1.1589766241495662E-5</v>
      </c>
      <c r="BB157" s="15">
        <f t="shared" si="85"/>
        <v>4104879.5169026474</v>
      </c>
      <c r="BC157" s="20">
        <f t="shared" si="86"/>
        <v>7010.23018389754</v>
      </c>
      <c r="BD157" s="19">
        <f t="shared" si="87"/>
        <v>0.17107012677582936</v>
      </c>
      <c r="BE157" s="15">
        <v>2492126.1</v>
      </c>
      <c r="BF157" s="16">
        <f>テーブル2[[#This Row],[q_P]]/テーブル2[[#This Row],[q_M]]</f>
        <v>1.6471395716704091</v>
      </c>
      <c r="BG157">
        <v>1</v>
      </c>
      <c r="BH157">
        <v>-3.1E-2</v>
      </c>
      <c r="BI157">
        <v>4.5999999999999999E-2</v>
      </c>
      <c r="BJ157">
        <v>5625</v>
      </c>
      <c r="BK157" s="22">
        <v>1</v>
      </c>
      <c r="BL157">
        <f>テーブル2[[#This Row],[Ts]]-テーブル2[[#This Row],[Tin]]</f>
        <v>320.37320398795549</v>
      </c>
      <c r="BM157">
        <f>テーブル2[[#This Row],[q_P]]*0.000001</f>
        <v>4.1048795169026473</v>
      </c>
      <c r="BN157">
        <f>テーブル2[[#This Row],[Tsub]]</f>
        <v>320.37320398795549</v>
      </c>
      <c r="BO157">
        <f>テーブル2[[#This Row],[Fcorr]]</f>
        <v>1</v>
      </c>
      <c r="BP157">
        <f>(テーブル2[[#This Row],[Tsub]]-40)^2</f>
        <v>78609.133514471701</v>
      </c>
      <c r="BQ157">
        <v>1</v>
      </c>
      <c r="BR157">
        <v>0.69596000000000002</v>
      </c>
    </row>
    <row r="158" spans="1:70" x14ac:dyDescent="0.15">
      <c r="A158" s="9" t="s">
        <v>226</v>
      </c>
      <c r="B158">
        <v>15513203.909628799</v>
      </c>
      <c r="C158" s="22">
        <f t="array" ref="C158">TsatFromP(テーブル2[[#This Row],[P]])</f>
        <v>617.97483343502051</v>
      </c>
      <c r="D158">
        <f t="array" ref="D158">RhoGFromP(テーブル2[[#This Row],[P]])</f>
        <v>102.22394330033012</v>
      </c>
      <c r="E158">
        <f t="array" ref="E158">RhoFFromP(テーブル2[[#This Row],[P]])</f>
        <v>593.99780321429478</v>
      </c>
      <c r="F158">
        <f t="array" ref="F158">HgFromP(テーブル2[[#This Row],[P]])</f>
        <v>2595333.5493798093</v>
      </c>
      <c r="G158">
        <f t="array" ref="G158">HfFromP(テーブル2[[#This Row],[P]])</f>
        <v>1630481.3857882055</v>
      </c>
      <c r="H158">
        <f t="array" ref="H158">MuGFromP(テーブル2[[#This Row],[P]])</f>
        <v>2.3048203873610289E-5</v>
      </c>
      <c r="I158">
        <f t="array" ref="I158">MuFFromP(テーブル2[[#This Row],[P]])</f>
        <v>6.8200503236293109E-5</v>
      </c>
      <c r="J158">
        <f t="array" ref="J158">KfFromP(テーブル2[[#This Row],[P]])</f>
        <v>0.47171772328903144</v>
      </c>
      <c r="K158">
        <f t="array" ref="K158">CpFFromP(テーブル2[[#This Row],[P]])</f>
        <v>9005.0430614720299</v>
      </c>
      <c r="L158">
        <f t="array" ref="L158">SigmaFromP(テーブル2[[#This Row],[P]])</f>
        <v>4.6429387983550419E-3</v>
      </c>
      <c r="M158">
        <v>157</v>
      </c>
      <c r="N158">
        <v>2495.4632000000001</v>
      </c>
      <c r="O158" s="8">
        <f t="shared" si="88"/>
        <v>2.8502295699234246E-6</v>
      </c>
      <c r="P158" s="8">
        <f t="shared" si="89"/>
        <v>5.9847340050885557E-3</v>
      </c>
      <c r="Q158" s="8">
        <v>1.905E-3</v>
      </c>
      <c r="R158">
        <v>0.69596000000000002</v>
      </c>
      <c r="S158" s="15">
        <v>4136705.8414062499</v>
      </c>
      <c r="T158">
        <v>299.28719429629098</v>
      </c>
      <c r="U158" s="12">
        <f>+T158+BG158*S158*テーブル2[[#This Row],[Pw]]*R158/(N158*O158*K158)</f>
        <v>568.296291261031</v>
      </c>
      <c r="V158">
        <v>0.03</v>
      </c>
      <c r="W158" s="8">
        <f t="shared" si="60"/>
        <v>69704.139565208083</v>
      </c>
      <c r="X158">
        <v>3.2032461781834103E-2</v>
      </c>
      <c r="Y158">
        <f t="shared" si="61"/>
        <v>5.5873366792250394</v>
      </c>
      <c r="Z158">
        <f t="shared" si="62"/>
        <v>5.5873367167956172</v>
      </c>
      <c r="AA158">
        <f t="shared" si="63"/>
        <v>-3.7570577759993284E-8</v>
      </c>
      <c r="AB158">
        <f t="shared" si="64"/>
        <v>1.3272611259668662E-5</v>
      </c>
      <c r="AC158">
        <v>719.77887078297954</v>
      </c>
      <c r="AD158">
        <f t="shared" si="65"/>
        <v>2205.3561738366739</v>
      </c>
      <c r="AE158">
        <f>+gettm2(AD158,AC158,AK158,AL158,テーブル2[[#This Row],[Fcorr]])</f>
        <v>568.29629245881961</v>
      </c>
      <c r="AF158" s="14">
        <f t="shared" si="66"/>
        <v>1.1977886060776655E-6</v>
      </c>
      <c r="AG158">
        <v>1.335424669371587E-5</v>
      </c>
      <c r="AH158">
        <f t="shared" si="67"/>
        <v>41.977621803451655</v>
      </c>
      <c r="AI158">
        <f t="shared" si="68"/>
        <v>0.26583765409093291</v>
      </c>
      <c r="AJ158">
        <f t="shared" si="69"/>
        <v>30.919548968949382</v>
      </c>
      <c r="AK158">
        <f t="array" ref="AK158">+S158*テーブル2[[#This Row],[F_form]]/(E158*CpFromTP((テーブル2[[#This Row],[Tin]]+テーブル2[[#This Row],[Tf]])/2,テーブル2[[#This Row],[P]])*AI158)</f>
        <v>6.1084275885743127</v>
      </c>
      <c r="AL158">
        <f t="shared" si="70"/>
        <v>1.3019406270656069</v>
      </c>
      <c r="AM158">
        <f t="shared" si="71"/>
        <v>617.97483343217152</v>
      </c>
      <c r="AN158">
        <f t="shared" si="72"/>
        <v>2.8489921533036977E-9</v>
      </c>
      <c r="AO158">
        <f t="shared" si="73"/>
        <v>8.1635434047207464E-8</v>
      </c>
      <c r="AP158">
        <v>3.0881940792648139</v>
      </c>
      <c r="AQ158">
        <f t="shared" si="74"/>
        <v>3.5073069108794453E-5</v>
      </c>
      <c r="AR158">
        <f t="shared" si="75"/>
        <v>6.7179410638815386E-6</v>
      </c>
      <c r="AS158">
        <f t="shared" si="76"/>
        <v>15.554281155592722</v>
      </c>
      <c r="AT158">
        <f t="shared" si="77"/>
        <v>10.671679581025471</v>
      </c>
      <c r="AU158">
        <f t="shared" si="78"/>
        <v>2.836934265029921</v>
      </c>
      <c r="AV158">
        <f t="shared" si="79"/>
        <v>0.25125981423489296</v>
      </c>
      <c r="AW158">
        <f t="shared" si="80"/>
        <v>9.0149722452664074E-3</v>
      </c>
      <c r="AX158">
        <f t="shared" si="81"/>
        <v>0.25125980875417403</v>
      </c>
      <c r="AY158">
        <f t="shared" si="82"/>
        <v>5.4807189342476192E-9</v>
      </c>
      <c r="AZ158">
        <f t="shared" si="83"/>
        <v>964852.16359160375</v>
      </c>
      <c r="BA158">
        <f t="shared" si="84"/>
        <v>1.1357145376414965E-5</v>
      </c>
      <c r="BB158" s="15">
        <f t="shared" si="85"/>
        <v>4119600.8121529077</v>
      </c>
      <c r="BC158" s="20">
        <f t="shared" si="86"/>
        <v>-17105.029253342189</v>
      </c>
      <c r="BD158" s="19">
        <f t="shared" si="87"/>
        <v>-0.4134939710271357</v>
      </c>
      <c r="BE158" s="15">
        <v>2429034.2999999998</v>
      </c>
      <c r="BF158" s="16">
        <f>テーブル2[[#This Row],[q_P]]/テーブル2[[#This Row],[q_M]]</f>
        <v>1.6959829723906772</v>
      </c>
      <c r="BG158">
        <v>1</v>
      </c>
      <c r="BH158">
        <v>-8.6999999999999994E-2</v>
      </c>
      <c r="BI158">
        <v>4.5999999999999999E-2</v>
      </c>
      <c r="BJ158">
        <v>5625</v>
      </c>
      <c r="BK158" s="22">
        <v>1</v>
      </c>
      <c r="BL158">
        <f>テーブル2[[#This Row],[Ts]]-テーブル2[[#This Row],[Tin]]</f>
        <v>318.68763913872954</v>
      </c>
      <c r="BM158">
        <f>テーブル2[[#This Row],[q_P]]*0.000001</f>
        <v>4.1196008121529077</v>
      </c>
      <c r="BN158">
        <f>テーブル2[[#This Row],[Tsub]]</f>
        <v>318.68763913872954</v>
      </c>
      <c r="BO158">
        <f>テーブル2[[#This Row],[Fcorr]]</f>
        <v>1</v>
      </c>
      <c r="BP158">
        <f>(テーブル2[[#This Row],[Tsub]]-40)^2</f>
        <v>77666.800208718734</v>
      </c>
      <c r="BQ158">
        <v>1</v>
      </c>
      <c r="BR158">
        <v>0.69596000000000002</v>
      </c>
    </row>
    <row r="159" spans="1:70" x14ac:dyDescent="0.15">
      <c r="A159" s="9" t="s">
        <v>227</v>
      </c>
      <c r="B159">
        <v>15513203.909628799</v>
      </c>
      <c r="C159" s="22">
        <f t="array" ref="C159">TsatFromP(テーブル2[[#This Row],[P]])</f>
        <v>617.97483343502051</v>
      </c>
      <c r="D159">
        <f t="array" ref="D159">RhoGFromP(テーブル2[[#This Row],[P]])</f>
        <v>102.22394330033012</v>
      </c>
      <c r="E159">
        <f t="array" ref="E159">RhoFFromP(テーブル2[[#This Row],[P]])</f>
        <v>593.99780321429478</v>
      </c>
      <c r="F159">
        <f t="array" ref="F159">HgFromP(テーブル2[[#This Row],[P]])</f>
        <v>2595333.5493798093</v>
      </c>
      <c r="G159">
        <f t="array" ref="G159">HfFromP(テーブル2[[#This Row],[P]])</f>
        <v>1630481.3857882055</v>
      </c>
      <c r="H159">
        <f t="array" ref="H159">MuGFromP(テーブル2[[#This Row],[P]])</f>
        <v>2.3048203873610289E-5</v>
      </c>
      <c r="I159">
        <f t="array" ref="I159">MuFFromP(テーブル2[[#This Row],[P]])</f>
        <v>6.8200503236293109E-5</v>
      </c>
      <c r="J159">
        <f t="array" ref="J159">KfFromP(テーブル2[[#This Row],[P]])</f>
        <v>0.47171772328903144</v>
      </c>
      <c r="K159">
        <f t="array" ref="K159">CpFFromP(テーブル2[[#This Row],[P]])</f>
        <v>9005.0430614720299</v>
      </c>
      <c r="L159">
        <f t="array" ref="L159">SigmaFromP(テーブル2[[#This Row],[P]])</f>
        <v>4.6429387983550419E-3</v>
      </c>
      <c r="M159">
        <v>158</v>
      </c>
      <c r="N159">
        <v>3065.0798</v>
      </c>
      <c r="O159" s="8">
        <f t="shared" si="88"/>
        <v>2.8502295699234246E-6</v>
      </c>
      <c r="P159" s="8">
        <f t="shared" si="89"/>
        <v>5.9847340050885557E-3</v>
      </c>
      <c r="Q159" s="8">
        <v>1.905E-3</v>
      </c>
      <c r="R159">
        <v>0.69596000000000002</v>
      </c>
      <c r="S159" s="15">
        <v>4954920.55078125</v>
      </c>
      <c r="T159">
        <v>297.60162944706502</v>
      </c>
      <c r="U159" s="12">
        <f>+T159+BG159*S159*テーブル2[[#This Row],[Pw]]*R159/(N159*O159*K159)</f>
        <v>559.93793981014846</v>
      </c>
      <c r="V159">
        <v>0.03</v>
      </c>
      <c r="W159" s="8">
        <f t="shared" si="60"/>
        <v>85614.867074657741</v>
      </c>
      <c r="X159">
        <v>2.9251612220244621E-2</v>
      </c>
      <c r="Y159">
        <f t="shared" si="61"/>
        <v>5.8468923278880744</v>
      </c>
      <c r="Z159">
        <f t="shared" si="62"/>
        <v>5.8468923760100653</v>
      </c>
      <c r="AA159">
        <f t="shared" si="63"/>
        <v>-4.8121990836591522E-8</v>
      </c>
      <c r="AB159">
        <f t="shared" si="64"/>
        <v>9.6341998605828018E-6</v>
      </c>
      <c r="AC159">
        <v>717.52337276572791</v>
      </c>
      <c r="AD159">
        <f t="shared" si="65"/>
        <v>2588.5055549134036</v>
      </c>
      <c r="AE159">
        <f>+gettm2(AD159,AC159,AK159,AL159,テーブル2[[#This Row],[Fcorr]])</f>
        <v>559.93794098538206</v>
      </c>
      <c r="AF159" s="14">
        <f t="shared" si="66"/>
        <v>1.1752335922210477E-6</v>
      </c>
      <c r="AG159">
        <v>9.7108609667429814E-6</v>
      </c>
      <c r="AH159">
        <f t="shared" si="67"/>
        <v>57.830713901019386</v>
      </c>
      <c r="AI159">
        <f t="shared" si="68"/>
        <v>0.31202317905973276</v>
      </c>
      <c r="AJ159">
        <f t="shared" si="69"/>
        <v>26.39014966446819</v>
      </c>
      <c r="AK159">
        <f t="array" ref="AK159">+S159*テーブル2[[#This Row],[F_form]]/(E159*CpFromTP((テーブル2[[#This Row],[Tin]]+テーブル2[[#This Row],[Tf]])/2,テーブル2[[#This Row],[P]])*AI159)</f>
        <v>6.2522339767116986</v>
      </c>
      <c r="AL159">
        <f t="shared" si="70"/>
        <v>1.3019406270656069</v>
      </c>
      <c r="AM159">
        <f t="shared" si="71"/>
        <v>617.97483343534213</v>
      </c>
      <c r="AN159">
        <f t="shared" si="72"/>
        <v>-3.2162006391445175E-10</v>
      </c>
      <c r="AO159">
        <f t="shared" si="73"/>
        <v>7.6661106160179636E-8</v>
      </c>
      <c r="AP159">
        <v>3.3567688582593882</v>
      </c>
      <c r="AQ159">
        <f t="shared" si="74"/>
        <v>2.968520606935284E-5</v>
      </c>
      <c r="AR159">
        <f t="shared" si="75"/>
        <v>4.8937610364515805E-6</v>
      </c>
      <c r="AS159">
        <f t="shared" si="76"/>
        <v>13.299241603436945</v>
      </c>
      <c r="AT159">
        <f t="shared" si="77"/>
        <v>9.8885350565195047</v>
      </c>
      <c r="AU159">
        <f t="shared" si="78"/>
        <v>3.0854521445788299</v>
      </c>
      <c r="AV159">
        <f t="shared" si="79"/>
        <v>0.27131671368055832</v>
      </c>
      <c r="AW159">
        <f t="shared" si="80"/>
        <v>6.5437043735636106E-3</v>
      </c>
      <c r="AX159">
        <f t="shared" si="81"/>
        <v>0.27131670551443909</v>
      </c>
      <c r="AY159">
        <f t="shared" si="82"/>
        <v>8.1661192252724391E-9</v>
      </c>
      <c r="AZ159">
        <f t="shared" si="83"/>
        <v>964852.16359160375</v>
      </c>
      <c r="BA159">
        <f t="shared" si="84"/>
        <v>8.8433869958939453E-6</v>
      </c>
      <c r="BB159" s="15">
        <f t="shared" si="85"/>
        <v>4968234.2536732154</v>
      </c>
      <c r="BC159" s="20">
        <f t="shared" si="86"/>
        <v>13313.702891965397</v>
      </c>
      <c r="BD159" s="19">
        <f t="shared" si="87"/>
        <v>0.26869659675706009</v>
      </c>
      <c r="BE159" s="15">
        <v>2996860.5</v>
      </c>
      <c r="BF159" s="16">
        <f>テーブル2[[#This Row],[q_P]]/テーブル2[[#This Row],[q_M]]</f>
        <v>1.6578129858474278</v>
      </c>
      <c r="BG159">
        <v>1</v>
      </c>
      <c r="BH159">
        <v>-8.7999999999999995E-2</v>
      </c>
      <c r="BI159">
        <v>4.5999999999999999E-2</v>
      </c>
      <c r="BJ159">
        <v>5625</v>
      </c>
      <c r="BK159" s="22">
        <v>1</v>
      </c>
      <c r="BL159">
        <f>テーブル2[[#This Row],[Ts]]-テーブル2[[#This Row],[Tin]]</f>
        <v>320.37320398795549</v>
      </c>
      <c r="BM159">
        <f>テーブル2[[#This Row],[q_P]]*0.000001</f>
        <v>4.9682342536732156</v>
      </c>
      <c r="BN159">
        <f>テーブル2[[#This Row],[Tsub]]</f>
        <v>320.37320398795549</v>
      </c>
      <c r="BO159">
        <f>テーブル2[[#This Row],[Fcorr]]</f>
        <v>1</v>
      </c>
      <c r="BP159">
        <f>(テーブル2[[#This Row],[Tsub]]-40)^2</f>
        <v>78609.133514471701</v>
      </c>
      <c r="BQ159">
        <v>1</v>
      </c>
      <c r="BR159">
        <v>0.69596000000000002</v>
      </c>
    </row>
    <row r="160" spans="1:70" x14ac:dyDescent="0.15">
      <c r="A160" s="9" t="s">
        <v>228</v>
      </c>
      <c r="B160">
        <v>15513203.909628799</v>
      </c>
      <c r="C160" s="22">
        <f t="array" ref="C160">TsatFromP(テーブル2[[#This Row],[P]])</f>
        <v>617.97483343502051</v>
      </c>
      <c r="D160">
        <f t="array" ref="D160">RhoGFromP(テーブル2[[#This Row],[P]])</f>
        <v>102.22394330033012</v>
      </c>
      <c r="E160">
        <f t="array" ref="E160">RhoFFromP(テーブル2[[#This Row],[P]])</f>
        <v>593.99780321429478</v>
      </c>
      <c r="F160">
        <f t="array" ref="F160">HgFromP(テーブル2[[#This Row],[P]])</f>
        <v>2595333.5493798093</v>
      </c>
      <c r="G160">
        <f t="array" ref="G160">HfFromP(テーブル2[[#This Row],[P]])</f>
        <v>1630481.3857882055</v>
      </c>
      <c r="H160">
        <f t="array" ref="H160">MuGFromP(テーブル2[[#This Row],[P]])</f>
        <v>2.3048203873610289E-5</v>
      </c>
      <c r="I160">
        <f t="array" ref="I160">MuFFromP(テーブル2[[#This Row],[P]])</f>
        <v>6.8200503236293109E-5</v>
      </c>
      <c r="J160">
        <f t="array" ref="J160">KfFromP(テーブル2[[#This Row],[P]])</f>
        <v>0.47171772328903144</v>
      </c>
      <c r="K160">
        <f t="array" ref="K160">CpFFromP(テーブル2[[#This Row],[P]])</f>
        <v>9005.0430614720299</v>
      </c>
      <c r="L160">
        <f t="array" ref="L160">SigmaFromP(テーブル2[[#This Row],[P]])</f>
        <v>4.6429387983550419E-3</v>
      </c>
      <c r="M160">
        <v>159</v>
      </c>
      <c r="N160">
        <v>3173.5781999999999</v>
      </c>
      <c r="O160" s="8">
        <f t="shared" si="88"/>
        <v>2.8502295699234246E-6</v>
      </c>
      <c r="P160" s="8">
        <f t="shared" si="89"/>
        <v>5.9847340050885557E-3</v>
      </c>
      <c r="Q160" s="8">
        <v>1.905E-3</v>
      </c>
      <c r="R160">
        <v>0.69596000000000002</v>
      </c>
      <c r="S160" s="15">
        <v>5110644.04296875</v>
      </c>
      <c r="T160">
        <v>297.03976193416099</v>
      </c>
      <c r="U160" s="12">
        <f>+T160+BG160*S160*テーブル2[[#This Row],[Pw]]*R160/(N160*O160*K160)</f>
        <v>558.37015757476183</v>
      </c>
      <c r="V160">
        <v>0.03</v>
      </c>
      <c r="W160" s="8">
        <f t="shared" si="60"/>
        <v>88645.481838362437</v>
      </c>
      <c r="X160">
        <v>2.8816656506257129E-2</v>
      </c>
      <c r="Y160">
        <f t="shared" si="61"/>
        <v>5.8908532659419297</v>
      </c>
      <c r="Z160">
        <f t="shared" si="62"/>
        <v>5.8908532754526926</v>
      </c>
      <c r="AA160">
        <f t="shared" si="63"/>
        <v>-9.5107628439450309E-9</v>
      </c>
      <c r="AB160">
        <f t="shared" si="64"/>
        <v>9.1223563377912512E-6</v>
      </c>
      <c r="AC160">
        <v>717.06123854595194</v>
      </c>
      <c r="AD160">
        <f t="shared" si="65"/>
        <v>2660.1333669203354</v>
      </c>
      <c r="AE160">
        <f>+gettm2(AD160,AC160,AK160,AL160,テーブル2[[#This Row],[Fcorr]])</f>
        <v>558.37015874537417</v>
      </c>
      <c r="AF160" s="14">
        <f t="shared" si="66"/>
        <v>1.1706123359545018E-6</v>
      </c>
      <c r="AG160">
        <v>9.1977920845103017E-6</v>
      </c>
      <c r="AH160">
        <f t="shared" si="67"/>
        <v>61.075519873575288</v>
      </c>
      <c r="AI160">
        <f t="shared" si="68"/>
        <v>0.32065732611383996</v>
      </c>
      <c r="AJ160">
        <f t="shared" si="69"/>
        <v>25.68751036850561</v>
      </c>
      <c r="AK160">
        <f t="array" ref="AK160">+S160*テーブル2[[#This Row],[F_form]]/(E160*CpFromTP((テーブル2[[#This Row],[Tin]]+テーブル2[[#This Row],[Tf]])/2,テーブル2[[#This Row],[P]])*AI160)</f>
        <v>6.2788993110418039</v>
      </c>
      <c r="AL160">
        <f t="shared" si="70"/>
        <v>1.3019406270656069</v>
      </c>
      <c r="AM160">
        <f t="shared" si="71"/>
        <v>617.97483342798398</v>
      </c>
      <c r="AN160">
        <f t="shared" si="72"/>
        <v>7.0365331339417025E-9</v>
      </c>
      <c r="AO160">
        <f t="shared" si="73"/>
        <v>7.5435746719050524E-8</v>
      </c>
      <c r="AP160">
        <v>3.4030833130258</v>
      </c>
      <c r="AQ160">
        <f t="shared" si="74"/>
        <v>2.8882699383155131E-5</v>
      </c>
      <c r="AR160">
        <f t="shared" si="75"/>
        <v>4.6366139156146761E-6</v>
      </c>
      <c r="AS160">
        <f t="shared" si="76"/>
        <v>12.949093319111544</v>
      </c>
      <c r="AT160">
        <f t="shared" si="77"/>
        <v>9.7551288586311706</v>
      </c>
      <c r="AU160">
        <f t="shared" si="78"/>
        <v>3.1280535357046269</v>
      </c>
      <c r="AV160">
        <f t="shared" si="79"/>
        <v>0.27502977732117317</v>
      </c>
      <c r="AW160">
        <f t="shared" si="80"/>
        <v>6.1960519740763675E-3</v>
      </c>
      <c r="AX160">
        <f t="shared" si="81"/>
        <v>0.2750297666600291</v>
      </c>
      <c r="AY160">
        <f t="shared" si="82"/>
        <v>1.0661144078660811E-8</v>
      </c>
      <c r="AZ160">
        <f t="shared" si="83"/>
        <v>964852.16359160375</v>
      </c>
      <c r="BA160">
        <f t="shared" si="84"/>
        <v>8.4872148949754972E-6</v>
      </c>
      <c r="BB160" s="15">
        <f t="shared" si="85"/>
        <v>5093984.3804119835</v>
      </c>
      <c r="BC160" s="20">
        <f t="shared" si="86"/>
        <v>-16659.662556766532</v>
      </c>
      <c r="BD160" s="19">
        <f t="shared" si="87"/>
        <v>-0.32597970855917818</v>
      </c>
      <c r="BE160" s="15">
        <v>3091498.2</v>
      </c>
      <c r="BF160" s="16">
        <f>テーブル2[[#This Row],[q_P]]/テーブル2[[#This Row],[q_M]]</f>
        <v>1.6477397206351223</v>
      </c>
      <c r="BG160">
        <v>1</v>
      </c>
      <c r="BH160">
        <v>-9.6000000000000002E-2</v>
      </c>
      <c r="BI160">
        <v>4.5999999999999999E-2</v>
      </c>
      <c r="BJ160">
        <v>5625</v>
      </c>
      <c r="BK160" s="22">
        <v>1</v>
      </c>
      <c r="BL160">
        <f>テーブル2[[#This Row],[Ts]]-テーブル2[[#This Row],[Tin]]</f>
        <v>320.93507150085952</v>
      </c>
      <c r="BM160">
        <f>テーブル2[[#This Row],[q_P]]*0.000001</f>
        <v>5.0939843804119835</v>
      </c>
      <c r="BN160">
        <f>テーブル2[[#This Row],[Tsub]]</f>
        <v>320.93507150085952</v>
      </c>
      <c r="BO160">
        <f>テーブル2[[#This Row],[Fcorr]]</f>
        <v>1</v>
      </c>
      <c r="BP160">
        <f>(テーブル2[[#This Row],[Tsub]]-40)^2</f>
        <v>78924.514399193053</v>
      </c>
      <c r="BQ160">
        <v>1</v>
      </c>
      <c r="BR160">
        <v>0.69596000000000002</v>
      </c>
    </row>
    <row r="161" spans="1:70" x14ac:dyDescent="0.15">
      <c r="A161" s="9" t="s">
        <v>229</v>
      </c>
      <c r="B161">
        <v>15513203.909628799</v>
      </c>
      <c r="C161" s="22">
        <f t="array" ref="C161">TsatFromP(テーブル2[[#This Row],[P]])</f>
        <v>617.97483343502051</v>
      </c>
      <c r="D161">
        <f t="array" ref="D161">RhoGFromP(テーブル2[[#This Row],[P]])</f>
        <v>102.22394330033012</v>
      </c>
      <c r="E161">
        <f t="array" ref="E161">RhoFFromP(テーブル2[[#This Row],[P]])</f>
        <v>593.99780321429478</v>
      </c>
      <c r="F161">
        <f t="array" ref="F161">HgFromP(テーブル2[[#This Row],[P]])</f>
        <v>2595333.5493798093</v>
      </c>
      <c r="G161">
        <f t="array" ref="G161">HfFromP(テーブル2[[#This Row],[P]])</f>
        <v>1630481.3857882055</v>
      </c>
      <c r="H161">
        <f t="array" ref="H161">MuGFromP(テーブル2[[#This Row],[P]])</f>
        <v>2.3048203873610289E-5</v>
      </c>
      <c r="I161">
        <f t="array" ref="I161">MuFFromP(テーブル2[[#This Row],[P]])</f>
        <v>6.8200503236293109E-5</v>
      </c>
      <c r="J161">
        <f t="array" ref="J161">KfFromP(テーブル2[[#This Row],[P]])</f>
        <v>0.47171772328903144</v>
      </c>
      <c r="K161">
        <f t="array" ref="K161">CpFFromP(テーブル2[[#This Row],[P]])</f>
        <v>9005.0430614720299</v>
      </c>
      <c r="L161">
        <f t="array" ref="L161">SigmaFromP(テーブル2[[#This Row],[P]])</f>
        <v>4.6429387983550419E-3</v>
      </c>
      <c r="M161">
        <v>160</v>
      </c>
      <c r="N161">
        <v>3688.9456</v>
      </c>
      <c r="O161" s="8">
        <f t="shared" si="88"/>
        <v>2.8502295699234246E-6</v>
      </c>
      <c r="P161" s="8">
        <f t="shared" si="89"/>
        <v>5.9847340050885557E-3</v>
      </c>
      <c r="Q161" s="8">
        <v>1.905E-3</v>
      </c>
      <c r="R161">
        <v>0.69596000000000002</v>
      </c>
      <c r="S161" s="15">
        <v>5747924.19921875</v>
      </c>
      <c r="T161">
        <v>299.79285116759797</v>
      </c>
      <c r="U161" s="12">
        <f>+T161+BG161*S161*テーブル2[[#This Row],[Pw]]*R161/(N161*O161*K161)</f>
        <v>552.64827756438467</v>
      </c>
      <c r="V161">
        <v>0.03</v>
      </c>
      <c r="W161" s="8">
        <f t="shared" si="60"/>
        <v>103040.90196595977</v>
      </c>
      <c r="X161">
        <v>2.7042139441522312E-2</v>
      </c>
      <c r="Y161">
        <f t="shared" si="61"/>
        <v>6.0810626264231198</v>
      </c>
      <c r="Z161">
        <f t="shared" si="62"/>
        <v>6.0810626347094354</v>
      </c>
      <c r="AA161">
        <f t="shared" si="63"/>
        <v>-8.2863156336543398E-9</v>
      </c>
      <c r="AB161">
        <f t="shared" si="64"/>
        <v>7.1945474511830241E-6</v>
      </c>
      <c r="AC161">
        <v>713.16603775011481</v>
      </c>
      <c r="AD161">
        <f t="shared" si="65"/>
        <v>2995.4024894891272</v>
      </c>
      <c r="AE161">
        <f>+gettm2(AD161,AC161,AK161,AL161,テーブル2[[#This Row],[Fcorr]])</f>
        <v>552.64827869604483</v>
      </c>
      <c r="AF161" s="14">
        <f t="shared" si="66"/>
        <v>1.1316601558064576E-6</v>
      </c>
      <c r="AG161">
        <v>7.2656645744083946E-6</v>
      </c>
      <c r="AH161">
        <f t="shared" si="67"/>
        <v>77.440959224056627</v>
      </c>
      <c r="AI161">
        <f t="shared" si="68"/>
        <v>0.36107127742482392</v>
      </c>
      <c r="AJ161">
        <f t="shared" si="69"/>
        <v>22.84891312753372</v>
      </c>
      <c r="AK161">
        <f t="array" ref="AK161">+S161*テーブル2[[#This Row],[F_form]]/(E161*CpFromTP((テーブル2[[#This Row],[Tin]]+テーブル2[[#This Row],[Tf]])/2,テーブル2[[#This Row],[P]])*AI161)</f>
        <v>6.2766619225739886</v>
      </c>
      <c r="AL161">
        <f t="shared" si="70"/>
        <v>1.3019406270656069</v>
      </c>
      <c r="AM161">
        <f t="shared" si="71"/>
        <v>617.97483340516374</v>
      </c>
      <c r="AN161">
        <f t="shared" si="72"/>
        <v>2.9856778382963967E-8</v>
      </c>
      <c r="AO161">
        <f t="shared" si="73"/>
        <v>7.111712322537049E-8</v>
      </c>
      <c r="AP161">
        <v>3.605992657081579</v>
      </c>
      <c r="AQ161">
        <f t="shared" si="74"/>
        <v>2.5723689983414494E-5</v>
      </c>
      <c r="AR161">
        <f t="shared" si="75"/>
        <v>3.6683908488168825E-6</v>
      </c>
      <c r="AS161">
        <f t="shared" si="76"/>
        <v>11.536280399963491</v>
      </c>
      <c r="AT161">
        <f t="shared" si="77"/>
        <v>9.1774844338137687</v>
      </c>
      <c r="AU161">
        <f t="shared" si="78"/>
        <v>3.3137260280635745</v>
      </c>
      <c r="AV161">
        <f t="shared" si="79"/>
        <v>0.29226662901800449</v>
      </c>
      <c r="AW161">
        <f t="shared" si="80"/>
        <v>4.8866529969692086E-3</v>
      </c>
      <c r="AX161">
        <f t="shared" si="81"/>
        <v>0.29226662161707001</v>
      </c>
      <c r="AY161">
        <f t="shared" si="82"/>
        <v>7.4009344763759088E-9</v>
      </c>
      <c r="AZ161">
        <f t="shared" si="83"/>
        <v>964852.16359160375</v>
      </c>
      <c r="BA161">
        <f t="shared" si="84"/>
        <v>7.133594665784296E-6</v>
      </c>
      <c r="BB161" s="15">
        <f t="shared" si="85"/>
        <v>5713620.164557592</v>
      </c>
      <c r="BC161" s="20">
        <f t="shared" si="86"/>
        <v>-34304.034661157988</v>
      </c>
      <c r="BD161" s="19">
        <f t="shared" si="87"/>
        <v>-0.59680735987820688</v>
      </c>
      <c r="BE161" s="15">
        <v>3523677.03</v>
      </c>
      <c r="BF161" s="16">
        <f>テーブル2[[#This Row],[q_P]]/テーブル2[[#This Row],[q_M]]</f>
        <v>1.6214937169078723</v>
      </c>
      <c r="BG161">
        <v>1</v>
      </c>
      <c r="BH161">
        <v>-4.3999999999999997E-2</v>
      </c>
      <c r="BI161">
        <v>4.5999999999999999E-2</v>
      </c>
      <c r="BJ161">
        <v>5625</v>
      </c>
      <c r="BK161" s="22">
        <v>1</v>
      </c>
      <c r="BL161">
        <f>テーブル2[[#This Row],[Ts]]-テーブル2[[#This Row],[Tin]]</f>
        <v>318.18198226742254</v>
      </c>
      <c r="BM161">
        <f>テーブル2[[#This Row],[q_P]]*0.000001</f>
        <v>5.7136201645575921</v>
      </c>
      <c r="BN161">
        <f>テーブル2[[#This Row],[Tsub]]</f>
        <v>318.18198226742254</v>
      </c>
      <c r="BO161">
        <f>テーブル2[[#This Row],[Fcorr]]</f>
        <v>1</v>
      </c>
      <c r="BP161">
        <f>(テーブル2[[#This Row],[Tsub]]-40)^2</f>
        <v>77385.215258232594</v>
      </c>
      <c r="BQ161">
        <v>1</v>
      </c>
      <c r="BR161">
        <v>0.69596000000000002</v>
      </c>
    </row>
    <row r="162" spans="1:70" x14ac:dyDescent="0.15">
      <c r="A162" s="9" t="s">
        <v>230</v>
      </c>
      <c r="B162">
        <v>15513203.909628799</v>
      </c>
      <c r="C162" s="22">
        <f t="array" ref="C162">TsatFromP(テーブル2[[#This Row],[P]])</f>
        <v>617.97483343502051</v>
      </c>
      <c r="D162">
        <f t="array" ref="D162">RhoGFromP(テーブル2[[#This Row],[P]])</f>
        <v>102.22394330033012</v>
      </c>
      <c r="E162">
        <f t="array" ref="E162">RhoFFromP(テーブル2[[#This Row],[P]])</f>
        <v>593.99780321429478</v>
      </c>
      <c r="F162">
        <f t="array" ref="F162">HgFromP(テーブル2[[#This Row],[P]])</f>
        <v>2595333.5493798093</v>
      </c>
      <c r="G162">
        <f t="array" ref="G162">HfFromP(テーブル2[[#This Row],[P]])</f>
        <v>1630481.3857882055</v>
      </c>
      <c r="H162">
        <f t="array" ref="H162">MuGFromP(テーブル2[[#This Row],[P]])</f>
        <v>2.3048203873610289E-5</v>
      </c>
      <c r="I162">
        <f t="array" ref="I162">MuFFromP(テーブル2[[#This Row],[P]])</f>
        <v>6.8200503236293109E-5</v>
      </c>
      <c r="J162">
        <f t="array" ref="J162">KfFromP(テーブル2[[#This Row],[P]])</f>
        <v>0.47171772328903144</v>
      </c>
      <c r="K162">
        <f t="array" ref="K162">CpFFromP(テーブル2[[#This Row],[P]])</f>
        <v>9005.0430614720299</v>
      </c>
      <c r="L162">
        <f t="array" ref="L162">SigmaFromP(テーブル2[[#This Row],[P]])</f>
        <v>4.6429387983550419E-3</v>
      </c>
      <c r="M162">
        <v>161</v>
      </c>
      <c r="N162">
        <v>3743.1948000000002</v>
      </c>
      <c r="O162" s="8">
        <f t="shared" si="88"/>
        <v>2.8502295699234246E-6</v>
      </c>
      <c r="P162" s="8">
        <f t="shared" si="89"/>
        <v>5.9847340050885557E-3</v>
      </c>
      <c r="Q162" s="8">
        <v>1.905E-3</v>
      </c>
      <c r="R162">
        <v>0.69596000000000002</v>
      </c>
      <c r="S162" s="15">
        <v>5818430.76171875</v>
      </c>
      <c r="T162">
        <v>299.79285116759797</v>
      </c>
      <c r="U162" s="12">
        <f>+T162+BG162*S162*テーブル2[[#This Row],[Pw]]*R162/(N162*O162*K162)</f>
        <v>552.04039063001892</v>
      </c>
      <c r="V162">
        <v>0.03</v>
      </c>
      <c r="W162" s="8">
        <f t="shared" si="60"/>
        <v>104556.20934781212</v>
      </c>
      <c r="X162">
        <v>2.6878779410128451E-2</v>
      </c>
      <c r="Y162">
        <f t="shared" si="61"/>
        <v>6.0995139434554897</v>
      </c>
      <c r="Z162">
        <f t="shared" si="62"/>
        <v>6.0995139494937094</v>
      </c>
      <c r="AA162">
        <f t="shared" si="63"/>
        <v>-6.0382197020203421E-9</v>
      </c>
      <c r="AB162">
        <f t="shared" si="64"/>
        <v>7.0299887495018681E-6</v>
      </c>
      <c r="AC162">
        <v>712.86880973518782</v>
      </c>
      <c r="AD162">
        <f t="shared" si="65"/>
        <v>3030.2580390165544</v>
      </c>
      <c r="AE162">
        <f>+gettm2(AD162,AC162,AK162,AL162,テーブル2[[#This Row],[Fcorr]])</f>
        <v>552.04039175870685</v>
      </c>
      <c r="AF162" s="14">
        <f t="shared" si="66"/>
        <v>1.1286879271210637E-6</v>
      </c>
      <c r="AG162">
        <v>7.1016910830762254E-6</v>
      </c>
      <c r="AH162">
        <f t="shared" si="67"/>
        <v>79.253705184390782</v>
      </c>
      <c r="AI162">
        <f t="shared" si="68"/>
        <v>0.36527282891494062</v>
      </c>
      <c r="AJ162">
        <f t="shared" si="69"/>
        <v>22.59313017858679</v>
      </c>
      <c r="AK162">
        <f t="array" ref="AK162">+S162*テーブル2[[#This Row],[F_form]]/(E162*CpFromTP((テーブル2[[#This Row],[Tin]]+テーブル2[[#This Row],[Tf]])/2,テーブル2[[#This Row],[P]])*AI162)</f>
        <v>6.2816316742400273</v>
      </c>
      <c r="AL162">
        <f t="shared" si="70"/>
        <v>1.3019406270656069</v>
      </c>
      <c r="AM162">
        <f t="shared" si="71"/>
        <v>617.97483335695813</v>
      </c>
      <c r="AN162">
        <f t="shared" si="72"/>
        <v>7.8062385000521317E-8</v>
      </c>
      <c r="AO162">
        <f t="shared" si="73"/>
        <v>7.1702333574357351E-8</v>
      </c>
      <c r="AP162">
        <v>3.6262950232636841</v>
      </c>
      <c r="AQ162">
        <f t="shared" si="74"/>
        <v>2.543646028085395E-5</v>
      </c>
      <c r="AR162">
        <f t="shared" si="75"/>
        <v>3.5866967083252914E-6</v>
      </c>
      <c r="AS162">
        <f t="shared" si="76"/>
        <v>11.410621032983654</v>
      </c>
      <c r="AT162">
        <f t="shared" si="77"/>
        <v>9.1227229561285608</v>
      </c>
      <c r="AU162">
        <f t="shared" si="78"/>
        <v>3.332282821592349</v>
      </c>
      <c r="AV162">
        <f t="shared" si="79"/>
        <v>0.29401220167133513</v>
      </c>
      <c r="AW162">
        <f t="shared" si="80"/>
        <v>4.7748820651345248E-3</v>
      </c>
      <c r="AX162">
        <f t="shared" si="81"/>
        <v>0.29401219826097202</v>
      </c>
      <c r="AY162">
        <f t="shared" si="82"/>
        <v>3.4103631030291126E-9</v>
      </c>
      <c r="AZ162">
        <f t="shared" si="83"/>
        <v>964852.16359160375</v>
      </c>
      <c r="BA162">
        <f t="shared" si="84"/>
        <v>7.0144486639040765E-6</v>
      </c>
      <c r="BB162" s="15">
        <f t="shared" si="85"/>
        <v>5858485.5475918157</v>
      </c>
      <c r="BC162" s="20">
        <f t="shared" si="86"/>
        <v>40054.785873065703</v>
      </c>
      <c r="BD162" s="19">
        <f t="shared" si="87"/>
        <v>0.68841217698418766</v>
      </c>
      <c r="BE162" s="15">
        <v>3722416.2</v>
      </c>
      <c r="BF162" s="16">
        <f>テーブル2[[#This Row],[q_P]]/テーブル2[[#This Row],[q_M]]</f>
        <v>1.5738394722201712</v>
      </c>
      <c r="BG162">
        <v>1</v>
      </c>
      <c r="BH162">
        <v>-0.06</v>
      </c>
      <c r="BI162">
        <v>4.5999999999999999E-2</v>
      </c>
      <c r="BJ162">
        <v>5625</v>
      </c>
      <c r="BK162" s="22">
        <v>1</v>
      </c>
      <c r="BL162">
        <f>テーブル2[[#This Row],[Ts]]-テーブル2[[#This Row],[Tin]]</f>
        <v>318.18198226742254</v>
      </c>
      <c r="BM162">
        <f>テーブル2[[#This Row],[q_P]]*0.000001</f>
        <v>5.8584855475918154</v>
      </c>
      <c r="BN162">
        <f>テーブル2[[#This Row],[Tsub]]</f>
        <v>318.18198226742254</v>
      </c>
      <c r="BO162">
        <f>テーブル2[[#This Row],[Fcorr]]</f>
        <v>1</v>
      </c>
      <c r="BP162">
        <f>(テーブル2[[#This Row],[Tsub]]-40)^2</f>
        <v>77385.215258232594</v>
      </c>
      <c r="BQ162">
        <v>1</v>
      </c>
      <c r="BR162">
        <v>0.69596000000000002</v>
      </c>
    </row>
    <row r="163" spans="1:70" x14ac:dyDescent="0.15">
      <c r="A163" s="9" t="s">
        <v>231</v>
      </c>
      <c r="B163">
        <v>15513203.909628799</v>
      </c>
      <c r="C163" s="22">
        <f t="array" ref="C163">TsatFromP(テーブル2[[#This Row],[P]])</f>
        <v>617.97483343502051</v>
      </c>
      <c r="D163">
        <f t="array" ref="D163">RhoGFromP(テーブル2[[#This Row],[P]])</f>
        <v>102.22394330033012</v>
      </c>
      <c r="E163">
        <f t="array" ref="E163">RhoFFromP(テーブル2[[#This Row],[P]])</f>
        <v>593.99780321429478</v>
      </c>
      <c r="F163">
        <f t="array" ref="F163">HgFromP(テーブル2[[#This Row],[P]])</f>
        <v>2595333.5493798093</v>
      </c>
      <c r="G163">
        <f t="array" ref="G163">HfFromP(テーブル2[[#This Row],[P]])</f>
        <v>1630481.3857882055</v>
      </c>
      <c r="H163">
        <f t="array" ref="H163">MuGFromP(テーブル2[[#This Row],[P]])</f>
        <v>2.3048203873610289E-5</v>
      </c>
      <c r="I163">
        <f t="array" ref="I163">MuFFromP(テーブル2[[#This Row],[P]])</f>
        <v>6.8200503236293109E-5</v>
      </c>
      <c r="J163">
        <f t="array" ref="J163">KfFromP(テーブル2[[#This Row],[P]])</f>
        <v>0.47171772328903144</v>
      </c>
      <c r="K163">
        <f t="array" ref="K163">CpFFromP(テーブル2[[#This Row],[P]])</f>
        <v>9005.0430614720299</v>
      </c>
      <c r="L163">
        <f t="array" ref="L163">SigmaFromP(テーブル2[[#This Row],[P]])</f>
        <v>4.6429387983550419E-3</v>
      </c>
      <c r="M163">
        <v>162</v>
      </c>
      <c r="N163">
        <v>3878.8177999999998</v>
      </c>
      <c r="O163" s="8">
        <f t="shared" si="88"/>
        <v>2.8502295699234246E-6</v>
      </c>
      <c r="P163" s="8">
        <f t="shared" si="89"/>
        <v>5.9847340050885557E-3</v>
      </c>
      <c r="Q163" s="8">
        <v>1.905E-3</v>
      </c>
      <c r="R163">
        <v>0.69596000000000002</v>
      </c>
      <c r="S163" s="15">
        <v>5983178.7109375</v>
      </c>
      <c r="T163">
        <v>300.35468451217503</v>
      </c>
      <c r="U163" s="12">
        <f>+T163+BG163*S163*テーブル2[[#This Row],[Pw]]*R163/(N163*O163*K163)</f>
        <v>550.67499673512839</v>
      </c>
      <c r="V163">
        <v>0.03</v>
      </c>
      <c r="W163" s="8">
        <f t="shared" si="60"/>
        <v>108344.477802443</v>
      </c>
      <c r="X163">
        <v>2.648671141585706E-2</v>
      </c>
      <c r="Y163">
        <f t="shared" si="61"/>
        <v>6.1444919577194019</v>
      </c>
      <c r="Z163">
        <f t="shared" si="62"/>
        <v>6.1444919840770256</v>
      </c>
      <c r="AA163">
        <f t="shared" si="63"/>
        <v>-2.6357623639228223E-8</v>
      </c>
      <c r="AB163">
        <f t="shared" si="64"/>
        <v>6.6438869072487288E-6</v>
      </c>
      <c r="AC163">
        <v>711.93507646885996</v>
      </c>
      <c r="AD163">
        <f t="shared" si="65"/>
        <v>3117.064660731442</v>
      </c>
      <c r="AE163">
        <f>+gettm2(AD163,AC163,AK163,AL163,テーブル2[[#This Row],[Fcorr]])</f>
        <v>550.67499673512816</v>
      </c>
      <c r="AF163" s="14">
        <f t="shared" si="66"/>
        <v>0</v>
      </c>
      <c r="AG163">
        <v>6.7140034023537437E-6</v>
      </c>
      <c r="AH163">
        <f t="shared" si="67"/>
        <v>83.85944306106876</v>
      </c>
      <c r="AI163">
        <f t="shared" si="68"/>
        <v>0.37573665736587897</v>
      </c>
      <c r="AJ163">
        <f t="shared" si="69"/>
        <v>21.971635419955405</v>
      </c>
      <c r="AK163">
        <f t="array" ref="AK163">+S163*テーブル2[[#This Row],[F_form]]/(E163*CpFromTP((テーブル2[[#This Row],[Tin]]+テーブル2[[#This Row],[Tf]])/2,テーブル2[[#This Row],[P]])*AI163)</f>
        <v>6.2809935031933817</v>
      </c>
      <c r="AL163">
        <f t="shared" si="70"/>
        <v>1.3019406270656069</v>
      </c>
      <c r="AM163">
        <f t="shared" si="71"/>
        <v>617.97483348010792</v>
      </c>
      <c r="AN163">
        <f t="shared" si="72"/>
        <v>-4.5087404032528866E-8</v>
      </c>
      <c r="AO163">
        <f t="shared" si="73"/>
        <v>7.0116495105014919E-8</v>
      </c>
      <c r="AP163">
        <v>3.6744540006590549</v>
      </c>
      <c r="AQ163">
        <f t="shared" si="74"/>
        <v>2.4774067301422926E-5</v>
      </c>
      <c r="AR163">
        <f t="shared" si="75"/>
        <v>3.3920599487293793E-6</v>
      </c>
      <c r="AS163">
        <f t="shared" si="76"/>
        <v>11.100546134663364</v>
      </c>
      <c r="AT163">
        <f t="shared" si="77"/>
        <v>8.9849715421448337</v>
      </c>
      <c r="AU163">
        <f t="shared" si="78"/>
        <v>3.3759831737730464</v>
      </c>
      <c r="AV163">
        <f t="shared" si="79"/>
        <v>0.29847082688600857</v>
      </c>
      <c r="AW163">
        <f t="shared" si="80"/>
        <v>4.5126354488763485E-3</v>
      </c>
      <c r="AX163">
        <f t="shared" si="81"/>
        <v>0.29847081233000694</v>
      </c>
      <c r="AY163">
        <f t="shared" si="82"/>
        <v>1.455600162625359E-8</v>
      </c>
      <c r="AZ163">
        <f t="shared" si="83"/>
        <v>964852.16359160375</v>
      </c>
      <c r="BA163">
        <f t="shared" si="84"/>
        <v>6.7422445067973137E-6</v>
      </c>
      <c r="BB163" s="15">
        <f t="shared" si="85"/>
        <v>5960206.6097889021</v>
      </c>
      <c r="BC163" s="20">
        <f t="shared" si="86"/>
        <v>-22972.101148597896</v>
      </c>
      <c r="BD163" s="19">
        <f t="shared" si="87"/>
        <v>-0.38394476010893569</v>
      </c>
      <c r="BE163" s="15">
        <v>3753962.1</v>
      </c>
      <c r="BF163" s="16">
        <f>テーブル2[[#This Row],[q_P]]/テーブル2[[#This Row],[q_M]]</f>
        <v>1.5877109174301205</v>
      </c>
      <c r="BG163">
        <v>1</v>
      </c>
      <c r="BH163">
        <v>-0.105</v>
      </c>
      <c r="BI163">
        <v>4.5999999999999999E-2</v>
      </c>
      <c r="BJ163">
        <v>5625</v>
      </c>
      <c r="BK163" s="22">
        <v>1</v>
      </c>
      <c r="BL163">
        <f>テーブル2[[#This Row],[Ts]]-テーブル2[[#This Row],[Tin]]</f>
        <v>317.62014892284549</v>
      </c>
      <c r="BM163">
        <f>テーブル2[[#This Row],[q_P]]*0.000001</f>
        <v>5.9602066097889015</v>
      </c>
      <c r="BN163">
        <f>テーブル2[[#This Row],[Tsub]]</f>
        <v>317.62014892284549</v>
      </c>
      <c r="BO163">
        <f>テーブル2[[#This Row],[Fcorr]]</f>
        <v>1</v>
      </c>
      <c r="BP163">
        <f>(テーブル2[[#This Row],[Tsub]]-40)^2</f>
        <v>77072.947087942914</v>
      </c>
      <c r="BQ163">
        <v>1</v>
      </c>
      <c r="BR163">
        <v>0.69596000000000002</v>
      </c>
    </row>
    <row r="164" spans="1:70" x14ac:dyDescent="0.15">
      <c r="A164" s="9" t="s">
        <v>232</v>
      </c>
      <c r="B164">
        <v>17236893.2329209</v>
      </c>
      <c r="C164" s="22">
        <f t="array" ref="C164">TsatFromP(テーブル2[[#This Row],[P]])</f>
        <v>626.57723583796803</v>
      </c>
      <c r="D164">
        <f t="array" ref="D164">RhoGFromP(テーブル2[[#This Row],[P]])</f>
        <v>122.583590976701</v>
      </c>
      <c r="E164">
        <f t="array" ref="E164">RhoFFromP(テーブル2[[#This Row],[P]])</f>
        <v>560.26337686439001</v>
      </c>
      <c r="F164">
        <f t="array" ref="F164">HgFromP(テーブル2[[#This Row],[P]])</f>
        <v>2538890.6454807199</v>
      </c>
      <c r="G164">
        <f t="array" ref="G164">HfFromP(テーブル2[[#This Row],[P]])</f>
        <v>1699798.64659754</v>
      </c>
      <c r="H164">
        <f t="array" ref="H164">MuGFromP(テーブル2[[#This Row],[P]])</f>
        <v>2.4290890628326198E-5</v>
      </c>
      <c r="I164">
        <f t="array" ref="I164">MuFFromP(テーブル2[[#This Row],[P]])</f>
        <v>6.4066005508525405E-5</v>
      </c>
      <c r="J164">
        <f t="array" ref="J164">KfFromP(テーブル2[[#This Row],[P]])</f>
        <v>0.452884810527584</v>
      </c>
      <c r="K164">
        <f t="array" ref="K164">CpFFromP(テーブル2[[#This Row],[P]])</f>
        <v>11219.515372648901</v>
      </c>
      <c r="L164">
        <f t="array" ref="L164">SigmaFromP(テーブル2[[#This Row],[P]])</f>
        <v>3.02925386118211E-3</v>
      </c>
      <c r="M164">
        <v>163</v>
      </c>
      <c r="N164">
        <v>1939.4088999999999</v>
      </c>
      <c r="O164" s="8">
        <f t="shared" si="88"/>
        <v>2.8502295699234246E-6</v>
      </c>
      <c r="P164" s="8">
        <f t="shared" si="89"/>
        <v>5.9847340050885557E-3</v>
      </c>
      <c r="Q164" s="8">
        <v>1.905E-3</v>
      </c>
      <c r="R164">
        <v>0.15240000000000001</v>
      </c>
      <c r="S164" s="15">
        <v>2969197.51953125</v>
      </c>
      <c r="T164">
        <v>544.38778847281696</v>
      </c>
      <c r="U164" s="12">
        <f>+T164+BG164*S164*テーブル2[[#This Row],[Pw]]*R164/(N164*O164*K164)</f>
        <v>588.05400713064012</v>
      </c>
      <c r="V164">
        <v>0.03</v>
      </c>
      <c r="W164" s="8">
        <f t="shared" si="60"/>
        <v>57668.242700231327</v>
      </c>
      <c r="X164">
        <v>3.2357785104266172E-2</v>
      </c>
      <c r="Y164">
        <f t="shared" si="61"/>
        <v>5.5591783430067494</v>
      </c>
      <c r="Z164">
        <f t="shared" si="62"/>
        <v>5.5591783497804945</v>
      </c>
      <c r="AA164">
        <f t="shared" si="63"/>
        <v>-6.7737451203697674E-9</v>
      </c>
      <c r="AB164">
        <f t="shared" si="64"/>
        <v>1.3386948195257642E-5</v>
      </c>
      <c r="AC164">
        <v>708.54185219529393</v>
      </c>
      <c r="AD164">
        <f t="shared" si="65"/>
        <v>1833.7964244186364</v>
      </c>
      <c r="AE164">
        <f>+gettm2(AD164,AC164,AK164,AL164,テーブル2[[#This Row],[Fcorr]])</f>
        <v>588.05400821605872</v>
      </c>
      <c r="AF164" s="14">
        <f t="shared" si="66"/>
        <v>1.0854186029973789E-6</v>
      </c>
      <c r="AG164">
        <v>1.347637951341768E-5</v>
      </c>
      <c r="AH164">
        <f t="shared" si="67"/>
        <v>27.154095021494712</v>
      </c>
      <c r="AI164">
        <f t="shared" si="68"/>
        <v>0.22015144959272953</v>
      </c>
      <c r="AJ164">
        <f t="shared" si="69"/>
        <v>25.945340226576285</v>
      </c>
      <c r="AK164">
        <f t="array" ref="AK164">+S164*テーブル2[[#This Row],[F_form]]/(E164*CpFromTP((テーブル2[[#This Row],[Tin]]+テーブル2[[#This Row],[Tf]])/2,テーブル2[[#This Row],[P]])*AI164)</f>
        <v>4.5263556408070702</v>
      </c>
      <c r="AL164">
        <f t="shared" si="70"/>
        <v>1.5871354414155836</v>
      </c>
      <c r="AM164">
        <f t="shared" si="71"/>
        <v>626.57723578563912</v>
      </c>
      <c r="AN164">
        <f t="shared" si="72"/>
        <v>5.2328914534882642E-8</v>
      </c>
      <c r="AO164">
        <f t="shared" si="73"/>
        <v>8.9431318160038237E-8</v>
      </c>
      <c r="AP164">
        <v>2.3766704722242471</v>
      </c>
      <c r="AQ164">
        <f t="shared" si="74"/>
        <v>3.3502437731486527E-5</v>
      </c>
      <c r="AR164">
        <f t="shared" si="75"/>
        <v>6.7829054157888593E-6</v>
      </c>
      <c r="AS164">
        <f t="shared" si="76"/>
        <v>13.058758738733246</v>
      </c>
      <c r="AT164">
        <f t="shared" si="77"/>
        <v>9.7972953817770012</v>
      </c>
      <c r="AU164">
        <f t="shared" si="78"/>
        <v>2.1568887803863612</v>
      </c>
      <c r="AV164">
        <f t="shared" si="79"/>
        <v>0.21978169183788587</v>
      </c>
      <c r="AW164">
        <f t="shared" si="80"/>
        <v>1.0619737236195359E-2</v>
      </c>
      <c r="AX164">
        <f t="shared" si="81"/>
        <v>0.21978167647482566</v>
      </c>
      <c r="AY164">
        <f t="shared" si="82"/>
        <v>1.5363060212880697E-8</v>
      </c>
      <c r="AZ164">
        <f t="shared" si="83"/>
        <v>839091.99888317985</v>
      </c>
      <c r="BA164">
        <f t="shared" si="84"/>
        <v>1.409637479113068E-5</v>
      </c>
      <c r="BB164" s="15">
        <f t="shared" si="85"/>
        <v>2982524.4208808709</v>
      </c>
      <c r="BC164" s="20">
        <f t="shared" si="86"/>
        <v>13326.901349620894</v>
      </c>
      <c r="BD164" s="19">
        <f t="shared" si="87"/>
        <v>0.4488384912743974</v>
      </c>
      <c r="BE164" s="15">
        <v>2839131</v>
      </c>
      <c r="BF164" s="16">
        <f>テーブル2[[#This Row],[q_P]]/テーブル2[[#This Row],[q_M]]</f>
        <v>1.0505060953090473</v>
      </c>
      <c r="BG164">
        <v>1</v>
      </c>
      <c r="BH164">
        <v>-5.0999999999999997E-2</v>
      </c>
      <c r="BI164">
        <v>4.5999999999999999E-2</v>
      </c>
      <c r="BJ164">
        <v>5625</v>
      </c>
      <c r="BK164" s="22">
        <v>1</v>
      </c>
      <c r="BL164">
        <f>テーブル2[[#This Row],[Ts]]-テーブル2[[#This Row],[Tin]]</f>
        <v>82.189447365151068</v>
      </c>
      <c r="BM164">
        <f>テーブル2[[#This Row],[q_P]]*0.000001</f>
        <v>2.9825244208808708</v>
      </c>
      <c r="BN164">
        <f>テーブル2[[#This Row],[Tsub]]</f>
        <v>82.189447365151068</v>
      </c>
      <c r="BO164">
        <f>テーブル2[[#This Row],[Fcorr]]</f>
        <v>1</v>
      </c>
      <c r="BP164">
        <f>(テーブル2[[#This Row],[Tsub]]-40)^2</f>
        <v>1779.9494689768524</v>
      </c>
      <c r="BQ164">
        <v>1</v>
      </c>
      <c r="BR164">
        <v>0.15240000000000001</v>
      </c>
    </row>
    <row r="165" spans="1:70" x14ac:dyDescent="0.15">
      <c r="A165" s="9" t="s">
        <v>233</v>
      </c>
      <c r="B165">
        <v>17236893.2329209</v>
      </c>
      <c r="C165" s="22">
        <f t="array" ref="C165">TsatFromP(テーブル2[[#This Row],[P]])</f>
        <v>626.57723583796803</v>
      </c>
      <c r="D165">
        <f t="array" ref="D165">RhoGFromP(テーブル2[[#This Row],[P]])</f>
        <v>122.583590976701</v>
      </c>
      <c r="E165">
        <f t="array" ref="E165">RhoFFromP(テーブル2[[#This Row],[P]])</f>
        <v>560.26337686439001</v>
      </c>
      <c r="F165">
        <f t="array" ref="F165">HgFromP(テーブル2[[#This Row],[P]])</f>
        <v>2538890.6454807199</v>
      </c>
      <c r="G165">
        <f t="array" ref="G165">HfFromP(テーブル2[[#This Row],[P]])</f>
        <v>1699798.64659754</v>
      </c>
      <c r="H165">
        <f t="array" ref="H165">MuGFromP(テーブル2[[#This Row],[P]])</f>
        <v>2.4290890628326198E-5</v>
      </c>
      <c r="I165">
        <f t="array" ref="I165">MuFFromP(テーブル2[[#This Row],[P]])</f>
        <v>6.4066005508525405E-5</v>
      </c>
      <c r="J165">
        <f t="array" ref="J165">KfFromP(テーブル2[[#This Row],[P]])</f>
        <v>0.452884810527584</v>
      </c>
      <c r="K165">
        <f t="array" ref="K165">CpFFromP(テーブル2[[#This Row],[P]])</f>
        <v>11219.515372648901</v>
      </c>
      <c r="L165">
        <f t="array" ref="L165">SigmaFromP(テーブル2[[#This Row],[P]])</f>
        <v>3.02925386118211E-3</v>
      </c>
      <c r="M165">
        <v>164</v>
      </c>
      <c r="N165">
        <v>1952.9712</v>
      </c>
      <c r="O165" s="8">
        <f t="shared" si="88"/>
        <v>2.8502295699234246E-6</v>
      </c>
      <c r="P165" s="8">
        <f t="shared" si="89"/>
        <v>5.9847340050885557E-3</v>
      </c>
      <c r="Q165" s="8">
        <v>1.905E-3</v>
      </c>
      <c r="R165">
        <v>0.15240000000000001</v>
      </c>
      <c r="S165" s="15">
        <v>3088448.73046875</v>
      </c>
      <c r="T165">
        <v>541.02055212223797</v>
      </c>
      <c r="U165" s="12">
        <f>+T165+BG165*S165*テーブル2[[#This Row],[Pw]]*R165/(N165*O165*K165)</f>
        <v>586.12511078669399</v>
      </c>
      <c r="V165">
        <v>0.03</v>
      </c>
      <c r="W165" s="8">
        <f t="shared" si="60"/>
        <v>58071.517124708465</v>
      </c>
      <c r="X165">
        <v>3.2256724925706207E-2</v>
      </c>
      <c r="Y165">
        <f t="shared" si="61"/>
        <v>5.5678799735499487</v>
      </c>
      <c r="Z165">
        <f t="shared" si="62"/>
        <v>5.5678799790447515</v>
      </c>
      <c r="AA165">
        <f t="shared" si="63"/>
        <v>-5.4948028349599554E-9</v>
      </c>
      <c r="AB165">
        <f t="shared" si="64"/>
        <v>1.3243024704516485E-5</v>
      </c>
      <c r="AC165">
        <v>712.09615945868052</v>
      </c>
      <c r="AD165">
        <f t="shared" si="65"/>
        <v>1843.7342286354742</v>
      </c>
      <c r="AE165">
        <f>+gettm2(AD165,AC165,AK165,AL165,テーブル2[[#This Row],[Fcorr]])</f>
        <v>586.12511078669388</v>
      </c>
      <c r="AF165" s="14">
        <f t="shared" si="66"/>
        <v>0</v>
      </c>
      <c r="AG165">
        <v>1.333474752495543E-5</v>
      </c>
      <c r="AH165">
        <f t="shared" si="67"/>
        <v>27.44920223684845</v>
      </c>
      <c r="AI165">
        <f t="shared" si="68"/>
        <v>0.22134450568934569</v>
      </c>
      <c r="AJ165">
        <f t="shared" si="69"/>
        <v>25.811790490259842</v>
      </c>
      <c r="AK165">
        <f t="array" ref="AK165">+S165*テーブル2[[#This Row],[F_form]]/(E165*CpFromTP((テーブル2[[#This Row],[Tin]]+テーブル2[[#This Row],[Tf]])/2,テーブル2[[#This Row],[P]])*AI165)</f>
        <v>4.7298947946878256</v>
      </c>
      <c r="AL165">
        <f t="shared" si="70"/>
        <v>1.5871354414155836</v>
      </c>
      <c r="AM165">
        <f t="shared" si="71"/>
        <v>626.57723581118228</v>
      </c>
      <c r="AN165">
        <f t="shared" si="72"/>
        <v>2.6785755835589953E-8</v>
      </c>
      <c r="AO165">
        <f t="shared" si="73"/>
        <v>9.172282043894485E-8</v>
      </c>
      <c r="AP165">
        <v>2.3834744407135511</v>
      </c>
      <c r="AQ165">
        <f t="shared" si="74"/>
        <v>3.3311435747582406E-5</v>
      </c>
      <c r="AR165">
        <f t="shared" si="75"/>
        <v>6.7132351726971874E-6</v>
      </c>
      <c r="AS165">
        <f t="shared" si="76"/>
        <v>12.99466821289384</v>
      </c>
      <c r="AT165">
        <f t="shared" si="77"/>
        <v>9.7726956793122817</v>
      </c>
      <c r="AU165">
        <f t="shared" si="78"/>
        <v>2.1631324943897812</v>
      </c>
      <c r="AV165">
        <f t="shared" si="79"/>
        <v>0.22034194632376991</v>
      </c>
      <c r="AW165">
        <f t="shared" si="80"/>
        <v>1.0505564115369469E-2</v>
      </c>
      <c r="AX165">
        <f t="shared" si="81"/>
        <v>0.22034193043761352</v>
      </c>
      <c r="AY165">
        <f t="shared" si="82"/>
        <v>1.5886156390365613E-8</v>
      </c>
      <c r="AZ165">
        <f t="shared" si="83"/>
        <v>839091.99888317985</v>
      </c>
      <c r="BA165">
        <f t="shared" si="84"/>
        <v>1.3975998726300507E-5</v>
      </c>
      <c r="BB165" s="15">
        <f t="shared" si="85"/>
        <v>3085292.6369310822</v>
      </c>
      <c r="BC165" s="20">
        <f t="shared" si="86"/>
        <v>-3156.0935376677662</v>
      </c>
      <c r="BD165" s="19">
        <f t="shared" si="87"/>
        <v>-0.10219025190645627</v>
      </c>
      <c r="BE165" s="15">
        <v>3059952.3</v>
      </c>
      <c r="BF165" s="16">
        <f>テーブル2[[#This Row],[q_P]]/テーブル2[[#This Row],[q_M]]</f>
        <v>1.0082812849504492</v>
      </c>
      <c r="BG165">
        <v>1</v>
      </c>
      <c r="BH165">
        <v>-3.1E-2</v>
      </c>
      <c r="BI165">
        <v>4.5999999999999999E-2</v>
      </c>
      <c r="BJ165">
        <v>5625</v>
      </c>
      <c r="BK165" s="22">
        <v>1</v>
      </c>
      <c r="BL165">
        <f>テーブル2[[#This Row],[Ts]]-テーブル2[[#This Row],[Tin]]</f>
        <v>85.55668371573006</v>
      </c>
      <c r="BM165">
        <f>テーブル2[[#This Row],[q_P]]*0.000001</f>
        <v>3.085292636931082</v>
      </c>
      <c r="BN165">
        <f>テーブル2[[#This Row],[Tsub]]</f>
        <v>85.55668371573006</v>
      </c>
      <c r="BO165">
        <f>テーブル2[[#This Row],[Fcorr]]</f>
        <v>1</v>
      </c>
      <c r="BP165">
        <f>(テーブル2[[#This Row],[Tsub]]-40)^2</f>
        <v>2075.4114311750645</v>
      </c>
      <c r="BQ165">
        <v>1</v>
      </c>
      <c r="BR165">
        <v>0.15240000000000001</v>
      </c>
    </row>
    <row r="166" spans="1:70" x14ac:dyDescent="0.15">
      <c r="A166" s="9" t="s">
        <v>234</v>
      </c>
      <c r="B166">
        <v>17236893.2329209</v>
      </c>
      <c r="C166" s="22">
        <f t="array" ref="C166">TsatFromP(テーブル2[[#This Row],[P]])</f>
        <v>626.57723583796803</v>
      </c>
      <c r="D166">
        <f t="array" ref="D166">RhoGFromP(テーブル2[[#This Row],[P]])</f>
        <v>122.583590976701</v>
      </c>
      <c r="E166">
        <f t="array" ref="E166">RhoFFromP(テーブル2[[#This Row],[P]])</f>
        <v>560.26337686439001</v>
      </c>
      <c r="F166">
        <f t="array" ref="F166">HgFromP(テーブル2[[#This Row],[P]])</f>
        <v>2538890.6454807199</v>
      </c>
      <c r="G166">
        <f t="array" ref="G166">HfFromP(テーブル2[[#This Row],[P]])</f>
        <v>1699798.64659754</v>
      </c>
      <c r="H166">
        <f t="array" ref="H166">MuGFromP(テーブル2[[#This Row],[P]])</f>
        <v>2.4290890628326198E-5</v>
      </c>
      <c r="I166">
        <f t="array" ref="I166">MuFFromP(テーブル2[[#This Row],[P]])</f>
        <v>6.4066005508525405E-5</v>
      </c>
      <c r="J166">
        <f t="array" ref="J166">KfFromP(テーブル2[[#This Row],[P]])</f>
        <v>0.452884810527584</v>
      </c>
      <c r="K166">
        <f t="array" ref="K166">CpFFromP(テーブル2[[#This Row],[P]])</f>
        <v>11219.515372648901</v>
      </c>
      <c r="L166">
        <f t="array" ref="L166">SigmaFromP(テーブル2[[#This Row],[P]])</f>
        <v>3.02925386118211E-3</v>
      </c>
      <c r="M166">
        <v>165</v>
      </c>
      <c r="N166">
        <v>2007.2203999999999</v>
      </c>
      <c r="O166" s="8">
        <f t="shared" si="88"/>
        <v>2.8502295699234246E-6</v>
      </c>
      <c r="P166" s="8">
        <f t="shared" si="89"/>
        <v>5.9847340050885557E-3</v>
      </c>
      <c r="Q166" s="8">
        <v>1.905E-3</v>
      </c>
      <c r="R166">
        <v>0.15240000000000001</v>
      </c>
      <c r="S166" s="15">
        <v>3690665.33203125</v>
      </c>
      <c r="T166">
        <v>523.75355252526197</v>
      </c>
      <c r="U166" s="12">
        <f>+T166+BG166*S166*テーブル2[[#This Row],[Pw]]*R166/(N166*O166*K166)</f>
        <v>576.1963057005546</v>
      </c>
      <c r="V166">
        <v>0.03</v>
      </c>
      <c r="W166" s="8">
        <f t="shared" si="60"/>
        <v>59684.614822617033</v>
      </c>
      <c r="X166">
        <v>3.1863876118458423E-2</v>
      </c>
      <c r="Y166">
        <f t="shared" si="61"/>
        <v>5.602097944140076</v>
      </c>
      <c r="Z166">
        <f t="shared" si="62"/>
        <v>5.6020979701971116</v>
      </c>
      <c r="AA166">
        <f t="shared" si="63"/>
        <v>-2.605703564029227E-8</v>
      </c>
      <c r="AB166">
        <f t="shared" si="64"/>
        <v>1.2691425606134011E-5</v>
      </c>
      <c r="AC166">
        <v>730.49172157212945</v>
      </c>
      <c r="AD166">
        <f t="shared" si="65"/>
        <v>1883.3745988735059</v>
      </c>
      <c r="AE166">
        <f>+gettm2(AD166,AC166,AK166,AL166,テーブル2[[#This Row],[Fcorr]])</f>
        <v>576.19630570055449</v>
      </c>
      <c r="AF166" s="14">
        <f t="shared" si="66"/>
        <v>0</v>
      </c>
      <c r="AG166">
        <v>1.279675794529488E-5</v>
      </c>
      <c r="AH166">
        <f t="shared" si="67"/>
        <v>28.642208891502428</v>
      </c>
      <c r="AI166">
        <f t="shared" si="68"/>
        <v>0.22610342268475964</v>
      </c>
      <c r="AJ166">
        <f t="shared" si="69"/>
        <v>25.30298043265207</v>
      </c>
      <c r="AK166">
        <f t="array" ref="AK166">+S166*テーブル2[[#This Row],[F_form]]/(E166*CpFromTP((テーブル2[[#This Row],[Tin]]+テーブル2[[#This Row],[Tf]])/2,テーブル2[[#This Row],[P]])*AI166)</f>
        <v>5.7816352730793641</v>
      </c>
      <c r="AL166">
        <f t="shared" si="70"/>
        <v>1.5871354414155836</v>
      </c>
      <c r="AM166">
        <f t="shared" si="71"/>
        <v>626.57723577304887</v>
      </c>
      <c r="AN166">
        <f t="shared" si="72"/>
        <v>6.491916337836301E-8</v>
      </c>
      <c r="AO166">
        <f t="shared" si="73"/>
        <v>1.0533233916086867E-7</v>
      </c>
      <c r="AP166">
        <v>2.4111461855606469</v>
      </c>
      <c r="AQ166">
        <f t="shared" si="74"/>
        <v>3.2551219650426639E-5</v>
      </c>
      <c r="AR166">
        <f t="shared" si="75"/>
        <v>6.4510451422278741E-6</v>
      </c>
      <c r="AS166">
        <f t="shared" si="76"/>
        <v>12.755626831557272</v>
      </c>
      <c r="AT166">
        <f t="shared" si="77"/>
        <v>9.6798624718674517</v>
      </c>
      <c r="AU166">
        <f t="shared" si="78"/>
        <v>2.1886500360069885</v>
      </c>
      <c r="AV166">
        <f t="shared" si="79"/>
        <v>0.22249614955365837</v>
      </c>
      <c r="AW166">
        <f t="shared" si="80"/>
        <v>1.0067985856373942E-2</v>
      </c>
      <c r="AX166">
        <f t="shared" si="81"/>
        <v>0.22249614846022828</v>
      </c>
      <c r="AY166">
        <f t="shared" si="82"/>
        <v>1.0934300964660082E-9</v>
      </c>
      <c r="AZ166">
        <f t="shared" si="83"/>
        <v>839091.99888317985</v>
      </c>
      <c r="BA166">
        <f t="shared" si="84"/>
        <v>1.350030945670668E-5</v>
      </c>
      <c r="BB166" s="15">
        <f t="shared" si="85"/>
        <v>3667919.7037320295</v>
      </c>
      <c r="BC166" s="20">
        <f t="shared" si="86"/>
        <v>-22745.628299220465</v>
      </c>
      <c r="BD166" s="19">
        <f t="shared" si="87"/>
        <v>-0.61630156768242761</v>
      </c>
      <c r="BE166" s="15">
        <v>3533140.8</v>
      </c>
      <c r="BF166" s="16">
        <f>テーブル2[[#This Row],[q_P]]/テーブル2[[#This Row],[q_M]]</f>
        <v>1.0381470514087721</v>
      </c>
      <c r="BG166">
        <v>1</v>
      </c>
      <c r="BH166">
        <v>-5.6000000000000001E-2</v>
      </c>
      <c r="BI166">
        <v>4.5999999999999999E-2</v>
      </c>
      <c r="BJ166">
        <v>5625</v>
      </c>
      <c r="BK166" s="22">
        <v>1</v>
      </c>
      <c r="BL166">
        <f>テーブル2[[#This Row],[Ts]]-テーブル2[[#This Row],[Tin]]</f>
        <v>102.82368331270607</v>
      </c>
      <c r="BM166">
        <f>テーブル2[[#This Row],[q_P]]*0.000001</f>
        <v>3.6679197037320295</v>
      </c>
      <c r="BN166">
        <f>テーブル2[[#This Row],[Tsub]]</f>
        <v>102.82368331270607</v>
      </c>
      <c r="BO166">
        <f>テーブル2[[#This Row],[Fcorr]]</f>
        <v>1</v>
      </c>
      <c r="BP166">
        <f>(テーブル2[[#This Row],[Tsub]]-40)^2</f>
        <v>3946.8151849751825</v>
      </c>
      <c r="BQ166">
        <v>1</v>
      </c>
      <c r="BR166">
        <v>0.15240000000000001</v>
      </c>
    </row>
    <row r="167" spans="1:70" x14ac:dyDescent="0.15">
      <c r="A167" s="9" t="s">
        <v>235</v>
      </c>
      <c r="B167">
        <v>17236893.2329209</v>
      </c>
      <c r="C167" s="22">
        <f t="array" ref="C167">TsatFromP(テーブル2[[#This Row],[P]])</f>
        <v>626.57723583796803</v>
      </c>
      <c r="D167">
        <f t="array" ref="D167">RhoGFromP(テーブル2[[#This Row],[P]])</f>
        <v>122.583590976701</v>
      </c>
      <c r="E167">
        <f t="array" ref="E167">RhoFFromP(テーブル2[[#This Row],[P]])</f>
        <v>560.26337686439001</v>
      </c>
      <c r="F167">
        <f t="array" ref="F167">HgFromP(テーブル2[[#This Row],[P]])</f>
        <v>2538890.6454807199</v>
      </c>
      <c r="G167">
        <f t="array" ref="G167">HfFromP(テーブル2[[#This Row],[P]])</f>
        <v>1699798.64659754</v>
      </c>
      <c r="H167">
        <f t="array" ref="H167">MuGFromP(テーブル2[[#This Row],[P]])</f>
        <v>2.4290890628326198E-5</v>
      </c>
      <c r="I167">
        <f t="array" ref="I167">MuFFromP(テーブル2[[#This Row],[P]])</f>
        <v>6.4066005508525405E-5</v>
      </c>
      <c r="J167">
        <f t="array" ref="J167">KfFromP(テーブル2[[#This Row],[P]])</f>
        <v>0.452884810527584</v>
      </c>
      <c r="K167">
        <f t="array" ref="K167">CpFFromP(テーブル2[[#This Row],[P]])</f>
        <v>11219.515372648901</v>
      </c>
      <c r="L167">
        <f t="array" ref="L167">SigmaFromP(テーブル2[[#This Row],[P]])</f>
        <v>3.02925386118211E-3</v>
      </c>
      <c r="M167">
        <v>166</v>
      </c>
      <c r="N167">
        <v>2007.2203999999999</v>
      </c>
      <c r="O167" s="8">
        <f t="shared" si="88"/>
        <v>2.8502295699234246E-6</v>
      </c>
      <c r="P167" s="8">
        <f t="shared" si="89"/>
        <v>5.9847340050885557E-3</v>
      </c>
      <c r="Q167" s="8">
        <v>1.905E-3</v>
      </c>
      <c r="R167">
        <v>0.15240000000000001</v>
      </c>
      <c r="S167" s="15">
        <v>3654352.05078125</v>
      </c>
      <c r="T167">
        <v>524.88712944744998</v>
      </c>
      <c r="U167" s="12">
        <f>+T167+BG167*S167*テーブル2[[#This Row],[Pw]]*R167/(N167*O167*K167)</f>
        <v>576.8138866506747</v>
      </c>
      <c r="V167">
        <v>0.03</v>
      </c>
      <c r="W167" s="8">
        <f t="shared" si="60"/>
        <v>59684.614822617033</v>
      </c>
      <c r="X167">
        <v>3.1863876118458423E-2</v>
      </c>
      <c r="Y167">
        <f t="shared" si="61"/>
        <v>5.602097944140076</v>
      </c>
      <c r="Z167">
        <f t="shared" si="62"/>
        <v>5.6020979701971116</v>
      </c>
      <c r="AA167">
        <f t="shared" si="63"/>
        <v>-2.605703564029227E-8</v>
      </c>
      <c r="AB167">
        <f t="shared" si="64"/>
        <v>1.2691425606134011E-5</v>
      </c>
      <c r="AC167">
        <v>729.20850350399155</v>
      </c>
      <c r="AD167">
        <f t="shared" si="65"/>
        <v>1883.3745988735059</v>
      </c>
      <c r="AE167">
        <f>+gettm2(AD167,AC167,AK167,AL167,テーブル2[[#This Row],[Fcorr]])</f>
        <v>576.81388794275972</v>
      </c>
      <c r="AF167" s="14">
        <f t="shared" si="66"/>
        <v>1.2920850167574827E-6</v>
      </c>
      <c r="AG167">
        <v>1.279548186620126E-5</v>
      </c>
      <c r="AH167">
        <f t="shared" si="67"/>
        <v>28.642208891502428</v>
      </c>
      <c r="AI167">
        <f t="shared" si="68"/>
        <v>0.22610342268475964</v>
      </c>
      <c r="AJ167">
        <f t="shared" si="69"/>
        <v>25.300457246351726</v>
      </c>
      <c r="AK167">
        <f t="array" ref="AK167">+S167*テーブル2[[#This Row],[F_form]]/(E167*CpFromTP((テーブル2[[#This Row],[Tin]]+テーブル2[[#This Row],[Tf]])/2,テーブル2[[#This Row],[P]])*AI167)</f>
        <v>5.7104099935771639</v>
      </c>
      <c r="AL167">
        <f t="shared" si="70"/>
        <v>1.5871354414155836</v>
      </c>
      <c r="AM167">
        <f t="shared" si="71"/>
        <v>626.57723577374293</v>
      </c>
      <c r="AN167">
        <f t="shared" si="72"/>
        <v>6.4225105234072544E-8</v>
      </c>
      <c r="AO167">
        <f t="shared" si="73"/>
        <v>1.0405626006724905E-7</v>
      </c>
      <c r="AP167">
        <v>2.410941432104019</v>
      </c>
      <c r="AQ167">
        <f t="shared" si="74"/>
        <v>3.2556748824772804E-5</v>
      </c>
      <c r="AR167">
        <f t="shared" si="75"/>
        <v>6.4497690631342545E-6</v>
      </c>
      <c r="AS167">
        <f t="shared" si="76"/>
        <v>12.75310364525693</v>
      </c>
      <c r="AT167">
        <f t="shared" si="77"/>
        <v>9.6788733256961592</v>
      </c>
      <c r="AU167">
        <f t="shared" si="78"/>
        <v>2.1884263866721239</v>
      </c>
      <c r="AV167">
        <f t="shared" si="79"/>
        <v>0.22251504543189515</v>
      </c>
      <c r="AW167">
        <f t="shared" si="80"/>
        <v>1.0067985856373942E-2</v>
      </c>
      <c r="AX167">
        <f t="shared" si="81"/>
        <v>0.22251504433835992</v>
      </c>
      <c r="AY167">
        <f t="shared" si="82"/>
        <v>1.0935352345864402E-9</v>
      </c>
      <c r="AZ167">
        <f t="shared" si="83"/>
        <v>839091.99888317985</v>
      </c>
      <c r="BA167">
        <f t="shared" si="84"/>
        <v>1.3503749361659382E-5</v>
      </c>
      <c r="BB167" s="15">
        <f t="shared" si="85"/>
        <v>3622560.5939707039</v>
      </c>
      <c r="BC167" s="20">
        <f t="shared" si="86"/>
        <v>-31791.456810546108</v>
      </c>
      <c r="BD167" s="19">
        <f t="shared" si="87"/>
        <v>-0.86996152447188368</v>
      </c>
      <c r="BE167" s="15">
        <v>3501594.9</v>
      </c>
      <c r="BF167" s="16">
        <f>テーブル2[[#This Row],[q_P]]/テーブル2[[#This Row],[q_M]]</f>
        <v>1.0345458847825897</v>
      </c>
      <c r="BG167">
        <v>1</v>
      </c>
      <c r="BH167">
        <v>-5.6000000000000001E-2</v>
      </c>
      <c r="BI167">
        <v>4.5999999999999999E-2</v>
      </c>
      <c r="BJ167">
        <v>5625</v>
      </c>
      <c r="BK167" s="22">
        <v>1</v>
      </c>
      <c r="BL167">
        <f>テーブル2[[#This Row],[Ts]]-テーブル2[[#This Row],[Tin]]</f>
        <v>101.69010639051805</v>
      </c>
      <c r="BM167">
        <f>テーブル2[[#This Row],[q_P]]*0.000001</f>
        <v>3.6225605939707037</v>
      </c>
      <c r="BN167">
        <f>テーブル2[[#This Row],[Tsub]]</f>
        <v>101.69010639051805</v>
      </c>
      <c r="BO167">
        <f>テーブル2[[#This Row],[Fcorr]]</f>
        <v>1</v>
      </c>
      <c r="BP167">
        <f>(テーブル2[[#This Row],[Tsub]]-40)^2</f>
        <v>3805.6692264734365</v>
      </c>
      <c r="BQ167">
        <v>1</v>
      </c>
      <c r="BR167">
        <v>0.15240000000000001</v>
      </c>
    </row>
    <row r="168" spans="1:70" x14ac:dyDescent="0.15">
      <c r="A168" s="9" t="s">
        <v>236</v>
      </c>
      <c r="B168">
        <v>17236893.2329209</v>
      </c>
      <c r="C168" s="22">
        <f t="array" ref="C168">TsatFromP(テーブル2[[#This Row],[P]])</f>
        <v>626.57723583796803</v>
      </c>
      <c r="D168">
        <f t="array" ref="D168">RhoGFromP(テーブル2[[#This Row],[P]])</f>
        <v>122.583590976701</v>
      </c>
      <c r="E168">
        <f t="array" ref="E168">RhoFFromP(テーブル2[[#This Row],[P]])</f>
        <v>560.26337686439001</v>
      </c>
      <c r="F168">
        <f t="array" ref="F168">HgFromP(テーブル2[[#This Row],[P]])</f>
        <v>2538890.6454807199</v>
      </c>
      <c r="G168">
        <f t="array" ref="G168">HfFromP(テーブル2[[#This Row],[P]])</f>
        <v>1699798.64659754</v>
      </c>
      <c r="H168">
        <f t="array" ref="H168">MuGFromP(テーブル2[[#This Row],[P]])</f>
        <v>2.4290890628326198E-5</v>
      </c>
      <c r="I168">
        <f t="array" ref="I168">MuFFromP(テーブル2[[#This Row],[P]])</f>
        <v>6.4066005508525405E-5</v>
      </c>
      <c r="J168">
        <f t="array" ref="J168">KfFromP(テーブル2[[#This Row],[P]])</f>
        <v>0.452884810527584</v>
      </c>
      <c r="K168">
        <f t="array" ref="K168">CpFFromP(テーブル2[[#This Row],[P]])</f>
        <v>11219.515372648901</v>
      </c>
      <c r="L168">
        <f t="array" ref="L168">SigmaFromP(テーブル2[[#This Row],[P]])</f>
        <v>3.02925386118211E-3</v>
      </c>
      <c r="M168">
        <v>167</v>
      </c>
      <c r="N168">
        <v>2183.5302999999999</v>
      </c>
      <c r="O168" s="8">
        <f t="shared" si="88"/>
        <v>2.8502295699234246E-6</v>
      </c>
      <c r="P168" s="8">
        <f t="shared" si="89"/>
        <v>5.9847340050885557E-3</v>
      </c>
      <c r="Q168" s="8">
        <v>1.905E-3</v>
      </c>
      <c r="R168">
        <v>0.15240000000000001</v>
      </c>
      <c r="S168" s="15">
        <v>5398006.11328125</v>
      </c>
      <c r="T168">
        <v>476.97673003740402</v>
      </c>
      <c r="U168" s="12">
        <f>+T168+BG168*S168*テーブル2[[#This Row],[Pw]]*R168/(N168*O168*K168)</f>
        <v>547.48661880958264</v>
      </c>
      <c r="V168">
        <v>0.03</v>
      </c>
      <c r="W168" s="8">
        <f t="shared" si="60"/>
        <v>64927.182340819876</v>
      </c>
      <c r="X168">
        <v>3.0700163138612249E-2</v>
      </c>
      <c r="Y168">
        <f t="shared" si="61"/>
        <v>5.7072862912243698</v>
      </c>
      <c r="Z168">
        <f t="shared" si="62"/>
        <v>5.7072863391106621</v>
      </c>
      <c r="AA168">
        <f t="shared" si="63"/>
        <v>-4.788629226482044E-8</v>
      </c>
      <c r="AB168">
        <f t="shared" si="64"/>
        <v>1.1131149322071773E-5</v>
      </c>
      <c r="AC168">
        <v>778.01270934136153</v>
      </c>
      <c r="AD168">
        <f t="shared" si="65"/>
        <v>2011.0455553597324</v>
      </c>
      <c r="AE168">
        <f>+gettm2(AD168,AC168,AK168,AL168,テーブル2[[#This Row],[Fcorr]])</f>
        <v>547.48662058970979</v>
      </c>
      <c r="AF168" s="14">
        <f t="shared" si="66"/>
        <v>1.7801271496864501E-6</v>
      </c>
      <c r="AG168">
        <v>1.126997378032779E-5</v>
      </c>
      <c r="AH168">
        <f t="shared" si="67"/>
        <v>32.657046709548162</v>
      </c>
      <c r="AI168">
        <f t="shared" si="68"/>
        <v>0.24143061264274185</v>
      </c>
      <c r="AJ168">
        <f t="shared" si="69"/>
        <v>23.794677879211463</v>
      </c>
      <c r="AK168">
        <f t="array" ref="AK168">+S168*テーブル2[[#This Row],[F_form]]/(E168*CpFromTP((テーブル2[[#This Row],[Tin]]+テーブル2[[#This Row],[Tf]])/2,テーブル2[[#This Row],[P]])*AI168)</f>
        <v>8.5843686746535379</v>
      </c>
      <c r="AL168">
        <f t="shared" si="70"/>
        <v>1.5871354414155836</v>
      </c>
      <c r="AM168">
        <f t="shared" si="71"/>
        <v>626.57723582210258</v>
      </c>
      <c r="AN168">
        <f t="shared" si="72"/>
        <v>1.5865452951402403E-8</v>
      </c>
      <c r="AO168">
        <f t="shared" si="73"/>
        <v>1.3882445825601724E-7</v>
      </c>
      <c r="AP168">
        <v>2.4971069189148181</v>
      </c>
      <c r="AQ168">
        <f t="shared" si="74"/>
        <v>3.0348698682702282E-5</v>
      </c>
      <c r="AR168">
        <f t="shared" si="75"/>
        <v>5.7043991192919035E-6</v>
      </c>
      <c r="AS168">
        <f t="shared" si="76"/>
        <v>12.043891333175806</v>
      </c>
      <c r="AT168">
        <f t="shared" si="77"/>
        <v>9.3927879404627568</v>
      </c>
      <c r="AU168">
        <f t="shared" si="78"/>
        <v>2.267706546889281</v>
      </c>
      <c r="AV168">
        <f t="shared" si="79"/>
        <v>0.22940037202553709</v>
      </c>
      <c r="AW168">
        <f t="shared" si="80"/>
        <v>8.8302336882974172E-3</v>
      </c>
      <c r="AX168">
        <f t="shared" si="81"/>
        <v>0.22940036330495284</v>
      </c>
      <c r="AY168">
        <f t="shared" si="82"/>
        <v>8.7205842547177781E-9</v>
      </c>
      <c r="AZ168">
        <f t="shared" si="83"/>
        <v>839091.99888317985</v>
      </c>
      <c r="BA168">
        <f t="shared" si="84"/>
        <v>1.2153543948326845E-5</v>
      </c>
      <c r="BB168" s="15">
        <f t="shared" si="85"/>
        <v>5369883.5286895614</v>
      </c>
      <c r="BC168" s="20">
        <f t="shared" si="86"/>
        <v>-28122.584591688588</v>
      </c>
      <c r="BD168" s="19">
        <f t="shared" si="87"/>
        <v>-0.52098096966759266</v>
      </c>
      <c r="BE168" s="15">
        <v>4763430.9000000004</v>
      </c>
      <c r="BF168" s="16">
        <f>テーブル2[[#This Row],[q_P]]/テーブル2[[#This Row],[q_M]]</f>
        <v>1.1273142492083932</v>
      </c>
      <c r="BG168">
        <v>1</v>
      </c>
      <c r="BH168">
        <v>-0.15</v>
      </c>
      <c r="BI168">
        <v>4.5999999999999999E-2</v>
      </c>
      <c r="BJ168">
        <v>5625</v>
      </c>
      <c r="BK168" s="22">
        <v>1</v>
      </c>
      <c r="BL168">
        <f>テーブル2[[#This Row],[Ts]]-テーブル2[[#This Row],[Tin]]</f>
        <v>149.60050580056401</v>
      </c>
      <c r="BM168">
        <f>テーブル2[[#This Row],[q_P]]*0.000001</f>
        <v>5.3698835286895612</v>
      </c>
      <c r="BN168">
        <f>テーブル2[[#This Row],[Tsub]]</f>
        <v>149.60050580056401</v>
      </c>
      <c r="BO168">
        <f>テーブル2[[#This Row],[Fcorr]]</f>
        <v>1</v>
      </c>
      <c r="BP168">
        <f>(テーブル2[[#This Row],[Tsub]]-40)^2</f>
        <v>12012.270871739465</v>
      </c>
      <c r="BQ168">
        <v>1</v>
      </c>
      <c r="BR168">
        <v>0.15240000000000001</v>
      </c>
    </row>
    <row r="169" spans="1:70" x14ac:dyDescent="0.15">
      <c r="A169" s="9" t="s">
        <v>237</v>
      </c>
      <c r="B169">
        <v>17236893.2329209</v>
      </c>
      <c r="C169" s="22">
        <f t="array" ref="C169">TsatFromP(テーブル2[[#This Row],[P]])</f>
        <v>626.57723583796803</v>
      </c>
      <c r="D169">
        <f t="array" ref="D169">RhoGFromP(テーブル2[[#This Row],[P]])</f>
        <v>122.583590976701</v>
      </c>
      <c r="E169">
        <f t="array" ref="E169">RhoFFromP(テーブル2[[#This Row],[P]])</f>
        <v>560.26337686439001</v>
      </c>
      <c r="F169">
        <f t="array" ref="F169">HgFromP(テーブル2[[#This Row],[P]])</f>
        <v>2538890.6454807199</v>
      </c>
      <c r="G169">
        <f t="array" ref="G169">HfFromP(テーブル2[[#This Row],[P]])</f>
        <v>1699798.64659754</v>
      </c>
      <c r="H169">
        <f t="array" ref="H169">MuGFromP(テーブル2[[#This Row],[P]])</f>
        <v>2.4290890628326198E-5</v>
      </c>
      <c r="I169">
        <f t="array" ref="I169">MuFFromP(テーブル2[[#This Row],[P]])</f>
        <v>6.4066005508525405E-5</v>
      </c>
      <c r="J169">
        <f t="array" ref="J169">KfFromP(テーブル2[[#This Row],[P]])</f>
        <v>0.452884810527584</v>
      </c>
      <c r="K169">
        <f t="array" ref="K169">CpFFromP(テーブル2[[#This Row],[P]])</f>
        <v>11219.515372648901</v>
      </c>
      <c r="L169">
        <f t="array" ref="L169">SigmaFromP(テーブル2[[#This Row],[P]])</f>
        <v>3.02925386118211E-3</v>
      </c>
      <c r="M169">
        <v>168</v>
      </c>
      <c r="N169">
        <v>2183.5302999999999</v>
      </c>
      <c r="O169" s="8">
        <f t="shared" si="88"/>
        <v>2.8502295699234246E-6</v>
      </c>
      <c r="P169" s="8">
        <f t="shared" si="89"/>
        <v>5.9847340050885557E-3</v>
      </c>
      <c r="Q169" s="8">
        <v>1.905E-3</v>
      </c>
      <c r="R169">
        <v>0.15240000000000001</v>
      </c>
      <c r="S169" s="15">
        <v>5339900.64453125</v>
      </c>
      <c r="T169">
        <v>478.76143589818798</v>
      </c>
      <c r="U169" s="12">
        <f>+T169+BG169*S169*テーブル2[[#This Row],[Pw]]*R169/(N169*O169*K169)</f>
        <v>548.51233884251849</v>
      </c>
      <c r="V169">
        <v>0.03</v>
      </c>
      <c r="W169" s="8">
        <f t="shared" si="60"/>
        <v>64927.182340819876</v>
      </c>
      <c r="X169">
        <v>3.0700163138612249E-2</v>
      </c>
      <c r="Y169">
        <f t="shared" si="61"/>
        <v>5.7072862912243698</v>
      </c>
      <c r="Z169">
        <f t="shared" si="62"/>
        <v>5.7072863391106621</v>
      </c>
      <c r="AA169">
        <f t="shared" si="63"/>
        <v>-4.788629226482044E-8</v>
      </c>
      <c r="AB169">
        <f t="shared" si="64"/>
        <v>1.1131149322071773E-5</v>
      </c>
      <c r="AC169">
        <v>776.03732814966133</v>
      </c>
      <c r="AD169">
        <f t="shared" si="65"/>
        <v>2011.0455553597324</v>
      </c>
      <c r="AE169">
        <f>+gettm2(AD169,AC169,AK169,AL169,テーブル2[[#This Row],[Fcorr]])</f>
        <v>548.51234060289164</v>
      </c>
      <c r="AF169" s="14">
        <f t="shared" si="66"/>
        <v>1.7603731521376176E-6</v>
      </c>
      <c r="AG169">
        <v>1.1269011981684499E-5</v>
      </c>
      <c r="AH169">
        <f t="shared" si="67"/>
        <v>32.657046709548162</v>
      </c>
      <c r="AI169">
        <f t="shared" si="68"/>
        <v>0.24143061264274185</v>
      </c>
      <c r="AJ169">
        <f t="shared" si="69"/>
        <v>23.792647201115148</v>
      </c>
      <c r="AK169">
        <f t="array" ref="AK169">+S169*テーブル2[[#This Row],[F_form]]/(E169*CpFromTP((テーブル2[[#This Row],[Tin]]+テーブル2[[#This Row],[Tf]])/2,テーブル2[[#This Row],[P]])*AI169)</f>
        <v>8.4726131709178674</v>
      </c>
      <c r="AL169">
        <f t="shared" si="70"/>
        <v>1.5871354414155836</v>
      </c>
      <c r="AM169">
        <f t="shared" si="71"/>
        <v>626.57723582241465</v>
      </c>
      <c r="AN169">
        <f t="shared" si="72"/>
        <v>1.5553382581856567E-8</v>
      </c>
      <c r="AO169">
        <f t="shared" si="73"/>
        <v>1.3786265961272685E-7</v>
      </c>
      <c r="AP169">
        <v>2.4969204953411959</v>
      </c>
      <c r="AQ169">
        <f t="shared" si="74"/>
        <v>3.0353230604387527E-5</v>
      </c>
      <c r="AR169">
        <f t="shared" si="75"/>
        <v>5.7034373206486131E-6</v>
      </c>
      <c r="AS169">
        <f t="shared" si="76"/>
        <v>12.041860655079491</v>
      </c>
      <c r="AT169">
        <f t="shared" si="77"/>
        <v>9.3919448369955632</v>
      </c>
      <c r="AU169">
        <f t="shared" si="78"/>
        <v>2.2675029959026749</v>
      </c>
      <c r="AV169">
        <f t="shared" si="79"/>
        <v>0.22941749943852097</v>
      </c>
      <c r="AW169">
        <f t="shared" si="80"/>
        <v>8.8302336882974172E-3</v>
      </c>
      <c r="AX169">
        <f t="shared" si="81"/>
        <v>0.22941749065666359</v>
      </c>
      <c r="AY169">
        <f t="shared" si="82"/>
        <v>8.7818573801801136E-9</v>
      </c>
      <c r="AZ169">
        <f t="shared" si="83"/>
        <v>839091.99888317985</v>
      </c>
      <c r="BA169">
        <f t="shared" si="84"/>
        <v>1.2156266353302475E-5</v>
      </c>
      <c r="BB169" s="15">
        <f t="shared" si="85"/>
        <v>5331485.8360989643</v>
      </c>
      <c r="BC169" s="20">
        <f t="shared" si="86"/>
        <v>-8414.8084322856739</v>
      </c>
      <c r="BD169" s="19">
        <f t="shared" si="87"/>
        <v>-0.15758361423640957</v>
      </c>
      <c r="BE169" s="15">
        <v>4763430.9000000004</v>
      </c>
      <c r="BF169" s="16">
        <f>テーブル2[[#This Row],[q_P]]/テーブル2[[#This Row],[q_M]]</f>
        <v>1.1192533172044048</v>
      </c>
      <c r="BG169">
        <v>1</v>
      </c>
      <c r="BH169">
        <v>-0.14000000000000001</v>
      </c>
      <c r="BI169">
        <v>4.5999999999999999E-2</v>
      </c>
      <c r="BJ169">
        <v>5625</v>
      </c>
      <c r="BK169" s="22">
        <v>1</v>
      </c>
      <c r="BL169">
        <f>テーブル2[[#This Row],[Ts]]-テーブル2[[#This Row],[Tin]]</f>
        <v>147.81579993978005</v>
      </c>
      <c r="BM169">
        <f>テーブル2[[#This Row],[q_P]]*0.000001</f>
        <v>5.3314858360989641</v>
      </c>
      <c r="BN169">
        <f>テーブル2[[#This Row],[Tsub]]</f>
        <v>147.81579993978005</v>
      </c>
      <c r="BO169">
        <f>テーブル2[[#This Row],[Fcorr]]</f>
        <v>1</v>
      </c>
      <c r="BP169">
        <f>(テーブル2[[#This Row],[Tsub]]-40)^2</f>
        <v>11624.246716654676</v>
      </c>
      <c r="BQ169">
        <v>1</v>
      </c>
      <c r="BR169">
        <v>0.15240000000000001</v>
      </c>
    </row>
    <row r="170" spans="1:70" x14ac:dyDescent="0.15">
      <c r="A170" s="9" t="s">
        <v>238</v>
      </c>
      <c r="B170">
        <v>17236893.2329209</v>
      </c>
      <c r="C170" s="22">
        <f t="array" ref="C170">TsatFromP(テーブル2[[#This Row],[P]])</f>
        <v>626.57723583796803</v>
      </c>
      <c r="D170">
        <f t="array" ref="D170">RhoGFromP(テーブル2[[#This Row],[P]])</f>
        <v>122.583590976701</v>
      </c>
      <c r="E170">
        <f t="array" ref="E170">RhoFFromP(テーブル2[[#This Row],[P]])</f>
        <v>560.26337686439001</v>
      </c>
      <c r="F170">
        <f t="array" ref="F170">HgFromP(テーブル2[[#This Row],[P]])</f>
        <v>2538890.6454807199</v>
      </c>
      <c r="G170">
        <f t="array" ref="G170">HfFromP(テーブル2[[#This Row],[P]])</f>
        <v>1699798.64659754</v>
      </c>
      <c r="H170">
        <f t="array" ref="H170">MuGFromP(テーブル2[[#This Row],[P]])</f>
        <v>2.4290890628326198E-5</v>
      </c>
      <c r="I170">
        <f t="array" ref="I170">MuFFromP(テーブル2[[#This Row],[P]])</f>
        <v>6.4066005508525405E-5</v>
      </c>
      <c r="J170">
        <f t="array" ref="J170">KfFromP(テーブル2[[#This Row],[P]])</f>
        <v>0.452884810527584</v>
      </c>
      <c r="K170">
        <f t="array" ref="K170">CpFFromP(テーブル2[[#This Row],[P]])</f>
        <v>11219.515372648901</v>
      </c>
      <c r="L170">
        <f t="array" ref="L170">SigmaFromP(テーブル2[[#This Row],[P]])</f>
        <v>3.02925386118211E-3</v>
      </c>
      <c r="M170">
        <v>169</v>
      </c>
      <c r="N170">
        <v>2183.5302999999999</v>
      </c>
      <c r="O170" s="8">
        <f t="shared" si="88"/>
        <v>2.8502295699234246E-6</v>
      </c>
      <c r="P170" s="8">
        <f t="shared" si="89"/>
        <v>5.9847340050885557E-3</v>
      </c>
      <c r="Q170" s="8">
        <v>1.905E-3</v>
      </c>
      <c r="R170">
        <v>0.15240000000000001</v>
      </c>
      <c r="S170" s="15">
        <v>4504947.16796875</v>
      </c>
      <c r="T170">
        <v>504.24977393984398</v>
      </c>
      <c r="U170" s="12">
        <f>+T170+BG170*S170*テーブル2[[#This Row],[Pw]]*R170/(N170*O170*K170)</f>
        <v>563.09433933529408</v>
      </c>
      <c r="V170">
        <v>0.03</v>
      </c>
      <c r="W170" s="8">
        <f t="shared" si="60"/>
        <v>64927.182340819876</v>
      </c>
      <c r="X170">
        <v>3.0700163138612249E-2</v>
      </c>
      <c r="Y170">
        <f t="shared" si="61"/>
        <v>5.7072862912243698</v>
      </c>
      <c r="Z170">
        <f t="shared" si="62"/>
        <v>5.7072863391106621</v>
      </c>
      <c r="AA170">
        <f t="shared" si="63"/>
        <v>-4.788629226482044E-8</v>
      </c>
      <c r="AB170">
        <f t="shared" si="64"/>
        <v>1.1131149322071773E-5</v>
      </c>
      <c r="AC170">
        <v>747.91536386283485</v>
      </c>
      <c r="AD170">
        <f t="shared" si="65"/>
        <v>2011.0455553597324</v>
      </c>
      <c r="AE170">
        <f>+gettm2(AD170,AC170,AK170,AL170,テーブル2[[#This Row],[Fcorr]])</f>
        <v>563.09433933529408</v>
      </c>
      <c r="AF170" s="14">
        <f t="shared" si="66"/>
        <v>0</v>
      </c>
      <c r="AG170">
        <v>1.1247912836838169E-5</v>
      </c>
      <c r="AH170">
        <f t="shared" si="67"/>
        <v>32.657046709548162</v>
      </c>
      <c r="AI170">
        <f t="shared" si="68"/>
        <v>0.24143061264274185</v>
      </c>
      <c r="AJ170">
        <f t="shared" si="69"/>
        <v>23.748099860994309</v>
      </c>
      <c r="AK170">
        <f t="array" ref="AK170">+S170*テーブル2[[#This Row],[F_form]]/(E170*CpFromTP((テーブル2[[#This Row],[Tin]]+テーブル2[[#This Row],[Tf]])/2,テーブル2[[#This Row],[P]])*AI170)</f>
        <v>6.8823959230090646</v>
      </c>
      <c r="AL170">
        <f t="shared" si="70"/>
        <v>1.5871354414155836</v>
      </c>
      <c r="AM170">
        <f t="shared" si="71"/>
        <v>626.57723582712742</v>
      </c>
      <c r="AN170">
        <f t="shared" si="72"/>
        <v>1.0840608410944697E-8</v>
      </c>
      <c r="AO170">
        <f t="shared" si="73"/>
        <v>1.1676351476639698E-7</v>
      </c>
      <c r="AP170">
        <v>2.4928235524922542</v>
      </c>
      <c r="AQ170">
        <f t="shared" si="74"/>
        <v>3.0453083351461134E-5</v>
      </c>
      <c r="AR170">
        <f t="shared" si="75"/>
        <v>5.6823381758022832E-6</v>
      </c>
      <c r="AS170">
        <f t="shared" si="76"/>
        <v>11.997313314958648</v>
      </c>
      <c r="AT170">
        <f t="shared" si="77"/>
        <v>9.37341367150343</v>
      </c>
      <c r="AU170">
        <f t="shared" si="78"/>
        <v>2.2630290052649253</v>
      </c>
      <c r="AV170">
        <f t="shared" si="79"/>
        <v>0.22979454722732884</v>
      </c>
      <c r="AW170">
        <f t="shared" si="80"/>
        <v>8.8302336882974172E-3</v>
      </c>
      <c r="AX170">
        <f t="shared" si="81"/>
        <v>0.22979453713748182</v>
      </c>
      <c r="AY170">
        <f t="shared" si="82"/>
        <v>1.0089847013450282E-8</v>
      </c>
      <c r="AZ170">
        <f t="shared" si="83"/>
        <v>839091.99888317985</v>
      </c>
      <c r="BA170">
        <f t="shared" si="84"/>
        <v>1.2216301198299818E-5</v>
      </c>
      <c r="BB170" s="15">
        <f t="shared" si="85"/>
        <v>4493339.5882711979</v>
      </c>
      <c r="BC170" s="20">
        <f t="shared" si="86"/>
        <v>-11607.579697552137</v>
      </c>
      <c r="BD170" s="19">
        <f t="shared" si="87"/>
        <v>-0.25766294841557297</v>
      </c>
      <c r="BE170" s="15">
        <v>4321788.3</v>
      </c>
      <c r="BF170" s="16">
        <f>テーブル2[[#This Row],[q_P]]/テーブル2[[#This Row],[q_M]]</f>
        <v>1.0396945144840153</v>
      </c>
      <c r="BG170">
        <v>1</v>
      </c>
      <c r="BH170">
        <v>-8.1000000000000003E-2</v>
      </c>
      <c r="BI170">
        <v>4.5999999999999999E-2</v>
      </c>
      <c r="BJ170">
        <v>5625</v>
      </c>
      <c r="BK170" s="22">
        <v>1</v>
      </c>
      <c r="BL170">
        <f>テーブル2[[#This Row],[Ts]]-テーブル2[[#This Row],[Tin]]</f>
        <v>122.32746189812406</v>
      </c>
      <c r="BM170">
        <f>テーブル2[[#This Row],[q_P]]*0.000001</f>
        <v>4.4933395882711977</v>
      </c>
      <c r="BN170">
        <f>テーブル2[[#This Row],[Tsub]]</f>
        <v>122.32746189812406</v>
      </c>
      <c r="BO170">
        <f>テーブル2[[#This Row],[Fcorr]]</f>
        <v>1</v>
      </c>
      <c r="BP170">
        <f>(テーブル2[[#This Row],[Tsub]]-40)^2</f>
        <v>6777.8109825870679</v>
      </c>
      <c r="BQ170">
        <v>1</v>
      </c>
      <c r="BR170">
        <v>0.15240000000000001</v>
      </c>
    </row>
    <row r="171" spans="1:70" x14ac:dyDescent="0.15">
      <c r="A171" s="9" t="s">
        <v>239</v>
      </c>
      <c r="B171">
        <v>17236893.2329209</v>
      </c>
      <c r="C171" s="22">
        <f t="array" ref="C171">TsatFromP(テーブル2[[#This Row],[P]])</f>
        <v>626.57723583796803</v>
      </c>
      <c r="D171">
        <f t="array" ref="D171">RhoGFromP(テーブル2[[#This Row],[P]])</f>
        <v>122.583590976701</v>
      </c>
      <c r="E171">
        <f t="array" ref="E171">RhoFFromP(テーブル2[[#This Row],[P]])</f>
        <v>560.26337686439001</v>
      </c>
      <c r="F171">
        <f t="array" ref="F171">HgFromP(テーブル2[[#This Row],[P]])</f>
        <v>2538890.6454807199</v>
      </c>
      <c r="G171">
        <f t="array" ref="G171">HfFromP(テーブル2[[#This Row],[P]])</f>
        <v>1699798.64659754</v>
      </c>
      <c r="H171">
        <f t="array" ref="H171">MuGFromP(テーブル2[[#This Row],[P]])</f>
        <v>2.4290890628326198E-5</v>
      </c>
      <c r="I171">
        <f t="array" ref="I171">MuFFromP(テーブル2[[#This Row],[P]])</f>
        <v>6.4066005508525405E-5</v>
      </c>
      <c r="J171">
        <f t="array" ref="J171">KfFromP(テーブル2[[#This Row],[P]])</f>
        <v>0.452884810527584</v>
      </c>
      <c r="K171">
        <f t="array" ref="K171">CpFFromP(テーブル2[[#This Row],[P]])</f>
        <v>11219.515372648901</v>
      </c>
      <c r="L171">
        <f t="array" ref="L171">SigmaFromP(テーブル2[[#This Row],[P]])</f>
        <v>3.02925386118211E-3</v>
      </c>
      <c r="M171">
        <v>170</v>
      </c>
      <c r="N171">
        <v>2197.0925999999999</v>
      </c>
      <c r="O171" s="8">
        <f t="shared" si="88"/>
        <v>2.8502295699234246E-6</v>
      </c>
      <c r="P171" s="8">
        <f t="shared" si="89"/>
        <v>5.9847340050885557E-3</v>
      </c>
      <c r="Q171" s="8">
        <v>1.905E-3</v>
      </c>
      <c r="R171">
        <v>0.15240000000000001</v>
      </c>
      <c r="S171" s="15">
        <v>3889929.19921875</v>
      </c>
      <c r="T171">
        <v>523.21058206421105</v>
      </c>
      <c r="U171" s="12">
        <f>+T171+BG171*S171*テーブル2[[#This Row],[Pw]]*R171/(N171*O171*K171)</f>
        <v>573.70800508318132</v>
      </c>
      <c r="V171">
        <v>0.03</v>
      </c>
      <c r="W171" s="8">
        <f t="shared" si="60"/>
        <v>65330.456765297022</v>
      </c>
      <c r="X171">
        <v>3.0617085003356879E-2</v>
      </c>
      <c r="Y171">
        <f t="shared" si="61"/>
        <v>5.7150242827932436</v>
      </c>
      <c r="Z171">
        <f t="shared" si="62"/>
        <v>5.7150243315446012</v>
      </c>
      <c r="AA171">
        <f t="shared" si="63"/>
        <v>-4.8751357617504709E-8</v>
      </c>
      <c r="AB171">
        <f t="shared" si="64"/>
        <v>1.1023984021569312E-5</v>
      </c>
      <c r="AC171">
        <v>726.94150230071614</v>
      </c>
      <c r="AD171">
        <f t="shared" si="65"/>
        <v>2020.7967066667375</v>
      </c>
      <c r="AE171">
        <f>+gettm2(AD171,AC171,AK171,AL171,テーブル2[[#This Row],[Fcorr]])</f>
        <v>573.70800508318109</v>
      </c>
      <c r="AF171" s="14">
        <f t="shared" si="66"/>
        <v>0</v>
      </c>
      <c r="AG171">
        <v>1.1125087009633061E-5</v>
      </c>
      <c r="AH171">
        <f t="shared" si="67"/>
        <v>32.974509272747106</v>
      </c>
      <c r="AI171">
        <f t="shared" si="68"/>
        <v>0.24260126063117154</v>
      </c>
      <c r="AJ171">
        <f t="shared" si="69"/>
        <v>23.602665816742672</v>
      </c>
      <c r="AK171">
        <f t="array" ref="AK171">+S171*テーブル2[[#This Row],[F_form]]/(E171*CpFromTP((テーブル2[[#This Row],[Tin]]+テーブル2[[#This Row],[Tf]])/2,テーブル2[[#This Row],[P]])*AI171)</f>
        <v>5.7035200846190071</v>
      </c>
      <c r="AL171">
        <f t="shared" si="70"/>
        <v>1.5871354414155836</v>
      </c>
      <c r="AM171">
        <f t="shared" si="71"/>
        <v>626.57723581229743</v>
      </c>
      <c r="AN171">
        <f t="shared" si="72"/>
        <v>2.5670601644378621E-8</v>
      </c>
      <c r="AO171">
        <f t="shared" si="73"/>
        <v>1.0110298806374856E-7</v>
      </c>
      <c r="AP171">
        <v>2.4956449915818411</v>
      </c>
      <c r="AQ171">
        <f t="shared" si="74"/>
        <v>3.0384265109298066E-5</v>
      </c>
      <c r="AR171">
        <f t="shared" si="75"/>
        <v>5.6130949988484047E-6</v>
      </c>
      <c r="AS171">
        <f t="shared" si="76"/>
        <v>11.908581509585712</v>
      </c>
      <c r="AT171">
        <f t="shared" si="77"/>
        <v>9.3362963774184706</v>
      </c>
      <c r="AU171">
        <f t="shared" si="78"/>
        <v>2.2649972707879611</v>
      </c>
      <c r="AV171">
        <f t="shared" si="79"/>
        <v>0.23064772079387996</v>
      </c>
      <c r="AW171">
        <f t="shared" si="80"/>
        <v>8.7452204862162129E-3</v>
      </c>
      <c r="AX171">
        <f t="shared" si="81"/>
        <v>0.23064771139980864</v>
      </c>
      <c r="AY171">
        <f t="shared" si="82"/>
        <v>9.394071326385145E-9</v>
      </c>
      <c r="AZ171">
        <f t="shared" si="83"/>
        <v>839091.99888317985</v>
      </c>
      <c r="BA171">
        <f t="shared" si="84"/>
        <v>1.2174914786273061E-5</v>
      </c>
      <c r="BB171" s="15">
        <f t="shared" si="85"/>
        <v>3903910.7056132867</v>
      </c>
      <c r="BC171" s="20">
        <f t="shared" si="86"/>
        <v>13981.5063945367</v>
      </c>
      <c r="BD171" s="19">
        <f t="shared" si="87"/>
        <v>0.35942830006635429</v>
      </c>
      <c r="BE171" s="15">
        <v>3817053.9</v>
      </c>
      <c r="BF171" s="16">
        <f>テーブル2[[#This Row],[q_P]]/テーブル2[[#This Row],[q_M]]</f>
        <v>1.0227549329636887</v>
      </c>
      <c r="BG171">
        <v>1</v>
      </c>
      <c r="BH171">
        <v>-6.8000000000000005E-2</v>
      </c>
      <c r="BI171">
        <v>4.5999999999999999E-2</v>
      </c>
      <c r="BJ171">
        <v>5625</v>
      </c>
      <c r="BK171" s="22">
        <v>1</v>
      </c>
      <c r="BL171">
        <f>テーブル2[[#This Row],[Ts]]-テーブル2[[#This Row],[Tin]]</f>
        <v>103.36665377375698</v>
      </c>
      <c r="BM171">
        <f>テーブル2[[#This Row],[q_P]]*0.000001</f>
        <v>3.9039107056132867</v>
      </c>
      <c r="BN171">
        <f>テーブル2[[#This Row],[Tsub]]</f>
        <v>103.36665377375698</v>
      </c>
      <c r="BO171">
        <f>テーブル2[[#This Row],[Fcorr]]</f>
        <v>1</v>
      </c>
      <c r="BP171">
        <f>(テーブル2[[#This Row],[Tsub]]-40)^2</f>
        <v>4015.3328104831899</v>
      </c>
      <c r="BQ171">
        <v>1</v>
      </c>
      <c r="BR171">
        <v>0.15240000000000001</v>
      </c>
    </row>
    <row r="172" spans="1:70" x14ac:dyDescent="0.15">
      <c r="A172" s="9" t="s">
        <v>240</v>
      </c>
      <c r="B172">
        <v>17236893.2329209</v>
      </c>
      <c r="C172" s="22">
        <f t="array" ref="C172">TsatFromP(テーブル2[[#This Row],[P]])</f>
        <v>626.57723583796803</v>
      </c>
      <c r="D172">
        <f t="array" ref="D172">RhoGFromP(テーブル2[[#This Row],[P]])</f>
        <v>122.583590976701</v>
      </c>
      <c r="E172">
        <f t="array" ref="E172">RhoFFromP(テーブル2[[#This Row],[P]])</f>
        <v>560.26337686439001</v>
      </c>
      <c r="F172">
        <f t="array" ref="F172">HgFromP(テーブル2[[#This Row],[P]])</f>
        <v>2538890.6454807199</v>
      </c>
      <c r="G172">
        <f t="array" ref="G172">HfFromP(テーブル2[[#This Row],[P]])</f>
        <v>1699798.64659754</v>
      </c>
      <c r="H172">
        <f t="array" ref="H172">MuGFromP(テーブル2[[#This Row],[P]])</f>
        <v>2.4290890628326198E-5</v>
      </c>
      <c r="I172">
        <f t="array" ref="I172">MuFFromP(テーブル2[[#This Row],[P]])</f>
        <v>6.4066005508525405E-5</v>
      </c>
      <c r="J172">
        <f t="array" ref="J172">KfFromP(テーブル2[[#This Row],[P]])</f>
        <v>0.452884810527584</v>
      </c>
      <c r="K172">
        <f t="array" ref="K172">CpFFromP(テーブル2[[#This Row],[P]])</f>
        <v>11219.515372648901</v>
      </c>
      <c r="L172">
        <f t="array" ref="L172">SigmaFromP(テーブル2[[#This Row],[P]])</f>
        <v>3.02925386118211E-3</v>
      </c>
      <c r="M172">
        <v>171</v>
      </c>
      <c r="N172">
        <v>2210.6549</v>
      </c>
      <c r="O172" s="8">
        <f t="shared" si="88"/>
        <v>2.8502295699234246E-6</v>
      </c>
      <c r="P172" s="8">
        <f t="shared" si="89"/>
        <v>5.9847340050885557E-3</v>
      </c>
      <c r="Q172" s="8">
        <v>1.905E-3</v>
      </c>
      <c r="R172">
        <v>0.15240000000000001</v>
      </c>
      <c r="S172" s="15">
        <v>4404618.59765625</v>
      </c>
      <c r="T172">
        <v>508.15729880951102</v>
      </c>
      <c r="U172" s="12">
        <f>+T172+BG172*S172*テーブル2[[#This Row],[Pw]]*R172/(N172*O172*K172)</f>
        <v>564.98541206768823</v>
      </c>
      <c r="V172">
        <v>0.03</v>
      </c>
      <c r="W172" s="8">
        <f t="shared" si="60"/>
        <v>65733.73118977416</v>
      </c>
      <c r="X172">
        <v>3.0534849970872351E-2</v>
      </c>
      <c r="Y172">
        <f t="shared" si="61"/>
        <v>5.7227148266235046</v>
      </c>
      <c r="Z172">
        <f t="shared" si="62"/>
        <v>5.7227148750663437</v>
      </c>
      <c r="AA172">
        <f t="shared" si="63"/>
        <v>-4.8442839073459254E-8</v>
      </c>
      <c r="AB172">
        <f t="shared" si="64"/>
        <v>1.091846144392627E-5</v>
      </c>
      <c r="AC172">
        <v>742.96715502209327</v>
      </c>
      <c r="AD172">
        <f t="shared" si="65"/>
        <v>2030.5383233820594</v>
      </c>
      <c r="AE172">
        <f>+gettm2(AD172,AC172,AK172,AL172,テーブル2[[#This Row],[Fcorr]])</f>
        <v>564.98541206768834</v>
      </c>
      <c r="AF172" s="14">
        <f t="shared" si="66"/>
        <v>0</v>
      </c>
      <c r="AG172">
        <v>1.103148532235502E-5</v>
      </c>
      <c r="AH172">
        <f t="shared" si="67"/>
        <v>33.2931947608852</v>
      </c>
      <c r="AI172">
        <f t="shared" si="68"/>
        <v>0.24377076397009029</v>
      </c>
      <c r="AJ172">
        <f t="shared" si="69"/>
        <v>23.516906783064105</v>
      </c>
      <c r="AK172">
        <f t="array" ref="AK172">+S172*テーブル2[[#This Row],[F_form]]/(E172*CpFromTP((テーブル2[[#This Row],[Tin]]+テーブル2[[#This Row],[Tf]])/2,テーブル2[[#This Row],[P]])*AI172)</f>
        <v>6.6216612273928375</v>
      </c>
      <c r="AL172">
        <f t="shared" si="70"/>
        <v>1.5871354414155836</v>
      </c>
      <c r="AM172">
        <f t="shared" si="71"/>
        <v>626.57723583270365</v>
      </c>
      <c r="AN172">
        <f t="shared" si="72"/>
        <v>5.2643827075371519E-9</v>
      </c>
      <c r="AO172">
        <f t="shared" si="73"/>
        <v>1.1302387842875032E-7</v>
      </c>
      <c r="AP172">
        <v>2.503874833350225</v>
      </c>
      <c r="AQ172">
        <f t="shared" si="74"/>
        <v>3.0184856783716305E-5</v>
      </c>
      <c r="AR172">
        <f t="shared" si="75"/>
        <v>5.5722546003918854E-6</v>
      </c>
      <c r="AS172">
        <f t="shared" si="76"/>
        <v>11.878925473740374</v>
      </c>
      <c r="AT172">
        <f t="shared" si="77"/>
        <v>9.3238293075272445</v>
      </c>
      <c r="AU172">
        <f t="shared" si="78"/>
        <v>2.2728769934226345</v>
      </c>
      <c r="AV172">
        <f t="shared" si="79"/>
        <v>0.23099783992759049</v>
      </c>
      <c r="AW172">
        <f t="shared" si="80"/>
        <v>8.6615104403782745E-3</v>
      </c>
      <c r="AX172">
        <f t="shared" si="81"/>
        <v>0.23099783325825934</v>
      </c>
      <c r="AY172">
        <f t="shared" si="82"/>
        <v>6.6693311429055768E-9</v>
      </c>
      <c r="AZ172">
        <f t="shared" si="83"/>
        <v>839091.99888317985</v>
      </c>
      <c r="BA172">
        <f t="shared" si="84"/>
        <v>1.2055257867394466E-5</v>
      </c>
      <c r="BB172" s="15">
        <f t="shared" si="85"/>
        <v>4407532.4253070801</v>
      </c>
      <c r="BC172" s="20">
        <f t="shared" si="86"/>
        <v>2913.8276508301497</v>
      </c>
      <c r="BD172" s="19">
        <f t="shared" si="87"/>
        <v>6.6153915173963809E-2</v>
      </c>
      <c r="BE172" s="15">
        <v>4353334.2</v>
      </c>
      <c r="BF172" s="16">
        <f>テーブル2[[#This Row],[q_P]]/テーブル2[[#This Row],[q_M]]</f>
        <v>1.0124498195675122</v>
      </c>
      <c r="BG172">
        <v>1</v>
      </c>
      <c r="BH172">
        <v>-6.3E-2</v>
      </c>
      <c r="BI172">
        <v>4.5999999999999999E-2</v>
      </c>
      <c r="BJ172">
        <v>5625</v>
      </c>
      <c r="BK172" s="22">
        <v>1</v>
      </c>
      <c r="BL172">
        <f>テーブル2[[#This Row],[Ts]]-テーブル2[[#This Row],[Tin]]</f>
        <v>118.41993702845701</v>
      </c>
      <c r="BM172">
        <f>テーブル2[[#This Row],[q_P]]*0.000001</f>
        <v>4.40753242530708</v>
      </c>
      <c r="BN172">
        <f>テーブル2[[#This Row],[Tsub]]</f>
        <v>118.41993702845701</v>
      </c>
      <c r="BO172">
        <f>テーブル2[[#This Row],[Fcorr]]</f>
        <v>1</v>
      </c>
      <c r="BP172">
        <f>(テーブル2[[#This Row],[Tsub]]-40)^2</f>
        <v>6149.6865235471632</v>
      </c>
      <c r="BQ172">
        <v>1</v>
      </c>
      <c r="BR172">
        <v>0.15240000000000001</v>
      </c>
    </row>
    <row r="173" spans="1:70" x14ac:dyDescent="0.15">
      <c r="A173" s="9" t="s">
        <v>241</v>
      </c>
      <c r="B173">
        <v>17236893.2329209</v>
      </c>
      <c r="C173" s="22">
        <f t="array" ref="C173">TsatFromP(テーブル2[[#This Row],[P]])</f>
        <v>626.57723583796803</v>
      </c>
      <c r="D173">
        <f t="array" ref="D173">RhoGFromP(テーブル2[[#This Row],[P]])</f>
        <v>122.583590976701</v>
      </c>
      <c r="E173">
        <f t="array" ref="E173">RhoFFromP(テーブル2[[#This Row],[P]])</f>
        <v>560.26337686439001</v>
      </c>
      <c r="F173">
        <f t="array" ref="F173">HgFromP(テーブル2[[#This Row],[P]])</f>
        <v>2538890.6454807199</v>
      </c>
      <c r="G173">
        <f t="array" ref="G173">HfFromP(テーブル2[[#This Row],[P]])</f>
        <v>1699798.64659754</v>
      </c>
      <c r="H173">
        <f t="array" ref="H173">MuGFromP(テーブル2[[#This Row],[P]])</f>
        <v>2.4290890628326198E-5</v>
      </c>
      <c r="I173">
        <f t="array" ref="I173">MuFFromP(テーブル2[[#This Row],[P]])</f>
        <v>6.4066005508525405E-5</v>
      </c>
      <c r="J173">
        <f t="array" ref="J173">KfFromP(テーブル2[[#This Row],[P]])</f>
        <v>0.452884810527584</v>
      </c>
      <c r="K173">
        <f t="array" ref="K173">CpFFromP(テーブル2[[#This Row],[P]])</f>
        <v>11219.515372648901</v>
      </c>
      <c r="L173">
        <f t="array" ref="L173">SigmaFromP(テーブル2[[#This Row],[P]])</f>
        <v>3.02925386118211E-3</v>
      </c>
      <c r="M173">
        <v>172</v>
      </c>
      <c r="N173">
        <v>2210.6549</v>
      </c>
      <c r="O173" s="8">
        <f t="shared" si="88"/>
        <v>2.8502295699234246E-6</v>
      </c>
      <c r="P173" s="8">
        <f t="shared" si="89"/>
        <v>5.9847340050885557E-3</v>
      </c>
      <c r="Q173" s="8">
        <v>1.905E-3</v>
      </c>
      <c r="R173">
        <v>0.15240000000000001</v>
      </c>
      <c r="S173" s="15">
        <v>3902650.29296875</v>
      </c>
      <c r="T173">
        <v>523.21058206421105</v>
      </c>
      <c r="U173" s="12">
        <f>+T173+BG173*S173*テーブル2[[#This Row],[Pw]]*R173/(N173*O173*K173)</f>
        <v>573.56233169672146</v>
      </c>
      <c r="V173">
        <v>0.03</v>
      </c>
      <c r="W173" s="8">
        <f t="shared" si="60"/>
        <v>65733.73118977416</v>
      </c>
      <c r="X173">
        <v>3.0534849970872351E-2</v>
      </c>
      <c r="Y173">
        <f t="shared" si="61"/>
        <v>5.7227148266235046</v>
      </c>
      <c r="Z173">
        <f t="shared" si="62"/>
        <v>5.7227148750663437</v>
      </c>
      <c r="AA173">
        <f t="shared" si="63"/>
        <v>-4.8442839073459254E-8</v>
      </c>
      <c r="AB173">
        <f t="shared" si="64"/>
        <v>1.091846144392627E-5</v>
      </c>
      <c r="AC173">
        <v>726.65993029131664</v>
      </c>
      <c r="AD173">
        <f t="shared" si="65"/>
        <v>2030.5383233820594</v>
      </c>
      <c r="AE173">
        <f>+gettm2(AD173,AC173,AK173,AL173,テーブル2[[#This Row],[Fcorr]])</f>
        <v>573.56233296332073</v>
      </c>
      <c r="AF173" s="14">
        <f t="shared" si="66"/>
        <v>1.2665992699112394E-6</v>
      </c>
      <c r="AG173">
        <v>1.10192118964619E-5</v>
      </c>
      <c r="AH173">
        <f t="shared" si="67"/>
        <v>33.2931947608852</v>
      </c>
      <c r="AI173">
        <f t="shared" si="68"/>
        <v>0.24377076397009029</v>
      </c>
      <c r="AJ173">
        <f t="shared" si="69"/>
        <v>23.490742308906444</v>
      </c>
      <c r="AK173">
        <f t="array" ref="AK173">+S173*テーブル2[[#This Row],[F_form]]/(E173*CpFromTP((テーブル2[[#This Row],[Tin]]+テーブル2[[#This Row],[Tf]])/2,テーブル2[[#This Row],[P]])*AI173)</f>
        <v>5.6958674940805389</v>
      </c>
      <c r="AL173">
        <f t="shared" si="70"/>
        <v>1.5871354414155836</v>
      </c>
      <c r="AM173">
        <f t="shared" si="71"/>
        <v>626.57723581179516</v>
      </c>
      <c r="AN173">
        <f t="shared" si="72"/>
        <v>2.6172870093432721E-8</v>
      </c>
      <c r="AO173">
        <f t="shared" si="73"/>
        <v>1.0075045253562996E-7</v>
      </c>
      <c r="AP173">
        <v>2.5014144403560001</v>
      </c>
      <c r="AQ173">
        <f t="shared" si="74"/>
        <v>3.0244265679186361E-5</v>
      </c>
      <c r="AR173">
        <f t="shared" si="75"/>
        <v>5.559981174498765E-6</v>
      </c>
      <c r="AS173">
        <f t="shared" si="76"/>
        <v>11.852760999582713</v>
      </c>
      <c r="AT173">
        <f t="shared" si="77"/>
        <v>9.3128041809361175</v>
      </c>
      <c r="AU173">
        <f t="shared" si="78"/>
        <v>2.2701893898906484</v>
      </c>
      <c r="AV173">
        <f t="shared" si="79"/>
        <v>0.23122505046535169</v>
      </c>
      <c r="AW173">
        <f t="shared" si="80"/>
        <v>8.6615104403782745E-3</v>
      </c>
      <c r="AX173">
        <f t="shared" si="81"/>
        <v>0.231225042888723</v>
      </c>
      <c r="AY173">
        <f t="shared" si="82"/>
        <v>7.5766286855571963E-9</v>
      </c>
      <c r="AZ173">
        <f t="shared" si="83"/>
        <v>839091.99888317985</v>
      </c>
      <c r="BA173">
        <f t="shared" si="84"/>
        <v>1.209086554840629E-5</v>
      </c>
      <c r="BB173" s="15">
        <f t="shared" si="85"/>
        <v>3917341.4525249451</v>
      </c>
      <c r="BC173" s="20">
        <f t="shared" si="86"/>
        <v>14691.15955619514</v>
      </c>
      <c r="BD173" s="19">
        <f t="shared" si="87"/>
        <v>0.37644058404781022</v>
      </c>
      <c r="BE173" s="15">
        <v>3785508</v>
      </c>
      <c r="BF173" s="16">
        <f>テーブル2[[#This Row],[q_P]]/テーブル2[[#This Row],[q_M]]</f>
        <v>1.0348258285347556</v>
      </c>
      <c r="BG173">
        <v>1</v>
      </c>
      <c r="BH173">
        <v>-7.8E-2</v>
      </c>
      <c r="BI173">
        <v>4.5999999999999999E-2</v>
      </c>
      <c r="BJ173">
        <v>5625</v>
      </c>
      <c r="BK173" s="22">
        <v>1</v>
      </c>
      <c r="BL173">
        <f>テーブル2[[#This Row],[Ts]]-テーブル2[[#This Row],[Tin]]</f>
        <v>103.36665377375698</v>
      </c>
      <c r="BM173">
        <f>テーブル2[[#This Row],[q_P]]*0.000001</f>
        <v>3.917341452524945</v>
      </c>
      <c r="BN173">
        <f>テーブル2[[#This Row],[Tsub]]</f>
        <v>103.36665377375698</v>
      </c>
      <c r="BO173">
        <f>テーブル2[[#This Row],[Fcorr]]</f>
        <v>1</v>
      </c>
      <c r="BP173">
        <f>(テーブル2[[#This Row],[Tsub]]-40)^2</f>
        <v>4015.3328104831899</v>
      </c>
      <c r="BQ173">
        <v>1</v>
      </c>
      <c r="BR173">
        <v>0.15240000000000001</v>
      </c>
    </row>
    <row r="174" spans="1:70" x14ac:dyDescent="0.15">
      <c r="A174" s="9" t="s">
        <v>242</v>
      </c>
      <c r="B174">
        <v>17236893.2329209</v>
      </c>
      <c r="C174" s="22">
        <f t="array" ref="C174">TsatFromP(テーブル2[[#This Row],[P]])</f>
        <v>626.57723583796803</v>
      </c>
      <c r="D174">
        <f t="array" ref="D174">RhoGFromP(テーブル2[[#This Row],[P]])</f>
        <v>122.583590976701</v>
      </c>
      <c r="E174">
        <f t="array" ref="E174">RhoFFromP(テーブル2[[#This Row],[P]])</f>
        <v>560.26337686439001</v>
      </c>
      <c r="F174">
        <f t="array" ref="F174">HgFromP(テーブル2[[#This Row],[P]])</f>
        <v>2538890.6454807199</v>
      </c>
      <c r="G174">
        <f t="array" ref="G174">HfFromP(テーブル2[[#This Row],[P]])</f>
        <v>1699798.64659754</v>
      </c>
      <c r="H174">
        <f t="array" ref="H174">MuGFromP(テーブル2[[#This Row],[P]])</f>
        <v>2.4290890628326198E-5</v>
      </c>
      <c r="I174">
        <f t="array" ref="I174">MuFFromP(テーブル2[[#This Row],[P]])</f>
        <v>6.4066005508525405E-5</v>
      </c>
      <c r="J174">
        <f t="array" ref="J174">KfFromP(テーブル2[[#This Row],[P]])</f>
        <v>0.452884810527584</v>
      </c>
      <c r="K174">
        <f t="array" ref="K174">CpFFromP(テーブル2[[#This Row],[P]])</f>
        <v>11219.515372648901</v>
      </c>
      <c r="L174">
        <f t="array" ref="L174">SigmaFromP(テーブル2[[#This Row],[P]])</f>
        <v>3.02925386118211E-3</v>
      </c>
      <c r="M174">
        <v>173</v>
      </c>
      <c r="N174">
        <v>2766.7091999999998</v>
      </c>
      <c r="O174" s="8">
        <f t="shared" si="88"/>
        <v>2.8502295699234246E-6</v>
      </c>
      <c r="P174" s="8">
        <f t="shared" si="89"/>
        <v>5.9847340050885557E-3</v>
      </c>
      <c r="Q174" s="8">
        <v>1.905E-3</v>
      </c>
      <c r="R174">
        <v>0.15240000000000001</v>
      </c>
      <c r="S174" s="15">
        <v>4545068.359375</v>
      </c>
      <c r="T174">
        <v>519.29568547134102</v>
      </c>
      <c r="U174" s="12">
        <f>+T174+BG174*S174*テーブル2[[#This Row],[Pw]]*R174/(N174*O174*K174)</f>
        <v>566.15034492094946</v>
      </c>
      <c r="V174">
        <v>0.03</v>
      </c>
      <c r="W174" s="8">
        <f t="shared" si="60"/>
        <v>82267.982593336987</v>
      </c>
      <c r="X174">
        <v>2.7749153624474179E-2</v>
      </c>
      <c r="Y174">
        <f t="shared" si="61"/>
        <v>6.0030937998120235</v>
      </c>
      <c r="Z174">
        <f t="shared" si="62"/>
        <v>6.0030938065793782</v>
      </c>
      <c r="AA174">
        <f t="shared" si="63"/>
        <v>-6.767354676640025E-9</v>
      </c>
      <c r="AB174">
        <f t="shared" si="64"/>
        <v>7.6704769287397069E-6</v>
      </c>
      <c r="AC174">
        <v>720.37071138322631</v>
      </c>
      <c r="AD174">
        <f t="shared" si="65"/>
        <v>2422.5945115211684</v>
      </c>
      <c r="AE174">
        <f>+gettm2(AD174,AC174,AK174,AL174,テーブル2[[#This Row],[Fcorr]])</f>
        <v>566.15034492094946</v>
      </c>
      <c r="AF174" s="14">
        <f t="shared" si="66"/>
        <v>0</v>
      </c>
      <c r="AG174">
        <v>7.7617947172481563E-6</v>
      </c>
      <c r="AH174">
        <f t="shared" si="67"/>
        <v>47.390855447313051</v>
      </c>
      <c r="AI174">
        <f t="shared" si="68"/>
        <v>0.29083800490878275</v>
      </c>
      <c r="AJ174">
        <f t="shared" si="69"/>
        <v>19.741397670928482</v>
      </c>
      <c r="AK174">
        <f t="array" ref="AK174">+S174*テーブル2[[#This Row],[F_form]]/(E174*CpFromTP((テーブル2[[#This Row],[Tin]]+テーブル2[[#This Row],[Tf]])/2,テーブル2[[#This Row],[P]])*AI174)</f>
        <v>5.6434665135834363</v>
      </c>
      <c r="AL174">
        <f t="shared" si="70"/>
        <v>1.5871354414155836</v>
      </c>
      <c r="AM174">
        <f t="shared" si="71"/>
        <v>626.57723581479127</v>
      </c>
      <c r="AN174">
        <f t="shared" si="72"/>
        <v>2.3176767172117252E-8</v>
      </c>
      <c r="AO174">
        <f t="shared" si="73"/>
        <v>9.1317788508449337E-8</v>
      </c>
      <c r="AP174">
        <v>2.7137118997028788</v>
      </c>
      <c r="AQ174">
        <f t="shared" si="74"/>
        <v>2.5697263135685243E-5</v>
      </c>
      <c r="AR174">
        <f t="shared" si="75"/>
        <v>3.9265562528783028E-6</v>
      </c>
      <c r="AS174">
        <f t="shared" si="76"/>
        <v>9.9868279552777963</v>
      </c>
      <c r="AT174">
        <f t="shared" si="77"/>
        <v>8.4563351012273298</v>
      </c>
      <c r="AU174">
        <f t="shared" si="78"/>
        <v>2.4594236296810661</v>
      </c>
      <c r="AV174">
        <f t="shared" si="79"/>
        <v>0.25428827002181276</v>
      </c>
      <c r="AW174">
        <f t="shared" si="80"/>
        <v>6.0849155663701858E-3</v>
      </c>
      <c r="AX174">
        <f t="shared" si="81"/>
        <v>0.25428826619946304</v>
      </c>
      <c r="AY174">
        <f t="shared" si="82"/>
        <v>3.8223497145217777E-9</v>
      </c>
      <c r="AZ174">
        <f t="shared" si="83"/>
        <v>839091.99888317985</v>
      </c>
      <c r="BA174">
        <f t="shared" si="84"/>
        <v>9.4694146193259519E-6</v>
      </c>
      <c r="BB174" s="15">
        <f t="shared" si="85"/>
        <v>4533504.668405964</v>
      </c>
      <c r="BC174" s="20">
        <f t="shared" si="86"/>
        <v>-11563.690969035961</v>
      </c>
      <c r="BD174" s="19">
        <f t="shared" si="87"/>
        <v>-0.25442281731987199</v>
      </c>
      <c r="BE174" s="15">
        <v>4952706.3</v>
      </c>
      <c r="BF174" s="16">
        <f>テーブル2[[#This Row],[q_P]]/テーブル2[[#This Row],[q_M]]</f>
        <v>0.91535907719905862</v>
      </c>
      <c r="BG174">
        <v>1</v>
      </c>
      <c r="BH174">
        <v>-7.0000000000000007E-2</v>
      </c>
      <c r="BI174">
        <v>4.5999999999999999E-2</v>
      </c>
      <c r="BJ174">
        <v>5625</v>
      </c>
      <c r="BK174" s="22">
        <v>1</v>
      </c>
      <c r="BL174">
        <f>テーブル2[[#This Row],[Ts]]-テーブル2[[#This Row],[Tin]]</f>
        <v>107.28155036662702</v>
      </c>
      <c r="BM174">
        <f>テーブル2[[#This Row],[q_P]]*0.000001</f>
        <v>4.5335046684059641</v>
      </c>
      <c r="BN174">
        <f>テーブル2[[#This Row],[Tsub]]</f>
        <v>107.28155036662702</v>
      </c>
      <c r="BO174">
        <f>テーブル2[[#This Row],[Fcorr]]</f>
        <v>1</v>
      </c>
      <c r="BP174">
        <f>(テーブル2[[#This Row],[Tsub]]-40)^2</f>
        <v>4526.807019736968</v>
      </c>
      <c r="BQ174">
        <v>1</v>
      </c>
      <c r="BR174">
        <v>0.15240000000000001</v>
      </c>
    </row>
    <row r="175" spans="1:70" x14ac:dyDescent="0.15">
      <c r="A175" s="9" t="s">
        <v>243</v>
      </c>
      <c r="B175">
        <v>17236893.2329209</v>
      </c>
      <c r="C175" s="22">
        <f t="array" ref="C175">TsatFromP(テーブル2[[#This Row],[P]])</f>
        <v>626.57723583796803</v>
      </c>
      <c r="D175">
        <f t="array" ref="D175">RhoGFromP(テーブル2[[#This Row],[P]])</f>
        <v>122.583590976701</v>
      </c>
      <c r="E175">
        <f t="array" ref="E175">RhoFFromP(テーブル2[[#This Row],[P]])</f>
        <v>560.26337686439001</v>
      </c>
      <c r="F175">
        <f t="array" ref="F175">HgFromP(テーブル2[[#This Row],[P]])</f>
        <v>2538890.6454807199</v>
      </c>
      <c r="G175">
        <f t="array" ref="G175">HfFromP(テーブル2[[#This Row],[P]])</f>
        <v>1699798.64659754</v>
      </c>
      <c r="H175">
        <f t="array" ref="H175">MuGFromP(テーブル2[[#This Row],[P]])</f>
        <v>2.4290890628326198E-5</v>
      </c>
      <c r="I175">
        <f t="array" ref="I175">MuFFromP(テーブル2[[#This Row],[P]])</f>
        <v>6.4066005508525405E-5</v>
      </c>
      <c r="J175">
        <f t="array" ref="J175">KfFromP(テーブル2[[#This Row],[P]])</f>
        <v>0.452884810527584</v>
      </c>
      <c r="K175">
        <f t="array" ref="K175">CpFFromP(テーブル2[[#This Row],[P]])</f>
        <v>11219.515372648901</v>
      </c>
      <c r="L175">
        <f t="array" ref="L175">SigmaFromP(テーブル2[[#This Row],[P]])</f>
        <v>3.02925386118211E-3</v>
      </c>
      <c r="M175">
        <v>174</v>
      </c>
      <c r="N175">
        <v>2820.9584</v>
      </c>
      <c r="O175" s="8">
        <f t="shared" si="88"/>
        <v>2.8502295699234246E-6</v>
      </c>
      <c r="P175" s="8">
        <f t="shared" si="89"/>
        <v>5.9847340050885557E-3</v>
      </c>
      <c r="Q175" s="8">
        <v>1.905E-3</v>
      </c>
      <c r="R175">
        <v>0.15240000000000001</v>
      </c>
      <c r="S175" s="15">
        <v>3380886.34765625</v>
      </c>
      <c r="T175">
        <v>551.03814075669595</v>
      </c>
      <c r="U175" s="12">
        <f>+T175+BG175*S175*テーブル2[[#This Row],[Pw]]*R175/(N175*O175*K175)</f>
        <v>585.22110890237968</v>
      </c>
      <c r="V175">
        <v>0.03</v>
      </c>
      <c r="W175" s="8">
        <f t="shared" si="60"/>
        <v>83881.080291245555</v>
      </c>
      <c r="X175">
        <v>2.7526308797267519E-2</v>
      </c>
      <c r="Y175">
        <f t="shared" si="61"/>
        <v>6.0273444501828584</v>
      </c>
      <c r="Z175">
        <f t="shared" si="62"/>
        <v>6.0273444803686127</v>
      </c>
      <c r="AA175">
        <f t="shared" si="63"/>
        <v>-3.0185754340550375E-8</v>
      </c>
      <c r="AB175">
        <f t="shared" si="64"/>
        <v>7.4380277893052746E-6</v>
      </c>
      <c r="AC175">
        <v>689.56169051886479</v>
      </c>
      <c r="AD175">
        <f t="shared" si="65"/>
        <v>2460.1580836065191</v>
      </c>
      <c r="AE175">
        <f>+gettm2(AD175,AC175,AK175,AL175,テーブル2[[#This Row],[Fcorr]])</f>
        <v>585.22110890237968</v>
      </c>
      <c r="AF175" s="14">
        <f t="shared" si="66"/>
        <v>0</v>
      </c>
      <c r="AG175">
        <v>7.5056050981652022E-6</v>
      </c>
      <c r="AH175">
        <f t="shared" si="67"/>
        <v>48.871888306806888</v>
      </c>
      <c r="AI175">
        <f t="shared" si="68"/>
        <v>0.29534759754205048</v>
      </c>
      <c r="AJ175">
        <f t="shared" si="69"/>
        <v>19.385800582267109</v>
      </c>
      <c r="AK175">
        <f t="array" ref="AK175">+S175*テーブル2[[#This Row],[F_form]]/(E175*CpFromTP((テーブル2[[#This Row],[Tin]]+テーブル2[[#This Row],[Tf]])/2,テーブル2[[#This Row],[P]])*AI175)</f>
        <v>3.8127433516571965</v>
      </c>
      <c r="AL175">
        <f t="shared" si="70"/>
        <v>1.5871354414155836</v>
      </c>
      <c r="AM175">
        <f t="shared" si="71"/>
        <v>626.57723582204869</v>
      </c>
      <c r="AN175">
        <f t="shared" si="72"/>
        <v>1.5919340512482449E-8</v>
      </c>
      <c r="AO175">
        <f t="shared" si="73"/>
        <v>6.7577308859927597E-8</v>
      </c>
      <c r="AP175">
        <v>2.7239410138607738</v>
      </c>
      <c r="AQ175">
        <f t="shared" si="74"/>
        <v>2.5504625569601364E-5</v>
      </c>
      <c r="AR175">
        <f t="shared" si="75"/>
        <v>3.7865912035125649E-6</v>
      </c>
      <c r="AS175">
        <f t="shared" si="76"/>
        <v>9.7801710851808661</v>
      </c>
      <c r="AT175">
        <f t="shared" si="77"/>
        <v>8.3517848863299768</v>
      </c>
      <c r="AU175">
        <f t="shared" si="78"/>
        <v>2.4666796013655659</v>
      </c>
      <c r="AV175">
        <f t="shared" si="79"/>
        <v>0.25726141249520795</v>
      </c>
      <c r="AW175">
        <f t="shared" si="80"/>
        <v>5.9005158999512249E-3</v>
      </c>
      <c r="AX175">
        <f t="shared" si="81"/>
        <v>0.25726141060186225</v>
      </c>
      <c r="AY175">
        <f t="shared" si="82"/>
        <v>1.8933457024417066E-9</v>
      </c>
      <c r="AZ175">
        <f t="shared" si="83"/>
        <v>839091.99888317985</v>
      </c>
      <c r="BA175">
        <f t="shared" si="84"/>
        <v>9.3631343115805664E-6</v>
      </c>
      <c r="BB175" s="15">
        <f t="shared" si="85"/>
        <v>3392981.2057726914</v>
      </c>
      <c r="BC175" s="20">
        <f t="shared" si="86"/>
        <v>12094.858116441406</v>
      </c>
      <c r="BD175" s="19">
        <f t="shared" si="87"/>
        <v>0.35774222711822273</v>
      </c>
      <c r="BE175" s="15">
        <v>4132512.9</v>
      </c>
      <c r="BF175" s="16">
        <f>テーブル2[[#This Row],[q_P]]/テーブル2[[#This Row],[q_M]]</f>
        <v>0.82104552069823944</v>
      </c>
      <c r="BG175">
        <v>1</v>
      </c>
      <c r="BH175">
        <v>-1.0999999999999999E-2</v>
      </c>
      <c r="BI175">
        <v>4.5999999999999999E-2</v>
      </c>
      <c r="BJ175">
        <v>5625</v>
      </c>
      <c r="BK175" s="22">
        <v>1</v>
      </c>
      <c r="BL175">
        <f>テーブル2[[#This Row],[Ts]]-テーブル2[[#This Row],[Tin]]</f>
        <v>75.53909508127208</v>
      </c>
      <c r="BM175">
        <f>テーブル2[[#This Row],[q_P]]*0.000001</f>
        <v>3.3929812057726911</v>
      </c>
      <c r="BN175">
        <f>テーブル2[[#This Row],[Tsub]]</f>
        <v>75.53909508127208</v>
      </c>
      <c r="BO175">
        <f>テーブル2[[#This Row],[Fcorr]]</f>
        <v>1</v>
      </c>
      <c r="BP175">
        <f>(テーブル2[[#This Row],[Tsub]]-40)^2</f>
        <v>1263.0272791956975</v>
      </c>
      <c r="BQ175">
        <v>1</v>
      </c>
      <c r="BR175">
        <v>0.15240000000000001</v>
      </c>
    </row>
    <row r="176" spans="1:70" x14ac:dyDescent="0.15">
      <c r="A176" s="9" t="s">
        <v>244</v>
      </c>
      <c r="B176">
        <v>17236893.2329209</v>
      </c>
      <c r="C176" s="22">
        <f t="array" ref="C176">TsatFromP(テーブル2[[#This Row],[P]])</f>
        <v>626.57723583796803</v>
      </c>
      <c r="D176">
        <f t="array" ref="D176">RhoGFromP(テーブル2[[#This Row],[P]])</f>
        <v>122.583590976701</v>
      </c>
      <c r="E176">
        <f t="array" ref="E176">RhoFFromP(テーブル2[[#This Row],[P]])</f>
        <v>560.26337686439001</v>
      </c>
      <c r="F176">
        <f t="array" ref="F176">HgFromP(テーブル2[[#This Row],[P]])</f>
        <v>2538890.6454807199</v>
      </c>
      <c r="G176">
        <f t="array" ref="G176">HfFromP(テーブル2[[#This Row],[P]])</f>
        <v>1699798.64659754</v>
      </c>
      <c r="H176">
        <f t="array" ref="H176">MuGFromP(テーブル2[[#This Row],[P]])</f>
        <v>2.4290890628326198E-5</v>
      </c>
      <c r="I176">
        <f t="array" ref="I176">MuFFromP(テーブル2[[#This Row],[P]])</f>
        <v>6.4066005508525405E-5</v>
      </c>
      <c r="J176">
        <f t="array" ref="J176">KfFromP(テーブル2[[#This Row],[P]])</f>
        <v>0.452884810527584</v>
      </c>
      <c r="K176">
        <f t="array" ref="K176">CpFFromP(テーブル2[[#This Row],[P]])</f>
        <v>11219.515372648901</v>
      </c>
      <c r="L176">
        <f t="array" ref="L176">SigmaFromP(テーブル2[[#This Row],[P]])</f>
        <v>3.02925386118211E-3</v>
      </c>
      <c r="M176">
        <v>175</v>
      </c>
      <c r="N176">
        <v>2848.0830000000001</v>
      </c>
      <c r="O176" s="8">
        <f t="shared" si="88"/>
        <v>2.8502295699234246E-6</v>
      </c>
      <c r="P176" s="8">
        <f t="shared" si="89"/>
        <v>5.9847340050885557E-3</v>
      </c>
      <c r="Q176" s="8">
        <v>1.905E-3</v>
      </c>
      <c r="R176">
        <v>0.15240000000000001</v>
      </c>
      <c r="S176" s="15">
        <v>6278063.96484375</v>
      </c>
      <c r="T176">
        <v>474.87307781161599</v>
      </c>
      <c r="U176" s="12">
        <f>+T176+BG176*S176*テーブル2[[#This Row],[Pw]]*R176/(N176*O176*K176)</f>
        <v>537.74387614745763</v>
      </c>
      <c r="V176">
        <v>0.03</v>
      </c>
      <c r="W176" s="8">
        <f t="shared" si="60"/>
        <v>84687.629140199861</v>
      </c>
      <c r="X176">
        <v>2.7417489253573679E-2</v>
      </c>
      <c r="Y176">
        <f t="shared" si="61"/>
        <v>6.0392938184881579</v>
      </c>
      <c r="Z176">
        <f t="shared" si="62"/>
        <v>6.0392938316842111</v>
      </c>
      <c r="AA176">
        <f t="shared" si="63"/>
        <v>-1.319605313909733E-8</v>
      </c>
      <c r="AB176">
        <f t="shared" si="64"/>
        <v>7.3259874902453786E-6</v>
      </c>
      <c r="AC176">
        <v>761.59762223365487</v>
      </c>
      <c r="AD176">
        <f t="shared" si="65"/>
        <v>2478.8989676378092</v>
      </c>
      <c r="AE176">
        <f>+gettm2(AD176,AC176,AK176,AL176,テーブル2[[#This Row],[Fcorr]])</f>
        <v>537.74387614745763</v>
      </c>
      <c r="AF176" s="14">
        <f t="shared" si="66"/>
        <v>0</v>
      </c>
      <c r="AG176">
        <v>7.4468232207589724E-6</v>
      </c>
      <c r="AH176">
        <f t="shared" si="67"/>
        <v>49.619312594496073</v>
      </c>
      <c r="AI176">
        <f t="shared" si="68"/>
        <v>0.29759748347878728</v>
      </c>
      <c r="AJ176">
        <f t="shared" si="69"/>
        <v>19.380495951832735</v>
      </c>
      <c r="AK176">
        <f t="array" ref="AK176">+S176*テーブル2[[#This Row],[F_form]]/(E176*CpFromTP((テーブル2[[#This Row],[Tin]]+テーブル2[[#This Row],[Tf]])/2,テーブル2[[#This Row],[P]])*AI176)</f>
        <v>8.1741634208679059</v>
      </c>
      <c r="AL176">
        <f t="shared" si="70"/>
        <v>1.5871354414155836</v>
      </c>
      <c r="AM176">
        <f t="shared" si="71"/>
        <v>626.57723587827422</v>
      </c>
      <c r="AN176">
        <f t="shared" si="72"/>
        <v>-4.0306190385308582E-8</v>
      </c>
      <c r="AO176">
        <f t="shared" si="73"/>
        <v>1.2083573051359375E-7</v>
      </c>
      <c r="AP176">
        <v>2.752233140949587</v>
      </c>
      <c r="AQ176">
        <f t="shared" si="74"/>
        <v>2.4982960973471004E-5</v>
      </c>
      <c r="AR176">
        <f t="shared" si="75"/>
        <v>3.7838294756362831E-6</v>
      </c>
      <c r="AS176">
        <f t="shared" si="76"/>
        <v>9.8474865940916469</v>
      </c>
      <c r="AT176">
        <f t="shared" si="77"/>
        <v>8.3860812725527634</v>
      </c>
      <c r="AU176">
        <f t="shared" si="78"/>
        <v>2.4956766829602883</v>
      </c>
      <c r="AV176">
        <f t="shared" si="79"/>
        <v>0.25655645798929871</v>
      </c>
      <c r="AW176">
        <f t="shared" si="80"/>
        <v>5.8116354084063087E-3</v>
      </c>
      <c r="AX176">
        <f t="shared" si="81"/>
        <v>0.25655644981672587</v>
      </c>
      <c r="AY176">
        <f t="shared" si="82"/>
        <v>8.1725728406922826E-9</v>
      </c>
      <c r="AZ176">
        <f t="shared" si="83"/>
        <v>839091.99888317985</v>
      </c>
      <c r="BA176">
        <f t="shared" si="84"/>
        <v>9.07734181445518E-6</v>
      </c>
      <c r="BB176" s="15">
        <f t="shared" si="85"/>
        <v>6258042.3378954269</v>
      </c>
      <c r="BC176" s="20">
        <f t="shared" si="86"/>
        <v>-20021.626948323101</v>
      </c>
      <c r="BD176" s="19">
        <f t="shared" si="87"/>
        <v>-0.31891403242211797</v>
      </c>
      <c r="BE176" s="15">
        <v>6056812.8000000007</v>
      </c>
      <c r="BF176" s="16">
        <f>テーブル2[[#This Row],[q_P]]/テーブル2[[#This Row],[q_M]]</f>
        <v>1.0332236680478926</v>
      </c>
      <c r="BG176">
        <v>1</v>
      </c>
      <c r="BH176">
        <v>-0.182</v>
      </c>
      <c r="BI176">
        <v>4.5999999999999999E-2</v>
      </c>
      <c r="BJ176">
        <v>5625</v>
      </c>
      <c r="BK176" s="22">
        <v>1</v>
      </c>
      <c r="BL176">
        <f>テーブル2[[#This Row],[Ts]]-テーブル2[[#This Row],[Tin]]</f>
        <v>151.70415802635205</v>
      </c>
      <c r="BM176">
        <f>テーブル2[[#This Row],[q_P]]*0.000001</f>
        <v>6.2580423378954269</v>
      </c>
      <c r="BN176">
        <f>テーブル2[[#This Row],[Tsub]]</f>
        <v>151.70415802635205</v>
      </c>
      <c r="BO176">
        <f>テーブル2[[#This Row],[Fcorr]]</f>
        <v>1</v>
      </c>
      <c r="BP176">
        <f>(テーブル2[[#This Row],[Tsub]]-40)^2</f>
        <v>12477.81892037623</v>
      </c>
      <c r="BQ176">
        <v>1</v>
      </c>
      <c r="BR176">
        <v>0.15240000000000001</v>
      </c>
    </row>
    <row r="177" spans="1:70" x14ac:dyDescent="0.15">
      <c r="A177" s="9" t="s">
        <v>245</v>
      </c>
      <c r="B177">
        <v>17236893.2329209</v>
      </c>
      <c r="C177" s="22">
        <f t="array" ref="C177">TsatFromP(テーブル2[[#This Row],[P]])</f>
        <v>626.57723583796803</v>
      </c>
      <c r="D177">
        <f t="array" ref="D177">RhoGFromP(テーブル2[[#This Row],[P]])</f>
        <v>122.583590976701</v>
      </c>
      <c r="E177">
        <f t="array" ref="E177">RhoFFromP(テーブル2[[#This Row],[P]])</f>
        <v>560.26337686439001</v>
      </c>
      <c r="F177">
        <f t="array" ref="F177">HgFromP(テーブル2[[#This Row],[P]])</f>
        <v>2538890.6454807199</v>
      </c>
      <c r="G177">
        <f t="array" ref="G177">HfFromP(テーブル2[[#This Row],[P]])</f>
        <v>1699798.64659754</v>
      </c>
      <c r="H177">
        <f t="array" ref="H177">MuGFromP(テーブル2[[#This Row],[P]])</f>
        <v>2.4290890628326198E-5</v>
      </c>
      <c r="I177">
        <f t="array" ref="I177">MuFFromP(テーブル2[[#This Row],[P]])</f>
        <v>6.4066005508525405E-5</v>
      </c>
      <c r="J177">
        <f t="array" ref="J177">KfFromP(テーブル2[[#This Row],[P]])</f>
        <v>0.452884810527584</v>
      </c>
      <c r="K177">
        <f t="array" ref="K177">CpFFromP(テーブル2[[#This Row],[P]])</f>
        <v>11219.515372648901</v>
      </c>
      <c r="L177">
        <f t="array" ref="L177">SigmaFromP(テーブル2[[#This Row],[P]])</f>
        <v>3.02925386118211E-3</v>
      </c>
      <c r="M177">
        <v>176</v>
      </c>
      <c r="N177">
        <v>2848.0830000000001</v>
      </c>
      <c r="O177" s="8">
        <f t="shared" si="88"/>
        <v>2.8502295699234246E-6</v>
      </c>
      <c r="P177" s="8">
        <f t="shared" si="89"/>
        <v>5.9847340050885557E-3</v>
      </c>
      <c r="Q177" s="8">
        <v>1.905E-3</v>
      </c>
      <c r="R177">
        <v>0.15240000000000001</v>
      </c>
      <c r="S177" s="15">
        <v>3378851.07421875</v>
      </c>
      <c r="T177">
        <v>551.548441132118</v>
      </c>
      <c r="U177" s="12">
        <f>+T177+BG177*S177*テーブル2[[#This Row],[Pw]]*R177/(N177*O177*K177)</f>
        <v>585.38547523747786</v>
      </c>
      <c r="V177">
        <v>0.03</v>
      </c>
      <c r="W177" s="8">
        <f t="shared" si="60"/>
        <v>84687.629140199861</v>
      </c>
      <c r="X177">
        <v>2.7417489253573679E-2</v>
      </c>
      <c r="Y177">
        <f t="shared" si="61"/>
        <v>6.0392938184881579</v>
      </c>
      <c r="Z177">
        <f t="shared" si="62"/>
        <v>6.0392938316842111</v>
      </c>
      <c r="AA177">
        <f t="shared" si="63"/>
        <v>-1.319605313909733E-8</v>
      </c>
      <c r="AB177">
        <f t="shared" si="64"/>
        <v>7.3259874902453786E-6</v>
      </c>
      <c r="AC177">
        <v>688.80484788828153</v>
      </c>
      <c r="AD177">
        <f t="shared" si="65"/>
        <v>2478.8989676378092</v>
      </c>
      <c r="AE177">
        <f>+gettm2(AD177,AC177,AK177,AL177,テーブル2[[#This Row],[Fcorr]])</f>
        <v>585.38547523747764</v>
      </c>
      <c r="AF177" s="14">
        <f t="shared" si="66"/>
        <v>0</v>
      </c>
      <c r="AG177">
        <v>7.3931100003053836E-6</v>
      </c>
      <c r="AH177">
        <f t="shared" si="67"/>
        <v>49.619312594496073</v>
      </c>
      <c r="AI177">
        <f t="shared" si="68"/>
        <v>0.29759748347878728</v>
      </c>
      <c r="AJ177">
        <f t="shared" si="69"/>
        <v>19.240706296472208</v>
      </c>
      <c r="AK177">
        <f t="array" ref="AK177">+S177*テーブル2[[#This Row],[F_form]]/(E177*CpFromTP((テーブル2[[#This Row],[Tin]]+テーブル2[[#This Row],[Tf]])/2,テーブル2[[#This Row],[P]])*AI177)</f>
        <v>3.7764248653930994</v>
      </c>
      <c r="AL177">
        <f t="shared" si="70"/>
        <v>1.5871354414155836</v>
      </c>
      <c r="AM177">
        <f t="shared" si="71"/>
        <v>626.57723589312366</v>
      </c>
      <c r="AN177">
        <f t="shared" si="72"/>
        <v>-5.5155624067992903E-8</v>
      </c>
      <c r="AO177">
        <f t="shared" si="73"/>
        <v>6.712251006000496E-8</v>
      </c>
      <c r="AP177">
        <v>2.7327849201010288</v>
      </c>
      <c r="AQ177">
        <f t="shared" si="74"/>
        <v>2.5339815281526499E-5</v>
      </c>
      <c r="AR177">
        <f t="shared" si="75"/>
        <v>3.7301162551826943E-6</v>
      </c>
      <c r="AS177">
        <f t="shared" si="76"/>
        <v>9.7076969387311198</v>
      </c>
      <c r="AT177">
        <f t="shared" si="77"/>
        <v>8.3145953484691706</v>
      </c>
      <c r="AU177">
        <f t="shared" si="78"/>
        <v>2.4744026518488558</v>
      </c>
      <c r="AV177">
        <f t="shared" si="79"/>
        <v>0.25838226825217303</v>
      </c>
      <c r="AW177">
        <f t="shared" si="80"/>
        <v>5.8116354084063087E-3</v>
      </c>
      <c r="AX177">
        <f t="shared" si="81"/>
        <v>0.25838226730402863</v>
      </c>
      <c r="AY177">
        <f t="shared" si="82"/>
        <v>9.4814439632884273E-10</v>
      </c>
      <c r="AZ177">
        <f t="shared" si="83"/>
        <v>839091.99888317985</v>
      </c>
      <c r="BA177">
        <f t="shared" si="84"/>
        <v>9.2725245573258313E-6</v>
      </c>
      <c r="BB177" s="15">
        <f t="shared" si="85"/>
        <v>3403078.842527444</v>
      </c>
      <c r="BC177" s="20">
        <f t="shared" si="86"/>
        <v>24227.768308694009</v>
      </c>
      <c r="BD177" s="19">
        <f t="shared" si="87"/>
        <v>0.71704161493107221</v>
      </c>
      <c r="BE177" s="15">
        <v>4195604.6999999993</v>
      </c>
      <c r="BF177" s="16">
        <f>テーブル2[[#This Row],[q_P]]/テーブル2[[#This Row],[q_M]]</f>
        <v>0.81110568937236738</v>
      </c>
      <c r="BG177">
        <v>1</v>
      </c>
      <c r="BH177">
        <v>-5.0000000000000001E-3</v>
      </c>
      <c r="BI177">
        <v>4.5999999999999999E-2</v>
      </c>
      <c r="BJ177">
        <v>5625</v>
      </c>
      <c r="BK177" s="22">
        <v>1</v>
      </c>
      <c r="BL177">
        <f>テーブル2[[#This Row],[Ts]]-テーブル2[[#This Row],[Tin]]</f>
        <v>75.028794705850032</v>
      </c>
      <c r="BM177">
        <f>テーブル2[[#This Row],[q_P]]*0.000001</f>
        <v>3.4030788425274436</v>
      </c>
      <c r="BN177">
        <f>テーブル2[[#This Row],[Tsub]]</f>
        <v>75.028794705850032</v>
      </c>
      <c r="BO177">
        <f>テーブル2[[#This Row],[Fcorr]]</f>
        <v>1</v>
      </c>
      <c r="BP177">
        <f>(テーブル2[[#This Row],[Tsub]]-40)^2</f>
        <v>1227.0164585445873</v>
      </c>
      <c r="BQ177">
        <v>1</v>
      </c>
      <c r="BR177">
        <v>0.15240000000000001</v>
      </c>
    </row>
    <row r="178" spans="1:70" x14ac:dyDescent="0.15">
      <c r="A178" s="9" t="s">
        <v>246</v>
      </c>
      <c r="B178">
        <v>17236893.2329209</v>
      </c>
      <c r="C178" s="22">
        <f t="array" ref="C178">TsatFromP(テーブル2[[#This Row],[P]])</f>
        <v>626.57723583796803</v>
      </c>
      <c r="D178">
        <f t="array" ref="D178">RhoGFromP(テーブル2[[#This Row],[P]])</f>
        <v>122.583590976701</v>
      </c>
      <c r="E178">
        <f t="array" ref="E178">RhoFFromP(テーブル2[[#This Row],[P]])</f>
        <v>560.26337686439001</v>
      </c>
      <c r="F178">
        <f t="array" ref="F178">HgFromP(テーブル2[[#This Row],[P]])</f>
        <v>2538890.6454807199</v>
      </c>
      <c r="G178">
        <f t="array" ref="G178">HfFromP(テーブル2[[#This Row],[P]])</f>
        <v>1699798.64659754</v>
      </c>
      <c r="H178">
        <f t="array" ref="H178">MuGFromP(テーブル2[[#This Row],[P]])</f>
        <v>2.4290890628326198E-5</v>
      </c>
      <c r="I178">
        <f t="array" ref="I178">MuFFromP(テーブル2[[#This Row],[P]])</f>
        <v>6.4066005508525405E-5</v>
      </c>
      <c r="J178">
        <f t="array" ref="J178">KfFromP(テーブル2[[#This Row],[P]])</f>
        <v>0.452884810527584</v>
      </c>
      <c r="K178">
        <f t="array" ref="K178">CpFFromP(テーブル2[[#This Row],[P]])</f>
        <v>11219.515372648901</v>
      </c>
      <c r="L178">
        <f t="array" ref="L178">SigmaFromP(テーブル2[[#This Row],[P]])</f>
        <v>3.02925386118211E-3</v>
      </c>
      <c r="M178">
        <v>177</v>
      </c>
      <c r="N178">
        <v>2875.2076000000002</v>
      </c>
      <c r="O178" s="8">
        <f t="shared" si="88"/>
        <v>2.8502295699234246E-6</v>
      </c>
      <c r="P178" s="8">
        <f t="shared" si="89"/>
        <v>5.9847340050885557E-3</v>
      </c>
      <c r="Q178" s="8">
        <v>1.905E-3</v>
      </c>
      <c r="R178">
        <v>0.15240000000000001</v>
      </c>
      <c r="S178" s="15">
        <v>4998843.65234375</v>
      </c>
      <c r="T178">
        <v>509.82521111723401</v>
      </c>
      <c r="U178" s="12">
        <f>+T178+BG178*S178*テーブル2[[#This Row],[Pw]]*R178/(N178*O178*K178)</f>
        <v>559.41316929684513</v>
      </c>
      <c r="V178">
        <v>0.03</v>
      </c>
      <c r="W178" s="8">
        <f t="shared" si="60"/>
        <v>85494.177989154137</v>
      </c>
      <c r="X178">
        <v>2.7310346611720542E-2</v>
      </c>
      <c r="Y178">
        <f t="shared" si="61"/>
        <v>6.0511287561987661</v>
      </c>
      <c r="Z178">
        <f t="shared" si="62"/>
        <v>6.0511287704394805</v>
      </c>
      <c r="AA178">
        <f t="shared" si="63"/>
        <v>-1.4240714385493902E-8</v>
      </c>
      <c r="AB178">
        <f t="shared" si="64"/>
        <v>7.2166145598045175E-6</v>
      </c>
      <c r="AC178">
        <v>727.57907428259307</v>
      </c>
      <c r="AD178">
        <f t="shared" si="65"/>
        <v>2497.613067073316</v>
      </c>
      <c r="AE178">
        <f>+gettm2(AD178,AC178,AK178,AL178,テーブル2[[#This Row],[Fcorr]])</f>
        <v>559.41317057263575</v>
      </c>
      <c r="AF178" s="14">
        <f t="shared" si="66"/>
        <v>1.2757906233673566E-6</v>
      </c>
      <c r="AG178">
        <v>7.3132384476773629E-6</v>
      </c>
      <c r="AH178">
        <f t="shared" si="67"/>
        <v>50.371328595897729</v>
      </c>
      <c r="AI178">
        <f t="shared" si="68"/>
        <v>0.29984415386361774</v>
      </c>
      <c r="AJ178">
        <f t="shared" si="69"/>
        <v>19.176524839414125</v>
      </c>
      <c r="AK178">
        <f t="array" ref="AK178">+S178*テーブル2[[#This Row],[F_form]]/(E178*CpFromTP((テーブル2[[#This Row],[Tin]]+テーブル2[[#This Row],[Tf]])/2,テーブル2[[#This Row],[P]])*AI178)</f>
        <v>6.1364118691965155</v>
      </c>
      <c r="AL178">
        <f t="shared" si="70"/>
        <v>1.5871354414155836</v>
      </c>
      <c r="AM178">
        <f t="shared" si="71"/>
        <v>626.57723581205835</v>
      </c>
      <c r="AN178">
        <f t="shared" si="72"/>
        <v>2.590968506410718E-8</v>
      </c>
      <c r="AO178">
        <f t="shared" si="73"/>
        <v>9.6623887872845422E-8</v>
      </c>
      <c r="AP178">
        <v>2.7526553045083459</v>
      </c>
      <c r="AQ178">
        <f t="shared" si="74"/>
        <v>2.4975298490683309E-5</v>
      </c>
      <c r="AR178">
        <f t="shared" si="75"/>
        <v>3.7049311677751041E-6</v>
      </c>
      <c r="AS178">
        <f t="shared" si="76"/>
        <v>9.7149443540601581</v>
      </c>
      <c r="AT178">
        <f t="shared" si="77"/>
        <v>8.318326774878253</v>
      </c>
      <c r="AU178">
        <f t="shared" si="78"/>
        <v>2.494201653374446</v>
      </c>
      <c r="AV178">
        <f t="shared" si="79"/>
        <v>0.25845365113389995</v>
      </c>
      <c r="AW178">
        <f t="shared" si="80"/>
        <v>5.7248709147298413E-3</v>
      </c>
      <c r="AX178">
        <f t="shared" si="81"/>
        <v>0.25845364261977266</v>
      </c>
      <c r="AY178">
        <f t="shared" si="82"/>
        <v>8.5141272920807864E-9</v>
      </c>
      <c r="AZ178">
        <f t="shared" si="83"/>
        <v>839091.99888317985</v>
      </c>
      <c r="BA178">
        <f t="shared" si="84"/>
        <v>9.0731659898638008E-6</v>
      </c>
      <c r="BB178" s="15">
        <f t="shared" si="85"/>
        <v>5006422.1420712713</v>
      </c>
      <c r="BC178" s="20">
        <f t="shared" si="86"/>
        <v>7578.4897275213152</v>
      </c>
      <c r="BD178" s="19">
        <f t="shared" si="87"/>
        <v>0.15160485613443975</v>
      </c>
      <c r="BE178" s="15">
        <v>5078889.9000000004</v>
      </c>
      <c r="BF178" s="16">
        <f>テーブル2[[#This Row],[q_P]]/テーブル2[[#This Row],[q_M]]</f>
        <v>0.98573157533327727</v>
      </c>
      <c r="BG178">
        <v>1</v>
      </c>
      <c r="BH178">
        <v>-0.13100000000000001</v>
      </c>
      <c r="BI178">
        <v>4.5999999999999999E-2</v>
      </c>
      <c r="BJ178">
        <v>5625</v>
      </c>
      <c r="BK178" s="22">
        <v>1</v>
      </c>
      <c r="BL178">
        <f>テーブル2[[#This Row],[Ts]]-テーブル2[[#This Row],[Tin]]</f>
        <v>116.75202472073403</v>
      </c>
      <c r="BM178">
        <f>テーブル2[[#This Row],[q_P]]*0.000001</f>
        <v>5.0064221420712709</v>
      </c>
      <c r="BN178">
        <f>テーブル2[[#This Row],[Tsub]]</f>
        <v>116.75202472073403</v>
      </c>
      <c r="BO178">
        <f>テーブル2[[#This Row],[Fcorr]]</f>
        <v>1</v>
      </c>
      <c r="BP178">
        <f>(テーブル2[[#This Row],[Tsub]]-40)^2</f>
        <v>5890.8732987321673</v>
      </c>
      <c r="BQ178">
        <v>1</v>
      </c>
      <c r="BR178">
        <v>0.15240000000000001</v>
      </c>
    </row>
    <row r="179" spans="1:70" x14ac:dyDescent="0.15">
      <c r="A179" s="9" t="s">
        <v>247</v>
      </c>
      <c r="B179">
        <v>17236893.2329209</v>
      </c>
      <c r="C179" s="22">
        <f t="array" ref="C179">TsatFromP(テーブル2[[#This Row],[P]])</f>
        <v>626.57723583796803</v>
      </c>
      <c r="D179">
        <f t="array" ref="D179">RhoGFromP(テーブル2[[#This Row],[P]])</f>
        <v>122.583590976701</v>
      </c>
      <c r="E179">
        <f t="array" ref="E179">RhoFFromP(テーブル2[[#This Row],[P]])</f>
        <v>560.26337686439001</v>
      </c>
      <c r="F179">
        <f t="array" ref="F179">HgFromP(テーブル2[[#This Row],[P]])</f>
        <v>2538890.6454807199</v>
      </c>
      <c r="G179">
        <f t="array" ref="G179">HfFromP(テーブル2[[#This Row],[P]])</f>
        <v>1699798.64659754</v>
      </c>
      <c r="H179">
        <f t="array" ref="H179">MuGFromP(テーブル2[[#This Row],[P]])</f>
        <v>2.4290890628326198E-5</v>
      </c>
      <c r="I179">
        <f t="array" ref="I179">MuFFromP(テーブル2[[#This Row],[P]])</f>
        <v>6.4066005508525405E-5</v>
      </c>
      <c r="J179">
        <f t="array" ref="J179">KfFromP(テーブル2[[#This Row],[P]])</f>
        <v>0.452884810527584</v>
      </c>
      <c r="K179">
        <f t="array" ref="K179">CpFFromP(テーブル2[[#This Row],[P]])</f>
        <v>11219.515372648901</v>
      </c>
      <c r="L179">
        <f t="array" ref="L179">SigmaFromP(テーブル2[[#This Row],[P]])</f>
        <v>3.02925386118211E-3</v>
      </c>
      <c r="M179">
        <v>178</v>
      </c>
      <c r="N179">
        <v>2888.7698999999998</v>
      </c>
      <c r="O179" s="8">
        <f t="shared" si="88"/>
        <v>2.8502295699234246E-6</v>
      </c>
      <c r="P179" s="8">
        <f t="shared" si="89"/>
        <v>5.9847340050885557E-3</v>
      </c>
      <c r="Q179" s="8">
        <v>1.905E-3</v>
      </c>
      <c r="R179">
        <v>0.15240000000000001</v>
      </c>
      <c r="S179" s="15">
        <v>6305664.0625</v>
      </c>
      <c r="T179">
        <v>475.39939134230099</v>
      </c>
      <c r="U179" s="12">
        <f>+T179+BG179*S179*テーブル2[[#This Row],[Pw]]*R179/(N179*O179*K179)</f>
        <v>537.65718989493678</v>
      </c>
      <c r="V179">
        <v>0.03</v>
      </c>
      <c r="W179" s="8">
        <f t="shared" si="60"/>
        <v>85897.452413631268</v>
      </c>
      <c r="X179">
        <v>2.725739080054396E-2</v>
      </c>
      <c r="Y179">
        <f t="shared" si="61"/>
        <v>6.0570039873577297</v>
      </c>
      <c r="Z179">
        <f t="shared" si="62"/>
        <v>6.0570039906741773</v>
      </c>
      <c r="AA179">
        <f t="shared" si="63"/>
        <v>-3.3164475610192312E-9</v>
      </c>
      <c r="AB179">
        <f t="shared" si="64"/>
        <v>7.1629011260640252E-6</v>
      </c>
      <c r="AC179">
        <v>760.13715317234971</v>
      </c>
      <c r="AD179">
        <f t="shared" si="65"/>
        <v>2506.9601743329754</v>
      </c>
      <c r="AE179">
        <f>+gettm2(AD179,AC179,AK179,AL179,テーブル2[[#This Row],[Fcorr]])</f>
        <v>537.65718989493678</v>
      </c>
      <c r="AF179" s="14">
        <f t="shared" si="66"/>
        <v>0</v>
      </c>
      <c r="AG179">
        <v>7.2831778316785646E-6</v>
      </c>
      <c r="AH179">
        <f t="shared" si="67"/>
        <v>50.749055018940382</v>
      </c>
      <c r="AI179">
        <f t="shared" si="68"/>
        <v>0.30096629544122777</v>
      </c>
      <c r="AJ179">
        <f t="shared" si="69"/>
        <v>19.169172458375808</v>
      </c>
      <c r="AK179">
        <f t="array" ref="AK179">+S179*テーブル2[[#This Row],[F_form]]/(E179*CpFromTP((テーブル2[[#This Row],[Tin]]+テーブル2[[#This Row],[Tf]])/2,テーブル2[[#This Row],[P]])*AI179)</f>
        <v>8.1155388555069994</v>
      </c>
      <c r="AL179">
        <f t="shared" si="70"/>
        <v>1.5871354414155836</v>
      </c>
      <c r="AM179">
        <f t="shared" si="71"/>
        <v>626.57723578996365</v>
      </c>
      <c r="AN179">
        <f t="shared" si="72"/>
        <v>4.800438091479009E-8</v>
      </c>
      <c r="AO179">
        <f t="shared" si="73"/>
        <v>1.2027670561453937E-7</v>
      </c>
      <c r="AP179">
        <v>2.766022505835688</v>
      </c>
      <c r="AQ179">
        <f t="shared" si="74"/>
        <v>2.4734488335482665E-5</v>
      </c>
      <c r="AR179">
        <f t="shared" si="75"/>
        <v>3.701727268646552E-6</v>
      </c>
      <c r="AS179">
        <f t="shared" si="76"/>
        <v>9.7428691220359998</v>
      </c>
      <c r="AT179">
        <f t="shared" si="77"/>
        <v>8.3326782266391692</v>
      </c>
      <c r="AU179">
        <f t="shared" si="78"/>
        <v>2.5078552969753702</v>
      </c>
      <c r="AV179">
        <f t="shared" si="79"/>
        <v>0.25816720886031774</v>
      </c>
      <c r="AW179">
        <f t="shared" si="80"/>
        <v>5.6822605644051951E-3</v>
      </c>
      <c r="AX179">
        <f t="shared" si="81"/>
        <v>0.25816719497561214</v>
      </c>
      <c r="AY179">
        <f t="shared" si="82"/>
        <v>1.3884705607480896E-8</v>
      </c>
      <c r="AZ179">
        <f t="shared" si="83"/>
        <v>839091.99888317985</v>
      </c>
      <c r="BA179">
        <f t="shared" si="84"/>
        <v>8.9422585258429504E-6</v>
      </c>
      <c r="BB179" s="15">
        <f t="shared" si="85"/>
        <v>6323188.3337698299</v>
      </c>
      <c r="BC179" s="20">
        <f t="shared" si="86"/>
        <v>17524.271269829944</v>
      </c>
      <c r="BD179" s="19">
        <f t="shared" si="87"/>
        <v>0.2779131760927035</v>
      </c>
      <c r="BE179" s="15">
        <v>5993721</v>
      </c>
      <c r="BF179" s="16">
        <f>テーブル2[[#This Row],[q_P]]/テーブル2[[#This Row],[q_M]]</f>
        <v>1.0549687470888001</v>
      </c>
      <c r="BG179">
        <v>1</v>
      </c>
      <c r="BH179">
        <v>-0.19900000000000001</v>
      </c>
      <c r="BI179">
        <v>4.5999999999999999E-2</v>
      </c>
      <c r="BJ179">
        <v>5625</v>
      </c>
      <c r="BK179" s="22">
        <v>1</v>
      </c>
      <c r="BL179">
        <f>テーブル2[[#This Row],[Ts]]-テーブル2[[#This Row],[Tin]]</f>
        <v>151.17784449566705</v>
      </c>
      <c r="BM179">
        <f>テーブル2[[#This Row],[q_P]]*0.000001</f>
        <v>6.3231883337698296</v>
      </c>
      <c r="BN179">
        <f>テーブル2[[#This Row],[Tsub]]</f>
        <v>151.17784449566705</v>
      </c>
      <c r="BO179">
        <f>テーブル2[[#This Row],[Fcorr]]</f>
        <v>1</v>
      </c>
      <c r="BP179">
        <f>(テーブル2[[#This Row],[Tsub]]-40)^2</f>
        <v>12360.513106702723</v>
      </c>
      <c r="BQ179">
        <v>1</v>
      </c>
      <c r="BR179">
        <v>0.15240000000000001</v>
      </c>
    </row>
    <row r="180" spans="1:70" x14ac:dyDescent="0.15">
      <c r="A180" s="9" t="s">
        <v>248</v>
      </c>
      <c r="B180">
        <v>17236893.2329209</v>
      </c>
      <c r="C180" s="22">
        <f t="array" ref="C180">TsatFromP(テーブル2[[#This Row],[P]])</f>
        <v>626.57723583796803</v>
      </c>
      <c r="D180">
        <f t="array" ref="D180">RhoGFromP(テーブル2[[#This Row],[P]])</f>
        <v>122.583590976701</v>
      </c>
      <c r="E180">
        <f t="array" ref="E180">RhoFFromP(テーブル2[[#This Row],[P]])</f>
        <v>560.26337686439001</v>
      </c>
      <c r="F180">
        <f t="array" ref="F180">HgFromP(テーブル2[[#This Row],[P]])</f>
        <v>2538890.6454807199</v>
      </c>
      <c r="G180">
        <f t="array" ref="G180">HfFromP(テーブル2[[#This Row],[P]])</f>
        <v>1699798.64659754</v>
      </c>
      <c r="H180">
        <f t="array" ref="H180">MuGFromP(テーブル2[[#This Row],[P]])</f>
        <v>2.4290890628326198E-5</v>
      </c>
      <c r="I180">
        <f t="array" ref="I180">MuFFromP(テーブル2[[#This Row],[P]])</f>
        <v>6.4066005508525405E-5</v>
      </c>
      <c r="J180">
        <f t="array" ref="J180">KfFromP(テーブル2[[#This Row],[P]])</f>
        <v>0.452884810527584</v>
      </c>
      <c r="K180">
        <f t="array" ref="K180">CpFFromP(テーブル2[[#This Row],[P]])</f>
        <v>11219.515372648901</v>
      </c>
      <c r="L180">
        <f t="array" ref="L180">SigmaFromP(テーブル2[[#This Row],[P]])</f>
        <v>3.02925386118211E-3</v>
      </c>
      <c r="M180">
        <v>179</v>
      </c>
      <c r="N180">
        <v>2888.7698999999998</v>
      </c>
      <c r="O180" s="8">
        <f t="shared" si="88"/>
        <v>2.8502295699234246E-6</v>
      </c>
      <c r="P180" s="8">
        <f t="shared" si="89"/>
        <v>5.9847340050885557E-3</v>
      </c>
      <c r="Q180" s="8">
        <v>1.905E-3</v>
      </c>
      <c r="R180">
        <v>0.15240000000000001</v>
      </c>
      <c r="S180" s="15">
        <v>5011364.74609375</v>
      </c>
      <c r="T180">
        <v>509.82521111723401</v>
      </c>
      <c r="U180" s="12">
        <f>+T180+BG180*S180*テーブル2[[#This Row],[Pw]]*R180/(N180*O180*K180)</f>
        <v>559.30398666627411</v>
      </c>
      <c r="V180">
        <v>0.03</v>
      </c>
      <c r="W180" s="8">
        <f t="shared" si="60"/>
        <v>85897.452413631268</v>
      </c>
      <c r="X180">
        <v>2.725739080054396E-2</v>
      </c>
      <c r="Y180">
        <f t="shared" si="61"/>
        <v>6.0570039873577297</v>
      </c>
      <c r="Z180">
        <f t="shared" si="62"/>
        <v>6.0570039906741773</v>
      </c>
      <c r="AA180">
        <f t="shared" si="63"/>
        <v>-3.3164475610192312E-9</v>
      </c>
      <c r="AB180">
        <f t="shared" si="64"/>
        <v>7.1629011260640252E-6</v>
      </c>
      <c r="AC180">
        <v>727.34081168522437</v>
      </c>
      <c r="AD180">
        <f t="shared" si="65"/>
        <v>2506.9601743329754</v>
      </c>
      <c r="AE180">
        <f>+gettm2(AD180,AC180,AK180,AL180,テーブル2[[#This Row],[Fcorr]])</f>
        <v>559.3039879396822</v>
      </c>
      <c r="AF180" s="14">
        <f t="shared" si="66"/>
        <v>1.2734080883092247E-6</v>
      </c>
      <c r="AG180">
        <v>7.2589916374258428E-6</v>
      </c>
      <c r="AH180">
        <f t="shared" si="67"/>
        <v>50.749055018940382</v>
      </c>
      <c r="AI180">
        <f t="shared" si="68"/>
        <v>0.30096629544122777</v>
      </c>
      <c r="AJ180">
        <f t="shared" si="69"/>
        <v>19.105514898522522</v>
      </c>
      <c r="AK180">
        <f t="array" ref="AK180">+S180*テーブル2[[#This Row],[F_form]]/(E180*CpFromTP((テーブル2[[#This Row],[Tin]]+テーブル2[[#This Row],[Tf]])/2,テーブル2[[#This Row],[P]])*AI180)</f>
        <v>6.1295828719753143</v>
      </c>
      <c r="AL180">
        <f t="shared" si="70"/>
        <v>1.5871354414155836</v>
      </c>
      <c r="AM180">
        <f t="shared" si="71"/>
        <v>626.57723579169783</v>
      </c>
      <c r="AN180">
        <f t="shared" si="72"/>
        <v>4.6270201892184559E-8</v>
      </c>
      <c r="AO180">
        <f t="shared" si="73"/>
        <v>9.6090511361817544E-8</v>
      </c>
      <c r="AP180">
        <v>2.757002658031952</v>
      </c>
      <c r="AQ180">
        <f t="shared" si="74"/>
        <v>2.4896596464259274E-5</v>
      </c>
      <c r="AR180">
        <f t="shared" si="75"/>
        <v>3.6775410743938302E-6</v>
      </c>
      <c r="AS180">
        <f t="shared" si="76"/>
        <v>9.6792115621827133</v>
      </c>
      <c r="AT180">
        <f t="shared" si="77"/>
        <v>8.2999022389175128</v>
      </c>
      <c r="AU180">
        <f t="shared" si="78"/>
        <v>2.4979908293713562</v>
      </c>
      <c r="AV180">
        <f t="shared" si="79"/>
        <v>0.2590118286605958</v>
      </c>
      <c r="AW180">
        <f t="shared" si="80"/>
        <v>5.6822605644051951E-3</v>
      </c>
      <c r="AX180">
        <f t="shared" si="81"/>
        <v>0.25901181832039327</v>
      </c>
      <c r="AY180">
        <f t="shared" si="82"/>
        <v>1.0340202527547859E-8</v>
      </c>
      <c r="AZ180">
        <f t="shared" si="83"/>
        <v>839091.99888317985</v>
      </c>
      <c r="BA180">
        <f t="shared" si="84"/>
        <v>9.0303128260425273E-6</v>
      </c>
      <c r="BB180" s="15">
        <f t="shared" si="85"/>
        <v>5002412.7631623624</v>
      </c>
      <c r="BC180" s="20">
        <f t="shared" si="86"/>
        <v>-8951.9829313876107</v>
      </c>
      <c r="BD180" s="19">
        <f t="shared" si="87"/>
        <v>-0.1786336334501592</v>
      </c>
      <c r="BE180" s="15">
        <v>5078889.9000000004</v>
      </c>
      <c r="BF180" s="16">
        <f>テーブル2[[#This Row],[q_P]]/テーブル2[[#This Row],[q_M]]</f>
        <v>0.98494215500957449</v>
      </c>
      <c r="BG180">
        <v>1</v>
      </c>
      <c r="BH180">
        <v>-0.13500000000000001</v>
      </c>
      <c r="BI180">
        <v>4.5999999999999999E-2</v>
      </c>
      <c r="BJ180">
        <v>5625</v>
      </c>
      <c r="BK180" s="22">
        <v>1</v>
      </c>
      <c r="BL180">
        <f>テーブル2[[#This Row],[Ts]]-テーブル2[[#This Row],[Tin]]</f>
        <v>116.75202472073403</v>
      </c>
      <c r="BM180">
        <f>テーブル2[[#This Row],[q_P]]*0.000001</f>
        <v>5.0024127631623623</v>
      </c>
      <c r="BN180">
        <f>テーブル2[[#This Row],[Tsub]]</f>
        <v>116.75202472073403</v>
      </c>
      <c r="BO180">
        <f>テーブル2[[#This Row],[Fcorr]]</f>
        <v>1</v>
      </c>
      <c r="BP180">
        <f>(テーブル2[[#This Row],[Tsub]]-40)^2</f>
        <v>5890.8732987321673</v>
      </c>
      <c r="BQ180">
        <v>1</v>
      </c>
      <c r="BR180">
        <v>0.15240000000000001</v>
      </c>
    </row>
    <row r="181" spans="1:70" x14ac:dyDescent="0.15">
      <c r="A181" s="9" t="s">
        <v>249</v>
      </c>
      <c r="B181">
        <v>17236893.2329209</v>
      </c>
      <c r="C181" s="22">
        <f t="array" ref="C181">TsatFromP(テーブル2[[#This Row],[P]])</f>
        <v>626.57723583796803</v>
      </c>
      <c r="D181">
        <f t="array" ref="D181">RhoGFromP(テーブル2[[#This Row],[P]])</f>
        <v>122.583590976701</v>
      </c>
      <c r="E181">
        <f t="array" ref="E181">RhoFFromP(テーブル2[[#This Row],[P]])</f>
        <v>560.26337686439001</v>
      </c>
      <c r="F181">
        <f t="array" ref="F181">HgFromP(テーブル2[[#This Row],[P]])</f>
        <v>2538890.6454807199</v>
      </c>
      <c r="G181">
        <f t="array" ref="G181">HfFromP(テーブル2[[#This Row],[P]])</f>
        <v>1699798.64659754</v>
      </c>
      <c r="H181">
        <f t="array" ref="H181">MuGFromP(テーブル2[[#This Row],[P]])</f>
        <v>2.4290890628326198E-5</v>
      </c>
      <c r="I181">
        <f t="array" ref="I181">MuFFromP(テーブル2[[#This Row],[P]])</f>
        <v>6.4066005508525405E-5</v>
      </c>
      <c r="J181">
        <f t="array" ref="J181">KfFromP(テーブル2[[#This Row],[P]])</f>
        <v>0.452884810527584</v>
      </c>
      <c r="K181">
        <f t="array" ref="K181">CpFFromP(テーブル2[[#This Row],[P]])</f>
        <v>11219.515372648901</v>
      </c>
      <c r="L181">
        <f t="array" ref="L181">SigmaFromP(テーブル2[[#This Row],[P]])</f>
        <v>3.02925386118211E-3</v>
      </c>
      <c r="M181">
        <v>180</v>
      </c>
      <c r="N181">
        <v>3444.8242</v>
      </c>
      <c r="O181" s="8">
        <f t="shared" si="88"/>
        <v>2.8502295699234246E-6</v>
      </c>
      <c r="P181" s="8">
        <f t="shared" si="89"/>
        <v>5.9847340050885557E-3</v>
      </c>
      <c r="Q181" s="8">
        <v>1.905E-3</v>
      </c>
      <c r="R181">
        <v>0.15240000000000001</v>
      </c>
      <c r="S181" s="15">
        <v>3631959.86328125</v>
      </c>
      <c r="T181">
        <v>554.36509768241604</v>
      </c>
      <c r="U181" s="12">
        <f>+T181+BG181*S181*テーブル2[[#This Row],[Pw]]*R181/(N181*O181*K181)</f>
        <v>584.43623525007581</v>
      </c>
      <c r="V181">
        <v>0.03</v>
      </c>
      <c r="W181" s="8">
        <f t="shared" si="60"/>
        <v>102431.70381719411</v>
      </c>
      <c r="X181">
        <v>2.5384208624571459E-2</v>
      </c>
      <c r="Y181">
        <f t="shared" si="61"/>
        <v>6.2765094318285328</v>
      </c>
      <c r="Z181">
        <f t="shared" si="62"/>
        <v>6.2765094327444357</v>
      </c>
      <c r="AA181">
        <f t="shared" si="63"/>
        <v>-9.1590290907106464E-10</v>
      </c>
      <c r="AB181">
        <f t="shared" si="64"/>
        <v>5.4088057229598882E-6</v>
      </c>
      <c r="AC181">
        <v>680.92368076684011</v>
      </c>
      <c r="AD181">
        <f t="shared" si="65"/>
        <v>2884.969470862759</v>
      </c>
      <c r="AE181">
        <f>+gettm2(AD181,AC181,AK181,AL181,テーブル2[[#This Row],[Fcorr]])</f>
        <v>584.43623605931248</v>
      </c>
      <c r="AF181" s="14">
        <f t="shared" si="66"/>
        <v>8.0923666700982722E-7</v>
      </c>
      <c r="AG181">
        <v>5.4678948822404113E-6</v>
      </c>
      <c r="AH181">
        <f t="shared" si="67"/>
        <v>67.207158467309014</v>
      </c>
      <c r="AI181">
        <f t="shared" si="68"/>
        <v>0.34634717495567147</v>
      </c>
      <c r="AJ181">
        <f t="shared" si="69"/>
        <v>16.561375123517383</v>
      </c>
      <c r="AK181">
        <f t="array" ref="AK181">+S181*テーブル2[[#This Row],[F_form]]/(E181*CpFromTP((テーブル2[[#This Row],[Tin]]+テーブル2[[#This Row],[Tf]])/2,テーブル2[[#This Row],[P]])*AI181)</f>
        <v>3.4745347840698129</v>
      </c>
      <c r="AL181">
        <f t="shared" si="70"/>
        <v>1.5871354414155836</v>
      </c>
      <c r="AM181">
        <f t="shared" si="71"/>
        <v>626.57723592647744</v>
      </c>
      <c r="AN181">
        <f t="shared" si="72"/>
        <v>-8.8509409579273779E-8</v>
      </c>
      <c r="AO181">
        <f t="shared" si="73"/>
        <v>5.9089159280523073E-8</v>
      </c>
      <c r="AP181">
        <v>2.9058181096176119</v>
      </c>
      <c r="AQ181">
        <f t="shared" si="74"/>
        <v>2.2411839189928783E-5</v>
      </c>
      <c r="AR181">
        <f t="shared" si="75"/>
        <v>2.7634920207604672E-6</v>
      </c>
      <c r="AS181">
        <f t="shared" si="76"/>
        <v>8.3701733468417654</v>
      </c>
      <c r="AT181">
        <f t="shared" si="77"/>
        <v>7.5733729739087963</v>
      </c>
      <c r="AU181">
        <f t="shared" si="78"/>
        <v>2.6230163343989439</v>
      </c>
      <c r="AV181">
        <f t="shared" si="79"/>
        <v>0.28280177521866801</v>
      </c>
      <c r="AW181">
        <f t="shared" si="80"/>
        <v>4.2907535535105738E-3</v>
      </c>
      <c r="AX181">
        <f t="shared" si="81"/>
        <v>0.28280177206185142</v>
      </c>
      <c r="AY181">
        <f t="shared" si="82"/>
        <v>3.1568165859141573E-9</v>
      </c>
      <c r="AZ181">
        <f t="shared" si="83"/>
        <v>839091.99888317985</v>
      </c>
      <c r="BA181">
        <f t="shared" si="84"/>
        <v>7.7127467530574529E-6</v>
      </c>
      <c r="BB181" s="15">
        <f t="shared" si="85"/>
        <v>3601642.0963915493</v>
      </c>
      <c r="BC181" s="20">
        <f t="shared" si="86"/>
        <v>-30317.766889700666</v>
      </c>
      <c r="BD181" s="19">
        <f t="shared" si="87"/>
        <v>-0.83474950249891933</v>
      </c>
      <c r="BE181" s="15">
        <v>4921160.3999999994</v>
      </c>
      <c r="BF181" s="16">
        <f>テーブル2[[#This Row],[q_P]]/テーブル2[[#This Row],[q_M]]</f>
        <v>0.73186846264786443</v>
      </c>
      <c r="BG181">
        <v>1</v>
      </c>
      <c r="BH181">
        <v>-5.0000000000000001E-3</v>
      </c>
      <c r="BI181">
        <v>4.5999999999999999E-2</v>
      </c>
      <c r="BJ181">
        <v>5625</v>
      </c>
      <c r="BK181" s="22">
        <v>1</v>
      </c>
      <c r="BL181">
        <f>テーブル2[[#This Row],[Ts]]-テーブル2[[#This Row],[Tin]]</f>
        <v>72.212138155551997</v>
      </c>
      <c r="BM181">
        <f>テーブル2[[#This Row],[q_P]]*0.000001</f>
        <v>3.601642096391549</v>
      </c>
      <c r="BN181">
        <f>テーブル2[[#This Row],[Tsub]]</f>
        <v>72.212138155551997</v>
      </c>
      <c r="BO181">
        <f>テーブル2[[#This Row],[Fcorr]]</f>
        <v>1</v>
      </c>
      <c r="BP181">
        <f>(テーブル2[[#This Row],[Tsub]]-40)^2</f>
        <v>1037.6218445523689</v>
      </c>
      <c r="BQ181">
        <v>1</v>
      </c>
      <c r="BR181">
        <v>0.15240000000000001</v>
      </c>
    </row>
    <row r="182" spans="1:70" x14ac:dyDescent="0.15">
      <c r="A182" s="9" t="s">
        <v>250</v>
      </c>
      <c r="B182">
        <v>17236893.2329209</v>
      </c>
      <c r="C182" s="22">
        <f t="array" ref="C182">TsatFromP(テーブル2[[#This Row],[P]])</f>
        <v>626.57723583796803</v>
      </c>
      <c r="D182">
        <f t="array" ref="D182">RhoGFromP(テーブル2[[#This Row],[P]])</f>
        <v>122.583590976701</v>
      </c>
      <c r="E182">
        <f t="array" ref="E182">RhoFFromP(テーブル2[[#This Row],[P]])</f>
        <v>560.26337686439001</v>
      </c>
      <c r="F182">
        <f t="array" ref="F182">HgFromP(テーブル2[[#This Row],[P]])</f>
        <v>2538890.6454807199</v>
      </c>
      <c r="G182">
        <f t="array" ref="G182">HfFromP(テーブル2[[#This Row],[P]])</f>
        <v>1699798.64659754</v>
      </c>
      <c r="H182">
        <f t="array" ref="H182">MuGFromP(テーブル2[[#This Row],[P]])</f>
        <v>2.4290890628326198E-5</v>
      </c>
      <c r="I182">
        <f t="array" ref="I182">MuFFromP(テーブル2[[#This Row],[P]])</f>
        <v>6.4066005508525405E-5</v>
      </c>
      <c r="J182">
        <f t="array" ref="J182">KfFromP(テーブル2[[#This Row],[P]])</f>
        <v>0.452884810527584</v>
      </c>
      <c r="K182">
        <f t="array" ref="K182">CpFFromP(テーブル2[[#This Row],[P]])</f>
        <v>11219.515372648901</v>
      </c>
      <c r="L182">
        <f t="array" ref="L182">SigmaFromP(テーブル2[[#This Row],[P]])</f>
        <v>3.02925386118211E-3</v>
      </c>
      <c r="M182">
        <v>181</v>
      </c>
      <c r="N182">
        <v>3580.4472000000001</v>
      </c>
      <c r="O182" s="8">
        <f t="shared" si="88"/>
        <v>2.8502295699234246E-6</v>
      </c>
      <c r="P182" s="8">
        <f t="shared" si="89"/>
        <v>5.9847340050885557E-3</v>
      </c>
      <c r="Q182" s="8">
        <v>1.905E-3</v>
      </c>
      <c r="R182">
        <v>0.15240000000000001</v>
      </c>
      <c r="S182" s="15">
        <v>4221380.37109375</v>
      </c>
      <c r="T182">
        <v>542.68385368854695</v>
      </c>
      <c r="U182" s="12">
        <f>+T182+BG182*S182*テーブル2[[#This Row],[Pw]]*R182/(N182*O182*K182)</f>
        <v>576.3112384508081</v>
      </c>
      <c r="V182">
        <v>0.03</v>
      </c>
      <c r="W182" s="8">
        <f t="shared" si="60"/>
        <v>106464.44806196552</v>
      </c>
      <c r="X182">
        <v>2.4999929916971461E-2</v>
      </c>
      <c r="Y182">
        <f t="shared" si="61"/>
        <v>6.324564185235217</v>
      </c>
      <c r="Z182">
        <f t="shared" si="62"/>
        <v>6.324564225480195</v>
      </c>
      <c r="AA182">
        <f t="shared" si="63"/>
        <v>-4.0244978016801269E-8</v>
      </c>
      <c r="AB182">
        <f t="shared" si="64"/>
        <v>5.0837688903806506E-6</v>
      </c>
      <c r="AC182">
        <v>689.4761393360692</v>
      </c>
      <c r="AD182">
        <f t="shared" si="65"/>
        <v>2975.7676171444768</v>
      </c>
      <c r="AE182">
        <f>+gettm2(AD182,AC182,AK182,AL182,テーブル2[[#This Row],[Fcorr]])</f>
        <v>576.31123845080799</v>
      </c>
      <c r="AF182" s="14">
        <f t="shared" si="66"/>
        <v>0</v>
      </c>
      <c r="AG182">
        <v>5.1501890422709151E-6</v>
      </c>
      <c r="AH182">
        <f t="shared" si="67"/>
        <v>71.50412837013036</v>
      </c>
      <c r="AI182">
        <f t="shared" si="68"/>
        <v>0.35724769982205085</v>
      </c>
      <c r="AJ182">
        <f t="shared" si="69"/>
        <v>16.090042807519282</v>
      </c>
      <c r="AK182">
        <f t="array" ref="AK182">+S182*テーブル2[[#This Row],[F_form]]/(E182*CpFromTP((テーブル2[[#This Row],[Tin]]+テーブル2[[#This Row],[Tf]])/2,テーブル2[[#This Row],[P]])*AI182)</f>
        <v>4.0636181127757887</v>
      </c>
      <c r="AL182">
        <f t="shared" si="70"/>
        <v>1.5871354414155836</v>
      </c>
      <c r="AM182">
        <f t="shared" si="71"/>
        <v>626.57723580084667</v>
      </c>
      <c r="AN182">
        <f t="shared" si="72"/>
        <v>3.7121367313375231E-8</v>
      </c>
      <c r="AO182">
        <f t="shared" si="73"/>
        <v>6.6420151890264503E-8</v>
      </c>
      <c r="AP182">
        <v>2.9454626210874451</v>
      </c>
      <c r="AQ182">
        <f t="shared" si="74"/>
        <v>2.1812594117314753E-5</v>
      </c>
      <c r="AR182">
        <f t="shared" si="75"/>
        <v>2.6083045970805898E-6</v>
      </c>
      <c r="AS182">
        <f t="shared" si="76"/>
        <v>8.1487751765265006</v>
      </c>
      <c r="AT182">
        <f t="shared" si="77"/>
        <v>7.4393381543503141</v>
      </c>
      <c r="AU182">
        <f t="shared" si="78"/>
        <v>2.6576864438400709</v>
      </c>
      <c r="AV182">
        <f t="shared" si="79"/>
        <v>0.28777617724737414</v>
      </c>
      <c r="AW182">
        <f t="shared" si="80"/>
        <v>4.0329049607073586E-3</v>
      </c>
      <c r="AX182">
        <f t="shared" si="81"/>
        <v>0.28777617006115402</v>
      </c>
      <c r="AY182">
        <f t="shared" si="82"/>
        <v>7.1862201189709651E-9</v>
      </c>
      <c r="AZ182">
        <f t="shared" si="83"/>
        <v>839091.99888317985</v>
      </c>
      <c r="BA182">
        <f t="shared" si="84"/>
        <v>7.4054900446374325E-6</v>
      </c>
      <c r="BB182" s="15">
        <f t="shared" si="85"/>
        <v>4216458.9490732066</v>
      </c>
      <c r="BC182" s="20">
        <f t="shared" si="86"/>
        <v>-4921.4220205433667</v>
      </c>
      <c r="BD182" s="19">
        <f t="shared" si="87"/>
        <v>-0.11658324026527458</v>
      </c>
      <c r="BE182" s="15">
        <v>5394348.8999999994</v>
      </c>
      <c r="BF182" s="16">
        <f>テーブル2[[#This Row],[q_P]]/テーブル2[[#This Row],[q_M]]</f>
        <v>0.78164372146436567</v>
      </c>
      <c r="BG182">
        <v>1</v>
      </c>
      <c r="BH182">
        <v>-4.4999999999999998E-2</v>
      </c>
      <c r="BI182">
        <v>4.5999999999999999E-2</v>
      </c>
      <c r="BJ182">
        <v>5625</v>
      </c>
      <c r="BK182" s="22">
        <v>1</v>
      </c>
      <c r="BL182">
        <f>テーブル2[[#This Row],[Ts]]-テーブル2[[#This Row],[Tin]]</f>
        <v>83.893382149421086</v>
      </c>
      <c r="BM182">
        <f>テーブル2[[#This Row],[q_P]]*0.000001</f>
        <v>4.2164589490732061</v>
      </c>
      <c r="BN182">
        <f>テーブル2[[#This Row],[Tsub]]</f>
        <v>83.893382149421086</v>
      </c>
      <c r="BO182">
        <f>テーブル2[[#This Row],[Fcorr]]</f>
        <v>1</v>
      </c>
      <c r="BP182">
        <f>(テーブル2[[#This Row],[Tsub]]-40)^2</f>
        <v>1926.6289965151177</v>
      </c>
      <c r="BQ182">
        <v>1</v>
      </c>
      <c r="BR182">
        <v>0.15240000000000001</v>
      </c>
    </row>
    <row r="183" spans="1:70" x14ac:dyDescent="0.15">
      <c r="A183" s="9" t="s">
        <v>251</v>
      </c>
      <c r="B183">
        <v>17236893.2329209</v>
      </c>
      <c r="C183" s="22">
        <f t="array" ref="C183">TsatFromP(テーブル2[[#This Row],[P]])</f>
        <v>626.57723583796803</v>
      </c>
      <c r="D183">
        <f t="array" ref="D183">RhoGFromP(テーブル2[[#This Row],[P]])</f>
        <v>122.583590976701</v>
      </c>
      <c r="E183">
        <f t="array" ref="E183">RhoFFromP(テーブル2[[#This Row],[P]])</f>
        <v>560.26337686439001</v>
      </c>
      <c r="F183">
        <f t="array" ref="F183">HgFromP(テーブル2[[#This Row],[P]])</f>
        <v>2538890.6454807199</v>
      </c>
      <c r="G183">
        <f t="array" ref="G183">HfFromP(テーブル2[[#This Row],[P]])</f>
        <v>1699798.64659754</v>
      </c>
      <c r="H183">
        <f t="array" ref="H183">MuGFromP(テーブル2[[#This Row],[P]])</f>
        <v>2.4290890628326198E-5</v>
      </c>
      <c r="I183">
        <f t="array" ref="I183">MuFFromP(テーブル2[[#This Row],[P]])</f>
        <v>6.4066005508525405E-5</v>
      </c>
      <c r="J183">
        <f t="array" ref="J183">KfFromP(テーブル2[[#This Row],[P]])</f>
        <v>0.452884810527584</v>
      </c>
      <c r="K183">
        <f t="array" ref="K183">CpFFromP(テーブル2[[#This Row],[P]])</f>
        <v>11219.515372648901</v>
      </c>
      <c r="L183">
        <f t="array" ref="L183">SigmaFromP(テーブル2[[#This Row],[P]])</f>
        <v>3.02925386118211E-3</v>
      </c>
      <c r="M183">
        <v>182</v>
      </c>
      <c r="N183">
        <v>3607.5718000000002</v>
      </c>
      <c r="O183" s="8">
        <f t="shared" si="88"/>
        <v>2.8502295699234246E-6</v>
      </c>
      <c r="P183" s="8">
        <f t="shared" si="89"/>
        <v>5.9847340050885557E-3</v>
      </c>
      <c r="Q183" s="8">
        <v>1.905E-3</v>
      </c>
      <c r="R183">
        <v>0.15240000000000001</v>
      </c>
      <c r="S183" s="15">
        <v>4115340.52734375</v>
      </c>
      <c r="T183">
        <v>545.51979880609497</v>
      </c>
      <c r="U183" s="12">
        <f>+T183+BG183*S183*テーブル2[[#This Row],[Pw]]*R183/(N183*O183*K183)</f>
        <v>578.05598719493196</v>
      </c>
      <c r="V183">
        <v>0.03</v>
      </c>
      <c r="W183" s="8">
        <f t="shared" si="60"/>
        <v>107270.99691091981</v>
      </c>
      <c r="X183">
        <v>2.4925881209394141E-2</v>
      </c>
      <c r="Y183">
        <f t="shared" si="61"/>
        <v>6.3339515865322156</v>
      </c>
      <c r="Z183">
        <f t="shared" si="62"/>
        <v>6.3339516227231965</v>
      </c>
      <c r="AA183">
        <f t="shared" si="63"/>
        <v>-3.6190980878814116E-8</v>
      </c>
      <c r="AB183">
        <f t="shared" si="64"/>
        <v>5.0224850177624719E-6</v>
      </c>
      <c r="AC183">
        <v>686.90439531517939</v>
      </c>
      <c r="AD183">
        <f t="shared" si="65"/>
        <v>2993.8675842437615</v>
      </c>
      <c r="AE183">
        <f>+gettm2(AD183,AC183,AK183,AL183,テーブル2[[#This Row],[Fcorr]])</f>
        <v>578.05598719493173</v>
      </c>
      <c r="AF183" s="14">
        <f t="shared" si="66"/>
        <v>0</v>
      </c>
      <c r="AG183">
        <v>5.0868674831858452E-6</v>
      </c>
      <c r="AH183">
        <f t="shared" si="67"/>
        <v>72.376614774611681</v>
      </c>
      <c r="AI183">
        <f t="shared" si="68"/>
        <v>0.35942064221708875</v>
      </c>
      <c r="AJ183">
        <f t="shared" si="69"/>
        <v>15.988879436486876</v>
      </c>
      <c r="AK183">
        <f t="array" ref="AK183">+S183*テーブル2[[#This Row],[F_form]]/(E183*CpFromTP((テーブル2[[#This Row],[Tin]]+テーブル2[[#This Row],[Tf]])/2,テーブル2[[#This Row],[P]])*AI183)</f>
        <v>3.9064656697385924</v>
      </c>
      <c r="AL183">
        <f t="shared" si="70"/>
        <v>1.5871354414155836</v>
      </c>
      <c r="AM183">
        <f t="shared" si="71"/>
        <v>626.57723578871332</v>
      </c>
      <c r="AN183">
        <f t="shared" si="72"/>
        <v>4.9254708756052423E-8</v>
      </c>
      <c r="AO183">
        <f t="shared" si="73"/>
        <v>6.4382465423373318E-8</v>
      </c>
      <c r="AP183">
        <v>2.9510677638246881</v>
      </c>
      <c r="AQ183">
        <f t="shared" si="74"/>
        <v>2.1729812830829328E-5</v>
      </c>
      <c r="AR183">
        <f t="shared" si="75"/>
        <v>2.5756249743046093E-6</v>
      </c>
      <c r="AS183">
        <f t="shared" si="76"/>
        <v>8.0956221729545828</v>
      </c>
      <c r="AT183">
        <f t="shared" si="77"/>
        <v>7.4066172154787742</v>
      </c>
      <c r="AU183">
        <f t="shared" si="78"/>
        <v>2.6620911162435266</v>
      </c>
      <c r="AV183">
        <f t="shared" si="79"/>
        <v>0.28897664758116148</v>
      </c>
      <c r="AW183">
        <f t="shared" si="80"/>
        <v>3.9842890540399906E-3</v>
      </c>
      <c r="AX183">
        <f t="shared" si="81"/>
        <v>0.28897663971192433</v>
      </c>
      <c r="AY183">
        <f t="shared" si="82"/>
        <v>7.869237150792685E-9</v>
      </c>
      <c r="AZ183">
        <f t="shared" si="83"/>
        <v>839091.99888317985</v>
      </c>
      <c r="BA183">
        <f t="shared" si="84"/>
        <v>7.3633730465974534E-6</v>
      </c>
      <c r="BB183" s="15">
        <f t="shared" si="85"/>
        <v>4110480.7085093278</v>
      </c>
      <c r="BC183" s="20">
        <f t="shared" si="86"/>
        <v>-4859.8188344221562</v>
      </c>
      <c r="BD183" s="19">
        <f t="shared" si="87"/>
        <v>-0.11809032088916661</v>
      </c>
      <c r="BE183" s="15">
        <v>4984252.2</v>
      </c>
      <c r="BF183" s="16">
        <f>テーブル2[[#This Row],[q_P]]/テーブル2[[#This Row],[q_M]]</f>
        <v>0.82469356356191759</v>
      </c>
      <c r="BG183">
        <v>1</v>
      </c>
      <c r="BH183">
        <v>-7.5999999999999998E-2</v>
      </c>
      <c r="BI183">
        <v>4.5999999999999999E-2</v>
      </c>
      <c r="BJ183">
        <v>5625</v>
      </c>
      <c r="BK183" s="22">
        <v>1</v>
      </c>
      <c r="BL183">
        <f>テーブル2[[#This Row],[Ts]]-テーブル2[[#This Row],[Tin]]</f>
        <v>81.057437031873064</v>
      </c>
      <c r="BM183">
        <f>テーブル2[[#This Row],[q_P]]*0.000001</f>
        <v>4.1104807085093276</v>
      </c>
      <c r="BN183">
        <f>テーブル2[[#This Row],[Tsub]]</f>
        <v>81.057437031873064</v>
      </c>
      <c r="BO183">
        <f>テーブル2[[#This Row],[Fcorr]]</f>
        <v>1</v>
      </c>
      <c r="BP183">
        <f>(テーブル2[[#This Row],[Tsub]]-40)^2</f>
        <v>1685.7131356262216</v>
      </c>
      <c r="BQ183">
        <v>1</v>
      </c>
      <c r="BR183">
        <v>0.15240000000000001</v>
      </c>
    </row>
    <row r="184" spans="1:70" x14ac:dyDescent="0.15">
      <c r="A184" s="9" t="s">
        <v>252</v>
      </c>
      <c r="B184">
        <v>17236893.2329209</v>
      </c>
      <c r="C184" s="22">
        <f t="array" ref="C184">TsatFromP(テーブル2[[#This Row],[P]])</f>
        <v>626.57723583796803</v>
      </c>
      <c r="D184">
        <f t="array" ref="D184">RhoGFromP(テーブル2[[#This Row],[P]])</f>
        <v>122.583590976701</v>
      </c>
      <c r="E184">
        <f t="array" ref="E184">RhoFFromP(テーブル2[[#This Row],[P]])</f>
        <v>560.26337686439001</v>
      </c>
      <c r="F184">
        <f t="array" ref="F184">HgFromP(テーブル2[[#This Row],[P]])</f>
        <v>2538890.6454807199</v>
      </c>
      <c r="G184">
        <f t="array" ref="G184">HfFromP(テーブル2[[#This Row],[P]])</f>
        <v>1699798.64659754</v>
      </c>
      <c r="H184">
        <f t="array" ref="H184">MuGFromP(テーブル2[[#This Row],[P]])</f>
        <v>2.4290890628326198E-5</v>
      </c>
      <c r="I184">
        <f t="array" ref="I184">MuFFromP(テーブル2[[#This Row],[P]])</f>
        <v>6.4066005508525405E-5</v>
      </c>
      <c r="J184">
        <f t="array" ref="J184">KfFromP(テーブル2[[#This Row],[P]])</f>
        <v>0.452884810527584</v>
      </c>
      <c r="K184">
        <f t="array" ref="K184">CpFFromP(テーブル2[[#This Row],[P]])</f>
        <v>11219.515372648901</v>
      </c>
      <c r="L184">
        <f t="array" ref="L184">SigmaFromP(テーブル2[[#This Row],[P]])</f>
        <v>3.02925386118211E-3</v>
      </c>
      <c r="M184">
        <v>183</v>
      </c>
      <c r="N184">
        <v>3621.1341000000002</v>
      </c>
      <c r="O184" s="8">
        <f t="shared" ref="O184:O215" si="90">PI()*Q184^2/4</f>
        <v>2.8502295699234246E-6</v>
      </c>
      <c r="P184" s="8">
        <f t="shared" ref="P184:P215" si="91">PI()*Q184</f>
        <v>5.9847340050885557E-3</v>
      </c>
      <c r="Q184" s="8">
        <v>1.905E-3</v>
      </c>
      <c r="R184">
        <v>0.15240000000000001</v>
      </c>
      <c r="S184" s="15">
        <v>3801870.99609375</v>
      </c>
      <c r="T184">
        <v>552.84412708824402</v>
      </c>
      <c r="U184" s="12">
        <f>+T184+BG184*S184*テーブル2[[#This Row],[Pw]]*R184/(N184*O184*K184)</f>
        <v>582.78942573032862</v>
      </c>
      <c r="V184">
        <v>0.03</v>
      </c>
      <c r="W184" s="8">
        <f t="shared" si="60"/>
        <v>107674.27133539696</v>
      </c>
      <c r="X184">
        <v>2.4889192575288509E-2</v>
      </c>
      <c r="Y184">
        <f t="shared" si="61"/>
        <v>6.3386182396680733</v>
      </c>
      <c r="Z184">
        <f t="shared" si="62"/>
        <v>6.3386182738389287</v>
      </c>
      <c r="AA184">
        <f t="shared" si="63"/>
        <v>-3.4170855478521389E-8</v>
      </c>
      <c r="AB184">
        <f t="shared" si="64"/>
        <v>4.992282045515813E-6</v>
      </c>
      <c r="AC184">
        <v>680.81293541784623</v>
      </c>
      <c r="AD184">
        <f t="shared" si="65"/>
        <v>3002.9102771997223</v>
      </c>
      <c r="AE184">
        <f>+gettm2(AD184,AC184,AK184,AL184,テーブル2[[#This Row],[Fcorr]])</f>
        <v>582.7894257303285</v>
      </c>
      <c r="AF184" s="14">
        <f t="shared" si="66"/>
        <v>0</v>
      </c>
      <c r="AG184">
        <v>5.05193082825389E-6</v>
      </c>
      <c r="AH184">
        <f t="shared" si="67"/>
        <v>72.81448844989977</v>
      </c>
      <c r="AI184">
        <f t="shared" si="68"/>
        <v>0.36050623816218275</v>
      </c>
      <c r="AJ184">
        <f t="shared" si="69"/>
        <v>15.927028875449565</v>
      </c>
      <c r="AK184">
        <f t="array" ref="AK184">+S184*テーブル2[[#This Row],[F_form]]/(E184*CpFromTP((テーブル2[[#This Row],[Tin]]+テーブル2[[#This Row],[Tf]])/2,テーブル2[[#This Row],[P]])*AI184)</f>
        <v>3.5170072718552894</v>
      </c>
      <c r="AL184">
        <f t="shared" si="70"/>
        <v>1.5871354414155836</v>
      </c>
      <c r="AM184">
        <f t="shared" si="71"/>
        <v>626.57723579623746</v>
      </c>
      <c r="AN184">
        <f t="shared" si="72"/>
        <v>4.173057277512271E-8</v>
      </c>
      <c r="AO184">
        <f t="shared" si="73"/>
        <v>5.9648782738076939E-8</v>
      </c>
      <c r="AP184">
        <v>2.9514450813664541</v>
      </c>
      <c r="AQ184">
        <f t="shared" si="74"/>
        <v>2.172425723670843E-5</v>
      </c>
      <c r="AR184">
        <f t="shared" si="75"/>
        <v>2.5557898054959834E-6</v>
      </c>
      <c r="AS184">
        <f t="shared" si="76"/>
        <v>8.0575406543686796</v>
      </c>
      <c r="AT184">
        <f t="shared" si="77"/>
        <v>7.3830419011302784</v>
      </c>
      <c r="AU184">
        <f t="shared" si="78"/>
        <v>2.6616326619702466</v>
      </c>
      <c r="AV184">
        <f t="shared" si="79"/>
        <v>0.2898124193962075</v>
      </c>
      <c r="AW184">
        <f t="shared" si="80"/>
        <v>3.9603293266747023E-3</v>
      </c>
      <c r="AX184">
        <f t="shared" si="81"/>
        <v>0.28981241140434177</v>
      </c>
      <c r="AY184">
        <f t="shared" si="82"/>
        <v>7.9918657247546321E-9</v>
      </c>
      <c r="AZ184">
        <f t="shared" si="83"/>
        <v>839091.99888317985</v>
      </c>
      <c r="BA184">
        <f t="shared" si="84"/>
        <v>7.360549370835854E-6</v>
      </c>
      <c r="BB184" s="15">
        <f t="shared" si="85"/>
        <v>3809720.9819438104</v>
      </c>
      <c r="BC184" s="20">
        <f t="shared" si="86"/>
        <v>7849.9858500603586</v>
      </c>
      <c r="BD184" s="19">
        <f t="shared" si="87"/>
        <v>0.20647691250244585</v>
      </c>
      <c r="BE184" s="15">
        <v>5110435.8000000007</v>
      </c>
      <c r="BF184" s="16">
        <f>テーブル2[[#This Row],[q_P]]/テーブル2[[#This Row],[q_M]]</f>
        <v>0.74547868930156791</v>
      </c>
      <c r="BG184">
        <v>1</v>
      </c>
      <c r="BH184">
        <v>-2.1000000000000001E-2</v>
      </c>
      <c r="BI184">
        <v>4.5999999999999999E-2</v>
      </c>
      <c r="BJ184">
        <v>5625</v>
      </c>
      <c r="BK184" s="22">
        <v>1</v>
      </c>
      <c r="BL184">
        <f>テーブル2[[#This Row],[Ts]]-テーブル2[[#This Row],[Tin]]</f>
        <v>73.733108749724011</v>
      </c>
      <c r="BM184">
        <f>テーブル2[[#This Row],[q_P]]*0.000001</f>
        <v>3.8097209819438103</v>
      </c>
      <c r="BN184">
        <f>テーブル2[[#This Row],[Tsub]]</f>
        <v>73.733108749724011</v>
      </c>
      <c r="BO184">
        <f>テーブル2[[#This Row],[Fcorr]]</f>
        <v>1</v>
      </c>
      <c r="BP184">
        <f>(テーブル2[[#This Row],[Tsub]]-40)^2</f>
        <v>1137.9226259207067</v>
      </c>
      <c r="BQ184">
        <v>1</v>
      </c>
      <c r="BR184">
        <v>0.15240000000000001</v>
      </c>
    </row>
    <row r="185" spans="1:70" x14ac:dyDescent="0.15">
      <c r="A185" s="9" t="s">
        <v>253</v>
      </c>
      <c r="B185">
        <v>17236893.2329209</v>
      </c>
      <c r="C185" s="22">
        <f t="array" ref="C185">TsatFromP(テーブル2[[#This Row],[P]])</f>
        <v>626.57723583796803</v>
      </c>
      <c r="D185">
        <f t="array" ref="D185">RhoGFromP(テーブル2[[#This Row],[P]])</f>
        <v>122.583590976701</v>
      </c>
      <c r="E185">
        <f t="array" ref="E185">RhoFFromP(テーブル2[[#This Row],[P]])</f>
        <v>560.26337686439001</v>
      </c>
      <c r="F185">
        <f t="array" ref="F185">HgFromP(テーブル2[[#This Row],[P]])</f>
        <v>2538890.6454807199</v>
      </c>
      <c r="G185">
        <f t="array" ref="G185">HfFromP(テーブル2[[#This Row],[P]])</f>
        <v>1699798.64659754</v>
      </c>
      <c r="H185">
        <f t="array" ref="H185">MuGFromP(テーブル2[[#This Row],[P]])</f>
        <v>2.4290890628326198E-5</v>
      </c>
      <c r="I185">
        <f t="array" ref="I185">MuFFromP(テーブル2[[#This Row],[P]])</f>
        <v>6.4066005508525405E-5</v>
      </c>
      <c r="J185">
        <f t="array" ref="J185">KfFromP(テーブル2[[#This Row],[P]])</f>
        <v>0.452884810527584</v>
      </c>
      <c r="K185">
        <f t="array" ref="K185">CpFFromP(テーブル2[[#This Row],[P]])</f>
        <v>11219.515372648901</v>
      </c>
      <c r="L185">
        <f t="array" ref="L185">SigmaFromP(テーブル2[[#This Row],[P]])</f>
        <v>3.02925386118211E-3</v>
      </c>
      <c r="M185">
        <v>184</v>
      </c>
      <c r="N185">
        <v>2088.5942</v>
      </c>
      <c r="O185" s="8">
        <f t="shared" si="90"/>
        <v>2.8502295699234246E-6</v>
      </c>
      <c r="P185" s="8">
        <f t="shared" si="91"/>
        <v>5.9847340050885557E-3</v>
      </c>
      <c r="Q185" s="8">
        <v>1.905E-3</v>
      </c>
      <c r="R185">
        <v>0.69596000000000002</v>
      </c>
      <c r="S185" s="15">
        <v>4209182.8773437506</v>
      </c>
      <c r="T185">
        <v>296.59800912860601</v>
      </c>
      <c r="U185" s="12">
        <f>+T185+BG185*S185*テーブル2[[#This Row],[Pw]]*R185/(N185*O185*K185)</f>
        <v>559.09173068124301</v>
      </c>
      <c r="V185">
        <v>0.03</v>
      </c>
      <c r="W185" s="8">
        <f t="shared" si="60"/>
        <v>62104.261369479893</v>
      </c>
      <c r="X185">
        <v>3.1306557834014398E-2</v>
      </c>
      <c r="Y185">
        <f t="shared" si="61"/>
        <v>5.6517421567611947</v>
      </c>
      <c r="Z185">
        <f t="shared" si="62"/>
        <v>5.6517422024560648</v>
      </c>
      <c r="AA185">
        <f t="shared" si="63"/>
        <v>-4.5694870109969088E-8</v>
      </c>
      <c r="AB185">
        <f t="shared" si="64"/>
        <v>1.1930418629880729E-5</v>
      </c>
      <c r="AC185">
        <v>760.85989092691727</v>
      </c>
      <c r="AD185">
        <f t="shared" si="65"/>
        <v>1942.5136151339686</v>
      </c>
      <c r="AE185">
        <f>+gettm2(AD185,AC185,AK185,AL185,テーブル2[[#This Row],[Fcorr]])</f>
        <v>559.09173068124289</v>
      </c>
      <c r="AF185" s="14">
        <f t="shared" si="66"/>
        <v>0</v>
      </c>
      <c r="AG185">
        <v>1.2045656399718649E-5</v>
      </c>
      <c r="AH185">
        <f t="shared" si="67"/>
        <v>30.469212742578112</v>
      </c>
      <c r="AI185">
        <f t="shared" si="68"/>
        <v>0.23320319667486131</v>
      </c>
      <c r="AJ185">
        <f t="shared" si="69"/>
        <v>24.565723422235276</v>
      </c>
      <c r="AK185">
        <f t="array" ref="AK185">+S185*テーブル2[[#This Row],[F_form]]/(E185*CpFromTP((テーブル2[[#This Row],[Tin]]+テーブル2[[#This Row],[Tf]])/2,テーブル2[[#This Row],[P]])*AI185)</f>
        <v>7.5382518061136228</v>
      </c>
      <c r="AL185">
        <f t="shared" si="70"/>
        <v>1.5871354414155836</v>
      </c>
      <c r="AM185">
        <f t="shared" si="71"/>
        <v>626.57723582087169</v>
      </c>
      <c r="AN185">
        <f t="shared" si="72"/>
        <v>1.709634034341434E-8</v>
      </c>
      <c r="AO185">
        <f t="shared" si="73"/>
        <v>1.1523776983792001E-7</v>
      </c>
      <c r="AP185">
        <v>2.4502587750761191</v>
      </c>
      <c r="AQ185">
        <f t="shared" si="74"/>
        <v>3.1520307331782463E-5</v>
      </c>
      <c r="AR185">
        <f t="shared" si="75"/>
        <v>6.0804470847782847E-6</v>
      </c>
      <c r="AS185">
        <f t="shared" si="76"/>
        <v>12.400368764602065</v>
      </c>
      <c r="AT185">
        <f t="shared" si="77"/>
        <v>9.5386310562480254</v>
      </c>
      <c r="AU185">
        <f t="shared" si="78"/>
        <v>2.2244392542191482</v>
      </c>
      <c r="AV185">
        <f t="shared" si="79"/>
        <v>0.22581952085697088</v>
      </c>
      <c r="AW185">
        <f t="shared" si="80"/>
        <v>9.4642863421273444E-3</v>
      </c>
      <c r="AX185">
        <f t="shared" si="81"/>
        <v>0.22581950392406064</v>
      </c>
      <c r="AY185">
        <f t="shared" si="82"/>
        <v>1.693291024063015E-8</v>
      </c>
      <c r="AZ185">
        <f t="shared" si="83"/>
        <v>839091.99888317985</v>
      </c>
      <c r="BA185">
        <f t="shared" si="84"/>
        <v>1.2864072828717147E-5</v>
      </c>
      <c r="BB185" s="15">
        <f t="shared" si="85"/>
        <v>4211319.2866349528</v>
      </c>
      <c r="BC185" s="20">
        <f t="shared" si="86"/>
        <v>2136.4092912022024</v>
      </c>
      <c r="BD185" s="19">
        <f t="shared" si="87"/>
        <v>5.0755915184906533E-2</v>
      </c>
      <c r="BE185" s="15">
        <v>2113575.2999999998</v>
      </c>
      <c r="BF185" s="16">
        <f>テーブル2[[#This Row],[q_P]]/テーブル2[[#This Row],[q_M]]</f>
        <v>1.9925096998602099</v>
      </c>
      <c r="BG185">
        <v>1</v>
      </c>
      <c r="BH185">
        <v>-0.127</v>
      </c>
      <c r="BI185">
        <v>4.5999999999999999E-2</v>
      </c>
      <c r="BJ185">
        <v>5625</v>
      </c>
      <c r="BK185" s="22">
        <v>1</v>
      </c>
      <c r="BL185">
        <f>テーブル2[[#This Row],[Ts]]-テーブル2[[#This Row],[Tin]]</f>
        <v>329.97922670936202</v>
      </c>
      <c r="BM185">
        <f>テーブル2[[#This Row],[q_P]]*0.000001</f>
        <v>4.2113192866349527</v>
      </c>
      <c r="BN185">
        <f>テーブル2[[#This Row],[Tsub]]</f>
        <v>329.97922670936202</v>
      </c>
      <c r="BO185">
        <f>テーブル2[[#This Row],[Fcorr]]</f>
        <v>1</v>
      </c>
      <c r="BP185">
        <f>(テーブル2[[#This Row],[Tsub]]-40)^2</f>
        <v>84087.951922959575</v>
      </c>
      <c r="BQ185">
        <v>1</v>
      </c>
      <c r="BR185">
        <v>0.69596000000000002</v>
      </c>
    </row>
    <row r="186" spans="1:70" x14ac:dyDescent="0.15">
      <c r="A186" s="9" t="s">
        <v>254</v>
      </c>
      <c r="B186">
        <v>17236893.2329209</v>
      </c>
      <c r="C186" s="22">
        <f t="array" ref="C186">TsatFromP(テーブル2[[#This Row],[P]])</f>
        <v>626.57723583796803</v>
      </c>
      <c r="D186">
        <f t="array" ref="D186">RhoGFromP(テーブル2[[#This Row],[P]])</f>
        <v>122.583590976701</v>
      </c>
      <c r="E186">
        <f t="array" ref="E186">RhoFFromP(テーブル2[[#This Row],[P]])</f>
        <v>560.26337686439001</v>
      </c>
      <c r="F186">
        <f t="array" ref="F186">HgFromP(テーブル2[[#This Row],[P]])</f>
        <v>2538890.6454807199</v>
      </c>
      <c r="G186">
        <f t="array" ref="G186">HfFromP(テーブル2[[#This Row],[P]])</f>
        <v>1699798.64659754</v>
      </c>
      <c r="H186">
        <f t="array" ref="H186">MuGFromP(テーブル2[[#This Row],[P]])</f>
        <v>2.4290890628326198E-5</v>
      </c>
      <c r="I186">
        <f t="array" ref="I186">MuFFromP(テーブル2[[#This Row],[P]])</f>
        <v>6.4066005508525405E-5</v>
      </c>
      <c r="J186">
        <f t="array" ref="J186">KfFromP(テーブル2[[#This Row],[P]])</f>
        <v>0.452884810527584</v>
      </c>
      <c r="K186">
        <f t="array" ref="K186">CpFFromP(テーブル2[[#This Row],[P]])</f>
        <v>11219.515372648901</v>
      </c>
      <c r="L186">
        <f t="array" ref="L186">SigmaFromP(テーブル2[[#This Row],[P]])</f>
        <v>3.02925386118211E-3</v>
      </c>
      <c r="M186">
        <v>185</v>
      </c>
      <c r="N186">
        <v>2088.5942</v>
      </c>
      <c r="O186" s="8">
        <f t="shared" si="90"/>
        <v>2.8502295699234246E-6</v>
      </c>
      <c r="P186" s="8">
        <f t="shared" si="91"/>
        <v>5.9847340050885557E-3</v>
      </c>
      <c r="Q186" s="8">
        <v>1.905E-3</v>
      </c>
      <c r="R186">
        <v>0.69596000000000002</v>
      </c>
      <c r="S186" s="15">
        <v>4174835.99609375</v>
      </c>
      <c r="T186">
        <v>299.35406737670502</v>
      </c>
      <c r="U186" s="12">
        <f>+T186+BG186*S186*テーブル2[[#This Row],[Pw]]*R186/(N186*O186*K186)</f>
        <v>559.70584334375872</v>
      </c>
      <c r="V186">
        <v>0.03</v>
      </c>
      <c r="W186" s="8">
        <f t="shared" si="60"/>
        <v>62104.261369479893</v>
      </c>
      <c r="X186">
        <v>3.1306557834014398E-2</v>
      </c>
      <c r="Y186">
        <f t="shared" si="61"/>
        <v>5.6517421567611947</v>
      </c>
      <c r="Z186">
        <f t="shared" si="62"/>
        <v>5.6517422024560648</v>
      </c>
      <c r="AA186">
        <f t="shared" si="63"/>
        <v>-4.5694870109969088E-8</v>
      </c>
      <c r="AB186">
        <f t="shared" si="64"/>
        <v>1.1930418629880729E-5</v>
      </c>
      <c r="AC186">
        <v>759.63413465095618</v>
      </c>
      <c r="AD186">
        <f t="shared" si="65"/>
        <v>1942.5136151339686</v>
      </c>
      <c r="AE186">
        <f>+gettm2(AD186,AC186,AK186,AL186,テーブル2[[#This Row],[Fcorr]])</f>
        <v>559.7058433437586</v>
      </c>
      <c r="AF186" s="14">
        <f t="shared" si="66"/>
        <v>0</v>
      </c>
      <c r="AG186">
        <v>1.204527784765983E-5</v>
      </c>
      <c r="AH186">
        <f t="shared" si="67"/>
        <v>30.469212742578112</v>
      </c>
      <c r="AI186">
        <f t="shared" si="68"/>
        <v>0.23320319667486131</v>
      </c>
      <c r="AJ186">
        <f t="shared" si="69"/>
        <v>24.564951409082212</v>
      </c>
      <c r="AK186">
        <f t="array" ref="AK186">+S186*テーブル2[[#This Row],[F_form]]/(E186*CpFromTP((テーブル2[[#This Row],[Tin]]+テーブル2[[#This Row],[Tf]])/2,テーブル2[[#This Row],[P]])*AI186)</f>
        <v>7.4695125395633539</v>
      </c>
      <c r="AL186">
        <f t="shared" si="70"/>
        <v>1.5871354414155836</v>
      </c>
      <c r="AM186">
        <f t="shared" si="71"/>
        <v>626.57723582118433</v>
      </c>
      <c r="AN186">
        <f t="shared" si="72"/>
        <v>1.6783701539679896E-8</v>
      </c>
      <c r="AO186">
        <f t="shared" si="73"/>
        <v>1.1485921777910019E-7</v>
      </c>
      <c r="AP186">
        <v>2.450192305911981</v>
      </c>
      <c r="AQ186">
        <f t="shared" si="74"/>
        <v>3.152201752970867E-5</v>
      </c>
      <c r="AR186">
        <f t="shared" si="75"/>
        <v>6.0800685327194649E-6</v>
      </c>
      <c r="AS186">
        <f t="shared" si="76"/>
        <v>12.399596751449002</v>
      </c>
      <c r="AT186">
        <f t="shared" si="77"/>
        <v>9.5383197601888376</v>
      </c>
      <c r="AU186">
        <f t="shared" si="78"/>
        <v>2.2243666589830333</v>
      </c>
      <c r="AV186">
        <f t="shared" si="79"/>
        <v>0.22582564692894769</v>
      </c>
      <c r="AW186">
        <f t="shared" si="80"/>
        <v>9.4642863421273444E-3</v>
      </c>
      <c r="AX186">
        <f t="shared" si="81"/>
        <v>0.22582562998756825</v>
      </c>
      <c r="AY186">
        <f t="shared" si="82"/>
        <v>1.6941379438195625E-8</v>
      </c>
      <c r="AZ186">
        <f t="shared" si="83"/>
        <v>839091.99888317985</v>
      </c>
      <c r="BA186">
        <f t="shared" si="84"/>
        <v>1.2865119792291537E-5</v>
      </c>
      <c r="BB186" s="15">
        <f t="shared" si="85"/>
        <v>4197143.6581179211</v>
      </c>
      <c r="BC186" s="20">
        <f t="shared" si="86"/>
        <v>22307.662024171092</v>
      </c>
      <c r="BD186" s="19">
        <f t="shared" si="87"/>
        <v>0.53433624805965074</v>
      </c>
      <c r="BE186" s="15">
        <v>2082029.4</v>
      </c>
      <c r="BF186" s="16">
        <f>テーブル2[[#This Row],[q_P]]/テーブル2[[#This Row],[q_M]]</f>
        <v>2.0158906776810745</v>
      </c>
      <c r="BG186">
        <v>1</v>
      </c>
      <c r="BH186">
        <v>-0.14000000000000001</v>
      </c>
      <c r="BI186">
        <v>4.5999999999999999E-2</v>
      </c>
      <c r="BJ186">
        <v>5625</v>
      </c>
      <c r="BK186" s="22">
        <v>1</v>
      </c>
      <c r="BL186">
        <f>テーブル2[[#This Row],[Ts]]-テーブル2[[#This Row],[Tin]]</f>
        <v>327.22316846126301</v>
      </c>
      <c r="BM186">
        <f>テーブル2[[#This Row],[q_P]]*0.000001</f>
        <v>4.1971436581179207</v>
      </c>
      <c r="BN186">
        <f>テーブル2[[#This Row],[Tsub]]</f>
        <v>327.22316846126301</v>
      </c>
      <c r="BO186">
        <f>テーブル2[[#This Row],[Fcorr]]</f>
        <v>1</v>
      </c>
      <c r="BP186">
        <f>(テーブル2[[#This Row],[Tsub]]-40)^2</f>
        <v>82497.148500927069</v>
      </c>
      <c r="BQ186">
        <v>1</v>
      </c>
      <c r="BR186">
        <v>0.69596000000000002</v>
      </c>
    </row>
    <row r="187" spans="1:70" x14ac:dyDescent="0.15">
      <c r="A187" s="9" t="s">
        <v>255</v>
      </c>
      <c r="B187">
        <v>17236893.2329209</v>
      </c>
      <c r="C187" s="22">
        <f t="array" ref="C187">TsatFromP(テーブル2[[#This Row],[P]])</f>
        <v>626.57723583796803</v>
      </c>
      <c r="D187">
        <f t="array" ref="D187">RhoGFromP(テーブル2[[#This Row],[P]])</f>
        <v>122.583590976701</v>
      </c>
      <c r="E187">
        <f t="array" ref="E187">RhoFFromP(テーブル2[[#This Row],[P]])</f>
        <v>560.26337686439001</v>
      </c>
      <c r="F187">
        <f t="array" ref="F187">HgFromP(テーブル2[[#This Row],[P]])</f>
        <v>2538890.6454807199</v>
      </c>
      <c r="G187">
        <f t="array" ref="G187">HfFromP(テーブル2[[#This Row],[P]])</f>
        <v>1699798.64659754</v>
      </c>
      <c r="H187">
        <f t="array" ref="H187">MuGFromP(テーブル2[[#This Row],[P]])</f>
        <v>2.4290890628326198E-5</v>
      </c>
      <c r="I187">
        <f t="array" ref="I187">MuFFromP(テーブル2[[#This Row],[P]])</f>
        <v>6.4066005508525405E-5</v>
      </c>
      <c r="J187">
        <f t="array" ref="J187">KfFromP(テーブル2[[#This Row],[P]])</f>
        <v>0.452884810527584</v>
      </c>
      <c r="K187">
        <f t="array" ref="K187">CpFFromP(テーブル2[[#This Row],[P]])</f>
        <v>11219.515372648901</v>
      </c>
      <c r="L187">
        <f t="array" ref="L187">SigmaFromP(テーブル2[[#This Row],[P]])</f>
        <v>3.02925386118211E-3</v>
      </c>
      <c r="M187">
        <v>186</v>
      </c>
      <c r="N187">
        <v>2197.0925999999999</v>
      </c>
      <c r="O187" s="8">
        <f t="shared" si="90"/>
        <v>2.8502295699234246E-6</v>
      </c>
      <c r="P187" s="8">
        <f t="shared" si="91"/>
        <v>5.9847340050885557E-3</v>
      </c>
      <c r="Q187" s="8">
        <v>1.905E-3</v>
      </c>
      <c r="R187">
        <v>0.69596000000000002</v>
      </c>
      <c r="S187" s="15">
        <v>4356434.22265625</v>
      </c>
      <c r="T187">
        <v>298.84787197440301</v>
      </c>
      <c r="U187" s="12">
        <f>+T187+BG187*S187*テーブル2[[#This Row],[Pw]]*R187/(N187*O187*K187)</f>
        <v>557.10837495113583</v>
      </c>
      <c r="V187">
        <v>0.03</v>
      </c>
      <c r="W187" s="8">
        <f t="shared" si="60"/>
        <v>65330.456765297022</v>
      </c>
      <c r="X187">
        <v>3.0617085003356879E-2</v>
      </c>
      <c r="Y187">
        <f t="shared" si="61"/>
        <v>5.7150242827932436</v>
      </c>
      <c r="Z187">
        <f t="shared" si="62"/>
        <v>5.7150243315446012</v>
      </c>
      <c r="AA187">
        <f t="shared" si="63"/>
        <v>-4.8751357617504709E-8</v>
      </c>
      <c r="AB187">
        <f t="shared" si="64"/>
        <v>1.1023984021569312E-5</v>
      </c>
      <c r="AC187">
        <v>758.5844649407918</v>
      </c>
      <c r="AD187">
        <f t="shared" si="65"/>
        <v>2020.7967066667375</v>
      </c>
      <c r="AE187">
        <f>+gettm2(AD187,AC187,AK187,AL187,テーブル2[[#This Row],[Fcorr]])</f>
        <v>557.1083749511356</v>
      </c>
      <c r="AF187" s="14">
        <f t="shared" si="66"/>
        <v>0</v>
      </c>
      <c r="AG187">
        <v>1.1137460209164249E-5</v>
      </c>
      <c r="AH187">
        <f t="shared" si="67"/>
        <v>32.974509272747106</v>
      </c>
      <c r="AI187">
        <f t="shared" si="68"/>
        <v>0.24260126063117154</v>
      </c>
      <c r="AJ187">
        <f t="shared" si="69"/>
        <v>23.628916442321206</v>
      </c>
      <c r="AK187">
        <f t="array" ref="AK187">+S187*テーブル2[[#This Row],[F_form]]/(E187*CpFromTP((テーブル2[[#This Row],[Tin]]+テーブル2[[#This Row],[Tf]])/2,テーブル2[[#This Row],[P]])*AI187)</f>
        <v>7.4991626941410816</v>
      </c>
      <c r="AL187">
        <f t="shared" si="70"/>
        <v>1.5871354414155836</v>
      </c>
      <c r="AM187">
        <f t="shared" si="71"/>
        <v>626.57723579927404</v>
      </c>
      <c r="AN187">
        <f t="shared" si="72"/>
        <v>3.8693997339578345E-8</v>
      </c>
      <c r="AO187">
        <f t="shared" si="73"/>
        <v>1.1347618759493727E-7</v>
      </c>
      <c r="AP187">
        <v>2.4980901703179881</v>
      </c>
      <c r="AQ187">
        <f t="shared" si="74"/>
        <v>3.0324812813161446E-5</v>
      </c>
      <c r="AR187">
        <f t="shared" si="75"/>
        <v>5.6254681983795934E-6</v>
      </c>
      <c r="AS187">
        <f t="shared" si="76"/>
        <v>11.934832135164251</v>
      </c>
      <c r="AT187">
        <f t="shared" si="77"/>
        <v>9.3473059738528939</v>
      </c>
      <c r="AU187">
        <f t="shared" si="78"/>
        <v>2.2676682127619925</v>
      </c>
      <c r="AV187">
        <f t="shared" si="79"/>
        <v>0.23042195755599559</v>
      </c>
      <c r="AW187">
        <f t="shared" si="80"/>
        <v>8.7452204862162129E-3</v>
      </c>
      <c r="AX187">
        <f t="shared" si="81"/>
        <v>0.23042194898091883</v>
      </c>
      <c r="AY187">
        <f t="shared" si="82"/>
        <v>8.5750767597758681E-9</v>
      </c>
      <c r="AZ187">
        <f t="shared" si="83"/>
        <v>839091.99888317985</v>
      </c>
      <c r="BA187">
        <f t="shared" si="84"/>
        <v>1.2139198646020582E-5</v>
      </c>
      <c r="BB187" s="15">
        <f t="shared" si="85"/>
        <v>4394571.478896793</v>
      </c>
      <c r="BC187" s="20">
        <f t="shared" si="86"/>
        <v>38137.256240542978</v>
      </c>
      <c r="BD187" s="19">
        <f t="shared" si="87"/>
        <v>0.8754236674159982</v>
      </c>
      <c r="BE187" s="15">
        <v>2429034.2999999998</v>
      </c>
      <c r="BF187" s="16">
        <f>テーブル2[[#This Row],[q_P]]/テーブル2[[#This Row],[q_M]]</f>
        <v>1.8091846125420268</v>
      </c>
      <c r="BG187">
        <v>1</v>
      </c>
      <c r="BH187">
        <v>-4.7E-2</v>
      </c>
      <c r="BI187">
        <v>4.5999999999999999E-2</v>
      </c>
      <c r="BJ187">
        <v>5625</v>
      </c>
      <c r="BK187" s="22">
        <v>1</v>
      </c>
      <c r="BL187">
        <f>テーブル2[[#This Row],[Ts]]-テーブル2[[#This Row],[Tin]]</f>
        <v>327.72936386356503</v>
      </c>
      <c r="BM187">
        <f>テーブル2[[#This Row],[q_P]]*0.000001</f>
        <v>4.3945714788967924</v>
      </c>
      <c r="BN187">
        <f>テーブル2[[#This Row],[Tsub]]</f>
        <v>327.72936386356503</v>
      </c>
      <c r="BO187">
        <f>テーブル2[[#This Row],[Fcorr]]</f>
        <v>1</v>
      </c>
      <c r="BP187">
        <f>(テーブル2[[#This Row],[Tsub]]-40)^2</f>
        <v>82788.186829331797</v>
      </c>
      <c r="BQ187">
        <v>1</v>
      </c>
      <c r="BR187">
        <v>0.69596000000000002</v>
      </c>
    </row>
    <row r="188" spans="1:70" x14ac:dyDescent="0.15">
      <c r="A188" s="9" t="s">
        <v>256</v>
      </c>
      <c r="B188">
        <v>17236893.2329209</v>
      </c>
      <c r="C188" s="22">
        <f t="array" ref="C188">TsatFromP(テーブル2[[#This Row],[P]])</f>
        <v>626.57723583796803</v>
      </c>
      <c r="D188">
        <f t="array" ref="D188">RhoGFromP(テーブル2[[#This Row],[P]])</f>
        <v>122.583590976701</v>
      </c>
      <c r="E188">
        <f t="array" ref="E188">RhoFFromP(テーブル2[[#This Row],[P]])</f>
        <v>560.26337686439001</v>
      </c>
      <c r="F188">
        <f t="array" ref="F188">HgFromP(テーブル2[[#This Row],[P]])</f>
        <v>2538890.6454807199</v>
      </c>
      <c r="G188">
        <f t="array" ref="G188">HfFromP(テーブル2[[#This Row],[P]])</f>
        <v>1699798.64659754</v>
      </c>
      <c r="H188">
        <f t="array" ref="H188">MuGFromP(テーブル2[[#This Row],[P]])</f>
        <v>2.4290890628326198E-5</v>
      </c>
      <c r="I188">
        <f t="array" ref="I188">MuFFromP(テーブル2[[#This Row],[P]])</f>
        <v>6.4066005508525405E-5</v>
      </c>
      <c r="J188">
        <f t="array" ref="J188">KfFromP(テーブル2[[#This Row],[P]])</f>
        <v>0.452884810527584</v>
      </c>
      <c r="K188">
        <f t="array" ref="K188">CpFFromP(テーブル2[[#This Row],[P]])</f>
        <v>11219.515372648901</v>
      </c>
      <c r="L188">
        <f t="array" ref="L188">SigmaFromP(テーブル2[[#This Row],[P]])</f>
        <v>3.02925386118211E-3</v>
      </c>
      <c r="M188">
        <v>187</v>
      </c>
      <c r="N188">
        <v>2414.0893999999998</v>
      </c>
      <c r="O188" s="8">
        <f t="shared" si="90"/>
        <v>2.8502295699234246E-6</v>
      </c>
      <c r="P188" s="8">
        <f t="shared" si="91"/>
        <v>5.9847340050885557E-3</v>
      </c>
      <c r="Q188" s="8">
        <v>1.905E-3</v>
      </c>
      <c r="R188">
        <v>0.69596000000000002</v>
      </c>
      <c r="S188" s="15">
        <v>4716479.4921875</v>
      </c>
      <c r="T188">
        <v>297.72296123936098</v>
      </c>
      <c r="U188" s="12">
        <f>+T188+BG188*S188*テーブル2[[#This Row],[Pw]]*R188/(N188*O188*K188)</f>
        <v>552.19483876594313</v>
      </c>
      <c r="V188">
        <v>0.03</v>
      </c>
      <c r="W188" s="8">
        <f t="shared" si="60"/>
        <v>71782.847556931287</v>
      </c>
      <c r="X188">
        <v>2.9393729578222751E-2</v>
      </c>
      <c r="Y188">
        <f t="shared" si="61"/>
        <v>5.832740470796443</v>
      </c>
      <c r="Z188">
        <f t="shared" si="62"/>
        <v>5.8327404814836816</v>
      </c>
      <c r="AA188">
        <f t="shared" si="63"/>
        <v>-1.0687238649609299E-8</v>
      </c>
      <c r="AB188">
        <f t="shared" si="64"/>
        <v>9.511253242064767E-6</v>
      </c>
      <c r="AC188">
        <v>756.56315202428323</v>
      </c>
      <c r="AD188">
        <f t="shared" si="65"/>
        <v>2175.5698943971465</v>
      </c>
      <c r="AE188">
        <f>+gettm2(AD188,AC188,AK188,AL188,テーブル2[[#This Row],[Fcorr]])</f>
        <v>552.19483876594302</v>
      </c>
      <c r="AF188" s="14">
        <f t="shared" si="66"/>
        <v>0</v>
      </c>
      <c r="AG188">
        <v>9.6199826835191831E-6</v>
      </c>
      <c r="AH188">
        <f t="shared" si="67"/>
        <v>38.218986929522636</v>
      </c>
      <c r="AI188">
        <f t="shared" si="68"/>
        <v>0.26118213535816825</v>
      </c>
      <c r="AJ188">
        <f t="shared" si="69"/>
        <v>21.972645365759799</v>
      </c>
      <c r="AK188">
        <f t="array" ref="AK188">+S188*テーブル2[[#This Row],[F_form]]/(E188*CpFromTP((テーブル2[[#This Row],[Tin]]+テーブル2[[#This Row],[Tf]])/2,テーブル2[[#This Row],[P]])*AI188)</f>
        <v>7.5540476227608595</v>
      </c>
      <c r="AL188">
        <f t="shared" si="70"/>
        <v>1.5871354414155836</v>
      </c>
      <c r="AM188">
        <f t="shared" si="71"/>
        <v>626.57723583961092</v>
      </c>
      <c r="AN188">
        <f t="shared" si="72"/>
        <v>-1.6428884919150732E-9</v>
      </c>
      <c r="AO188">
        <f t="shared" si="73"/>
        <v>1.0872944145441611E-7</v>
      </c>
      <c r="AP188">
        <v>2.5873920324436628</v>
      </c>
      <c r="AQ188">
        <f t="shared" si="74"/>
        <v>2.8267661157676302E-5</v>
      </c>
      <c r="AR188">
        <f t="shared" si="75"/>
        <v>4.8643560624867996E-6</v>
      </c>
      <c r="AS188">
        <f t="shared" si="76"/>
        <v>11.110495123542808</v>
      </c>
      <c r="AT188">
        <f t="shared" si="77"/>
        <v>8.9894508411696652</v>
      </c>
      <c r="AU188">
        <f t="shared" si="78"/>
        <v>2.347883966393975</v>
      </c>
      <c r="AV188">
        <f t="shared" si="79"/>
        <v>0.23950806604968777</v>
      </c>
      <c r="AW188">
        <f t="shared" si="80"/>
        <v>7.5451857095720307E-3</v>
      </c>
      <c r="AX188">
        <f t="shared" si="81"/>
        <v>0.23950806093247401</v>
      </c>
      <c r="AY188">
        <f t="shared" si="82"/>
        <v>5.1172137638388904E-9</v>
      </c>
      <c r="AZ188">
        <f t="shared" si="83"/>
        <v>839091.99888317985</v>
      </c>
      <c r="BA188">
        <f t="shared" si="84"/>
        <v>1.0925155833837404E-5</v>
      </c>
      <c r="BB188" s="15">
        <f t="shared" si="85"/>
        <v>4678658.3321262561</v>
      </c>
      <c r="BC188" s="20">
        <f t="shared" si="86"/>
        <v>-37821.160061243922</v>
      </c>
      <c r="BD188" s="19">
        <f t="shared" si="87"/>
        <v>-0.80189387283230806</v>
      </c>
      <c r="BE188" s="15">
        <v>2492126.1</v>
      </c>
      <c r="BF188" s="16">
        <f>テーブル2[[#This Row],[q_P]]/テーブル2[[#This Row],[q_M]]</f>
        <v>1.8773762419671525</v>
      </c>
      <c r="BG188">
        <v>1</v>
      </c>
      <c r="BH188">
        <v>-8.5999999999999993E-2</v>
      </c>
      <c r="BI188">
        <v>4.5999999999999999E-2</v>
      </c>
      <c r="BJ188">
        <v>5625</v>
      </c>
      <c r="BK188" s="22">
        <v>1</v>
      </c>
      <c r="BL188">
        <f>テーブル2[[#This Row],[Ts]]-テーブル2[[#This Row],[Tin]]</f>
        <v>328.85427459860705</v>
      </c>
      <c r="BM188">
        <f>テーブル2[[#This Row],[q_P]]*0.000001</f>
        <v>4.6786583321262558</v>
      </c>
      <c r="BN188">
        <f>テーブル2[[#This Row],[Tsub]]</f>
        <v>328.85427459860705</v>
      </c>
      <c r="BO188">
        <f>テーブル2[[#This Row],[Fcorr]]</f>
        <v>1</v>
      </c>
      <c r="BP188">
        <f>(テーブル2[[#This Row],[Tsub]]-40)^2</f>
        <v>83436.791953887485</v>
      </c>
      <c r="BQ188">
        <v>1</v>
      </c>
      <c r="BR188">
        <v>0.69596000000000002</v>
      </c>
    </row>
    <row r="189" spans="1:70" x14ac:dyDescent="0.15">
      <c r="A189" s="9" t="s">
        <v>257</v>
      </c>
      <c r="B189">
        <v>17236893.2329209</v>
      </c>
      <c r="C189" s="22">
        <f t="array" ref="C189">TsatFromP(テーブル2[[#This Row],[P]])</f>
        <v>626.57723583796803</v>
      </c>
      <c r="D189">
        <f t="array" ref="D189">RhoGFromP(テーブル2[[#This Row],[P]])</f>
        <v>122.583590976701</v>
      </c>
      <c r="E189">
        <f t="array" ref="E189">RhoFFromP(テーブル2[[#This Row],[P]])</f>
        <v>560.26337686439001</v>
      </c>
      <c r="F189">
        <f t="array" ref="F189">HgFromP(テーブル2[[#This Row],[P]])</f>
        <v>2538890.6454807199</v>
      </c>
      <c r="G189">
        <f t="array" ref="G189">HfFromP(テーブル2[[#This Row],[P]])</f>
        <v>1699798.64659754</v>
      </c>
      <c r="H189">
        <f t="array" ref="H189">MuGFromP(テーブル2[[#This Row],[P]])</f>
        <v>2.4290890628326198E-5</v>
      </c>
      <c r="I189">
        <f t="array" ref="I189">MuFFromP(テーブル2[[#This Row],[P]])</f>
        <v>6.4066005508525405E-5</v>
      </c>
      <c r="J189">
        <f t="array" ref="J189">KfFromP(テーブル2[[#This Row],[P]])</f>
        <v>0.452884810527584</v>
      </c>
      <c r="K189">
        <f t="array" ref="K189">CpFFromP(テーブル2[[#This Row],[P]])</f>
        <v>11219.515372648901</v>
      </c>
      <c r="L189">
        <f t="array" ref="L189">SigmaFromP(テーブル2[[#This Row],[P]])</f>
        <v>3.02925386118211E-3</v>
      </c>
      <c r="M189">
        <v>188</v>
      </c>
      <c r="N189">
        <v>2983.7060000000001</v>
      </c>
      <c r="O189" s="8">
        <f t="shared" si="90"/>
        <v>2.8502295699234246E-6</v>
      </c>
      <c r="P189" s="8">
        <f t="shared" si="91"/>
        <v>5.9847340050885557E-3</v>
      </c>
      <c r="Q189" s="8">
        <v>1.905E-3</v>
      </c>
      <c r="R189">
        <v>0.69596000000000002</v>
      </c>
      <c r="S189" s="15">
        <v>5580558.33984375</v>
      </c>
      <c r="T189">
        <v>298.28542199983798</v>
      </c>
      <c r="U189" s="12">
        <f>+T189+BG189*S189*テーブル2[[#This Row],[Pw]]*R189/(N189*O189*K189)</f>
        <v>541.89637898541935</v>
      </c>
      <c r="V189">
        <v>0.03</v>
      </c>
      <c r="W189" s="8">
        <f t="shared" si="60"/>
        <v>88720.373384971273</v>
      </c>
      <c r="X189">
        <v>2.68977240407712E-2</v>
      </c>
      <c r="Y189">
        <f t="shared" si="61"/>
        <v>6.0973655573623216</v>
      </c>
      <c r="Z189">
        <f t="shared" si="62"/>
        <v>6.0973655637760196</v>
      </c>
      <c r="AA189">
        <f t="shared" si="63"/>
        <v>-6.4136980171269897E-9</v>
      </c>
      <c r="AB189">
        <f t="shared" si="64"/>
        <v>6.8041134902182196E-6</v>
      </c>
      <c r="AC189">
        <v>750.16719900555916</v>
      </c>
      <c r="AD189">
        <f t="shared" si="65"/>
        <v>2572.2083193029971</v>
      </c>
      <c r="AE189">
        <f>+gettm2(AD189,AC189,AK189,AL189,テーブル2[[#This Row],[Fcorr]])</f>
        <v>541.89637898541935</v>
      </c>
      <c r="AF189" s="14">
        <f t="shared" si="66"/>
        <v>0</v>
      </c>
      <c r="AG189">
        <v>6.9078010527555756E-6</v>
      </c>
      <c r="AH189">
        <f t="shared" si="67"/>
        <v>53.425102897599487</v>
      </c>
      <c r="AI189">
        <f t="shared" si="68"/>
        <v>0.30879948428766191</v>
      </c>
      <c r="AJ189">
        <f t="shared" si="69"/>
        <v>18.65438670444923</v>
      </c>
      <c r="AK189">
        <f t="array" ref="AK189">+S189*テーブル2[[#This Row],[F_form]]/(E189*CpFromTP((テーブル2[[#This Row],[Tin]]+テーブル2[[#This Row],[Tf]])/2,テーブル2[[#This Row],[P]])*AI189)</f>
        <v>7.5792120787916657</v>
      </c>
      <c r="AL189">
        <f t="shared" si="70"/>
        <v>1.5871354414155836</v>
      </c>
      <c r="AM189">
        <f t="shared" si="71"/>
        <v>626.57723580032848</v>
      </c>
      <c r="AN189">
        <f t="shared" si="72"/>
        <v>3.7639551919710357E-8</v>
      </c>
      <c r="AO189">
        <f t="shared" si="73"/>
        <v>1.0368756253735595E-7</v>
      </c>
      <c r="AP189">
        <v>2.7912975824504809</v>
      </c>
      <c r="AQ189">
        <f t="shared" si="74"/>
        <v>2.4288576967285169E-5</v>
      </c>
      <c r="AR189">
        <f t="shared" si="75"/>
        <v>3.5057443076464658E-6</v>
      </c>
      <c r="AS189">
        <f t="shared" si="76"/>
        <v>9.4671965075877846</v>
      </c>
      <c r="AT189">
        <f t="shared" si="77"/>
        <v>8.1891641202211218</v>
      </c>
      <c r="AU189">
        <f t="shared" si="78"/>
        <v>2.528809657071307</v>
      </c>
      <c r="AV189">
        <f t="shared" si="79"/>
        <v>0.26248792537917387</v>
      </c>
      <c r="AW189">
        <f t="shared" si="80"/>
        <v>5.397637784014666E-3</v>
      </c>
      <c r="AX189">
        <f t="shared" si="81"/>
        <v>0.26248792507192842</v>
      </c>
      <c r="AY189">
        <f t="shared" si="82"/>
        <v>3.0724545130311753E-10</v>
      </c>
      <c r="AZ189">
        <f t="shared" si="83"/>
        <v>839091.99888317985</v>
      </c>
      <c r="BA189">
        <f t="shared" si="84"/>
        <v>8.7015362030881073E-6</v>
      </c>
      <c r="BB189" s="15">
        <f t="shared" si="85"/>
        <v>5601863.83726029</v>
      </c>
      <c r="BC189" s="20">
        <f t="shared" si="86"/>
        <v>21305.497416540049</v>
      </c>
      <c r="BD189" s="19">
        <f t="shared" si="87"/>
        <v>0.38178074879039042</v>
      </c>
      <c r="BE189" s="15">
        <v>3028406.4</v>
      </c>
      <c r="BF189" s="16">
        <f>テーブル2[[#This Row],[q_P]]/テーブル2[[#This Row],[q_M]]</f>
        <v>1.8497728169047227</v>
      </c>
      <c r="BG189">
        <v>1</v>
      </c>
      <c r="BH189">
        <v>-0.114</v>
      </c>
      <c r="BI189">
        <v>4.5999999999999999E-2</v>
      </c>
      <c r="BJ189">
        <v>5625</v>
      </c>
      <c r="BK189" s="22">
        <v>1</v>
      </c>
      <c r="BL189">
        <f>テーブル2[[#This Row],[Ts]]-テーブル2[[#This Row],[Tin]]</f>
        <v>328.29181383813005</v>
      </c>
      <c r="BM189">
        <f>テーブル2[[#This Row],[q_P]]*0.000001</f>
        <v>5.6018638372602894</v>
      </c>
      <c r="BN189">
        <f>テーブル2[[#This Row],[Tsub]]</f>
        <v>328.29181383813005</v>
      </c>
      <c r="BO189">
        <f>テーブル2[[#This Row],[Fcorr]]</f>
        <v>1</v>
      </c>
      <c r="BP189">
        <f>(テーブル2[[#This Row],[Tsub]]-40)^2</f>
        <v>83112.169926079034</v>
      </c>
      <c r="BQ189">
        <v>1</v>
      </c>
      <c r="BR189">
        <v>0.69596000000000002</v>
      </c>
    </row>
    <row r="190" spans="1:70" x14ac:dyDescent="0.15">
      <c r="A190" s="9" t="s">
        <v>258</v>
      </c>
      <c r="B190">
        <v>17236893.2329209</v>
      </c>
      <c r="C190" s="22">
        <f t="array" ref="C190">TsatFromP(テーブル2[[#This Row],[P]])</f>
        <v>626.57723583796803</v>
      </c>
      <c r="D190">
        <f t="array" ref="D190">RhoGFromP(テーブル2[[#This Row],[P]])</f>
        <v>122.583590976701</v>
      </c>
      <c r="E190">
        <f t="array" ref="E190">RhoFFromP(テーブル2[[#This Row],[P]])</f>
        <v>560.26337686439001</v>
      </c>
      <c r="F190">
        <f t="array" ref="F190">HgFromP(テーブル2[[#This Row],[P]])</f>
        <v>2538890.6454807199</v>
      </c>
      <c r="G190">
        <f t="array" ref="G190">HfFromP(テーブル2[[#This Row],[P]])</f>
        <v>1699798.64659754</v>
      </c>
      <c r="H190">
        <f t="array" ref="H190">MuGFromP(テーブル2[[#This Row],[P]])</f>
        <v>2.4290890628326198E-5</v>
      </c>
      <c r="I190">
        <f t="array" ref="I190">MuFFromP(テーブル2[[#This Row],[P]])</f>
        <v>6.4066005508525405E-5</v>
      </c>
      <c r="J190">
        <f t="array" ref="J190">KfFromP(テーブル2[[#This Row],[P]])</f>
        <v>0.452884810527584</v>
      </c>
      <c r="K190">
        <f t="array" ref="K190">CpFFromP(テーブル2[[#This Row],[P]])</f>
        <v>11219.515372648901</v>
      </c>
      <c r="L190">
        <f t="array" ref="L190">SigmaFromP(テーブル2[[#This Row],[P]])</f>
        <v>3.02925386118211E-3</v>
      </c>
      <c r="M190">
        <v>189</v>
      </c>
      <c r="N190">
        <v>3051.5174999999999</v>
      </c>
      <c r="O190" s="8">
        <f t="shared" si="90"/>
        <v>2.8502295699234246E-6</v>
      </c>
      <c r="P190" s="8">
        <f t="shared" si="91"/>
        <v>5.9847340050885557E-3</v>
      </c>
      <c r="Q190" s="8">
        <v>1.905E-3</v>
      </c>
      <c r="R190">
        <v>0.69596000000000002</v>
      </c>
      <c r="S190" s="15">
        <v>5690958.73046875</v>
      </c>
      <c r="T190">
        <v>297.72296123936098</v>
      </c>
      <c r="U190" s="12">
        <f>+T190+BG190*S190*テーブル2[[#This Row],[Pw]]*R190/(N190*O190*K190)</f>
        <v>540.63260892440439</v>
      </c>
      <c r="V190">
        <v>0.03</v>
      </c>
      <c r="W190" s="8">
        <f t="shared" si="60"/>
        <v>90736.745507356973</v>
      </c>
      <c r="X190">
        <v>2.6652018899410639E-2</v>
      </c>
      <c r="Y190">
        <f t="shared" si="61"/>
        <v>6.1254069043171313</v>
      </c>
      <c r="Z190">
        <f t="shared" si="62"/>
        <v>6.1254069065535965</v>
      </c>
      <c r="AA190">
        <f t="shared" si="63"/>
        <v>-2.2364652352280245E-9</v>
      </c>
      <c r="AB190">
        <f t="shared" si="64"/>
        <v>6.5650387724955883E-6</v>
      </c>
      <c r="AC190">
        <v>749.7000742647823</v>
      </c>
      <c r="AD190">
        <f t="shared" si="65"/>
        <v>2618.6247319272097</v>
      </c>
      <c r="AE190">
        <f>+gettm2(AD190,AC190,AK190,AL190,テーブル2[[#This Row],[Fcorr]])</f>
        <v>540.63261042140516</v>
      </c>
      <c r="AF190" s="14">
        <f t="shared" si="66"/>
        <v>1.4970007669035112E-6</v>
      </c>
      <c r="AG190">
        <v>6.6681128485160114E-6</v>
      </c>
      <c r="AH190">
        <f t="shared" si="67"/>
        <v>55.370649883255879</v>
      </c>
      <c r="AI190">
        <f t="shared" si="68"/>
        <v>0.31437188064968136</v>
      </c>
      <c r="AJ190">
        <f t="shared" si="69"/>
        <v>18.332057974179133</v>
      </c>
      <c r="AK190">
        <f t="array" ref="AK190">+S190*テーブル2[[#This Row],[F_form]]/(E190*CpFromTP((テーブル2[[#This Row],[Tin]]+テーブル2[[#This Row],[Tf]])/2,テーブル2[[#This Row],[P]])*AI190)</f>
        <v>7.5956723949669067</v>
      </c>
      <c r="AL190">
        <f t="shared" si="70"/>
        <v>1.5871354414155836</v>
      </c>
      <c r="AM190">
        <f t="shared" si="71"/>
        <v>626.57723599291603</v>
      </c>
      <c r="AN190">
        <f t="shared" si="72"/>
        <v>-1.5494799754378619E-7</v>
      </c>
      <c r="AO190">
        <f t="shared" si="73"/>
        <v>1.0307407602042313E-7</v>
      </c>
      <c r="AP190">
        <v>2.8129098029560899</v>
      </c>
      <c r="AQ190">
        <f t="shared" si="74"/>
        <v>2.3916781538561846E-5</v>
      </c>
      <c r="AR190">
        <f t="shared" si="75"/>
        <v>3.3855934622682173E-6</v>
      </c>
      <c r="AS190">
        <f t="shared" si="76"/>
        <v>9.3077152467681099</v>
      </c>
      <c r="AT190">
        <f t="shared" si="77"/>
        <v>8.1042182633048618</v>
      </c>
      <c r="AU190">
        <f t="shared" si="78"/>
        <v>2.5477383366306441</v>
      </c>
      <c r="AV190">
        <f t="shared" si="79"/>
        <v>0.26517146632544586</v>
      </c>
      <c r="AW190">
        <f t="shared" si="80"/>
        <v>5.2079821100701491E-3</v>
      </c>
      <c r="AX190">
        <f t="shared" si="81"/>
        <v>0.26517146592365504</v>
      </c>
      <c r="AY190">
        <f t="shared" si="82"/>
        <v>4.0179082283486878E-10</v>
      </c>
      <c r="AZ190">
        <f t="shared" si="83"/>
        <v>839091.99888317985</v>
      </c>
      <c r="BA190">
        <f t="shared" si="84"/>
        <v>8.5025056663486603E-6</v>
      </c>
      <c r="BB190" s="15">
        <f t="shared" si="85"/>
        <v>5699074.5076451264</v>
      </c>
      <c r="BC190" s="20">
        <f t="shared" si="86"/>
        <v>8115.7771763764322</v>
      </c>
      <c r="BD190" s="19">
        <f t="shared" si="87"/>
        <v>0.14260825918356212</v>
      </c>
      <c r="BE190" s="15">
        <v>3028406.4</v>
      </c>
      <c r="BF190" s="16">
        <f>テーブル2[[#This Row],[q_P]]/テーブル2[[#This Row],[q_M]]</f>
        <v>1.8818724288936672</v>
      </c>
      <c r="BG190">
        <v>1</v>
      </c>
      <c r="BH190">
        <v>-0.156</v>
      </c>
      <c r="BI190">
        <v>4.5999999999999999E-2</v>
      </c>
      <c r="BJ190">
        <v>5625</v>
      </c>
      <c r="BK190" s="22">
        <v>1</v>
      </c>
      <c r="BL190">
        <f>テーブル2[[#This Row],[Ts]]-テーブル2[[#This Row],[Tin]]</f>
        <v>328.85427459860705</v>
      </c>
      <c r="BM190">
        <f>テーブル2[[#This Row],[q_P]]*0.000001</f>
        <v>5.6990745076451264</v>
      </c>
      <c r="BN190">
        <f>テーブル2[[#This Row],[Tsub]]</f>
        <v>328.85427459860705</v>
      </c>
      <c r="BO190">
        <f>テーブル2[[#This Row],[Fcorr]]</f>
        <v>1</v>
      </c>
      <c r="BP190">
        <f>(テーブル2[[#This Row],[Tsub]]-40)^2</f>
        <v>83436.791953887485</v>
      </c>
      <c r="BQ190">
        <v>1</v>
      </c>
      <c r="BR190">
        <v>0.69596000000000002</v>
      </c>
    </row>
    <row r="191" spans="1:70" x14ac:dyDescent="0.15">
      <c r="A191" s="9" t="s">
        <v>259</v>
      </c>
      <c r="B191">
        <v>17236893.2329209</v>
      </c>
      <c r="C191" s="22">
        <f t="array" ref="C191">TsatFromP(テーブル2[[#This Row],[P]])</f>
        <v>626.57723583796803</v>
      </c>
      <c r="D191">
        <f t="array" ref="D191">RhoGFromP(テーブル2[[#This Row],[P]])</f>
        <v>122.583590976701</v>
      </c>
      <c r="E191">
        <f t="array" ref="E191">RhoFFromP(テーブル2[[#This Row],[P]])</f>
        <v>560.26337686439001</v>
      </c>
      <c r="F191">
        <f t="array" ref="F191">HgFromP(テーブル2[[#This Row],[P]])</f>
        <v>2538890.6454807199</v>
      </c>
      <c r="G191">
        <f t="array" ref="G191">HfFromP(テーブル2[[#This Row],[P]])</f>
        <v>1699798.64659754</v>
      </c>
      <c r="H191">
        <f t="array" ref="H191">MuGFromP(テーブル2[[#This Row],[P]])</f>
        <v>2.4290890628326198E-5</v>
      </c>
      <c r="I191">
        <f t="array" ref="I191">MuFFromP(テーブル2[[#This Row],[P]])</f>
        <v>6.4066005508525405E-5</v>
      </c>
      <c r="J191">
        <f t="array" ref="J191">KfFromP(テーブル2[[#This Row],[P]])</f>
        <v>0.452884810527584</v>
      </c>
      <c r="K191">
        <f t="array" ref="K191">CpFFromP(テーブル2[[#This Row],[P]])</f>
        <v>11219.515372648901</v>
      </c>
      <c r="L191">
        <f t="array" ref="L191">SigmaFromP(テーブル2[[#This Row],[P]])</f>
        <v>3.02925386118211E-3</v>
      </c>
      <c r="M191">
        <v>190</v>
      </c>
      <c r="N191">
        <v>3607.5718000000002</v>
      </c>
      <c r="O191" s="8">
        <f t="shared" si="90"/>
        <v>2.8502295699234246E-6</v>
      </c>
      <c r="P191" s="8">
        <f t="shared" si="91"/>
        <v>5.9847340050885557E-3</v>
      </c>
      <c r="Q191" s="8">
        <v>1.905E-3</v>
      </c>
      <c r="R191">
        <v>0.69596000000000002</v>
      </c>
      <c r="S191" s="15">
        <v>6458440.91796875</v>
      </c>
      <c r="T191">
        <v>299.91649569119198</v>
      </c>
      <c r="U191" s="12">
        <f>+T191+BG191*S191*テーブル2[[#This Row],[Pw]]*R191/(N191*O191*K191)</f>
        <v>533.09467146412453</v>
      </c>
      <c r="V191">
        <v>0.03</v>
      </c>
      <c r="W191" s="8">
        <f t="shared" si="60"/>
        <v>107270.99691091981</v>
      </c>
      <c r="X191">
        <v>2.4925881209394141E-2</v>
      </c>
      <c r="Y191">
        <f t="shared" si="61"/>
        <v>6.3339515865322156</v>
      </c>
      <c r="Z191">
        <f t="shared" si="62"/>
        <v>6.3339516227231965</v>
      </c>
      <c r="AA191">
        <f t="shared" si="63"/>
        <v>-3.6190980878814116E-8</v>
      </c>
      <c r="AB191">
        <f t="shared" si="64"/>
        <v>5.0224850177624719E-6</v>
      </c>
      <c r="AC191">
        <v>743.45448910430184</v>
      </c>
      <c r="AD191">
        <f t="shared" si="65"/>
        <v>2993.8675842437615</v>
      </c>
      <c r="AE191">
        <f>+gettm2(AD191,AC191,AK191,AL191,テーブル2[[#This Row],[Fcorr]])</f>
        <v>533.09467289866939</v>
      </c>
      <c r="AF191" s="14">
        <f t="shared" si="66"/>
        <v>1.4345448562380625E-6</v>
      </c>
      <c r="AG191">
        <v>5.1214787246236224E-6</v>
      </c>
      <c r="AH191">
        <f t="shared" si="67"/>
        <v>72.376614774611681</v>
      </c>
      <c r="AI191">
        <f t="shared" si="68"/>
        <v>0.35942064221708875</v>
      </c>
      <c r="AJ191">
        <f t="shared" si="69"/>
        <v>16.097668385348815</v>
      </c>
      <c r="AK191">
        <f t="array" ref="AK191">+S191*テーブル2[[#This Row],[F_form]]/(E191*CpFromTP((テーブル2[[#This Row],[Tin]]+テーブル2[[#This Row],[Tf]])/2,テーブル2[[#This Row],[P]])*AI191)</f>
        <v>7.5496133980388613</v>
      </c>
      <c r="AL191">
        <f t="shared" si="70"/>
        <v>1.5871354414155836</v>
      </c>
      <c r="AM191">
        <f t="shared" si="71"/>
        <v>626.57723575488569</v>
      </c>
      <c r="AN191">
        <f t="shared" si="72"/>
        <v>8.3082341006956995E-8</v>
      </c>
      <c r="AO191">
        <f t="shared" si="73"/>
        <v>9.899370686115051E-8</v>
      </c>
      <c r="AP191">
        <v>2.9729312272618471</v>
      </c>
      <c r="AQ191">
        <f t="shared" si="74"/>
        <v>2.1411378270539368E-5</v>
      </c>
      <c r="AR191">
        <f t="shared" si="75"/>
        <v>2.6102362157423865E-6</v>
      </c>
      <c r="AS191">
        <f t="shared" si="76"/>
        <v>8.2044111218165217</v>
      </c>
      <c r="AT191">
        <f t="shared" si="77"/>
        <v>7.4733597565819494</v>
      </c>
      <c r="AU191">
        <f t="shared" si="78"/>
        <v>2.6860797632300302</v>
      </c>
      <c r="AV191">
        <f t="shared" si="79"/>
        <v>0.28685146403181694</v>
      </c>
      <c r="AW191">
        <f t="shared" si="80"/>
        <v>3.9842890540399906E-3</v>
      </c>
      <c r="AX191">
        <f t="shared" si="81"/>
        <v>0.28685145425906278</v>
      </c>
      <c r="AY191">
        <f t="shared" si="82"/>
        <v>9.772754161474495E-9</v>
      </c>
      <c r="AZ191">
        <f t="shared" si="83"/>
        <v>839091.99888317985</v>
      </c>
      <c r="BA191">
        <f t="shared" si="84"/>
        <v>7.2021101847888517E-6</v>
      </c>
      <c r="BB191" s="15">
        <f t="shared" si="85"/>
        <v>6461742.390108306</v>
      </c>
      <c r="BC191" s="20">
        <f t="shared" si="86"/>
        <v>3301.4721395559609</v>
      </c>
      <c r="BD191" s="19">
        <f t="shared" si="87"/>
        <v>5.1118717063286384E-2</v>
      </c>
      <c r="BE191" s="15">
        <v>3722416.2</v>
      </c>
      <c r="BF191" s="16">
        <f>テーブル2[[#This Row],[q_P]]/テーブル2[[#This Row],[q_M]]</f>
        <v>1.7359000291553388</v>
      </c>
      <c r="BG191">
        <v>1</v>
      </c>
      <c r="BH191">
        <v>-7.5999999999999998E-2</v>
      </c>
      <c r="BI191">
        <v>4.5999999999999999E-2</v>
      </c>
      <c r="BJ191">
        <v>5625</v>
      </c>
      <c r="BK191" s="22">
        <v>1</v>
      </c>
      <c r="BL191">
        <f>テーブル2[[#This Row],[Ts]]-テーブル2[[#This Row],[Tin]]</f>
        <v>326.66074014677605</v>
      </c>
      <c r="BM191">
        <f>テーブル2[[#This Row],[q_P]]*0.000001</f>
        <v>6.4617423901083058</v>
      </c>
      <c r="BN191">
        <f>テーブル2[[#This Row],[Tsub]]</f>
        <v>326.66074014677605</v>
      </c>
      <c r="BO191">
        <f>テーブル2[[#This Row],[Fcorr]]</f>
        <v>1</v>
      </c>
      <c r="BP191">
        <f>(テーブル2[[#This Row],[Tsub]]-40)^2</f>
        <v>82174.379941497464</v>
      </c>
      <c r="BQ191">
        <v>1</v>
      </c>
      <c r="BR191">
        <v>0.69596000000000002</v>
      </c>
    </row>
    <row r="192" spans="1:70" x14ac:dyDescent="0.15">
      <c r="A192" s="9" t="s">
        <v>260</v>
      </c>
      <c r="B192">
        <v>17236893.2329209</v>
      </c>
      <c r="C192" s="22">
        <f t="array" ref="C192">TsatFromP(テーブル2[[#This Row],[P]])</f>
        <v>626.57723583796803</v>
      </c>
      <c r="D192">
        <f t="array" ref="D192">RhoGFromP(テーブル2[[#This Row],[P]])</f>
        <v>122.583590976701</v>
      </c>
      <c r="E192">
        <f t="array" ref="E192">RhoFFromP(テーブル2[[#This Row],[P]])</f>
        <v>560.26337686439001</v>
      </c>
      <c r="F192">
        <f t="array" ref="F192">HgFromP(テーブル2[[#This Row],[P]])</f>
        <v>2538890.6454807199</v>
      </c>
      <c r="G192">
        <f t="array" ref="G192">HfFromP(テーブル2[[#This Row],[P]])</f>
        <v>1699798.64659754</v>
      </c>
      <c r="H192">
        <f t="array" ref="H192">MuGFromP(テーブル2[[#This Row],[P]])</f>
        <v>2.4290890628326198E-5</v>
      </c>
      <c r="I192">
        <f t="array" ref="I192">MuFFromP(テーブル2[[#This Row],[P]])</f>
        <v>6.4066005508525405E-5</v>
      </c>
      <c r="J192">
        <f t="array" ref="J192">KfFromP(テーブル2[[#This Row],[P]])</f>
        <v>0.452884810527584</v>
      </c>
      <c r="K192">
        <f t="array" ref="K192">CpFFromP(テーブル2[[#This Row],[P]])</f>
        <v>11219.515372648901</v>
      </c>
      <c r="L192">
        <f t="array" ref="L192">SigmaFromP(テーブル2[[#This Row],[P]])</f>
        <v>3.02925386118211E-3</v>
      </c>
      <c r="M192">
        <v>191</v>
      </c>
      <c r="N192">
        <v>3648.2586999999999</v>
      </c>
      <c r="O192" s="8">
        <f t="shared" si="90"/>
        <v>2.8502295699234246E-6</v>
      </c>
      <c r="P192" s="8">
        <f t="shared" si="91"/>
        <v>5.9847340050885557E-3</v>
      </c>
      <c r="Q192" s="8">
        <v>1.905E-3</v>
      </c>
      <c r="R192">
        <v>0.69596000000000002</v>
      </c>
      <c r="S192" s="15">
        <v>6580462.40234375</v>
      </c>
      <c r="T192">
        <v>296.59800912860601</v>
      </c>
      <c r="U192" s="12">
        <f>+T192+BG192*S192*テーブル2[[#This Row],[Pw]]*R192/(N192*O192*K192)</f>
        <v>531.53206594622407</v>
      </c>
      <c r="V192">
        <v>0.03</v>
      </c>
      <c r="W192" s="8">
        <f t="shared" si="60"/>
        <v>108480.82018435124</v>
      </c>
      <c r="X192">
        <v>2.481647567960062E-2</v>
      </c>
      <c r="Y192">
        <f t="shared" si="61"/>
        <v>6.3478981126908902</v>
      </c>
      <c r="Z192">
        <f t="shared" si="62"/>
        <v>6.3478981428997647</v>
      </c>
      <c r="AA192">
        <f t="shared" si="63"/>
        <v>-3.0208874512993589E-8</v>
      </c>
      <c r="AB192">
        <f t="shared" si="64"/>
        <v>4.9327349369830435E-6</v>
      </c>
      <c r="AC192">
        <v>744.36519528989686</v>
      </c>
      <c r="AD192">
        <f t="shared" si="65"/>
        <v>3020.981205876536</v>
      </c>
      <c r="AE192">
        <f>+gettm2(AD192,AC192,AK192,AL192,テーブル2[[#This Row],[Fcorr]])</f>
        <v>531.53206594622395</v>
      </c>
      <c r="AF192" s="14">
        <f t="shared" si="66"/>
        <v>0</v>
      </c>
      <c r="AG192">
        <v>5.0325441469783717E-6</v>
      </c>
      <c r="AH192">
        <f t="shared" si="67"/>
        <v>73.693492147012307</v>
      </c>
      <c r="AI192">
        <f t="shared" si="68"/>
        <v>0.36267569442827213</v>
      </c>
      <c r="AJ192">
        <f t="shared" si="69"/>
        <v>15.961387176656824</v>
      </c>
      <c r="AK192">
        <f t="array" ref="AK192">+S192*テーブル2[[#This Row],[F_form]]/(E192*CpFromTP((テーブル2[[#This Row],[Tin]]+テーブル2[[#This Row],[Tf]])/2,テーブル2[[#This Row],[P]])*AI192)</f>
        <v>7.6321306002263558</v>
      </c>
      <c r="AL192">
        <f t="shared" si="70"/>
        <v>1.5871354414155836</v>
      </c>
      <c r="AM192">
        <f t="shared" si="71"/>
        <v>626.57723576589979</v>
      </c>
      <c r="AN192">
        <f t="shared" si="72"/>
        <v>7.2068246481649112E-8</v>
      </c>
      <c r="AO192">
        <f t="shared" si="73"/>
        <v>9.9809209995328228E-8</v>
      </c>
      <c r="AP192">
        <v>2.984237150321718</v>
      </c>
      <c r="AQ192">
        <f t="shared" si="74"/>
        <v>2.1249449559018832E-5</v>
      </c>
      <c r="AR192">
        <f t="shared" si="75"/>
        <v>2.56617667848685E-6</v>
      </c>
      <c r="AS192">
        <f t="shared" si="76"/>
        <v>8.1389727209107061</v>
      </c>
      <c r="AT192">
        <f t="shared" si="77"/>
        <v>7.4333198534403291</v>
      </c>
      <c r="AU192">
        <f t="shared" si="78"/>
        <v>2.6958844397539332</v>
      </c>
      <c r="AV192">
        <f t="shared" si="79"/>
        <v>0.28835271056778478</v>
      </c>
      <c r="AW192">
        <f t="shared" si="80"/>
        <v>3.9130911782506101E-3</v>
      </c>
      <c r="AX192">
        <f t="shared" si="81"/>
        <v>0.28835269958340237</v>
      </c>
      <c r="AY192">
        <f t="shared" si="82"/>
        <v>1.0984382403655957E-8</v>
      </c>
      <c r="AZ192">
        <f t="shared" si="83"/>
        <v>839091.99888317985</v>
      </c>
      <c r="BA192">
        <f t="shared" si="84"/>
        <v>7.1205633093630034E-6</v>
      </c>
      <c r="BB192" s="15">
        <f t="shared" si="85"/>
        <v>6589585.2436905373</v>
      </c>
      <c r="BC192" s="20">
        <f t="shared" si="86"/>
        <v>9122.8413467872888</v>
      </c>
      <c r="BD192" s="19">
        <f t="shared" si="87"/>
        <v>0.1386352628280047</v>
      </c>
      <c r="BE192" s="15">
        <v>3753962.1</v>
      </c>
      <c r="BF192" s="16">
        <f>テーブル2[[#This Row],[q_P]]/テーブル2[[#This Row],[q_M]]</f>
        <v>1.7553680799522555</v>
      </c>
      <c r="BG192">
        <v>1</v>
      </c>
      <c r="BH192">
        <v>-9.7000000000000003E-2</v>
      </c>
      <c r="BI192">
        <v>4.5999999999999999E-2</v>
      </c>
      <c r="BJ192">
        <v>5625</v>
      </c>
      <c r="BK192" s="22">
        <v>1</v>
      </c>
      <c r="BL192">
        <f>テーブル2[[#This Row],[Ts]]-テーブル2[[#This Row],[Tin]]</f>
        <v>329.97922670936202</v>
      </c>
      <c r="BM192">
        <f>テーブル2[[#This Row],[q_P]]*0.000001</f>
        <v>6.5895852436905367</v>
      </c>
      <c r="BN192">
        <f>テーブル2[[#This Row],[Tsub]]</f>
        <v>329.97922670936202</v>
      </c>
      <c r="BO192">
        <f>テーブル2[[#This Row],[Fcorr]]</f>
        <v>1</v>
      </c>
      <c r="BP192">
        <f>(テーブル2[[#This Row],[Tsub]]-40)^2</f>
        <v>84087.951922959575</v>
      </c>
      <c r="BQ192">
        <v>1</v>
      </c>
      <c r="BR192">
        <v>0.69596000000000002</v>
      </c>
    </row>
    <row r="193" spans="1:70" x14ac:dyDescent="0.15">
      <c r="A193" s="9" t="s">
        <v>261</v>
      </c>
      <c r="B193">
        <v>17236893.2329209</v>
      </c>
      <c r="C193" s="22">
        <f t="array" ref="C193">TsatFromP(テーブル2[[#This Row],[P]])</f>
        <v>626.57723583796803</v>
      </c>
      <c r="D193">
        <f t="array" ref="D193">RhoGFromP(テーブル2[[#This Row],[P]])</f>
        <v>122.583590976701</v>
      </c>
      <c r="E193">
        <f t="array" ref="E193">RhoFFromP(テーブル2[[#This Row],[P]])</f>
        <v>560.26337686439001</v>
      </c>
      <c r="F193">
        <f t="array" ref="F193">HgFromP(テーブル2[[#This Row],[P]])</f>
        <v>2538890.6454807199</v>
      </c>
      <c r="G193">
        <f t="array" ref="G193">HfFromP(テーブル2[[#This Row],[P]])</f>
        <v>1699798.64659754</v>
      </c>
      <c r="H193">
        <f t="array" ref="H193">MuGFromP(テーブル2[[#This Row],[P]])</f>
        <v>2.4290890628326198E-5</v>
      </c>
      <c r="I193">
        <f t="array" ref="I193">MuFFromP(テーブル2[[#This Row],[P]])</f>
        <v>6.4066005508525405E-5</v>
      </c>
      <c r="J193">
        <f t="array" ref="J193">KfFromP(テーブル2[[#This Row],[P]])</f>
        <v>0.452884810527584</v>
      </c>
      <c r="K193">
        <f t="array" ref="K193">CpFFromP(テーブル2[[#This Row],[P]])</f>
        <v>11219.515372648901</v>
      </c>
      <c r="L193">
        <f t="array" ref="L193">SigmaFromP(テーブル2[[#This Row],[P]])</f>
        <v>3.02925386118211E-3</v>
      </c>
      <c r="M193">
        <v>192</v>
      </c>
      <c r="N193">
        <v>3661.8209999999999</v>
      </c>
      <c r="O193" s="8">
        <f t="shared" si="90"/>
        <v>2.8502295699234246E-6</v>
      </c>
      <c r="P193" s="8">
        <f t="shared" si="91"/>
        <v>5.9847340050885557E-3</v>
      </c>
      <c r="Q193" s="8">
        <v>1.905E-3</v>
      </c>
      <c r="R193">
        <v>0.69596000000000002</v>
      </c>
      <c r="S193" s="15">
        <v>6556070.21484375</v>
      </c>
      <c r="T193">
        <v>298.84787197440301</v>
      </c>
      <c r="U193" s="12">
        <f>+T193+BG193*S193*テーブル2[[#This Row],[Pw]]*R193/(N193*O193*K193)</f>
        <v>532.04418410014114</v>
      </c>
      <c r="V193">
        <v>0.03</v>
      </c>
      <c r="W193" s="8">
        <f t="shared" si="60"/>
        <v>108884.09460882838</v>
      </c>
      <c r="X193">
        <v>2.4780443082083239E-2</v>
      </c>
      <c r="Y193">
        <f t="shared" si="61"/>
        <v>6.352511592953789</v>
      </c>
      <c r="Z193">
        <f t="shared" si="62"/>
        <v>6.35251162124099</v>
      </c>
      <c r="AA193">
        <f t="shared" si="63"/>
        <v>-2.8287201025989361E-8</v>
      </c>
      <c r="AB193">
        <f t="shared" si="64"/>
        <v>4.9033833539040133E-6</v>
      </c>
      <c r="AC193">
        <v>743.37492086809175</v>
      </c>
      <c r="AD193">
        <f t="shared" si="65"/>
        <v>3030.0094905242086</v>
      </c>
      <c r="AE193">
        <f>+gettm2(AD193,AC193,AK193,AL193,テーブル2[[#This Row],[Fcorr]])</f>
        <v>532.04418410014091</v>
      </c>
      <c r="AF193" s="14">
        <f t="shared" si="66"/>
        <v>0</v>
      </c>
      <c r="AG193">
        <v>5.0026834255610364E-6</v>
      </c>
      <c r="AH193">
        <f t="shared" si="67"/>
        <v>74.134620343814376</v>
      </c>
      <c r="AI193">
        <f t="shared" si="68"/>
        <v>0.36375956062304399</v>
      </c>
      <c r="AJ193">
        <f t="shared" si="69"/>
        <v>15.914097908176482</v>
      </c>
      <c r="AK193">
        <f t="array" ref="AK193">+S193*テーブル2[[#This Row],[F_form]]/(E193*CpFromTP((テーブル2[[#This Row],[Tin]]+テーブル2[[#This Row],[Tf]])/2,テーブル2[[#This Row],[P]])*AI193)</f>
        <v>7.5762043393476137</v>
      </c>
      <c r="AL193">
        <f t="shared" si="70"/>
        <v>1.5871354414155836</v>
      </c>
      <c r="AM193">
        <f t="shared" si="71"/>
        <v>626.57723567066819</v>
      </c>
      <c r="AN193">
        <f t="shared" si="72"/>
        <v>1.6729984508856433E-7</v>
      </c>
      <c r="AO193">
        <f t="shared" si="73"/>
        <v>9.9300071657023117E-8</v>
      </c>
      <c r="AP193">
        <v>2.9874751695952142</v>
      </c>
      <c r="AQ193">
        <f t="shared" si="74"/>
        <v>2.1203411459922706E-5</v>
      </c>
      <c r="AR193">
        <f t="shared" si="75"/>
        <v>2.5509917486090298E-6</v>
      </c>
      <c r="AS193">
        <f t="shared" si="76"/>
        <v>8.1149912950491405</v>
      </c>
      <c r="AT193">
        <f t="shared" si="77"/>
        <v>7.418565641335837</v>
      </c>
      <c r="AU193">
        <f t="shared" si="78"/>
        <v>2.6985741781455346</v>
      </c>
      <c r="AV193">
        <f t="shared" si="79"/>
        <v>0.28890099144967962</v>
      </c>
      <c r="AW193">
        <f t="shared" si="80"/>
        <v>3.8898068497226121E-3</v>
      </c>
      <c r="AX193">
        <f t="shared" si="81"/>
        <v>0.28890098011220278</v>
      </c>
      <c r="AY193">
        <f t="shared" si="82"/>
        <v>1.1337476846229322E-8</v>
      </c>
      <c r="AZ193">
        <f t="shared" si="83"/>
        <v>839091.99888317985</v>
      </c>
      <c r="BA193">
        <f t="shared" si="84"/>
        <v>7.0974352107487632E-6</v>
      </c>
      <c r="BB193" s="15">
        <f t="shared" si="85"/>
        <v>6577334.6594030866</v>
      </c>
      <c r="BC193" s="20">
        <f t="shared" si="86"/>
        <v>21264.44455933664</v>
      </c>
      <c r="BD193" s="19">
        <f t="shared" si="87"/>
        <v>0.32434741945245366</v>
      </c>
      <c r="BE193" s="15">
        <v>3659324.4</v>
      </c>
      <c r="BF193" s="16">
        <f>テーブル2[[#This Row],[q_P]]/テーブル2[[#This Row],[q_M]]</f>
        <v>1.7974177581531408</v>
      </c>
      <c r="BG193">
        <v>1</v>
      </c>
      <c r="BH193">
        <v>-0.13800000000000001</v>
      </c>
      <c r="BI193">
        <v>4.5999999999999999E-2</v>
      </c>
      <c r="BJ193">
        <v>5625</v>
      </c>
      <c r="BK193" s="22">
        <v>1</v>
      </c>
      <c r="BL193">
        <f>テーブル2[[#This Row],[Ts]]-テーブル2[[#This Row],[Tin]]</f>
        <v>327.72936386356503</v>
      </c>
      <c r="BM193">
        <f>テーブル2[[#This Row],[q_P]]*0.000001</f>
        <v>6.5773346594030864</v>
      </c>
      <c r="BN193">
        <f>テーブル2[[#This Row],[Tsub]]</f>
        <v>327.72936386356503</v>
      </c>
      <c r="BO193">
        <f>テーブル2[[#This Row],[Fcorr]]</f>
        <v>1</v>
      </c>
      <c r="BP193">
        <f>(テーブル2[[#This Row],[Tsub]]-40)^2</f>
        <v>82788.186829331797</v>
      </c>
      <c r="BQ193">
        <v>1</v>
      </c>
      <c r="BR193">
        <v>0.69596000000000002</v>
      </c>
    </row>
    <row r="194" spans="1:70" x14ac:dyDescent="0.15">
      <c r="A194" s="9" t="s">
        <v>262</v>
      </c>
      <c r="B194">
        <v>18271106.826896202</v>
      </c>
      <c r="C194" s="22">
        <f t="array" ref="C194">TsatFromP(テーブル2[[#This Row],[P]])</f>
        <v>631.29983468618298</v>
      </c>
      <c r="D194">
        <f t="array" ref="D194">RhoGFromP(テーブル2[[#This Row],[P]])</f>
        <v>138.52318499804184</v>
      </c>
      <c r="E194">
        <f t="array" ref="E194">RhoFFromP(テーブル2[[#This Row],[P]])</f>
        <v>536.33561616438169</v>
      </c>
      <c r="F194">
        <f t="array" ref="F194">HgFromP(テーブル2[[#This Row],[P]])</f>
        <v>2495937.2378505482</v>
      </c>
      <c r="G194">
        <f t="array" ref="G194">HfFromP(テーブル2[[#This Row],[P]])</f>
        <v>1744945.8746917357</v>
      </c>
      <c r="H194">
        <f t="array" ref="H194">MuGFromP(テーブル2[[#This Row],[P]])</f>
        <v>2.5300042817668121E-5</v>
      </c>
      <c r="I194">
        <f t="array" ref="I194">MuFFromP(テーブル2[[#This Row],[P]])</f>
        <v>6.1314866074765293E-5</v>
      </c>
      <c r="J194">
        <f t="array" ref="J194">KfFromP(テーブル2[[#This Row],[P]])</f>
        <v>0.44312471558937161</v>
      </c>
      <c r="K194">
        <f t="array" ref="K194">CpFFromP(テーブル2[[#This Row],[P]])</f>
        <v>14125.954358631279</v>
      </c>
      <c r="L194">
        <f t="array" ref="L194">SigmaFromP(テーブル2[[#This Row],[P]])</f>
        <v>2.2091942860543502E-3</v>
      </c>
      <c r="M194">
        <v>193</v>
      </c>
      <c r="N194">
        <v>2739.5846000000001</v>
      </c>
      <c r="O194" s="8">
        <f t="shared" si="90"/>
        <v>7.0553949389535604E-6</v>
      </c>
      <c r="P194" s="8">
        <f t="shared" si="91"/>
        <v>9.415981501339328E-3</v>
      </c>
      <c r="Q194" s="8">
        <v>2.9972000000000002E-3</v>
      </c>
      <c r="R194">
        <v>0.150114</v>
      </c>
      <c r="S194" s="15">
        <v>1151168.84765625</v>
      </c>
      <c r="T194">
        <v>612.68304621214202</v>
      </c>
      <c r="U194" s="12">
        <f>+T194+BG194*S194*テーブル2[[#This Row],[Pw]]*R194/(N194*O194*K194)</f>
        <v>618.64243855207246</v>
      </c>
      <c r="V194">
        <v>0.03</v>
      </c>
      <c r="W194" s="8">
        <f t="shared" ref="W194:W237" si="92">+N194*Q194/I194</f>
        <v>133916.67451589441</v>
      </c>
      <c r="X194">
        <v>2.358706090902573E-2</v>
      </c>
      <c r="Y194">
        <f t="shared" ref="Y194:Y237" si="93">IF(X194&gt;0,1/X194^0.5,1)</f>
        <v>6.511230738825815</v>
      </c>
      <c r="Z194">
        <f t="shared" ref="Z194:Z237" si="94">IF(X194&gt;0,1.14-2*LOG((0.72*L194*E194)/(X194*Q194*N194^2)+9.35/(W194*X194^0.5)),0)</f>
        <v>6.5112307565456247</v>
      </c>
      <c r="AA194">
        <f t="shared" ref="AA194:AA237" si="95">+Y194-Z194</f>
        <v>-1.7719809619620719E-8</v>
      </c>
      <c r="AB194">
        <f t="shared" ref="AB194:AB237" si="96">32/X194*L194*V194*E194/N194^2</f>
        <v>6.425375621253804E-6</v>
      </c>
      <c r="AC194">
        <v>648.62974004930015</v>
      </c>
      <c r="AD194">
        <f t="shared" ref="AD194:AD237" si="97">+Q194/2*AI194/I194*E194</f>
        <v>3635.7715024401423</v>
      </c>
      <c r="AE194">
        <f>+gettm2(AD194,AC194,AK194,AL194,テーブル2[[#This Row],[Fcorr]])</f>
        <v>618.64243903836984</v>
      </c>
      <c r="AF194" s="14">
        <f t="shared" ref="AF194:AF237" si="98">+AE194-U194</f>
        <v>4.8629738103045383E-7</v>
      </c>
      <c r="AG194">
        <v>6.4566217237366081E-6</v>
      </c>
      <c r="AH194">
        <f t="shared" ref="AH194:AH237" si="99">+X194*N194^2/(8*E194)</f>
        <v>41.258804146735869</v>
      </c>
      <c r="AI194">
        <f t="shared" ref="AI194:AI237" si="100">+(AH194/E194)^0.5</f>
        <v>0.27735755430529702</v>
      </c>
      <c r="AJ194">
        <f t="shared" ref="AJ194:AJ237" si="101">+AG194*AI194/I194*E194</f>
        <v>15.664487698650413</v>
      </c>
      <c r="AK194">
        <f t="array" ref="AK194">+S194*テーブル2[[#This Row],[F_form]]/(E194*CpFromTP((テーブル2[[#This Row],[Tin]]+テーブル2[[#This Row],[Tf]])/2,テーブル2[[#This Row],[P]])*AI194)</f>
        <v>0.96350317887648684</v>
      </c>
      <c r="AL194">
        <f t="shared" ref="AL194:AL237" si="102">+K194*I194/J194</f>
        <v>1.9545987150045083</v>
      </c>
      <c r="AM194">
        <f t="shared" ref="AM194:AM237" si="103">+gettyp(AC194,AJ194,AK194,AL194)</f>
        <v>631.29983470218883</v>
      </c>
      <c r="AN194">
        <f t="shared" ref="AN194:AN237" si="104">+C194-AM194</f>
        <v>-1.6005856195988599E-8</v>
      </c>
      <c r="AO194">
        <f t="shared" ref="AO194:AO237" si="105">+AG194-AB194</f>
        <v>3.1246102482804082E-8</v>
      </c>
      <c r="AP194">
        <v>2.265618810104193</v>
      </c>
      <c r="AQ194">
        <f t="shared" ref="AQ194:AQ237" si="106">2*PI()*L194*(D194+E194)/(D194*E194*AP194^2)</f>
        <v>2.4563706858024477E-5</v>
      </c>
      <c r="AR194">
        <f t="shared" ref="AR194:AR237" si="107">+AO194+AB194/2</f>
        <v>3.2439339131097061E-6</v>
      </c>
      <c r="AS194">
        <f t="shared" ref="AS194:AS237" si="108">+AR194*AI194/I194*E194</f>
        <v>7.8701471220361698</v>
      </c>
      <c r="AT194">
        <f t="shared" ref="AT194:AT237" si="109">+getublp(AS194)</f>
        <v>7.2653837814356539</v>
      </c>
      <c r="AU194">
        <f t="shared" ref="AU194:AU237" si="110">+AT194*AI194</f>
        <v>2.0151090767083635</v>
      </c>
      <c r="AV194">
        <f t="shared" ref="AV194:AV237" si="111">+AP194-AU194</f>
        <v>0.25050973339582949</v>
      </c>
      <c r="AW194">
        <f t="shared" ref="AW194:AW237" si="112">2/3*AB194/(L194/(9.8*(E194-D194)))^0.5</f>
        <v>5.6903963802360158E-3</v>
      </c>
      <c r="AX194">
        <f t="shared" ref="AX194:AX237" si="113">+(2*AQ194*9.8*(E194-D194)/(E194*AW194))^0.5</f>
        <v>0.25050972202862032</v>
      </c>
      <c r="AY194">
        <f t="shared" ref="AY194:AY237" si="114">+AV194-AX194</f>
        <v>1.1367209173940296E-8</v>
      </c>
      <c r="AZ194">
        <f t="shared" ref="AZ194:AZ237" si="115">+F194-G194</f>
        <v>750991.36315881251</v>
      </c>
      <c r="BA194">
        <f t="shared" ref="BA194:BA237" si="116">+AQ194/AP194</f>
        <v>1.0841941613688678E-5</v>
      </c>
      <c r="BB194" s="15">
        <f t="shared" ref="BB194:BB237" si="117">+E194*AO194*AZ194/BA194</f>
        <v>1160807.9371140187</v>
      </c>
      <c r="BC194" s="20">
        <f t="shared" ref="BC194:BC237" si="118">BB194-S194</f>
        <v>9639.0894577687141</v>
      </c>
      <c r="BD194" s="19">
        <f t="shared" ref="BD194:BD237" si="119">+(BB194-S194)/S194*100</f>
        <v>0.83733063810696851</v>
      </c>
      <c r="BE194" s="15">
        <v>1722406.14</v>
      </c>
      <c r="BF194" s="16">
        <f>テーブル2[[#This Row],[q_P]]/テーブル2[[#This Row],[q_M]]</f>
        <v>0.67394554057617262</v>
      </c>
      <c r="BG194">
        <v>1</v>
      </c>
      <c r="BH194">
        <v>-5.7000000000000002E-2</v>
      </c>
      <c r="BI194">
        <v>4.5999999999999999E-2</v>
      </c>
      <c r="BJ194">
        <v>5625</v>
      </c>
      <c r="BK194" s="22">
        <v>1</v>
      </c>
      <c r="BL194">
        <f>テーブル2[[#This Row],[Ts]]-テーブル2[[#This Row],[Tin]]</f>
        <v>18.616788474040959</v>
      </c>
      <c r="BM194">
        <f>テーブル2[[#This Row],[q_P]]*0.000001</f>
        <v>1.1608079371140188</v>
      </c>
      <c r="BN194">
        <f>テーブル2[[#This Row],[Tsub]]</f>
        <v>18.616788474040959</v>
      </c>
      <c r="BO194">
        <f>テーブル2[[#This Row],[Fcorr]]</f>
        <v>1</v>
      </c>
      <c r="BP194">
        <f>(テーブル2[[#This Row],[Tsub]]-40)^2</f>
        <v>457.24173516390755</v>
      </c>
      <c r="BQ194">
        <v>1</v>
      </c>
      <c r="BR194">
        <v>0.150114</v>
      </c>
    </row>
    <row r="195" spans="1:70" x14ac:dyDescent="0.15">
      <c r="A195" s="9" t="s">
        <v>263</v>
      </c>
      <c r="B195">
        <v>18271106.826896202</v>
      </c>
      <c r="C195" s="22">
        <f t="array" ref="C195">TsatFromP(テーブル2[[#This Row],[P]])</f>
        <v>631.29983468618298</v>
      </c>
      <c r="D195">
        <f t="array" ref="D195">RhoGFromP(テーブル2[[#This Row],[P]])</f>
        <v>138.52318499804184</v>
      </c>
      <c r="E195">
        <f t="array" ref="E195">RhoFFromP(テーブル2[[#This Row],[P]])</f>
        <v>536.33561616438169</v>
      </c>
      <c r="F195">
        <f t="array" ref="F195">HgFromP(テーブル2[[#This Row],[P]])</f>
        <v>2495937.2378505482</v>
      </c>
      <c r="G195">
        <f t="array" ref="G195">HfFromP(テーブル2[[#This Row],[P]])</f>
        <v>1744945.8746917357</v>
      </c>
      <c r="H195">
        <f t="array" ref="H195">MuGFromP(テーブル2[[#This Row],[P]])</f>
        <v>2.5300042817668121E-5</v>
      </c>
      <c r="I195">
        <f t="array" ref="I195">MuFFromP(テーブル2[[#This Row],[P]])</f>
        <v>6.1314866074765293E-5</v>
      </c>
      <c r="J195">
        <f t="array" ref="J195">KfFromP(テーブル2[[#This Row],[P]])</f>
        <v>0.44312471558937161</v>
      </c>
      <c r="K195">
        <f t="array" ref="K195">CpFFromP(テーブル2[[#This Row],[P]])</f>
        <v>14125.954358631279</v>
      </c>
      <c r="L195">
        <f t="array" ref="L195">SigmaFromP(テーブル2[[#This Row],[P]])</f>
        <v>2.2091942860543502E-3</v>
      </c>
      <c r="M195">
        <v>194</v>
      </c>
      <c r="N195">
        <v>2753.1469000000002</v>
      </c>
      <c r="O195" s="8">
        <f t="shared" si="90"/>
        <v>7.0553949389535604E-6</v>
      </c>
      <c r="P195" s="8">
        <f t="shared" si="91"/>
        <v>9.415981501339328E-3</v>
      </c>
      <c r="Q195" s="8">
        <v>2.9972000000000002E-3</v>
      </c>
      <c r="R195">
        <v>0.150114</v>
      </c>
      <c r="S195" s="15">
        <v>1154111.62109375</v>
      </c>
      <c r="T195">
        <v>612.68304621214202</v>
      </c>
      <c r="U195" s="12">
        <f>+T195+BG195*S195*テーブル2[[#This Row],[Pw]]*R195/(N195*O195*K195)</f>
        <v>618.62824109858184</v>
      </c>
      <c r="V195">
        <v>0.03</v>
      </c>
      <c r="W195" s="8">
        <f t="shared" si="92"/>
        <v>134579.62835013153</v>
      </c>
      <c r="X195">
        <v>2.3542434183711519E-2</v>
      </c>
      <c r="Y195">
        <f t="shared" si="93"/>
        <v>6.5173991182561126</v>
      </c>
      <c r="Z195">
        <f t="shared" si="94"/>
        <v>6.5173991374830242</v>
      </c>
      <c r="AA195">
        <f t="shared" si="95"/>
        <v>-1.9226911618375198E-8</v>
      </c>
      <c r="AB195">
        <f t="shared" si="96"/>
        <v>6.3742875031969743E-6</v>
      </c>
      <c r="AC195">
        <v>648.58215201655344</v>
      </c>
      <c r="AD195">
        <f t="shared" si="97"/>
        <v>3650.3122675647296</v>
      </c>
      <c r="AE195">
        <f>+gettm2(AD195,AC195,AK195,AL195,テーブル2[[#This Row],[Fcorr]])</f>
        <v>618.62824158440321</v>
      </c>
      <c r="AF195" s="14">
        <f t="shared" si="98"/>
        <v>4.8582137424091343E-7</v>
      </c>
      <c r="AG195">
        <v>6.4053696486596969E-6</v>
      </c>
      <c r="AH195">
        <f t="shared" si="99"/>
        <v>41.589481835195159</v>
      </c>
      <c r="AI195">
        <f t="shared" si="100"/>
        <v>0.2784668074720531</v>
      </c>
      <c r="AJ195">
        <f t="shared" si="101"/>
        <v>15.60229507993412</v>
      </c>
      <c r="AK195">
        <f t="array" ref="AK195">+S195*テーブル2[[#This Row],[F_form]]/(E195*CpFromTP((テーブル2[[#This Row],[Tin]]+テーブル2[[#This Row],[Tf]])/2,テーブル2[[#This Row],[P]])*AI195)</f>
        <v>0.9621183566994298</v>
      </c>
      <c r="AL195">
        <f t="shared" si="102"/>
        <v>1.9545987150045083</v>
      </c>
      <c r="AM195">
        <f t="shared" si="103"/>
        <v>631.29983468052592</v>
      </c>
      <c r="AN195">
        <f t="shared" si="104"/>
        <v>5.6570570450276136E-9</v>
      </c>
      <c r="AO195">
        <f t="shared" si="105"/>
        <v>3.1082145462722595E-8</v>
      </c>
      <c r="AP195">
        <v>2.2688057548090712</v>
      </c>
      <c r="AQ195">
        <f t="shared" si="106"/>
        <v>2.4494747059279634E-5</v>
      </c>
      <c r="AR195">
        <f t="shared" si="107"/>
        <v>3.2182258970612098E-6</v>
      </c>
      <c r="AS195">
        <f t="shared" si="108"/>
        <v>7.8390027170939804</v>
      </c>
      <c r="AT195">
        <f t="shared" si="109"/>
        <v>7.2455581090942278</v>
      </c>
      <c r="AU195">
        <f t="shared" si="110"/>
        <v>2.0176474349927154</v>
      </c>
      <c r="AV195">
        <f t="shared" si="111"/>
        <v>0.25115831981635584</v>
      </c>
      <c r="AW195">
        <f t="shared" si="112"/>
        <v>5.6451520771477973E-3</v>
      </c>
      <c r="AX195">
        <f t="shared" si="113"/>
        <v>0.25115830783988741</v>
      </c>
      <c r="AY195">
        <f t="shared" si="114"/>
        <v>1.1976468428098741E-8</v>
      </c>
      <c r="AZ195">
        <f t="shared" si="115"/>
        <v>750991.36315881251</v>
      </c>
      <c r="BA195">
        <f t="shared" si="116"/>
        <v>1.0796317405030984E-5</v>
      </c>
      <c r="BB195" s="15">
        <f t="shared" si="117"/>
        <v>1159596.577303299</v>
      </c>
      <c r="BC195" s="20">
        <f t="shared" si="118"/>
        <v>5484.9562095489819</v>
      </c>
      <c r="BD195" s="19">
        <f t="shared" si="119"/>
        <v>0.47525352914745767</v>
      </c>
      <c r="BE195" s="15">
        <v>1747642.86</v>
      </c>
      <c r="BF195" s="16">
        <f>テーブル2[[#This Row],[q_P]]/テーブル2[[#This Row],[q_M]]</f>
        <v>0.66352033578719793</v>
      </c>
      <c r="BG195">
        <v>1</v>
      </c>
      <c r="BH195">
        <v>-5.5E-2</v>
      </c>
      <c r="BI195">
        <v>4.5999999999999999E-2</v>
      </c>
      <c r="BJ195">
        <v>5625</v>
      </c>
      <c r="BK195" s="22">
        <v>1</v>
      </c>
      <c r="BL195">
        <f>テーブル2[[#This Row],[Ts]]-テーブル2[[#This Row],[Tin]]</f>
        <v>18.616788474040959</v>
      </c>
      <c r="BM195">
        <f>テーブル2[[#This Row],[q_P]]*0.000001</f>
        <v>1.159596577303299</v>
      </c>
      <c r="BN195">
        <f>テーブル2[[#This Row],[Tsub]]</f>
        <v>18.616788474040959</v>
      </c>
      <c r="BO195">
        <f>テーブル2[[#This Row],[Fcorr]]</f>
        <v>1</v>
      </c>
      <c r="BP195">
        <f>(テーブル2[[#This Row],[Tsub]]-40)^2</f>
        <v>457.24173516390755</v>
      </c>
      <c r="BQ195">
        <v>1</v>
      </c>
      <c r="BR195">
        <v>0.150114</v>
      </c>
    </row>
    <row r="196" spans="1:70" x14ac:dyDescent="0.15">
      <c r="A196" s="9" t="s">
        <v>264</v>
      </c>
      <c r="B196">
        <v>18960582.556212999</v>
      </c>
      <c r="C196" s="22">
        <f t="array" ref="C196">TsatFromP(テーブル2[[#This Row],[P]])</f>
        <v>634.44823391832597</v>
      </c>
      <c r="D196">
        <f t="array" ref="D196">RhoGFromP(テーブル2[[#This Row],[P]])</f>
        <v>149.14958101226799</v>
      </c>
      <c r="E196">
        <f t="array" ref="E196">RhoFFromP(テーブル2[[#This Row],[P]])</f>
        <v>520.38377569771103</v>
      </c>
      <c r="F196">
        <f t="array" ref="F196">HgFromP(テーブル2[[#This Row],[P]])</f>
        <v>2467301.6327637699</v>
      </c>
      <c r="G196">
        <f t="array" ref="G196">HfFromP(テーブル2[[#This Row],[P]])</f>
        <v>1775044.0267545299</v>
      </c>
      <c r="H196">
        <f t="array" ref="H196">MuGFromP(テーブル2[[#This Row],[P]])</f>
        <v>2.5972810943896E-5</v>
      </c>
      <c r="I196">
        <f t="array" ref="I196">MuFFromP(テーブル2[[#This Row],[P]])</f>
        <v>5.9480773118925399E-5</v>
      </c>
      <c r="J196">
        <f t="array" ref="J196">KfFromP(テーブル2[[#This Row],[P]])</f>
        <v>0.43661798563056398</v>
      </c>
      <c r="K196">
        <f t="array" ref="K196">CpFFromP(テーブル2[[#This Row],[P]])</f>
        <v>16063.580349286</v>
      </c>
      <c r="L196">
        <f t="array" ref="L196">SigmaFromP(テーブル2[[#This Row],[P]])</f>
        <v>1.6624879026359001E-3</v>
      </c>
      <c r="M196">
        <v>195</v>
      </c>
      <c r="N196">
        <v>1844.4728</v>
      </c>
      <c r="O196" s="8">
        <f t="shared" si="90"/>
        <v>2.8502295699234246E-6</v>
      </c>
      <c r="P196" s="8">
        <f t="shared" si="91"/>
        <v>5.9847340050885557E-3</v>
      </c>
      <c r="Q196" s="8">
        <v>1.905E-3</v>
      </c>
      <c r="R196">
        <v>0.15240000000000001</v>
      </c>
      <c r="S196" s="15">
        <v>2584217.42578125</v>
      </c>
      <c r="T196">
        <v>558.46565244536998</v>
      </c>
      <c r="U196" s="12">
        <f>+T196+BG196*S196*テーブル2[[#This Row],[Pw]]*R196/(N196*O196*K196)</f>
        <v>586.37594725565225</v>
      </c>
      <c r="V196">
        <v>0.03</v>
      </c>
      <c r="W196" s="8">
        <f t="shared" si="92"/>
        <v>59073.218113266514</v>
      </c>
      <c r="X196">
        <v>2.890389008300534E-2</v>
      </c>
      <c r="Y196">
        <f t="shared" si="93"/>
        <v>5.881957084232539</v>
      </c>
      <c r="Z196">
        <f t="shared" si="94"/>
        <v>5.8819570995297781</v>
      </c>
      <c r="AA196">
        <f t="shared" si="95"/>
        <v>-1.5297239031042409E-8</v>
      </c>
      <c r="AB196">
        <f t="shared" si="96"/>
        <v>8.4460309260993839E-6</v>
      </c>
      <c r="AC196">
        <v>718.69196718017213</v>
      </c>
      <c r="AD196">
        <f t="shared" si="97"/>
        <v>1775.3900834458789</v>
      </c>
      <c r="AE196">
        <f>+gettm2(AD196,AC196,AK196,AL196,テーブル2[[#This Row],[Fcorr]])</f>
        <v>586.37594725565225</v>
      </c>
      <c r="AF196" s="14">
        <f t="shared" si="98"/>
        <v>0</v>
      </c>
      <c r="AG196">
        <v>8.557930864843843E-6</v>
      </c>
      <c r="AH196">
        <f t="shared" si="99"/>
        <v>23.620390460545245</v>
      </c>
      <c r="AI196">
        <f t="shared" si="100"/>
        <v>0.21305006072789628</v>
      </c>
      <c r="AJ196">
        <f t="shared" si="101"/>
        <v>15.951354952503069</v>
      </c>
      <c r="AK196">
        <f t="array" ref="AK196">+S196*テーブル2[[#This Row],[F_form]]/(E196*CpFromTP((テーブル2[[#This Row],[Tin]]+テーブル2[[#This Row],[Tf]])/2,テーブル2[[#This Row],[P]])*AI196)</f>
        <v>4.2708923875409859</v>
      </c>
      <c r="AL196">
        <f t="shared" si="102"/>
        <v>2.1883527698787133</v>
      </c>
      <c r="AM196">
        <f t="shared" si="103"/>
        <v>634.44823394892057</v>
      </c>
      <c r="AN196">
        <f t="shared" si="104"/>
        <v>-3.0594605959777255E-8</v>
      </c>
      <c r="AO196">
        <f t="shared" si="105"/>
        <v>1.1189993874445909E-7</v>
      </c>
      <c r="AP196">
        <v>1.7928478619781869</v>
      </c>
      <c r="AQ196">
        <f t="shared" si="106"/>
        <v>2.8033538538420466E-5</v>
      </c>
      <c r="AR196">
        <f t="shared" si="107"/>
        <v>4.334915401794151E-6</v>
      </c>
      <c r="AS196">
        <f t="shared" si="108"/>
        <v>8.0799641122542187</v>
      </c>
      <c r="AT196">
        <f t="shared" si="109"/>
        <v>7.3969371548522229</v>
      </c>
      <c r="AU196">
        <f t="shared" si="110"/>
        <v>1.5759179100416985</v>
      </c>
      <c r="AV196">
        <f t="shared" si="111"/>
        <v>0.21692995193648845</v>
      </c>
      <c r="AW196">
        <f t="shared" si="112"/>
        <v>8.3295048522171993E-3</v>
      </c>
      <c r="AX196">
        <f t="shared" si="113"/>
        <v>0.21692994960171219</v>
      </c>
      <c r="AY196">
        <f t="shared" si="114"/>
        <v>2.3347762612146994E-9</v>
      </c>
      <c r="AZ196">
        <f t="shared" si="115"/>
        <v>692257.60600924003</v>
      </c>
      <c r="BA196">
        <f t="shared" si="116"/>
        <v>1.5636317577716221E-5</v>
      </c>
      <c r="BB196" s="15">
        <f t="shared" si="117"/>
        <v>2578023.372101312</v>
      </c>
      <c r="BC196" s="20">
        <f t="shared" si="118"/>
        <v>-6194.0536799379624</v>
      </c>
      <c r="BD196" s="19">
        <f t="shared" si="119"/>
        <v>-0.23968779167509105</v>
      </c>
      <c r="BE196" s="15">
        <v>2555217.9</v>
      </c>
      <c r="BF196" s="16">
        <f>テーブル2[[#This Row],[q_P]]/テーブル2[[#This Row],[q_M]]</f>
        <v>1.0089250596206736</v>
      </c>
      <c r="BG196">
        <v>1</v>
      </c>
      <c r="BH196">
        <v>-0.10299999999999999</v>
      </c>
      <c r="BI196">
        <v>4.5999999999999999E-2</v>
      </c>
      <c r="BJ196">
        <v>5625</v>
      </c>
      <c r="BK196" s="22">
        <v>1</v>
      </c>
      <c r="BL196">
        <f>テーブル2[[#This Row],[Ts]]-テーブル2[[#This Row],[Tin]]</f>
        <v>75.982581472955985</v>
      </c>
      <c r="BM196">
        <f>テーブル2[[#This Row],[q_P]]*0.000001</f>
        <v>2.5780233721013119</v>
      </c>
      <c r="BN196">
        <f>テーブル2[[#This Row],[Tsub]]</f>
        <v>75.982581472955985</v>
      </c>
      <c r="BO196">
        <f>テーブル2[[#This Row],[Fcorr]]</f>
        <v>1</v>
      </c>
      <c r="BP196">
        <f>(テーブル2[[#This Row],[Tsub]]-40)^2</f>
        <v>1294.7461694579154</v>
      </c>
      <c r="BQ196">
        <v>1</v>
      </c>
      <c r="BR196">
        <v>0.15240000000000001</v>
      </c>
    </row>
    <row r="197" spans="1:70" x14ac:dyDescent="0.15">
      <c r="A197" s="9" t="s">
        <v>265</v>
      </c>
      <c r="B197">
        <v>18960582.556212999</v>
      </c>
      <c r="C197" s="22">
        <f t="array" ref="C197">TsatFromP(テーブル2[[#This Row],[P]])</f>
        <v>634.44823391832597</v>
      </c>
      <c r="D197">
        <f t="array" ref="D197">RhoGFromP(テーブル2[[#This Row],[P]])</f>
        <v>149.14958101226799</v>
      </c>
      <c r="E197">
        <f t="array" ref="E197">RhoFFromP(テーブル2[[#This Row],[P]])</f>
        <v>520.38377569771103</v>
      </c>
      <c r="F197">
        <f t="array" ref="F197">HgFromP(テーブル2[[#This Row],[P]])</f>
        <v>2467301.6327637699</v>
      </c>
      <c r="G197">
        <f t="array" ref="G197">HfFromP(テーブル2[[#This Row],[P]])</f>
        <v>1775044.0267545299</v>
      </c>
      <c r="H197">
        <f t="array" ref="H197">MuGFromP(テーブル2[[#This Row],[P]])</f>
        <v>2.5972810943896E-5</v>
      </c>
      <c r="I197">
        <f t="array" ref="I197">MuFFromP(テーブル2[[#This Row],[P]])</f>
        <v>5.9480773118925399E-5</v>
      </c>
      <c r="J197">
        <f t="array" ref="J197">KfFromP(テーブル2[[#This Row],[P]])</f>
        <v>0.43661798563056398</v>
      </c>
      <c r="K197">
        <f t="array" ref="K197">CpFFromP(テーブル2[[#This Row],[P]])</f>
        <v>16063.580349286</v>
      </c>
      <c r="L197">
        <f t="array" ref="L197">SigmaFromP(テーブル2[[#This Row],[P]])</f>
        <v>1.6624879026359001E-3</v>
      </c>
      <c r="M197">
        <v>196</v>
      </c>
      <c r="N197">
        <v>1858.0351000000001</v>
      </c>
      <c r="O197" s="8">
        <f t="shared" si="90"/>
        <v>2.8502295699234246E-6</v>
      </c>
      <c r="P197" s="8">
        <f t="shared" si="91"/>
        <v>5.9847340050885557E-3</v>
      </c>
      <c r="Q197" s="8">
        <v>1.905E-3</v>
      </c>
      <c r="R197">
        <v>0.15240000000000001</v>
      </c>
      <c r="S197" s="15">
        <v>2654687.98828125</v>
      </c>
      <c r="T197">
        <v>556.26295808654595</v>
      </c>
      <c r="U197" s="12">
        <f>+T197+BG197*S197*テーブル2[[#This Row],[Pw]]*R197/(N197*O197*K197)</f>
        <v>584.72507505976898</v>
      </c>
      <c r="V197">
        <v>0.03</v>
      </c>
      <c r="W197" s="8">
        <f t="shared" si="92"/>
        <v>59507.580011158185</v>
      </c>
      <c r="X197">
        <v>2.8815898793205751E-2</v>
      </c>
      <c r="Y197">
        <f t="shared" si="93"/>
        <v>5.8909307153231438</v>
      </c>
      <c r="Z197">
        <f t="shared" si="94"/>
        <v>5.8909307249756404</v>
      </c>
      <c r="AA197">
        <f t="shared" si="95"/>
        <v>-9.6524965798039375E-9</v>
      </c>
      <c r="AB197">
        <f t="shared" si="96"/>
        <v>8.3485965985073606E-6</v>
      </c>
      <c r="AC197">
        <v>721.07172439070189</v>
      </c>
      <c r="AD197">
        <f t="shared" si="97"/>
        <v>1785.7200920917137</v>
      </c>
      <c r="AE197">
        <f>+gettm2(AD197,AC197,AK197,AL197,テーブル2[[#This Row],[Fcorr]])</f>
        <v>584.72507505976887</v>
      </c>
      <c r="AF197" s="14">
        <f t="shared" si="98"/>
        <v>0</v>
      </c>
      <c r="AG197">
        <v>8.4620804080939452E-6</v>
      </c>
      <c r="AH197">
        <f t="shared" si="99"/>
        <v>23.896057973621129</v>
      </c>
      <c r="AI197">
        <f t="shared" si="100"/>
        <v>0.21428968067949769</v>
      </c>
      <c r="AJ197">
        <f t="shared" si="101"/>
        <v>15.8644692972483</v>
      </c>
      <c r="AK197">
        <f t="array" ref="AK197">+S197*テーブル2[[#This Row],[F_form]]/(E197*CpFromTP((テーブル2[[#This Row],[Tin]]+テーブル2[[#This Row],[Tf]])/2,テーブル2[[#This Row],[P]])*AI197)</f>
        <v>4.3988821818343338</v>
      </c>
      <c r="AL197">
        <f t="shared" si="102"/>
        <v>2.1883527698787133</v>
      </c>
      <c r="AM197">
        <f t="shared" si="103"/>
        <v>634.44823392881597</v>
      </c>
      <c r="AN197">
        <f t="shared" si="104"/>
        <v>-1.0489998203411233E-8</v>
      </c>
      <c r="AO197">
        <f t="shared" si="105"/>
        <v>1.1348380958658459E-7</v>
      </c>
      <c r="AP197">
        <v>1.7972477854974711</v>
      </c>
      <c r="AQ197">
        <f t="shared" si="106"/>
        <v>2.7896446210047063E-5</v>
      </c>
      <c r="AR197">
        <f t="shared" si="107"/>
        <v>4.2877821088402649E-6</v>
      </c>
      <c r="AS197">
        <f t="shared" si="108"/>
        <v>8.0386127687847129</v>
      </c>
      <c r="AT197">
        <f t="shared" si="109"/>
        <v>7.3712826355399965</v>
      </c>
      <c r="AU197">
        <f t="shared" si="110"/>
        <v>1.579589802168192</v>
      </c>
      <c r="AV197">
        <f t="shared" si="111"/>
        <v>0.2176579833292791</v>
      </c>
      <c r="AW197">
        <f t="shared" si="112"/>
        <v>8.2334147820349573E-3</v>
      </c>
      <c r="AX197">
        <f t="shared" si="113"/>
        <v>0.21765797842260901</v>
      </c>
      <c r="AY197">
        <f t="shared" si="114"/>
        <v>4.9066700980038291E-9</v>
      </c>
      <c r="AZ197">
        <f t="shared" si="115"/>
        <v>692257.60600924003</v>
      </c>
      <c r="BA197">
        <f t="shared" si="116"/>
        <v>1.5521758566154213E-5</v>
      </c>
      <c r="BB197" s="15">
        <f t="shared" si="117"/>
        <v>2633810.1469452311</v>
      </c>
      <c r="BC197" s="20">
        <f t="shared" si="118"/>
        <v>-20877.841336018872</v>
      </c>
      <c r="BD197" s="19">
        <f t="shared" si="119"/>
        <v>-0.7864517950200246</v>
      </c>
      <c r="BE197" s="15">
        <v>2744493.3</v>
      </c>
      <c r="BF197" s="16">
        <f>テーブル2[[#This Row],[q_P]]/テーブル2[[#This Row],[q_M]]</f>
        <v>0.95967082409901727</v>
      </c>
      <c r="BG197">
        <v>1</v>
      </c>
      <c r="BH197">
        <v>-7.6999999999999999E-2</v>
      </c>
      <c r="BI197">
        <v>4.5999999999999999E-2</v>
      </c>
      <c r="BJ197">
        <v>5625</v>
      </c>
      <c r="BK197" s="22">
        <v>1</v>
      </c>
      <c r="BL197">
        <f>テーブル2[[#This Row],[Ts]]-テーブル2[[#This Row],[Tin]]</f>
        <v>78.185275831780018</v>
      </c>
      <c r="BM197">
        <f>テーブル2[[#This Row],[q_P]]*0.000001</f>
        <v>2.6338101469452311</v>
      </c>
      <c r="BN197">
        <f>テーブル2[[#This Row],[Tsub]]</f>
        <v>78.185275831780018</v>
      </c>
      <c r="BO197">
        <f>テーブル2[[#This Row],[Fcorr]]</f>
        <v>1</v>
      </c>
      <c r="BP197">
        <f>(テーブル2[[#This Row],[Tsub]]-40)^2</f>
        <v>1458.1152903491231</v>
      </c>
      <c r="BQ197">
        <v>1</v>
      </c>
      <c r="BR197">
        <v>0.15240000000000001</v>
      </c>
    </row>
    <row r="198" spans="1:70" x14ac:dyDescent="0.15">
      <c r="A198" s="9" t="s">
        <v>266</v>
      </c>
      <c r="B198">
        <v>18960582.556212999</v>
      </c>
      <c r="C198" s="22">
        <f t="array" ref="C198">TsatFromP(テーブル2[[#This Row],[P]])</f>
        <v>634.44823391832597</v>
      </c>
      <c r="D198">
        <f t="array" ref="D198">RhoGFromP(テーブル2[[#This Row],[P]])</f>
        <v>149.14958101226799</v>
      </c>
      <c r="E198">
        <f t="array" ref="E198">RhoFFromP(テーブル2[[#This Row],[P]])</f>
        <v>520.38377569771103</v>
      </c>
      <c r="F198">
        <f t="array" ref="F198">HgFromP(テーブル2[[#This Row],[P]])</f>
        <v>2467301.6327637699</v>
      </c>
      <c r="G198">
        <f t="array" ref="G198">HfFromP(テーブル2[[#This Row],[P]])</f>
        <v>1775044.0267545299</v>
      </c>
      <c r="H198">
        <f t="array" ref="H198">MuGFromP(テーブル2[[#This Row],[P]])</f>
        <v>2.5972810943896E-5</v>
      </c>
      <c r="I198">
        <f t="array" ref="I198">MuFFromP(テーブル2[[#This Row],[P]])</f>
        <v>5.9480773118925399E-5</v>
      </c>
      <c r="J198">
        <f t="array" ref="J198">KfFromP(テーブル2[[#This Row],[P]])</f>
        <v>0.43661798563056398</v>
      </c>
      <c r="K198">
        <f t="array" ref="K198">CpFFromP(テーブル2[[#This Row],[P]])</f>
        <v>16063.580349286</v>
      </c>
      <c r="L198">
        <f t="array" ref="L198">SigmaFromP(テーブル2[[#This Row],[P]])</f>
        <v>1.6624879026359001E-3</v>
      </c>
      <c r="M198">
        <v>197</v>
      </c>
      <c r="N198">
        <v>1871.5974000000001</v>
      </c>
      <c r="O198" s="8">
        <f t="shared" si="90"/>
        <v>2.8502295699234246E-6</v>
      </c>
      <c r="P198" s="8">
        <f t="shared" si="91"/>
        <v>5.9847340050885557E-3</v>
      </c>
      <c r="Q198" s="8">
        <v>1.905E-3</v>
      </c>
      <c r="R198">
        <v>0.15240000000000001</v>
      </c>
      <c r="S198" s="15">
        <v>3157560.29296875</v>
      </c>
      <c r="T198">
        <v>538.50245457174299</v>
      </c>
      <c r="U198" s="12">
        <f>+T198+BG198*S198*テーブル2[[#This Row],[Pw]]*R198/(N198*O198*K198)</f>
        <v>572.110777943789</v>
      </c>
      <c r="V198">
        <v>0.03</v>
      </c>
      <c r="W198" s="8">
        <f t="shared" si="92"/>
        <v>59941.941909049849</v>
      </c>
      <c r="X198">
        <v>2.872895543349727E-2</v>
      </c>
      <c r="Y198">
        <f t="shared" si="93"/>
        <v>5.8998379376894636</v>
      </c>
      <c r="Z198">
        <f t="shared" si="94"/>
        <v>5.8998379765319902</v>
      </c>
      <c r="AA198">
        <f t="shared" si="95"/>
        <v>-3.8842526528526378E-8</v>
      </c>
      <c r="AB198">
        <f t="shared" si="96"/>
        <v>8.252941613511316E-6</v>
      </c>
      <c r="AC198">
        <v>742.63182352334468</v>
      </c>
      <c r="AD198">
        <f t="shared" si="97"/>
        <v>1796.0388933148606</v>
      </c>
      <c r="AE198">
        <f>+gettm2(AD198,AC198,AK198,AL198,テーブル2[[#This Row],[Fcorr]])</f>
        <v>572.110777943789</v>
      </c>
      <c r="AF198" s="14">
        <f t="shared" si="98"/>
        <v>0</v>
      </c>
      <c r="AG198">
        <v>8.3881602138876922E-6</v>
      </c>
      <c r="AH198">
        <f t="shared" si="99"/>
        <v>24.173023106052103</v>
      </c>
      <c r="AI198">
        <f t="shared" si="100"/>
        <v>0.21552795571985592</v>
      </c>
      <c r="AJ198">
        <f t="shared" si="101"/>
        <v>15.81675799212451</v>
      </c>
      <c r="AK198">
        <f t="array" ref="AK198">+S198*テーブル2[[#This Row],[F_form]]/(E198*CpFromTP((テーブル2[[#This Row],[Tin]]+テーブル2[[#This Row],[Tf]])/2,テーブル2[[#This Row],[P]])*AI198)</f>
        <v>5.4988144008337372</v>
      </c>
      <c r="AL198">
        <f t="shared" si="102"/>
        <v>2.1883527698787133</v>
      </c>
      <c r="AM198">
        <f t="shared" si="103"/>
        <v>634.44823391253783</v>
      </c>
      <c r="AN198">
        <f t="shared" si="104"/>
        <v>5.7881379689206369E-9</v>
      </c>
      <c r="AO198">
        <f t="shared" si="105"/>
        <v>1.3521860037637625E-7</v>
      </c>
      <c r="AP198">
        <v>1.80618173777312</v>
      </c>
      <c r="AQ198">
        <f t="shared" si="106"/>
        <v>2.7621159244891151E-5</v>
      </c>
      <c r="AR198">
        <f t="shared" si="107"/>
        <v>4.2616894071320342E-6</v>
      </c>
      <c r="AS198">
        <f t="shared" si="108"/>
        <v>8.0358634398289581</v>
      </c>
      <c r="AT198">
        <f t="shared" si="109"/>
        <v>7.3695722662894632</v>
      </c>
      <c r="AU198">
        <f t="shared" si="110"/>
        <v>1.5883488450831136</v>
      </c>
      <c r="AV198">
        <f t="shared" si="111"/>
        <v>0.21783289269000639</v>
      </c>
      <c r="AW198">
        <f t="shared" si="112"/>
        <v>8.1390795056625696E-3</v>
      </c>
      <c r="AX198">
        <f t="shared" si="113"/>
        <v>0.2178328900844822</v>
      </c>
      <c r="AY198">
        <f t="shared" si="114"/>
        <v>2.6055241852951383E-9</v>
      </c>
      <c r="AZ198">
        <f t="shared" si="115"/>
        <v>692257.60600924003</v>
      </c>
      <c r="BA198">
        <f t="shared" si="116"/>
        <v>1.5292569217838438E-5</v>
      </c>
      <c r="BB198" s="15">
        <f t="shared" si="117"/>
        <v>3185278.9049469265</v>
      </c>
      <c r="BC198" s="20">
        <f t="shared" si="118"/>
        <v>27718.611978176516</v>
      </c>
      <c r="BD198" s="19">
        <f t="shared" si="119"/>
        <v>0.87784901653027103</v>
      </c>
      <c r="BE198" s="15">
        <v>3186135.9</v>
      </c>
      <c r="BF198" s="16">
        <f>テーブル2[[#This Row],[q_P]]/テーブル2[[#This Row],[q_M]]</f>
        <v>0.9997310236976793</v>
      </c>
      <c r="BG198">
        <v>1</v>
      </c>
      <c r="BH198">
        <v>-0.1</v>
      </c>
      <c r="BI198">
        <v>4.5999999999999999E-2</v>
      </c>
      <c r="BJ198">
        <v>5625</v>
      </c>
      <c r="BK198" s="22">
        <v>1</v>
      </c>
      <c r="BL198">
        <f>テーブル2[[#This Row],[Ts]]-テーブル2[[#This Row],[Tin]]</f>
        <v>95.945779346582981</v>
      </c>
      <c r="BM198">
        <f>テーブル2[[#This Row],[q_P]]*0.000001</f>
        <v>3.1852789049469266</v>
      </c>
      <c r="BN198">
        <f>テーブル2[[#This Row],[Tsub]]</f>
        <v>95.945779346582981</v>
      </c>
      <c r="BO198">
        <f>テーブル2[[#This Row],[Fcorr]]</f>
        <v>1</v>
      </c>
      <c r="BP198">
        <f>(テーブル2[[#This Row],[Tsub]]-40)^2</f>
        <v>3129.930226696551</v>
      </c>
      <c r="BQ198">
        <v>1</v>
      </c>
      <c r="BR198">
        <v>0.15240000000000001</v>
      </c>
    </row>
    <row r="199" spans="1:70" x14ac:dyDescent="0.15">
      <c r="A199" s="9" t="s">
        <v>267</v>
      </c>
      <c r="B199">
        <v>18960582.556212999</v>
      </c>
      <c r="C199" s="22">
        <f t="array" ref="C199">TsatFromP(テーブル2[[#This Row],[P]])</f>
        <v>634.44823391832597</v>
      </c>
      <c r="D199">
        <f t="array" ref="D199">RhoGFromP(テーブル2[[#This Row],[P]])</f>
        <v>149.14958101226799</v>
      </c>
      <c r="E199">
        <f t="array" ref="E199">RhoFFromP(テーブル2[[#This Row],[P]])</f>
        <v>520.38377569771103</v>
      </c>
      <c r="F199">
        <f t="array" ref="F199">HgFromP(テーブル2[[#This Row],[P]])</f>
        <v>2467301.6327637699</v>
      </c>
      <c r="G199">
        <f t="array" ref="G199">HfFromP(テーブル2[[#This Row],[P]])</f>
        <v>1775044.0267545299</v>
      </c>
      <c r="H199">
        <f t="array" ref="H199">MuGFromP(テーブル2[[#This Row],[P]])</f>
        <v>2.5972810943896E-5</v>
      </c>
      <c r="I199">
        <f t="array" ref="I199">MuFFromP(テーブル2[[#This Row],[P]])</f>
        <v>5.9480773118925399E-5</v>
      </c>
      <c r="J199">
        <f t="array" ref="J199">KfFromP(テーブル2[[#This Row],[P]])</f>
        <v>0.43661798563056398</v>
      </c>
      <c r="K199">
        <f t="array" ref="K199">CpFFromP(テーブル2[[#This Row],[P]])</f>
        <v>16063.580349286</v>
      </c>
      <c r="L199">
        <f t="array" ref="L199">SigmaFromP(テーブル2[[#This Row],[P]])</f>
        <v>1.6624879026359001E-3</v>
      </c>
      <c r="M199">
        <v>198</v>
      </c>
      <c r="N199">
        <v>1885.1596999999999</v>
      </c>
      <c r="O199" s="8">
        <f t="shared" si="90"/>
        <v>2.8502295699234246E-6</v>
      </c>
      <c r="P199" s="8">
        <f t="shared" si="91"/>
        <v>5.9847340050885557E-3</v>
      </c>
      <c r="Q199" s="8">
        <v>1.905E-3</v>
      </c>
      <c r="R199">
        <v>0.15240000000000001</v>
      </c>
      <c r="S199" s="15">
        <v>3199926.7578125</v>
      </c>
      <c r="T199">
        <v>537.34621978095004</v>
      </c>
      <c r="U199" s="12">
        <f>+T199+BG199*S199*テーブル2[[#This Row],[Pw]]*R199/(N199*O199*K199)</f>
        <v>571.16045110159951</v>
      </c>
      <c r="V199">
        <v>0.03</v>
      </c>
      <c r="W199" s="8">
        <f t="shared" si="92"/>
        <v>60376.303806941512</v>
      </c>
      <c r="X199">
        <v>2.8643038996504239E-2</v>
      </c>
      <c r="Y199">
        <f t="shared" si="93"/>
        <v>5.9086797632693653</v>
      </c>
      <c r="Z199">
        <f t="shared" si="94"/>
        <v>5.9086797749799116</v>
      </c>
      <c r="AA199">
        <f t="shared" si="95"/>
        <v>-1.171054631043944E-8</v>
      </c>
      <c r="AB199">
        <f t="shared" si="96"/>
        <v>8.1590216640322346E-6</v>
      </c>
      <c r="AC199">
        <v>743.62628600811388</v>
      </c>
      <c r="AD199">
        <f t="shared" si="97"/>
        <v>1806.3465763646784</v>
      </c>
      <c r="AE199">
        <f>+gettm2(AD199,AC199,AK199,AL199,テーブル2[[#This Row],[Fcorr]])</f>
        <v>571.16045253786228</v>
      </c>
      <c r="AF199" s="14">
        <f t="shared" si="98"/>
        <v>1.4362627780428738E-6</v>
      </c>
      <c r="AG199">
        <v>8.2938048507331152E-6</v>
      </c>
      <c r="AH199">
        <f t="shared" si="99"/>
        <v>24.45128307426441</v>
      </c>
      <c r="AI199">
        <f t="shared" si="100"/>
        <v>0.21676489655905742</v>
      </c>
      <c r="AJ199">
        <f t="shared" si="101"/>
        <v>15.728594222738607</v>
      </c>
      <c r="AK199">
        <f t="array" ref="AK199">+S199*テーブル2[[#This Row],[F_form]]/(E199*CpFromTP((テーブル2[[#This Row],[Tin]]+テーブル2[[#This Row],[Tf]])/2,テーブル2[[#This Row],[P]])*AI199)</f>
        <v>5.5589003833866952</v>
      </c>
      <c r="AL199">
        <f t="shared" si="102"/>
        <v>2.1883527698787133</v>
      </c>
      <c r="AM199">
        <f t="shared" si="103"/>
        <v>634.44823389710189</v>
      </c>
      <c r="AN199">
        <f t="shared" si="104"/>
        <v>2.1224082047410775E-8</v>
      </c>
      <c r="AO199">
        <f t="shared" si="105"/>
        <v>1.3478318670088055E-7</v>
      </c>
      <c r="AP199">
        <v>1.810148878374978</v>
      </c>
      <c r="AQ199">
        <f t="shared" si="106"/>
        <v>2.7500222289303824E-5</v>
      </c>
      <c r="AR199">
        <f t="shared" si="107"/>
        <v>4.2142940187169979E-6</v>
      </c>
      <c r="AS199">
        <f t="shared" si="108"/>
        <v>7.9921003385864466</v>
      </c>
      <c r="AT199">
        <f t="shared" si="109"/>
        <v>7.3422679807281224</v>
      </c>
      <c r="AU199">
        <f t="shared" si="110"/>
        <v>1.591545959351411</v>
      </c>
      <c r="AV199">
        <f t="shared" si="111"/>
        <v>0.21860291902356699</v>
      </c>
      <c r="AW199">
        <f t="shared" si="112"/>
        <v>8.0464553273057789E-3</v>
      </c>
      <c r="AX199">
        <f t="shared" si="113"/>
        <v>0.21860291456913764</v>
      </c>
      <c r="AY199">
        <f t="shared" si="114"/>
        <v>4.4544293531512125E-9</v>
      </c>
      <c r="AZ199">
        <f t="shared" si="115"/>
        <v>692257.60600924003</v>
      </c>
      <c r="BA199">
        <f t="shared" si="116"/>
        <v>1.5192243366187401E-5</v>
      </c>
      <c r="BB199" s="15">
        <f t="shared" si="117"/>
        <v>3195989.144047997</v>
      </c>
      <c r="BC199" s="20">
        <f t="shared" si="118"/>
        <v>-3937.6137645030394</v>
      </c>
      <c r="BD199" s="19">
        <f t="shared" si="119"/>
        <v>-0.12305324660602011</v>
      </c>
      <c r="BE199" s="15">
        <v>3091498.2</v>
      </c>
      <c r="BF199" s="16">
        <f>テーブル2[[#This Row],[q_P]]/テーブル2[[#This Row],[q_M]]</f>
        <v>1.0337994516859161</v>
      </c>
      <c r="BG199">
        <v>1</v>
      </c>
      <c r="BH199">
        <v>-0.13600000000000001</v>
      </c>
      <c r="BI199">
        <v>4.5999999999999999E-2</v>
      </c>
      <c r="BJ199">
        <v>5625</v>
      </c>
      <c r="BK199" s="22">
        <v>1</v>
      </c>
      <c r="BL199">
        <f>テーブル2[[#This Row],[Ts]]-テーブル2[[#This Row],[Tin]]</f>
        <v>97.102014137375932</v>
      </c>
      <c r="BM199">
        <f>テーブル2[[#This Row],[q_P]]*0.000001</f>
        <v>3.1959891440479966</v>
      </c>
      <c r="BN199">
        <f>テーブル2[[#This Row],[Tsub]]</f>
        <v>97.102014137375932</v>
      </c>
      <c r="BO199">
        <f>テーブル2[[#This Row],[Fcorr]]</f>
        <v>1</v>
      </c>
      <c r="BP199">
        <f>(テーブル2[[#This Row],[Tsub]]-40)^2</f>
        <v>3260.6400185450807</v>
      </c>
      <c r="BQ199">
        <v>1</v>
      </c>
      <c r="BR199">
        <v>0.15240000000000001</v>
      </c>
    </row>
    <row r="200" spans="1:70" x14ac:dyDescent="0.15">
      <c r="A200" s="9" t="s">
        <v>268</v>
      </c>
      <c r="B200">
        <v>18960582.556212999</v>
      </c>
      <c r="C200" s="22">
        <f t="array" ref="C200">TsatFromP(テーブル2[[#This Row],[P]])</f>
        <v>634.44823391832597</v>
      </c>
      <c r="D200">
        <f t="array" ref="D200">RhoGFromP(テーブル2[[#This Row],[P]])</f>
        <v>149.14958101226799</v>
      </c>
      <c r="E200">
        <f t="array" ref="E200">RhoFFromP(テーブル2[[#This Row],[P]])</f>
        <v>520.38377569771103</v>
      </c>
      <c r="F200">
        <f t="array" ref="F200">HgFromP(テーブル2[[#This Row],[P]])</f>
        <v>2467301.6327637699</v>
      </c>
      <c r="G200">
        <f t="array" ref="G200">HfFromP(テーブル2[[#This Row],[P]])</f>
        <v>1775044.0267545299</v>
      </c>
      <c r="H200">
        <f t="array" ref="H200">MuGFromP(テーブル2[[#This Row],[P]])</f>
        <v>2.5972810943896E-5</v>
      </c>
      <c r="I200">
        <f t="array" ref="I200">MuFFromP(テーブル2[[#This Row],[P]])</f>
        <v>5.9480773118925399E-5</v>
      </c>
      <c r="J200">
        <f t="array" ref="J200">KfFromP(テーブル2[[#This Row],[P]])</f>
        <v>0.43661798563056398</v>
      </c>
      <c r="K200">
        <f t="array" ref="K200">CpFFromP(テーブル2[[#This Row],[P]])</f>
        <v>16063.580349286</v>
      </c>
      <c r="L200">
        <f t="array" ref="L200">SigmaFromP(テーブル2[[#This Row],[P]])</f>
        <v>1.6624879026359001E-3</v>
      </c>
      <c r="M200">
        <v>199</v>
      </c>
      <c r="N200">
        <v>2034.345</v>
      </c>
      <c r="O200" s="8">
        <f t="shared" si="90"/>
        <v>2.8502295699234246E-6</v>
      </c>
      <c r="P200" s="8">
        <f t="shared" si="91"/>
        <v>5.9847340050885557E-3</v>
      </c>
      <c r="Q200" s="8">
        <v>1.905E-3</v>
      </c>
      <c r="R200">
        <v>0.15240000000000001</v>
      </c>
      <c r="S200" s="15">
        <v>4617700.1953125</v>
      </c>
      <c r="T200">
        <v>491.16937847279701</v>
      </c>
      <c r="U200" s="12">
        <f>+T200+BG200*S200*テーブル2[[#This Row],[Pw]]*R200/(N200*O200*K200)</f>
        <v>536.38710837813619</v>
      </c>
      <c r="V200">
        <v>0.03</v>
      </c>
      <c r="W200" s="8">
        <f t="shared" si="92"/>
        <v>65154.284683749836</v>
      </c>
      <c r="X200">
        <v>2.7760466389436762E-2</v>
      </c>
      <c r="Y200">
        <f t="shared" si="93"/>
        <v>6.0018705042739482</v>
      </c>
      <c r="Z200">
        <f t="shared" si="94"/>
        <v>6.0018705113914557</v>
      </c>
      <c r="AA200">
        <f t="shared" si="95"/>
        <v>-7.1175074722873433E-9</v>
      </c>
      <c r="AB200">
        <f t="shared" si="96"/>
        <v>7.2289880152804128E-6</v>
      </c>
      <c r="AC200">
        <v>794.18426519942875</v>
      </c>
      <c r="AD200">
        <f t="shared" si="97"/>
        <v>1919.0282633735189</v>
      </c>
      <c r="AE200">
        <f>+gettm2(AD200,AC200,AK200,AL200,テーブル2[[#This Row],[Fcorr]])</f>
        <v>536.38710837813585</v>
      </c>
      <c r="AF200" s="14">
        <f t="shared" si="98"/>
        <v>0</v>
      </c>
      <c r="AG200">
        <v>7.4058109777987824E-6</v>
      </c>
      <c r="AH200">
        <f t="shared" si="99"/>
        <v>27.59702297121175</v>
      </c>
      <c r="AI200">
        <f t="shared" si="100"/>
        <v>0.23028690531870988</v>
      </c>
      <c r="AJ200">
        <f t="shared" si="101"/>
        <v>14.92069352188739</v>
      </c>
      <c r="AK200">
        <f t="array" ref="AK200">+S200*テーブル2[[#This Row],[F_form]]/(E200*CpFromTP((テーブル2[[#This Row],[Tin]]+テーブル2[[#This Row],[Tf]])/2,テーブル2[[#This Row],[P]])*AI200)</f>
        <v>8.2680131689867338</v>
      </c>
      <c r="AL200">
        <f t="shared" si="102"/>
        <v>2.1883527698787133</v>
      </c>
      <c r="AM200">
        <f t="shared" si="103"/>
        <v>634.44823389904138</v>
      </c>
      <c r="AN200">
        <f t="shared" si="104"/>
        <v>1.9284584595880006E-8</v>
      </c>
      <c r="AO200">
        <f t="shared" si="105"/>
        <v>1.7682296251836957E-7</v>
      </c>
      <c r="AP200">
        <v>1.8642221082684549</v>
      </c>
      <c r="AQ200">
        <f t="shared" si="106"/>
        <v>2.592802801282354E-5</v>
      </c>
      <c r="AR200">
        <f t="shared" si="107"/>
        <v>3.791316970158576E-6</v>
      </c>
      <c r="AS200">
        <f t="shared" si="108"/>
        <v>7.6384718332199091</v>
      </c>
      <c r="AT200">
        <f t="shared" si="109"/>
        <v>7.115987806707702</v>
      </c>
      <c r="AU200">
        <f t="shared" si="110"/>
        <v>1.6387188102923906</v>
      </c>
      <c r="AV200">
        <f t="shared" si="111"/>
        <v>0.22550329797606428</v>
      </c>
      <c r="AW200">
        <f t="shared" si="112"/>
        <v>7.1292529327389824E-3</v>
      </c>
      <c r="AX200">
        <f t="shared" si="113"/>
        <v>0.22550328883776638</v>
      </c>
      <c r="AY200">
        <f t="shared" si="114"/>
        <v>9.1382978961718209E-9</v>
      </c>
      <c r="AZ200">
        <f t="shared" si="115"/>
        <v>692257.60600924003</v>
      </c>
      <c r="BA200">
        <f t="shared" si="116"/>
        <v>1.3908229012961479E-5</v>
      </c>
      <c r="BB200" s="15">
        <f t="shared" si="117"/>
        <v>4579924.4434871785</v>
      </c>
      <c r="BC200" s="20">
        <f t="shared" si="118"/>
        <v>-37775.751825321466</v>
      </c>
      <c r="BD200" s="19">
        <f t="shared" si="119"/>
        <v>-0.81806419272667863</v>
      </c>
      <c r="BE200" s="15">
        <v>4164058.8</v>
      </c>
      <c r="BF200" s="16">
        <f>テーブル2[[#This Row],[q_P]]/テーブル2[[#This Row],[q_M]]</f>
        <v>1.0998702620354877</v>
      </c>
      <c r="BG200">
        <v>1</v>
      </c>
      <c r="BH200">
        <v>-0.25700000000000001</v>
      </c>
      <c r="BI200">
        <v>4.5999999999999999E-2</v>
      </c>
      <c r="BJ200">
        <v>5625</v>
      </c>
      <c r="BK200" s="22">
        <v>1</v>
      </c>
      <c r="BL200">
        <f>テーブル2[[#This Row],[Ts]]-テーブル2[[#This Row],[Tin]]</f>
        <v>143.27885544552896</v>
      </c>
      <c r="BM200">
        <f>テーブル2[[#This Row],[q_P]]*0.000001</f>
        <v>4.5799244434871786</v>
      </c>
      <c r="BN200">
        <f>テーブル2[[#This Row],[Tsub]]</f>
        <v>143.27885544552896</v>
      </c>
      <c r="BO200">
        <f>テーブル2[[#This Row],[Fcorr]]</f>
        <v>1</v>
      </c>
      <c r="BP200">
        <f>(テーブル2[[#This Row],[Tsub]]-40)^2</f>
        <v>10666.521982138467</v>
      </c>
      <c r="BQ200">
        <v>1</v>
      </c>
      <c r="BR200">
        <v>0.15240000000000001</v>
      </c>
    </row>
    <row r="201" spans="1:70" x14ac:dyDescent="0.15">
      <c r="A201" s="9" t="s">
        <v>269</v>
      </c>
      <c r="B201">
        <v>18960582.556212999</v>
      </c>
      <c r="C201" s="22">
        <f t="array" ref="C201">TsatFromP(テーブル2[[#This Row],[P]])</f>
        <v>634.44823391832597</v>
      </c>
      <c r="D201">
        <f t="array" ref="D201">RhoGFromP(テーブル2[[#This Row],[P]])</f>
        <v>149.14958101226799</v>
      </c>
      <c r="E201">
        <f t="array" ref="E201">RhoFFromP(テーブル2[[#This Row],[P]])</f>
        <v>520.38377569771103</v>
      </c>
      <c r="F201">
        <f t="array" ref="F201">HgFromP(テーブル2[[#This Row],[P]])</f>
        <v>2467301.6327637699</v>
      </c>
      <c r="G201">
        <f t="array" ref="G201">HfFromP(テーブル2[[#This Row],[P]])</f>
        <v>1775044.0267545299</v>
      </c>
      <c r="H201">
        <f t="array" ref="H201">MuGFromP(テーブル2[[#This Row],[P]])</f>
        <v>2.5972810943896E-5</v>
      </c>
      <c r="I201">
        <f t="array" ref="I201">MuFFromP(テーブル2[[#This Row],[P]])</f>
        <v>5.9480773118925399E-5</v>
      </c>
      <c r="J201">
        <f t="array" ref="J201">KfFromP(テーブル2[[#This Row],[P]])</f>
        <v>0.43661798563056398</v>
      </c>
      <c r="K201">
        <f t="array" ref="K201">CpFFromP(テーブル2[[#This Row],[P]])</f>
        <v>16063.580349286</v>
      </c>
      <c r="L201">
        <f t="array" ref="L201">SigmaFromP(テーブル2[[#This Row],[P]])</f>
        <v>1.6624879026359001E-3</v>
      </c>
      <c r="M201">
        <v>200</v>
      </c>
      <c r="N201">
        <v>2034.345</v>
      </c>
      <c r="O201" s="8">
        <f t="shared" si="90"/>
        <v>2.8502295699234246E-6</v>
      </c>
      <c r="P201" s="8">
        <f t="shared" si="91"/>
        <v>5.9847340050885557E-3</v>
      </c>
      <c r="Q201" s="8">
        <v>1.905E-3</v>
      </c>
      <c r="R201">
        <v>0.15240000000000001</v>
      </c>
      <c r="S201" s="15">
        <v>3898645.01953125</v>
      </c>
      <c r="T201">
        <v>516.78076663997103</v>
      </c>
      <c r="U201" s="12">
        <f>+T201+BG201*S201*テーブル2[[#This Row],[Pw]]*R201/(N201*O201*K201)</f>
        <v>554.95731990969443</v>
      </c>
      <c r="V201">
        <v>0.03</v>
      </c>
      <c r="W201" s="8">
        <f t="shared" si="92"/>
        <v>65154.284683749836</v>
      </c>
      <c r="X201">
        <v>2.7760466389436762E-2</v>
      </c>
      <c r="Y201">
        <f t="shared" si="93"/>
        <v>6.0018705042739482</v>
      </c>
      <c r="Z201">
        <f t="shared" si="94"/>
        <v>6.0018705113914557</v>
      </c>
      <c r="AA201">
        <f t="shared" si="95"/>
        <v>-7.1175074722873433E-9</v>
      </c>
      <c r="AB201">
        <f t="shared" si="96"/>
        <v>7.2289880152804128E-6</v>
      </c>
      <c r="AC201">
        <v>763.56078518722359</v>
      </c>
      <c r="AD201">
        <f t="shared" si="97"/>
        <v>1919.0282633735189</v>
      </c>
      <c r="AE201">
        <f>+gettm2(AD201,AC201,AK201,AL201,テーブル2[[#This Row],[Fcorr]])</f>
        <v>554.95732154530219</v>
      </c>
      <c r="AF201" s="14">
        <f t="shared" si="98"/>
        <v>1.6356077594537055E-6</v>
      </c>
      <c r="AG201">
        <v>7.3801253999512326E-6</v>
      </c>
      <c r="AH201">
        <f t="shared" si="99"/>
        <v>27.59702297121175</v>
      </c>
      <c r="AI201">
        <f t="shared" si="100"/>
        <v>0.23028690531870988</v>
      </c>
      <c r="AJ201">
        <f t="shared" si="101"/>
        <v>14.868944073225418</v>
      </c>
      <c r="AK201">
        <f t="array" ref="AK201">+S201*テーブル2[[#This Row],[F_form]]/(E201*CpFromTP((テーブル2[[#This Row],[Tin]]+テーブル2[[#This Row],[Tf]])/2,テーブル2[[#This Row],[P]])*AI201)</f>
        <v>6.6902839649362518</v>
      </c>
      <c r="AL201">
        <f t="shared" si="102"/>
        <v>2.1883527698787133</v>
      </c>
      <c r="AM201">
        <f t="shared" si="103"/>
        <v>634.44823389356088</v>
      </c>
      <c r="AN201">
        <f t="shared" si="104"/>
        <v>2.4765085981925949E-8</v>
      </c>
      <c r="AO201">
        <f t="shared" si="105"/>
        <v>1.5113738467081981E-7</v>
      </c>
      <c r="AP201">
        <v>1.857242256433528</v>
      </c>
      <c r="AQ201">
        <f t="shared" si="106"/>
        <v>2.6123278642486726E-5</v>
      </c>
      <c r="AR201">
        <f t="shared" si="107"/>
        <v>3.7656313923110262E-6</v>
      </c>
      <c r="AS201">
        <f t="shared" si="108"/>
        <v>7.5867223845579366</v>
      </c>
      <c r="AT201">
        <f t="shared" si="109"/>
        <v>7.0819983237453599</v>
      </c>
      <c r="AU201">
        <f t="shared" si="110"/>
        <v>1.6308914774476098</v>
      </c>
      <c r="AV201">
        <f t="shared" si="111"/>
        <v>0.22635077898591827</v>
      </c>
      <c r="AW201">
        <f t="shared" si="112"/>
        <v>7.1292529327389824E-3</v>
      </c>
      <c r="AX201">
        <f t="shared" si="113"/>
        <v>0.22635077092521297</v>
      </c>
      <c r="AY201">
        <f t="shared" si="114"/>
        <v>8.0607052976855442E-9</v>
      </c>
      <c r="AZ201">
        <f t="shared" si="115"/>
        <v>692257.60600924003</v>
      </c>
      <c r="BA201">
        <f t="shared" si="116"/>
        <v>1.4065627977176975E-5</v>
      </c>
      <c r="BB201" s="15">
        <f t="shared" si="117"/>
        <v>3870831.4433764899</v>
      </c>
      <c r="BC201" s="20">
        <f t="shared" si="118"/>
        <v>-27813.576154760085</v>
      </c>
      <c r="BD201" s="19">
        <f t="shared" si="119"/>
        <v>-0.71341648227578891</v>
      </c>
      <c r="BE201" s="15">
        <v>3722416.2</v>
      </c>
      <c r="BF201" s="16">
        <f>テーブル2[[#This Row],[q_P]]/テーブル2[[#This Row],[q_M]]</f>
        <v>1.0398706741541932</v>
      </c>
      <c r="BG201">
        <v>1</v>
      </c>
      <c r="BH201">
        <v>-0.189</v>
      </c>
      <c r="BI201">
        <v>4.5999999999999999E-2</v>
      </c>
      <c r="BJ201">
        <v>5625</v>
      </c>
      <c r="BK201" s="22">
        <v>1</v>
      </c>
      <c r="BL201">
        <f>テーブル2[[#This Row],[Ts]]-テーブル2[[#This Row],[Tin]]</f>
        <v>117.66746727835493</v>
      </c>
      <c r="BM201">
        <f>テーブル2[[#This Row],[q_P]]*0.000001</f>
        <v>3.8708314433764897</v>
      </c>
      <c r="BN201">
        <f>テーブル2[[#This Row],[Tsub]]</f>
        <v>117.66746727835493</v>
      </c>
      <c r="BO201">
        <f>テーブル2[[#This Row],[Fcorr]]</f>
        <v>1</v>
      </c>
      <c r="BP201">
        <f>(テーブル2[[#This Row],[Tsub]]-40)^2</f>
        <v>6032.2354734343344</v>
      </c>
      <c r="BQ201">
        <v>1</v>
      </c>
      <c r="BR201">
        <v>0.15240000000000001</v>
      </c>
    </row>
    <row r="202" spans="1:70" x14ac:dyDescent="0.15">
      <c r="A202" s="9" t="s">
        <v>270</v>
      </c>
      <c r="B202">
        <v>18960582.556212999</v>
      </c>
      <c r="C202" s="22">
        <f t="array" ref="C202">TsatFromP(テーブル2[[#This Row],[P]])</f>
        <v>634.44823391832597</v>
      </c>
      <c r="D202">
        <f t="array" ref="D202">RhoGFromP(テーブル2[[#This Row],[P]])</f>
        <v>149.14958101226799</v>
      </c>
      <c r="E202">
        <f t="array" ref="E202">RhoFFromP(テーブル2[[#This Row],[P]])</f>
        <v>520.38377569771103</v>
      </c>
      <c r="F202">
        <f t="array" ref="F202">HgFromP(テーブル2[[#This Row],[P]])</f>
        <v>2467301.6327637699</v>
      </c>
      <c r="G202">
        <f t="array" ref="G202">HfFromP(テーブル2[[#This Row],[P]])</f>
        <v>1775044.0267545299</v>
      </c>
      <c r="H202">
        <f t="array" ref="H202">MuGFromP(テーブル2[[#This Row],[P]])</f>
        <v>2.5972810943896E-5</v>
      </c>
      <c r="I202">
        <f t="array" ref="I202">MuFFromP(テーブル2[[#This Row],[P]])</f>
        <v>5.9480773118925399E-5</v>
      </c>
      <c r="J202">
        <f t="array" ref="J202">KfFromP(テーブル2[[#This Row],[P]])</f>
        <v>0.43661798563056398</v>
      </c>
      <c r="K202">
        <f t="array" ref="K202">CpFFromP(テーブル2[[#This Row],[P]])</f>
        <v>16063.580349286</v>
      </c>
      <c r="L202">
        <f t="array" ref="L202">SigmaFromP(テーブル2[[#This Row],[P]])</f>
        <v>1.6624879026359001E-3</v>
      </c>
      <c r="M202">
        <v>201</v>
      </c>
      <c r="N202">
        <v>2047.9073000000001</v>
      </c>
      <c r="O202" s="8">
        <f t="shared" si="90"/>
        <v>2.8502295699234246E-6</v>
      </c>
      <c r="P202" s="8">
        <f t="shared" si="91"/>
        <v>5.9847340050885557E-3</v>
      </c>
      <c r="Q202" s="8">
        <v>1.905E-3</v>
      </c>
      <c r="R202">
        <v>0.15240000000000001</v>
      </c>
      <c r="S202" s="15">
        <v>4632226.5625</v>
      </c>
      <c r="T202">
        <v>491.16937847279701</v>
      </c>
      <c r="U202" s="12">
        <f>+T202+BG202*S202*テーブル2[[#This Row],[Pw]]*R202/(N202*O202*K202)</f>
        <v>536.22895717939764</v>
      </c>
      <c r="V202">
        <v>0.03</v>
      </c>
      <c r="W202" s="8">
        <f t="shared" si="92"/>
        <v>65588.6465816415</v>
      </c>
      <c r="X202">
        <v>2.7685474811265761E-2</v>
      </c>
      <c r="Y202">
        <f t="shared" si="93"/>
        <v>6.0099936332252639</v>
      </c>
      <c r="Z202">
        <f t="shared" si="94"/>
        <v>6.0099936385649277</v>
      </c>
      <c r="AA202">
        <f t="shared" si="95"/>
        <v>-5.3396638222125148E-9</v>
      </c>
      <c r="AB202">
        <f t="shared" si="96"/>
        <v>7.1528795247520302E-6</v>
      </c>
      <c r="AC202">
        <v>793.61708673720523</v>
      </c>
      <c r="AD202">
        <f t="shared" si="97"/>
        <v>1929.210727875502</v>
      </c>
      <c r="AE202">
        <f>+gettm2(AD202,AC202,AK202,AL202,テーブル2[[#This Row],[Fcorr]])</f>
        <v>536.22895911556827</v>
      </c>
      <c r="AF202" s="14">
        <f t="shared" si="98"/>
        <v>1.9361706335985218E-6</v>
      </c>
      <c r="AG202">
        <v>7.3311103597214086E-6</v>
      </c>
      <c r="AH202">
        <f t="shared" si="99"/>
        <v>27.890662442441183</v>
      </c>
      <c r="AI202">
        <f t="shared" si="100"/>
        <v>0.23150881970289783</v>
      </c>
      <c r="AJ202">
        <f t="shared" si="101"/>
        <v>14.848563520434407</v>
      </c>
      <c r="AK202">
        <f t="array" ref="AK202">+S202*テーブル2[[#This Row],[F_form]]/(E202*CpFromTP((テーブル2[[#This Row],[Tin]]+テーブル2[[#This Row],[Tf]])/2,テーブル2[[#This Row],[P]])*AI202)</f>
        <v>8.2513129398966534</v>
      </c>
      <c r="AL202">
        <f t="shared" si="102"/>
        <v>2.1883527698787133</v>
      </c>
      <c r="AM202">
        <f t="shared" si="103"/>
        <v>634.44823385595294</v>
      </c>
      <c r="AN202">
        <f t="shared" si="104"/>
        <v>6.2373032960749697E-8</v>
      </c>
      <c r="AO202">
        <f t="shared" si="105"/>
        <v>1.7823083496937848E-7</v>
      </c>
      <c r="AP202">
        <v>1.8684798425493141</v>
      </c>
      <c r="AQ202">
        <f t="shared" si="106"/>
        <v>2.5809997438255887E-5</v>
      </c>
      <c r="AR202">
        <f t="shared" si="107"/>
        <v>3.7546705973453936E-6</v>
      </c>
      <c r="AS202">
        <f t="shared" si="108"/>
        <v>7.6047777386219977</v>
      </c>
      <c r="AT202">
        <f t="shared" si="109"/>
        <v>7.0938834979672372</v>
      </c>
      <c r="AU202">
        <f t="shared" si="110"/>
        <v>1.6422965957242592</v>
      </c>
      <c r="AV202">
        <f t="shared" si="111"/>
        <v>0.22618324682505486</v>
      </c>
      <c r="AW202">
        <f t="shared" si="112"/>
        <v>7.0541944766786208E-3</v>
      </c>
      <c r="AX202">
        <f t="shared" si="113"/>
        <v>0.22618323666943713</v>
      </c>
      <c r="AY202">
        <f t="shared" si="114"/>
        <v>1.01556177356521E-8</v>
      </c>
      <c r="AZ202">
        <f t="shared" si="115"/>
        <v>692257.60600924003</v>
      </c>
      <c r="BA202">
        <f t="shared" si="116"/>
        <v>1.3813366807875903E-5</v>
      </c>
      <c r="BB202" s="15">
        <f t="shared" si="117"/>
        <v>4648092.7033490408</v>
      </c>
      <c r="BC202" s="20">
        <f t="shared" si="118"/>
        <v>15866.140849040821</v>
      </c>
      <c r="BD202" s="19">
        <f t="shared" si="119"/>
        <v>0.3425165119833411</v>
      </c>
      <c r="BE202" s="15">
        <v>4164058.8</v>
      </c>
      <c r="BF202" s="16">
        <f>テーブル2[[#This Row],[q_P]]/テーブル2[[#This Row],[q_M]]</f>
        <v>1.1162408905822947</v>
      </c>
      <c r="BG202">
        <v>1</v>
      </c>
      <c r="BH202">
        <v>-0.26300000000000001</v>
      </c>
      <c r="BI202">
        <v>4.5999999999999999E-2</v>
      </c>
      <c r="BJ202">
        <v>5625</v>
      </c>
      <c r="BK202" s="22">
        <v>1</v>
      </c>
      <c r="BL202">
        <f>テーブル2[[#This Row],[Ts]]-テーブル2[[#This Row],[Tin]]</f>
        <v>143.27885544552896</v>
      </c>
      <c r="BM202">
        <f>テーブル2[[#This Row],[q_P]]*0.000001</f>
        <v>4.6480927033490405</v>
      </c>
      <c r="BN202">
        <f>テーブル2[[#This Row],[Tsub]]</f>
        <v>143.27885544552896</v>
      </c>
      <c r="BO202">
        <f>テーブル2[[#This Row],[Fcorr]]</f>
        <v>1</v>
      </c>
      <c r="BP202">
        <f>(テーブル2[[#This Row],[Tsub]]-40)^2</f>
        <v>10666.521982138467</v>
      </c>
      <c r="BQ202">
        <v>1</v>
      </c>
      <c r="BR202">
        <v>0.15240000000000001</v>
      </c>
    </row>
    <row r="203" spans="1:70" x14ac:dyDescent="0.15">
      <c r="A203" s="9" t="s">
        <v>271</v>
      </c>
      <c r="B203">
        <v>18960582.556212999</v>
      </c>
      <c r="C203" s="22">
        <f t="array" ref="C203">TsatFromP(テーブル2[[#This Row],[P]])</f>
        <v>634.44823391832597</v>
      </c>
      <c r="D203">
        <f t="array" ref="D203">RhoGFromP(テーブル2[[#This Row],[P]])</f>
        <v>149.14958101226799</v>
      </c>
      <c r="E203">
        <f t="array" ref="E203">RhoFFromP(テーブル2[[#This Row],[P]])</f>
        <v>520.38377569771103</v>
      </c>
      <c r="F203">
        <f t="array" ref="F203">HgFromP(テーブル2[[#This Row],[P]])</f>
        <v>2467301.6327637699</v>
      </c>
      <c r="G203">
        <f t="array" ref="G203">HfFromP(テーブル2[[#This Row],[P]])</f>
        <v>1775044.0267545299</v>
      </c>
      <c r="H203">
        <f t="array" ref="H203">MuGFromP(テーブル2[[#This Row],[P]])</f>
        <v>2.5972810943896E-5</v>
      </c>
      <c r="I203">
        <f t="array" ref="I203">MuFFromP(テーブル2[[#This Row],[P]])</f>
        <v>5.9480773118925399E-5</v>
      </c>
      <c r="J203">
        <f t="array" ref="J203">KfFromP(テーブル2[[#This Row],[P]])</f>
        <v>0.43661798563056398</v>
      </c>
      <c r="K203">
        <f t="array" ref="K203">CpFFromP(テーブル2[[#This Row],[P]])</f>
        <v>16063.580349286</v>
      </c>
      <c r="L203">
        <f t="array" ref="L203">SigmaFromP(テーブル2[[#This Row],[P]])</f>
        <v>1.6624879026359001E-3</v>
      </c>
      <c r="M203">
        <v>202</v>
      </c>
      <c r="N203">
        <v>2047.9073000000001</v>
      </c>
      <c r="O203" s="8">
        <f t="shared" si="90"/>
        <v>2.8502295699234246E-6</v>
      </c>
      <c r="P203" s="8">
        <f t="shared" si="91"/>
        <v>5.9847340050885557E-3</v>
      </c>
      <c r="Q203" s="8">
        <v>1.905E-3</v>
      </c>
      <c r="R203">
        <v>0.15240000000000001</v>
      </c>
      <c r="S203" s="15">
        <v>3879760.7421875</v>
      </c>
      <c r="T203">
        <v>517.88193873595401</v>
      </c>
      <c r="U203" s="12">
        <f>+T203+BG203*S203*テーブル2[[#This Row],[Pw]]*R203/(N203*O203*K203)</f>
        <v>555.62197199353</v>
      </c>
      <c r="V203">
        <v>0.03</v>
      </c>
      <c r="W203" s="8">
        <f t="shared" si="92"/>
        <v>65588.6465816415</v>
      </c>
      <c r="X203">
        <v>2.7685474811265761E-2</v>
      </c>
      <c r="Y203">
        <f t="shared" si="93"/>
        <v>6.0099936332252639</v>
      </c>
      <c r="Z203">
        <f t="shared" si="94"/>
        <v>6.0099936385649277</v>
      </c>
      <c r="AA203">
        <f t="shared" si="95"/>
        <v>-5.3396638222125148E-9</v>
      </c>
      <c r="AB203">
        <f t="shared" si="96"/>
        <v>7.1528795247520302E-6</v>
      </c>
      <c r="AC203">
        <v>761.79574948842162</v>
      </c>
      <c r="AD203">
        <f t="shared" si="97"/>
        <v>1929.210727875502</v>
      </c>
      <c r="AE203">
        <f>+gettm2(AD203,AC203,AK203,AL203,テーブル2[[#This Row],[Fcorr]])</f>
        <v>555.62197361148742</v>
      </c>
      <c r="AF203" s="14">
        <f t="shared" si="98"/>
        <v>1.6179574231500737E-6</v>
      </c>
      <c r="AG203">
        <v>7.3039135526401753E-6</v>
      </c>
      <c r="AH203">
        <f t="shared" si="99"/>
        <v>27.890662442441183</v>
      </c>
      <c r="AI203">
        <f t="shared" si="100"/>
        <v>0.23150881970289783</v>
      </c>
      <c r="AJ203">
        <f t="shared" si="101"/>
        <v>14.793478615463197</v>
      </c>
      <c r="AK203">
        <f t="array" ref="AK203">+S203*テーブル2[[#This Row],[F_form]]/(E203*CpFromTP((テーブル2[[#This Row],[Tin]]+テーブル2[[#This Row],[Tf]])/2,テーブル2[[#This Row],[P]])*AI203)</f>
        <v>6.6094903462738035</v>
      </c>
      <c r="AL203">
        <f t="shared" si="102"/>
        <v>2.1883527698787133</v>
      </c>
      <c r="AM203">
        <f t="shared" si="103"/>
        <v>634.44823384830488</v>
      </c>
      <c r="AN203">
        <f t="shared" si="104"/>
        <v>7.0021087594795972E-8</v>
      </c>
      <c r="AO203">
        <f t="shared" si="105"/>
        <v>1.5103402788814517E-7</v>
      </c>
      <c r="AP203">
        <v>1.8609766419723821</v>
      </c>
      <c r="AQ203">
        <f t="shared" si="106"/>
        <v>2.6018541687124837E-5</v>
      </c>
      <c r="AR203">
        <f t="shared" si="107"/>
        <v>3.7274737902641602E-6</v>
      </c>
      <c r="AS203">
        <f t="shared" si="108"/>
        <v>7.5496928336507887</v>
      </c>
      <c r="AT203">
        <f t="shared" si="109"/>
        <v>7.0575343907432089</v>
      </c>
      <c r="AU203">
        <f t="shared" si="110"/>
        <v>1.6338814568135704</v>
      </c>
      <c r="AV203">
        <f t="shared" si="111"/>
        <v>0.22709518515881166</v>
      </c>
      <c r="AW203">
        <f t="shared" si="112"/>
        <v>7.0541944766786208E-3</v>
      </c>
      <c r="AX203">
        <f t="shared" si="113"/>
        <v>0.22709517621429448</v>
      </c>
      <c r="AY203">
        <f t="shared" si="114"/>
        <v>8.9445171824742431E-9</v>
      </c>
      <c r="AZ203">
        <f t="shared" si="115"/>
        <v>692257.60600924003</v>
      </c>
      <c r="BA203">
        <f t="shared" si="116"/>
        <v>1.3981122116368276E-5</v>
      </c>
      <c r="BB203" s="15">
        <f t="shared" si="117"/>
        <v>3891564.7387400735</v>
      </c>
      <c r="BC203" s="20">
        <f t="shared" si="118"/>
        <v>11803.996552573517</v>
      </c>
      <c r="BD203" s="19">
        <f t="shared" si="119"/>
        <v>0.30424547638260152</v>
      </c>
      <c r="BE203" s="15">
        <v>3722416.2</v>
      </c>
      <c r="BF203" s="16">
        <f>テーブル2[[#This Row],[q_P]]/テーブル2[[#This Row],[q_M]]</f>
        <v>1.0454405229431554</v>
      </c>
      <c r="BG203">
        <v>1</v>
      </c>
      <c r="BH203">
        <v>-0.187</v>
      </c>
      <c r="BI203">
        <v>4.5999999999999999E-2</v>
      </c>
      <c r="BJ203">
        <v>5625</v>
      </c>
      <c r="BK203" s="22">
        <v>1</v>
      </c>
      <c r="BL203">
        <f>テーブル2[[#This Row],[Ts]]-テーブル2[[#This Row],[Tin]]</f>
        <v>116.56629518237196</v>
      </c>
      <c r="BM203">
        <f>テーブル2[[#This Row],[q_P]]*0.000001</f>
        <v>3.8915647387400734</v>
      </c>
      <c r="BN203">
        <f>テーブル2[[#This Row],[Tsub]]</f>
        <v>116.56629518237196</v>
      </c>
      <c r="BO203">
        <f>テーブル2[[#This Row],[Fcorr]]</f>
        <v>1</v>
      </c>
      <c r="BP203">
        <f>(テーブル2[[#This Row],[Tsub]]-40)^2</f>
        <v>5862.3975579541157</v>
      </c>
      <c r="BQ203">
        <v>1</v>
      </c>
      <c r="BR203">
        <v>0.15240000000000001</v>
      </c>
    </row>
    <row r="204" spans="1:70" x14ac:dyDescent="0.15">
      <c r="A204" s="9" t="s">
        <v>272</v>
      </c>
      <c r="B204">
        <v>18960582.556212999</v>
      </c>
      <c r="C204" s="22">
        <f t="array" ref="C204">TsatFromP(テーブル2[[#This Row],[P]])</f>
        <v>634.44823391832597</v>
      </c>
      <c r="D204">
        <f t="array" ref="D204">RhoGFromP(テーブル2[[#This Row],[P]])</f>
        <v>149.14958101226799</v>
      </c>
      <c r="E204">
        <f t="array" ref="E204">RhoFFromP(テーブル2[[#This Row],[P]])</f>
        <v>520.38377569771103</v>
      </c>
      <c r="F204">
        <f t="array" ref="F204">HgFromP(テーブル2[[#This Row],[P]])</f>
        <v>2467301.6327637699</v>
      </c>
      <c r="G204">
        <f t="array" ref="G204">HfFromP(テーブル2[[#This Row],[P]])</f>
        <v>1775044.0267545299</v>
      </c>
      <c r="H204">
        <f t="array" ref="H204">MuGFromP(テーブル2[[#This Row],[P]])</f>
        <v>2.5972810943896E-5</v>
      </c>
      <c r="I204">
        <f t="array" ref="I204">MuFFromP(テーブル2[[#This Row],[P]])</f>
        <v>5.9480773118925399E-5</v>
      </c>
      <c r="J204">
        <f t="array" ref="J204">KfFromP(テーブル2[[#This Row],[P]])</f>
        <v>0.43661798563056398</v>
      </c>
      <c r="K204">
        <f t="array" ref="K204">CpFFromP(テーブル2[[#This Row],[P]])</f>
        <v>16063.580349286</v>
      </c>
      <c r="L204">
        <f t="array" ref="L204">SigmaFromP(テーブル2[[#This Row],[P]])</f>
        <v>1.6624879026359001E-3</v>
      </c>
      <c r="M204">
        <v>203</v>
      </c>
      <c r="N204">
        <v>2061.4695999999999</v>
      </c>
      <c r="O204" s="8">
        <f t="shared" si="90"/>
        <v>2.8502295699234246E-6</v>
      </c>
      <c r="P204" s="8">
        <f t="shared" si="91"/>
        <v>5.9847340050885557E-3</v>
      </c>
      <c r="Q204" s="8">
        <v>1.905E-3</v>
      </c>
      <c r="R204">
        <v>0.15240000000000001</v>
      </c>
      <c r="S204" s="15">
        <v>3430295.99609375</v>
      </c>
      <c r="T204">
        <v>534.05487488333199</v>
      </c>
      <c r="U204" s="12">
        <f>+T204+BG204*S204*テーブル2[[#This Row],[Pw]]*R204/(N204*O204*K204)</f>
        <v>567.20325345200536</v>
      </c>
      <c r="V204">
        <v>0.03</v>
      </c>
      <c r="W204" s="8">
        <f t="shared" si="92"/>
        <v>66023.008479533164</v>
      </c>
      <c r="X204">
        <v>2.761129022690777E-2</v>
      </c>
      <c r="Y204">
        <f t="shared" si="93"/>
        <v>6.0180618873112151</v>
      </c>
      <c r="Z204">
        <f t="shared" si="94"/>
        <v>6.018061934142847</v>
      </c>
      <c r="AA204">
        <f t="shared" si="95"/>
        <v>-4.6831631905774884E-8</v>
      </c>
      <c r="AB204">
        <f t="shared" si="96"/>
        <v>7.0780382335173812E-6</v>
      </c>
      <c r="AC204">
        <v>742.28489107037728</v>
      </c>
      <c r="AD204">
        <f t="shared" si="97"/>
        <v>1939.3833880575614</v>
      </c>
      <c r="AE204">
        <f>+gettm2(AD204,AC204,AK204,AL204,テーブル2[[#This Row],[Fcorr]])</f>
        <v>567.20325345200536</v>
      </c>
      <c r="AF204" s="14">
        <f t="shared" si="98"/>
        <v>0</v>
      </c>
      <c r="AG204">
        <v>7.2109691790268723E-6</v>
      </c>
      <c r="AH204">
        <f t="shared" si="99"/>
        <v>28.185570879174044</v>
      </c>
      <c r="AI204">
        <f t="shared" si="100"/>
        <v>0.23272955755074334</v>
      </c>
      <c r="AJ204">
        <f t="shared" si="101"/>
        <v>14.682240249448595</v>
      </c>
      <c r="AK204">
        <f t="array" ref="AK204">+S204*テーブル2[[#This Row],[F_form]]/(E204*CpFromTP((テーブル2[[#This Row],[Tin]]+テーブル2[[#This Row],[Tf]])/2,テーブル2[[#This Row],[P]])*AI204)</f>
        <v>5.6103239006692807</v>
      </c>
      <c r="AL204">
        <f t="shared" si="102"/>
        <v>2.1883527698787133</v>
      </c>
      <c r="AM204">
        <f t="shared" si="103"/>
        <v>634.44823393768081</v>
      </c>
      <c r="AN204">
        <f t="shared" si="104"/>
        <v>-1.9354843061591964E-8</v>
      </c>
      <c r="AO204">
        <f t="shared" si="105"/>
        <v>1.3293094550949111E-7</v>
      </c>
      <c r="AP204">
        <v>1.8596128204093281</v>
      </c>
      <c r="AQ204">
        <f t="shared" si="106"/>
        <v>2.6056719161324536E-5</v>
      </c>
      <c r="AR204">
        <f t="shared" si="107"/>
        <v>3.6719500622681817E-6</v>
      </c>
      <c r="AS204">
        <f t="shared" si="108"/>
        <v>7.4764503438738474</v>
      </c>
      <c r="AT204">
        <f t="shared" si="109"/>
        <v>7.0087906319622668</v>
      </c>
      <c r="AU204">
        <f t="shared" si="110"/>
        <v>1.6311527427423731</v>
      </c>
      <c r="AV204">
        <f t="shared" si="111"/>
        <v>0.22846007766695497</v>
      </c>
      <c r="AW204">
        <f t="shared" si="112"/>
        <v>6.9803857369356908E-3</v>
      </c>
      <c r="AX204">
        <f t="shared" si="113"/>
        <v>0.22846006862992704</v>
      </c>
      <c r="AY204">
        <f t="shared" si="114"/>
        <v>9.0370279315354907E-9</v>
      </c>
      <c r="AZ204">
        <f t="shared" si="115"/>
        <v>692257.60600924003</v>
      </c>
      <c r="BA204">
        <f t="shared" si="116"/>
        <v>1.401190552966239E-5</v>
      </c>
      <c r="BB204" s="15">
        <f t="shared" si="117"/>
        <v>3417593.2813150208</v>
      </c>
      <c r="BC204" s="20">
        <f t="shared" si="118"/>
        <v>-12702.714778729249</v>
      </c>
      <c r="BD204" s="19">
        <f t="shared" si="119"/>
        <v>-0.37030958241488393</v>
      </c>
      <c r="BE204" s="15">
        <v>3438503.1</v>
      </c>
      <c r="BF204" s="16">
        <f>テーブル2[[#This Row],[q_P]]/テーブル2[[#This Row],[q_M]]</f>
        <v>0.99391891818129252</v>
      </c>
      <c r="BG204">
        <v>1</v>
      </c>
      <c r="BH204">
        <v>-0.14599999999999999</v>
      </c>
      <c r="BI204">
        <v>4.5999999999999999E-2</v>
      </c>
      <c r="BJ204">
        <v>5625</v>
      </c>
      <c r="BK204" s="22">
        <v>1</v>
      </c>
      <c r="BL204">
        <f>テーブル2[[#This Row],[Ts]]-テーブル2[[#This Row],[Tin]]</f>
        <v>100.39335903499398</v>
      </c>
      <c r="BM204">
        <f>テーブル2[[#This Row],[q_P]]*0.000001</f>
        <v>3.4175932813150207</v>
      </c>
      <c r="BN204">
        <f>テーブル2[[#This Row],[Tsub]]</f>
        <v>100.39335903499398</v>
      </c>
      <c r="BO204">
        <f>テーブル2[[#This Row],[Fcorr]]</f>
        <v>1</v>
      </c>
      <c r="BP204">
        <f>(テーブル2[[#This Row],[Tsub]]-40)^2</f>
        <v>3647.3578155296887</v>
      </c>
      <c r="BQ204">
        <v>1</v>
      </c>
      <c r="BR204">
        <v>0.15240000000000001</v>
      </c>
    </row>
    <row r="205" spans="1:70" x14ac:dyDescent="0.15">
      <c r="A205" s="9" t="s">
        <v>273</v>
      </c>
      <c r="B205">
        <v>18960582.556212999</v>
      </c>
      <c r="C205" s="22">
        <f t="array" ref="C205">TsatFromP(テーブル2[[#This Row],[P]])</f>
        <v>634.44823391832597</v>
      </c>
      <c r="D205">
        <f t="array" ref="D205">RhoGFromP(テーブル2[[#This Row],[P]])</f>
        <v>149.14958101226799</v>
      </c>
      <c r="E205">
        <f t="array" ref="E205">RhoFFromP(テーブル2[[#This Row],[P]])</f>
        <v>520.38377569771103</v>
      </c>
      <c r="F205">
        <f t="array" ref="F205">HgFromP(テーブル2[[#This Row],[P]])</f>
        <v>2467301.6327637699</v>
      </c>
      <c r="G205">
        <f t="array" ref="G205">HfFromP(テーブル2[[#This Row],[P]])</f>
        <v>1775044.0267545299</v>
      </c>
      <c r="H205">
        <f t="array" ref="H205">MuGFromP(テーブル2[[#This Row],[P]])</f>
        <v>2.5972810943896E-5</v>
      </c>
      <c r="I205">
        <f t="array" ref="I205">MuFFromP(テーブル2[[#This Row],[P]])</f>
        <v>5.9480773118925399E-5</v>
      </c>
      <c r="J205">
        <f t="array" ref="J205">KfFromP(テーブル2[[#This Row],[P]])</f>
        <v>0.43661798563056398</v>
      </c>
      <c r="K205">
        <f t="array" ref="K205">CpFFromP(テーブル2[[#This Row],[P]])</f>
        <v>16063.580349286</v>
      </c>
      <c r="L205">
        <f t="array" ref="L205">SigmaFromP(テーブル2[[#This Row],[P]])</f>
        <v>1.6624879026359001E-3</v>
      </c>
      <c r="M205">
        <v>204</v>
      </c>
      <c r="N205">
        <v>2075.0319</v>
      </c>
      <c r="O205" s="8">
        <f t="shared" si="90"/>
        <v>2.8502295699234246E-6</v>
      </c>
      <c r="P205" s="8">
        <f t="shared" si="91"/>
        <v>5.9847340050885557E-3</v>
      </c>
      <c r="Q205" s="8">
        <v>1.905E-3</v>
      </c>
      <c r="R205">
        <v>0.15240000000000001</v>
      </c>
      <c r="S205" s="15">
        <v>3329451.42578125</v>
      </c>
      <c r="T205">
        <v>537.92469521286102</v>
      </c>
      <c r="U205" s="12">
        <f>+T205+BG205*S205*テーブル2[[#This Row],[Pw]]*R205/(N205*O205*K205)</f>
        <v>569.88828393948222</v>
      </c>
      <c r="V205">
        <v>0.03</v>
      </c>
      <c r="W205" s="8">
        <f t="shared" si="92"/>
        <v>66457.370377424828</v>
      </c>
      <c r="X205">
        <v>2.7537897758732419E-2</v>
      </c>
      <c r="Y205">
        <f t="shared" si="93"/>
        <v>6.0260760524703603</v>
      </c>
      <c r="Z205">
        <f t="shared" si="94"/>
        <v>6.0260760849766344</v>
      </c>
      <c r="AA205">
        <f t="shared" si="95"/>
        <v>-3.250627411688356E-8</v>
      </c>
      <c r="AB205">
        <f t="shared" si="96"/>
        <v>7.0044354320592796E-6</v>
      </c>
      <c r="AC205">
        <v>737.3785646291351</v>
      </c>
      <c r="AD205">
        <f t="shared" si="97"/>
        <v>1949.5463069387731</v>
      </c>
      <c r="AE205">
        <f>+gettm2(AD205,AC205,AK205,AL205,テーブル2[[#This Row],[Fcorr]])</f>
        <v>569.88828393948211</v>
      </c>
      <c r="AF205" s="14">
        <f t="shared" si="98"/>
        <v>0</v>
      </c>
      <c r="AG205">
        <v>7.1328723961948813E-6</v>
      </c>
      <c r="AH205">
        <f t="shared" si="99"/>
        <v>28.481745638371329</v>
      </c>
      <c r="AI205">
        <f t="shared" si="100"/>
        <v>0.23394912642465096</v>
      </c>
      <c r="AJ205">
        <f t="shared" si="101"/>
        <v>14.599333373088974</v>
      </c>
      <c r="AK205">
        <f t="array" ref="AK205">+S205*テーブル2[[#This Row],[F_form]]/(E205*CpFromTP((テーブル2[[#This Row],[Tin]]+テーブル2[[#This Row],[Tf]])/2,テーブル2[[#This Row],[P]])*AI205)</f>
        <v>5.3647685667212466</v>
      </c>
      <c r="AL205">
        <f t="shared" si="102"/>
        <v>2.1883527698787133</v>
      </c>
      <c r="AM205">
        <f t="shared" si="103"/>
        <v>634.44823395019762</v>
      </c>
      <c r="AN205">
        <f t="shared" si="104"/>
        <v>-3.1871650207904167E-8</v>
      </c>
      <c r="AO205">
        <f t="shared" si="105"/>
        <v>1.2843696413560167E-7</v>
      </c>
      <c r="AP205">
        <v>1.861953158499333</v>
      </c>
      <c r="AQ205">
        <f t="shared" si="106"/>
        <v>2.5991257570707715E-5</v>
      </c>
      <c r="AR205">
        <f t="shared" si="107"/>
        <v>3.6306546801652415E-6</v>
      </c>
      <c r="AS205">
        <f t="shared" si="108"/>
        <v>7.4311070062846394</v>
      </c>
      <c r="AT205">
        <f t="shared" si="109"/>
        <v>6.9783741952806455</v>
      </c>
      <c r="AU205">
        <f t="shared" si="110"/>
        <v>1.6325845468502336</v>
      </c>
      <c r="AV205">
        <f t="shared" si="111"/>
        <v>0.22936861164909939</v>
      </c>
      <c r="AW205">
        <f t="shared" si="112"/>
        <v>6.9077984000852476E-3</v>
      </c>
      <c r="AX205">
        <f t="shared" si="113"/>
        <v>0.22936860189177832</v>
      </c>
      <c r="AY205">
        <f t="shared" si="114"/>
        <v>9.7573210622314832E-9</v>
      </c>
      <c r="AZ205">
        <f t="shared" si="115"/>
        <v>692257.60600924003</v>
      </c>
      <c r="BA205">
        <f t="shared" si="116"/>
        <v>1.3959136110414148E-5</v>
      </c>
      <c r="BB205" s="15">
        <f t="shared" si="117"/>
        <v>3314537.7806892479</v>
      </c>
      <c r="BC205" s="20">
        <f t="shared" si="118"/>
        <v>-14913.645092002116</v>
      </c>
      <c r="BD205" s="19">
        <f t="shared" si="119"/>
        <v>-0.44793100078048609</v>
      </c>
      <c r="BE205" s="15">
        <v>3375411.3</v>
      </c>
      <c r="BF205" s="16">
        <f>テーブル2[[#This Row],[q_P]]/テーブル2[[#This Row],[q_M]]</f>
        <v>0.98196559947798012</v>
      </c>
      <c r="BG205">
        <v>1</v>
      </c>
      <c r="BH205">
        <v>-0.13800000000000001</v>
      </c>
      <c r="BI205">
        <v>4.5999999999999999E-2</v>
      </c>
      <c r="BJ205">
        <v>5625</v>
      </c>
      <c r="BK205" s="22">
        <v>1</v>
      </c>
      <c r="BL205">
        <f>テーブル2[[#This Row],[Ts]]-テーブル2[[#This Row],[Tin]]</f>
        <v>96.523538705464944</v>
      </c>
      <c r="BM205">
        <f>テーブル2[[#This Row],[q_P]]*0.000001</f>
        <v>3.3145377806892475</v>
      </c>
      <c r="BN205">
        <f>テーブル2[[#This Row],[Tsub]]</f>
        <v>96.523538705464944</v>
      </c>
      <c r="BO205">
        <f>テーブル2[[#This Row],[Fcorr]]</f>
        <v>1</v>
      </c>
      <c r="BP205">
        <f>(テーブル2[[#This Row],[Tsub]]-40)^2</f>
        <v>3194.9104277881934</v>
      </c>
      <c r="BQ205">
        <v>1</v>
      </c>
      <c r="BR205">
        <v>0.15240000000000001</v>
      </c>
    </row>
    <row r="206" spans="1:70" x14ac:dyDescent="0.15">
      <c r="A206" s="9" t="s">
        <v>274</v>
      </c>
      <c r="B206">
        <v>18960582.556212999</v>
      </c>
      <c r="C206" s="22">
        <f t="array" ref="C206">TsatFromP(テーブル2[[#This Row],[P]])</f>
        <v>634.44823391832597</v>
      </c>
      <c r="D206">
        <f t="array" ref="D206">RhoGFromP(テーブル2[[#This Row],[P]])</f>
        <v>149.14958101226799</v>
      </c>
      <c r="E206">
        <f t="array" ref="E206">RhoFFromP(テーブル2[[#This Row],[P]])</f>
        <v>520.38377569771103</v>
      </c>
      <c r="F206">
        <f t="array" ref="F206">HgFromP(テーブル2[[#This Row],[P]])</f>
        <v>2467301.6327637699</v>
      </c>
      <c r="G206">
        <f t="array" ref="G206">HfFromP(テーブル2[[#This Row],[P]])</f>
        <v>1775044.0267545299</v>
      </c>
      <c r="H206">
        <f t="array" ref="H206">MuGFromP(テーブル2[[#This Row],[P]])</f>
        <v>2.5972810943896E-5</v>
      </c>
      <c r="I206">
        <f t="array" ref="I206">MuFFromP(テーブル2[[#This Row],[P]])</f>
        <v>5.9480773118925399E-5</v>
      </c>
      <c r="J206">
        <f t="array" ref="J206">KfFromP(テーブル2[[#This Row],[P]])</f>
        <v>0.43661798563056398</v>
      </c>
      <c r="K206">
        <f t="array" ref="K206">CpFFromP(テーブル2[[#This Row],[P]])</f>
        <v>16063.580349286</v>
      </c>
      <c r="L206">
        <f t="array" ref="L206">SigmaFromP(テーブル2[[#This Row],[P]])</f>
        <v>1.6624879026359001E-3</v>
      </c>
      <c r="M206">
        <v>205</v>
      </c>
      <c r="N206">
        <v>2685.3353999999999</v>
      </c>
      <c r="O206" s="8">
        <f t="shared" si="90"/>
        <v>2.8502295699234246E-6</v>
      </c>
      <c r="P206" s="8">
        <f t="shared" si="91"/>
        <v>5.9847340050885557E-3</v>
      </c>
      <c r="Q206" s="8">
        <v>1.905E-3</v>
      </c>
      <c r="R206">
        <v>0.15240000000000001</v>
      </c>
      <c r="S206" s="15">
        <v>3002368.1640625</v>
      </c>
      <c r="T206">
        <v>561.28950888079305</v>
      </c>
      <c r="U206" s="12">
        <f>+T206+BG206*S206*テーブル2[[#This Row],[Pw]]*R206/(N206*O206*K206)</f>
        <v>583.56221761103211</v>
      </c>
      <c r="V206">
        <v>0.03</v>
      </c>
      <c r="W206" s="8">
        <f t="shared" si="92"/>
        <v>86003.655782549788</v>
      </c>
      <c r="X206">
        <v>2.4878380745810669E-2</v>
      </c>
      <c r="Y206">
        <f t="shared" si="93"/>
        <v>6.3399954316979432</v>
      </c>
      <c r="Z206">
        <f t="shared" si="94"/>
        <v>6.3399954657620112</v>
      </c>
      <c r="AA206">
        <f t="shared" si="95"/>
        <v>-3.4064068010764004E-8</v>
      </c>
      <c r="AB206">
        <f t="shared" si="96"/>
        <v>4.6295021533103351E-6</v>
      </c>
      <c r="AC206">
        <v>700.19218316204831</v>
      </c>
      <c r="AD206">
        <f t="shared" si="97"/>
        <v>2398.0209791092771</v>
      </c>
      <c r="AE206">
        <f>+gettm2(AD206,AC206,AK206,AL206,テーブル2[[#This Row],[Fcorr]])</f>
        <v>583.56221761103211</v>
      </c>
      <c r="AF206" s="14">
        <f t="shared" si="98"/>
        <v>0</v>
      </c>
      <c r="AG206">
        <v>4.7256519565741301E-6</v>
      </c>
      <c r="AH206">
        <f t="shared" si="99"/>
        <v>43.092872993623338</v>
      </c>
      <c r="AI206">
        <f t="shared" si="100"/>
        <v>0.28776690823595841</v>
      </c>
      <c r="AJ206">
        <f t="shared" si="101"/>
        <v>11.897335991426317</v>
      </c>
      <c r="AK206">
        <f t="array" ref="AK206">+S206*テーブル2[[#This Row],[F_form]]/(E206*CpFromTP((テーブル2[[#This Row],[Tin]]+テーブル2[[#This Row],[Tf]])/2,テーブル2[[#This Row],[P]])*AI206)</f>
        <v>3.6735375386752014</v>
      </c>
      <c r="AL206">
        <f t="shared" si="102"/>
        <v>2.1883527698787133</v>
      </c>
      <c r="AM206">
        <f t="shared" si="103"/>
        <v>634.44823401952613</v>
      </c>
      <c r="AN206">
        <f t="shared" si="104"/>
        <v>-1.0120015758730005E-7</v>
      </c>
      <c r="AO206">
        <f t="shared" si="105"/>
        <v>9.6149803263795015E-8</v>
      </c>
      <c r="AP206">
        <v>1.982016925628435</v>
      </c>
      <c r="AQ206">
        <f t="shared" si="106"/>
        <v>2.2937711055083859E-5</v>
      </c>
      <c r="AR206">
        <f t="shared" si="107"/>
        <v>2.4109008799189625E-6</v>
      </c>
      <c r="AS206">
        <f t="shared" si="108"/>
        <v>6.0697017203135832</v>
      </c>
      <c r="AT206">
        <f t="shared" si="109"/>
        <v>5.9665473194135537</v>
      </c>
      <c r="AU206">
        <f t="shared" si="110"/>
        <v>1.7169748749511837</v>
      </c>
      <c r="AV206">
        <f t="shared" si="111"/>
        <v>0.26504205067725128</v>
      </c>
      <c r="AW206">
        <f t="shared" si="112"/>
        <v>4.5656310031009064E-3</v>
      </c>
      <c r="AX206">
        <f t="shared" si="113"/>
        <v>0.26504205034881945</v>
      </c>
      <c r="AY206">
        <f t="shared" si="114"/>
        <v>3.284318372820394E-10</v>
      </c>
      <c r="AZ206">
        <f t="shared" si="115"/>
        <v>692257.60600924003</v>
      </c>
      <c r="BA206">
        <f t="shared" si="116"/>
        <v>1.1572913812434289E-5</v>
      </c>
      <c r="BB206" s="15">
        <f t="shared" si="117"/>
        <v>2992934.1739844298</v>
      </c>
      <c r="BC206" s="20">
        <f t="shared" si="118"/>
        <v>-9433.990078070201</v>
      </c>
      <c r="BD206" s="19">
        <f t="shared" si="119"/>
        <v>-0.31421829577706029</v>
      </c>
      <c r="BE206" s="15">
        <v>3596232.6</v>
      </c>
      <c r="BF206" s="16">
        <f>テーブル2[[#This Row],[q_P]]/テーブル2[[#This Row],[q_M]]</f>
        <v>0.8322415446610516</v>
      </c>
      <c r="BG206">
        <v>1</v>
      </c>
      <c r="BH206">
        <v>-0.104</v>
      </c>
      <c r="BI206">
        <v>4.5999999999999999E-2</v>
      </c>
      <c r="BJ206">
        <v>5625</v>
      </c>
      <c r="BK206" s="22">
        <v>1</v>
      </c>
      <c r="BL206">
        <f>テーブル2[[#This Row],[Ts]]-テーブル2[[#This Row],[Tin]]</f>
        <v>73.158725037532918</v>
      </c>
      <c r="BM206">
        <f>テーブル2[[#This Row],[q_P]]*0.000001</f>
        <v>2.9929341739844295</v>
      </c>
      <c r="BN206">
        <f>テーブル2[[#This Row],[Tsub]]</f>
        <v>73.158725037532918</v>
      </c>
      <c r="BO206">
        <f>テーブル2[[#This Row],[Fcorr]]</f>
        <v>1</v>
      </c>
      <c r="BP206">
        <f>(テーブル2[[#This Row],[Tsub]]-40)^2</f>
        <v>1099.5010461147124</v>
      </c>
      <c r="BQ206">
        <v>1</v>
      </c>
      <c r="BR206">
        <v>0.15240000000000001</v>
      </c>
    </row>
    <row r="207" spans="1:70" x14ac:dyDescent="0.15">
      <c r="A207" s="9" t="s">
        <v>275</v>
      </c>
      <c r="B207">
        <v>18960582.556212999</v>
      </c>
      <c r="C207" s="22">
        <f t="array" ref="C207">TsatFromP(テーブル2[[#This Row],[P]])</f>
        <v>634.44823391832597</v>
      </c>
      <c r="D207">
        <f t="array" ref="D207">RhoGFromP(テーブル2[[#This Row],[P]])</f>
        <v>149.14958101226799</v>
      </c>
      <c r="E207">
        <f t="array" ref="E207">RhoFFromP(テーブル2[[#This Row],[P]])</f>
        <v>520.38377569771103</v>
      </c>
      <c r="F207">
        <f t="array" ref="F207">HgFromP(テーブル2[[#This Row],[P]])</f>
        <v>2467301.6327637699</v>
      </c>
      <c r="G207">
        <f t="array" ref="G207">HfFromP(テーブル2[[#This Row],[P]])</f>
        <v>1775044.0267545299</v>
      </c>
      <c r="H207">
        <f t="array" ref="H207">MuGFromP(テーブル2[[#This Row],[P]])</f>
        <v>2.5972810943896E-5</v>
      </c>
      <c r="I207">
        <f t="array" ref="I207">MuFFromP(テーブル2[[#This Row],[P]])</f>
        <v>5.9480773118925399E-5</v>
      </c>
      <c r="J207">
        <f t="array" ref="J207">KfFromP(テーブル2[[#This Row],[P]])</f>
        <v>0.43661798563056398</v>
      </c>
      <c r="K207">
        <f t="array" ref="K207">CpFFromP(テーブル2[[#This Row],[P]])</f>
        <v>16063.580349286</v>
      </c>
      <c r="L207">
        <f t="array" ref="L207">SigmaFromP(テーブル2[[#This Row],[P]])</f>
        <v>1.6624879026359001E-3</v>
      </c>
      <c r="M207">
        <v>206</v>
      </c>
      <c r="N207">
        <v>2698.8977</v>
      </c>
      <c r="O207" s="8">
        <f t="shared" si="90"/>
        <v>2.8502295699234246E-6</v>
      </c>
      <c r="P207" s="8">
        <f t="shared" si="91"/>
        <v>5.9847340050885557E-3</v>
      </c>
      <c r="Q207" s="8">
        <v>1.905E-3</v>
      </c>
      <c r="R207">
        <v>0.15240000000000001</v>
      </c>
      <c r="S207" s="15">
        <v>4171740.72265625</v>
      </c>
      <c r="T207">
        <v>525.63284033909497</v>
      </c>
      <c r="U207" s="12">
        <f>+T207+BG207*S207*テーブル2[[#This Row],[Pw]]*R207/(N207*O207*K207)</f>
        <v>556.42488400592742</v>
      </c>
      <c r="V207">
        <v>0.03</v>
      </c>
      <c r="W207" s="8">
        <f t="shared" si="92"/>
        <v>86438.017680441451</v>
      </c>
      <c r="X207">
        <v>2.4830525859102271E-2</v>
      </c>
      <c r="Y207">
        <f t="shared" si="93"/>
        <v>6.3461019016727107</v>
      </c>
      <c r="Z207">
        <f t="shared" si="94"/>
        <v>6.346101933090341</v>
      </c>
      <c r="AA207">
        <f t="shared" si="95"/>
        <v>-3.1417630275143438E-8</v>
      </c>
      <c r="AB207">
        <f t="shared" si="96"/>
        <v>4.5919242072455085E-6</v>
      </c>
      <c r="AC207">
        <v>735.4534969647093</v>
      </c>
      <c r="AD207">
        <f t="shared" si="97"/>
        <v>2407.8130717556137</v>
      </c>
      <c r="AE207">
        <f>+gettm2(AD207,AC207,AK207,AL207,テーブル2[[#This Row],[Fcorr]])</f>
        <v>556.42488400592731</v>
      </c>
      <c r="AF207" s="14">
        <f t="shared" si="98"/>
        <v>0</v>
      </c>
      <c r="AG207">
        <v>4.7219781386298901E-6</v>
      </c>
      <c r="AH207">
        <f t="shared" si="99"/>
        <v>43.445522903344767</v>
      </c>
      <c r="AI207">
        <f t="shared" si="100"/>
        <v>0.28894197728270338</v>
      </c>
      <c r="AJ207">
        <f t="shared" si="101"/>
        <v>11.936630642243873</v>
      </c>
      <c r="AK207">
        <f t="array" ref="AK207">+S207*テーブル2[[#This Row],[F_form]]/(E207*CpFromTP((テーブル2[[#This Row],[Tin]]+テーブル2[[#This Row],[Tf]])/2,テーブル2[[#This Row],[P]])*AI207)</f>
        <v>5.6370887193823682</v>
      </c>
      <c r="AL207">
        <f t="shared" si="102"/>
        <v>2.1883527698787133</v>
      </c>
      <c r="AM207">
        <f t="shared" si="103"/>
        <v>634.4482340835458</v>
      </c>
      <c r="AN207">
        <f t="shared" si="104"/>
        <v>-1.6521983070560964E-7</v>
      </c>
      <c r="AO207">
        <f t="shared" si="105"/>
        <v>1.3005393138438154E-7</v>
      </c>
      <c r="AP207">
        <v>2.0023275411607102</v>
      </c>
      <c r="AQ207">
        <f t="shared" si="106"/>
        <v>2.247473364682511E-5</v>
      </c>
      <c r="AR207">
        <f t="shared" si="107"/>
        <v>2.4260160350071358E-6</v>
      </c>
      <c r="AS207">
        <f t="shared" si="108"/>
        <v>6.1326961904240491</v>
      </c>
      <c r="AT207">
        <f t="shared" si="109"/>
        <v>6.0181724427732153</v>
      </c>
      <c r="AU207">
        <f t="shared" si="110"/>
        <v>1.73890264524317</v>
      </c>
      <c r="AV207">
        <f t="shared" si="111"/>
        <v>0.26342489591754026</v>
      </c>
      <c r="AW207">
        <f t="shared" si="112"/>
        <v>4.528571502985166E-3</v>
      </c>
      <c r="AX207">
        <f t="shared" si="113"/>
        <v>0.26342489168070349</v>
      </c>
      <c r="AY207">
        <f t="shared" si="114"/>
        <v>4.2368367703105037E-9</v>
      </c>
      <c r="AZ207">
        <f t="shared" si="115"/>
        <v>692257.60600924003</v>
      </c>
      <c r="BA207">
        <f t="shared" si="116"/>
        <v>1.1224304308273633E-5</v>
      </c>
      <c r="BB207" s="15">
        <f t="shared" si="117"/>
        <v>4174029.7140213419</v>
      </c>
      <c r="BC207" s="20">
        <f t="shared" si="118"/>
        <v>2288.9913650918752</v>
      </c>
      <c r="BD207" s="19">
        <f t="shared" si="119"/>
        <v>5.4868974782172411E-2</v>
      </c>
      <c r="BE207" s="15">
        <v>4511063.7</v>
      </c>
      <c r="BF207" s="16">
        <f>テーブル2[[#This Row],[q_P]]/テーブル2[[#This Row],[q_M]]</f>
        <v>0.92528724744484137</v>
      </c>
      <c r="BG207">
        <v>1</v>
      </c>
      <c r="BH207">
        <v>-0.20200000000000001</v>
      </c>
      <c r="BI207">
        <v>4.5999999999999999E-2</v>
      </c>
      <c r="BJ207">
        <v>5625</v>
      </c>
      <c r="BK207" s="22">
        <v>1</v>
      </c>
      <c r="BL207">
        <f>テーブル2[[#This Row],[Ts]]-テーブル2[[#This Row],[Tin]]</f>
        <v>108.815393579231</v>
      </c>
      <c r="BM207">
        <f>テーブル2[[#This Row],[q_P]]*0.000001</f>
        <v>4.1740297140213416</v>
      </c>
      <c r="BN207">
        <f>テーブル2[[#This Row],[Tsub]]</f>
        <v>108.815393579231</v>
      </c>
      <c r="BO207">
        <f>テーブル2[[#This Row],[Fcorr]]</f>
        <v>1</v>
      </c>
      <c r="BP207">
        <f>(テーブル2[[#This Row],[Tsub]]-40)^2</f>
        <v>4735.5583934644674</v>
      </c>
      <c r="BQ207">
        <v>1</v>
      </c>
      <c r="BR207">
        <v>0.15240000000000001</v>
      </c>
    </row>
    <row r="208" spans="1:70" x14ac:dyDescent="0.15">
      <c r="A208" s="9" t="s">
        <v>276</v>
      </c>
      <c r="B208">
        <v>18960582.556212999</v>
      </c>
      <c r="C208" s="22">
        <f t="array" ref="C208">TsatFromP(テーブル2[[#This Row],[P]])</f>
        <v>634.44823391832597</v>
      </c>
      <c r="D208">
        <f t="array" ref="D208">RhoGFromP(テーブル2[[#This Row],[P]])</f>
        <v>149.14958101226799</v>
      </c>
      <c r="E208">
        <f t="array" ref="E208">RhoFFromP(テーブル2[[#This Row],[P]])</f>
        <v>520.38377569771103</v>
      </c>
      <c r="F208">
        <f t="array" ref="F208">HgFromP(テーブル2[[#This Row],[P]])</f>
        <v>2467301.6327637699</v>
      </c>
      <c r="G208">
        <f t="array" ref="G208">HfFromP(テーブル2[[#This Row],[P]])</f>
        <v>1775044.0267545299</v>
      </c>
      <c r="H208">
        <f t="array" ref="H208">MuGFromP(テーブル2[[#This Row],[P]])</f>
        <v>2.5972810943896E-5</v>
      </c>
      <c r="I208">
        <f t="array" ref="I208">MuFFromP(テーブル2[[#This Row],[P]])</f>
        <v>5.9480773118925399E-5</v>
      </c>
      <c r="J208">
        <f t="array" ref="J208">KfFromP(テーブル2[[#This Row],[P]])</f>
        <v>0.43661798563056398</v>
      </c>
      <c r="K208">
        <f t="array" ref="K208">CpFFromP(テーブル2[[#This Row],[P]])</f>
        <v>16063.580349286</v>
      </c>
      <c r="L208">
        <f t="array" ref="L208">SigmaFromP(テーブル2[[#This Row],[P]])</f>
        <v>1.6624879026359001E-3</v>
      </c>
      <c r="M208">
        <v>207</v>
      </c>
      <c r="N208">
        <v>2726.0223000000001</v>
      </c>
      <c r="O208" s="8">
        <f t="shared" si="90"/>
        <v>2.8502295699234246E-6</v>
      </c>
      <c r="P208" s="8">
        <f t="shared" si="91"/>
        <v>5.9847340050885557E-3</v>
      </c>
      <c r="Q208" s="8">
        <v>1.905E-3</v>
      </c>
      <c r="R208">
        <v>0.15240000000000001</v>
      </c>
      <c r="S208" s="15">
        <v>5599682.6171875</v>
      </c>
      <c r="T208">
        <v>481.73347125662798</v>
      </c>
      <c r="U208" s="12">
        <f>+T208+BG208*S208*テーブル2[[#This Row],[Pw]]*R208/(N208*O208*K208)</f>
        <v>522.65403768029626</v>
      </c>
      <c r="V208">
        <v>0.03</v>
      </c>
      <c r="W208" s="8">
        <f t="shared" si="92"/>
        <v>87306.741476224779</v>
      </c>
      <c r="X208">
        <v>2.4735969360292959E-2</v>
      </c>
      <c r="Y208">
        <f t="shared" si="93"/>
        <v>6.3582197371331333</v>
      </c>
      <c r="Z208">
        <f t="shared" si="94"/>
        <v>6.3582197634838256</v>
      </c>
      <c r="AA208">
        <f t="shared" si="95"/>
        <v>-2.6350692294840883E-8</v>
      </c>
      <c r="AB208">
        <f t="shared" si="96"/>
        <v>4.518202920192045E-6</v>
      </c>
      <c r="AC208">
        <v>779.03964791992109</v>
      </c>
      <c r="AD208">
        <f t="shared" si="97"/>
        <v>2427.3771390989714</v>
      </c>
      <c r="AE208">
        <f>+gettm2(AD208,AC208,AK208,AL208,テーブル2[[#This Row],[Fcorr]])</f>
        <v>522.65403768029614</v>
      </c>
      <c r="AF208" s="14">
        <f t="shared" si="98"/>
        <v>0</v>
      </c>
      <c r="AG208">
        <v>4.6871749131914986E-6</v>
      </c>
      <c r="AH208">
        <f t="shared" si="99"/>
        <v>44.154402057672165</v>
      </c>
      <c r="AI208">
        <f t="shared" si="100"/>
        <v>0.29128970118543973</v>
      </c>
      <c r="AJ208">
        <f t="shared" si="101"/>
        <v>11.944925177154067</v>
      </c>
      <c r="AK208">
        <f t="array" ref="AK208">+S208*テーブル2[[#This Row],[F_form]]/(E208*CpFromTP((テーブル2[[#This Row],[Tin]]+テーブル2[[#This Row],[Tf]])/2,テーブル2[[#This Row],[P]])*AI208)</f>
        <v>8.06760128503395</v>
      </c>
      <c r="AL208">
        <f t="shared" si="102"/>
        <v>2.1883527698787133</v>
      </c>
      <c r="AM208">
        <f t="shared" si="103"/>
        <v>634.44823388160466</v>
      </c>
      <c r="AN208">
        <f t="shared" si="104"/>
        <v>3.6721303331432864E-8</v>
      </c>
      <c r="AO208">
        <f t="shared" si="105"/>
        <v>1.689719929994536E-7</v>
      </c>
      <c r="AP208">
        <v>2.0282266702596732</v>
      </c>
      <c r="AQ208">
        <f t="shared" si="106"/>
        <v>2.1904422969598713E-5</v>
      </c>
      <c r="AR208">
        <f t="shared" si="107"/>
        <v>2.4280734530954761E-6</v>
      </c>
      <c r="AS208">
        <f t="shared" si="108"/>
        <v>6.1877690205743381</v>
      </c>
      <c r="AT208">
        <f t="shared" si="109"/>
        <v>6.0628730251114256</v>
      </c>
      <c r="AU208">
        <f t="shared" si="110"/>
        <v>1.7660524718099702</v>
      </c>
      <c r="AV208">
        <f t="shared" si="111"/>
        <v>0.26217419844970302</v>
      </c>
      <c r="AW208">
        <f t="shared" si="112"/>
        <v>4.4558673152316035E-3</v>
      </c>
      <c r="AX208">
        <f t="shared" si="113"/>
        <v>0.2621741879381001</v>
      </c>
      <c r="AY208">
        <f t="shared" si="114"/>
        <v>1.0511602921425833E-8</v>
      </c>
      <c r="AZ208">
        <f t="shared" si="115"/>
        <v>692257.60600924003</v>
      </c>
      <c r="BA208">
        <f t="shared" si="116"/>
        <v>1.0799790423224392E-5</v>
      </c>
      <c r="BB208" s="15">
        <f t="shared" si="117"/>
        <v>5636258.2334838584</v>
      </c>
      <c r="BC208" s="20">
        <f t="shared" si="118"/>
        <v>36575.616296358407</v>
      </c>
      <c r="BD208" s="19">
        <f t="shared" si="119"/>
        <v>0.65317302420130552</v>
      </c>
      <c r="BE208" s="15">
        <v>5236619.4000000004</v>
      </c>
      <c r="BF208" s="16">
        <f>テーブル2[[#This Row],[q_P]]/テーブル2[[#This Row],[q_M]]</f>
        <v>1.0763161885478747</v>
      </c>
      <c r="BG208">
        <v>1</v>
      </c>
      <c r="BH208">
        <v>-0.376</v>
      </c>
      <c r="BI208">
        <v>4.5999999999999999E-2</v>
      </c>
      <c r="BJ208">
        <v>5625</v>
      </c>
      <c r="BK208" s="22">
        <v>1</v>
      </c>
      <c r="BL208">
        <f>テーブル2[[#This Row],[Ts]]-テーブル2[[#This Row],[Tin]]</f>
        <v>152.71476266169799</v>
      </c>
      <c r="BM208">
        <f>テーブル2[[#This Row],[q_P]]*0.000001</f>
        <v>5.6362582334838578</v>
      </c>
      <c r="BN208">
        <f>テーブル2[[#This Row],[Tsub]]</f>
        <v>152.71476266169799</v>
      </c>
      <c r="BO208">
        <f>テーブル2[[#This Row],[Fcorr]]</f>
        <v>1</v>
      </c>
      <c r="BP208">
        <f>(テーブル2[[#This Row],[Tsub]]-40)^2</f>
        <v>12704.617721882907</v>
      </c>
      <c r="BQ208">
        <v>1</v>
      </c>
      <c r="BR208">
        <v>0.15240000000000001</v>
      </c>
    </row>
    <row r="209" spans="1:70" x14ac:dyDescent="0.15">
      <c r="A209" s="9" t="s">
        <v>277</v>
      </c>
      <c r="B209">
        <v>18960582.556212999</v>
      </c>
      <c r="C209" s="22">
        <f t="array" ref="C209">TsatFromP(テーブル2[[#This Row],[P]])</f>
        <v>634.44823391832597</v>
      </c>
      <c r="D209">
        <f t="array" ref="D209">RhoGFromP(テーブル2[[#This Row],[P]])</f>
        <v>149.14958101226799</v>
      </c>
      <c r="E209">
        <f t="array" ref="E209">RhoFFromP(テーブル2[[#This Row],[P]])</f>
        <v>520.38377569771103</v>
      </c>
      <c r="F209">
        <f t="array" ref="F209">HgFromP(テーブル2[[#This Row],[P]])</f>
        <v>2467301.6327637699</v>
      </c>
      <c r="G209">
        <f t="array" ref="G209">HfFromP(テーブル2[[#This Row],[P]])</f>
        <v>1775044.0267545299</v>
      </c>
      <c r="H209">
        <f t="array" ref="H209">MuGFromP(テーブル2[[#This Row],[P]])</f>
        <v>2.5972810943896E-5</v>
      </c>
      <c r="I209">
        <f t="array" ref="I209">MuFFromP(テーブル2[[#This Row],[P]])</f>
        <v>5.9480773118925399E-5</v>
      </c>
      <c r="J209">
        <f t="array" ref="J209">KfFromP(テーブル2[[#This Row],[P]])</f>
        <v>0.43661798563056398</v>
      </c>
      <c r="K209">
        <f t="array" ref="K209">CpFFromP(テーブル2[[#This Row],[P]])</f>
        <v>16063.580349286</v>
      </c>
      <c r="L209">
        <f t="array" ref="L209">SigmaFromP(テーブル2[[#This Row],[P]])</f>
        <v>1.6624879026359001E-3</v>
      </c>
      <c r="M209">
        <v>208</v>
      </c>
      <c r="N209">
        <v>2726.0223000000001</v>
      </c>
      <c r="O209" s="8">
        <f t="shared" si="90"/>
        <v>2.8502295699234246E-6</v>
      </c>
      <c r="P209" s="8">
        <f t="shared" si="91"/>
        <v>5.9847340050885557E-3</v>
      </c>
      <c r="Q209" s="8">
        <v>1.905E-3</v>
      </c>
      <c r="R209">
        <v>0.15240000000000001</v>
      </c>
      <c r="S209" s="15">
        <v>5580798.33984375</v>
      </c>
      <c r="T209">
        <v>482.30962211684403</v>
      </c>
      <c r="U209" s="12">
        <f>+T209+BG209*S209*テーブル2[[#This Row],[Pw]]*R209/(N209*O209*K209)</f>
        <v>523.09218869690756</v>
      </c>
      <c r="V209">
        <v>0.03</v>
      </c>
      <c r="W209" s="8">
        <f t="shared" si="92"/>
        <v>87306.741476224779</v>
      </c>
      <c r="X209">
        <v>2.4735969360292959E-2</v>
      </c>
      <c r="Y209">
        <f t="shared" si="93"/>
        <v>6.3582197371331333</v>
      </c>
      <c r="Z209">
        <f t="shared" si="94"/>
        <v>6.3582197634838256</v>
      </c>
      <c r="AA209">
        <f t="shared" si="95"/>
        <v>-2.6350692294840883E-8</v>
      </c>
      <c r="AB209">
        <f t="shared" si="96"/>
        <v>4.518202920192045E-6</v>
      </c>
      <c r="AC209">
        <v>778.42953571381645</v>
      </c>
      <c r="AD209">
        <f t="shared" si="97"/>
        <v>2427.3771390989714</v>
      </c>
      <c r="AE209">
        <f>+gettm2(AD209,AC209,AK209,AL209,テーブル2[[#This Row],[Fcorr]])</f>
        <v>523.09218869690767</v>
      </c>
      <c r="AF209" s="14">
        <f t="shared" si="98"/>
        <v>0</v>
      </c>
      <c r="AG209">
        <v>4.6854684467396084E-6</v>
      </c>
      <c r="AH209">
        <f t="shared" si="99"/>
        <v>44.154402057672165</v>
      </c>
      <c r="AI209">
        <f t="shared" si="100"/>
        <v>0.29128970118543973</v>
      </c>
      <c r="AJ209">
        <f t="shared" si="101"/>
        <v>11.940576371218151</v>
      </c>
      <c r="AK209">
        <f t="array" ref="AK209">+S209*テーブル2[[#This Row],[F_form]]/(E209*CpFromTP((テーブル2[[#This Row],[Tin]]+テーブル2[[#This Row],[Tf]])/2,テーブル2[[#This Row],[P]])*AI209)</f>
        <v>8.0346159325614241</v>
      </c>
      <c r="AL209">
        <f t="shared" si="102"/>
        <v>2.1883527698787133</v>
      </c>
      <c r="AM209">
        <f t="shared" si="103"/>
        <v>634.44823388054135</v>
      </c>
      <c r="AN209">
        <f t="shared" si="104"/>
        <v>3.7784616324643139E-8</v>
      </c>
      <c r="AO209">
        <f t="shared" si="105"/>
        <v>1.6726552654756335E-7</v>
      </c>
      <c r="AP209">
        <v>2.0273199640725679</v>
      </c>
      <c r="AQ209">
        <f t="shared" si="106"/>
        <v>2.1924020583699959E-5</v>
      </c>
      <c r="AR209">
        <f t="shared" si="107"/>
        <v>2.4263669866435859E-6</v>
      </c>
      <c r="AS209">
        <f t="shared" si="108"/>
        <v>6.1834202146384252</v>
      </c>
      <c r="AT209">
        <f t="shared" si="109"/>
        <v>6.059357755857711</v>
      </c>
      <c r="AU209">
        <f t="shared" si="110"/>
        <v>1.7650285100794694</v>
      </c>
      <c r="AV209">
        <f t="shared" si="111"/>
        <v>0.2622914539930985</v>
      </c>
      <c r="AW209">
        <f t="shared" si="112"/>
        <v>4.4558673152316035E-3</v>
      </c>
      <c r="AX209">
        <f t="shared" si="113"/>
        <v>0.26229144370557417</v>
      </c>
      <c r="AY209">
        <f t="shared" si="114"/>
        <v>1.0287524332408537E-8</v>
      </c>
      <c r="AZ209">
        <f t="shared" si="115"/>
        <v>692257.60600924003</v>
      </c>
      <c r="BA209">
        <f t="shared" si="116"/>
        <v>1.081428732130573E-5</v>
      </c>
      <c r="BB209" s="15">
        <f t="shared" si="117"/>
        <v>5571857.7715575127</v>
      </c>
      <c r="BC209" s="20">
        <f t="shared" si="118"/>
        <v>-8940.5682862373069</v>
      </c>
      <c r="BD209" s="19">
        <f t="shared" si="119"/>
        <v>-0.16020231769362989</v>
      </c>
      <c r="BE209" s="15">
        <v>5110435.8000000007</v>
      </c>
      <c r="BF209" s="16">
        <f>テーブル2[[#This Row],[q_P]]/テーブル2[[#This Row],[q_M]]</f>
        <v>1.0902901415095581</v>
      </c>
      <c r="BG209">
        <v>1</v>
      </c>
      <c r="BH209">
        <v>-0.39300000000000002</v>
      </c>
      <c r="BI209">
        <v>4.5999999999999999E-2</v>
      </c>
      <c r="BJ209">
        <v>5625</v>
      </c>
      <c r="BK209" s="22">
        <v>1</v>
      </c>
      <c r="BL209">
        <f>テーブル2[[#This Row],[Ts]]-テーブル2[[#This Row],[Tin]]</f>
        <v>152.13861180148194</v>
      </c>
      <c r="BM209">
        <f>テーブル2[[#This Row],[q_P]]*0.000001</f>
        <v>5.5718577715575126</v>
      </c>
      <c r="BN209">
        <f>テーブル2[[#This Row],[Tsub]]</f>
        <v>152.13861180148194</v>
      </c>
      <c r="BO209">
        <f>テーブル2[[#This Row],[Fcorr]]</f>
        <v>1</v>
      </c>
      <c r="BP209">
        <f>(テーブル2[[#This Row],[Tsub]]-40)^2</f>
        <v>12575.068256763465</v>
      </c>
      <c r="BQ209">
        <v>1</v>
      </c>
      <c r="BR209">
        <v>0.15240000000000001</v>
      </c>
    </row>
    <row r="210" spans="1:70" x14ac:dyDescent="0.15">
      <c r="A210" s="9" t="s">
        <v>278</v>
      </c>
      <c r="B210">
        <v>18960582.556212999</v>
      </c>
      <c r="C210" s="22">
        <f t="array" ref="C210">TsatFromP(テーブル2[[#This Row],[P]])</f>
        <v>634.44823391832597</v>
      </c>
      <c r="D210">
        <f t="array" ref="D210">RhoGFromP(テーブル2[[#This Row],[P]])</f>
        <v>149.14958101226799</v>
      </c>
      <c r="E210">
        <f t="array" ref="E210">RhoFFromP(テーブル2[[#This Row],[P]])</f>
        <v>520.38377569771103</v>
      </c>
      <c r="F210">
        <f t="array" ref="F210">HgFromP(テーブル2[[#This Row],[P]])</f>
        <v>2467301.6327637699</v>
      </c>
      <c r="G210">
        <f t="array" ref="G210">HfFromP(テーブル2[[#This Row],[P]])</f>
        <v>1775044.0267545299</v>
      </c>
      <c r="H210">
        <f t="array" ref="H210">MuGFromP(テーブル2[[#This Row],[P]])</f>
        <v>2.5972810943896E-5</v>
      </c>
      <c r="I210">
        <f t="array" ref="I210">MuFFromP(テーブル2[[#This Row],[P]])</f>
        <v>5.9480773118925399E-5</v>
      </c>
      <c r="J210">
        <f t="array" ref="J210">KfFromP(テーブル2[[#This Row],[P]])</f>
        <v>0.43661798563056398</v>
      </c>
      <c r="K210">
        <f t="array" ref="K210">CpFFromP(テーブル2[[#This Row],[P]])</f>
        <v>16063.580349286</v>
      </c>
      <c r="L210">
        <f t="array" ref="L210">SigmaFromP(テーブル2[[#This Row],[P]])</f>
        <v>1.6624879026359001E-3</v>
      </c>
      <c r="M210">
        <v>209</v>
      </c>
      <c r="N210">
        <v>2726.0223000000001</v>
      </c>
      <c r="O210" s="8">
        <f t="shared" si="90"/>
        <v>2.8502295699234246E-6</v>
      </c>
      <c r="P210" s="8">
        <f t="shared" si="91"/>
        <v>5.9847340050885557E-3</v>
      </c>
      <c r="Q210" s="8">
        <v>1.905E-3</v>
      </c>
      <c r="R210">
        <v>0.15240000000000001</v>
      </c>
      <c r="S210" s="15">
        <v>3080810.546875</v>
      </c>
      <c r="T210">
        <v>559.60722906880403</v>
      </c>
      <c r="U210" s="12">
        <f>+T210+BG210*S210*テーブル2[[#This Row],[Pw]]*R210/(N210*O210*K210)</f>
        <v>582.12073943012081</v>
      </c>
      <c r="V210">
        <v>0.03</v>
      </c>
      <c r="W210" s="8">
        <f t="shared" si="92"/>
        <v>87306.741476224779</v>
      </c>
      <c r="X210">
        <v>2.4735969360292959E-2</v>
      </c>
      <c r="Y210">
        <f t="shared" si="93"/>
        <v>6.3582197371331333</v>
      </c>
      <c r="Z210">
        <f t="shared" si="94"/>
        <v>6.3582197634838256</v>
      </c>
      <c r="AA210">
        <f t="shared" si="95"/>
        <v>-2.6350692294840883E-8</v>
      </c>
      <c r="AB210">
        <f t="shared" si="96"/>
        <v>4.518202920192045E-6</v>
      </c>
      <c r="AC210">
        <v>701.28132171557729</v>
      </c>
      <c r="AD210">
        <f t="shared" si="97"/>
        <v>2427.3771390989714</v>
      </c>
      <c r="AE210">
        <f>+gettm2(AD210,AC210,AK210,AL210,テーブル2[[#This Row],[Fcorr]])</f>
        <v>582.12073943012081</v>
      </c>
      <c r="AF210" s="14">
        <f t="shared" si="98"/>
        <v>0</v>
      </c>
      <c r="AG210">
        <v>4.6166259228747248E-6</v>
      </c>
      <c r="AH210">
        <f t="shared" si="99"/>
        <v>44.154402057672165</v>
      </c>
      <c r="AI210">
        <f t="shared" si="100"/>
        <v>0.29128970118543973</v>
      </c>
      <c r="AJ210">
        <f t="shared" si="101"/>
        <v>11.765136194181414</v>
      </c>
      <c r="AK210">
        <f t="array" ref="AK210">+S210*テーブル2[[#This Row],[F_form]]/(E210*CpFromTP((テーブル2[[#This Row],[Tin]]+テーブル2[[#This Row],[Tf]])/2,テーブル2[[#This Row],[P]])*AI210)</f>
        <v>3.7495866709252836</v>
      </c>
      <c r="AL210">
        <f t="shared" si="102"/>
        <v>2.1883527698787133</v>
      </c>
      <c r="AM210">
        <f t="shared" si="103"/>
        <v>634.44823386674284</v>
      </c>
      <c r="AN210">
        <f t="shared" si="104"/>
        <v>5.1583128879428841E-8</v>
      </c>
      <c r="AO210">
        <f t="shared" si="105"/>
        <v>9.8423002682679744E-8</v>
      </c>
      <c r="AP210">
        <v>1.990280364754464</v>
      </c>
      <c r="AQ210">
        <f t="shared" si="106"/>
        <v>2.2747636432460722E-5</v>
      </c>
      <c r="AR210">
        <f t="shared" si="107"/>
        <v>2.3575244627787023E-6</v>
      </c>
      <c r="AS210">
        <f t="shared" si="108"/>
        <v>6.0079800376016852</v>
      </c>
      <c r="AT210">
        <f t="shared" si="109"/>
        <v>5.9154429591005471</v>
      </c>
      <c r="AU210">
        <f t="shared" si="110"/>
        <v>1.7231076119359117</v>
      </c>
      <c r="AV210">
        <f t="shared" si="111"/>
        <v>0.26717275281855235</v>
      </c>
      <c r="AW210">
        <f t="shared" si="112"/>
        <v>4.4558673152316035E-3</v>
      </c>
      <c r="AX210">
        <f t="shared" si="113"/>
        <v>0.26717275095829379</v>
      </c>
      <c r="AY210">
        <f t="shared" si="114"/>
        <v>1.8602585583060716E-9</v>
      </c>
      <c r="AZ210">
        <f t="shared" si="115"/>
        <v>692257.60600924003</v>
      </c>
      <c r="BA210">
        <f t="shared" si="116"/>
        <v>1.1429362835153651E-5</v>
      </c>
      <c r="BB210" s="15">
        <f t="shared" si="117"/>
        <v>3102173.4337624102</v>
      </c>
      <c r="BC210" s="20">
        <f t="shared" si="118"/>
        <v>21362.88688741019</v>
      </c>
      <c r="BD210" s="19">
        <f t="shared" si="119"/>
        <v>0.69341774063580419</v>
      </c>
      <c r="BE210" s="15">
        <v>3785508</v>
      </c>
      <c r="BF210" s="16">
        <f>テーブル2[[#This Row],[q_P]]/テーブル2[[#This Row],[q_M]]</f>
        <v>0.81948669340083558</v>
      </c>
      <c r="BG210">
        <v>1</v>
      </c>
      <c r="BH210">
        <v>-9.2999999999999999E-2</v>
      </c>
      <c r="BI210">
        <v>4.5999999999999999E-2</v>
      </c>
      <c r="BJ210">
        <v>5625</v>
      </c>
      <c r="BK210" s="22">
        <v>1</v>
      </c>
      <c r="BL210">
        <f>テーブル2[[#This Row],[Ts]]-テーブル2[[#This Row],[Tin]]</f>
        <v>74.841004849521937</v>
      </c>
      <c r="BM210">
        <f>テーブル2[[#This Row],[q_P]]*0.000001</f>
        <v>3.1021734337624101</v>
      </c>
      <c r="BN210">
        <f>テーブル2[[#This Row],[Tsub]]</f>
        <v>74.841004849521937</v>
      </c>
      <c r="BO210">
        <f>テーブル2[[#This Row],[Fcorr]]</f>
        <v>1</v>
      </c>
      <c r="BP210">
        <f>(テーブル2[[#This Row],[Tsub]]-40)^2</f>
        <v>1213.8956189244111</v>
      </c>
      <c r="BQ210">
        <v>1</v>
      </c>
      <c r="BR210">
        <v>0.15240000000000001</v>
      </c>
    </row>
    <row r="211" spans="1:70" x14ac:dyDescent="0.15">
      <c r="A211" s="9" t="s">
        <v>279</v>
      </c>
      <c r="B211">
        <v>18960582.556212999</v>
      </c>
      <c r="C211" s="22">
        <f t="array" ref="C211">TsatFromP(テーブル2[[#This Row],[P]])</f>
        <v>634.44823391832597</v>
      </c>
      <c r="D211">
        <f t="array" ref="D211">RhoGFromP(テーブル2[[#This Row],[P]])</f>
        <v>149.14958101226799</v>
      </c>
      <c r="E211">
        <f t="array" ref="E211">RhoFFromP(テーブル2[[#This Row],[P]])</f>
        <v>520.38377569771103</v>
      </c>
      <c r="F211">
        <f t="array" ref="F211">HgFromP(テーブル2[[#This Row],[P]])</f>
        <v>2467301.6327637699</v>
      </c>
      <c r="G211">
        <f t="array" ref="G211">HfFromP(テーブル2[[#This Row],[P]])</f>
        <v>1775044.0267545299</v>
      </c>
      <c r="H211">
        <f t="array" ref="H211">MuGFromP(テーブル2[[#This Row],[P]])</f>
        <v>2.5972810943896E-5</v>
      </c>
      <c r="I211">
        <f t="array" ref="I211">MuFFromP(テーブル2[[#This Row],[P]])</f>
        <v>5.9480773118925399E-5</v>
      </c>
      <c r="J211">
        <f t="array" ref="J211">KfFromP(テーブル2[[#This Row],[P]])</f>
        <v>0.43661798563056398</v>
      </c>
      <c r="K211">
        <f t="array" ref="K211">CpFFromP(テーブル2[[#This Row],[P]])</f>
        <v>16063.580349286</v>
      </c>
      <c r="L211">
        <f t="array" ref="L211">SigmaFromP(テーブル2[[#This Row],[P]])</f>
        <v>1.6624879026359001E-3</v>
      </c>
      <c r="M211">
        <v>210</v>
      </c>
      <c r="N211">
        <v>2739.5846000000001</v>
      </c>
      <c r="O211" s="8">
        <f t="shared" si="90"/>
        <v>2.8502295699234246E-6</v>
      </c>
      <c r="P211" s="8">
        <f t="shared" si="91"/>
        <v>5.9847340050885557E-3</v>
      </c>
      <c r="Q211" s="8">
        <v>1.905E-3</v>
      </c>
      <c r="R211">
        <v>0.15240000000000001</v>
      </c>
      <c r="S211" s="15">
        <v>4507299.8046875</v>
      </c>
      <c r="T211">
        <v>516.17931085542295</v>
      </c>
      <c r="U211" s="12">
        <f>+T211+BG211*S211*テーブル2[[#This Row],[Pw]]*R211/(N211*O211*K211)</f>
        <v>548.95405864845645</v>
      </c>
      <c r="V211">
        <v>0.03</v>
      </c>
      <c r="W211" s="8">
        <f t="shared" si="92"/>
        <v>87741.103374116457</v>
      </c>
      <c r="X211">
        <v>2.468925762544872E-2</v>
      </c>
      <c r="Y211">
        <f t="shared" si="93"/>
        <v>6.3642317268426769</v>
      </c>
      <c r="Z211">
        <f t="shared" si="94"/>
        <v>6.3642317508062174</v>
      </c>
      <c r="AA211">
        <f t="shared" si="95"/>
        <v>-2.3963540485283374E-8</v>
      </c>
      <c r="AB211">
        <f t="shared" si="96"/>
        <v>4.4820429169196439E-6</v>
      </c>
      <c r="AC211">
        <v>743.97533892875151</v>
      </c>
      <c r="AD211">
        <f t="shared" si="97"/>
        <v>2437.1492054158384</v>
      </c>
      <c r="AE211">
        <f>+gettm2(AD211,AC211,AK211,AL211,テーブル2[[#This Row],[Fcorr]])</f>
        <v>548.95406008820964</v>
      </c>
      <c r="AF211" s="14">
        <f t="shared" si="98"/>
        <v>1.4397531913346029E-6</v>
      </c>
      <c r="AG211">
        <v>4.619110652165609E-6</v>
      </c>
      <c r="AH211">
        <f t="shared" si="99"/>
        <v>44.510628749939897</v>
      </c>
      <c r="AI211">
        <f t="shared" si="100"/>
        <v>0.29246236703598044</v>
      </c>
      <c r="AJ211">
        <f t="shared" si="101"/>
        <v>11.818857591237007</v>
      </c>
      <c r="AK211">
        <f t="array" ref="AK211">+S211*テーブル2[[#This Row],[F_form]]/(E211*CpFromTP((テーブル2[[#This Row],[Tin]]+テーブル2[[#This Row],[Tf]])/2,テーブル2[[#This Row],[P]])*AI211)</f>
        <v>6.1346958209654234</v>
      </c>
      <c r="AL211">
        <f t="shared" si="102"/>
        <v>2.1883527698787133</v>
      </c>
      <c r="AM211">
        <f t="shared" si="103"/>
        <v>634.44823383720404</v>
      </c>
      <c r="AN211">
        <f t="shared" si="104"/>
        <v>8.1121925177285448E-8</v>
      </c>
      <c r="AO211">
        <f t="shared" si="105"/>
        <v>1.3706773524596512E-7</v>
      </c>
      <c r="AP211">
        <v>2.013742939234977</v>
      </c>
      <c r="AQ211">
        <f t="shared" si="106"/>
        <v>2.2220648733605146E-5</v>
      </c>
      <c r="AR211">
        <f t="shared" si="107"/>
        <v>2.378089193705787E-6</v>
      </c>
      <c r="AS211">
        <f t="shared" si="108"/>
        <v>6.0847855001029405</v>
      </c>
      <c r="AT211">
        <f t="shared" si="109"/>
        <v>5.9789573760941055</v>
      </c>
      <c r="AU211">
        <f t="shared" si="110"/>
        <v>1.7486200266197169</v>
      </c>
      <c r="AV211">
        <f t="shared" si="111"/>
        <v>0.26512291261526011</v>
      </c>
      <c r="AW211">
        <f t="shared" si="112"/>
        <v>4.4202061951920217E-3</v>
      </c>
      <c r="AX211">
        <f t="shared" si="113"/>
        <v>0.26512290553248474</v>
      </c>
      <c r="AY211">
        <f t="shared" si="114"/>
        <v>7.0827753662072723E-9</v>
      </c>
      <c r="AZ211">
        <f t="shared" si="115"/>
        <v>692257.60600924003</v>
      </c>
      <c r="BA211">
        <f t="shared" si="116"/>
        <v>1.1034501127560399E-5</v>
      </c>
      <c r="BB211" s="15">
        <f t="shared" si="117"/>
        <v>4474804.0003333921</v>
      </c>
      <c r="BC211" s="20">
        <f t="shared" si="118"/>
        <v>-32495.804354107939</v>
      </c>
      <c r="BD211" s="19">
        <f t="shared" si="119"/>
        <v>-0.72095946048037374</v>
      </c>
      <c r="BE211" s="15">
        <v>4574155.5</v>
      </c>
      <c r="BF211" s="16">
        <f>テーブル2[[#This Row],[q_P]]/テーブル2[[#This Row],[q_M]]</f>
        <v>0.97827981587713664</v>
      </c>
      <c r="BG211">
        <v>1</v>
      </c>
      <c r="BH211">
        <v>-0.26700000000000002</v>
      </c>
      <c r="BI211">
        <v>4.5999999999999999E-2</v>
      </c>
      <c r="BJ211">
        <v>5625</v>
      </c>
      <c r="BK211" s="22">
        <v>1</v>
      </c>
      <c r="BL211">
        <f>テーブル2[[#This Row],[Ts]]-テーブル2[[#This Row],[Tin]]</f>
        <v>118.26892306290301</v>
      </c>
      <c r="BM211">
        <f>テーブル2[[#This Row],[q_P]]*0.000001</f>
        <v>4.4748040003333918</v>
      </c>
      <c r="BN211">
        <f>テーブル2[[#This Row],[Tsub]]</f>
        <v>118.26892306290301</v>
      </c>
      <c r="BO211">
        <f>テーブル2[[#This Row],[Fcorr]]</f>
        <v>1</v>
      </c>
      <c r="BP211">
        <f>(テーブル2[[#This Row],[Tsub]]-40)^2</f>
        <v>6126.0243174266316</v>
      </c>
      <c r="BQ211">
        <v>1</v>
      </c>
      <c r="BR211">
        <v>0.15240000000000001</v>
      </c>
    </row>
    <row r="212" spans="1:70" x14ac:dyDescent="0.15">
      <c r="A212" s="9" t="s">
        <v>280</v>
      </c>
      <c r="B212">
        <v>18960582.556212999</v>
      </c>
      <c r="C212" s="22">
        <f t="array" ref="C212">TsatFromP(テーブル2[[#This Row],[P]])</f>
        <v>634.44823391832597</v>
      </c>
      <c r="D212">
        <f t="array" ref="D212">RhoGFromP(テーブル2[[#This Row],[P]])</f>
        <v>149.14958101226799</v>
      </c>
      <c r="E212">
        <f t="array" ref="E212">RhoFFromP(テーブル2[[#This Row],[P]])</f>
        <v>520.38377569771103</v>
      </c>
      <c r="F212">
        <f t="array" ref="F212">HgFromP(テーブル2[[#This Row],[P]])</f>
        <v>2467301.6327637699</v>
      </c>
      <c r="G212">
        <f t="array" ref="G212">HfFromP(テーブル2[[#This Row],[P]])</f>
        <v>1775044.0267545299</v>
      </c>
      <c r="H212">
        <f t="array" ref="H212">MuGFromP(テーブル2[[#This Row],[P]])</f>
        <v>2.5972810943896E-5</v>
      </c>
      <c r="I212">
        <f t="array" ref="I212">MuFFromP(テーブル2[[#This Row],[P]])</f>
        <v>5.9480773118925399E-5</v>
      </c>
      <c r="J212">
        <f t="array" ref="J212">KfFromP(テーブル2[[#This Row],[P]])</f>
        <v>0.43661798563056398</v>
      </c>
      <c r="K212">
        <f t="array" ref="K212">CpFFromP(テーブル2[[#This Row],[P]])</f>
        <v>16063.580349286</v>
      </c>
      <c r="L212">
        <f t="array" ref="L212">SigmaFromP(テーブル2[[#This Row],[P]])</f>
        <v>1.6624879026359001E-3</v>
      </c>
      <c r="M212">
        <v>211</v>
      </c>
      <c r="N212">
        <v>2766.7091999999998</v>
      </c>
      <c r="O212" s="8">
        <f t="shared" si="90"/>
        <v>2.8502295699234246E-6</v>
      </c>
      <c r="P212" s="8">
        <f t="shared" si="91"/>
        <v>5.9847340050885557E-3</v>
      </c>
      <c r="Q212" s="8">
        <v>1.905E-3</v>
      </c>
      <c r="R212">
        <v>0.15240000000000001</v>
      </c>
      <c r="S212" s="15">
        <v>4529089.35546875</v>
      </c>
      <c r="T212">
        <v>516.17931085542295</v>
      </c>
      <c r="U212" s="12">
        <f>+T212+BG212*S212*テーブル2[[#This Row],[Pw]]*R212/(N212*O212*K212)</f>
        <v>548.78962655413113</v>
      </c>
      <c r="V212">
        <v>0.03</v>
      </c>
      <c r="W212" s="8">
        <f t="shared" si="92"/>
        <v>88609.827169899771</v>
      </c>
      <c r="X212">
        <v>2.459694256493547E-2</v>
      </c>
      <c r="Y212">
        <f t="shared" si="93"/>
        <v>6.3761633767970558</v>
      </c>
      <c r="Z212">
        <f t="shared" si="94"/>
        <v>6.3761633963344897</v>
      </c>
      <c r="AA212">
        <f t="shared" si="95"/>
        <v>-1.9537433892935496E-8</v>
      </c>
      <c r="AB212">
        <f t="shared" si="96"/>
        <v>4.411083909332042E-6</v>
      </c>
      <c r="AC212">
        <v>743.35466623393108</v>
      </c>
      <c r="AD212">
        <f t="shared" si="97"/>
        <v>2456.6736283613895</v>
      </c>
      <c r="AE212">
        <f>+gettm2(AD212,AC212,AK212,AL212,テーブル2[[#This Row],[Fcorr]])</f>
        <v>548.78962655413113</v>
      </c>
      <c r="AF212" s="14">
        <f t="shared" si="98"/>
        <v>0</v>
      </c>
      <c r="AG212">
        <v>4.5485534710139848E-6</v>
      </c>
      <c r="AH212">
        <f t="shared" si="99"/>
        <v>45.226650051759606</v>
      </c>
      <c r="AI212">
        <f t="shared" si="100"/>
        <v>0.29480533353839167</v>
      </c>
      <c r="AJ212">
        <f t="shared" si="101"/>
        <v>11.73156048234301</v>
      </c>
      <c r="AK212">
        <f t="array" ref="AK212">+S212*テーブル2[[#This Row],[F_form]]/(E212*CpFromTP((テーブル2[[#This Row],[Tin]]+テーブル2[[#This Row],[Tf]])/2,テーブル2[[#This Row],[P]])*AI212)</f>
        <v>6.1164363946280487</v>
      </c>
      <c r="AL212">
        <f t="shared" si="102"/>
        <v>2.1883527698787133</v>
      </c>
      <c r="AM212">
        <f t="shared" si="103"/>
        <v>634.44823379382638</v>
      </c>
      <c r="AN212">
        <f t="shared" si="104"/>
        <v>1.2449959285731893E-7</v>
      </c>
      <c r="AO212">
        <f t="shared" si="105"/>
        <v>1.3746956168194281E-7</v>
      </c>
      <c r="AP212">
        <v>2.0190324935065709</v>
      </c>
      <c r="AQ212">
        <f t="shared" si="106"/>
        <v>2.2104371890163183E-5</v>
      </c>
      <c r="AR212">
        <f t="shared" si="107"/>
        <v>2.3430115163479638E-6</v>
      </c>
      <c r="AS212">
        <f t="shared" si="108"/>
        <v>6.0430599508231735</v>
      </c>
      <c r="AT212">
        <f t="shared" si="109"/>
        <v>5.9445524901784239</v>
      </c>
      <c r="AU212">
        <f t="shared" si="110"/>
        <v>1.7524857796035269</v>
      </c>
      <c r="AV212">
        <f t="shared" si="111"/>
        <v>0.26654671390304396</v>
      </c>
      <c r="AW212">
        <f t="shared" si="112"/>
        <v>4.3502261769821646E-3</v>
      </c>
      <c r="AX212">
        <f t="shared" si="113"/>
        <v>0.26654670528736879</v>
      </c>
      <c r="AY212">
        <f t="shared" si="114"/>
        <v>8.6156751732957559E-9</v>
      </c>
      <c r="AZ212">
        <f t="shared" si="115"/>
        <v>692257.60600924003</v>
      </c>
      <c r="BA212">
        <f t="shared" si="116"/>
        <v>1.0948002056060642E-5</v>
      </c>
      <c r="BB212" s="15">
        <f t="shared" si="117"/>
        <v>4523380.9181830715</v>
      </c>
      <c r="BC212" s="20">
        <f t="shared" si="118"/>
        <v>-5708.4372856784612</v>
      </c>
      <c r="BD212" s="19">
        <f t="shared" si="119"/>
        <v>-0.12603940522360596</v>
      </c>
      <c r="BE212" s="15">
        <v>4479517.8</v>
      </c>
      <c r="BF212" s="16">
        <f>テーブル2[[#This Row],[q_P]]/テーブル2[[#This Row],[q_M]]</f>
        <v>1.0097919285381725</v>
      </c>
      <c r="BG212">
        <v>1</v>
      </c>
      <c r="BH212">
        <v>-0.28999999999999998</v>
      </c>
      <c r="BI212">
        <v>4.5999999999999999E-2</v>
      </c>
      <c r="BJ212">
        <v>5625</v>
      </c>
      <c r="BK212" s="22">
        <v>1</v>
      </c>
      <c r="BL212">
        <f>テーブル2[[#This Row],[Ts]]-テーブル2[[#This Row],[Tin]]</f>
        <v>118.26892306290301</v>
      </c>
      <c r="BM212">
        <f>テーブル2[[#This Row],[q_P]]*0.000001</f>
        <v>4.5233809181830713</v>
      </c>
      <c r="BN212">
        <f>テーブル2[[#This Row],[Tsub]]</f>
        <v>118.26892306290301</v>
      </c>
      <c r="BO212">
        <f>テーブル2[[#This Row],[Fcorr]]</f>
        <v>1</v>
      </c>
      <c r="BP212">
        <f>(テーブル2[[#This Row],[Tsub]]-40)^2</f>
        <v>6126.0243174266316</v>
      </c>
      <c r="BQ212">
        <v>1</v>
      </c>
      <c r="BR212">
        <v>0.15240000000000001</v>
      </c>
    </row>
    <row r="213" spans="1:70" x14ac:dyDescent="0.15">
      <c r="A213" s="9" t="s">
        <v>281</v>
      </c>
      <c r="B213">
        <v>18960582.556212999</v>
      </c>
      <c r="C213" s="22">
        <f t="array" ref="C213">TsatFromP(テーブル2[[#This Row],[P]])</f>
        <v>634.44823391832597</v>
      </c>
      <c r="D213">
        <f t="array" ref="D213">RhoGFromP(テーブル2[[#This Row],[P]])</f>
        <v>149.14958101226799</v>
      </c>
      <c r="E213">
        <f t="array" ref="E213">RhoFFromP(テーブル2[[#This Row],[P]])</f>
        <v>520.38377569771103</v>
      </c>
      <c r="F213">
        <f t="array" ref="F213">HgFromP(テーブル2[[#This Row],[P]])</f>
        <v>2467301.6327637699</v>
      </c>
      <c r="G213">
        <f t="array" ref="G213">HfFromP(テーブル2[[#This Row],[P]])</f>
        <v>1775044.0267545299</v>
      </c>
      <c r="H213">
        <f t="array" ref="H213">MuGFromP(テーブル2[[#This Row],[P]])</f>
        <v>2.5972810943896E-5</v>
      </c>
      <c r="I213">
        <f t="array" ref="I213">MuFFromP(テーブル2[[#This Row],[P]])</f>
        <v>5.9480773118925399E-5</v>
      </c>
      <c r="J213">
        <f t="array" ref="J213">KfFromP(テーブル2[[#This Row],[P]])</f>
        <v>0.43661798563056398</v>
      </c>
      <c r="K213">
        <f t="array" ref="K213">CpFFromP(テーブル2[[#This Row],[P]])</f>
        <v>16063.580349286</v>
      </c>
      <c r="L213">
        <f t="array" ref="L213">SigmaFromP(テーブル2[[#This Row],[P]])</f>
        <v>1.6624879026359001E-3</v>
      </c>
      <c r="M213">
        <v>212</v>
      </c>
      <c r="N213">
        <v>3377.0127000000002</v>
      </c>
      <c r="O213" s="8">
        <f t="shared" si="90"/>
        <v>2.8502295699234246E-6</v>
      </c>
      <c r="P213" s="8">
        <f t="shared" si="91"/>
        <v>5.9847340050885557E-3</v>
      </c>
      <c r="Q213" s="8">
        <v>1.905E-3</v>
      </c>
      <c r="R213">
        <v>0.15240000000000001</v>
      </c>
      <c r="S213" s="15">
        <v>3469864.55078125</v>
      </c>
      <c r="T213">
        <v>558.46565244536998</v>
      </c>
      <c r="U213" s="12">
        <f>+T213+BG213*S213*テーブル2[[#This Row],[Pw]]*R213/(N213*O213*K213)</f>
        <v>578.93422027787256</v>
      </c>
      <c r="V213">
        <v>0.03</v>
      </c>
      <c r="W213" s="8">
        <f t="shared" si="92"/>
        <v>108156.11257502473</v>
      </c>
      <c r="X213">
        <v>2.2842853749085991E-2</v>
      </c>
      <c r="Y213">
        <f t="shared" si="93"/>
        <v>6.6164467317851292</v>
      </c>
      <c r="Z213">
        <f t="shared" si="94"/>
        <v>6.6164467598196168</v>
      </c>
      <c r="AA213">
        <f t="shared" si="95"/>
        <v>-2.8034487620232085E-8</v>
      </c>
      <c r="AB213">
        <f t="shared" si="96"/>
        <v>3.1881425212607506E-6</v>
      </c>
      <c r="AC213">
        <v>694.2883105142472</v>
      </c>
      <c r="AD213">
        <f t="shared" si="97"/>
        <v>2889.6900303443431</v>
      </c>
      <c r="AE213">
        <f>+gettm2(AD213,AC213,AK213,AL213,テーブル2[[#This Row],[Fcorr]])</f>
        <v>578.9342212207556</v>
      </c>
      <c r="AF213" s="14">
        <f t="shared" si="98"/>
        <v>9.4288304808287648E-7</v>
      </c>
      <c r="AG213">
        <v>3.2848665206392089E-6</v>
      </c>
      <c r="AH213">
        <f t="shared" si="99"/>
        <v>62.575166256186158</v>
      </c>
      <c r="AI213">
        <f t="shared" si="100"/>
        <v>0.34676809462331676</v>
      </c>
      <c r="AJ213">
        <f t="shared" si="101"/>
        <v>9.9656126359086947</v>
      </c>
      <c r="AK213">
        <f t="array" ref="AK213">+S213*テーブル2[[#This Row],[F_form]]/(E213*CpFromTP((テーブル2[[#This Row],[Tin]]+テーブル2[[#This Row],[Tf]])/2,テーブル2[[#This Row],[P]])*AI213)</f>
        <v>3.5798880412753786</v>
      </c>
      <c r="AL213">
        <f t="shared" si="102"/>
        <v>2.1883527698787133</v>
      </c>
      <c r="AM213">
        <f t="shared" si="103"/>
        <v>634.44823386842995</v>
      </c>
      <c r="AN213">
        <f t="shared" si="104"/>
        <v>4.9896016207640059E-8</v>
      </c>
      <c r="AO213">
        <f t="shared" si="105"/>
        <v>9.6723999378458327E-8</v>
      </c>
      <c r="AP213">
        <v>2.0813508315570259</v>
      </c>
      <c r="AQ213">
        <f t="shared" si="106"/>
        <v>2.0800521028343358E-5</v>
      </c>
      <c r="AR213">
        <f t="shared" si="107"/>
        <v>1.6907952600088336E-6</v>
      </c>
      <c r="AS213">
        <f t="shared" si="108"/>
        <v>5.1295267256703383</v>
      </c>
      <c r="AT213">
        <f t="shared" si="109"/>
        <v>5.1250669936110018</v>
      </c>
      <c r="AU213">
        <f t="shared" si="110"/>
        <v>1.7772097161913374</v>
      </c>
      <c r="AV213">
        <f t="shared" si="111"/>
        <v>0.30414111536568855</v>
      </c>
      <c r="AW213">
        <f t="shared" si="112"/>
        <v>3.1441571588781228E-3</v>
      </c>
      <c r="AX213">
        <f t="shared" si="113"/>
        <v>0.30414111373362585</v>
      </c>
      <c r="AY213">
        <f t="shared" si="114"/>
        <v>1.6320627072019533E-9</v>
      </c>
      <c r="AZ213">
        <f t="shared" si="115"/>
        <v>692257.60600924003</v>
      </c>
      <c r="BA213">
        <f t="shared" si="116"/>
        <v>9.9937601642981131E-6</v>
      </c>
      <c r="BB213" s="15">
        <f t="shared" si="117"/>
        <v>3486557.2980555505</v>
      </c>
      <c r="BC213" s="20">
        <f t="shared" si="118"/>
        <v>16692.747274300549</v>
      </c>
      <c r="BD213" s="19">
        <f t="shared" si="119"/>
        <v>0.48107777782110051</v>
      </c>
      <c r="BE213" s="15">
        <v>4258696.5</v>
      </c>
      <c r="BF213" s="16">
        <f>テーブル2[[#This Row],[q_P]]/テーブル2[[#This Row],[q_M]]</f>
        <v>0.81869118826747822</v>
      </c>
      <c r="BG213">
        <v>1</v>
      </c>
      <c r="BH213">
        <v>-0.161</v>
      </c>
      <c r="BI213">
        <v>4.5999999999999999E-2</v>
      </c>
      <c r="BJ213">
        <v>5625</v>
      </c>
      <c r="BK213" s="22">
        <v>1</v>
      </c>
      <c r="BL213">
        <f>テーブル2[[#This Row],[Ts]]-テーブル2[[#This Row],[Tin]]</f>
        <v>75.982581472955985</v>
      </c>
      <c r="BM213">
        <f>テーブル2[[#This Row],[q_P]]*0.000001</f>
        <v>3.4865572980555504</v>
      </c>
      <c r="BN213">
        <f>テーブル2[[#This Row],[Tsub]]</f>
        <v>75.982581472955985</v>
      </c>
      <c r="BO213">
        <f>テーブル2[[#This Row],[Fcorr]]</f>
        <v>1</v>
      </c>
      <c r="BP213">
        <f>(テーブル2[[#This Row],[Tsub]]-40)^2</f>
        <v>1294.7461694579154</v>
      </c>
      <c r="BQ213">
        <v>1</v>
      </c>
      <c r="BR213">
        <v>0.15240000000000001</v>
      </c>
    </row>
    <row r="214" spans="1:70" x14ac:dyDescent="0.15">
      <c r="A214" s="9" t="s">
        <v>282</v>
      </c>
      <c r="B214">
        <v>18960582.556212999</v>
      </c>
      <c r="C214" s="22">
        <f t="array" ref="C214">TsatFromP(テーブル2[[#This Row],[P]])</f>
        <v>634.44823391832597</v>
      </c>
      <c r="D214">
        <f t="array" ref="D214">RhoGFromP(テーブル2[[#This Row],[P]])</f>
        <v>149.14958101226799</v>
      </c>
      <c r="E214">
        <f t="array" ref="E214">RhoFFromP(テーブル2[[#This Row],[P]])</f>
        <v>520.38377569771103</v>
      </c>
      <c r="F214">
        <f t="array" ref="F214">HgFromP(テーブル2[[#This Row],[P]])</f>
        <v>2467301.6327637699</v>
      </c>
      <c r="G214">
        <f t="array" ref="G214">HfFromP(テーブル2[[#This Row],[P]])</f>
        <v>1775044.0267545299</v>
      </c>
      <c r="H214">
        <f t="array" ref="H214">MuGFromP(テーブル2[[#This Row],[P]])</f>
        <v>2.5972810943896E-5</v>
      </c>
      <c r="I214">
        <f t="array" ref="I214">MuFFromP(テーブル2[[#This Row],[P]])</f>
        <v>5.9480773118925399E-5</v>
      </c>
      <c r="J214">
        <f t="array" ref="J214">KfFromP(テーブル2[[#This Row],[P]])</f>
        <v>0.43661798563056398</v>
      </c>
      <c r="K214">
        <f t="array" ref="K214">CpFFromP(テーブル2[[#This Row],[P]])</f>
        <v>16063.580349286</v>
      </c>
      <c r="L214">
        <f t="array" ref="L214">SigmaFromP(テーブル2[[#This Row],[P]])</f>
        <v>1.6624879026359001E-3</v>
      </c>
      <c r="M214">
        <v>213</v>
      </c>
      <c r="N214">
        <v>3458.3865000000001</v>
      </c>
      <c r="O214" s="8">
        <f t="shared" si="90"/>
        <v>2.8502295699234246E-6</v>
      </c>
      <c r="P214" s="8">
        <f t="shared" si="91"/>
        <v>5.9847340050885557E-3</v>
      </c>
      <c r="Q214" s="8">
        <v>1.905E-3</v>
      </c>
      <c r="R214">
        <v>0.15240000000000001</v>
      </c>
      <c r="S214" s="15">
        <v>3695875.87890625</v>
      </c>
      <c r="T214">
        <v>553.48995463629501</v>
      </c>
      <c r="U214" s="12">
        <f>+T214+BG214*S214*テーブル2[[#This Row],[Pw]]*R214/(N214*O214*K214)</f>
        <v>574.77876918332436</v>
      </c>
      <c r="V214">
        <v>0.03</v>
      </c>
      <c r="W214" s="8">
        <f t="shared" si="92"/>
        <v>110762.28396237471</v>
      </c>
      <c r="X214">
        <v>2.264701976543209E-2</v>
      </c>
      <c r="Y214">
        <f t="shared" si="93"/>
        <v>6.6449921225727904</v>
      </c>
      <c r="Z214">
        <f t="shared" si="94"/>
        <v>6.6449921260745981</v>
      </c>
      <c r="AA214">
        <f t="shared" si="95"/>
        <v>-3.5018077326753883E-9</v>
      </c>
      <c r="AB214">
        <f t="shared" si="96"/>
        <v>3.0661638644763181E-6</v>
      </c>
      <c r="AC214">
        <v>697.63178377571069</v>
      </c>
      <c r="AD214">
        <f t="shared" si="97"/>
        <v>2946.6085378586245</v>
      </c>
      <c r="AE214">
        <f>+gettm2(AD214,AC214,AK214,AL214,テーブル2[[#This Row],[Fcorr]])</f>
        <v>574.77877015964202</v>
      </c>
      <c r="AF214" s="14">
        <f t="shared" si="98"/>
        <v>9.7631766493577743E-7</v>
      </c>
      <c r="AG214">
        <v>3.1667926678027158E-6</v>
      </c>
      <c r="AH214">
        <f t="shared" si="99"/>
        <v>65.064542253478393</v>
      </c>
      <c r="AI214">
        <f t="shared" si="100"/>
        <v>0.35359841974202105</v>
      </c>
      <c r="AJ214">
        <f t="shared" si="101"/>
        <v>9.796638648373305</v>
      </c>
      <c r="AK214">
        <f t="array" ref="AK214">+S214*テーブル2[[#This Row],[F_form]]/(E214*CpFromTP((テーブル2[[#This Row],[Tin]]+テーブル2[[#This Row],[Tf]])/2,テーブル2[[#This Row],[P]])*AI214)</f>
        <v>3.8067603629505764</v>
      </c>
      <c r="AL214">
        <f t="shared" si="102"/>
        <v>2.1883527698787133</v>
      </c>
      <c r="AM214">
        <f t="shared" si="103"/>
        <v>634.44823405418833</v>
      </c>
      <c r="AN214">
        <f t="shared" si="104"/>
        <v>-1.3586236491391901E-7</v>
      </c>
      <c r="AO214">
        <f t="shared" si="105"/>
        <v>1.0062880332639771E-7</v>
      </c>
      <c r="AP214">
        <v>2.0942074905509638</v>
      </c>
      <c r="AQ214">
        <f t="shared" si="106"/>
        <v>2.0545909844962193E-5</v>
      </c>
      <c r="AR214">
        <f t="shared" si="107"/>
        <v>1.6337107355645568E-6</v>
      </c>
      <c r="AS214">
        <f t="shared" si="108"/>
        <v>5.0539695557016451</v>
      </c>
      <c r="AT214">
        <f t="shared" si="109"/>
        <v>5.0508699257262819</v>
      </c>
      <c r="AU214">
        <f t="shared" si="110"/>
        <v>1.7859796240593124</v>
      </c>
      <c r="AV214">
        <f t="shared" si="111"/>
        <v>0.30822786649165135</v>
      </c>
      <c r="AW214">
        <f t="shared" si="112"/>
        <v>3.0238613865274412E-3</v>
      </c>
      <c r="AX214">
        <f t="shared" si="113"/>
        <v>0.30822786457552914</v>
      </c>
      <c r="AY214">
        <f t="shared" si="114"/>
        <v>1.9161222053476479E-9</v>
      </c>
      <c r="AZ214">
        <f t="shared" si="115"/>
        <v>692257.60600924003</v>
      </c>
      <c r="BA214">
        <f t="shared" si="116"/>
        <v>9.8108281713560215E-6</v>
      </c>
      <c r="BB214" s="15">
        <f t="shared" si="117"/>
        <v>3694946.2287502117</v>
      </c>
      <c r="BC214" s="20">
        <f t="shared" si="118"/>
        <v>-929.65015603834763</v>
      </c>
      <c r="BD214" s="19">
        <f t="shared" si="119"/>
        <v>-2.5153716913065446E-2</v>
      </c>
      <c r="BE214" s="15">
        <v>4668793.1999999993</v>
      </c>
      <c r="BF214" s="16">
        <f>テーブル2[[#This Row],[q_P]]/テーブル2[[#This Row],[q_M]]</f>
        <v>0.79141355602347352</v>
      </c>
      <c r="BG214">
        <v>1</v>
      </c>
      <c r="BH214">
        <v>-0.156</v>
      </c>
      <c r="BI214">
        <v>4.5999999999999999E-2</v>
      </c>
      <c r="BJ214">
        <v>5625</v>
      </c>
      <c r="BK214" s="22">
        <v>1</v>
      </c>
      <c r="BL214">
        <f>テーブル2[[#This Row],[Ts]]-テーブル2[[#This Row],[Tin]]</f>
        <v>80.958279282030958</v>
      </c>
      <c r="BM214">
        <f>テーブル2[[#This Row],[q_P]]*0.000001</f>
        <v>3.6949462287502115</v>
      </c>
      <c r="BN214">
        <f>テーブル2[[#This Row],[Tsub]]</f>
        <v>80.958279282030958</v>
      </c>
      <c r="BO214">
        <f>テーブル2[[#This Row],[Fcorr]]</f>
        <v>1</v>
      </c>
      <c r="BP214">
        <f>(テーブル2[[#This Row],[Tsub]]-40)^2</f>
        <v>1677.5806417448464</v>
      </c>
      <c r="BQ214">
        <v>1</v>
      </c>
      <c r="BR214">
        <v>0.15240000000000001</v>
      </c>
    </row>
    <row r="215" spans="1:70" x14ac:dyDescent="0.15">
      <c r="A215" s="9" t="s">
        <v>283</v>
      </c>
      <c r="B215">
        <v>18960582.556212999</v>
      </c>
      <c r="C215" s="22">
        <f t="array" ref="C215">TsatFromP(テーブル2[[#This Row],[P]])</f>
        <v>634.44823391832597</v>
      </c>
      <c r="D215">
        <f t="array" ref="D215">RhoGFromP(テーブル2[[#This Row],[P]])</f>
        <v>149.14958101226799</v>
      </c>
      <c r="E215">
        <f t="array" ref="E215">RhoFFromP(テーブル2[[#This Row],[P]])</f>
        <v>520.38377569771103</v>
      </c>
      <c r="F215">
        <f t="array" ref="F215">HgFromP(テーブル2[[#This Row],[P]])</f>
        <v>2467301.6327637699</v>
      </c>
      <c r="G215">
        <f t="array" ref="G215">HfFromP(テーブル2[[#This Row],[P]])</f>
        <v>1775044.0267545299</v>
      </c>
      <c r="H215">
        <f t="array" ref="H215">MuGFromP(テーブル2[[#This Row],[P]])</f>
        <v>2.5972810943896E-5</v>
      </c>
      <c r="I215">
        <f t="array" ref="I215">MuFFromP(テーブル2[[#This Row],[P]])</f>
        <v>5.9480773118925399E-5</v>
      </c>
      <c r="J215">
        <f t="array" ref="J215">KfFromP(テーブル2[[#This Row],[P]])</f>
        <v>0.43661798563056398</v>
      </c>
      <c r="K215">
        <f t="array" ref="K215">CpFFromP(テーブル2[[#This Row],[P]])</f>
        <v>16063.580349286</v>
      </c>
      <c r="L215">
        <f t="array" ref="L215">SigmaFromP(テーブル2[[#This Row],[P]])</f>
        <v>1.6624879026359001E-3</v>
      </c>
      <c r="M215">
        <v>214</v>
      </c>
      <c r="N215">
        <v>3485.5111000000002</v>
      </c>
      <c r="O215" s="8">
        <f t="shared" si="90"/>
        <v>2.8502295699234246E-6</v>
      </c>
      <c r="P215" s="8">
        <f t="shared" si="91"/>
        <v>5.9847340050885557E-3</v>
      </c>
      <c r="Q215" s="8">
        <v>1.905E-3</v>
      </c>
      <c r="R215">
        <v>0.15240000000000001</v>
      </c>
      <c r="S215" s="15">
        <v>3753381.34765625</v>
      </c>
      <c r="T215">
        <v>552.32824485842298</v>
      </c>
      <c r="U215" s="12">
        <f>+T215+BG215*S215*テーブル2[[#This Row],[Pw]]*R215/(N215*O215*K215)</f>
        <v>573.78005031173211</v>
      </c>
      <c r="V215">
        <v>0.03</v>
      </c>
      <c r="W215" s="8">
        <f t="shared" si="92"/>
        <v>111631.00775815806</v>
      </c>
      <c r="X215">
        <v>2.2583366906340469E-2</v>
      </c>
      <c r="Y215">
        <f t="shared" si="93"/>
        <v>6.6543502294361172</v>
      </c>
      <c r="Z215">
        <f t="shared" si="94"/>
        <v>6.6543502370940963</v>
      </c>
      <c r="AA215">
        <f t="shared" si="95"/>
        <v>-7.6579791397080044E-9</v>
      </c>
      <c r="AB215">
        <f t="shared" si="96"/>
        <v>3.0271353797416429E-6</v>
      </c>
      <c r="AC215">
        <v>698.30483455653734</v>
      </c>
      <c r="AD215">
        <f t="shared" si="97"/>
        <v>2965.5428349452282</v>
      </c>
      <c r="AE215">
        <f>+gettm2(AD215,AC215,AK215,AL215,テーブル2[[#This Row],[Fcorr]])</f>
        <v>573.78005031173211</v>
      </c>
      <c r="AF215" s="14">
        <f t="shared" si="98"/>
        <v>0</v>
      </c>
      <c r="AG215">
        <v>3.128421966787275E-6</v>
      </c>
      <c r="AH215">
        <f t="shared" si="99"/>
        <v>65.903411407168264</v>
      </c>
      <c r="AI215">
        <f t="shared" si="100"/>
        <v>0.35587057006084638</v>
      </c>
      <c r="AJ215">
        <f t="shared" si="101"/>
        <v>9.740125300043319</v>
      </c>
      <c r="AK215">
        <f t="array" ref="AK215">+S215*テーブル2[[#This Row],[F_form]]/(E215*CpFromTP((テーブル2[[#This Row],[Tin]]+テーブル2[[#This Row],[Tf]])/2,テーブル2[[#This Row],[P]])*AI215)</f>
        <v>3.856619998827405</v>
      </c>
      <c r="AL215">
        <f t="shared" si="102"/>
        <v>2.1883527698787133</v>
      </c>
      <c r="AM215">
        <f t="shared" si="103"/>
        <v>634.4482338708782</v>
      </c>
      <c r="AN215">
        <f t="shared" si="104"/>
        <v>4.7447770157305058E-8</v>
      </c>
      <c r="AO215">
        <f t="shared" si="105"/>
        <v>1.0128658704563214E-7</v>
      </c>
      <c r="AP215">
        <v>2.0978640071565589</v>
      </c>
      <c r="AQ215">
        <f t="shared" si="106"/>
        <v>2.0474350402939727E-5</v>
      </c>
      <c r="AR215">
        <f t="shared" si="107"/>
        <v>1.6148542769164536E-6</v>
      </c>
      <c r="AS215">
        <f t="shared" si="108"/>
        <v>5.0277370397797849</v>
      </c>
      <c r="AT215">
        <f t="shared" si="109"/>
        <v>5.0248499509582674</v>
      </c>
      <c r="AU215">
        <f t="shared" si="110"/>
        <v>1.7881962165177345</v>
      </c>
      <c r="AV215">
        <f t="shared" si="111"/>
        <v>0.30966779063882433</v>
      </c>
      <c r="AW215">
        <f t="shared" si="112"/>
        <v>2.985371360168717E-3</v>
      </c>
      <c r="AX215">
        <f t="shared" si="113"/>
        <v>0.3096677886463734</v>
      </c>
      <c r="AY215">
        <f t="shared" si="114"/>
        <v>1.9924509264690471E-9</v>
      </c>
      <c r="AZ215">
        <f t="shared" si="115"/>
        <v>692257.60600924003</v>
      </c>
      <c r="BA215">
        <f t="shared" si="116"/>
        <v>9.7596175600965794E-6</v>
      </c>
      <c r="BB215" s="15">
        <f t="shared" si="117"/>
        <v>3738613.9456288228</v>
      </c>
      <c r="BC215" s="20">
        <f t="shared" si="118"/>
        <v>-14767.402027427219</v>
      </c>
      <c r="BD215" s="19">
        <f t="shared" si="119"/>
        <v>-0.39344262305370414</v>
      </c>
      <c r="BE215" s="15">
        <v>4542609.5999999996</v>
      </c>
      <c r="BF215" s="16">
        <f>テーブル2[[#This Row],[q_P]]/テーブル2[[#This Row],[q_M]]</f>
        <v>0.82301018023402739</v>
      </c>
      <c r="BG215">
        <v>1</v>
      </c>
      <c r="BH215">
        <v>-0.186</v>
      </c>
      <c r="BI215">
        <v>4.5999999999999999E-2</v>
      </c>
      <c r="BJ215">
        <v>5625</v>
      </c>
      <c r="BK215" s="22">
        <v>1</v>
      </c>
      <c r="BL215">
        <f>テーブル2[[#This Row],[Ts]]-テーブル2[[#This Row],[Tin]]</f>
        <v>82.119989059902991</v>
      </c>
      <c r="BM215">
        <f>テーブル2[[#This Row],[q_P]]*0.000001</f>
        <v>3.7386139456288228</v>
      </c>
      <c r="BN215">
        <f>テーブル2[[#This Row],[Tsub]]</f>
        <v>82.119989059902991</v>
      </c>
      <c r="BO215">
        <f>テーブル2[[#This Row],[Fcorr]]</f>
        <v>1</v>
      </c>
      <c r="BP215">
        <f>(テーブル2[[#This Row],[Tsub]]-40)^2</f>
        <v>1774.0934784063477</v>
      </c>
      <c r="BQ215">
        <v>1</v>
      </c>
      <c r="BR215">
        <v>0.15240000000000001</v>
      </c>
    </row>
    <row r="216" spans="1:70" x14ac:dyDescent="0.15">
      <c r="A216" s="9" t="s">
        <v>284</v>
      </c>
      <c r="B216">
        <v>18960582.556212999</v>
      </c>
      <c r="C216" s="22">
        <f t="array" ref="C216">TsatFromP(テーブル2[[#This Row],[P]])</f>
        <v>634.44823391832597</v>
      </c>
      <c r="D216">
        <f t="array" ref="D216">RhoGFromP(テーブル2[[#This Row],[P]])</f>
        <v>149.14958101226799</v>
      </c>
      <c r="E216">
        <f t="array" ref="E216">RhoFFromP(テーブル2[[#This Row],[P]])</f>
        <v>520.38377569771103</v>
      </c>
      <c r="F216">
        <f t="array" ref="F216">HgFromP(テーブル2[[#This Row],[P]])</f>
        <v>2467301.6327637699</v>
      </c>
      <c r="G216">
        <f t="array" ref="G216">HfFromP(テーブル2[[#This Row],[P]])</f>
        <v>1775044.0267545299</v>
      </c>
      <c r="H216">
        <f t="array" ref="H216">MuGFromP(テーブル2[[#This Row],[P]])</f>
        <v>2.5972810943896E-5</v>
      </c>
      <c r="I216">
        <f t="array" ref="I216">MuFFromP(テーブル2[[#This Row],[P]])</f>
        <v>5.9480773118925399E-5</v>
      </c>
      <c r="J216">
        <f t="array" ref="J216">KfFromP(テーブル2[[#This Row],[P]])</f>
        <v>0.43661798563056398</v>
      </c>
      <c r="K216">
        <f t="array" ref="K216">CpFFromP(テーブル2[[#This Row],[P]])</f>
        <v>16063.580349286</v>
      </c>
      <c r="L216">
        <f t="array" ref="L216">SigmaFromP(テーブル2[[#This Row],[P]])</f>
        <v>1.6624879026359001E-3</v>
      </c>
      <c r="M216">
        <v>215</v>
      </c>
      <c r="N216">
        <v>3499.0734000000002</v>
      </c>
      <c r="O216" s="8">
        <f t="shared" ref="O216:O237" si="120">PI()*Q216^2/4</f>
        <v>2.8502295699234246E-6</v>
      </c>
      <c r="P216" s="8">
        <f t="shared" ref="P216:P237" si="121">PI()*Q216</f>
        <v>5.9847340050885557E-3</v>
      </c>
      <c r="Q216" s="8">
        <v>1.905E-3</v>
      </c>
      <c r="R216">
        <v>0.15240000000000001</v>
      </c>
      <c r="S216" s="15">
        <v>3819602.63671875</v>
      </c>
      <c r="T216">
        <v>550.74250143598601</v>
      </c>
      <c r="U216" s="12">
        <f>+T216+BG216*S216*テーブル2[[#This Row],[Pw]]*R216/(N216*O216*K216)</f>
        <v>572.48816978035006</v>
      </c>
      <c r="V216">
        <v>0.03</v>
      </c>
      <c r="W216" s="8">
        <f t="shared" si="92"/>
        <v>112065.36965604972</v>
      </c>
      <c r="X216">
        <v>2.2551835812529709E-2</v>
      </c>
      <c r="Y216">
        <f t="shared" si="93"/>
        <v>6.6590005305057609</v>
      </c>
      <c r="Z216">
        <f t="shared" si="94"/>
        <v>6.6590005392263913</v>
      </c>
      <c r="AA216">
        <f t="shared" si="95"/>
        <v>-8.7206304399956025E-9</v>
      </c>
      <c r="AB216">
        <f t="shared" si="96"/>
        <v>3.007914367342506E-6</v>
      </c>
      <c r="AC216">
        <v>699.4912749550258</v>
      </c>
      <c r="AD216">
        <f t="shared" si="97"/>
        <v>2975.0028723136088</v>
      </c>
      <c r="AE216">
        <f>+gettm2(AD216,AC216,AK216,AL216,テーブル2[[#This Row],[Fcorr]])</f>
        <v>572.4881707752628</v>
      </c>
      <c r="AF216" s="14">
        <f t="shared" si="98"/>
        <v>9.9491273886087583E-7</v>
      </c>
      <c r="AG216">
        <v>3.1106916129621949E-6</v>
      </c>
      <c r="AH216">
        <f t="shared" si="99"/>
        <v>66.324543837517922</v>
      </c>
      <c r="AI216">
        <f t="shared" si="100"/>
        <v>0.35700579186624803</v>
      </c>
      <c r="AJ216">
        <f t="shared" si="101"/>
        <v>9.7158178303878024</v>
      </c>
      <c r="AK216">
        <f t="array" ref="AK216">+S216*テーブル2[[#This Row],[F_form]]/(E216*CpFromTP((テーブル2[[#This Row],[Tin]]+テーブル2[[#This Row],[Tf]])/2,テーブル2[[#This Row],[P]])*AI216)</f>
        <v>3.9323910926272414</v>
      </c>
      <c r="AL216">
        <f t="shared" si="102"/>
        <v>2.1883527698787133</v>
      </c>
      <c r="AM216">
        <f t="shared" si="103"/>
        <v>634.44823385057759</v>
      </c>
      <c r="AN216">
        <f t="shared" si="104"/>
        <v>6.7748374021903146E-8</v>
      </c>
      <c r="AO216">
        <f t="shared" si="105"/>
        <v>1.0277724561968892E-7</v>
      </c>
      <c r="AP216">
        <v>2.10080783312518</v>
      </c>
      <c r="AQ216">
        <f t="shared" si="106"/>
        <v>2.0417009894446049E-5</v>
      </c>
      <c r="AR216">
        <f t="shared" si="107"/>
        <v>1.6067344292909419E-6</v>
      </c>
      <c r="AS216">
        <f t="shared" si="108"/>
        <v>5.0184142175178152</v>
      </c>
      <c r="AT216">
        <f t="shared" si="109"/>
        <v>5.0155699543710988</v>
      </c>
      <c r="AU216">
        <f t="shared" si="110"/>
        <v>1.7905875232208157</v>
      </c>
      <c r="AV216">
        <f t="shared" si="111"/>
        <v>0.31022030990436433</v>
      </c>
      <c r="AW216">
        <f t="shared" si="112"/>
        <v>2.9664155313961272E-3</v>
      </c>
      <c r="AX216">
        <f t="shared" si="113"/>
        <v>0.31022030787314103</v>
      </c>
      <c r="AY216">
        <f t="shared" si="114"/>
        <v>2.0312233006691827E-9</v>
      </c>
      <c r="AZ216">
        <f t="shared" si="115"/>
        <v>692257.60600924003</v>
      </c>
      <c r="BA216">
        <f t="shared" si="116"/>
        <v>9.7186470711476393E-6</v>
      </c>
      <c r="BB216" s="15">
        <f t="shared" si="117"/>
        <v>3809628.6789195514</v>
      </c>
      <c r="BC216" s="20">
        <f t="shared" si="118"/>
        <v>-9973.9577991985716</v>
      </c>
      <c r="BD216" s="19">
        <f t="shared" si="119"/>
        <v>-0.26112553445524778</v>
      </c>
      <c r="BE216" s="15">
        <v>4542609.5999999996</v>
      </c>
      <c r="BF216" s="16">
        <f>テーブル2[[#This Row],[q_P]]/テーブル2[[#This Row],[q_M]]</f>
        <v>0.83864320608126919</v>
      </c>
      <c r="BG216">
        <v>1</v>
      </c>
      <c r="BH216">
        <v>-0.19900000000000001</v>
      </c>
      <c r="BI216">
        <v>4.5999999999999999E-2</v>
      </c>
      <c r="BJ216">
        <v>5625</v>
      </c>
      <c r="BK216" s="22">
        <v>1</v>
      </c>
      <c r="BL216">
        <f>テーブル2[[#This Row],[Ts]]-テーブル2[[#This Row],[Tin]]</f>
        <v>83.705732482339954</v>
      </c>
      <c r="BM216">
        <f>テーブル2[[#This Row],[q_P]]*0.000001</f>
        <v>3.8096286789195513</v>
      </c>
      <c r="BN216">
        <f>テーブル2[[#This Row],[Tsub]]</f>
        <v>83.705732482339954</v>
      </c>
      <c r="BO216">
        <f>テーブル2[[#This Row],[Fcorr]]</f>
        <v>1</v>
      </c>
      <c r="BP216">
        <f>(テーブル2[[#This Row],[Tsub]]-40)^2</f>
        <v>1910.1910518178659</v>
      </c>
      <c r="BQ216">
        <v>1</v>
      </c>
      <c r="BR216">
        <v>0.15240000000000001</v>
      </c>
    </row>
    <row r="217" spans="1:70" x14ac:dyDescent="0.15">
      <c r="A217" s="9" t="s">
        <v>285</v>
      </c>
      <c r="B217">
        <v>18960582.556212999</v>
      </c>
      <c r="C217" s="22">
        <f t="array" ref="C217">TsatFromP(テーブル2[[#This Row],[P]])</f>
        <v>634.44823391832597</v>
      </c>
      <c r="D217">
        <f t="array" ref="D217">RhoGFromP(テーブル2[[#This Row],[P]])</f>
        <v>149.14958101226799</v>
      </c>
      <c r="E217">
        <f t="array" ref="E217">RhoFFromP(テーブル2[[#This Row],[P]])</f>
        <v>520.38377569771103</v>
      </c>
      <c r="F217">
        <f t="array" ref="F217">HgFromP(テーブル2[[#This Row],[P]])</f>
        <v>2467301.6327637699</v>
      </c>
      <c r="G217">
        <f t="array" ref="G217">HfFromP(テーブル2[[#This Row],[P]])</f>
        <v>1775044.0267545299</v>
      </c>
      <c r="H217">
        <f t="array" ref="H217">MuGFromP(テーブル2[[#This Row],[P]])</f>
        <v>2.5972810943896E-5</v>
      </c>
      <c r="I217">
        <f t="array" ref="I217">MuFFromP(テーブル2[[#This Row],[P]])</f>
        <v>5.9480773118925399E-5</v>
      </c>
      <c r="J217">
        <f t="array" ref="J217">KfFromP(テーブル2[[#This Row],[P]])</f>
        <v>0.43661798563056398</v>
      </c>
      <c r="K217">
        <f t="array" ref="K217">CpFFromP(テーブル2[[#This Row],[P]])</f>
        <v>16063.580349286</v>
      </c>
      <c r="L217">
        <f t="array" ref="L217">SigmaFromP(テーブル2[[#This Row],[P]])</f>
        <v>1.6624879026359001E-3</v>
      </c>
      <c r="M217">
        <v>216</v>
      </c>
      <c r="N217">
        <v>1939.4088999999999</v>
      </c>
      <c r="O217" s="8">
        <f t="shared" si="120"/>
        <v>2.8502295699234246E-6</v>
      </c>
      <c r="P217" s="8">
        <f t="shared" si="121"/>
        <v>5.9847340050885557E-3</v>
      </c>
      <c r="Q217" s="8">
        <v>1.905E-3</v>
      </c>
      <c r="R217">
        <v>0.69596000000000002</v>
      </c>
      <c r="S217" s="15">
        <v>4757805.95703125</v>
      </c>
      <c r="T217">
        <v>299.02073658241198</v>
      </c>
      <c r="U217" s="12">
        <f>+T217+BG217*S217*テーブル2[[#This Row],[Pw]]*R217/(N217*O217*K217)</f>
        <v>522.19508849638578</v>
      </c>
      <c r="V217">
        <v>0.03</v>
      </c>
      <c r="W217" s="8">
        <f t="shared" si="92"/>
        <v>62113.751398508175</v>
      </c>
      <c r="X217">
        <v>2.8309260195252369E-2</v>
      </c>
      <c r="Y217">
        <f t="shared" si="93"/>
        <v>5.943410674618657</v>
      </c>
      <c r="Z217">
        <f t="shared" si="94"/>
        <v>5.9434106924163812</v>
      </c>
      <c r="AA217">
        <f t="shared" si="95"/>
        <v>-1.7797724183310493E-8</v>
      </c>
      <c r="AB217">
        <f t="shared" si="96"/>
        <v>7.799848836613821E-6</v>
      </c>
      <c r="AC217">
        <v>824.76654334572231</v>
      </c>
      <c r="AD217">
        <f t="shared" si="97"/>
        <v>1847.4684496557447</v>
      </c>
      <c r="AE217">
        <f>+gettm2(AD217,AC217,AK217,AL217,テーブル2[[#This Row],[Fcorr]])</f>
        <v>522.19509074405119</v>
      </c>
      <c r="AF217" s="14">
        <f t="shared" si="98"/>
        <v>2.2476654066849733E-6</v>
      </c>
      <c r="AG217">
        <v>7.9907672512179862E-6</v>
      </c>
      <c r="AH217">
        <f t="shared" si="99"/>
        <v>25.577232648385159</v>
      </c>
      <c r="AI217">
        <f t="shared" si="100"/>
        <v>0.22169959664755975</v>
      </c>
      <c r="AJ217">
        <f t="shared" si="101"/>
        <v>15.498887543483034</v>
      </c>
      <c r="AK217">
        <f t="array" ref="AK217">+S217*テーブル2[[#This Row],[F_form]]/(E217*CpFromTP((テーブル2[[#This Row],[Tin]]+テーブル2[[#This Row],[Tf]])/2,テーブル2[[#This Row],[P]])*AI217)</f>
        <v>9.7343649639911831</v>
      </c>
      <c r="AL217">
        <f t="shared" si="102"/>
        <v>2.1883527698787133</v>
      </c>
      <c r="AM217">
        <f t="shared" si="103"/>
        <v>634.44823391337695</v>
      </c>
      <c r="AN217">
        <f t="shared" si="104"/>
        <v>4.949015419697389E-9</v>
      </c>
      <c r="AO217">
        <f t="shared" si="105"/>
        <v>1.9091841460416513E-7</v>
      </c>
      <c r="AP217">
        <v>1.8397548148463749</v>
      </c>
      <c r="AQ217">
        <f t="shared" si="106"/>
        <v>2.6622258678238806E-5</v>
      </c>
      <c r="AR217">
        <f t="shared" si="107"/>
        <v>4.0908428329110756E-6</v>
      </c>
      <c r="AS217">
        <f t="shared" si="108"/>
        <v>7.9345963950693328</v>
      </c>
      <c r="AT217">
        <f t="shared" si="109"/>
        <v>7.3061624439967954</v>
      </c>
      <c r="AU217">
        <f t="shared" si="110"/>
        <v>1.6197732668756388</v>
      </c>
      <c r="AV217">
        <f t="shared" si="111"/>
        <v>0.2199815479707361</v>
      </c>
      <c r="AW217">
        <f t="shared" si="112"/>
        <v>7.6922378451602441E-3</v>
      </c>
      <c r="AX217">
        <f t="shared" si="113"/>
        <v>0.21998154374930939</v>
      </c>
      <c r="AY217">
        <f t="shared" si="114"/>
        <v>4.2214267081952528E-9</v>
      </c>
      <c r="AZ217">
        <f t="shared" si="115"/>
        <v>692257.60600924003</v>
      </c>
      <c r="BA217">
        <f t="shared" si="116"/>
        <v>1.4470547087798678E-5</v>
      </c>
      <c r="BB217" s="15">
        <f t="shared" si="117"/>
        <v>4752852.6740098186</v>
      </c>
      <c r="BC217" s="20">
        <f t="shared" si="118"/>
        <v>-4953.2830214314163</v>
      </c>
      <c r="BD217" s="19">
        <f t="shared" si="119"/>
        <v>-0.10410855478692409</v>
      </c>
      <c r="BE217" s="15">
        <v>2082029.4</v>
      </c>
      <c r="BF217" s="16">
        <f>テーブル2[[#This Row],[q_P]]/テーブル2[[#This Row],[q_M]]</f>
        <v>2.2827980594365376</v>
      </c>
      <c r="BG217">
        <v>1</v>
      </c>
      <c r="BH217">
        <v>-0.113</v>
      </c>
      <c r="BI217">
        <v>4.5999999999999999E-2</v>
      </c>
      <c r="BJ217">
        <v>5625</v>
      </c>
      <c r="BK217" s="22">
        <v>1</v>
      </c>
      <c r="BL217">
        <f>テーブル2[[#This Row],[Ts]]-テーブル2[[#This Row],[Tin]]</f>
        <v>335.42749733591398</v>
      </c>
      <c r="BM217">
        <f>テーブル2[[#This Row],[q_P]]*0.000001</f>
        <v>4.7528526740098185</v>
      </c>
      <c r="BN217">
        <f>テーブル2[[#This Row],[Tsub]]</f>
        <v>335.42749733591398</v>
      </c>
      <c r="BO217">
        <f>テーブル2[[#This Row],[Fcorr]]</f>
        <v>1</v>
      </c>
      <c r="BP217">
        <f>(テーブル2[[#This Row],[Tsub]]-40)^2</f>
        <v>87277.40618216146</v>
      </c>
      <c r="BQ217">
        <v>1</v>
      </c>
      <c r="BR217">
        <v>0.69596000000000002</v>
      </c>
    </row>
    <row r="218" spans="1:70" x14ac:dyDescent="0.15">
      <c r="A218" s="9" t="s">
        <v>286</v>
      </c>
      <c r="B218">
        <v>18960582.556212999</v>
      </c>
      <c r="C218" s="22">
        <f t="array" ref="C218">TsatFromP(テーブル2[[#This Row],[P]])</f>
        <v>634.44823391832597</v>
      </c>
      <c r="D218">
        <f t="array" ref="D218">RhoGFromP(テーブル2[[#This Row],[P]])</f>
        <v>149.14958101226799</v>
      </c>
      <c r="E218">
        <f t="array" ref="E218">RhoFFromP(テーブル2[[#This Row],[P]])</f>
        <v>520.38377569771103</v>
      </c>
      <c r="F218">
        <f t="array" ref="F218">HgFromP(テーブル2[[#This Row],[P]])</f>
        <v>2467301.6327637699</v>
      </c>
      <c r="G218">
        <f t="array" ref="G218">HfFromP(テーブル2[[#This Row],[P]])</f>
        <v>1775044.0267545299</v>
      </c>
      <c r="H218">
        <f t="array" ref="H218">MuGFromP(テーブル2[[#This Row],[P]])</f>
        <v>2.5972810943896E-5</v>
      </c>
      <c r="I218">
        <f t="array" ref="I218">MuFFromP(テーブル2[[#This Row],[P]])</f>
        <v>5.9480773118925399E-5</v>
      </c>
      <c r="J218">
        <f t="array" ref="J218">KfFromP(テーブル2[[#This Row],[P]])</f>
        <v>0.43661798563056398</v>
      </c>
      <c r="K218">
        <f t="array" ref="K218">CpFFromP(テーブル2[[#This Row],[P]])</f>
        <v>16063.580349286</v>
      </c>
      <c r="L218">
        <f t="array" ref="L218">SigmaFromP(テーブル2[[#This Row],[P]])</f>
        <v>1.6624879026359001E-3</v>
      </c>
      <c r="M218">
        <v>217</v>
      </c>
      <c r="N218">
        <v>1980.0958000000001</v>
      </c>
      <c r="O218" s="8">
        <f t="shared" si="120"/>
        <v>2.8502295699234246E-6</v>
      </c>
      <c r="P218" s="8">
        <f t="shared" si="121"/>
        <v>5.9847340050885557E-3</v>
      </c>
      <c r="Q218" s="8">
        <v>1.905E-3</v>
      </c>
      <c r="R218">
        <v>0.69596000000000002</v>
      </c>
      <c r="S218" s="15">
        <v>4869246.34765625</v>
      </c>
      <c r="T218">
        <v>296.26172292177802</v>
      </c>
      <c r="U218" s="12">
        <f>+T218+BG218*S218*テーブル2[[#This Row],[Pw]]*R218/(N218*O218*K218)</f>
        <v>519.97022270798618</v>
      </c>
      <c r="V218">
        <v>0.03</v>
      </c>
      <c r="W218" s="8">
        <f t="shared" si="92"/>
        <v>63416.837092183174</v>
      </c>
      <c r="X218">
        <v>2.8068795115359171E-2</v>
      </c>
      <c r="Y218">
        <f t="shared" si="93"/>
        <v>5.968814950259774</v>
      </c>
      <c r="Z218">
        <f t="shared" si="94"/>
        <v>5.9688149656214256</v>
      </c>
      <c r="AA218">
        <f t="shared" si="95"/>
        <v>-1.5361651506395901E-8</v>
      </c>
      <c r="AB218">
        <f t="shared" si="96"/>
        <v>7.5467037009651267E-6</v>
      </c>
      <c r="AC218">
        <v>825.31097339210407</v>
      </c>
      <c r="AD218">
        <f t="shared" si="97"/>
        <v>1878.1984331468373</v>
      </c>
      <c r="AE218">
        <f>+gettm2(AD218,AC218,AK218,AL218,テーブル2[[#This Row],[Fcorr]])</f>
        <v>519.97022270798607</v>
      </c>
      <c r="AF218" s="14">
        <f t="shared" si="98"/>
        <v>0</v>
      </c>
      <c r="AG218">
        <v>7.7373697165469102E-6</v>
      </c>
      <c r="AH218">
        <f t="shared" si="99"/>
        <v>26.435190279273151</v>
      </c>
      <c r="AI218">
        <f t="shared" si="100"/>
        <v>0.22538725093266049</v>
      </c>
      <c r="AJ218">
        <f t="shared" si="101"/>
        <v>15.257024334169234</v>
      </c>
      <c r="AK218">
        <f t="array" ref="AK218">+S218*テーブル2[[#This Row],[F_form]]/(E218*CpFromTP((テーブル2[[#This Row],[Tin]]+テーブル2[[#This Row],[Tf]])/2,テーブル2[[#This Row],[P]])*AI218)</f>
        <v>9.810132377163173</v>
      </c>
      <c r="AL218">
        <f t="shared" si="102"/>
        <v>2.1883527698787133</v>
      </c>
      <c r="AM218">
        <f t="shared" si="103"/>
        <v>634.44823380953187</v>
      </c>
      <c r="AN218">
        <f t="shared" si="104"/>
        <v>1.0879409728659084E-7</v>
      </c>
      <c r="AO218">
        <f t="shared" si="105"/>
        <v>1.9066601558178352E-7</v>
      </c>
      <c r="AP218">
        <v>1.8519804458428031</v>
      </c>
      <c r="AQ218">
        <f t="shared" si="106"/>
        <v>2.6271931413437306E-5</v>
      </c>
      <c r="AR218">
        <f t="shared" si="107"/>
        <v>3.9640178660643473E-6</v>
      </c>
      <c r="AS218">
        <f t="shared" si="108"/>
        <v>7.8164956902972458</v>
      </c>
      <c r="AT218">
        <f t="shared" si="109"/>
        <v>7.2311816633771677</v>
      </c>
      <c r="AU218">
        <f t="shared" si="110"/>
        <v>1.6298161561032429</v>
      </c>
      <c r="AV218">
        <f t="shared" si="111"/>
        <v>0.22216428973956015</v>
      </c>
      <c r="AW218">
        <f t="shared" si="112"/>
        <v>7.4425852386104377E-3</v>
      </c>
      <c r="AX218">
        <f t="shared" si="113"/>
        <v>0.22216428345028794</v>
      </c>
      <c r="AY218">
        <f t="shared" si="114"/>
        <v>6.2892722141327795E-9</v>
      </c>
      <c r="AZ218">
        <f t="shared" si="115"/>
        <v>692257.60600924003</v>
      </c>
      <c r="BA218">
        <f t="shared" si="116"/>
        <v>1.4185857886572567E-5</v>
      </c>
      <c r="BB218" s="15">
        <f t="shared" si="117"/>
        <v>4841825.9114256492</v>
      </c>
      <c r="BC218" s="20">
        <f t="shared" si="118"/>
        <v>-27420.436230600812</v>
      </c>
      <c r="BD218" s="19">
        <f t="shared" si="119"/>
        <v>-0.56313511933523941</v>
      </c>
      <c r="BE218" s="15">
        <v>2082029.4</v>
      </c>
      <c r="BF218" s="16">
        <f>テーブル2[[#This Row],[q_P]]/テーブル2[[#This Row],[q_M]]</f>
        <v>2.3255319600317121</v>
      </c>
      <c r="BG218">
        <v>1</v>
      </c>
      <c r="BH218">
        <v>-0.17599999999999999</v>
      </c>
      <c r="BI218">
        <v>4.5999999999999999E-2</v>
      </c>
      <c r="BJ218">
        <v>5625</v>
      </c>
      <c r="BK218" s="22">
        <v>1</v>
      </c>
      <c r="BL218">
        <f>テーブル2[[#This Row],[Ts]]-テーブル2[[#This Row],[Tin]]</f>
        <v>338.18651099654795</v>
      </c>
      <c r="BM218">
        <f>テーブル2[[#This Row],[q_P]]*0.000001</f>
        <v>4.8418259114256488</v>
      </c>
      <c r="BN218">
        <f>テーブル2[[#This Row],[Tsub]]</f>
        <v>338.18651099654795</v>
      </c>
      <c r="BO218">
        <f>テーブル2[[#This Row],[Fcorr]]</f>
        <v>1</v>
      </c>
      <c r="BP218">
        <f>(テーブル2[[#This Row],[Tsub]]-40)^2</f>
        <v>88915.195340294405</v>
      </c>
      <c r="BQ218">
        <v>1</v>
      </c>
      <c r="BR218">
        <v>0.69596000000000002</v>
      </c>
    </row>
    <row r="219" spans="1:70" x14ac:dyDescent="0.15">
      <c r="A219" s="9" t="s">
        <v>287</v>
      </c>
      <c r="B219">
        <v>18960582.556212999</v>
      </c>
      <c r="C219" s="22">
        <f t="array" ref="C219">TsatFromP(テーブル2[[#This Row],[P]])</f>
        <v>634.44823391832597</v>
      </c>
      <c r="D219">
        <f t="array" ref="D219">RhoGFromP(テーブル2[[#This Row],[P]])</f>
        <v>149.14958101226799</v>
      </c>
      <c r="E219">
        <f t="array" ref="E219">RhoFFromP(テーブル2[[#This Row],[P]])</f>
        <v>520.38377569771103</v>
      </c>
      <c r="F219">
        <f t="array" ref="F219">HgFromP(テーブル2[[#This Row],[P]])</f>
        <v>2467301.6327637699</v>
      </c>
      <c r="G219">
        <f t="array" ref="G219">HfFromP(テーブル2[[#This Row],[P]])</f>
        <v>1775044.0267545299</v>
      </c>
      <c r="H219">
        <f t="array" ref="H219">MuGFromP(テーブル2[[#This Row],[P]])</f>
        <v>2.5972810943896E-5</v>
      </c>
      <c r="I219">
        <f t="array" ref="I219">MuFFromP(テーブル2[[#This Row],[P]])</f>
        <v>5.9480773118925399E-5</v>
      </c>
      <c r="J219">
        <f t="array" ref="J219">KfFromP(テーブル2[[#This Row],[P]])</f>
        <v>0.43661798563056398</v>
      </c>
      <c r="K219">
        <f t="array" ref="K219">CpFFromP(テーブル2[[#This Row],[P]])</f>
        <v>16063.580349286</v>
      </c>
      <c r="L219">
        <f t="array" ref="L219">SigmaFromP(テーブル2[[#This Row],[P]])</f>
        <v>1.6624879026359001E-3</v>
      </c>
      <c r="M219">
        <v>218</v>
      </c>
      <c r="N219">
        <v>2183.5302999999999</v>
      </c>
      <c r="O219" s="8">
        <f t="shared" si="120"/>
        <v>2.8502295699234246E-6</v>
      </c>
      <c r="P219" s="8">
        <f t="shared" si="121"/>
        <v>5.9847340050885557E-3</v>
      </c>
      <c r="Q219" s="8">
        <v>1.905E-3</v>
      </c>
      <c r="R219">
        <v>0.69596000000000002</v>
      </c>
      <c r="S219" s="15">
        <v>5206018.06640625</v>
      </c>
      <c r="T219">
        <v>297.89465084985301</v>
      </c>
      <c r="U219" s="12">
        <f>+T219+BG219*S219*テーブル2[[#This Row],[Pw]]*R219/(N219*O219*K219)</f>
        <v>514.79157281219193</v>
      </c>
      <c r="V219">
        <v>0.03</v>
      </c>
      <c r="W219" s="8">
        <f t="shared" si="92"/>
        <v>69932.265560558153</v>
      </c>
      <c r="X219">
        <v>2.6977699453061811E-2</v>
      </c>
      <c r="Y219">
        <f t="shared" si="93"/>
        <v>6.0883210266442163</v>
      </c>
      <c r="Z219">
        <f t="shared" si="94"/>
        <v>6.0883210344052818</v>
      </c>
      <c r="AA219">
        <f t="shared" si="95"/>
        <v>-7.7610655679904994E-9</v>
      </c>
      <c r="AB219">
        <f t="shared" si="96"/>
        <v>6.4569900462768678E-6</v>
      </c>
      <c r="AC219">
        <v>818.92667708811109</v>
      </c>
      <c r="AD219">
        <f t="shared" si="97"/>
        <v>2030.509683425191</v>
      </c>
      <c r="AE219">
        <f>+gettm2(AD219,AC219,AK219,AL219,テーブル2[[#This Row],[Fcorr]])</f>
        <v>514.79157500145857</v>
      </c>
      <c r="AF219" s="14">
        <f t="shared" si="98"/>
        <v>2.1892666381972958E-6</v>
      </c>
      <c r="AG219">
        <v>6.6449034299615249E-6</v>
      </c>
      <c r="AH219">
        <f t="shared" si="99"/>
        <v>30.896524059432281</v>
      </c>
      <c r="AI219">
        <f t="shared" si="100"/>
        <v>0.24366487984583013</v>
      </c>
      <c r="AJ219">
        <f t="shared" si="101"/>
        <v>14.165397123319833</v>
      </c>
      <c r="AK219">
        <f t="array" ref="AK219">+S219*テーブル2[[#This Row],[F_form]]/(E219*CpFromTP((テーブル2[[#This Row],[Tin]]+テーブル2[[#This Row],[Tf]])/2,テーブル2[[#This Row],[P]])*AI219)</f>
        <v>9.7092053180152558</v>
      </c>
      <c r="AL219">
        <f t="shared" si="102"/>
        <v>2.1883527698787133</v>
      </c>
      <c r="AM219">
        <f t="shared" si="103"/>
        <v>634.44823397229902</v>
      </c>
      <c r="AN219">
        <f t="shared" si="104"/>
        <v>-5.3973053582012653E-8</v>
      </c>
      <c r="AO219">
        <f t="shared" si="105"/>
        <v>1.8791338368465703E-7</v>
      </c>
      <c r="AP219">
        <v>1.9088777488394839</v>
      </c>
      <c r="AQ219">
        <f t="shared" si="106"/>
        <v>2.4729114434388177E-5</v>
      </c>
      <c r="AR219">
        <f t="shared" si="107"/>
        <v>3.4164084068230909E-6</v>
      </c>
      <c r="AS219">
        <f t="shared" si="108"/>
        <v>7.2829924961569716</v>
      </c>
      <c r="AT219">
        <f t="shared" si="109"/>
        <v>6.8777091745608114</v>
      </c>
      <c r="AU219">
        <f t="shared" si="110"/>
        <v>1.6758561796339235</v>
      </c>
      <c r="AV219">
        <f t="shared" si="111"/>
        <v>0.23302156920556039</v>
      </c>
      <c r="AW219">
        <f t="shared" si="112"/>
        <v>6.3679058710266979E-3</v>
      </c>
      <c r="AX219">
        <f t="shared" si="113"/>
        <v>0.23302156388499778</v>
      </c>
      <c r="AY219">
        <f t="shared" si="114"/>
        <v>5.3205626016072927E-9</v>
      </c>
      <c r="AZ219">
        <f t="shared" si="115"/>
        <v>692257.60600924003</v>
      </c>
      <c r="BA219">
        <f t="shared" si="116"/>
        <v>1.2954792128213774E-5</v>
      </c>
      <c r="BB219" s="15">
        <f t="shared" si="117"/>
        <v>5225390.4604399959</v>
      </c>
      <c r="BC219" s="20">
        <f t="shared" si="118"/>
        <v>19372.394033745863</v>
      </c>
      <c r="BD219" s="19">
        <f t="shared" si="119"/>
        <v>0.37211538236398706</v>
      </c>
      <c r="BE219" s="15">
        <v>2397488.4</v>
      </c>
      <c r="BF219" s="16">
        <f>テーブル2[[#This Row],[q_P]]/テーブル2[[#This Row],[q_M]]</f>
        <v>2.1795269000842699</v>
      </c>
      <c r="BG219">
        <v>1</v>
      </c>
      <c r="BH219">
        <v>-6.9000000000000006E-2</v>
      </c>
      <c r="BI219">
        <v>4.5999999999999999E-2</v>
      </c>
      <c r="BJ219">
        <v>5625</v>
      </c>
      <c r="BK219" s="22">
        <v>1</v>
      </c>
      <c r="BL219">
        <f>テーブル2[[#This Row],[Ts]]-テーブル2[[#This Row],[Tin]]</f>
        <v>336.55358306847296</v>
      </c>
      <c r="BM219">
        <f>テーブル2[[#This Row],[q_P]]*0.000001</f>
        <v>5.2253904604399954</v>
      </c>
      <c r="BN219">
        <f>テーブル2[[#This Row],[Tsub]]</f>
        <v>336.55358306847296</v>
      </c>
      <c r="BO219">
        <f>テーブル2[[#This Row],[Fcorr]]</f>
        <v>1</v>
      </c>
      <c r="BP219">
        <f>(テーブル2[[#This Row],[Tsub]]-40)^2</f>
        <v>87944.027630749697</v>
      </c>
      <c r="BQ219">
        <v>1</v>
      </c>
      <c r="BR219">
        <v>0.69596000000000002</v>
      </c>
    </row>
    <row r="220" spans="1:70" x14ac:dyDescent="0.15">
      <c r="A220" s="9" t="s">
        <v>288</v>
      </c>
      <c r="B220">
        <v>18960582.556212999</v>
      </c>
      <c r="C220" s="22">
        <f t="array" ref="C220">TsatFromP(テーブル2[[#This Row],[P]])</f>
        <v>634.44823391832597</v>
      </c>
      <c r="D220">
        <f t="array" ref="D220">RhoGFromP(テーブル2[[#This Row],[P]])</f>
        <v>149.14958101226799</v>
      </c>
      <c r="E220">
        <f t="array" ref="E220">RhoFFromP(テーブル2[[#This Row],[P]])</f>
        <v>520.38377569771103</v>
      </c>
      <c r="F220">
        <f t="array" ref="F220">HgFromP(テーブル2[[#This Row],[P]])</f>
        <v>2467301.6327637699</v>
      </c>
      <c r="G220">
        <f t="array" ref="G220">HfFromP(テーブル2[[#This Row],[P]])</f>
        <v>1775044.0267545299</v>
      </c>
      <c r="H220">
        <f t="array" ref="H220">MuGFromP(テーブル2[[#This Row],[P]])</f>
        <v>2.5972810943896E-5</v>
      </c>
      <c r="I220">
        <f t="array" ref="I220">MuFFromP(テーブル2[[#This Row],[P]])</f>
        <v>5.9480773118925399E-5</v>
      </c>
      <c r="J220">
        <f t="array" ref="J220">KfFromP(テーブル2[[#This Row],[P]])</f>
        <v>0.43661798563056398</v>
      </c>
      <c r="K220">
        <f t="array" ref="K220">CpFFromP(テーブル2[[#This Row],[P]])</f>
        <v>16063.580349286</v>
      </c>
      <c r="L220">
        <f t="array" ref="L220">SigmaFromP(テーブル2[[#This Row],[P]])</f>
        <v>1.6624879026359001E-3</v>
      </c>
      <c r="M220">
        <v>219</v>
      </c>
      <c r="N220">
        <v>2237.7795000000001</v>
      </c>
      <c r="O220" s="8">
        <f t="shared" si="120"/>
        <v>2.8502295699234246E-6</v>
      </c>
      <c r="P220" s="8">
        <f t="shared" si="121"/>
        <v>5.9847340050885557E-3</v>
      </c>
      <c r="Q220" s="8">
        <v>1.905E-3</v>
      </c>
      <c r="R220">
        <v>0.69596000000000002</v>
      </c>
      <c r="S220" s="15">
        <v>5308802.63671875</v>
      </c>
      <c r="T220">
        <v>297.33158579482898</v>
      </c>
      <c r="U220" s="12">
        <f>+T220+BG220*S220*テーブル2[[#This Row],[Pw]]*R220/(N220*O220*K220)</f>
        <v>513.1488733100789</v>
      </c>
      <c r="V220">
        <v>0.03</v>
      </c>
      <c r="W220" s="8">
        <f t="shared" si="92"/>
        <v>71669.713152124823</v>
      </c>
      <c r="X220">
        <v>2.6714291734591781E-2</v>
      </c>
      <c r="Y220">
        <f t="shared" si="93"/>
        <v>6.1182633683354553</v>
      </c>
      <c r="Z220">
        <f t="shared" si="94"/>
        <v>6.1182633714951056</v>
      </c>
      <c r="AA220">
        <f t="shared" si="95"/>
        <v>-3.1596503191622105E-9</v>
      </c>
      <c r="AB220">
        <f t="shared" si="96"/>
        <v>6.2083362143430346E-6</v>
      </c>
      <c r="AC220">
        <v>817.88575613791932</v>
      </c>
      <c r="AD220">
        <f t="shared" si="97"/>
        <v>2070.7730741799423</v>
      </c>
      <c r="AE220">
        <f>+gettm2(AD220,AC220,AK220,AL220,テーブル2[[#This Row],[Fcorr]])</f>
        <v>513.14887331007878</v>
      </c>
      <c r="AF220" s="14">
        <f t="shared" si="98"/>
        <v>0</v>
      </c>
      <c r="AG220">
        <v>6.3966377394363868E-6</v>
      </c>
      <c r="AH220">
        <f t="shared" si="99"/>
        <v>32.133979447731782</v>
      </c>
      <c r="AI220">
        <f t="shared" si="100"/>
        <v>0.24849656045810511</v>
      </c>
      <c r="AJ220">
        <f t="shared" si="101"/>
        <v>13.906546137646322</v>
      </c>
      <c r="AK220">
        <f t="array" ref="AK220">+S220*テーブル2[[#This Row],[F_form]]/(E220*CpFromTP((テーブル2[[#This Row],[Tin]]+テーブル2[[#This Row],[Tf]])/2,テーブル2[[#This Row],[P]])*AI220)</f>
        <v>9.7128660529816955</v>
      </c>
      <c r="AL220">
        <f t="shared" si="102"/>
        <v>2.1883527698787133</v>
      </c>
      <c r="AM220">
        <f t="shared" si="103"/>
        <v>634.44823382026959</v>
      </c>
      <c r="AN220">
        <f t="shared" si="104"/>
        <v>9.8056375463784207E-8</v>
      </c>
      <c r="AO220">
        <f t="shared" si="105"/>
        <v>1.8830152509335223E-7</v>
      </c>
      <c r="AP220">
        <v>1.92341716461832</v>
      </c>
      <c r="AQ220">
        <f t="shared" si="106"/>
        <v>2.4356664871989077E-5</v>
      </c>
      <c r="AR220">
        <f t="shared" si="107"/>
        <v>3.2924696322648695E-6</v>
      </c>
      <c r="AS220">
        <f t="shared" si="108"/>
        <v>7.157960590077928</v>
      </c>
      <c r="AT220">
        <f t="shared" si="109"/>
        <v>6.7911255330585369</v>
      </c>
      <c r="AU220">
        <f t="shared" si="110"/>
        <v>1.687571336604262</v>
      </c>
      <c r="AV220">
        <f t="shared" si="111"/>
        <v>0.23584582801405807</v>
      </c>
      <c r="AW220">
        <f t="shared" si="112"/>
        <v>6.1226826037029799E-3</v>
      </c>
      <c r="AX220">
        <f t="shared" si="113"/>
        <v>0.23584582091738984</v>
      </c>
      <c r="AY220">
        <f t="shared" si="114"/>
        <v>7.0966682252926461E-9</v>
      </c>
      <c r="AZ220">
        <f t="shared" si="115"/>
        <v>692257.60600924003</v>
      </c>
      <c r="BA220">
        <f t="shared" si="116"/>
        <v>1.2663225284683563E-5</v>
      </c>
      <c r="BB220" s="15">
        <f t="shared" si="117"/>
        <v>5356745.1889211992</v>
      </c>
      <c r="BC220" s="20">
        <f t="shared" si="118"/>
        <v>47942.55220244918</v>
      </c>
      <c r="BD220" s="19">
        <f t="shared" si="119"/>
        <v>0.90307655950233967</v>
      </c>
      <c r="BE220" s="15">
        <v>2397488.4</v>
      </c>
      <c r="BF220" s="16">
        <f>テーブル2[[#This Row],[q_P]]/テーブル2[[#This Row],[q_M]]</f>
        <v>2.2343153730884366</v>
      </c>
      <c r="BG220">
        <v>1</v>
      </c>
      <c r="BH220">
        <v>-0.128</v>
      </c>
      <c r="BI220">
        <v>4.5999999999999999E-2</v>
      </c>
      <c r="BJ220">
        <v>5625</v>
      </c>
      <c r="BK220" s="22">
        <v>1</v>
      </c>
      <c r="BL220">
        <f>テーブル2[[#This Row],[Ts]]-テーブル2[[#This Row],[Tin]]</f>
        <v>337.11664812349699</v>
      </c>
      <c r="BM220">
        <f>テーブル2[[#This Row],[q_P]]*0.000001</f>
        <v>5.3567451889211988</v>
      </c>
      <c r="BN220">
        <f>テーブル2[[#This Row],[Tsub]]</f>
        <v>337.11664812349699</v>
      </c>
      <c r="BO220">
        <f>テーブル2[[#This Row],[Fcorr]]</f>
        <v>1</v>
      </c>
      <c r="BP220">
        <f>(テーブル2[[#This Row],[Tsub]]-40)^2</f>
        <v>88278.302592141932</v>
      </c>
      <c r="BQ220">
        <v>1</v>
      </c>
      <c r="BR220">
        <v>0.69596000000000002</v>
      </c>
    </row>
    <row r="221" spans="1:70" x14ac:dyDescent="0.15">
      <c r="A221" s="9" t="s">
        <v>289</v>
      </c>
      <c r="B221">
        <v>18960582.556212999</v>
      </c>
      <c r="C221" s="22">
        <f t="array" ref="C221">TsatFromP(テーブル2[[#This Row],[P]])</f>
        <v>634.44823391832597</v>
      </c>
      <c r="D221">
        <f t="array" ref="D221">RhoGFromP(テーブル2[[#This Row],[P]])</f>
        <v>149.14958101226799</v>
      </c>
      <c r="E221">
        <f t="array" ref="E221">RhoFFromP(テーブル2[[#This Row],[P]])</f>
        <v>520.38377569771103</v>
      </c>
      <c r="F221">
        <f t="array" ref="F221">HgFromP(テーブル2[[#This Row],[P]])</f>
        <v>2467301.6327637699</v>
      </c>
      <c r="G221">
        <f t="array" ref="G221">HfFromP(テーブル2[[#This Row],[P]])</f>
        <v>1775044.0267545299</v>
      </c>
      <c r="H221">
        <f t="array" ref="H221">MuGFromP(テーブル2[[#This Row],[P]])</f>
        <v>2.5972810943896E-5</v>
      </c>
      <c r="I221">
        <f t="array" ref="I221">MuFFromP(テーブル2[[#This Row],[P]])</f>
        <v>5.9480773118925399E-5</v>
      </c>
      <c r="J221">
        <f t="array" ref="J221">KfFromP(テーブル2[[#This Row],[P]])</f>
        <v>0.43661798563056398</v>
      </c>
      <c r="K221">
        <f t="array" ref="K221">CpFFromP(テーブル2[[#This Row],[P]])</f>
        <v>16063.580349286</v>
      </c>
      <c r="L221">
        <f t="array" ref="L221">SigmaFromP(テーブル2[[#This Row],[P]])</f>
        <v>1.6624879026359001E-3</v>
      </c>
      <c r="M221">
        <v>220</v>
      </c>
      <c r="N221">
        <v>2793.8337999999999</v>
      </c>
      <c r="O221" s="8">
        <f t="shared" si="120"/>
        <v>2.8502295699234246E-6</v>
      </c>
      <c r="P221" s="8">
        <f t="shared" si="121"/>
        <v>5.9847340050885557E-3</v>
      </c>
      <c r="Q221" s="8">
        <v>1.905E-3</v>
      </c>
      <c r="R221">
        <v>0.69596000000000002</v>
      </c>
      <c r="S221" s="15">
        <v>6217053.22265625</v>
      </c>
      <c r="T221">
        <v>298.45770121924102</v>
      </c>
      <c r="U221" s="12">
        <f>+T221+BG221*S221*テーブル2[[#This Row],[Pw]]*R221/(N221*O221*K221)</f>
        <v>500.89519821428632</v>
      </c>
      <c r="V221">
        <v>0.03</v>
      </c>
      <c r="W221" s="8">
        <f t="shared" si="92"/>
        <v>89478.550965683113</v>
      </c>
      <c r="X221">
        <v>2.4506073586138089E-2</v>
      </c>
      <c r="Y221">
        <f t="shared" si="93"/>
        <v>6.3879739049883169</v>
      </c>
      <c r="Z221">
        <f t="shared" si="94"/>
        <v>6.3879739206029766</v>
      </c>
      <c r="AA221">
        <f t="shared" si="95"/>
        <v>-1.5614659787388518E-8</v>
      </c>
      <c r="AB221">
        <f t="shared" si="96"/>
        <v>4.3418879052211344E-6</v>
      </c>
      <c r="AC221">
        <v>804.34668939333199</v>
      </c>
      <c r="AD221">
        <f t="shared" si="97"/>
        <v>2476.1720656518692</v>
      </c>
      <c r="AE221">
        <f>+gettm2(AD221,AC221,AK221,AL221,テーブル2[[#This Row],[Fcorr]])</f>
        <v>500.89519821428627</v>
      </c>
      <c r="AF221" s="14">
        <f t="shared" si="98"/>
        <v>0</v>
      </c>
      <c r="AG221">
        <v>4.5237369909956687E-6</v>
      </c>
      <c r="AH221">
        <f t="shared" si="99"/>
        <v>45.947420263063528</v>
      </c>
      <c r="AI221">
        <f t="shared" si="100"/>
        <v>0.29714518171461496</v>
      </c>
      <c r="AJ221">
        <f t="shared" si="101"/>
        <v>11.760158708093979</v>
      </c>
      <c r="AK221">
        <f t="array" ref="AK221">+S221*テーブル2[[#This Row],[F_form]]/(E221*CpFromTP((テーブル2[[#This Row],[Tin]]+テーブル2[[#This Row],[Tf]])/2,テーブル2[[#This Row],[P]])*AI221)</f>
        <v>9.533411290394687</v>
      </c>
      <c r="AL221">
        <f t="shared" si="102"/>
        <v>2.1883527698787133</v>
      </c>
      <c r="AM221">
        <f t="shared" si="103"/>
        <v>634.44823377510977</v>
      </c>
      <c r="AN221">
        <f t="shared" si="104"/>
        <v>1.4321619801194174E-7</v>
      </c>
      <c r="AO221">
        <f t="shared" si="105"/>
        <v>1.8184908577453431E-7</v>
      </c>
      <c r="AP221">
        <v>2.0490560465612608</v>
      </c>
      <c r="AQ221">
        <f t="shared" si="106"/>
        <v>2.1461354103123956E-5</v>
      </c>
      <c r="AR221">
        <f t="shared" si="107"/>
        <v>2.3527930383851015E-6</v>
      </c>
      <c r="AS221">
        <f t="shared" si="108"/>
        <v>6.1164518613221777</v>
      </c>
      <c r="AT221">
        <f t="shared" si="109"/>
        <v>6.0049108358792296</v>
      </c>
      <c r="AU221">
        <f t="shared" si="110"/>
        <v>1.784330321507394</v>
      </c>
      <c r="AV221">
        <f t="shared" si="111"/>
        <v>0.26472572505386682</v>
      </c>
      <c r="AW221">
        <f t="shared" si="112"/>
        <v>4.2819848388863276E-3</v>
      </c>
      <c r="AX221">
        <f t="shared" si="113"/>
        <v>0.26472572450722531</v>
      </c>
      <c r="AY221">
        <f t="shared" si="114"/>
        <v>5.4664150983541049E-10</v>
      </c>
      <c r="AZ221">
        <f t="shared" si="115"/>
        <v>692257.60600924003</v>
      </c>
      <c r="BA221">
        <f t="shared" si="116"/>
        <v>1.0473776029279697E-5</v>
      </c>
      <c r="BB221" s="15">
        <f t="shared" si="117"/>
        <v>6254596.8717347672</v>
      </c>
      <c r="BC221" s="20">
        <f t="shared" si="118"/>
        <v>37543.649078517221</v>
      </c>
      <c r="BD221" s="19">
        <f t="shared" si="119"/>
        <v>0.60388173840462334</v>
      </c>
      <c r="BE221" s="15">
        <v>2996860.5</v>
      </c>
      <c r="BF221" s="16">
        <f>テーブル2[[#This Row],[q_P]]/テーブル2[[#This Row],[q_M]]</f>
        <v>2.0870497214450814</v>
      </c>
      <c r="BG221">
        <v>1</v>
      </c>
      <c r="BH221">
        <v>-0.11899999999999999</v>
      </c>
      <c r="BI221">
        <v>4.5999999999999999E-2</v>
      </c>
      <c r="BJ221">
        <v>5625</v>
      </c>
      <c r="BK221" s="22">
        <v>1</v>
      </c>
      <c r="BL221">
        <f>テーブル2[[#This Row],[Ts]]-テーブル2[[#This Row],[Tin]]</f>
        <v>335.99053269908495</v>
      </c>
      <c r="BM221">
        <f>テーブル2[[#This Row],[q_P]]*0.000001</f>
        <v>6.2545968717347673</v>
      </c>
      <c r="BN221">
        <f>テーブル2[[#This Row],[Tsub]]</f>
        <v>335.99053269908495</v>
      </c>
      <c r="BO221">
        <f>テーブル2[[#This Row],[Fcorr]]</f>
        <v>1</v>
      </c>
      <c r="BP221">
        <f>(テーブル2[[#This Row],[Tsub]]-40)^2</f>
        <v>87610.395447488074</v>
      </c>
      <c r="BQ221">
        <v>1</v>
      </c>
      <c r="BR221">
        <v>0.69596000000000002</v>
      </c>
    </row>
    <row r="222" spans="1:70" x14ac:dyDescent="0.15">
      <c r="A222" s="9" t="s">
        <v>290</v>
      </c>
      <c r="B222">
        <v>18960582.556212999</v>
      </c>
      <c r="C222" s="22">
        <f t="array" ref="C222">TsatFromP(テーブル2[[#This Row],[P]])</f>
        <v>634.44823391832597</v>
      </c>
      <c r="D222">
        <f t="array" ref="D222">RhoGFromP(テーブル2[[#This Row],[P]])</f>
        <v>149.14958101226799</v>
      </c>
      <c r="E222">
        <f t="array" ref="E222">RhoFFromP(テーブル2[[#This Row],[P]])</f>
        <v>520.38377569771103</v>
      </c>
      <c r="F222">
        <f t="array" ref="F222">HgFromP(テーブル2[[#This Row],[P]])</f>
        <v>2467301.6327637699</v>
      </c>
      <c r="G222">
        <f t="array" ref="G222">HfFromP(テーブル2[[#This Row],[P]])</f>
        <v>1775044.0267545299</v>
      </c>
      <c r="H222">
        <f t="array" ref="H222">MuGFromP(テーブル2[[#This Row],[P]])</f>
        <v>2.5972810943896E-5</v>
      </c>
      <c r="I222">
        <f t="array" ref="I222">MuFFromP(テーブル2[[#This Row],[P]])</f>
        <v>5.9480773118925399E-5</v>
      </c>
      <c r="J222">
        <f t="array" ref="J222">KfFromP(テーブル2[[#This Row],[P]])</f>
        <v>0.43661798563056398</v>
      </c>
      <c r="K222">
        <f t="array" ref="K222">CpFFromP(テーブル2[[#This Row],[P]])</f>
        <v>16063.580349286</v>
      </c>
      <c r="L222">
        <f t="array" ref="L222">SigmaFromP(テーブル2[[#This Row],[P]])</f>
        <v>1.6624879026359001E-3</v>
      </c>
      <c r="M222">
        <v>221</v>
      </c>
      <c r="N222">
        <v>2861.6453000000001</v>
      </c>
      <c r="O222" s="8">
        <f t="shared" si="120"/>
        <v>2.8502295699234246E-6</v>
      </c>
      <c r="P222" s="8">
        <f t="shared" si="121"/>
        <v>5.9847340050885557E-3</v>
      </c>
      <c r="Q222" s="8">
        <v>1.905E-3</v>
      </c>
      <c r="R222">
        <v>0.69596000000000002</v>
      </c>
      <c r="S222" s="15">
        <v>6336169.43359375</v>
      </c>
      <c r="T222">
        <v>297.89465084985301</v>
      </c>
      <c r="U222" s="12">
        <f>+T222+BG222*S222*テーブル2[[#This Row],[Pw]]*R222/(N222*O222*K222)</f>
        <v>499.32176043104226</v>
      </c>
      <c r="V222">
        <v>0.03</v>
      </c>
      <c r="W222" s="8">
        <f t="shared" si="92"/>
        <v>91650.360455141446</v>
      </c>
      <c r="X222">
        <v>2.428498830340196E-2</v>
      </c>
      <c r="Y222">
        <f t="shared" si="93"/>
        <v>6.416985392635616</v>
      </c>
      <c r="Z222">
        <f t="shared" si="94"/>
        <v>6.416985400684486</v>
      </c>
      <c r="AA222">
        <f t="shared" si="95"/>
        <v>-8.0488700149317083E-9</v>
      </c>
      <c r="AB222">
        <f t="shared" si="96"/>
        <v>4.1762257979177299E-6</v>
      </c>
      <c r="AC222">
        <v>803.22431206662066</v>
      </c>
      <c r="AD222">
        <f t="shared" si="97"/>
        <v>2524.8067203953942</v>
      </c>
      <c r="AE222">
        <f>+gettm2(AD222,AC222,AK222,AL222,テーブル2[[#This Row],[Fcorr]])</f>
        <v>499.32176043104204</v>
      </c>
      <c r="AF222" s="14">
        <f t="shared" si="98"/>
        <v>0</v>
      </c>
      <c r="AG222">
        <v>4.3579957719578812E-6</v>
      </c>
      <c r="AH222">
        <f t="shared" si="99"/>
        <v>47.770057935032668</v>
      </c>
      <c r="AI222">
        <f t="shared" si="100"/>
        <v>0.30298142933320998</v>
      </c>
      <c r="AJ222">
        <f t="shared" si="101"/>
        <v>11.551807887132778</v>
      </c>
      <c r="AK222">
        <f t="array" ref="AK222">+S222*テーブル2[[#This Row],[F_form]]/(E222*CpFromTP((テーブル2[[#This Row],[Tin]]+テーブル2[[#This Row],[Tf]])/2,テーブル2[[#This Row],[P]])*AI222)</f>
        <v>9.5327603657751858</v>
      </c>
      <c r="AL222">
        <f t="shared" si="102"/>
        <v>2.1883527698787133</v>
      </c>
      <c r="AM222">
        <f t="shared" si="103"/>
        <v>634.44823371085658</v>
      </c>
      <c r="AN222">
        <f t="shared" si="104"/>
        <v>2.0746938389493152E-7</v>
      </c>
      <c r="AO222">
        <f t="shared" si="105"/>
        <v>1.817699740401513E-7</v>
      </c>
      <c r="AP222">
        <v>2.0626425005871099</v>
      </c>
      <c r="AQ222">
        <f t="shared" si="106"/>
        <v>2.11795569598776E-5</v>
      </c>
      <c r="AR222">
        <f t="shared" si="107"/>
        <v>2.2698828729990163E-6</v>
      </c>
      <c r="AS222">
        <f t="shared" si="108"/>
        <v>6.0168142070953499</v>
      </c>
      <c r="AT222">
        <f t="shared" si="109"/>
        <v>5.9227895888251387</v>
      </c>
      <c r="AU222">
        <f t="shared" si="110"/>
        <v>1.7944952552620956</v>
      </c>
      <c r="AV222">
        <f t="shared" si="111"/>
        <v>0.26814724532501422</v>
      </c>
      <c r="AW222">
        <f t="shared" si="112"/>
        <v>4.1186082968530501E-3</v>
      </c>
      <c r="AX222">
        <f t="shared" si="113"/>
        <v>0.26814724458671307</v>
      </c>
      <c r="AY222">
        <f t="shared" si="114"/>
        <v>7.3830114244444189E-10</v>
      </c>
      <c r="AZ222">
        <f t="shared" si="115"/>
        <v>692257.60600924003</v>
      </c>
      <c r="BA222">
        <f t="shared" si="116"/>
        <v>1.0268166661866542E-5</v>
      </c>
      <c r="BB222" s="15">
        <f t="shared" si="117"/>
        <v>6377063.1859234963</v>
      </c>
      <c r="BC222" s="20">
        <f t="shared" si="118"/>
        <v>40893.752329746261</v>
      </c>
      <c r="BD222" s="19">
        <f t="shared" si="119"/>
        <v>0.64540181190439116</v>
      </c>
      <c r="BE222" s="15">
        <v>2776039.2</v>
      </c>
      <c r="BF222" s="16">
        <f>テーブル2[[#This Row],[q_P]]/テーブル2[[#This Row],[q_M]]</f>
        <v>2.297180524656675</v>
      </c>
      <c r="BG222">
        <v>1</v>
      </c>
      <c r="BH222">
        <v>-0.33800000000000002</v>
      </c>
      <c r="BI222">
        <v>4.5999999999999999E-2</v>
      </c>
      <c r="BJ222">
        <v>5625</v>
      </c>
      <c r="BK222" s="22">
        <v>1</v>
      </c>
      <c r="BL222">
        <f>テーブル2[[#This Row],[Ts]]-テーブル2[[#This Row],[Tin]]</f>
        <v>336.55358306847296</v>
      </c>
      <c r="BM222">
        <f>テーブル2[[#This Row],[q_P]]*0.000001</f>
        <v>6.3770631859234959</v>
      </c>
      <c r="BN222">
        <f>テーブル2[[#This Row],[Tsub]]</f>
        <v>336.55358306847296</v>
      </c>
      <c r="BO222">
        <f>テーブル2[[#This Row],[Fcorr]]</f>
        <v>1</v>
      </c>
      <c r="BP222">
        <f>(テーブル2[[#This Row],[Tsub]]-40)^2</f>
        <v>87944.027630749697</v>
      </c>
      <c r="BQ222">
        <v>1</v>
      </c>
      <c r="BR222">
        <v>0.69596000000000002</v>
      </c>
    </row>
    <row r="223" spans="1:70" x14ac:dyDescent="0.15">
      <c r="A223" s="9" t="s">
        <v>291</v>
      </c>
      <c r="B223">
        <v>18960582.556212999</v>
      </c>
      <c r="C223" s="22">
        <f t="array" ref="C223">TsatFromP(テーブル2[[#This Row],[P]])</f>
        <v>634.44823391832597</v>
      </c>
      <c r="D223">
        <f t="array" ref="D223">RhoGFromP(テーブル2[[#This Row],[P]])</f>
        <v>149.14958101226799</v>
      </c>
      <c r="E223">
        <f t="array" ref="E223">RhoFFromP(テーブル2[[#This Row],[P]])</f>
        <v>520.38377569771103</v>
      </c>
      <c r="F223">
        <f t="array" ref="F223">HgFromP(テーブル2[[#This Row],[P]])</f>
        <v>2467301.6327637699</v>
      </c>
      <c r="G223">
        <f t="array" ref="G223">HfFromP(テーブル2[[#This Row],[P]])</f>
        <v>1775044.0267545299</v>
      </c>
      <c r="H223">
        <f t="array" ref="H223">MuGFromP(テーブル2[[#This Row],[P]])</f>
        <v>2.5972810943896E-5</v>
      </c>
      <c r="I223">
        <f t="array" ref="I223">MuFFromP(テーブル2[[#This Row],[P]])</f>
        <v>5.9480773118925399E-5</v>
      </c>
      <c r="J223">
        <f t="array" ref="J223">KfFromP(テーブル2[[#This Row],[P]])</f>
        <v>0.43661798563056398</v>
      </c>
      <c r="K223">
        <f t="array" ref="K223">CpFFromP(テーブル2[[#This Row],[P]])</f>
        <v>16063.580349286</v>
      </c>
      <c r="L223">
        <f t="array" ref="L223">SigmaFromP(テーブル2[[#This Row],[P]])</f>
        <v>1.6624879026359001E-3</v>
      </c>
      <c r="M223">
        <v>222</v>
      </c>
      <c r="N223">
        <v>3471.9488000000001</v>
      </c>
      <c r="O223" s="8">
        <f t="shared" si="120"/>
        <v>2.8502295699234246E-6</v>
      </c>
      <c r="P223" s="8">
        <f t="shared" si="121"/>
        <v>5.9847340050885557E-3</v>
      </c>
      <c r="Q223" s="8">
        <v>1.905E-3</v>
      </c>
      <c r="R223">
        <v>0.69596000000000002</v>
      </c>
      <c r="S223" s="15">
        <v>7260546.38671875</v>
      </c>
      <c r="T223">
        <v>299.02073658241198</v>
      </c>
      <c r="U223" s="12">
        <f>+T223+BG223*S223*テーブル2[[#This Row],[Pw]]*R223/(N223*O223*K223)</f>
        <v>489.261216608371</v>
      </c>
      <c r="V223">
        <v>0.03</v>
      </c>
      <c r="W223" s="8">
        <f t="shared" si="92"/>
        <v>111196.64586026638</v>
      </c>
      <c r="X223">
        <v>2.2615094215070311E-2</v>
      </c>
      <c r="Y223">
        <f t="shared" si="93"/>
        <v>6.6496808099286682</v>
      </c>
      <c r="Z223">
        <f t="shared" si="94"/>
        <v>6.6496808158942153</v>
      </c>
      <c r="AA223">
        <f t="shared" si="95"/>
        <v>-5.9655471673636384E-9</v>
      </c>
      <c r="AB223">
        <f t="shared" si="96"/>
        <v>3.0465509744099373E-6</v>
      </c>
      <c r="AC223">
        <v>790.92049740726429</v>
      </c>
      <c r="AD223">
        <f t="shared" si="97"/>
        <v>2956.0780652656936</v>
      </c>
      <c r="AE223">
        <f>+gettm2(AD223,AC223,AK223,AL223,テーブル2[[#This Row],[Fcorr]])</f>
        <v>489.26121660837094</v>
      </c>
      <c r="AF223" s="14">
        <f t="shared" si="98"/>
        <v>0</v>
      </c>
      <c r="AG223">
        <v>3.224412197281791E-6</v>
      </c>
      <c r="AH223">
        <f t="shared" si="99"/>
        <v>65.483410582009824</v>
      </c>
      <c r="AI223">
        <f t="shared" si="100"/>
        <v>0.3547347803694415</v>
      </c>
      <c r="AJ223">
        <f t="shared" si="101"/>
        <v>10.006944010246574</v>
      </c>
      <c r="AK223">
        <f t="array" ref="AK223">+S223*テーブル2[[#This Row],[F_form]]/(E223*CpFromTP((テーブル2[[#This Row],[Tin]]+テーブル2[[#This Row],[Tf]])/2,テーブル2[[#This Row],[P]])*AI223)</f>
        <v>9.3449473760680473</v>
      </c>
      <c r="AL223">
        <f t="shared" si="102"/>
        <v>2.1883527698787133</v>
      </c>
      <c r="AM223">
        <f t="shared" si="103"/>
        <v>634.44823399622726</v>
      </c>
      <c r="AN223">
        <f t="shared" si="104"/>
        <v>-7.7901290751469787E-8</v>
      </c>
      <c r="AO223">
        <f t="shared" si="105"/>
        <v>1.7786122287185373E-7</v>
      </c>
      <c r="AP223">
        <v>2.167855753000727</v>
      </c>
      <c r="AQ223">
        <f t="shared" si="106"/>
        <v>1.9173616331603264E-5</v>
      </c>
      <c r="AR223">
        <f t="shared" si="107"/>
        <v>1.7011367100768224E-6</v>
      </c>
      <c r="AS223">
        <f t="shared" si="108"/>
        <v>5.2794676269567891</v>
      </c>
      <c r="AT223">
        <f t="shared" si="109"/>
        <v>5.2691263220339088</v>
      </c>
      <c r="AU223">
        <f t="shared" si="110"/>
        <v>1.8691423685855417</v>
      </c>
      <c r="AV223">
        <f t="shared" si="111"/>
        <v>0.29871338441518525</v>
      </c>
      <c r="AW223">
        <f t="shared" si="112"/>
        <v>3.0045190866467833E-3</v>
      </c>
      <c r="AX223">
        <f t="shared" si="113"/>
        <v>0.29871338330912067</v>
      </c>
      <c r="AY223">
        <f t="shared" si="114"/>
        <v>1.1060645732641206E-9</v>
      </c>
      <c r="AZ223">
        <f t="shared" si="115"/>
        <v>692257.60600924003</v>
      </c>
      <c r="BA223">
        <f t="shared" si="116"/>
        <v>8.8445074378511177E-6</v>
      </c>
      <c r="BB223" s="15">
        <f t="shared" si="117"/>
        <v>7244344.6957942601</v>
      </c>
      <c r="BC223" s="20">
        <f t="shared" si="118"/>
        <v>-16201.690924489871</v>
      </c>
      <c r="BD223" s="19">
        <f t="shared" si="119"/>
        <v>-0.22314699282311012</v>
      </c>
      <c r="BE223" s="15">
        <v>3533140.8</v>
      </c>
      <c r="BF223" s="16">
        <f>テーブル2[[#This Row],[q_P]]/テーブル2[[#This Row],[q_M]]</f>
        <v>2.0503979620043054</v>
      </c>
      <c r="BG223">
        <v>1</v>
      </c>
      <c r="BH223">
        <v>-0.23100000000000001</v>
      </c>
      <c r="BI223">
        <v>4.5999999999999999E-2</v>
      </c>
      <c r="BJ223">
        <v>5625</v>
      </c>
      <c r="BK223" s="22">
        <v>1</v>
      </c>
      <c r="BL223">
        <f>テーブル2[[#This Row],[Ts]]-テーブル2[[#This Row],[Tin]]</f>
        <v>335.42749733591398</v>
      </c>
      <c r="BM223">
        <f>テーブル2[[#This Row],[q_P]]*0.000001</f>
        <v>7.2443446957942594</v>
      </c>
      <c r="BN223">
        <f>テーブル2[[#This Row],[Tsub]]</f>
        <v>335.42749733591398</v>
      </c>
      <c r="BO223">
        <f>テーブル2[[#This Row],[Fcorr]]</f>
        <v>1</v>
      </c>
      <c r="BP223">
        <f>(テーブル2[[#This Row],[Tsub]]-40)^2</f>
        <v>87277.40618216146</v>
      </c>
      <c r="BQ223">
        <v>1</v>
      </c>
      <c r="BR223">
        <v>0.69596000000000002</v>
      </c>
    </row>
    <row r="224" spans="1:70" x14ac:dyDescent="0.15">
      <c r="A224" s="9" t="s">
        <v>292</v>
      </c>
      <c r="B224">
        <v>18960582.556212999</v>
      </c>
      <c r="C224" s="22">
        <f t="array" ref="C224">TsatFromP(テーブル2[[#This Row],[P]])</f>
        <v>634.44823391832597</v>
      </c>
      <c r="D224">
        <f t="array" ref="D224">RhoGFromP(テーブル2[[#This Row],[P]])</f>
        <v>149.14958101226799</v>
      </c>
      <c r="E224">
        <f t="array" ref="E224">RhoFFromP(テーブル2[[#This Row],[P]])</f>
        <v>520.38377569771103</v>
      </c>
      <c r="F224">
        <f t="array" ref="F224">HgFromP(テーブル2[[#This Row],[P]])</f>
        <v>2467301.6327637699</v>
      </c>
      <c r="G224">
        <f t="array" ref="G224">HfFromP(テーブル2[[#This Row],[P]])</f>
        <v>1775044.0267545299</v>
      </c>
      <c r="H224">
        <f t="array" ref="H224">MuGFromP(テーブル2[[#This Row],[P]])</f>
        <v>2.5972810943896E-5</v>
      </c>
      <c r="I224">
        <f t="array" ref="I224">MuFFromP(テーブル2[[#This Row],[P]])</f>
        <v>5.9480773118925399E-5</v>
      </c>
      <c r="J224">
        <f t="array" ref="J224">KfFromP(テーブル2[[#This Row],[P]])</f>
        <v>0.43661798563056398</v>
      </c>
      <c r="K224">
        <f t="array" ref="K224">CpFFromP(テーブル2[[#This Row],[P]])</f>
        <v>16063.580349286</v>
      </c>
      <c r="L224">
        <f t="array" ref="L224">SigmaFromP(テーブル2[[#This Row],[P]])</f>
        <v>1.6624879026359001E-3</v>
      </c>
      <c r="M224">
        <v>223</v>
      </c>
      <c r="N224">
        <v>3648.2586999999999</v>
      </c>
      <c r="O224" s="8">
        <f t="shared" si="120"/>
        <v>2.8502295699234246E-6</v>
      </c>
      <c r="P224" s="8">
        <f t="shared" si="121"/>
        <v>5.9847340050885557E-3</v>
      </c>
      <c r="Q224" s="8">
        <v>1.905E-3</v>
      </c>
      <c r="R224">
        <v>0.69596000000000002</v>
      </c>
      <c r="S224" s="15">
        <v>7583984.375</v>
      </c>
      <c r="T224">
        <v>296.26172292177802</v>
      </c>
      <c r="U224" s="12">
        <f>+T224+BG224*S224*テーブル2[[#This Row],[Pw]]*R224/(N224*O224*K224)</f>
        <v>485.37357309828786</v>
      </c>
      <c r="V224">
        <v>0.03</v>
      </c>
      <c r="W224" s="8">
        <f t="shared" si="92"/>
        <v>116843.35053285804</v>
      </c>
      <c r="X224">
        <v>2.2217391970833882E-2</v>
      </c>
      <c r="Y224">
        <f t="shared" si="93"/>
        <v>6.7089331033772375</v>
      </c>
      <c r="Z224">
        <f t="shared" si="94"/>
        <v>6.7089331074216236</v>
      </c>
      <c r="AA224">
        <f t="shared" si="95"/>
        <v>-4.0443861593075781E-9</v>
      </c>
      <c r="AB224">
        <f t="shared" si="96"/>
        <v>2.8085951652339211E-6</v>
      </c>
      <c r="AC224">
        <v>789.22604747791456</v>
      </c>
      <c r="AD224">
        <f t="shared" si="97"/>
        <v>3078.7579867486661</v>
      </c>
      <c r="AE224">
        <f>+gettm2(AD224,AC224,AK224,AL224,テーブル2[[#This Row],[Fcorr]])</f>
        <v>485.37357309828798</v>
      </c>
      <c r="AF224" s="14">
        <f t="shared" si="98"/>
        <v>0</v>
      </c>
      <c r="AG224">
        <v>2.9866244859684379E-6</v>
      </c>
      <c r="AH224">
        <f t="shared" si="99"/>
        <v>71.031436209031654</v>
      </c>
      <c r="AI224">
        <f t="shared" si="100"/>
        <v>0.36945659557261706</v>
      </c>
      <c r="AJ224">
        <f t="shared" si="101"/>
        <v>9.6536419838262013</v>
      </c>
      <c r="AK224">
        <f t="array" ref="AK224">+S224*テーブル2[[#This Row],[F_form]]/(E224*CpFromTP((テーブル2[[#This Row],[Tin]]+テーブル2[[#This Row],[Tf]])/2,テーブル2[[#This Row],[P]])*AI224)</f>
        <v>9.3829056901855044</v>
      </c>
      <c r="AL224">
        <f t="shared" si="102"/>
        <v>2.1883527698787133</v>
      </c>
      <c r="AM224">
        <f t="shared" si="103"/>
        <v>634.44823392618332</v>
      </c>
      <c r="AN224">
        <f t="shared" si="104"/>
        <v>-7.8573521022917703E-9</v>
      </c>
      <c r="AO224">
        <f t="shared" si="105"/>
        <v>1.7802932073451678E-7</v>
      </c>
      <c r="AP224">
        <v>2.1953057784014569</v>
      </c>
      <c r="AQ224">
        <f t="shared" si="106"/>
        <v>1.8697121675960991E-5</v>
      </c>
      <c r="AR224">
        <f t="shared" si="107"/>
        <v>1.5823269033514773E-6</v>
      </c>
      <c r="AS224">
        <f t="shared" si="108"/>
        <v>5.1145423531135386</v>
      </c>
      <c r="AT224">
        <f t="shared" si="109"/>
        <v>5.1104396193435928</v>
      </c>
      <c r="AU224">
        <f t="shared" si="110"/>
        <v>1.8880856236421049</v>
      </c>
      <c r="AV224">
        <f t="shared" si="111"/>
        <v>0.30722015475935205</v>
      </c>
      <c r="AW224">
        <f t="shared" si="112"/>
        <v>2.7698462462928514E-3</v>
      </c>
      <c r="AX224">
        <f t="shared" si="113"/>
        <v>0.30722014808514947</v>
      </c>
      <c r="AY224">
        <f t="shared" si="114"/>
        <v>6.6742025794930271E-9</v>
      </c>
      <c r="AZ224">
        <f t="shared" si="115"/>
        <v>692257.60600924003</v>
      </c>
      <c r="BA224">
        <f t="shared" si="116"/>
        <v>8.5168644203977657E-6</v>
      </c>
      <c r="BB224" s="15">
        <f t="shared" si="117"/>
        <v>7530144.0635849703</v>
      </c>
      <c r="BC224" s="20">
        <f t="shared" si="118"/>
        <v>-53840.31141502969</v>
      </c>
      <c r="BD224" s="19">
        <f t="shared" si="119"/>
        <v>-0.70992118064628384</v>
      </c>
      <c r="BE224" s="15">
        <v>3533140.8</v>
      </c>
      <c r="BF224" s="16">
        <f>テーブル2[[#This Row],[q_P]]/テーブル2[[#This Row],[q_M]]</f>
        <v>2.1312889833275173</v>
      </c>
      <c r="BG224">
        <v>1</v>
      </c>
      <c r="BH224">
        <v>-0.35099999999999998</v>
      </c>
      <c r="BI224">
        <v>4.5999999999999999E-2</v>
      </c>
      <c r="BJ224">
        <v>5625</v>
      </c>
      <c r="BK224" s="22">
        <v>1</v>
      </c>
      <c r="BL224">
        <f>テーブル2[[#This Row],[Ts]]-テーブル2[[#This Row],[Tin]]</f>
        <v>338.18651099654795</v>
      </c>
      <c r="BM224">
        <f>テーブル2[[#This Row],[q_P]]*0.000001</f>
        <v>7.5301440635849701</v>
      </c>
      <c r="BN224">
        <f>テーブル2[[#This Row],[Tsub]]</f>
        <v>338.18651099654795</v>
      </c>
      <c r="BO224">
        <f>テーブル2[[#This Row],[Fcorr]]</f>
        <v>1</v>
      </c>
      <c r="BP224">
        <f>(テーブル2[[#This Row],[Tsub]]-40)^2</f>
        <v>88915.195340294405</v>
      </c>
      <c r="BQ224">
        <v>1</v>
      </c>
      <c r="BR224">
        <v>0.69596000000000002</v>
      </c>
    </row>
    <row r="225" spans="1:70" x14ac:dyDescent="0.15">
      <c r="A225" s="9" t="s">
        <v>293</v>
      </c>
      <c r="B225">
        <v>18960582.556212999</v>
      </c>
      <c r="C225" s="22">
        <f t="array" ref="C225">TsatFromP(テーブル2[[#This Row],[P]])</f>
        <v>634.44823391832597</v>
      </c>
      <c r="D225">
        <f t="array" ref="D225">RhoGFromP(テーブル2[[#This Row],[P]])</f>
        <v>149.14958101226799</v>
      </c>
      <c r="E225">
        <f t="array" ref="E225">RhoFFromP(テーブル2[[#This Row],[P]])</f>
        <v>520.38377569771103</v>
      </c>
      <c r="F225">
        <f t="array" ref="F225">HgFromP(テーブル2[[#This Row],[P]])</f>
        <v>2467301.6327637699</v>
      </c>
      <c r="G225">
        <f t="array" ref="G225">HfFromP(テーブル2[[#This Row],[P]])</f>
        <v>1775044.0267545299</v>
      </c>
      <c r="H225">
        <f t="array" ref="H225">MuGFromP(テーブル2[[#This Row],[P]])</f>
        <v>2.5972810943896E-5</v>
      </c>
      <c r="I225">
        <f t="array" ref="I225">MuFFromP(テーブル2[[#This Row],[P]])</f>
        <v>5.9480773118925399E-5</v>
      </c>
      <c r="J225">
        <f t="array" ref="J225">KfFromP(テーブル2[[#This Row],[P]])</f>
        <v>0.43661798563056398</v>
      </c>
      <c r="K225">
        <f t="array" ref="K225">CpFFromP(テーブル2[[#This Row],[P]])</f>
        <v>16063.580349286</v>
      </c>
      <c r="L225">
        <f t="array" ref="L225">SigmaFromP(テーブル2[[#This Row],[P]])</f>
        <v>1.6624879026359001E-3</v>
      </c>
      <c r="M225">
        <v>224</v>
      </c>
      <c r="N225">
        <v>3783.8816999999999</v>
      </c>
      <c r="O225" s="8">
        <f t="shared" si="120"/>
        <v>2.8502295699234246E-6</v>
      </c>
      <c r="P225" s="8">
        <f t="shared" si="121"/>
        <v>5.9847340050885557E-3</v>
      </c>
      <c r="Q225" s="8">
        <v>1.905E-3</v>
      </c>
      <c r="R225">
        <v>0.69596000000000002</v>
      </c>
      <c r="S225" s="15">
        <v>7711816.40625</v>
      </c>
      <c r="T225">
        <v>299.58375662661598</v>
      </c>
      <c r="U225" s="12">
        <f>+T225+BG225*S225*テーブル2[[#This Row],[Pw]]*R225/(N225*O225*K225)</f>
        <v>484.99073347646276</v>
      </c>
      <c r="V225">
        <v>0.03</v>
      </c>
      <c r="W225" s="8">
        <f t="shared" si="92"/>
        <v>121186.96951177469</v>
      </c>
      <c r="X225">
        <v>2.193170298710009E-2</v>
      </c>
      <c r="Y225">
        <f t="shared" si="93"/>
        <v>6.7524880163745191</v>
      </c>
      <c r="Z225">
        <f t="shared" si="94"/>
        <v>6.7524880375115002</v>
      </c>
      <c r="AA225">
        <f t="shared" si="95"/>
        <v>-2.1136981054326043E-8</v>
      </c>
      <c r="AB225">
        <f t="shared" si="96"/>
        <v>2.6448802811588884E-6</v>
      </c>
      <c r="AC225">
        <v>785.38105102733152</v>
      </c>
      <c r="AD225">
        <f t="shared" si="97"/>
        <v>3172.6131066587318</v>
      </c>
      <c r="AE225">
        <f>+gettm2(AD225,AC225,AK225,AL225,テーブル2[[#This Row],[Fcorr]])</f>
        <v>484.99073347646271</v>
      </c>
      <c r="AF225" s="14">
        <f t="shared" si="98"/>
        <v>0</v>
      </c>
      <c r="AG225">
        <v>2.8221507772346941E-6</v>
      </c>
      <c r="AH225">
        <f t="shared" si="99"/>
        <v>75.428196027419119</v>
      </c>
      <c r="AI225">
        <f t="shared" si="100"/>
        <v>0.38071938180923576</v>
      </c>
      <c r="AJ225">
        <f t="shared" si="101"/>
        <v>9.4000971599180243</v>
      </c>
      <c r="AK225">
        <f t="array" ref="AK225">+S225*テーブル2[[#This Row],[F_form]]/(E225*CpFromTP((テーブル2[[#This Row],[Tin]]+テーブル2[[#This Row],[Tf]])/2,テーブル2[[#This Row],[P]])*AI225)</f>
        <v>9.254236485263327</v>
      </c>
      <c r="AL225">
        <f t="shared" si="102"/>
        <v>2.1883527698787133</v>
      </c>
      <c r="AM225">
        <f t="shared" si="103"/>
        <v>634.44823376319073</v>
      </c>
      <c r="AN225">
        <f t="shared" si="104"/>
        <v>1.5513523976551369E-7</v>
      </c>
      <c r="AO225">
        <f t="shared" si="105"/>
        <v>1.7727049607580574E-7</v>
      </c>
      <c r="AP225">
        <v>2.215499035557646</v>
      </c>
      <c r="AQ225">
        <f t="shared" si="106"/>
        <v>1.835784356644753E-5</v>
      </c>
      <c r="AR225">
        <f t="shared" si="107"/>
        <v>1.4997106366552499E-6</v>
      </c>
      <c r="AS225">
        <f t="shared" si="108"/>
        <v>4.9952772934886678</v>
      </c>
      <c r="AT225">
        <f t="shared" si="109"/>
        <v>4.9952772934886678</v>
      </c>
      <c r="AU225">
        <f t="shared" si="110"/>
        <v>1.9017988831427179</v>
      </c>
      <c r="AV225">
        <f t="shared" si="111"/>
        <v>0.3137001524149281</v>
      </c>
      <c r="AW225">
        <f t="shared" si="112"/>
        <v>2.6083900625285634E-3</v>
      </c>
      <c r="AX225">
        <f t="shared" si="113"/>
        <v>0.313700139596159</v>
      </c>
      <c r="AY225">
        <f t="shared" si="114"/>
        <v>1.2818769101752281E-8</v>
      </c>
      <c r="AZ225">
        <f t="shared" si="115"/>
        <v>692257.60600924003</v>
      </c>
      <c r="BA225">
        <f t="shared" si="116"/>
        <v>8.2860986494750701E-6</v>
      </c>
      <c r="BB225" s="15">
        <f t="shared" si="117"/>
        <v>7706866.6504258318</v>
      </c>
      <c r="BC225" s="20">
        <f t="shared" si="118"/>
        <v>-4949.7558241682127</v>
      </c>
      <c r="BD225" s="19">
        <f t="shared" si="119"/>
        <v>-6.4184046447951087E-2</v>
      </c>
      <c r="BE225" s="15">
        <v>3564686.7</v>
      </c>
      <c r="BF225" s="16">
        <f>テーブル2[[#This Row],[q_P]]/テーブル2[[#This Row],[q_M]]</f>
        <v>2.1620039288237676</v>
      </c>
      <c r="BG225">
        <v>1</v>
      </c>
      <c r="BH225">
        <v>-0.38700000000000001</v>
      </c>
      <c r="BI225">
        <v>4.5999999999999999E-2</v>
      </c>
      <c r="BJ225">
        <v>5625</v>
      </c>
      <c r="BK225" s="22">
        <v>1</v>
      </c>
      <c r="BL225">
        <f>テーブル2[[#This Row],[Ts]]-テーブル2[[#This Row],[Tin]]</f>
        <v>334.86447729170999</v>
      </c>
      <c r="BM225">
        <f>テーブル2[[#This Row],[q_P]]*0.000001</f>
        <v>7.7068666504258312</v>
      </c>
      <c r="BN225">
        <f>テーブル2[[#This Row],[Tsub]]</f>
        <v>334.86447729170999</v>
      </c>
      <c r="BO225">
        <f>テーブル2[[#This Row],[Fcorr]]</f>
        <v>1</v>
      </c>
      <c r="BP225">
        <f>(テーブル2[[#This Row],[Tsub]]-40)^2</f>
        <v>86945.059968513349</v>
      </c>
      <c r="BQ225">
        <v>1</v>
      </c>
      <c r="BR225">
        <v>0.69596000000000002</v>
      </c>
    </row>
    <row r="226" spans="1:70" x14ac:dyDescent="0.15">
      <c r="A226" t="s">
        <v>294</v>
      </c>
      <c r="B226">
        <v>13789514.586336</v>
      </c>
      <c r="C226">
        <f>TsatFromP(テーブル2[[#This Row],[P]])</f>
        <v>608.62107399852357</v>
      </c>
      <c r="D226">
        <f>RhoGFromP(テーブル2[[#This Row],[P]])</f>
        <v>85.147847035840741</v>
      </c>
      <c r="E226">
        <f>RhoFFromP(テーブル2[[#This Row],[P]])</f>
        <v>624.86636713482415</v>
      </c>
      <c r="F226">
        <f>HgFromP(テーブル2[[#This Row],[P]])</f>
        <v>2643264.5206450778</v>
      </c>
      <c r="G226">
        <f>HfFromP(テーブル2[[#This Row],[P]])</f>
        <v>1562686.7596125705</v>
      </c>
      <c r="H226">
        <f>MuGFromP(テーブル2[[#This Row],[P]])</f>
        <v>2.2019591234371903E-5</v>
      </c>
      <c r="I226">
        <f>MuFFromP(テーブル2[[#This Row],[P]])</f>
        <v>7.222326555143516E-5</v>
      </c>
      <c r="J226">
        <f>KfFromP(テーブル2[[#This Row],[P]])</f>
        <v>0.49112131073334553</v>
      </c>
      <c r="K226">
        <f>CpFFromP(テーブル2[[#This Row],[P]])</f>
        <v>7679.7488518783057</v>
      </c>
      <c r="L226">
        <f>SigmaFromP(テーブル2[[#This Row],[P]])</f>
        <v>6.5036449518301549E-3</v>
      </c>
      <c r="M226">
        <v>225</v>
      </c>
      <c r="N226">
        <v>3933.067</v>
      </c>
      <c r="O226">
        <f t="shared" si="120"/>
        <v>1.0361661240064725E-5</v>
      </c>
      <c r="P226">
        <f t="shared" si="121"/>
        <v>1.1410892836368843E-2</v>
      </c>
      <c r="Q226">
        <v>3.6321999999999991E-3</v>
      </c>
      <c r="R226">
        <v>7.619999999999999E-2</v>
      </c>
      <c r="S226">
        <v>3943237.5</v>
      </c>
      <c r="T226">
        <v>603.36221672770296</v>
      </c>
      <c r="U226">
        <f>+T226+BG226*S226*テーブル2[[#This Row],[Pw]]*R226/(N226*O226*K226)</f>
        <v>614.31740338251268</v>
      </c>
      <c r="V226">
        <v>0.03</v>
      </c>
      <c r="W226">
        <f t="shared" si="92"/>
        <v>197798.94814124925</v>
      </c>
      <c r="X226">
        <v>0.01</v>
      </c>
      <c r="Y226">
        <f t="shared" si="93"/>
        <v>10</v>
      </c>
      <c r="Z226">
        <f t="shared" si="94"/>
        <v>5.631245365110372</v>
      </c>
      <c r="AA226">
        <f t="shared" si="95"/>
        <v>4.368754634889628</v>
      </c>
      <c r="AB226">
        <f t="shared" si="96"/>
        <v>2.5220431782712055E-5</v>
      </c>
      <c r="AC226">
        <v>600</v>
      </c>
      <c r="AD226">
        <f t="shared" si="97"/>
        <v>3496.6244385560899</v>
      </c>
      <c r="AE226">
        <f>+gettm2(AD226,AC226,AK226,AL226,テーブル2[[#This Row],[Fcorr]])</f>
        <v>506.20350920314604</v>
      </c>
      <c r="AF226">
        <f t="shared" si="98"/>
        <v>-108.11389417936664</v>
      </c>
      <c r="AG226">
        <v>1.0000000000000001E-5</v>
      </c>
      <c r="AH226">
        <f t="shared" si="99"/>
        <v>30.944648408223841</v>
      </c>
      <c r="AI226">
        <f t="shared" si="100"/>
        <v>0.22253544860424276</v>
      </c>
      <c r="AJ226">
        <f t="shared" si="101"/>
        <v>19.25347964625346</v>
      </c>
      <c r="AK226">
        <f>+S226*テーブル2[[#This Row],[F_form]]/(E226*CpFromTP((テーブル2[[#This Row],[Tin]]+テーブル2[[#This Row],[Tf]])/2,テーブル2[[#This Row],[P]])*AI226)</f>
        <v>3.8294368539976289</v>
      </c>
      <c r="AL226">
        <f t="shared" si="102"/>
        <v>1.1293676909872215</v>
      </c>
      <c r="AM226">
        <f t="shared" si="103"/>
        <v>550.80934210739838</v>
      </c>
      <c r="AN226">
        <f t="shared" si="104"/>
        <v>57.811731891125191</v>
      </c>
      <c r="AO226">
        <f t="shared" si="105"/>
        <v>-1.5220431782712054E-5</v>
      </c>
      <c r="AP226">
        <v>1</v>
      </c>
      <c r="AQ226">
        <f t="shared" si="106"/>
        <v>5.4530931276593132E-4</v>
      </c>
      <c r="AR226">
        <f t="shared" si="107"/>
        <v>-2.6102158913560267E-6</v>
      </c>
      <c r="AS226">
        <f t="shared" si="108"/>
        <v>-5.0255738536550592</v>
      </c>
      <c r="AT226">
        <f t="shared" si="109"/>
        <v>-5.0255738536550592</v>
      </c>
      <c r="AU226">
        <f t="shared" si="110"/>
        <v>-1.1183683320168816</v>
      </c>
      <c r="AV226">
        <f t="shared" si="111"/>
        <v>2.1183683320168818</v>
      </c>
      <c r="AW226">
        <f t="shared" si="112"/>
        <v>1.5162804822670082E-2</v>
      </c>
      <c r="AX226">
        <f t="shared" si="113"/>
        <v>0.78027879778214593</v>
      </c>
      <c r="AY226">
        <f t="shared" si="114"/>
        <v>1.3380895342347359</v>
      </c>
      <c r="AZ226">
        <f t="shared" si="115"/>
        <v>1080577.7610325073</v>
      </c>
      <c r="BA226">
        <f t="shared" si="116"/>
        <v>5.4530931276593132E-4</v>
      </c>
      <c r="BB226">
        <f t="shared" si="117"/>
        <v>-18846349.180988066</v>
      </c>
      <c r="BC226">
        <f t="shared" si="118"/>
        <v>-22789586.680988066</v>
      </c>
      <c r="BD226">
        <f t="shared" si="119"/>
        <v>-577.94101118657113</v>
      </c>
      <c r="BE226">
        <v>3943237.5</v>
      </c>
      <c r="BF226">
        <f>テーブル2[[#This Row],[q_P]]/テーブル2[[#This Row],[q_M]]</f>
        <v>-4.7794101118657109</v>
      </c>
      <c r="BG226">
        <v>1</v>
      </c>
      <c r="BH226">
        <v>4.2000000000000003E-2</v>
      </c>
      <c r="BI226">
        <v>4.5999999999999999E-2</v>
      </c>
      <c r="BJ226">
        <v>5625</v>
      </c>
      <c r="BK226">
        <v>1</v>
      </c>
      <c r="BL226">
        <f>テーブル2[[#This Row],[Ts]]-テーブル2[[#This Row],[Tin]]</f>
        <v>5.2588572708206129</v>
      </c>
      <c r="BM226">
        <f>テーブル2[[#This Row],[q_P]]*0.000001</f>
        <v>-18.846349180988064</v>
      </c>
      <c r="BN226">
        <f>テーブル2[[#This Row],[Tsub]]</f>
        <v>5.2588572708206129</v>
      </c>
      <c r="BO226">
        <f>テーブル2[[#This Row],[Fcorr]]</f>
        <v>1</v>
      </c>
      <c r="BP226">
        <f>(テーブル2[[#This Row],[Tsub]]-40)^2</f>
        <v>1206.9469981292139</v>
      </c>
      <c r="BQ226">
        <v>1</v>
      </c>
      <c r="BR226">
        <v>7.619999999999999E-2</v>
      </c>
    </row>
    <row r="227" spans="1:70" x14ac:dyDescent="0.15">
      <c r="A227" t="s">
        <v>295</v>
      </c>
      <c r="B227">
        <v>13789514.586336</v>
      </c>
      <c r="C227">
        <f>TsatFromP(テーブル2[[#This Row],[P]])</f>
        <v>608.62107399852357</v>
      </c>
      <c r="D227">
        <f>RhoGFromP(テーブル2[[#This Row],[P]])</f>
        <v>85.147847035840741</v>
      </c>
      <c r="E227">
        <f>RhoFFromP(テーブル2[[#This Row],[P]])</f>
        <v>624.86636713482415</v>
      </c>
      <c r="F227">
        <f>HgFromP(テーブル2[[#This Row],[P]])</f>
        <v>2643264.5206450778</v>
      </c>
      <c r="G227">
        <f>HfFromP(テーブル2[[#This Row],[P]])</f>
        <v>1562686.7596125705</v>
      </c>
      <c r="H227">
        <f>MuGFromP(テーブル2[[#This Row],[P]])</f>
        <v>2.2019591234371903E-5</v>
      </c>
      <c r="I227">
        <f>MuFFromP(テーブル2[[#This Row],[P]])</f>
        <v>7.222326555143516E-5</v>
      </c>
      <c r="J227">
        <f>KfFromP(テーブル2[[#This Row],[P]])</f>
        <v>0.49112131073334553</v>
      </c>
      <c r="K227">
        <f>CpFFromP(テーブル2[[#This Row],[P]])</f>
        <v>7679.7488518783057</v>
      </c>
      <c r="L227">
        <f>SigmaFromP(テーブル2[[#This Row],[P]])</f>
        <v>6.5036449518301549E-3</v>
      </c>
      <c r="M227">
        <v>226</v>
      </c>
      <c r="N227">
        <v>3282.0765999999999</v>
      </c>
      <c r="O227">
        <f t="shared" si="120"/>
        <v>2.8502295699234246E-6</v>
      </c>
      <c r="P227">
        <f t="shared" si="121"/>
        <v>5.9847340050885557E-3</v>
      </c>
      <c r="Q227">
        <v>1.905E-3</v>
      </c>
      <c r="R227">
        <v>0.69595999999999991</v>
      </c>
      <c r="S227">
        <v>3091498.2</v>
      </c>
      <c r="T227">
        <v>295.43672856397882</v>
      </c>
      <c r="U227">
        <f>+T227+BG227*S227*テーブル2[[#This Row],[Pw]]*R227/(N227*O227*K227)</f>
        <v>474.67162046655073</v>
      </c>
      <c r="V227">
        <v>0.03</v>
      </c>
      <c r="W227">
        <f t="shared" si="92"/>
        <v>86569.831414605127</v>
      </c>
      <c r="X227">
        <v>0.01</v>
      </c>
      <c r="Y227">
        <f t="shared" si="93"/>
        <v>10</v>
      </c>
      <c r="Z227">
        <f t="shared" si="94"/>
        <v>4.7684122116591849</v>
      </c>
      <c r="AA227">
        <f t="shared" si="95"/>
        <v>5.2315877883408151</v>
      </c>
      <c r="AB227">
        <f t="shared" si="96"/>
        <v>3.6217442676833614E-5</v>
      </c>
      <c r="AC227">
        <v>600</v>
      </c>
      <c r="AD227">
        <f t="shared" si="97"/>
        <v>1530.3528709860875</v>
      </c>
      <c r="AE227">
        <f>+gettm2(AD227,AC227,AK227,AL227,テーブル2[[#This Row],[Fcorr]])</f>
        <v>457.7745972516218</v>
      </c>
      <c r="AF227">
        <f t="shared" si="98"/>
        <v>-16.897023214928936</v>
      </c>
      <c r="AG227">
        <v>1.0000000000000001E-5</v>
      </c>
      <c r="AH227">
        <f t="shared" si="99"/>
        <v>21.5486609914295</v>
      </c>
      <c r="AI227">
        <f t="shared" si="100"/>
        <v>0.1857019950421612</v>
      </c>
      <c r="AJ227">
        <f t="shared" si="101"/>
        <v>16.066696808252889</v>
      </c>
      <c r="AK227">
        <f>+S227*テーブル2[[#This Row],[F_form]]/(E227*CpFromTP((テーブル2[[#This Row],[Tin]]+テーブル2[[#This Row],[Tf]])/2,テーブル2[[#This Row],[P]])*AI227)</f>
        <v>6.3487122590004716</v>
      </c>
      <c r="AL227">
        <f t="shared" si="102"/>
        <v>1.1293676909872215</v>
      </c>
      <c r="AM227">
        <f t="shared" si="103"/>
        <v>524.38564654608342</v>
      </c>
      <c r="AN227">
        <f t="shared" si="104"/>
        <v>84.235427452440149</v>
      </c>
      <c r="AO227">
        <f t="shared" si="105"/>
        <v>-2.6217442676833615E-5</v>
      </c>
      <c r="AP227">
        <v>1</v>
      </c>
      <c r="AQ227">
        <f t="shared" si="106"/>
        <v>5.4530931276593132E-4</v>
      </c>
      <c r="AR227">
        <f t="shared" si="107"/>
        <v>-8.1087213384168081E-6</v>
      </c>
      <c r="AS227">
        <f t="shared" si="108"/>
        <v>-13.02803672469534</v>
      </c>
      <c r="AT227">
        <f t="shared" si="109"/>
        <v>-13.02803672469534</v>
      </c>
      <c r="AU227">
        <f t="shared" si="110"/>
        <v>-2.419332411258468</v>
      </c>
      <c r="AV227">
        <f t="shared" si="111"/>
        <v>3.419332411258468</v>
      </c>
      <c r="AW227">
        <f t="shared" si="112"/>
        <v>2.1774330400699302E-2</v>
      </c>
      <c r="AX227">
        <f t="shared" si="113"/>
        <v>0.65112920366648031</v>
      </c>
      <c r="AY227">
        <f t="shared" si="114"/>
        <v>2.7682032075919878</v>
      </c>
      <c r="AZ227">
        <f t="shared" si="115"/>
        <v>1080577.7610325073</v>
      </c>
      <c r="BA227">
        <f t="shared" si="116"/>
        <v>5.4530931276593132E-4</v>
      </c>
      <c r="BB227">
        <f t="shared" si="117"/>
        <v>-32463144.69746948</v>
      </c>
      <c r="BC227">
        <f t="shared" si="118"/>
        <v>-35554642.897469483</v>
      </c>
      <c r="BD227">
        <f t="shared" si="119"/>
        <v>-1150.0780720968714</v>
      </c>
      <c r="BE227">
        <v>3091498.2</v>
      </c>
      <c r="BF227">
        <f>テーブル2[[#This Row],[q_P]]/テーブル2[[#This Row],[q_M]]</f>
        <v>-10.500780720968713</v>
      </c>
      <c r="BG227">
        <v>1</v>
      </c>
      <c r="BH227">
        <v>-7.3999999999999996E-2</v>
      </c>
      <c r="BI227">
        <v>4.5999999999999999E-2</v>
      </c>
      <c r="BJ227">
        <v>5625</v>
      </c>
      <c r="BK227">
        <v>1</v>
      </c>
      <c r="BL227">
        <f>テーブル2[[#This Row],[Ts]]-テーブル2[[#This Row],[Tin]]</f>
        <v>313.18434543454475</v>
      </c>
      <c r="BM227">
        <f>テーブル2[[#This Row],[q_P]]*0.000001</f>
        <v>-32.463144697469481</v>
      </c>
      <c r="BN227">
        <f>テーブル2[[#This Row],[Tsub]]</f>
        <v>313.18434543454475</v>
      </c>
      <c r="BO227">
        <f>テーブル2[[#This Row],[Fcorr]]</f>
        <v>1</v>
      </c>
      <c r="BP227">
        <f>(テーブル2[[#This Row],[Tsub]]-40)^2</f>
        <v>74629.686590500671</v>
      </c>
      <c r="BQ227">
        <v>1</v>
      </c>
      <c r="BR227">
        <v>0.69595999999999991</v>
      </c>
    </row>
    <row r="228" spans="1:70" x14ac:dyDescent="0.15">
      <c r="A228" t="s">
        <v>296</v>
      </c>
      <c r="B228">
        <v>13789514.586336</v>
      </c>
      <c r="C228">
        <f>TsatFromP(テーブル2[[#This Row],[P]])</f>
        <v>608.62107399852357</v>
      </c>
      <c r="D228">
        <f>RhoGFromP(テーブル2[[#This Row],[P]])</f>
        <v>85.147847035840741</v>
      </c>
      <c r="E228">
        <f>RhoFFromP(テーブル2[[#This Row],[P]])</f>
        <v>624.86636713482415</v>
      </c>
      <c r="F228">
        <f>HgFromP(テーブル2[[#This Row],[P]])</f>
        <v>2643264.5206450778</v>
      </c>
      <c r="G228">
        <f>HfFromP(テーブル2[[#This Row],[P]])</f>
        <v>1562686.7596125705</v>
      </c>
      <c r="H228">
        <f>MuGFromP(テーブル2[[#This Row],[P]])</f>
        <v>2.2019591234371903E-5</v>
      </c>
      <c r="I228">
        <f>MuFFromP(テーブル2[[#This Row],[P]])</f>
        <v>7.222326555143516E-5</v>
      </c>
      <c r="J228">
        <f>KfFromP(テーブル2[[#This Row],[P]])</f>
        <v>0.49112131073334553</v>
      </c>
      <c r="K228">
        <f>CpFFromP(テーブル2[[#This Row],[P]])</f>
        <v>7679.7488518783057</v>
      </c>
      <c r="L228">
        <f>SigmaFromP(テーブル2[[#This Row],[P]])</f>
        <v>6.5036449518301549E-3</v>
      </c>
      <c r="M228">
        <v>227</v>
      </c>
      <c r="N228">
        <v>4204.3130000000001</v>
      </c>
      <c r="O228">
        <f t="shared" si="120"/>
        <v>1.6417322322758919E-5</v>
      </c>
      <c r="P228">
        <f t="shared" si="121"/>
        <v>1.4363361612212531E-2</v>
      </c>
      <c r="Q228">
        <v>4.5719999999999988E-3</v>
      </c>
      <c r="R228">
        <v>0.29527500000000001</v>
      </c>
      <c r="S228">
        <v>3154590</v>
      </c>
      <c r="T228">
        <v>587.73848098507858</v>
      </c>
      <c r="U228">
        <f>+T228+BG228*S228*テーブル2[[#This Row],[Pw]]*R228/(N228*O228*K228)</f>
        <v>612.97801379479858</v>
      </c>
      <c r="V228">
        <v>0.03</v>
      </c>
      <c r="W228">
        <f t="shared" si="92"/>
        <v>266148.57261349668</v>
      </c>
      <c r="X228">
        <v>0.01</v>
      </c>
      <c r="Y228">
        <f t="shared" si="93"/>
        <v>10</v>
      </c>
      <c r="Z228">
        <f t="shared" si="94"/>
        <v>5.9420024320603826</v>
      </c>
      <c r="AA228">
        <f t="shared" si="95"/>
        <v>4.0579975679396174</v>
      </c>
      <c r="AB228">
        <f t="shared" si="96"/>
        <v>2.2071158303081001E-5</v>
      </c>
      <c r="AC228">
        <v>600</v>
      </c>
      <c r="AD228">
        <f t="shared" si="97"/>
        <v>4704.8865124530939</v>
      </c>
      <c r="AE228">
        <f>+gettm2(AD228,AC228,AK228,AL228,テーブル2[[#This Row],[Fcorr]])</f>
        <v>518.94569322029918</v>
      </c>
      <c r="AF228">
        <f t="shared" si="98"/>
        <v>-94.032320574499408</v>
      </c>
      <c r="AG228">
        <v>1.0000000000000001E-5</v>
      </c>
      <c r="AH228">
        <f t="shared" si="99"/>
        <v>35.360056028897873</v>
      </c>
      <c r="AI228">
        <f t="shared" si="100"/>
        <v>0.23788272092177673</v>
      </c>
      <c r="AJ228">
        <f t="shared" si="101"/>
        <v>20.581305828753699</v>
      </c>
      <c r="AK228">
        <f>+S228*テーブル2[[#This Row],[F_form]]/(E228*CpFromTP((テーブル2[[#This Row],[Tin]]+テーブル2[[#This Row],[Tf]])/2,テーブル2[[#This Row],[P]])*AI228)</f>
        <v>3.2112589885500324</v>
      </c>
      <c r="AL228">
        <f t="shared" si="102"/>
        <v>1.1293676909872215</v>
      </c>
      <c r="AM228">
        <f t="shared" si="103"/>
        <v>557.64754064773513</v>
      </c>
      <c r="AN228">
        <f t="shared" si="104"/>
        <v>50.973533350788443</v>
      </c>
      <c r="AO228">
        <f t="shared" si="105"/>
        <v>-1.2071158303081E-5</v>
      </c>
      <c r="AP228">
        <v>1</v>
      </c>
      <c r="AQ228">
        <f t="shared" si="106"/>
        <v>5.4530931276593132E-4</v>
      </c>
      <c r="AR228">
        <f t="shared" si="107"/>
        <v>-1.0355791515404995E-6</v>
      </c>
      <c r="AS228">
        <f t="shared" si="108"/>
        <v>-2.131357122773629</v>
      </c>
      <c r="AT228">
        <f t="shared" si="109"/>
        <v>-2.131357122773629</v>
      </c>
      <c r="AU228">
        <f t="shared" si="110"/>
        <v>-0.50701303162140021</v>
      </c>
      <c r="AV228">
        <f t="shared" si="111"/>
        <v>1.5070130316214003</v>
      </c>
      <c r="AW228">
        <f t="shared" si="112"/>
        <v>1.3269426488933965E-2</v>
      </c>
      <c r="AX228">
        <f t="shared" si="113"/>
        <v>0.83409112866367308</v>
      </c>
      <c r="AY228">
        <f t="shared" si="114"/>
        <v>0.67292190295772725</v>
      </c>
      <c r="AZ228">
        <f t="shared" si="115"/>
        <v>1080577.7610325073</v>
      </c>
      <c r="BA228">
        <f t="shared" si="116"/>
        <v>5.4530931276593132E-4</v>
      </c>
      <c r="BB228">
        <f t="shared" si="117"/>
        <v>-14946833.811721949</v>
      </c>
      <c r="BC228">
        <f t="shared" si="118"/>
        <v>-18101423.811721951</v>
      </c>
      <c r="BD228">
        <f t="shared" si="119"/>
        <v>-573.81224855597554</v>
      </c>
      <c r="BE228">
        <v>3154590</v>
      </c>
      <c r="BF228">
        <f>テーブル2[[#This Row],[q_P]]/テーブル2[[#This Row],[q_M]]</f>
        <v>-4.7381224855597557</v>
      </c>
      <c r="BG228">
        <v>1</v>
      </c>
      <c r="BH228">
        <v>0.05</v>
      </c>
      <c r="BI228">
        <v>4.5999999999999999E-2</v>
      </c>
      <c r="BJ228">
        <v>5625</v>
      </c>
      <c r="BK228">
        <v>1</v>
      </c>
      <c r="BL228">
        <f>テーブル2[[#This Row],[Ts]]-テーブル2[[#This Row],[Tin]]</f>
        <v>20.882593013444989</v>
      </c>
      <c r="BM228">
        <f>テーブル2[[#This Row],[q_P]]*0.000001</f>
        <v>-14.946833811721948</v>
      </c>
      <c r="BN228">
        <f>テーブル2[[#This Row],[Tsub]]</f>
        <v>20.882593013444989</v>
      </c>
      <c r="BO228">
        <f>テーブル2[[#This Row],[Fcorr]]</f>
        <v>1</v>
      </c>
      <c r="BP228">
        <f>(テーブル2[[#This Row],[Tsub]]-40)^2</f>
        <v>365.47524988958236</v>
      </c>
      <c r="BQ228">
        <v>1</v>
      </c>
      <c r="BR228">
        <v>0.29527500000000001</v>
      </c>
    </row>
    <row r="229" spans="1:70" x14ac:dyDescent="0.15">
      <c r="A229" t="s">
        <v>297</v>
      </c>
      <c r="B229">
        <v>13789514.586336</v>
      </c>
      <c r="C229">
        <f>TsatFromP(テーブル2[[#This Row],[P]])</f>
        <v>608.62107399852357</v>
      </c>
      <c r="D229">
        <f>RhoGFromP(テーブル2[[#This Row],[P]])</f>
        <v>85.147847035840741</v>
      </c>
      <c r="E229">
        <f>RhoFFromP(テーブル2[[#This Row],[P]])</f>
        <v>624.86636713482415</v>
      </c>
      <c r="F229">
        <f>HgFromP(テーブル2[[#This Row],[P]])</f>
        <v>2643264.5206450778</v>
      </c>
      <c r="G229">
        <f>HfFromP(テーブル2[[#This Row],[P]])</f>
        <v>1562686.7596125705</v>
      </c>
      <c r="H229">
        <f>MuGFromP(テーブル2[[#This Row],[P]])</f>
        <v>2.2019591234371903E-5</v>
      </c>
      <c r="I229">
        <f>MuFFromP(テーブル2[[#This Row],[P]])</f>
        <v>7.222326555143516E-5</v>
      </c>
      <c r="J229">
        <f>KfFromP(テーブル2[[#This Row],[P]])</f>
        <v>0.49112131073334553</v>
      </c>
      <c r="K229">
        <f>CpFFromP(テーブル2[[#This Row],[P]])</f>
        <v>7679.7488518783057</v>
      </c>
      <c r="L229">
        <f>SigmaFromP(テーブル2[[#This Row],[P]])</f>
        <v>6.5036449518301549E-3</v>
      </c>
      <c r="M229">
        <v>228</v>
      </c>
      <c r="N229">
        <v>10524.344800000001</v>
      </c>
      <c r="O229">
        <f t="shared" si="120"/>
        <v>1.7719053836560394E-5</v>
      </c>
      <c r="P229">
        <f t="shared" si="121"/>
        <v>1.4921936786020797E-2</v>
      </c>
      <c r="Q229">
        <v>4.7497999999999993E-3</v>
      </c>
      <c r="R229">
        <v>0.3175</v>
      </c>
      <c r="S229">
        <v>12902273.1</v>
      </c>
      <c r="T229">
        <v>446.36479170134942</v>
      </c>
      <c r="U229">
        <f>+T229+BG229*S229*テーブル2[[#This Row],[Pw]]*R229/(N229*O229*K229)</f>
        <v>489.04755640382251</v>
      </c>
      <c r="V229">
        <v>0.03</v>
      </c>
      <c r="W229">
        <f t="shared" si="92"/>
        <v>692138.91880089138</v>
      </c>
      <c r="X229">
        <v>0.01</v>
      </c>
      <c r="Y229">
        <f t="shared" si="93"/>
        <v>10</v>
      </c>
      <c r="Z229">
        <f t="shared" si="94"/>
        <v>7.4607134912297974</v>
      </c>
      <c r="AA229">
        <f t="shared" si="95"/>
        <v>2.5392865087702026</v>
      </c>
      <c r="AB229">
        <f t="shared" si="96"/>
        <v>3.5222896842884532E-6</v>
      </c>
      <c r="AC229">
        <v>600</v>
      </c>
      <c r="AD229">
        <f t="shared" si="97"/>
        <v>12235.403075180888</v>
      </c>
      <c r="AE229">
        <f>+gettm2(AD229,AC229,AK229,AL229,テーブル2[[#This Row],[Fcorr]])</f>
        <v>382.22740120566715</v>
      </c>
      <c r="AF229">
        <f t="shared" si="98"/>
        <v>-106.82015519815536</v>
      </c>
      <c r="AG229">
        <v>1.0000000000000001E-5</v>
      </c>
      <c r="AH229">
        <f t="shared" si="99"/>
        <v>221.57104161558385</v>
      </c>
      <c r="AI229">
        <f t="shared" si="100"/>
        <v>0.59547416592031854</v>
      </c>
      <c r="AJ229">
        <f t="shared" si="101"/>
        <v>51.519655881009257</v>
      </c>
      <c r="AK229">
        <f>+S229*テーブル2[[#This Row],[F_form]]/(E229*CpFromTP((テーブル2[[#This Row],[Tin]]+テーブル2[[#This Row],[Tf]])/2,テーブル2[[#This Row],[P]])*AI229)</f>
        <v>7.8791521912440778</v>
      </c>
      <c r="AL229">
        <f t="shared" si="102"/>
        <v>1.1293676909872215</v>
      </c>
      <c r="AM229">
        <f t="shared" si="103"/>
        <v>470.23461725857214</v>
      </c>
      <c r="AN229">
        <f t="shared" si="104"/>
        <v>138.38645673995143</v>
      </c>
      <c r="AO229">
        <f t="shared" si="105"/>
        <v>6.4777103157115476E-6</v>
      </c>
      <c r="AP229">
        <v>1</v>
      </c>
      <c r="AQ229">
        <f t="shared" si="106"/>
        <v>5.4530931276593132E-4</v>
      </c>
      <c r="AR229">
        <f t="shared" si="107"/>
        <v>8.2388551578557742E-6</v>
      </c>
      <c r="AS229">
        <f t="shared" si="108"/>
        <v>42.446298258620764</v>
      </c>
      <c r="AT229">
        <f t="shared" si="109"/>
        <v>14.87059926641701</v>
      </c>
      <c r="AU229">
        <f t="shared" si="110"/>
        <v>8.8550576949049695</v>
      </c>
      <c r="AV229">
        <f t="shared" si="111"/>
        <v>-7.8550576949049695</v>
      </c>
      <c r="AW229">
        <f t="shared" si="112"/>
        <v>2.1176398355074824E-3</v>
      </c>
      <c r="AX229">
        <f t="shared" si="113"/>
        <v>2.0879184382032592</v>
      </c>
      <c r="AY229">
        <f t="shared" si="114"/>
        <v>-9.9429761331082283</v>
      </c>
      <c r="AZ229">
        <f t="shared" si="115"/>
        <v>1080577.7610325073</v>
      </c>
      <c r="BA229">
        <f t="shared" si="116"/>
        <v>5.4530931276593132E-4</v>
      </c>
      <c r="BB229">
        <f t="shared" si="117"/>
        <v>8020875.6391426893</v>
      </c>
      <c r="BC229">
        <f t="shared" si="118"/>
        <v>-4881397.4608573103</v>
      </c>
      <c r="BD229">
        <f t="shared" si="119"/>
        <v>-37.833623757795905</v>
      </c>
      <c r="BE229">
        <v>12902273.1</v>
      </c>
      <c r="BF229">
        <f>テーブル2[[#This Row],[q_P]]/テーブル2[[#This Row],[q_M]]</f>
        <v>0.62166376242204091</v>
      </c>
      <c r="BG229">
        <v>1</v>
      </c>
      <c r="BH229">
        <v>-0.45900000000000002</v>
      </c>
      <c r="BI229">
        <v>4.5999999999999999E-2</v>
      </c>
      <c r="BJ229">
        <v>5625</v>
      </c>
      <c r="BK229">
        <v>1</v>
      </c>
      <c r="BL229">
        <f>テーブル2[[#This Row],[Ts]]-テーブル2[[#This Row],[Tin]]</f>
        <v>162.25628229717415</v>
      </c>
      <c r="BM229">
        <f>テーブル2[[#This Row],[q_P]]*0.000001</f>
        <v>8.0208756391426892</v>
      </c>
      <c r="BN229">
        <f>テーブル2[[#This Row],[Tsub]]</f>
        <v>162.25628229717415</v>
      </c>
      <c r="BO229">
        <f>テーブル2[[#This Row],[Fcorr]]</f>
        <v>1</v>
      </c>
      <c r="BP229">
        <f>(テーブル2[[#This Row],[Tsub]]-40)^2</f>
        <v>14946.598561126339</v>
      </c>
      <c r="BQ229">
        <v>1</v>
      </c>
      <c r="BR229">
        <v>0.3175</v>
      </c>
    </row>
    <row r="230" spans="1:70" x14ac:dyDescent="0.15">
      <c r="A230" t="s">
        <v>298</v>
      </c>
      <c r="B230">
        <v>13789514.586336</v>
      </c>
      <c r="C230">
        <f>TsatFromP(テーブル2[[#This Row],[P]])</f>
        <v>608.62107399852357</v>
      </c>
      <c r="D230">
        <f>RhoGFromP(テーブル2[[#This Row],[P]])</f>
        <v>85.147847035840741</v>
      </c>
      <c r="E230">
        <f>RhoFFromP(テーブル2[[#This Row],[P]])</f>
        <v>624.86636713482415</v>
      </c>
      <c r="F230">
        <f>HgFromP(テーブル2[[#This Row],[P]])</f>
        <v>2643264.5206450778</v>
      </c>
      <c r="G230">
        <f>HfFromP(テーブル2[[#This Row],[P]])</f>
        <v>1562686.7596125705</v>
      </c>
      <c r="H230">
        <f>MuGFromP(テーブル2[[#This Row],[P]])</f>
        <v>2.2019591234371903E-5</v>
      </c>
      <c r="I230">
        <f>MuFFromP(テーブル2[[#This Row],[P]])</f>
        <v>7.222326555143516E-5</v>
      </c>
      <c r="J230">
        <f>KfFromP(テーブル2[[#This Row],[P]])</f>
        <v>0.49112131073334553</v>
      </c>
      <c r="K230">
        <f>CpFFromP(テーブル2[[#This Row],[P]])</f>
        <v>7679.7488518783057</v>
      </c>
      <c r="L230">
        <f>SigmaFromP(テーブル2[[#This Row],[P]])</f>
        <v>6.5036449518301549E-3</v>
      </c>
      <c r="M230">
        <v>229</v>
      </c>
      <c r="N230">
        <v>2197.0925999999999</v>
      </c>
      <c r="O230">
        <f t="shared" si="120"/>
        <v>2.8502295699234246E-6</v>
      </c>
      <c r="P230">
        <f t="shared" si="121"/>
        <v>5.9847340050885557E-3</v>
      </c>
      <c r="Q230">
        <v>1.905E-3</v>
      </c>
      <c r="R230">
        <v>0.15240000000000001</v>
      </c>
      <c r="S230">
        <v>3217681.8</v>
      </c>
      <c r="T230">
        <v>520.90449113602949</v>
      </c>
      <c r="U230">
        <f>+T230+BG230*S230*テーブル2[[#This Row],[Pw]]*R230/(N230*O230*K230)</f>
        <v>581.92807268486354</v>
      </c>
      <c r="V230">
        <v>0.03</v>
      </c>
      <c r="W230">
        <f t="shared" si="92"/>
        <v>57951.705327132353</v>
      </c>
      <c r="X230">
        <v>0.01</v>
      </c>
      <c r="Y230">
        <f t="shared" si="93"/>
        <v>10</v>
      </c>
      <c r="Z230">
        <f t="shared" si="94"/>
        <v>4.0916679174503043</v>
      </c>
      <c r="AA230">
        <f t="shared" si="95"/>
        <v>5.9083320825496957</v>
      </c>
      <c r="AB230">
        <f t="shared" si="96"/>
        <v>8.0819932667508166E-5</v>
      </c>
      <c r="AC230">
        <v>600</v>
      </c>
      <c r="AD230">
        <f t="shared" si="97"/>
        <v>1024.4510954534965</v>
      </c>
      <c r="AE230">
        <f>+gettm2(AD230,AC230,AK230,AL230,テーブル2[[#This Row],[Fcorr]])</f>
        <v>425.00804592872095</v>
      </c>
      <c r="AF230">
        <f t="shared" si="98"/>
        <v>-156.92002675614259</v>
      </c>
      <c r="AG230">
        <v>1.0000000000000001E-5</v>
      </c>
      <c r="AH230">
        <f t="shared" si="99"/>
        <v>9.6564964664141062</v>
      </c>
      <c r="AI230">
        <f t="shared" si="100"/>
        <v>0.12431290577202525</v>
      </c>
      <c r="AJ230">
        <f t="shared" si="101"/>
        <v>10.755392078251932</v>
      </c>
      <c r="AK230">
        <f>+S230*テーブル2[[#This Row],[F_form]]/(E230*CpFromTP((テーブル2[[#This Row],[Tin]]+テーブル2[[#This Row],[Tf]])/2,テーブル2[[#This Row],[P]])*AI230)</f>
        <v>8.1862025416816788</v>
      </c>
      <c r="AL230">
        <f t="shared" si="102"/>
        <v>1.1293676909872215</v>
      </c>
      <c r="AM230">
        <f t="shared" si="103"/>
        <v>519.68218700697878</v>
      </c>
      <c r="AN230">
        <f t="shared" si="104"/>
        <v>88.938886991544791</v>
      </c>
      <c r="AO230">
        <f t="shared" si="105"/>
        <v>-7.0819932667508167E-5</v>
      </c>
      <c r="AP230">
        <v>1</v>
      </c>
      <c r="AQ230">
        <f t="shared" si="106"/>
        <v>5.4530931276593132E-4</v>
      </c>
      <c r="AR230">
        <f t="shared" si="107"/>
        <v>-3.0409966333754084E-5</v>
      </c>
      <c r="AS230">
        <f t="shared" si="108"/>
        <v>-32.707111100596663</v>
      </c>
      <c r="AT230">
        <f t="shared" si="109"/>
        <v>-32.707111100596663</v>
      </c>
      <c r="AU230">
        <f t="shared" si="110"/>
        <v>-4.065916020323634</v>
      </c>
      <c r="AV230">
        <f t="shared" si="111"/>
        <v>5.065916020323634</v>
      </c>
      <c r="AW230">
        <f t="shared" si="112"/>
        <v>4.858984474876369E-2</v>
      </c>
      <c r="AX230">
        <f t="shared" si="113"/>
        <v>0.4358798801403711</v>
      </c>
      <c r="AY230">
        <f t="shared" si="114"/>
        <v>4.6300361401832628</v>
      </c>
      <c r="AZ230">
        <f t="shared" si="115"/>
        <v>1080577.7610325073</v>
      </c>
      <c r="BA230">
        <f t="shared" si="116"/>
        <v>5.4530931276593132E-4</v>
      </c>
      <c r="BB230">
        <f t="shared" si="117"/>
        <v>-87691150.887185901</v>
      </c>
      <c r="BC230">
        <f t="shared" si="118"/>
        <v>-90908832.687185898</v>
      </c>
      <c r="BD230">
        <f t="shared" si="119"/>
        <v>-2825.2897066200239</v>
      </c>
      <c r="BE230">
        <v>3217681.8</v>
      </c>
      <c r="BF230">
        <f>テーブル2[[#This Row],[q_P]]/テーブル2[[#This Row],[q_M]]</f>
        <v>-27.252897066200241</v>
      </c>
      <c r="BG230">
        <v>1</v>
      </c>
      <c r="BH230">
        <v>-1.7000000000000001E-2</v>
      </c>
      <c r="BI230">
        <v>4.5999999999999999E-2</v>
      </c>
      <c r="BJ230">
        <v>5625</v>
      </c>
      <c r="BK230">
        <v>1</v>
      </c>
      <c r="BL230">
        <f>テーブル2[[#This Row],[Ts]]-テーブル2[[#This Row],[Tin]]</f>
        <v>87.716582862494079</v>
      </c>
      <c r="BM230">
        <f>テーブル2[[#This Row],[q_P]]*0.000001</f>
        <v>-87.691150887185898</v>
      </c>
      <c r="BN230">
        <f>テーブル2[[#This Row],[Tsub]]</f>
        <v>87.716582862494079</v>
      </c>
      <c r="BO230">
        <f>テーブル2[[#This Row],[Fcorr]]</f>
        <v>1</v>
      </c>
      <c r="BP230">
        <f>(テーブル2[[#This Row],[Tsub]]-40)^2</f>
        <v>2276.8722800732635</v>
      </c>
      <c r="BQ230">
        <v>1</v>
      </c>
      <c r="BR230">
        <v>0.15240000000000001</v>
      </c>
    </row>
    <row r="231" spans="1:70" x14ac:dyDescent="0.15">
      <c r="A231" t="s">
        <v>299</v>
      </c>
      <c r="B231">
        <v>13789514.586336</v>
      </c>
      <c r="C231">
        <f>TsatFromP(テーブル2[[#This Row],[P]])</f>
        <v>608.62107399852357</v>
      </c>
      <c r="D231">
        <f>RhoGFromP(テーブル2[[#This Row],[P]])</f>
        <v>85.147847035840741</v>
      </c>
      <c r="E231">
        <f>RhoFFromP(テーブル2[[#This Row],[P]])</f>
        <v>624.86636713482415</v>
      </c>
      <c r="F231">
        <f>HgFromP(テーブル2[[#This Row],[P]])</f>
        <v>2643264.5206450778</v>
      </c>
      <c r="G231">
        <f>HfFromP(テーブル2[[#This Row],[P]])</f>
        <v>1562686.7596125705</v>
      </c>
      <c r="H231">
        <f>MuGFromP(テーブル2[[#This Row],[P]])</f>
        <v>2.2019591234371903E-5</v>
      </c>
      <c r="I231">
        <f>MuFFromP(テーブル2[[#This Row],[P]])</f>
        <v>7.222326555143516E-5</v>
      </c>
      <c r="J231">
        <f>KfFromP(テーブル2[[#This Row],[P]])</f>
        <v>0.49112131073334553</v>
      </c>
      <c r="K231">
        <f>CpFFromP(テーブル2[[#This Row],[P]])</f>
        <v>7679.7488518783057</v>
      </c>
      <c r="L231">
        <f>SigmaFromP(テーブル2[[#This Row],[P]])</f>
        <v>6.5036449518301549E-3</v>
      </c>
      <c r="M231">
        <v>230</v>
      </c>
      <c r="N231">
        <v>1193.4824000000001</v>
      </c>
      <c r="O231">
        <f t="shared" si="120"/>
        <v>4.7446061512773295E-5</v>
      </c>
      <c r="P231">
        <f t="shared" si="121"/>
        <v>2.4417714740761307E-2</v>
      </c>
      <c r="Q231">
        <v>7.7723999999999996E-3</v>
      </c>
      <c r="R231">
        <v>0.59054999999999991</v>
      </c>
      <c r="S231">
        <v>2583609.209999999</v>
      </c>
      <c r="T231">
        <v>475.88059540297343</v>
      </c>
      <c r="U231">
        <f>+T231+BG231*S231*テーブル2[[#This Row],[Pw]]*R231/(N231*O231*K231)</f>
        <v>561.54991338505624</v>
      </c>
      <c r="V231">
        <v>0.03</v>
      </c>
      <c r="W231">
        <f t="shared" si="92"/>
        <v>128438.14988057781</v>
      </c>
      <c r="X231">
        <v>0.01</v>
      </c>
      <c r="Y231">
        <f t="shared" si="93"/>
        <v>10</v>
      </c>
      <c r="Z231">
        <f t="shared" si="94"/>
        <v>4.2722204977943417</v>
      </c>
      <c r="AA231">
        <f t="shared" si="95"/>
        <v>5.7277795022056583</v>
      </c>
      <c r="AB231">
        <f t="shared" si="96"/>
        <v>2.7389441024355419E-4</v>
      </c>
      <c r="AC231">
        <v>600</v>
      </c>
      <c r="AD231">
        <f t="shared" si="97"/>
        <v>2270.4871685902676</v>
      </c>
      <c r="AE231">
        <f>+gettm2(AD231,AC231,AK231,AL231,テーブル2[[#This Row],[Fcorr]])</f>
        <v>295.09664798938343</v>
      </c>
      <c r="AF231">
        <f t="shared" si="98"/>
        <v>-266.45326539567282</v>
      </c>
      <c r="AG231">
        <v>1.0000000000000001E-5</v>
      </c>
      <c r="AH231">
        <f t="shared" si="99"/>
        <v>2.8494097178749755</v>
      </c>
      <c r="AI231">
        <f t="shared" si="100"/>
        <v>6.7527998197149525E-2</v>
      </c>
      <c r="AJ231">
        <f t="shared" si="101"/>
        <v>5.8424352030010498</v>
      </c>
      <c r="AK231">
        <f>+S231*テーブル2[[#This Row],[F_form]]/(E231*CpFromTP((テーブル2[[#This Row],[Tin]]+テーブル2[[#This Row],[Tf]])/2,テーブル2[[#This Row],[P]])*AI231)</f>
        <v>13.028221880826772</v>
      </c>
      <c r="AL231">
        <f t="shared" si="102"/>
        <v>1.1293676909872215</v>
      </c>
      <c r="AM231">
        <f t="shared" si="103"/>
        <v>515.08468969731575</v>
      </c>
      <c r="AN231">
        <f t="shared" si="104"/>
        <v>93.536384301207818</v>
      </c>
      <c r="AO231">
        <f t="shared" si="105"/>
        <v>-2.6389441024355417E-4</v>
      </c>
      <c r="AP231">
        <v>1</v>
      </c>
      <c r="AQ231">
        <f t="shared" si="106"/>
        <v>5.4530931276593132E-4</v>
      </c>
      <c r="AR231">
        <f t="shared" si="107"/>
        <v>-1.2694720512177707E-4</v>
      </c>
      <c r="AS231">
        <f t="shared" si="108"/>
        <v>-74.168082012606547</v>
      </c>
      <c r="AT231">
        <f t="shared" si="109"/>
        <v>-74.168082012606547</v>
      </c>
      <c r="AU231">
        <f t="shared" si="110"/>
        <v>-5.0084221084333329</v>
      </c>
      <c r="AV231">
        <f t="shared" si="111"/>
        <v>6.0084221084333329</v>
      </c>
      <c r="AW231">
        <f t="shared" si="112"/>
        <v>0.16466837365528847</v>
      </c>
      <c r="AX231">
        <f t="shared" si="113"/>
        <v>0.23677425587872011</v>
      </c>
      <c r="AY231">
        <f t="shared" si="114"/>
        <v>5.7716478525546124</v>
      </c>
      <c r="AZ231">
        <f t="shared" si="115"/>
        <v>1080577.7610325073</v>
      </c>
      <c r="BA231">
        <f t="shared" si="116"/>
        <v>5.4530931276593132E-4</v>
      </c>
      <c r="BB231">
        <f t="shared" si="117"/>
        <v>-326761176.90760684</v>
      </c>
      <c r="BC231">
        <f t="shared" si="118"/>
        <v>-329344786.11760682</v>
      </c>
      <c r="BD231">
        <f t="shared" si="119"/>
        <v>-12747.469115795842</v>
      </c>
      <c r="BE231">
        <v>2583609.209999999</v>
      </c>
      <c r="BF231">
        <f>テーブル2[[#This Row],[q_P]]/テーブル2[[#This Row],[q_M]]</f>
        <v>-126.47469115795843</v>
      </c>
      <c r="BG231">
        <v>1</v>
      </c>
      <c r="BH231">
        <v>-3.2000000000000001E-2</v>
      </c>
      <c r="BI231">
        <v>4.5999999999999999E-2</v>
      </c>
      <c r="BJ231">
        <v>5625</v>
      </c>
      <c r="BK231">
        <v>1</v>
      </c>
      <c r="BL231">
        <f>テーブル2[[#This Row],[Ts]]-テーブル2[[#This Row],[Tin]]</f>
        <v>132.74047859555014</v>
      </c>
      <c r="BM231">
        <f>テーブル2[[#This Row],[q_P]]*0.000001</f>
        <v>-326.76117690760685</v>
      </c>
      <c r="BN231">
        <f>テーブル2[[#This Row],[Tsub]]</f>
        <v>132.74047859555014</v>
      </c>
      <c r="BO231">
        <f>テーブル2[[#This Row],[Fcorr]]</f>
        <v>1</v>
      </c>
      <c r="BP231">
        <f>(テーブル2[[#This Row],[Tsub]]-40)^2</f>
        <v>8600.7963701316949</v>
      </c>
      <c r="BQ231">
        <v>1</v>
      </c>
      <c r="BR231">
        <v>0.59054999999999991</v>
      </c>
    </row>
    <row r="232" spans="1:70" x14ac:dyDescent="0.15">
      <c r="A232" t="s">
        <v>300</v>
      </c>
      <c r="B232">
        <v>13789514.586336</v>
      </c>
      <c r="C232">
        <f>TsatFromP(テーブル2[[#This Row],[P]])</f>
        <v>608.62107399852357</v>
      </c>
      <c r="D232">
        <f>RhoGFromP(テーブル2[[#This Row],[P]])</f>
        <v>85.147847035840741</v>
      </c>
      <c r="E232">
        <f>RhoFFromP(テーブル2[[#This Row],[P]])</f>
        <v>624.86636713482415</v>
      </c>
      <c r="F232">
        <f>HgFromP(テーブル2[[#This Row],[P]])</f>
        <v>2643264.5206450778</v>
      </c>
      <c r="G232">
        <f>HfFromP(テーブル2[[#This Row],[P]])</f>
        <v>1562686.7596125705</v>
      </c>
      <c r="H232">
        <f>MuGFromP(テーブル2[[#This Row],[P]])</f>
        <v>2.2019591234371903E-5</v>
      </c>
      <c r="I232">
        <f>MuFFromP(テーブル2[[#This Row],[P]])</f>
        <v>7.222326555143516E-5</v>
      </c>
      <c r="J232">
        <f>KfFromP(テーブル2[[#This Row],[P]])</f>
        <v>0.49112131073334553</v>
      </c>
      <c r="K232">
        <f>CpFFromP(テーブル2[[#This Row],[P]])</f>
        <v>7679.7488518783057</v>
      </c>
      <c r="L232">
        <f>SigmaFromP(テーブル2[[#This Row],[P]])</f>
        <v>6.5036449518301549E-3</v>
      </c>
      <c r="M232">
        <v>231</v>
      </c>
      <c r="N232">
        <v>520.79232000000002</v>
      </c>
      <c r="O232">
        <f t="shared" si="120"/>
        <v>1.7719053836560394E-5</v>
      </c>
      <c r="P232">
        <f t="shared" si="121"/>
        <v>1.4921936786020797E-2</v>
      </c>
      <c r="Q232">
        <v>4.7497999999999993E-3</v>
      </c>
      <c r="R232">
        <v>0.3175</v>
      </c>
      <c r="S232">
        <v>851739.29999999993</v>
      </c>
      <c r="T232">
        <v>540.49035799190642</v>
      </c>
      <c r="U232">
        <f>+T232+BG232*S232*テーブル2[[#This Row],[Pw]]*R232/(N232*O232*K232)</f>
        <v>597.43114892292567</v>
      </c>
      <c r="V232">
        <v>0.03</v>
      </c>
      <c r="W232">
        <f t="shared" si="92"/>
        <v>34250.173301487412</v>
      </c>
      <c r="X232">
        <v>0.01</v>
      </c>
      <c r="Y232">
        <f t="shared" si="93"/>
        <v>10</v>
      </c>
      <c r="Z232">
        <f t="shared" si="94"/>
        <v>2.4170784560579697</v>
      </c>
      <c r="AA232">
        <f t="shared" si="95"/>
        <v>7.5829215439420299</v>
      </c>
      <c r="AB232">
        <f t="shared" si="96"/>
        <v>1.4384211649075547E-3</v>
      </c>
      <c r="AC232">
        <v>600</v>
      </c>
      <c r="AD232">
        <f t="shared" si="97"/>
        <v>605.46324495740464</v>
      </c>
      <c r="AE232">
        <f>+gettm2(AD232,AC232,AK232,AL232,テーブル2[[#This Row],[Fcorr]])</f>
        <v>427.81586589699094</v>
      </c>
      <c r="AF232">
        <f t="shared" si="98"/>
        <v>-169.61528302593473</v>
      </c>
      <c r="AG232">
        <v>1.0000000000000001E-5</v>
      </c>
      <c r="AH232">
        <f t="shared" si="99"/>
        <v>0.54256528842842511</v>
      </c>
      <c r="AI232">
        <f t="shared" si="100"/>
        <v>2.9466762849665248E-2</v>
      </c>
      <c r="AJ232">
        <f t="shared" si="101"/>
        <v>2.5494262704004584</v>
      </c>
      <c r="AK232">
        <f>+S232*テーブル2[[#This Row],[F_form]]/(E232*CpFromTP((テーブル2[[#This Row],[Tin]]+テーブル2[[#This Row],[Tf]])/2,テーブル2[[#This Row],[P]])*AI232)</f>
        <v>8.6028922849012446</v>
      </c>
      <c r="AL232">
        <f t="shared" si="102"/>
        <v>1.1293676909872215</v>
      </c>
      <c r="AM232">
        <f t="shared" si="103"/>
        <v>575.2302113396421</v>
      </c>
      <c r="AN232">
        <f t="shared" si="104"/>
        <v>33.390862658881474</v>
      </c>
      <c r="AO232">
        <f t="shared" si="105"/>
        <v>-1.4284211649075547E-3</v>
      </c>
      <c r="AP232">
        <v>1</v>
      </c>
      <c r="AQ232">
        <f t="shared" si="106"/>
        <v>5.4530931276593132E-4</v>
      </c>
      <c r="AR232">
        <f t="shared" si="107"/>
        <v>-7.0921058245377732E-4</v>
      </c>
      <c r="AS232">
        <f t="shared" si="108"/>
        <v>-180.80800901536699</v>
      </c>
      <c r="AT232">
        <f t="shared" si="109"/>
        <v>-180.80800901536699</v>
      </c>
      <c r="AU232">
        <f t="shared" si="110"/>
        <v>-5.3278267229759555</v>
      </c>
      <c r="AV232">
        <f t="shared" si="111"/>
        <v>6.3278267229759555</v>
      </c>
      <c r="AW232">
        <f t="shared" si="112"/>
        <v>0.86479484428341602</v>
      </c>
      <c r="AX232">
        <f t="shared" si="113"/>
        <v>0.10331967529253241</v>
      </c>
      <c r="AY232">
        <f t="shared" si="114"/>
        <v>6.2245070476834234</v>
      </c>
      <c r="AZ232">
        <f t="shared" si="115"/>
        <v>1080577.7610325073</v>
      </c>
      <c r="BA232">
        <f t="shared" si="116"/>
        <v>5.4530931276593132E-4</v>
      </c>
      <c r="BB232">
        <f t="shared" si="117"/>
        <v>-1768709615.842756</v>
      </c>
      <c r="BC232">
        <f t="shared" si="118"/>
        <v>-1769561355.142756</v>
      </c>
      <c r="BD232">
        <f t="shared" si="119"/>
        <v>-207758.56593006288</v>
      </c>
      <c r="BE232">
        <v>851739.29999999993</v>
      </c>
      <c r="BF232">
        <f>テーブル2[[#This Row],[q_P]]/テーブル2[[#This Row],[q_M]]</f>
        <v>-2076.5856593006288</v>
      </c>
      <c r="BG232">
        <v>1</v>
      </c>
      <c r="BH232">
        <v>4.1000000000000002E-2</v>
      </c>
      <c r="BI232">
        <v>4.5999999999999999E-2</v>
      </c>
      <c r="BJ232">
        <v>5625</v>
      </c>
      <c r="BK232">
        <v>1</v>
      </c>
      <c r="BL232">
        <f>テーブル2[[#This Row],[Ts]]-テーブル2[[#This Row],[Tin]]</f>
        <v>68.130716006617149</v>
      </c>
      <c r="BM232">
        <f>テーブル2[[#This Row],[q_P]]*0.000001</f>
        <v>-1768.709615842756</v>
      </c>
      <c r="BN232">
        <f>テーブル2[[#This Row],[Tsub]]</f>
        <v>68.130716006617149</v>
      </c>
      <c r="BO232">
        <f>テーブル2[[#This Row],[Fcorr]]</f>
        <v>1</v>
      </c>
      <c r="BP232">
        <f>(テーブル2[[#This Row],[Tsub]]-40)^2</f>
        <v>791.3371830449463</v>
      </c>
      <c r="BQ232">
        <v>1</v>
      </c>
      <c r="BR232">
        <v>0.3175</v>
      </c>
    </row>
    <row r="233" spans="1:70" x14ac:dyDescent="0.15">
      <c r="A233" t="s">
        <v>301</v>
      </c>
      <c r="B233">
        <v>13789514.586336</v>
      </c>
      <c r="C233">
        <f>TsatFromP(テーブル2[[#This Row],[P]])</f>
        <v>608.62107399852357</v>
      </c>
      <c r="D233">
        <f>RhoGFromP(テーブル2[[#This Row],[P]])</f>
        <v>85.147847035840741</v>
      </c>
      <c r="E233">
        <f>RhoFFromP(テーブル2[[#This Row],[P]])</f>
        <v>624.86636713482415</v>
      </c>
      <c r="F233">
        <f>HgFromP(テーブル2[[#This Row],[P]])</f>
        <v>2643264.5206450778</v>
      </c>
      <c r="G233">
        <f>HfFromP(テーブル2[[#This Row],[P]])</f>
        <v>1562686.7596125705</v>
      </c>
      <c r="H233">
        <f>MuGFromP(テーブル2[[#This Row],[P]])</f>
        <v>2.2019591234371903E-5</v>
      </c>
      <c r="I233">
        <f>MuFFromP(テーブル2[[#This Row],[P]])</f>
        <v>7.222326555143516E-5</v>
      </c>
      <c r="J233">
        <f>KfFromP(テーブル2[[#This Row],[P]])</f>
        <v>0.49112131073334553</v>
      </c>
      <c r="K233">
        <f>CpFFromP(テーブル2[[#This Row],[P]])</f>
        <v>7679.7488518783057</v>
      </c>
      <c r="L233">
        <f>SigmaFromP(テーブル2[[#This Row],[P]])</f>
        <v>6.5036449518301549E-3</v>
      </c>
      <c r="M233">
        <v>232</v>
      </c>
      <c r="N233">
        <v>10565.0317</v>
      </c>
      <c r="O233">
        <f t="shared" si="120"/>
        <v>2.5880591202383804E-5</v>
      </c>
      <c r="P233">
        <f t="shared" si="121"/>
        <v>1.8033998468666854E-2</v>
      </c>
      <c r="Q233">
        <v>5.7404000000000014E-3</v>
      </c>
      <c r="R233">
        <v>0.62484000000000006</v>
      </c>
      <c r="S233">
        <v>6466909.4999999991</v>
      </c>
      <c r="T233">
        <v>560.5296093896327</v>
      </c>
      <c r="U233">
        <f>+T233+BG233*S233*テーブル2[[#This Row],[Pw]]*R233/(N233*O233*K233)</f>
        <v>595.23249753788298</v>
      </c>
      <c r="V233">
        <v>0.03</v>
      </c>
      <c r="W233">
        <f t="shared" si="92"/>
        <v>839722.59503398871</v>
      </c>
      <c r="X233">
        <v>0.01</v>
      </c>
      <c r="Y233">
        <f t="shared" si="93"/>
        <v>10</v>
      </c>
      <c r="Z233">
        <f t="shared" si="94"/>
        <v>7.6312941306807796</v>
      </c>
      <c r="AA233">
        <f t="shared" si="95"/>
        <v>2.3687058693192204</v>
      </c>
      <c r="AB233">
        <f t="shared" si="96"/>
        <v>3.4952126058161593E-6</v>
      </c>
      <c r="AC233">
        <v>600</v>
      </c>
      <c r="AD233">
        <f t="shared" si="97"/>
        <v>14844.338531602463</v>
      </c>
      <c r="AE233">
        <f>+gettm2(AD233,AC233,AK233,AL233,テーブル2[[#This Row],[Fcorr]])</f>
        <v>513.08424342770581</v>
      </c>
      <c r="AF233">
        <f t="shared" si="98"/>
        <v>-82.148254110177163</v>
      </c>
      <c r="AG233">
        <v>1.0000000000000001E-5</v>
      </c>
      <c r="AH233">
        <f t="shared" si="99"/>
        <v>223.28753132812082</v>
      </c>
      <c r="AI233">
        <f t="shared" si="100"/>
        <v>0.59777625676794865</v>
      </c>
      <c r="AJ233">
        <f t="shared" si="101"/>
        <v>51.718829808384299</v>
      </c>
      <c r="AK233">
        <f>+S233*テーブル2[[#This Row],[F_form]]/(E233*CpFromTP((テーブル2[[#This Row],[Tin]]+テーブル2[[#This Row],[Tf]])/2,テーブル2[[#This Row],[P]])*AI233)</f>
        <v>3.0905246550380316</v>
      </c>
      <c r="AL233">
        <f t="shared" si="102"/>
        <v>1.1293676909872215</v>
      </c>
      <c r="AM233">
        <f t="shared" si="103"/>
        <v>549.07091529232071</v>
      </c>
      <c r="AN233">
        <f t="shared" si="104"/>
        <v>59.550158706202865</v>
      </c>
      <c r="AO233">
        <f t="shared" si="105"/>
        <v>6.5047873941838415E-6</v>
      </c>
      <c r="AP233">
        <v>1</v>
      </c>
      <c r="AQ233">
        <f t="shared" si="106"/>
        <v>5.4530931276593132E-4</v>
      </c>
      <c r="AR233">
        <f t="shared" si="107"/>
        <v>8.2523936970919203E-6</v>
      </c>
      <c r="AS233">
        <f t="shared" si="108"/>
        <v>42.680414513168017</v>
      </c>
      <c r="AT233">
        <f t="shared" si="109"/>
        <v>14.884350346259323</v>
      </c>
      <c r="AU233">
        <f t="shared" si="110"/>
        <v>8.8975112344096186</v>
      </c>
      <c r="AV233">
        <f t="shared" si="111"/>
        <v>-7.8975112344096186</v>
      </c>
      <c r="AW233">
        <f t="shared" si="112"/>
        <v>2.1013607939914308E-3</v>
      </c>
      <c r="AX233">
        <f t="shared" si="113"/>
        <v>2.0959902878354884</v>
      </c>
      <c r="AY233">
        <f t="shared" si="114"/>
        <v>-9.9935015222451078</v>
      </c>
      <c r="AZ233">
        <f t="shared" si="115"/>
        <v>1080577.7610325073</v>
      </c>
      <c r="BA233">
        <f t="shared" si="116"/>
        <v>5.4530931276593132E-4</v>
      </c>
      <c r="BB233">
        <f t="shared" si="117"/>
        <v>8054403.2080694456</v>
      </c>
      <c r="BC233">
        <f t="shared" si="118"/>
        <v>1587493.7080694465</v>
      </c>
      <c r="BD233">
        <f t="shared" si="119"/>
        <v>24.547949960788021</v>
      </c>
      <c r="BE233">
        <v>6466909.4999999991</v>
      </c>
      <c r="BF233">
        <f>テーブル2[[#This Row],[q_P]]/テーブル2[[#This Row],[q_M]]</f>
        <v>1.2454794996078802</v>
      </c>
      <c r="BG233">
        <v>1</v>
      </c>
      <c r="BH233">
        <v>-2.3E-2</v>
      </c>
      <c r="BI233">
        <v>4.5999999999999999E-2</v>
      </c>
      <c r="BJ233">
        <v>5625</v>
      </c>
      <c r="BK233">
        <v>1</v>
      </c>
      <c r="BL233">
        <f>テーブル2[[#This Row],[Ts]]-テーブル2[[#This Row],[Tin]]</f>
        <v>48.091464608890874</v>
      </c>
      <c r="BM233">
        <f>テーブル2[[#This Row],[q_P]]*0.000001</f>
        <v>8.054403208069445</v>
      </c>
      <c r="BN233">
        <f>テーブル2[[#This Row],[Tsub]]</f>
        <v>48.091464608890874</v>
      </c>
      <c r="BO233">
        <f>テーブル2[[#This Row],[Fcorr]]</f>
        <v>1</v>
      </c>
      <c r="BP233">
        <f>(テーブル2[[#This Row],[Tsub]]-40)^2</f>
        <v>65.471799516933544</v>
      </c>
      <c r="BQ233">
        <v>1</v>
      </c>
      <c r="BR233">
        <v>0.62484000000000006</v>
      </c>
    </row>
    <row r="234" spans="1:70" x14ac:dyDescent="0.15">
      <c r="A234" t="s">
        <v>302</v>
      </c>
      <c r="B234">
        <v>13789514.586336</v>
      </c>
      <c r="C234">
        <f>TsatFromP(テーブル2[[#This Row],[P]])</f>
        <v>608.62107399852357</v>
      </c>
      <c r="D234">
        <f>RhoGFromP(テーブル2[[#This Row],[P]])</f>
        <v>85.147847035840741</v>
      </c>
      <c r="E234">
        <f>RhoFFromP(テーブル2[[#This Row],[P]])</f>
        <v>624.86636713482415</v>
      </c>
      <c r="F234">
        <f>HgFromP(テーブル2[[#This Row],[P]])</f>
        <v>2643264.5206450778</v>
      </c>
      <c r="G234">
        <f>HfFromP(テーブル2[[#This Row],[P]])</f>
        <v>1562686.7596125705</v>
      </c>
      <c r="H234">
        <f>MuGFromP(テーブル2[[#This Row],[P]])</f>
        <v>2.2019591234371903E-5</v>
      </c>
      <c r="I234">
        <f>MuFFromP(テーブル2[[#This Row],[P]])</f>
        <v>7.222326555143516E-5</v>
      </c>
      <c r="J234">
        <f>KfFromP(テーブル2[[#This Row],[P]])</f>
        <v>0.49112131073334553</v>
      </c>
      <c r="K234">
        <f>CpFFromP(テーブル2[[#This Row],[P]])</f>
        <v>7679.7488518783057</v>
      </c>
      <c r="L234">
        <f>SigmaFromP(テーブル2[[#This Row],[P]])</f>
        <v>6.5036449518301549E-3</v>
      </c>
      <c r="M234">
        <v>233</v>
      </c>
      <c r="N234">
        <v>7364.3289000000004</v>
      </c>
      <c r="O234">
        <f t="shared" si="120"/>
        <v>1.7719053836560394E-5</v>
      </c>
      <c r="P234">
        <f t="shared" si="121"/>
        <v>1.4921936786020797E-2</v>
      </c>
      <c r="Q234">
        <v>4.7497999999999993E-3</v>
      </c>
      <c r="R234">
        <v>0.3175</v>
      </c>
      <c r="S234">
        <v>14763481.199999999</v>
      </c>
      <c r="T234">
        <v>398.21304431350183</v>
      </c>
      <c r="U234">
        <f>+T234+BG234*S234*テーブル2[[#This Row],[Pw]]*R234/(N234*O234*K234)</f>
        <v>468.01008012139579</v>
      </c>
      <c r="V234">
        <v>0.03</v>
      </c>
      <c r="W234">
        <f t="shared" si="92"/>
        <v>484318.85684134538</v>
      </c>
      <c r="X234">
        <v>0.01</v>
      </c>
      <c r="Y234">
        <f t="shared" si="93"/>
        <v>10</v>
      </c>
      <c r="Z234">
        <f t="shared" si="94"/>
        <v>6.8929887567015564</v>
      </c>
      <c r="AA234">
        <f t="shared" si="95"/>
        <v>3.1070112432984436</v>
      </c>
      <c r="AB234">
        <f t="shared" si="96"/>
        <v>7.1936425523779413E-6</v>
      </c>
      <c r="AC234">
        <v>600</v>
      </c>
      <c r="AD234">
        <f t="shared" si="97"/>
        <v>8561.6286982258025</v>
      </c>
      <c r="AE234">
        <f>+gettm2(AD234,AC234,AK234,AL234,テーブル2[[#This Row],[Fcorr]])</f>
        <v>246.26003972657961</v>
      </c>
      <c r="AF234">
        <f t="shared" si="98"/>
        <v>-221.75004039481618</v>
      </c>
      <c r="AG234">
        <v>1.0000000000000001E-5</v>
      </c>
      <c r="AH234">
        <f t="shared" si="99"/>
        <v>108.48987679567649</v>
      </c>
      <c r="AI234">
        <f t="shared" si="100"/>
        <v>0.41667844342104771</v>
      </c>
      <c r="AJ234">
        <f t="shared" si="101"/>
        <v>36.050480854881485</v>
      </c>
      <c r="AK234">
        <f>+S234*テーブル2[[#This Row],[F_form]]/(E234*CpFromTP((テーブル2[[#This Row],[Tin]]+テーブル2[[#This Row],[Tf]])/2,テーブル2[[#This Row],[P]])*AI234)</f>
        <v>13.226869034587065</v>
      </c>
      <c r="AL234">
        <f t="shared" si="102"/>
        <v>1.1293676909872215</v>
      </c>
      <c r="AM234">
        <f t="shared" si="103"/>
        <v>393.96701713262451</v>
      </c>
      <c r="AN234">
        <f t="shared" si="104"/>
        <v>214.65405686589907</v>
      </c>
      <c r="AO234">
        <f t="shared" si="105"/>
        <v>2.8063574476220596E-6</v>
      </c>
      <c r="AP234">
        <v>1</v>
      </c>
      <c r="AQ234">
        <f t="shared" si="106"/>
        <v>5.4530931276593132E-4</v>
      </c>
      <c r="AR234">
        <f t="shared" si="107"/>
        <v>6.4031787238110306E-6</v>
      </c>
      <c r="AS234">
        <f t="shared" si="108"/>
        <v>23.083767199313399</v>
      </c>
      <c r="AT234">
        <f t="shared" si="109"/>
        <v>12.64564825930414</v>
      </c>
      <c r="AU234">
        <f t="shared" si="110"/>
        <v>5.2691690327369303</v>
      </c>
      <c r="AV234">
        <f t="shared" si="111"/>
        <v>-4.2691690327369303</v>
      </c>
      <c r="AW234">
        <f t="shared" si="112"/>
        <v>4.3248981193307542E-3</v>
      </c>
      <c r="AX234">
        <f t="shared" si="113"/>
        <v>1.4610047834334663</v>
      </c>
      <c r="AY234">
        <f t="shared" si="114"/>
        <v>-5.7301738161703968</v>
      </c>
      <c r="AZ234">
        <f t="shared" si="115"/>
        <v>1080577.7610325073</v>
      </c>
      <c r="BA234">
        <f t="shared" si="116"/>
        <v>5.4530931276593132E-4</v>
      </c>
      <c r="BB234">
        <f t="shared" si="117"/>
        <v>3474907.488802372</v>
      </c>
      <c r="BC234">
        <f t="shared" si="118"/>
        <v>-11288573.711197628</v>
      </c>
      <c r="BD234">
        <f t="shared" si="119"/>
        <v>-76.462817666592258</v>
      </c>
      <c r="BE234">
        <v>14763481.199999999</v>
      </c>
      <c r="BF234">
        <f>テーブル2[[#This Row],[q_P]]/テーブル2[[#This Row],[q_M]]</f>
        <v>0.23537182333407736</v>
      </c>
      <c r="BG234">
        <v>1</v>
      </c>
      <c r="BH234">
        <v>-0.45600000000000002</v>
      </c>
      <c r="BI234">
        <v>4.5999999999999999E-2</v>
      </c>
      <c r="BJ234">
        <v>5625</v>
      </c>
      <c r="BK234">
        <v>1</v>
      </c>
      <c r="BL234">
        <f>テーブル2[[#This Row],[Ts]]-テーブル2[[#This Row],[Tin]]</f>
        <v>210.40802968502175</v>
      </c>
      <c r="BM234">
        <f>テーブル2[[#This Row],[q_P]]*0.000001</f>
        <v>3.4749074888023719</v>
      </c>
      <c r="BN234">
        <f>テーブル2[[#This Row],[Tsub]]</f>
        <v>210.40802968502175</v>
      </c>
      <c r="BO234">
        <f>テーブル2[[#This Row],[Fcorr]]</f>
        <v>1</v>
      </c>
      <c r="BP234">
        <f>(テーブル2[[#This Row],[Tsub]]-40)^2</f>
        <v>29038.896581131252</v>
      </c>
      <c r="BQ234">
        <v>1</v>
      </c>
      <c r="BR234">
        <v>0.3175</v>
      </c>
    </row>
    <row r="235" spans="1:70" x14ac:dyDescent="0.15">
      <c r="A235" t="s">
        <v>303</v>
      </c>
      <c r="B235">
        <v>13789514.586336</v>
      </c>
      <c r="C235">
        <f>TsatFromP(テーブル2[[#This Row],[P]])</f>
        <v>608.62107399852357</v>
      </c>
      <c r="D235">
        <f>RhoGFromP(テーブル2[[#This Row],[P]])</f>
        <v>85.147847035840741</v>
      </c>
      <c r="E235">
        <f>RhoFFromP(テーブル2[[#This Row],[P]])</f>
        <v>624.86636713482415</v>
      </c>
      <c r="F235">
        <f>HgFromP(テーブル2[[#This Row],[P]])</f>
        <v>2643264.5206450778</v>
      </c>
      <c r="G235">
        <f>HfFromP(テーブル2[[#This Row],[P]])</f>
        <v>1562686.7596125705</v>
      </c>
      <c r="H235">
        <f>MuGFromP(テーブル2[[#This Row],[P]])</f>
        <v>2.2019591234371903E-5</v>
      </c>
      <c r="I235">
        <f>MuFFromP(テーブル2[[#This Row],[P]])</f>
        <v>7.222326555143516E-5</v>
      </c>
      <c r="J235">
        <f>KfFromP(テーブル2[[#This Row],[P]])</f>
        <v>0.49112131073334553</v>
      </c>
      <c r="K235">
        <f>CpFFromP(テーブル2[[#This Row],[P]])</f>
        <v>7679.7488518783057</v>
      </c>
      <c r="L235">
        <f>SigmaFromP(テーブル2[[#This Row],[P]])</f>
        <v>6.5036449518301549E-3</v>
      </c>
      <c r="M235">
        <v>234</v>
      </c>
      <c r="N235">
        <v>5357.1085000000003</v>
      </c>
      <c r="O235">
        <f t="shared" si="120"/>
        <v>2.5880591202383804E-5</v>
      </c>
      <c r="P235">
        <f t="shared" si="121"/>
        <v>1.8033998468666854E-2</v>
      </c>
      <c r="Q235">
        <v>5.7404000000000014E-3</v>
      </c>
      <c r="R235">
        <v>0.62484000000000006</v>
      </c>
      <c r="S235">
        <v>9211402.7999999989</v>
      </c>
      <c r="T235">
        <v>470.3121633284058</v>
      </c>
      <c r="U235">
        <f>+T235+BG235*S235*テーブル2[[#This Row],[Pw]]*R235/(N235*O235*K235)</f>
        <v>567.79652963042724</v>
      </c>
      <c r="V235">
        <v>0.03</v>
      </c>
      <c r="W235">
        <f t="shared" si="92"/>
        <v>425790.0193047825</v>
      </c>
      <c r="X235">
        <v>0.01</v>
      </c>
      <c r="Y235">
        <f t="shared" si="93"/>
        <v>10</v>
      </c>
      <c r="Z235">
        <f t="shared" si="94"/>
        <v>6.5398023437833013</v>
      </c>
      <c r="AA235">
        <f t="shared" si="95"/>
        <v>3.4601976562166987</v>
      </c>
      <c r="AB235">
        <f t="shared" si="96"/>
        <v>1.3594220880795282E-5</v>
      </c>
      <c r="AC235">
        <v>600</v>
      </c>
      <c r="AD235">
        <f t="shared" si="97"/>
        <v>7526.9752502990668</v>
      </c>
      <c r="AE235">
        <f>+gettm2(AD235,AC235,AK235,AL235,テーブル2[[#This Row],[Fcorr]])</f>
        <v>326.7502801436525</v>
      </c>
      <c r="AF235">
        <f t="shared" si="98"/>
        <v>-241.04624948677474</v>
      </c>
      <c r="AG235">
        <v>1.0000000000000001E-5</v>
      </c>
      <c r="AH235">
        <f t="shared" si="99"/>
        <v>57.409497834638834</v>
      </c>
      <c r="AI235">
        <f t="shared" si="100"/>
        <v>0.3031086282712962</v>
      </c>
      <c r="AJ235">
        <f t="shared" si="101"/>
        <v>26.224567104379716</v>
      </c>
      <c r="AK235">
        <f>+S235*テーブル2[[#This Row],[F_form]]/(E235*CpFromTP((テーブル2[[#This Row],[Tin]]+テーブル2[[#This Row],[Tf]])/2,テーブル2[[#This Row],[P]])*AI235)</f>
        <v>10.342167300127835</v>
      </c>
      <c r="AL235">
        <f t="shared" si="102"/>
        <v>1.1293676909872215</v>
      </c>
      <c r="AM235">
        <f t="shared" si="103"/>
        <v>450.75206277227676</v>
      </c>
      <c r="AN235">
        <f t="shared" si="104"/>
        <v>157.86901122624681</v>
      </c>
      <c r="AO235">
        <f t="shared" si="105"/>
        <v>-3.5942208807952807E-6</v>
      </c>
      <c r="AP235">
        <v>1</v>
      </c>
      <c r="AQ235">
        <f t="shared" si="106"/>
        <v>5.4530931276593132E-4</v>
      </c>
      <c r="AR235">
        <f t="shared" si="107"/>
        <v>3.2028895596023601E-6</v>
      </c>
      <c r="AS235">
        <f t="shared" si="108"/>
        <v>8.3994392183709277</v>
      </c>
      <c r="AT235">
        <f t="shared" si="109"/>
        <v>7.590824719514961</v>
      </c>
      <c r="AU235">
        <f t="shared" si="110"/>
        <v>2.3008444681800264</v>
      </c>
      <c r="AV235">
        <f t="shared" si="111"/>
        <v>-1.3008444681800264</v>
      </c>
      <c r="AW235">
        <f t="shared" si="112"/>
        <v>8.1729971836984709E-3</v>
      </c>
      <c r="AX235">
        <f t="shared" si="113"/>
        <v>1.0627935349101643</v>
      </c>
      <c r="AY235">
        <f t="shared" si="114"/>
        <v>-2.3636380030901907</v>
      </c>
      <c r="AZ235">
        <f t="shared" si="115"/>
        <v>1080577.7610325073</v>
      </c>
      <c r="BA235">
        <f t="shared" si="116"/>
        <v>5.4530931276593132E-4</v>
      </c>
      <c r="BB235">
        <f t="shared" si="117"/>
        <v>-4450461.2431564303</v>
      </c>
      <c r="BC235">
        <f t="shared" si="118"/>
        <v>-13661864.04315643</v>
      </c>
      <c r="BD235">
        <f t="shared" si="119"/>
        <v>-148.31469581545639</v>
      </c>
      <c r="BE235">
        <v>9211402.7999999989</v>
      </c>
      <c r="BF235">
        <f>テーブル2[[#This Row],[q_P]]/テーブル2[[#This Row],[q_M]]</f>
        <v>-0.48314695815456371</v>
      </c>
      <c r="BG235">
        <v>1</v>
      </c>
      <c r="BH235">
        <v>2.9000000000000001E-2</v>
      </c>
      <c r="BI235">
        <v>4.5999999999999999E-2</v>
      </c>
      <c r="BJ235">
        <v>5625</v>
      </c>
      <c r="BK235">
        <v>1</v>
      </c>
      <c r="BL235">
        <f>テーブル2[[#This Row],[Ts]]-テーブル2[[#This Row],[Tin]]</f>
        <v>138.30891067011777</v>
      </c>
      <c r="BM235">
        <f>テーブル2[[#This Row],[q_P]]*0.000001</f>
        <v>-4.4504612431564299</v>
      </c>
      <c r="BN235">
        <f>テーブル2[[#This Row],[Tsub]]</f>
        <v>138.30891067011777</v>
      </c>
      <c r="BO235">
        <f>テーブル2[[#This Row],[Fcorr]]</f>
        <v>1</v>
      </c>
      <c r="BP235">
        <f>(テーブル2[[#This Row],[Tsub]]-40)^2</f>
        <v>9664.6419171451944</v>
      </c>
      <c r="BQ235">
        <v>1</v>
      </c>
      <c r="BR235">
        <v>0.62484000000000006</v>
      </c>
    </row>
    <row r="236" spans="1:70" x14ac:dyDescent="0.15">
      <c r="A236" t="s">
        <v>304</v>
      </c>
      <c r="B236">
        <v>13789514.586336</v>
      </c>
      <c r="C236">
        <f>TsatFromP(テーブル2[[#This Row],[P]])</f>
        <v>608.62107399852357</v>
      </c>
      <c r="D236">
        <f>RhoGFromP(テーブル2[[#This Row],[P]])</f>
        <v>85.147847035840741</v>
      </c>
      <c r="E236">
        <f>RhoFFromP(テーブル2[[#This Row],[P]])</f>
        <v>624.86636713482415</v>
      </c>
      <c r="F236">
        <f>HgFromP(テーブル2[[#This Row],[P]])</f>
        <v>2643264.5206450778</v>
      </c>
      <c r="G236">
        <f>HfFromP(テーブル2[[#This Row],[P]])</f>
        <v>1562686.7596125705</v>
      </c>
      <c r="H236">
        <f>MuGFromP(テーブル2[[#This Row],[P]])</f>
        <v>2.2019591234371903E-5</v>
      </c>
      <c r="I236">
        <f>MuFFromP(テーブル2[[#This Row],[P]])</f>
        <v>7.222326555143516E-5</v>
      </c>
      <c r="J236">
        <f>KfFromP(テーブル2[[#This Row],[P]])</f>
        <v>0.49112131073334553</v>
      </c>
      <c r="K236">
        <f>CpFFromP(テーブル2[[#This Row],[P]])</f>
        <v>7679.7488518783057</v>
      </c>
      <c r="L236">
        <f>SigmaFromP(テーブル2[[#This Row],[P]])</f>
        <v>6.5036449518301549E-3</v>
      </c>
      <c r="M236">
        <v>235</v>
      </c>
      <c r="N236">
        <v>5153.674</v>
      </c>
      <c r="O236">
        <f t="shared" si="120"/>
        <v>1.0361661240064725E-5</v>
      </c>
      <c r="P236">
        <f t="shared" si="121"/>
        <v>1.1410892836368843E-2</v>
      </c>
      <c r="Q236">
        <v>3.6321999999999991E-3</v>
      </c>
      <c r="R236">
        <v>7.619999999999999E-2</v>
      </c>
      <c r="S236">
        <v>9936958.5</v>
      </c>
      <c r="T236">
        <v>581.7028894881837</v>
      </c>
      <c r="U236">
        <f>+T236+BG236*S236*テーブル2[[#This Row],[Pw]]*R236/(N236*O236*K236)</f>
        <v>602.77144319169668</v>
      </c>
      <c r="V236">
        <v>0.03</v>
      </c>
      <c r="W236">
        <f t="shared" si="92"/>
        <v>259184.82859887835</v>
      </c>
      <c r="X236">
        <v>0.01</v>
      </c>
      <c r="Y236">
        <f t="shared" si="93"/>
        <v>10</v>
      </c>
      <c r="Z236">
        <f t="shared" si="94"/>
        <v>6.0786404722732552</v>
      </c>
      <c r="AA236">
        <f t="shared" si="95"/>
        <v>3.9213595277267448</v>
      </c>
      <c r="AB236">
        <f t="shared" si="96"/>
        <v>1.4688630975942411E-5</v>
      </c>
      <c r="AC236">
        <v>600</v>
      </c>
      <c r="AD236">
        <f t="shared" si="97"/>
        <v>4581.7837470734967</v>
      </c>
      <c r="AE236">
        <f>+gettm2(AD236,AC236,AK236,AL236,テーブル2[[#This Row],[Fcorr]])</f>
        <v>376.17556397331447</v>
      </c>
      <c r="AF236">
        <f t="shared" si="98"/>
        <v>-226.59587921838221</v>
      </c>
      <c r="AG236">
        <v>1.0000000000000001E-5</v>
      </c>
      <c r="AH236">
        <f t="shared" si="99"/>
        <v>53.132071702110842</v>
      </c>
      <c r="AI236">
        <f t="shared" si="100"/>
        <v>0.2915981740331457</v>
      </c>
      <c r="AJ236">
        <f t="shared" si="101"/>
        <v>25.228697467504531</v>
      </c>
      <c r="AK236">
        <f>+S236*テーブル2[[#This Row],[F_form]]/(E236*CpFromTP((テーブル2[[#This Row],[Tin]]+テーブル2[[#This Row],[Tf]])/2,テーブル2[[#This Row],[P]])*AI236)</f>
        <v>8.891101430243415</v>
      </c>
      <c r="AL236">
        <f t="shared" si="102"/>
        <v>1.1293676909872215</v>
      </c>
      <c r="AM236">
        <f t="shared" si="103"/>
        <v>473.4526828511078</v>
      </c>
      <c r="AN236">
        <f t="shared" si="104"/>
        <v>135.16839114741578</v>
      </c>
      <c r="AO236">
        <f t="shared" si="105"/>
        <v>-4.6886309759424102E-6</v>
      </c>
      <c r="AP236">
        <v>1</v>
      </c>
      <c r="AQ236">
        <f t="shared" si="106"/>
        <v>5.4530931276593132E-4</v>
      </c>
      <c r="AR236">
        <f t="shared" si="107"/>
        <v>2.6556845120287953E-6</v>
      </c>
      <c r="AS236">
        <f t="shared" si="108"/>
        <v>6.6999461123111885</v>
      </c>
      <c r="AT236">
        <f t="shared" si="109"/>
        <v>6.4604974171297362</v>
      </c>
      <c r="AU236">
        <f t="shared" si="110"/>
        <v>1.8838692501808851</v>
      </c>
      <c r="AV236">
        <f t="shared" si="111"/>
        <v>-0.88386925018088514</v>
      </c>
      <c r="AW236">
        <f t="shared" si="112"/>
        <v>8.8309687367489897E-3</v>
      </c>
      <c r="AX236">
        <f t="shared" si="113"/>
        <v>1.0224342867490186</v>
      </c>
      <c r="AY236">
        <f t="shared" si="114"/>
        <v>-1.9063035369299037</v>
      </c>
      <c r="AZ236">
        <f t="shared" si="115"/>
        <v>1080577.7610325073</v>
      </c>
      <c r="BA236">
        <f t="shared" si="116"/>
        <v>5.4530931276593132E-4</v>
      </c>
      <c r="BB236">
        <f t="shared" si="117"/>
        <v>-5805589.3429892203</v>
      </c>
      <c r="BC236">
        <f t="shared" si="118"/>
        <v>-15742547.842989221</v>
      </c>
      <c r="BD236">
        <f t="shared" si="119"/>
        <v>-158.42420840329788</v>
      </c>
      <c r="BE236">
        <v>9936958.5</v>
      </c>
      <c r="BF236">
        <f>テーブル2[[#This Row],[q_P]]/テーブル2[[#This Row],[q_M]]</f>
        <v>-0.5842420840329785</v>
      </c>
      <c r="BG236">
        <v>1</v>
      </c>
      <c r="BH236">
        <v>-1.2E-2</v>
      </c>
      <c r="BI236">
        <v>4.5999999999999999E-2</v>
      </c>
      <c r="BJ236">
        <v>5625</v>
      </c>
      <c r="BK236">
        <v>1</v>
      </c>
      <c r="BL236">
        <f>テーブル2[[#This Row],[Ts]]-テーブル2[[#This Row],[Tin]]</f>
        <v>26.91818451033987</v>
      </c>
      <c r="BM236">
        <f>テーブル2[[#This Row],[q_P]]*0.000001</f>
        <v>-5.8055893429892196</v>
      </c>
      <c r="BN236">
        <f>テーブル2[[#This Row],[Tsub]]</f>
        <v>26.91818451033987</v>
      </c>
      <c r="BO236">
        <f>テーブル2[[#This Row],[Fcorr]]</f>
        <v>1</v>
      </c>
      <c r="BP236">
        <f>(テーブル2[[#This Row],[Tsub]]-40)^2</f>
        <v>171.1338965055117</v>
      </c>
      <c r="BQ236">
        <v>1</v>
      </c>
      <c r="BR236">
        <v>7.619999999999999E-2</v>
      </c>
    </row>
    <row r="237" spans="1:70" x14ac:dyDescent="0.15">
      <c r="A237" t="s">
        <v>70</v>
      </c>
      <c r="B237">
        <v>13789514.586336</v>
      </c>
      <c r="C237">
        <f>TsatFromP(テーブル2[[#This Row],[P]])</f>
        <v>608.62107399852357</v>
      </c>
      <c r="D237">
        <f>RhoGFromP(テーブル2[[#This Row],[P]])</f>
        <v>85.147847035840741</v>
      </c>
      <c r="E237">
        <f>RhoFFromP(テーブル2[[#This Row],[P]])</f>
        <v>624.86636713482415</v>
      </c>
      <c r="F237">
        <f>HgFromP(テーブル2[[#This Row],[P]])</f>
        <v>2643264.5206450778</v>
      </c>
      <c r="G237">
        <f>HfFromP(テーブル2[[#This Row],[P]])</f>
        <v>1562686.7596125705</v>
      </c>
      <c r="H237">
        <f>MuGFromP(テーブル2[[#This Row],[P]])</f>
        <v>2.2019591234371903E-5</v>
      </c>
      <c r="I237">
        <f>MuFFromP(テーブル2[[#This Row],[P]])</f>
        <v>7.222326555143516E-5</v>
      </c>
      <c r="J237">
        <f>KfFromP(テーブル2[[#This Row],[P]])</f>
        <v>0.49112131073334553</v>
      </c>
      <c r="K237">
        <f>CpFFromP(テーブル2[[#This Row],[P]])</f>
        <v>7679.7488518783057</v>
      </c>
      <c r="L237">
        <f>SigmaFromP(テーブル2[[#This Row],[P]])</f>
        <v>6.5036449518301549E-3</v>
      </c>
      <c r="M237">
        <v>236</v>
      </c>
      <c r="N237">
        <v>2441.2139999999999</v>
      </c>
      <c r="O237">
        <f t="shared" si="120"/>
        <v>2.8502295699234246E-6</v>
      </c>
      <c r="P237">
        <f t="shared" si="121"/>
        <v>5.9847340050885557E-3</v>
      </c>
      <c r="Q237">
        <v>1.905E-3</v>
      </c>
      <c r="R237">
        <v>0.15240000000000001</v>
      </c>
      <c r="S237">
        <v>4037875.2</v>
      </c>
      <c r="T237">
        <v>500.2688889860072</v>
      </c>
      <c r="U237">
        <f>+T237+BG237*S237*テーブル2[[#This Row],[Pw]]*R237/(N237*O237*K237)</f>
        <v>569.18963991174917</v>
      </c>
      <c r="V237">
        <v>0.03</v>
      </c>
      <c r="W237">
        <f t="shared" si="92"/>
        <v>64390.783696813734</v>
      </c>
      <c r="X237">
        <v>0.01</v>
      </c>
      <c r="Y237">
        <f t="shared" si="93"/>
        <v>10</v>
      </c>
      <c r="Z237">
        <f t="shared" si="94"/>
        <v>4.2700528406416547</v>
      </c>
      <c r="AA237">
        <f t="shared" si="95"/>
        <v>5.7299471593583453</v>
      </c>
      <c r="AB237">
        <f t="shared" si="96"/>
        <v>6.5464145460681608E-5</v>
      </c>
      <c r="AC237">
        <v>600</v>
      </c>
      <c r="AD237">
        <f t="shared" si="97"/>
        <v>1138.2789949483295</v>
      </c>
      <c r="AE237">
        <f>+gettm2(AD237,AC237,AK237,AL237,テーブル2[[#This Row],[Fcorr]])</f>
        <v>391.20985840768964</v>
      </c>
      <c r="AF237">
        <f t="shared" si="98"/>
        <v>-177.97978150405953</v>
      </c>
      <c r="AG237">
        <v>1.0000000000000001E-5</v>
      </c>
      <c r="AH237">
        <f t="shared" si="99"/>
        <v>11.921600575819886</v>
      </c>
      <c r="AI237">
        <f t="shared" si="100"/>
        <v>0.13812545085780584</v>
      </c>
      <c r="AJ237">
        <f t="shared" si="101"/>
        <v>11.950435642502146</v>
      </c>
      <c r="AK237">
        <f>+S237*テーブル2[[#This Row],[F_form]]/(E237*CpFromTP((テーブル2[[#This Row],[Tin]]+テーブル2[[#This Row],[Tf]])/2,テーブル2[[#This Row],[P]])*AI237)</f>
        <v>9.6453833622268625</v>
      </c>
      <c r="AL237">
        <f t="shared" si="102"/>
        <v>1.1293676909872215</v>
      </c>
      <c r="AM237">
        <f t="shared" si="103"/>
        <v>500.01391786342356</v>
      </c>
      <c r="AN237">
        <f t="shared" si="104"/>
        <v>108.60715613510001</v>
      </c>
      <c r="AO237">
        <f t="shared" si="105"/>
        <v>-5.5464145460681609E-5</v>
      </c>
      <c r="AP237">
        <v>1</v>
      </c>
      <c r="AQ237">
        <f t="shared" si="106"/>
        <v>5.4530931276593132E-4</v>
      </c>
      <c r="AR237">
        <f t="shared" si="107"/>
        <v>-2.2732072730340805E-5</v>
      </c>
      <c r="AS237">
        <f t="shared" si="108"/>
        <v>-27.165817218461584</v>
      </c>
      <c r="AT237">
        <f t="shared" si="109"/>
        <v>-27.165817218461584</v>
      </c>
      <c r="AU237">
        <f t="shared" si="110"/>
        <v>-3.7522907512207513</v>
      </c>
      <c r="AV237">
        <f t="shared" si="111"/>
        <v>4.7522907512207517</v>
      </c>
      <c r="AW237">
        <f t="shared" si="112"/>
        <v>3.9357774246498584E-2</v>
      </c>
      <c r="AX237">
        <f t="shared" si="113"/>
        <v>0.48431097793374567</v>
      </c>
      <c r="AY237">
        <f t="shared" si="114"/>
        <v>4.2679797732870064</v>
      </c>
      <c r="AZ237">
        <f t="shared" si="115"/>
        <v>1080577.7610325073</v>
      </c>
      <c r="BA237">
        <f t="shared" si="116"/>
        <v>5.4530931276593132E-4</v>
      </c>
      <c r="BB237">
        <f t="shared" si="117"/>
        <v>-68677200.969055787</v>
      </c>
      <c r="BC237">
        <f t="shared" si="118"/>
        <v>-72715076.16905579</v>
      </c>
      <c r="BD237">
        <f t="shared" si="119"/>
        <v>-1800.8252500982642</v>
      </c>
      <c r="BE237">
        <v>4037875.2</v>
      </c>
      <c r="BF237">
        <f>テーブル2[[#This Row],[q_P]]/テーブル2[[#This Row],[q_M]]</f>
        <v>-17.008252500982643</v>
      </c>
      <c r="BG237">
        <v>1</v>
      </c>
      <c r="BH237">
        <v>-0.05</v>
      </c>
      <c r="BI237">
        <v>4.5999999999999999E-2</v>
      </c>
      <c r="BJ237">
        <v>5625</v>
      </c>
      <c r="BK237">
        <v>1</v>
      </c>
      <c r="BL237">
        <f>テーブル2[[#This Row],[Ts]]-テーブル2[[#This Row],[Tin]]</f>
        <v>108.35218501251637</v>
      </c>
      <c r="BM237">
        <f>テーブル2[[#This Row],[q_P]]*0.000001</f>
        <v>-68.677200969055789</v>
      </c>
      <c r="BN237">
        <f>テーブル2[[#This Row],[Tsub]]</f>
        <v>108.35218501251637</v>
      </c>
      <c r="BO237">
        <f>テーブル2[[#This Row],[Fcorr]]</f>
        <v>1</v>
      </c>
      <c r="BP237">
        <f>(テーブル2[[#This Row],[Tsub]]-40)^2</f>
        <v>4672.0211959852677</v>
      </c>
      <c r="BQ237">
        <v>1</v>
      </c>
      <c r="BR237">
        <v>0.15240000000000001</v>
      </c>
    </row>
  </sheetData>
  <phoneticPr fontId="1"/>
  <pageMargins left="0.7" right="0.7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_Log"/>
  <dimension ref="A1:H2567"/>
  <sheetViews>
    <sheetView topLeftCell="A109" workbookViewId="0">
      <selection activeCell="J25" sqref="J25"/>
    </sheetView>
  </sheetViews>
  <sheetFormatPr defaultRowHeight="13.5" x14ac:dyDescent="0.15"/>
  <sheetData>
    <row r="1" spans="1:8" x14ac:dyDescent="0.15">
      <c r="A1" t="s">
        <v>320</v>
      </c>
      <c r="B1" t="s">
        <v>321</v>
      </c>
      <c r="C1" t="s">
        <v>18</v>
      </c>
      <c r="D1" t="s">
        <v>53</v>
      </c>
      <c r="E1" t="s">
        <v>32</v>
      </c>
      <c r="F1" t="s">
        <v>322</v>
      </c>
      <c r="G1" t="s">
        <v>40</v>
      </c>
      <c r="H1" t="s">
        <v>323</v>
      </c>
    </row>
    <row r="2" spans="1:8" x14ac:dyDescent="0.15">
      <c r="A2">
        <v>88</v>
      </c>
      <c r="B2">
        <v>1</v>
      </c>
      <c r="C2">
        <v>6050000</v>
      </c>
      <c r="D2">
        <v>9.1999809302535168E+16</v>
      </c>
      <c r="E2">
        <v>536.87092200000006</v>
      </c>
      <c r="F2">
        <v>1.5514465599153479E-4</v>
      </c>
      <c r="G2">
        <v>536.87076685534407</v>
      </c>
      <c r="H2" t="b">
        <v>0</v>
      </c>
    </row>
    <row r="3" spans="1:8" x14ac:dyDescent="0.15">
      <c r="A3">
        <v>88</v>
      </c>
      <c r="B3">
        <v>2</v>
      </c>
      <c r="C3">
        <v>3075000</v>
      </c>
      <c r="D3">
        <v>9.1999809302535152E+16</v>
      </c>
      <c r="E3">
        <v>536.87092199999995</v>
      </c>
      <c r="F3">
        <v>1.5514465599153479E-4</v>
      </c>
      <c r="G3">
        <v>536.87076685534396</v>
      </c>
      <c r="H3" t="b">
        <v>0</v>
      </c>
    </row>
    <row r="4" spans="1:8" x14ac:dyDescent="0.15">
      <c r="A4">
        <v>88</v>
      </c>
      <c r="B4">
        <v>3</v>
      </c>
      <c r="C4">
        <v>1587500</v>
      </c>
      <c r="D4">
        <v>421668148365781.81</v>
      </c>
      <c r="E4">
        <v>4.8982462007340741</v>
      </c>
      <c r="F4">
        <v>1.551446559737713E-4</v>
      </c>
      <c r="G4">
        <v>4.8980910560781004</v>
      </c>
      <c r="H4" t="b">
        <v>0</v>
      </c>
    </row>
    <row r="5" spans="1:8" x14ac:dyDescent="0.15">
      <c r="A5">
        <v>88</v>
      </c>
      <c r="B5">
        <v>4</v>
      </c>
      <c r="C5">
        <v>843750</v>
      </c>
      <c r="D5">
        <v>23103171465.07597</v>
      </c>
      <c r="E5">
        <v>1.6317348884533911E-3</v>
      </c>
      <c r="F5">
        <v>1.551446559739055E-4</v>
      </c>
      <c r="G5">
        <v>1.4765902324794849E-3</v>
      </c>
      <c r="H5" t="b">
        <v>0</v>
      </c>
    </row>
    <row r="6" spans="1:8" x14ac:dyDescent="0.15">
      <c r="A6">
        <v>88</v>
      </c>
      <c r="B6">
        <v>5</v>
      </c>
      <c r="C6">
        <v>471875</v>
      </c>
      <c r="D6">
        <v>28082.836137414419</v>
      </c>
      <c r="E6">
        <v>-4.6195684646310774E-6</v>
      </c>
      <c r="F6">
        <v>1.551446559739055E-4</v>
      </c>
      <c r="G6">
        <v>-1.5976422443853659E-4</v>
      </c>
      <c r="H6" t="b">
        <v>1</v>
      </c>
    </row>
    <row r="7" spans="1:8" x14ac:dyDescent="0.15">
      <c r="A7">
        <v>88</v>
      </c>
      <c r="B7">
        <v>6</v>
      </c>
      <c r="C7">
        <v>657812.5</v>
      </c>
      <c r="D7">
        <v>-106456.07895411531</v>
      </c>
      <c r="E7">
        <v>3.044356955139817E-5</v>
      </c>
      <c r="F7">
        <v>1.551446559739055E-4</v>
      </c>
      <c r="G7">
        <v>-1.2470108642250729E-4</v>
      </c>
      <c r="H7" t="b">
        <v>1</v>
      </c>
    </row>
    <row r="8" spans="1:8" x14ac:dyDescent="0.15">
      <c r="A8">
        <v>88</v>
      </c>
      <c r="B8">
        <v>7</v>
      </c>
      <c r="C8">
        <v>750781.25</v>
      </c>
      <c r="D8">
        <v>969955590.78446329</v>
      </c>
      <c r="E8">
        <v>2.7161357509284583E-4</v>
      </c>
      <c r="F8">
        <v>1.551446559739055E-4</v>
      </c>
      <c r="G8">
        <v>1.164689191189403E-4</v>
      </c>
      <c r="H8" t="b">
        <v>0</v>
      </c>
    </row>
    <row r="9" spans="1:8" x14ac:dyDescent="0.15">
      <c r="A9">
        <v>88</v>
      </c>
      <c r="B9">
        <v>8</v>
      </c>
      <c r="C9">
        <v>704296.875</v>
      </c>
      <c r="D9">
        <v>-151830280.3372874</v>
      </c>
      <c r="E9">
        <v>9.4341520021475707E-5</v>
      </c>
      <c r="F9">
        <v>1.551446559739055E-4</v>
      </c>
      <c r="G9">
        <v>-6.0803135952429802E-5</v>
      </c>
      <c r="H9" t="b">
        <v>1</v>
      </c>
    </row>
    <row r="10" spans="1:8" x14ac:dyDescent="0.15">
      <c r="A10">
        <v>88</v>
      </c>
      <c r="B10">
        <v>9</v>
      </c>
      <c r="C10">
        <v>727539.0625</v>
      </c>
      <c r="D10">
        <v>46721101.914657399</v>
      </c>
      <c r="E10">
        <v>1.6259743321154571E-4</v>
      </c>
      <c r="F10">
        <v>1.551446559739055E-4</v>
      </c>
      <c r="G10">
        <v>7.4527772376401836E-6</v>
      </c>
      <c r="H10" t="b">
        <v>0</v>
      </c>
    </row>
    <row r="11" spans="1:8" x14ac:dyDescent="0.15">
      <c r="A11">
        <v>88</v>
      </c>
      <c r="B11">
        <v>10</v>
      </c>
      <c r="C11">
        <v>715917.96875</v>
      </c>
      <c r="D11">
        <v>-154924258.47010759</v>
      </c>
      <c r="E11">
        <v>1.2436270654243701E-4</v>
      </c>
      <c r="F11">
        <v>1.551446559739055E-4</v>
      </c>
      <c r="G11">
        <v>-3.0781949431468492E-5</v>
      </c>
      <c r="H11" t="b">
        <v>1</v>
      </c>
    </row>
    <row r="12" spans="1:8" x14ac:dyDescent="0.15">
      <c r="A12">
        <v>88</v>
      </c>
      <c r="B12">
        <v>11</v>
      </c>
      <c r="C12">
        <v>721728.515625</v>
      </c>
      <c r="D12">
        <v>-72727264.132528469</v>
      </c>
      <c r="E12">
        <v>1.4234235227950041E-4</v>
      </c>
      <c r="F12">
        <v>1.551446559739055E-4</v>
      </c>
      <c r="G12">
        <v>-1.280230369440509E-5</v>
      </c>
      <c r="H12" t="b">
        <v>1</v>
      </c>
    </row>
    <row r="13" spans="1:8" x14ac:dyDescent="0.15">
      <c r="A13">
        <v>88</v>
      </c>
      <c r="B13">
        <v>12</v>
      </c>
      <c r="C13">
        <v>724633.7890625</v>
      </c>
      <c r="D13">
        <v>-17787422.22473729</v>
      </c>
      <c r="E13">
        <v>1.52170567590109E-4</v>
      </c>
      <c r="F13">
        <v>1.551446559739055E-4</v>
      </c>
      <c r="G13">
        <v>-2.9740883837965002E-6</v>
      </c>
      <c r="H13" t="b">
        <v>1</v>
      </c>
    </row>
    <row r="14" spans="1:8" x14ac:dyDescent="0.15">
      <c r="A14">
        <v>88</v>
      </c>
      <c r="B14">
        <v>13</v>
      </c>
      <c r="C14">
        <v>726086.42578125</v>
      </c>
      <c r="D14">
        <v>13248417.14835426</v>
      </c>
      <c r="E14">
        <v>1.5730723558700379E-4</v>
      </c>
      <c r="F14">
        <v>1.551446559739055E-4</v>
      </c>
      <c r="G14">
        <v>2.1625796130982642E-6</v>
      </c>
      <c r="H14" t="b">
        <v>0</v>
      </c>
    </row>
    <row r="15" spans="1:8" x14ac:dyDescent="0.15">
      <c r="A15">
        <v>88</v>
      </c>
      <c r="B15">
        <v>14</v>
      </c>
      <c r="C15">
        <v>724886.42578125</v>
      </c>
      <c r="D15">
        <v>-12562676.86837174</v>
      </c>
      <c r="E15">
        <v>1.5305306971540069E-4</v>
      </c>
      <c r="F15">
        <v>1.551446559739055E-4</v>
      </c>
      <c r="G15">
        <v>-2.09158625850484E-6</v>
      </c>
      <c r="H15" t="b">
        <v>1</v>
      </c>
    </row>
    <row r="16" spans="1:8" x14ac:dyDescent="0.15">
      <c r="A16">
        <v>88</v>
      </c>
      <c r="B16">
        <v>15</v>
      </c>
      <c r="C16">
        <v>725486.42578125</v>
      </c>
      <c r="D16">
        <v>136741.50976225481</v>
      </c>
      <c r="E16">
        <v>1.551671964471291E-4</v>
      </c>
      <c r="F16">
        <v>1.551446559739055E-4</v>
      </c>
      <c r="G16">
        <v>2.2540473223624279E-8</v>
      </c>
      <c r="H16" t="b">
        <v>0</v>
      </c>
    </row>
    <row r="17" spans="1:8" x14ac:dyDescent="0.15">
      <c r="A17">
        <v>88</v>
      </c>
      <c r="B17">
        <v>16</v>
      </c>
      <c r="C17">
        <v>726206.42578125</v>
      </c>
      <c r="D17">
        <v>15920582.39994912</v>
      </c>
      <c r="E17">
        <v>1.577383874779189E-4</v>
      </c>
      <c r="F17">
        <v>1.551446559739055E-4</v>
      </c>
      <c r="G17">
        <v>2.5937315040134299E-6</v>
      </c>
      <c r="H17" t="b">
        <v>0</v>
      </c>
    </row>
    <row r="18" spans="1:8" x14ac:dyDescent="0.15">
      <c r="A18">
        <v>88</v>
      </c>
      <c r="B18">
        <v>17</v>
      </c>
      <c r="C18">
        <v>725846.42578125</v>
      </c>
      <c r="D18">
        <v>7954040.3936597314</v>
      </c>
      <c r="E18">
        <v>1.564480891447578E-4</v>
      </c>
      <c r="F18">
        <v>1.551446559739055E-4</v>
      </c>
      <c r="G18">
        <v>1.303433170852348E-6</v>
      </c>
      <c r="H18" t="b">
        <v>0</v>
      </c>
    </row>
    <row r="19" spans="1:8" x14ac:dyDescent="0.15">
      <c r="A19">
        <v>88</v>
      </c>
      <c r="B19">
        <v>18</v>
      </c>
      <c r="C19">
        <v>725414.42578125</v>
      </c>
      <c r="D19">
        <v>-1408895.336601916</v>
      </c>
      <c r="E19">
        <v>1.549121377447656E-4</v>
      </c>
      <c r="F19">
        <v>1.551446559739055E-4</v>
      </c>
      <c r="G19">
        <v>-2.325182291399331E-7</v>
      </c>
      <c r="H19" t="b">
        <v>1</v>
      </c>
    </row>
    <row r="20" spans="1:8" x14ac:dyDescent="0.15">
      <c r="A20">
        <v>88</v>
      </c>
      <c r="B20">
        <v>19</v>
      </c>
      <c r="C20">
        <v>725630.42578125</v>
      </c>
      <c r="D20">
        <v>3245830.9383746618</v>
      </c>
      <c r="E20">
        <v>1.5567843390649699E-4</v>
      </c>
      <c r="F20">
        <v>1.551446559739055E-4</v>
      </c>
      <c r="G20">
        <v>5.3377793259146264E-7</v>
      </c>
      <c r="H20" t="b">
        <v>0</v>
      </c>
    </row>
    <row r="21" spans="1:8" x14ac:dyDescent="0.15">
      <c r="A21">
        <v>88</v>
      </c>
      <c r="B21">
        <v>20</v>
      </c>
      <c r="C21">
        <v>725522.42578125</v>
      </c>
      <c r="D21">
        <v>911736.42772077932</v>
      </c>
      <c r="E21">
        <v>1.5529485758359311E-4</v>
      </c>
      <c r="F21">
        <v>1.551446559739055E-4</v>
      </c>
      <c r="G21">
        <v>1.5020160968755281E-7</v>
      </c>
      <c r="H21" t="b">
        <v>0</v>
      </c>
    </row>
    <row r="22" spans="1:8" x14ac:dyDescent="0.15">
      <c r="A22">
        <v>88</v>
      </c>
      <c r="B22">
        <v>21</v>
      </c>
      <c r="C22">
        <v>725392.82578125002</v>
      </c>
      <c r="D22">
        <v>-1871478.604019077</v>
      </c>
      <c r="E22">
        <v>1.5483568473239991E-4</v>
      </c>
      <c r="F22">
        <v>1.551446559739055E-4</v>
      </c>
      <c r="G22">
        <v>-3.0897124150556702E-7</v>
      </c>
      <c r="H22" t="b">
        <v>1</v>
      </c>
    </row>
    <row r="23" spans="1:8" x14ac:dyDescent="0.15">
      <c r="A23">
        <v>88</v>
      </c>
      <c r="B23">
        <v>22</v>
      </c>
      <c r="C23">
        <v>725457.62578125007</v>
      </c>
      <c r="D23">
        <v>-482274.51687052462</v>
      </c>
      <c r="E23">
        <v>1.5506512009141231E-4</v>
      </c>
      <c r="F23">
        <v>1.551446559739055E-4</v>
      </c>
      <c r="G23">
        <v>-7.9535882493162249E-8</v>
      </c>
      <c r="H23" t="b">
        <v>1</v>
      </c>
    </row>
    <row r="24" spans="1:8" x14ac:dyDescent="0.15">
      <c r="A24">
        <v>88</v>
      </c>
      <c r="B24">
        <v>23</v>
      </c>
      <c r="C24">
        <v>725522.42578125012</v>
      </c>
      <c r="D24">
        <v>911736.42772077932</v>
      </c>
      <c r="E24">
        <v>1.5529485758359311E-4</v>
      </c>
      <c r="F24">
        <v>1.551446559739055E-4</v>
      </c>
      <c r="G24">
        <v>1.5020160968755281E-7</v>
      </c>
      <c r="H24" t="b">
        <v>0</v>
      </c>
    </row>
    <row r="25" spans="1:8" x14ac:dyDescent="0.15">
      <c r="A25">
        <v>88</v>
      </c>
      <c r="B25">
        <v>24</v>
      </c>
      <c r="C25">
        <v>725490.02578125009</v>
      </c>
      <c r="D25">
        <v>214179.1422594013</v>
      </c>
      <c r="E25">
        <v>1.551799591746314E-4</v>
      </c>
      <c r="F25">
        <v>1.551446559739055E-4</v>
      </c>
      <c r="G25">
        <v>3.5303200725928477E-8</v>
      </c>
      <c r="H25" t="b">
        <v>0</v>
      </c>
    </row>
    <row r="26" spans="1:8" x14ac:dyDescent="0.15">
      <c r="A26">
        <v>88</v>
      </c>
      <c r="B26">
        <v>25</v>
      </c>
      <c r="C26">
        <v>725506.22578125005</v>
      </c>
      <c r="D26">
        <v>562832.17349322082</v>
      </c>
      <c r="E26">
        <v>1.5523740299568399E-4</v>
      </c>
      <c r="F26">
        <v>1.551446559739055E-4</v>
      </c>
      <c r="G26">
        <v>9.2747021778540354E-8</v>
      </c>
      <c r="H26" t="b">
        <v>0</v>
      </c>
    </row>
    <row r="27" spans="1:8" x14ac:dyDescent="0.15">
      <c r="A27">
        <v>88</v>
      </c>
      <c r="B27">
        <v>26</v>
      </c>
      <c r="C27">
        <v>725525.66578124999</v>
      </c>
      <c r="D27">
        <v>981612.63936995831</v>
      </c>
      <c r="E27">
        <v>1.553063605287655E-4</v>
      </c>
      <c r="F27">
        <v>1.551446559739055E-4</v>
      </c>
      <c r="G27">
        <v>1.617045548599704E-7</v>
      </c>
      <c r="H27" t="b">
        <v>0</v>
      </c>
    </row>
    <row r="28" spans="1:8" x14ac:dyDescent="0.15">
      <c r="A28">
        <v>88</v>
      </c>
      <c r="B28">
        <v>27</v>
      </c>
      <c r="C28">
        <v>725515.94578125002</v>
      </c>
      <c r="D28">
        <v>772168.28720824129</v>
      </c>
      <c r="E28">
        <v>1.5527187835972931E-4</v>
      </c>
      <c r="F28">
        <v>1.551446559739055E-4</v>
      </c>
      <c r="G28">
        <v>1.27222385823834E-7</v>
      </c>
      <c r="H28" t="b">
        <v>0</v>
      </c>
    </row>
    <row r="29" spans="1:8" x14ac:dyDescent="0.15">
      <c r="A29">
        <v>88</v>
      </c>
      <c r="B29">
        <v>28</v>
      </c>
      <c r="C29">
        <v>725504.28178125003</v>
      </c>
      <c r="D29">
        <v>520977.93802863522</v>
      </c>
      <c r="E29">
        <v>1.5523050873935521E-4</v>
      </c>
      <c r="F29">
        <v>1.551446559739055E-4</v>
      </c>
      <c r="G29">
        <v>8.5852765449682131E-8</v>
      </c>
      <c r="H29" t="b">
        <v>0</v>
      </c>
    </row>
    <row r="30" spans="1:8" x14ac:dyDescent="0.15">
      <c r="A30">
        <v>88</v>
      </c>
      <c r="B30">
        <v>29</v>
      </c>
      <c r="C30">
        <v>725510.11378125008</v>
      </c>
      <c r="D30">
        <v>646553.63121463417</v>
      </c>
      <c r="E30">
        <v>1.5525119232476949E-4</v>
      </c>
      <c r="F30">
        <v>1.551446559739055E-4</v>
      </c>
      <c r="G30">
        <v>1.065363508639657E-7</v>
      </c>
      <c r="H30" t="b">
        <v>0</v>
      </c>
    </row>
    <row r="31" spans="1:8" x14ac:dyDescent="0.15">
      <c r="A31">
        <v>88</v>
      </c>
      <c r="B31">
        <v>30</v>
      </c>
      <c r="C31">
        <v>725517.11218125012</v>
      </c>
      <c r="D31">
        <v>797246.50986538851</v>
      </c>
      <c r="E31">
        <v>1.552760077292394E-4</v>
      </c>
      <c r="F31">
        <v>1.551446559739055E-4</v>
      </c>
      <c r="G31">
        <v>1.313517553339018E-7</v>
      </c>
      <c r="H31" t="b">
        <v>0</v>
      </c>
    </row>
    <row r="32" spans="1:8" x14ac:dyDescent="0.15">
      <c r="A32">
        <v>88</v>
      </c>
      <c r="B32">
        <v>31</v>
      </c>
      <c r="C32">
        <v>725513.61298125016</v>
      </c>
      <c r="D32">
        <v>721917.74909285177</v>
      </c>
      <c r="E32">
        <v>1.5526360365178599E-4</v>
      </c>
      <c r="F32">
        <v>1.551446559739055E-4</v>
      </c>
      <c r="G32">
        <v>1.189476778804932E-7</v>
      </c>
      <c r="H32" t="b">
        <v>0</v>
      </c>
    </row>
    <row r="33" spans="1:8" x14ac:dyDescent="0.15">
      <c r="A33">
        <v>89</v>
      </c>
      <c r="B33">
        <v>1</v>
      </c>
      <c r="C33">
        <v>6050000</v>
      </c>
      <c r="D33">
        <v>9.2581319946312672E+16</v>
      </c>
      <c r="E33">
        <v>536.87092200000006</v>
      </c>
      <c r="F33">
        <v>1.544960714454646E-4</v>
      </c>
      <c r="G33">
        <v>536.87076750392862</v>
      </c>
      <c r="H33" t="b">
        <v>0</v>
      </c>
    </row>
    <row r="34" spans="1:8" x14ac:dyDescent="0.15">
      <c r="A34">
        <v>89</v>
      </c>
      <c r="B34">
        <v>2</v>
      </c>
      <c r="C34">
        <v>3075000</v>
      </c>
      <c r="D34">
        <v>1.453810497984777E+16</v>
      </c>
      <c r="E34">
        <v>105.2543869349924</v>
      </c>
      <c r="F34">
        <v>1.5449607143125379E-4</v>
      </c>
      <c r="G34">
        <v>105.25423243892099</v>
      </c>
      <c r="H34" t="b">
        <v>0</v>
      </c>
    </row>
    <row r="35" spans="1:8" x14ac:dyDescent="0.15">
      <c r="A35">
        <v>89</v>
      </c>
      <c r="B35">
        <v>3</v>
      </c>
      <c r="C35">
        <v>1587500</v>
      </c>
      <c r="D35">
        <v>215813199249.80829</v>
      </c>
      <c r="E35">
        <v>8.8958224937073036E-3</v>
      </c>
      <c r="F35">
        <v>1.5449607142590911E-4</v>
      </c>
      <c r="G35">
        <v>8.7413264222813945E-3</v>
      </c>
      <c r="H35" t="b">
        <v>0</v>
      </c>
    </row>
    <row r="36" spans="1:8" x14ac:dyDescent="0.15">
      <c r="A36">
        <v>89</v>
      </c>
      <c r="B36">
        <v>4</v>
      </c>
      <c r="C36">
        <v>843750</v>
      </c>
      <c r="D36">
        <v>35093.025781844997</v>
      </c>
      <c r="E36">
        <v>2.1679779704072951E-6</v>
      </c>
      <c r="F36">
        <v>1.5449607142590971E-4</v>
      </c>
      <c r="G36">
        <v>-1.5232809345550239E-4</v>
      </c>
      <c r="H36" t="b">
        <v>1</v>
      </c>
    </row>
    <row r="37" spans="1:8" x14ac:dyDescent="0.15">
      <c r="A37">
        <v>89</v>
      </c>
      <c r="B37">
        <v>5</v>
      </c>
      <c r="C37">
        <v>1215625</v>
      </c>
      <c r="D37">
        <v>498147437.11980277</v>
      </c>
      <c r="E37">
        <v>2.2038849294592241E-4</v>
      </c>
      <c r="F37">
        <v>1.5449607142590971E-4</v>
      </c>
      <c r="G37">
        <v>6.5892421520012781E-5</v>
      </c>
      <c r="H37" t="b">
        <v>0</v>
      </c>
    </row>
    <row r="38" spans="1:8" x14ac:dyDescent="0.15">
      <c r="A38">
        <v>89</v>
      </c>
      <c r="B38">
        <v>6</v>
      </c>
      <c r="C38">
        <v>1029687.5</v>
      </c>
      <c r="D38">
        <v>76361.294088880531</v>
      </c>
      <c r="E38">
        <v>2.1449171828150379E-5</v>
      </c>
      <c r="F38">
        <v>1.5449607142590971E-4</v>
      </c>
      <c r="G38">
        <v>-1.3304689959775929E-4</v>
      </c>
      <c r="H38" t="b">
        <v>1</v>
      </c>
    </row>
    <row r="39" spans="1:8" x14ac:dyDescent="0.15">
      <c r="A39">
        <v>89</v>
      </c>
      <c r="B39">
        <v>7</v>
      </c>
      <c r="C39">
        <v>1122656.25</v>
      </c>
      <c r="D39">
        <v>-1556258.357824466</v>
      </c>
      <c r="E39">
        <v>6.2275461283318748E-5</v>
      </c>
      <c r="F39">
        <v>1.5449607142590971E-4</v>
      </c>
      <c r="G39">
        <v>-9.2220610142590905E-5</v>
      </c>
      <c r="H39" t="b">
        <v>1</v>
      </c>
    </row>
    <row r="40" spans="1:8" x14ac:dyDescent="0.15">
      <c r="A40">
        <v>89</v>
      </c>
      <c r="B40">
        <v>8</v>
      </c>
      <c r="C40">
        <v>1169140.625</v>
      </c>
      <c r="D40">
        <v>-168903966.55382529</v>
      </c>
      <c r="E40">
        <v>1.199218456804609E-4</v>
      </c>
      <c r="F40">
        <v>1.5449607142590971E-4</v>
      </c>
      <c r="G40">
        <v>-3.4574225745448781E-5</v>
      </c>
      <c r="H40" t="b">
        <v>1</v>
      </c>
    </row>
    <row r="41" spans="1:8" x14ac:dyDescent="0.15">
      <c r="A41">
        <v>89</v>
      </c>
      <c r="B41">
        <v>9</v>
      </c>
      <c r="C41">
        <v>1192382.8125</v>
      </c>
      <c r="D41">
        <v>56812885.674886227</v>
      </c>
      <c r="E41">
        <v>1.634653804896401E-4</v>
      </c>
      <c r="F41">
        <v>1.5449607142590971E-4</v>
      </c>
      <c r="G41">
        <v>8.9693090637304746E-6</v>
      </c>
      <c r="H41" t="b">
        <v>0</v>
      </c>
    </row>
    <row r="42" spans="1:8" x14ac:dyDescent="0.15">
      <c r="A42">
        <v>89</v>
      </c>
      <c r="B42">
        <v>10</v>
      </c>
      <c r="C42">
        <v>1180761.71875</v>
      </c>
      <c r="D42">
        <v>-80751503.682539761</v>
      </c>
      <c r="E42">
        <v>1.402084094277025E-4</v>
      </c>
      <c r="F42">
        <v>1.5449607142590971E-4</v>
      </c>
      <c r="G42">
        <v>-1.4287661998207129E-5</v>
      </c>
      <c r="H42" t="b">
        <v>1</v>
      </c>
    </row>
    <row r="43" spans="1:8" x14ac:dyDescent="0.15">
      <c r="A43">
        <v>89</v>
      </c>
      <c r="B43">
        <v>11</v>
      </c>
      <c r="C43">
        <v>1186572.265625</v>
      </c>
      <c r="D43">
        <v>-18314995.71646139</v>
      </c>
      <c r="E43">
        <v>1.5144409979634879E-4</v>
      </c>
      <c r="F43">
        <v>1.5449607142590971E-4</v>
      </c>
      <c r="G43">
        <v>-3.051971629560807E-6</v>
      </c>
      <c r="H43" t="b">
        <v>1</v>
      </c>
    </row>
    <row r="44" spans="1:8" x14ac:dyDescent="0.15">
      <c r="A44">
        <v>89</v>
      </c>
      <c r="B44">
        <v>12</v>
      </c>
      <c r="C44">
        <v>1189477.5390625</v>
      </c>
      <c r="D44">
        <v>17631100.67001849</v>
      </c>
      <c r="E44">
        <v>1.573539104105879E-4</v>
      </c>
      <c r="F44">
        <v>1.5449607142590971E-4</v>
      </c>
      <c r="G44">
        <v>2.8578389846782429E-6</v>
      </c>
      <c r="H44" t="b">
        <v>0</v>
      </c>
    </row>
    <row r="45" spans="1:8" x14ac:dyDescent="0.15">
      <c r="A45">
        <v>89</v>
      </c>
      <c r="B45">
        <v>13</v>
      </c>
      <c r="C45">
        <v>1188024.90234375</v>
      </c>
      <c r="D45">
        <v>-741414.34272985044</v>
      </c>
      <c r="E45">
        <v>1.543742422059037E-4</v>
      </c>
      <c r="F45">
        <v>1.5449607142590971E-4</v>
      </c>
      <c r="G45">
        <v>-1.2182922000595459E-7</v>
      </c>
      <c r="H45" t="b">
        <v>1</v>
      </c>
    </row>
    <row r="46" spans="1:8" x14ac:dyDescent="0.15">
      <c r="A46">
        <v>89</v>
      </c>
      <c r="B46">
        <v>14</v>
      </c>
      <c r="C46">
        <v>1188524.90234375</v>
      </c>
      <c r="D46">
        <v>5492381.1326952539</v>
      </c>
      <c r="E46">
        <v>1.5539431169146709E-4</v>
      </c>
      <c r="F46">
        <v>1.5449607142590971E-4</v>
      </c>
      <c r="G46">
        <v>8.9824026555741288E-7</v>
      </c>
      <c r="H46" t="b">
        <v>0</v>
      </c>
    </row>
    <row r="47" spans="1:8" x14ac:dyDescent="0.15">
      <c r="A47">
        <v>89</v>
      </c>
      <c r="B47">
        <v>15</v>
      </c>
      <c r="C47">
        <v>1188274.90234375</v>
      </c>
      <c r="D47">
        <v>2363536.986784006</v>
      </c>
      <c r="E47">
        <v>1.548835265300368E-4</v>
      </c>
      <c r="F47">
        <v>1.5449607142590971E-4</v>
      </c>
      <c r="G47">
        <v>3.8745510412717589E-7</v>
      </c>
      <c r="H47" t="b">
        <v>0</v>
      </c>
    </row>
    <row r="48" spans="1:8" x14ac:dyDescent="0.15">
      <c r="A48">
        <v>89</v>
      </c>
      <c r="B48">
        <v>16</v>
      </c>
      <c r="C48">
        <v>1187974.90234375</v>
      </c>
      <c r="D48">
        <v>-1359566.544623367</v>
      </c>
      <c r="E48">
        <v>1.5427256100043941E-4</v>
      </c>
      <c r="F48">
        <v>1.5449607142590971E-4</v>
      </c>
      <c r="G48">
        <v>-2.2351042547026981E-7</v>
      </c>
      <c r="H48" t="b">
        <v>1</v>
      </c>
    </row>
    <row r="49" spans="1:8" x14ac:dyDescent="0.15">
      <c r="A49">
        <v>89</v>
      </c>
      <c r="B49">
        <v>17</v>
      </c>
      <c r="C49">
        <v>1188124.90234375</v>
      </c>
      <c r="D49">
        <v>497681.62815752998</v>
      </c>
      <c r="E49">
        <v>1.5457777272664339E-4</v>
      </c>
      <c r="F49">
        <v>1.5449607142590971E-4</v>
      </c>
      <c r="G49">
        <v>8.1701300733741074E-8</v>
      </c>
      <c r="H49" t="b">
        <v>0</v>
      </c>
    </row>
    <row r="50" spans="1:8" x14ac:dyDescent="0.15">
      <c r="A50">
        <v>89</v>
      </c>
      <c r="B50">
        <v>18</v>
      </c>
      <c r="C50">
        <v>1188304.90234375</v>
      </c>
      <c r="D50">
        <v>2737734.9788590032</v>
      </c>
      <c r="E50">
        <v>1.5494474129316299E-4</v>
      </c>
      <c r="F50">
        <v>1.5449607142590971E-4</v>
      </c>
      <c r="G50">
        <v>4.4866986725333448E-7</v>
      </c>
      <c r="H50" t="b">
        <v>0</v>
      </c>
    </row>
    <row r="51" spans="1:8" x14ac:dyDescent="0.15">
      <c r="A51">
        <v>89</v>
      </c>
      <c r="B51">
        <v>19</v>
      </c>
      <c r="C51">
        <v>1188214.90234375</v>
      </c>
      <c r="D51">
        <v>1616225.1947640211</v>
      </c>
      <c r="E51">
        <v>1.5476117036983679E-4</v>
      </c>
      <c r="F51">
        <v>1.5449607142590971E-4</v>
      </c>
      <c r="G51">
        <v>2.6509894392718708E-7</v>
      </c>
      <c r="H51" t="b">
        <v>0</v>
      </c>
    </row>
    <row r="52" spans="1:8" x14ac:dyDescent="0.15">
      <c r="A52">
        <v>89</v>
      </c>
      <c r="B52">
        <v>20</v>
      </c>
      <c r="C52">
        <v>1188106.90234375</v>
      </c>
      <c r="D52">
        <v>274353.77561537188</v>
      </c>
      <c r="E52">
        <v>1.5454111808795799E-4</v>
      </c>
      <c r="F52">
        <v>1.5449607142590971E-4</v>
      </c>
      <c r="G52">
        <v>4.5046662048360993E-8</v>
      </c>
      <c r="H52" t="b">
        <v>0</v>
      </c>
    </row>
    <row r="53" spans="1:8" x14ac:dyDescent="0.15">
      <c r="A53">
        <v>89</v>
      </c>
      <c r="B53">
        <v>21</v>
      </c>
      <c r="C53">
        <v>1188160.90234375</v>
      </c>
      <c r="D53">
        <v>944763.67035780789</v>
      </c>
      <c r="E53">
        <v>1.5465111435753029E-4</v>
      </c>
      <c r="F53">
        <v>1.5449607142590971E-4</v>
      </c>
      <c r="G53">
        <v>1.55042931620689E-7</v>
      </c>
      <c r="H53" t="b">
        <v>0</v>
      </c>
    </row>
    <row r="54" spans="1:8" x14ac:dyDescent="0.15">
      <c r="A54">
        <v>89</v>
      </c>
      <c r="B54">
        <v>22</v>
      </c>
      <c r="C54">
        <v>1188225.70234375</v>
      </c>
      <c r="D54">
        <v>1750593.4926694599</v>
      </c>
      <c r="E54">
        <v>1.5478318051819089E-4</v>
      </c>
      <c r="F54">
        <v>1.5449607142590971E-4</v>
      </c>
      <c r="G54">
        <v>2.8710909228120792E-7</v>
      </c>
      <c r="H54" t="b">
        <v>0</v>
      </c>
    </row>
    <row r="55" spans="1:8" x14ac:dyDescent="0.15">
      <c r="A55">
        <v>89</v>
      </c>
      <c r="B55">
        <v>23</v>
      </c>
      <c r="C55">
        <v>1188193.3023437499</v>
      </c>
      <c r="D55">
        <v>1347507.5413178841</v>
      </c>
      <c r="E55">
        <v>1.547171396739436E-4</v>
      </c>
      <c r="F55">
        <v>1.5449607142590971E-4</v>
      </c>
      <c r="G55">
        <v>2.210682480339706E-7</v>
      </c>
      <c r="H55" t="b">
        <v>0</v>
      </c>
    </row>
    <row r="56" spans="1:8" x14ac:dyDescent="0.15">
      <c r="A56">
        <v>89</v>
      </c>
      <c r="B56">
        <v>24</v>
      </c>
      <c r="C56">
        <v>1188154.42234375</v>
      </c>
      <c r="D56">
        <v>864262.78466101829</v>
      </c>
      <c r="E56">
        <v>1.5463791227839731E-4</v>
      </c>
      <c r="F56">
        <v>1.5449607142590971E-4</v>
      </c>
      <c r="G56">
        <v>1.4184085248759751E-7</v>
      </c>
      <c r="H56" t="b">
        <v>0</v>
      </c>
    </row>
    <row r="57" spans="1:8" x14ac:dyDescent="0.15">
      <c r="A57">
        <v>89</v>
      </c>
      <c r="B57">
        <v>25</v>
      </c>
      <c r="C57">
        <v>1188173.86234375</v>
      </c>
      <c r="D57">
        <v>1105756.3682462771</v>
      </c>
      <c r="E57">
        <v>1.5467751216128239E-4</v>
      </c>
      <c r="F57">
        <v>1.5449607142590971E-4</v>
      </c>
      <c r="G57">
        <v>1.8144073537270779E-7</v>
      </c>
      <c r="H57" t="b">
        <v>0</v>
      </c>
    </row>
    <row r="58" spans="1:8" x14ac:dyDescent="0.15">
      <c r="A58">
        <v>89</v>
      </c>
      <c r="B58">
        <v>26</v>
      </c>
      <c r="C58">
        <v>1188197.1903437499</v>
      </c>
      <c r="D58">
        <v>1395863.6262388639</v>
      </c>
      <c r="E58">
        <v>1.5472506438327221E-4</v>
      </c>
      <c r="F58">
        <v>1.5449607142590971E-4</v>
      </c>
      <c r="G58">
        <v>2.2899295736250429E-7</v>
      </c>
      <c r="H58" t="b">
        <v>0</v>
      </c>
    </row>
    <row r="59" spans="1:8" x14ac:dyDescent="0.15">
      <c r="A59">
        <v>89</v>
      </c>
      <c r="B59">
        <v>27</v>
      </c>
      <c r="C59">
        <v>1188185.5263437501</v>
      </c>
      <c r="D59">
        <v>1250755.6316819871</v>
      </c>
      <c r="E59">
        <v>1.5470128198966519E-4</v>
      </c>
      <c r="F59">
        <v>1.5449607142590971E-4</v>
      </c>
      <c r="G59">
        <v>2.0521056375553441E-7</v>
      </c>
      <c r="H59" t="b">
        <v>0</v>
      </c>
    </row>
    <row r="60" spans="1:8" x14ac:dyDescent="0.15">
      <c r="A60">
        <v>89</v>
      </c>
      <c r="B60">
        <v>28</v>
      </c>
      <c r="C60">
        <v>1188171.52954375</v>
      </c>
      <c r="D60">
        <v>1076762.7222621189</v>
      </c>
      <c r="E60">
        <v>1.5467275858238171E-4</v>
      </c>
      <c r="F60">
        <v>1.5449607142590971E-4</v>
      </c>
      <c r="G60">
        <v>1.766871564720565E-7</v>
      </c>
      <c r="H60" t="b">
        <v>0</v>
      </c>
    </row>
    <row r="61" spans="1:8" x14ac:dyDescent="0.15">
      <c r="A61">
        <v>89</v>
      </c>
      <c r="B61">
        <v>29</v>
      </c>
      <c r="C61">
        <v>1188178.5279437499</v>
      </c>
      <c r="D61">
        <v>1163806.835647776</v>
      </c>
      <c r="E61">
        <v>1.5468702904499729E-4</v>
      </c>
      <c r="F61">
        <v>1.5449607142590971E-4</v>
      </c>
      <c r="G61">
        <v>1.9095761908768829E-7</v>
      </c>
      <c r="H61" t="b">
        <v>0</v>
      </c>
    </row>
    <row r="62" spans="1:8" x14ac:dyDescent="0.15">
      <c r="A62">
        <v>89</v>
      </c>
      <c r="B62">
        <v>30</v>
      </c>
      <c r="C62">
        <v>1188186.9260237501</v>
      </c>
      <c r="D62">
        <v>1268159.0191167099</v>
      </c>
      <c r="E62">
        <v>1.547041345856661E-4</v>
      </c>
      <c r="F62">
        <v>1.5449607142590971E-4</v>
      </c>
      <c r="G62">
        <v>2.0806315975644579E-7</v>
      </c>
      <c r="H62" t="b">
        <v>0</v>
      </c>
    </row>
    <row r="63" spans="1:8" x14ac:dyDescent="0.15">
      <c r="A63">
        <v>89</v>
      </c>
      <c r="B63">
        <v>31</v>
      </c>
      <c r="C63">
        <v>1188182.72698375</v>
      </c>
      <c r="D63">
        <v>1216008.0682664739</v>
      </c>
      <c r="E63">
        <v>1.546955862766397E-4</v>
      </c>
      <c r="F63">
        <v>1.5449607142590971E-4</v>
      </c>
      <c r="G63">
        <v>1.9951485073001771E-7</v>
      </c>
      <c r="H63" t="b">
        <v>0</v>
      </c>
    </row>
    <row r="64" spans="1:8" x14ac:dyDescent="0.15">
      <c r="A64">
        <v>89</v>
      </c>
      <c r="B64">
        <v>32</v>
      </c>
      <c r="C64">
        <v>1188177.6881357499</v>
      </c>
      <c r="D64">
        <v>1153310.4263498341</v>
      </c>
      <c r="E64">
        <v>1.54685308309773E-4</v>
      </c>
      <c r="F64">
        <v>1.5449607142590971E-4</v>
      </c>
      <c r="G64">
        <v>1.8923688386332209E-7</v>
      </c>
      <c r="H64" t="b">
        <v>0</v>
      </c>
    </row>
    <row r="65" spans="1:8" x14ac:dyDescent="0.15">
      <c r="A65">
        <v>89</v>
      </c>
      <c r="B65">
        <v>33</v>
      </c>
      <c r="C65">
        <v>1188180.2075597499</v>
      </c>
      <c r="D65">
        <v>1184629.55217652</v>
      </c>
      <c r="E65">
        <v>1.546904425481409E-4</v>
      </c>
      <c r="F65">
        <v>1.5449607142590971E-4</v>
      </c>
      <c r="G65">
        <v>1.9437112223121819E-7</v>
      </c>
      <c r="H65" t="b">
        <v>0</v>
      </c>
    </row>
    <row r="66" spans="1:8" x14ac:dyDescent="0.15">
      <c r="A66">
        <v>90</v>
      </c>
      <c r="B66">
        <v>1</v>
      </c>
      <c r="C66">
        <v>6050000</v>
      </c>
      <c r="D66">
        <v>9.2581319946312672E+16</v>
      </c>
      <c r="E66">
        <v>536.87092200000006</v>
      </c>
      <c r="F66">
        <v>1.544960714454646E-4</v>
      </c>
      <c r="G66">
        <v>536.87076750392862</v>
      </c>
      <c r="H66" t="b">
        <v>0</v>
      </c>
    </row>
    <row r="67" spans="1:8" x14ac:dyDescent="0.15">
      <c r="A67">
        <v>90</v>
      </c>
      <c r="B67">
        <v>2</v>
      </c>
      <c r="C67">
        <v>3075000</v>
      </c>
      <c r="D67">
        <v>1.453810497984777E+16</v>
      </c>
      <c r="E67">
        <v>105.2543869349924</v>
      </c>
      <c r="F67">
        <v>1.5449607143125379E-4</v>
      </c>
      <c r="G67">
        <v>105.25423243892099</v>
      </c>
      <c r="H67" t="b">
        <v>0</v>
      </c>
    </row>
    <row r="68" spans="1:8" x14ac:dyDescent="0.15">
      <c r="A68">
        <v>90</v>
      </c>
      <c r="B68">
        <v>3</v>
      </c>
      <c r="C68">
        <v>1587500</v>
      </c>
      <c r="D68">
        <v>215813199249.80829</v>
      </c>
      <c r="E68">
        <v>8.8958224937073036E-3</v>
      </c>
      <c r="F68">
        <v>1.5449607142590911E-4</v>
      </c>
      <c r="G68">
        <v>8.7413264222813945E-3</v>
      </c>
      <c r="H68" t="b">
        <v>0</v>
      </c>
    </row>
    <row r="69" spans="1:8" x14ac:dyDescent="0.15">
      <c r="A69">
        <v>90</v>
      </c>
      <c r="B69">
        <v>4</v>
      </c>
      <c r="C69">
        <v>843750</v>
      </c>
      <c r="D69">
        <v>35093.025781844997</v>
      </c>
      <c r="E69">
        <v>2.1679779704072951E-6</v>
      </c>
      <c r="F69">
        <v>1.5449607142590971E-4</v>
      </c>
      <c r="G69">
        <v>-1.5232809345550239E-4</v>
      </c>
      <c r="H69" t="b">
        <v>1</v>
      </c>
    </row>
    <row r="70" spans="1:8" x14ac:dyDescent="0.15">
      <c r="A70">
        <v>90</v>
      </c>
      <c r="B70">
        <v>5</v>
      </c>
      <c r="C70">
        <v>1215625</v>
      </c>
      <c r="D70">
        <v>498147437.11980277</v>
      </c>
      <c r="E70">
        <v>2.2038849294592241E-4</v>
      </c>
      <c r="F70">
        <v>1.5449607142590971E-4</v>
      </c>
      <c r="G70">
        <v>6.5892421520012781E-5</v>
      </c>
      <c r="H70" t="b">
        <v>0</v>
      </c>
    </row>
    <row r="71" spans="1:8" x14ac:dyDescent="0.15">
      <c r="A71">
        <v>90</v>
      </c>
      <c r="B71">
        <v>6</v>
      </c>
      <c r="C71">
        <v>1029687.5</v>
      </c>
      <c r="D71">
        <v>76361.294088880531</v>
      </c>
      <c r="E71">
        <v>2.1449171828150379E-5</v>
      </c>
      <c r="F71">
        <v>1.5449607142590971E-4</v>
      </c>
      <c r="G71">
        <v>-1.3304689959775929E-4</v>
      </c>
      <c r="H71" t="b">
        <v>1</v>
      </c>
    </row>
    <row r="72" spans="1:8" x14ac:dyDescent="0.15">
      <c r="A72">
        <v>90</v>
      </c>
      <c r="B72">
        <v>7</v>
      </c>
      <c r="C72">
        <v>1122656.25</v>
      </c>
      <c r="D72">
        <v>-1556258.357824466</v>
      </c>
      <c r="E72">
        <v>6.2275461283318748E-5</v>
      </c>
      <c r="F72">
        <v>1.5449607142590971E-4</v>
      </c>
      <c r="G72">
        <v>-9.2220610142590905E-5</v>
      </c>
      <c r="H72" t="b">
        <v>1</v>
      </c>
    </row>
    <row r="73" spans="1:8" x14ac:dyDescent="0.15">
      <c r="A73">
        <v>90</v>
      </c>
      <c r="B73">
        <v>8</v>
      </c>
      <c r="C73">
        <v>1169140.625</v>
      </c>
      <c r="D73">
        <v>-168903966.55382529</v>
      </c>
      <c r="E73">
        <v>1.199218456804609E-4</v>
      </c>
      <c r="F73">
        <v>1.5449607142590971E-4</v>
      </c>
      <c r="G73">
        <v>-3.4574225745448781E-5</v>
      </c>
      <c r="H73" t="b">
        <v>1</v>
      </c>
    </row>
    <row r="74" spans="1:8" x14ac:dyDescent="0.15">
      <c r="A74">
        <v>90</v>
      </c>
      <c r="B74">
        <v>9</v>
      </c>
      <c r="C74">
        <v>1192382.8125</v>
      </c>
      <c r="D74">
        <v>56812885.674886227</v>
      </c>
      <c r="E74">
        <v>1.634653804896401E-4</v>
      </c>
      <c r="F74">
        <v>1.5449607142590971E-4</v>
      </c>
      <c r="G74">
        <v>8.9693090637304746E-6</v>
      </c>
      <c r="H74" t="b">
        <v>0</v>
      </c>
    </row>
    <row r="75" spans="1:8" x14ac:dyDescent="0.15">
      <c r="A75">
        <v>90</v>
      </c>
      <c r="B75">
        <v>10</v>
      </c>
      <c r="C75">
        <v>1180761.71875</v>
      </c>
      <c r="D75">
        <v>-80751503.682539761</v>
      </c>
      <c r="E75">
        <v>1.402084094277025E-4</v>
      </c>
      <c r="F75">
        <v>1.5449607142590971E-4</v>
      </c>
      <c r="G75">
        <v>-1.4287661998207129E-5</v>
      </c>
      <c r="H75" t="b">
        <v>1</v>
      </c>
    </row>
    <row r="76" spans="1:8" x14ac:dyDescent="0.15">
      <c r="A76">
        <v>90</v>
      </c>
      <c r="B76">
        <v>11</v>
      </c>
      <c r="C76">
        <v>1186572.265625</v>
      </c>
      <c r="D76">
        <v>-18314995.71646139</v>
      </c>
      <c r="E76">
        <v>1.5144409979634879E-4</v>
      </c>
      <c r="F76">
        <v>1.5449607142590971E-4</v>
      </c>
      <c r="G76">
        <v>-3.051971629560807E-6</v>
      </c>
      <c r="H76" t="b">
        <v>1</v>
      </c>
    </row>
    <row r="77" spans="1:8" x14ac:dyDescent="0.15">
      <c r="A77">
        <v>90</v>
      </c>
      <c r="B77">
        <v>12</v>
      </c>
      <c r="C77">
        <v>1189477.5390625</v>
      </c>
      <c r="D77">
        <v>17631100.67001849</v>
      </c>
      <c r="E77">
        <v>1.573539104105879E-4</v>
      </c>
      <c r="F77">
        <v>1.5449607142590971E-4</v>
      </c>
      <c r="G77">
        <v>2.8578389846782429E-6</v>
      </c>
      <c r="H77" t="b">
        <v>0</v>
      </c>
    </row>
    <row r="78" spans="1:8" x14ac:dyDescent="0.15">
      <c r="A78">
        <v>90</v>
      </c>
      <c r="B78">
        <v>13</v>
      </c>
      <c r="C78">
        <v>1188024.90234375</v>
      </c>
      <c r="D78">
        <v>-741414.34272985044</v>
      </c>
      <c r="E78">
        <v>1.543742422059037E-4</v>
      </c>
      <c r="F78">
        <v>1.5449607142590971E-4</v>
      </c>
      <c r="G78">
        <v>-1.2182922000595459E-7</v>
      </c>
      <c r="H78" t="b">
        <v>1</v>
      </c>
    </row>
    <row r="79" spans="1:8" x14ac:dyDescent="0.15">
      <c r="A79">
        <v>90</v>
      </c>
      <c r="B79">
        <v>14</v>
      </c>
      <c r="C79">
        <v>1188524.90234375</v>
      </c>
      <c r="D79">
        <v>5492381.1326952539</v>
      </c>
      <c r="E79">
        <v>1.5539431169146709E-4</v>
      </c>
      <c r="F79">
        <v>1.5449607142590971E-4</v>
      </c>
      <c r="G79">
        <v>8.9824026555741288E-7</v>
      </c>
      <c r="H79" t="b">
        <v>0</v>
      </c>
    </row>
    <row r="80" spans="1:8" x14ac:dyDescent="0.15">
      <c r="A80">
        <v>90</v>
      </c>
      <c r="B80">
        <v>15</v>
      </c>
      <c r="C80">
        <v>1188274.90234375</v>
      </c>
      <c r="D80">
        <v>2363536.986784006</v>
      </c>
      <c r="E80">
        <v>1.548835265300368E-4</v>
      </c>
      <c r="F80">
        <v>1.5449607142590971E-4</v>
      </c>
      <c r="G80">
        <v>3.8745510412717589E-7</v>
      </c>
      <c r="H80" t="b">
        <v>0</v>
      </c>
    </row>
    <row r="81" spans="1:8" x14ac:dyDescent="0.15">
      <c r="A81">
        <v>90</v>
      </c>
      <c r="B81">
        <v>16</v>
      </c>
      <c r="C81">
        <v>1187974.90234375</v>
      </c>
      <c r="D81">
        <v>-1359566.544623367</v>
      </c>
      <c r="E81">
        <v>1.5427256100043941E-4</v>
      </c>
      <c r="F81">
        <v>1.5449607142590971E-4</v>
      </c>
      <c r="G81">
        <v>-2.2351042547026981E-7</v>
      </c>
      <c r="H81" t="b">
        <v>1</v>
      </c>
    </row>
    <row r="82" spans="1:8" x14ac:dyDescent="0.15">
      <c r="A82">
        <v>90</v>
      </c>
      <c r="B82">
        <v>17</v>
      </c>
      <c r="C82">
        <v>1188124.90234375</v>
      </c>
      <c r="D82">
        <v>497681.62815752998</v>
      </c>
      <c r="E82">
        <v>1.5457777272664339E-4</v>
      </c>
      <c r="F82">
        <v>1.5449607142590971E-4</v>
      </c>
      <c r="G82">
        <v>8.1701300733741074E-8</v>
      </c>
      <c r="H82" t="b">
        <v>0</v>
      </c>
    </row>
    <row r="83" spans="1:8" x14ac:dyDescent="0.15">
      <c r="A83">
        <v>90</v>
      </c>
      <c r="B83">
        <v>18</v>
      </c>
      <c r="C83">
        <v>1188304.90234375</v>
      </c>
      <c r="D83">
        <v>2737734.9788590032</v>
      </c>
      <c r="E83">
        <v>1.5494474129316299E-4</v>
      </c>
      <c r="F83">
        <v>1.5449607142590971E-4</v>
      </c>
      <c r="G83">
        <v>4.4866986725333448E-7</v>
      </c>
      <c r="H83" t="b">
        <v>0</v>
      </c>
    </row>
    <row r="84" spans="1:8" x14ac:dyDescent="0.15">
      <c r="A84">
        <v>90</v>
      </c>
      <c r="B84">
        <v>19</v>
      </c>
      <c r="C84">
        <v>1188214.90234375</v>
      </c>
      <c r="D84">
        <v>1616225.1947640211</v>
      </c>
      <c r="E84">
        <v>1.5476117036983679E-4</v>
      </c>
      <c r="F84">
        <v>1.5449607142590971E-4</v>
      </c>
      <c r="G84">
        <v>2.6509894392718708E-7</v>
      </c>
      <c r="H84" t="b">
        <v>0</v>
      </c>
    </row>
    <row r="85" spans="1:8" x14ac:dyDescent="0.15">
      <c r="A85">
        <v>90</v>
      </c>
      <c r="B85">
        <v>20</v>
      </c>
      <c r="C85">
        <v>1188106.90234375</v>
      </c>
      <c r="D85">
        <v>274353.77561537188</v>
      </c>
      <c r="E85">
        <v>1.5454111808795799E-4</v>
      </c>
      <c r="F85">
        <v>1.5449607142590971E-4</v>
      </c>
      <c r="G85">
        <v>4.5046662048360993E-8</v>
      </c>
      <c r="H85" t="b">
        <v>0</v>
      </c>
    </row>
    <row r="86" spans="1:8" x14ac:dyDescent="0.15">
      <c r="A86">
        <v>90</v>
      </c>
      <c r="B86">
        <v>21</v>
      </c>
      <c r="C86">
        <v>1188160.90234375</v>
      </c>
      <c r="D86">
        <v>944763.67035780789</v>
      </c>
      <c r="E86">
        <v>1.5465111435753029E-4</v>
      </c>
      <c r="F86">
        <v>1.5449607142590971E-4</v>
      </c>
      <c r="G86">
        <v>1.55042931620689E-7</v>
      </c>
      <c r="H86" t="b">
        <v>0</v>
      </c>
    </row>
    <row r="87" spans="1:8" x14ac:dyDescent="0.15">
      <c r="A87">
        <v>90</v>
      </c>
      <c r="B87">
        <v>22</v>
      </c>
      <c r="C87">
        <v>1188225.70234375</v>
      </c>
      <c r="D87">
        <v>1750593.4926694599</v>
      </c>
      <c r="E87">
        <v>1.5478318051819089E-4</v>
      </c>
      <c r="F87">
        <v>1.5449607142590971E-4</v>
      </c>
      <c r="G87">
        <v>2.8710909228120792E-7</v>
      </c>
      <c r="H87" t="b">
        <v>0</v>
      </c>
    </row>
    <row r="88" spans="1:8" x14ac:dyDescent="0.15">
      <c r="A88">
        <v>90</v>
      </c>
      <c r="B88">
        <v>23</v>
      </c>
      <c r="C88">
        <v>1188193.3023437499</v>
      </c>
      <c r="D88">
        <v>1347507.5413178841</v>
      </c>
      <c r="E88">
        <v>1.547171396739436E-4</v>
      </c>
      <c r="F88">
        <v>1.5449607142590971E-4</v>
      </c>
      <c r="G88">
        <v>2.210682480339706E-7</v>
      </c>
      <c r="H88" t="b">
        <v>0</v>
      </c>
    </row>
    <row r="89" spans="1:8" x14ac:dyDescent="0.15">
      <c r="A89">
        <v>90</v>
      </c>
      <c r="B89">
        <v>24</v>
      </c>
      <c r="C89">
        <v>1188154.42234375</v>
      </c>
      <c r="D89">
        <v>864262.78466101829</v>
      </c>
      <c r="E89">
        <v>1.5463791227839731E-4</v>
      </c>
      <c r="F89">
        <v>1.5449607142590971E-4</v>
      </c>
      <c r="G89">
        <v>1.4184085248759751E-7</v>
      </c>
      <c r="H89" t="b">
        <v>0</v>
      </c>
    </row>
    <row r="90" spans="1:8" x14ac:dyDescent="0.15">
      <c r="A90">
        <v>90</v>
      </c>
      <c r="B90">
        <v>25</v>
      </c>
      <c r="C90">
        <v>1188173.86234375</v>
      </c>
      <c r="D90">
        <v>1105756.3682462771</v>
      </c>
      <c r="E90">
        <v>1.5467751216128239E-4</v>
      </c>
      <c r="F90">
        <v>1.5449607142590971E-4</v>
      </c>
      <c r="G90">
        <v>1.8144073537270779E-7</v>
      </c>
      <c r="H90" t="b">
        <v>0</v>
      </c>
    </row>
    <row r="91" spans="1:8" x14ac:dyDescent="0.15">
      <c r="A91">
        <v>90</v>
      </c>
      <c r="B91">
        <v>26</v>
      </c>
      <c r="C91">
        <v>1188197.1903437499</v>
      </c>
      <c r="D91">
        <v>1395863.6262388639</v>
      </c>
      <c r="E91">
        <v>1.5472506438327221E-4</v>
      </c>
      <c r="F91">
        <v>1.5449607142590971E-4</v>
      </c>
      <c r="G91">
        <v>2.2899295736250429E-7</v>
      </c>
      <c r="H91" t="b">
        <v>0</v>
      </c>
    </row>
    <row r="92" spans="1:8" x14ac:dyDescent="0.15">
      <c r="A92">
        <v>90</v>
      </c>
      <c r="B92">
        <v>27</v>
      </c>
      <c r="C92">
        <v>1188185.5263437501</v>
      </c>
      <c r="D92">
        <v>1250755.6316819871</v>
      </c>
      <c r="E92">
        <v>1.5470128198966519E-4</v>
      </c>
      <c r="F92">
        <v>1.5449607142590971E-4</v>
      </c>
      <c r="G92">
        <v>2.0521056375553441E-7</v>
      </c>
      <c r="H92" t="b">
        <v>0</v>
      </c>
    </row>
    <row r="93" spans="1:8" x14ac:dyDescent="0.15">
      <c r="A93">
        <v>90</v>
      </c>
      <c r="B93">
        <v>28</v>
      </c>
      <c r="C93">
        <v>1188171.52954375</v>
      </c>
      <c r="D93">
        <v>1076762.7222621189</v>
      </c>
      <c r="E93">
        <v>1.5467275858238171E-4</v>
      </c>
      <c r="F93">
        <v>1.5449607142590971E-4</v>
      </c>
      <c r="G93">
        <v>1.766871564720565E-7</v>
      </c>
      <c r="H93" t="b">
        <v>0</v>
      </c>
    </row>
    <row r="94" spans="1:8" x14ac:dyDescent="0.15">
      <c r="A94">
        <v>90</v>
      </c>
      <c r="B94">
        <v>29</v>
      </c>
      <c r="C94">
        <v>1188178.5279437499</v>
      </c>
      <c r="D94">
        <v>1163806.835647776</v>
      </c>
      <c r="E94">
        <v>1.5468702904499729E-4</v>
      </c>
      <c r="F94">
        <v>1.5449607142590971E-4</v>
      </c>
      <c r="G94">
        <v>1.9095761908768829E-7</v>
      </c>
      <c r="H94" t="b">
        <v>0</v>
      </c>
    </row>
    <row r="95" spans="1:8" x14ac:dyDescent="0.15">
      <c r="A95">
        <v>90</v>
      </c>
      <c r="B95">
        <v>30</v>
      </c>
      <c r="C95">
        <v>1188186.9260237501</v>
      </c>
      <c r="D95">
        <v>1268159.0191167099</v>
      </c>
      <c r="E95">
        <v>1.547041345856661E-4</v>
      </c>
      <c r="F95">
        <v>1.5449607142590971E-4</v>
      </c>
      <c r="G95">
        <v>2.0806315975644579E-7</v>
      </c>
      <c r="H95" t="b">
        <v>0</v>
      </c>
    </row>
    <row r="96" spans="1:8" x14ac:dyDescent="0.15">
      <c r="A96">
        <v>90</v>
      </c>
      <c r="B96">
        <v>31</v>
      </c>
      <c r="C96">
        <v>1188182.72698375</v>
      </c>
      <c r="D96">
        <v>1216008.0682664739</v>
      </c>
      <c r="E96">
        <v>1.546955862766397E-4</v>
      </c>
      <c r="F96">
        <v>1.5449607142590971E-4</v>
      </c>
      <c r="G96">
        <v>1.9951485073001771E-7</v>
      </c>
      <c r="H96" t="b">
        <v>0</v>
      </c>
    </row>
    <row r="97" spans="1:8" x14ac:dyDescent="0.15">
      <c r="A97">
        <v>90</v>
      </c>
      <c r="B97">
        <v>32</v>
      </c>
      <c r="C97">
        <v>1188177.6881357499</v>
      </c>
      <c r="D97">
        <v>1153310.4263498341</v>
      </c>
      <c r="E97">
        <v>1.54685308309773E-4</v>
      </c>
      <c r="F97">
        <v>1.5449607142590971E-4</v>
      </c>
      <c r="G97">
        <v>1.8923688386332209E-7</v>
      </c>
      <c r="H97" t="b">
        <v>0</v>
      </c>
    </row>
    <row r="98" spans="1:8" x14ac:dyDescent="0.15">
      <c r="A98">
        <v>90</v>
      </c>
      <c r="B98">
        <v>33</v>
      </c>
      <c r="C98">
        <v>1188180.2075597499</v>
      </c>
      <c r="D98">
        <v>1184629.55217652</v>
      </c>
      <c r="E98">
        <v>1.546904425481409E-4</v>
      </c>
      <c r="F98">
        <v>1.5449607142590971E-4</v>
      </c>
      <c r="G98">
        <v>1.9437112223121819E-7</v>
      </c>
      <c r="H98" t="b">
        <v>0</v>
      </c>
    </row>
    <row r="99" spans="1:8" x14ac:dyDescent="0.15">
      <c r="A99">
        <v>91</v>
      </c>
      <c r="B99">
        <v>1</v>
      </c>
      <c r="C99">
        <v>6050000</v>
      </c>
      <c r="D99">
        <v>9.3754340620596208E+16</v>
      </c>
      <c r="E99">
        <v>536.87092200000006</v>
      </c>
      <c r="F99">
        <v>1.5319849831030299E-4</v>
      </c>
      <c r="G99">
        <v>536.87076880150175</v>
      </c>
      <c r="H99" t="b">
        <v>0</v>
      </c>
    </row>
    <row r="100" spans="1:8" x14ac:dyDescent="0.15">
      <c r="A100">
        <v>91</v>
      </c>
      <c r="B100">
        <v>2</v>
      </c>
      <c r="C100">
        <v>3075000</v>
      </c>
      <c r="D100">
        <v>9.3754340620596208E+16</v>
      </c>
      <c r="E100">
        <v>536.87092200000006</v>
      </c>
      <c r="F100">
        <v>1.5319849831030299E-4</v>
      </c>
      <c r="G100">
        <v>536.87076880150175</v>
      </c>
      <c r="H100" t="b">
        <v>0</v>
      </c>
    </row>
    <row r="101" spans="1:8" x14ac:dyDescent="0.15">
      <c r="A101">
        <v>91</v>
      </c>
      <c r="B101">
        <v>3</v>
      </c>
      <c r="C101">
        <v>1587500</v>
      </c>
      <c r="D101">
        <v>395615795221114</v>
      </c>
      <c r="E101">
        <v>4.5633626459890628</v>
      </c>
      <c r="F101">
        <v>1.5319849834405369E-4</v>
      </c>
      <c r="G101">
        <v>4.5632094474907188</v>
      </c>
      <c r="H101" t="b">
        <v>0</v>
      </c>
    </row>
    <row r="102" spans="1:8" x14ac:dyDescent="0.15">
      <c r="A102">
        <v>91</v>
      </c>
      <c r="B102">
        <v>4</v>
      </c>
      <c r="C102">
        <v>843750</v>
      </c>
      <c r="D102">
        <v>22096073608.59441</v>
      </c>
      <c r="E102">
        <v>1.559235553528874E-3</v>
      </c>
      <c r="F102">
        <v>1.531984983441648E-4</v>
      </c>
      <c r="G102">
        <v>1.406037055184709E-3</v>
      </c>
      <c r="H102" t="b">
        <v>0</v>
      </c>
    </row>
    <row r="103" spans="1:8" x14ac:dyDescent="0.15">
      <c r="A103">
        <v>91</v>
      </c>
      <c r="B103">
        <v>5</v>
      </c>
      <c r="C103">
        <v>471875</v>
      </c>
      <c r="D103">
        <v>28353.613368958169</v>
      </c>
      <c r="E103">
        <v>-4.5528913281635027E-6</v>
      </c>
      <c r="F103">
        <v>1.531984983441649E-4</v>
      </c>
      <c r="G103">
        <v>-1.577513896723284E-4</v>
      </c>
      <c r="H103" t="b">
        <v>1</v>
      </c>
    </row>
    <row r="104" spans="1:8" x14ac:dyDescent="0.15">
      <c r="A104">
        <v>91</v>
      </c>
      <c r="B104">
        <v>6</v>
      </c>
      <c r="C104">
        <v>657812.5</v>
      </c>
      <c r="D104">
        <v>-106751.9618632991</v>
      </c>
      <c r="E104">
        <v>2.995932679426615E-5</v>
      </c>
      <c r="F104">
        <v>1.531984983441649E-4</v>
      </c>
      <c r="G104">
        <v>-1.2323917154989869E-4</v>
      </c>
      <c r="H104" t="b">
        <v>1</v>
      </c>
    </row>
    <row r="105" spans="1:8" x14ac:dyDescent="0.15">
      <c r="A105">
        <v>91</v>
      </c>
      <c r="B105">
        <v>7</v>
      </c>
      <c r="C105">
        <v>750781.25</v>
      </c>
      <c r="D105">
        <v>899560290.28404081</v>
      </c>
      <c r="E105">
        <v>2.612102252404894E-4</v>
      </c>
      <c r="F105">
        <v>1.531984983441649E-4</v>
      </c>
      <c r="G105">
        <v>1.080117268963245E-4</v>
      </c>
      <c r="H105" t="b">
        <v>0</v>
      </c>
    </row>
    <row r="106" spans="1:8" x14ac:dyDescent="0.15">
      <c r="A106">
        <v>91</v>
      </c>
      <c r="B106">
        <v>8</v>
      </c>
      <c r="C106">
        <v>704296.875</v>
      </c>
      <c r="D106">
        <v>-137754160.31760859</v>
      </c>
      <c r="E106">
        <v>9.1074140304220921E-5</v>
      </c>
      <c r="F106">
        <v>1.531984983441649E-4</v>
      </c>
      <c r="G106">
        <v>-6.2124358039943956E-5</v>
      </c>
      <c r="H106" t="b">
        <v>1</v>
      </c>
    </row>
    <row r="107" spans="1:8" x14ac:dyDescent="0.15">
      <c r="A107">
        <v>91</v>
      </c>
      <c r="B107">
        <v>9</v>
      </c>
      <c r="C107">
        <v>727539.0625</v>
      </c>
      <c r="D107">
        <v>21570465.99471331</v>
      </c>
      <c r="E107">
        <v>1.5665836515234351E-4</v>
      </c>
      <c r="F107">
        <v>1.531984983441649E-4</v>
      </c>
      <c r="G107">
        <v>3.459866808178574E-6</v>
      </c>
      <c r="H107" t="b">
        <v>0</v>
      </c>
    </row>
    <row r="108" spans="1:8" x14ac:dyDescent="0.15">
      <c r="A108">
        <v>91</v>
      </c>
      <c r="B108">
        <v>10</v>
      </c>
      <c r="C108">
        <v>715917.96875</v>
      </c>
      <c r="D108">
        <v>-165156217.28007719</v>
      </c>
      <c r="E108">
        <v>1.199373500905778E-4</v>
      </c>
      <c r="F108">
        <v>1.531984983441649E-4</v>
      </c>
      <c r="G108">
        <v>-3.3261148253587079E-5</v>
      </c>
      <c r="H108" t="b">
        <v>1</v>
      </c>
    </row>
    <row r="109" spans="1:8" x14ac:dyDescent="0.15">
      <c r="A109">
        <v>91</v>
      </c>
      <c r="B109">
        <v>11</v>
      </c>
      <c r="C109">
        <v>721728.515625</v>
      </c>
      <c r="D109">
        <v>-90052831.594871491</v>
      </c>
      <c r="E109">
        <v>1.3721006263588641E-4</v>
      </c>
      <c r="F109">
        <v>1.531984983441649E-4</v>
      </c>
      <c r="G109">
        <v>-1.5988435708278471E-5</v>
      </c>
      <c r="H109" t="b">
        <v>1</v>
      </c>
    </row>
    <row r="110" spans="1:8" x14ac:dyDescent="0.15">
      <c r="A110">
        <v>91</v>
      </c>
      <c r="B110">
        <v>12</v>
      </c>
      <c r="C110">
        <v>724633.7890625</v>
      </c>
      <c r="D110">
        <v>-38908906.063885733</v>
      </c>
      <c r="E110">
        <v>1.4664797660119241E-4</v>
      </c>
      <c r="F110">
        <v>1.531984983441649E-4</v>
      </c>
      <c r="G110">
        <v>-6.5505217429724994E-6</v>
      </c>
      <c r="H110" t="b">
        <v>1</v>
      </c>
    </row>
    <row r="111" spans="1:8" x14ac:dyDescent="0.15">
      <c r="A111">
        <v>91</v>
      </c>
      <c r="B111">
        <v>13</v>
      </c>
      <c r="C111">
        <v>726086.42578125</v>
      </c>
      <c r="D111">
        <v>-9855725.8078205567</v>
      </c>
      <c r="E111">
        <v>1.515797766410761E-4</v>
      </c>
      <c r="F111">
        <v>1.531984983441649E-4</v>
      </c>
      <c r="G111">
        <v>-1.6187217030888079E-6</v>
      </c>
      <c r="H111" t="b">
        <v>1</v>
      </c>
    </row>
    <row r="112" spans="1:8" x14ac:dyDescent="0.15">
      <c r="A112">
        <v>91</v>
      </c>
      <c r="B112">
        <v>14</v>
      </c>
      <c r="C112">
        <v>726586.42578125</v>
      </c>
      <c r="D112">
        <v>691136.35942862055</v>
      </c>
      <c r="E112">
        <v>1.5331107754496979E-4</v>
      </c>
      <c r="F112">
        <v>1.531984983441649E-4</v>
      </c>
      <c r="G112">
        <v>1.125792008049408E-7</v>
      </c>
      <c r="H112" t="b">
        <v>0</v>
      </c>
    </row>
    <row r="113" spans="1:8" x14ac:dyDescent="0.15">
      <c r="A113">
        <v>91</v>
      </c>
      <c r="B113">
        <v>15</v>
      </c>
      <c r="C113">
        <v>727186.42578125</v>
      </c>
      <c r="D113">
        <v>13721045.039886311</v>
      </c>
      <c r="E113">
        <v>1.5541181591826041E-4</v>
      </c>
      <c r="F113">
        <v>1.531984983441649E-4</v>
      </c>
      <c r="G113">
        <v>2.213317574095561E-6</v>
      </c>
      <c r="H113" t="b">
        <v>0</v>
      </c>
    </row>
    <row r="114" spans="1:8" x14ac:dyDescent="0.15">
      <c r="A114">
        <v>91</v>
      </c>
      <c r="B114">
        <v>16</v>
      </c>
      <c r="C114">
        <v>726886.42578125</v>
      </c>
      <c r="D114">
        <v>7154956.6811966375</v>
      </c>
      <c r="E114">
        <v>1.543582720013462E-4</v>
      </c>
      <c r="F114">
        <v>1.531984983441649E-4</v>
      </c>
      <c r="G114">
        <v>1.1597736571813491E-6</v>
      </c>
      <c r="H114" t="b">
        <v>0</v>
      </c>
    </row>
    <row r="115" spans="1:8" x14ac:dyDescent="0.15">
      <c r="A115">
        <v>91</v>
      </c>
      <c r="B115">
        <v>17</v>
      </c>
      <c r="C115">
        <v>726526.42578125</v>
      </c>
      <c r="D115">
        <v>-589364.37508354534</v>
      </c>
      <c r="E115">
        <v>1.5310240215089891E-4</v>
      </c>
      <c r="F115">
        <v>1.531984983441649E-4</v>
      </c>
      <c r="G115">
        <v>-9.6096193265965673E-8</v>
      </c>
      <c r="H115" t="b">
        <v>1</v>
      </c>
    </row>
    <row r="116" spans="1:8" x14ac:dyDescent="0.15">
      <c r="A116">
        <v>91</v>
      </c>
      <c r="B116">
        <v>18</v>
      </c>
      <c r="C116">
        <v>726706.42578125</v>
      </c>
      <c r="D116">
        <v>3264367.8310110178</v>
      </c>
      <c r="E116">
        <v>1.5372918724684701E-4</v>
      </c>
      <c r="F116">
        <v>1.531984983441649E-4</v>
      </c>
      <c r="G116">
        <v>5.3068890268210254E-7</v>
      </c>
      <c r="H116" t="b">
        <v>0</v>
      </c>
    </row>
    <row r="117" spans="1:8" x14ac:dyDescent="0.15">
      <c r="A117">
        <v>91</v>
      </c>
      <c r="B117">
        <v>19</v>
      </c>
      <c r="C117">
        <v>726616.42578125</v>
      </c>
      <c r="D117">
        <v>1332877.362716235</v>
      </c>
      <c r="E117">
        <v>1.5341550395687819E-4</v>
      </c>
      <c r="F117">
        <v>1.531984983441649E-4</v>
      </c>
      <c r="G117">
        <v>2.170056127133392E-7</v>
      </c>
      <c r="H117" t="b">
        <v>0</v>
      </c>
    </row>
    <row r="118" spans="1:8" x14ac:dyDescent="0.15">
      <c r="A118">
        <v>91</v>
      </c>
      <c r="B118">
        <v>20</v>
      </c>
      <c r="C118">
        <v>726508.42578125</v>
      </c>
      <c r="D118">
        <v>-972730.44685236015</v>
      </c>
      <c r="E118">
        <v>1.5303984715604751E-4</v>
      </c>
      <c r="F118">
        <v>1.531984983441649E-4</v>
      </c>
      <c r="G118">
        <v>-1.58651188117366E-7</v>
      </c>
      <c r="H118" t="b">
        <v>1</v>
      </c>
    </row>
    <row r="119" spans="1:8" x14ac:dyDescent="0.15">
      <c r="A119">
        <v>91</v>
      </c>
      <c r="B119">
        <v>21</v>
      </c>
      <c r="C119">
        <v>726562.42578125</v>
      </c>
      <c r="D119">
        <v>178416.5012202361</v>
      </c>
      <c r="E119">
        <v>1.5322757205799559E-4</v>
      </c>
      <c r="F119">
        <v>1.531984983441649E-4</v>
      </c>
      <c r="G119">
        <v>2.9073713830716661E-8</v>
      </c>
      <c r="H119" t="b">
        <v>0</v>
      </c>
    </row>
    <row r="120" spans="1:8" x14ac:dyDescent="0.15">
      <c r="A120">
        <v>91</v>
      </c>
      <c r="B120">
        <v>22</v>
      </c>
      <c r="C120">
        <v>726627.22578125005</v>
      </c>
      <c r="D120">
        <v>1564171.78920494</v>
      </c>
      <c r="E120">
        <v>1.5345311590371239E-4</v>
      </c>
      <c r="F120">
        <v>1.531984983441649E-4</v>
      </c>
      <c r="G120">
        <v>2.546175595475415E-7</v>
      </c>
      <c r="H120" t="b">
        <v>0</v>
      </c>
    </row>
    <row r="121" spans="1:8" x14ac:dyDescent="0.15">
      <c r="A121">
        <v>91</v>
      </c>
      <c r="B121">
        <v>23</v>
      </c>
      <c r="C121">
        <v>726594.82578125002</v>
      </c>
      <c r="D121">
        <v>870735.36728092318</v>
      </c>
      <c r="E121">
        <v>1.533403128841767E-4</v>
      </c>
      <c r="F121">
        <v>1.531984983441649E-4</v>
      </c>
      <c r="G121">
        <v>1.4181454001182609E-7</v>
      </c>
      <c r="H121" t="b">
        <v>0</v>
      </c>
    </row>
    <row r="122" spans="1:8" x14ac:dyDescent="0.15">
      <c r="A122">
        <v>91</v>
      </c>
      <c r="B122">
        <v>24</v>
      </c>
      <c r="C122">
        <v>726555.94578125002</v>
      </c>
      <c r="D122">
        <v>40149.241542457938</v>
      </c>
      <c r="E122">
        <v>1.5320504152661299E-4</v>
      </c>
      <c r="F122">
        <v>1.531984983441649E-4</v>
      </c>
      <c r="G122">
        <v>6.5431824481439627E-9</v>
      </c>
      <c r="H122" t="b">
        <v>0</v>
      </c>
    </row>
    <row r="123" spans="1:8" x14ac:dyDescent="0.15">
      <c r="A123">
        <v>91</v>
      </c>
      <c r="B123">
        <v>25</v>
      </c>
      <c r="C123">
        <v>726575.38578124996</v>
      </c>
      <c r="D123">
        <v>455194.72446590842</v>
      </c>
      <c r="E123">
        <v>1.5327265844675849E-4</v>
      </c>
      <c r="F123">
        <v>1.531984983441649E-4</v>
      </c>
      <c r="G123">
        <v>7.4160102593644282E-8</v>
      </c>
      <c r="H123" t="b">
        <v>0</v>
      </c>
    </row>
    <row r="124" spans="1:8" x14ac:dyDescent="0.15">
      <c r="A124">
        <v>91</v>
      </c>
      <c r="B124">
        <v>26</v>
      </c>
      <c r="C124">
        <v>726598.71378124994</v>
      </c>
      <c r="D124">
        <v>953891.08806984441</v>
      </c>
      <c r="E124">
        <v>1.5335384634639979E-4</v>
      </c>
      <c r="F124">
        <v>1.531984983441649E-4</v>
      </c>
      <c r="G124">
        <v>1.5534800223488589E-7</v>
      </c>
      <c r="H124" t="b">
        <v>0</v>
      </c>
    </row>
    <row r="125" spans="1:8" x14ac:dyDescent="0.15">
      <c r="A125">
        <v>91</v>
      </c>
      <c r="B125">
        <v>27</v>
      </c>
      <c r="C125">
        <v>726587.04978124995</v>
      </c>
      <c r="D125">
        <v>704475.25418373116</v>
      </c>
      <c r="E125">
        <v>1.5331324914275081E-4</v>
      </c>
      <c r="F125">
        <v>1.531984983441649E-4</v>
      </c>
      <c r="G125">
        <v>1.147507985859331E-7</v>
      </c>
      <c r="H125" t="b">
        <v>0</v>
      </c>
    </row>
    <row r="126" spans="1:8" x14ac:dyDescent="0.15">
      <c r="A126">
        <v>91</v>
      </c>
      <c r="B126">
        <v>28</v>
      </c>
      <c r="C126">
        <v>726592.88178125001</v>
      </c>
      <c r="D126">
        <v>829163.92310671741</v>
      </c>
      <c r="E126">
        <v>1.5333354655095531E-4</v>
      </c>
      <c r="F126">
        <v>1.531984983441649E-4</v>
      </c>
      <c r="G126">
        <v>1.3504820679045889E-7</v>
      </c>
      <c r="H126" t="b">
        <v>0</v>
      </c>
    </row>
    <row r="127" spans="1:8" x14ac:dyDescent="0.15">
      <c r="A127">
        <v>91</v>
      </c>
      <c r="B127">
        <v>29</v>
      </c>
      <c r="C127">
        <v>726589.96578125004</v>
      </c>
      <c r="D127">
        <v>766764.08886538411</v>
      </c>
      <c r="E127">
        <v>1.5332338929723821E-4</v>
      </c>
      <c r="F127">
        <v>1.531984983441649E-4</v>
      </c>
      <c r="G127">
        <v>1.2489095307328189E-7</v>
      </c>
      <c r="H127" t="b">
        <v>0</v>
      </c>
    </row>
    <row r="128" spans="1:8" x14ac:dyDescent="0.15">
      <c r="A128">
        <v>91</v>
      </c>
      <c r="B128">
        <v>30</v>
      </c>
      <c r="C128">
        <v>726586.46658125008</v>
      </c>
      <c r="D128">
        <v>692008.50449901214</v>
      </c>
      <c r="E128">
        <v>1.5331121953322569E-4</v>
      </c>
      <c r="F128">
        <v>1.531984983441649E-4</v>
      </c>
      <c r="G128">
        <v>1.127211890608376E-7</v>
      </c>
      <c r="H128" t="b">
        <v>0</v>
      </c>
    </row>
    <row r="129" spans="1:8" x14ac:dyDescent="0.15">
      <c r="A129">
        <v>91</v>
      </c>
      <c r="B129">
        <v>31</v>
      </c>
      <c r="C129">
        <v>726588.21618125006</v>
      </c>
      <c r="D129">
        <v>729409.90843988908</v>
      </c>
      <c r="E129">
        <v>1.5331730843342611E-4</v>
      </c>
      <c r="F129">
        <v>1.531984983441649E-4</v>
      </c>
      <c r="G129">
        <v>1.188100892612301E-7</v>
      </c>
      <c r="H129" t="b">
        <v>0</v>
      </c>
    </row>
    <row r="130" spans="1:8" x14ac:dyDescent="0.15">
      <c r="A130">
        <v>92</v>
      </c>
      <c r="B130">
        <v>1</v>
      </c>
      <c r="C130">
        <v>6050000</v>
      </c>
      <c r="D130">
        <v>9.4345936813920992E+16</v>
      </c>
      <c r="E130">
        <v>536.87092200000006</v>
      </c>
      <c r="F130">
        <v>1.5254950471899059E-4</v>
      </c>
      <c r="G130">
        <v>536.87076945049535</v>
      </c>
      <c r="H130" t="b">
        <v>0</v>
      </c>
    </row>
    <row r="131" spans="1:8" x14ac:dyDescent="0.15">
      <c r="A131">
        <v>92</v>
      </c>
      <c r="B131">
        <v>2</v>
      </c>
      <c r="C131">
        <v>3075000</v>
      </c>
      <c r="D131">
        <v>9.4345936813920992E+16</v>
      </c>
      <c r="E131">
        <v>536.87092200000006</v>
      </c>
      <c r="F131">
        <v>1.5254950471899059E-4</v>
      </c>
      <c r="G131">
        <v>536.87076945049535</v>
      </c>
      <c r="H131" t="b">
        <v>0</v>
      </c>
    </row>
    <row r="132" spans="1:8" x14ac:dyDescent="0.15">
      <c r="A132">
        <v>92</v>
      </c>
      <c r="B132">
        <v>3</v>
      </c>
      <c r="C132">
        <v>1587500</v>
      </c>
      <c r="D132">
        <v>9.4345936813920992E+16</v>
      </c>
      <c r="E132">
        <v>536.87092200000006</v>
      </c>
      <c r="F132">
        <v>1.5254950471899059E-4</v>
      </c>
      <c r="G132">
        <v>536.87076945049535</v>
      </c>
      <c r="H132" t="b">
        <v>0</v>
      </c>
    </row>
    <row r="133" spans="1:8" x14ac:dyDescent="0.15">
      <c r="A133">
        <v>92</v>
      </c>
      <c r="B133">
        <v>4</v>
      </c>
      <c r="C133">
        <v>843750</v>
      </c>
      <c r="D133">
        <v>9.4345936813920992E+16</v>
      </c>
      <c r="E133">
        <v>536.87092200000006</v>
      </c>
      <c r="F133">
        <v>1.5254950471899059E-4</v>
      </c>
      <c r="G133">
        <v>536.87076945049535</v>
      </c>
      <c r="H133" t="b">
        <v>0</v>
      </c>
    </row>
    <row r="134" spans="1:8" x14ac:dyDescent="0.15">
      <c r="A134">
        <v>92</v>
      </c>
      <c r="B134">
        <v>5</v>
      </c>
      <c r="C134">
        <v>471875</v>
      </c>
      <c r="D134">
        <v>83412327181368.422</v>
      </c>
      <c r="E134">
        <v>1.2011347732701669</v>
      </c>
      <c r="F134">
        <v>1.5254950471210729E-4</v>
      </c>
      <c r="G134">
        <v>1.200982223765455</v>
      </c>
      <c r="H134" t="b">
        <v>0</v>
      </c>
    </row>
    <row r="135" spans="1:8" x14ac:dyDescent="0.15">
      <c r="A135">
        <v>92</v>
      </c>
      <c r="B135">
        <v>6</v>
      </c>
      <c r="C135">
        <v>285937.5</v>
      </c>
      <c r="D135">
        <v>19059364866.577518</v>
      </c>
      <c r="E135">
        <v>1.3977986005613129E-3</v>
      </c>
      <c r="F135">
        <v>1.5254950471217169E-4</v>
      </c>
      <c r="G135">
        <v>1.245249095849141E-3</v>
      </c>
      <c r="H135" t="b">
        <v>0</v>
      </c>
    </row>
    <row r="136" spans="1:8" x14ac:dyDescent="0.15">
      <c r="A136">
        <v>92</v>
      </c>
      <c r="B136">
        <v>7</v>
      </c>
      <c r="C136">
        <v>192968.75</v>
      </c>
      <c r="D136">
        <v>38362.656470792012</v>
      </c>
      <c r="E136">
        <v>4.4016685343430688E-6</v>
      </c>
      <c r="F136">
        <v>1.525495047121718E-4</v>
      </c>
      <c r="G136">
        <v>-1.481478361778287E-4</v>
      </c>
      <c r="H136" t="b">
        <v>1</v>
      </c>
    </row>
    <row r="137" spans="1:8" x14ac:dyDescent="0.15">
      <c r="A137">
        <v>92</v>
      </c>
      <c r="B137">
        <v>8</v>
      </c>
      <c r="C137">
        <v>239453.125</v>
      </c>
      <c r="D137">
        <v>-1545005.3864167361</v>
      </c>
      <c r="E137">
        <v>6.1407435089167064E-5</v>
      </c>
      <c r="F137">
        <v>1.525495047121718E-4</v>
      </c>
      <c r="G137">
        <v>-9.1142069623004711E-5</v>
      </c>
      <c r="H137" t="b">
        <v>1</v>
      </c>
    </row>
    <row r="138" spans="1:8" x14ac:dyDescent="0.15">
      <c r="A138">
        <v>92</v>
      </c>
      <c r="B138">
        <v>9</v>
      </c>
      <c r="C138">
        <v>262695.3125</v>
      </c>
      <c r="D138">
        <v>1693288779.6548891</v>
      </c>
      <c r="E138">
        <v>3.3379144105422629E-4</v>
      </c>
      <c r="F138">
        <v>1.525495047121718E-4</v>
      </c>
      <c r="G138">
        <v>1.8124193634205449E-4</v>
      </c>
      <c r="H138" t="b">
        <v>0</v>
      </c>
    </row>
    <row r="139" spans="1:8" x14ac:dyDescent="0.15">
      <c r="A139">
        <v>92</v>
      </c>
      <c r="B139">
        <v>10</v>
      </c>
      <c r="C139">
        <v>251074.21875</v>
      </c>
      <c r="D139">
        <v>-23925336.532794479</v>
      </c>
      <c r="E139">
        <v>1.485891360357212E-4</v>
      </c>
      <c r="F139">
        <v>1.525495047121718E-4</v>
      </c>
      <c r="G139">
        <v>-3.9603686764505966E-6</v>
      </c>
      <c r="H139" t="b">
        <v>1</v>
      </c>
    </row>
    <row r="140" spans="1:8" x14ac:dyDescent="0.15">
      <c r="A140">
        <v>92</v>
      </c>
      <c r="B140">
        <v>11</v>
      </c>
      <c r="C140">
        <v>256884.765625</v>
      </c>
      <c r="D140">
        <v>560910329.89105558</v>
      </c>
      <c r="E140">
        <v>2.2464640572907881E-4</v>
      </c>
      <c r="F140">
        <v>1.525495047121718E-4</v>
      </c>
      <c r="G140">
        <v>7.2096901016907035E-5</v>
      </c>
      <c r="H140" t="b">
        <v>0</v>
      </c>
    </row>
    <row r="141" spans="1:8" x14ac:dyDescent="0.15">
      <c r="A141">
        <v>92</v>
      </c>
      <c r="B141">
        <v>12</v>
      </c>
      <c r="C141">
        <v>253979.4921875</v>
      </c>
      <c r="D141">
        <v>212258991.7498084</v>
      </c>
      <c r="E141">
        <v>1.831113241935158E-4</v>
      </c>
      <c r="F141">
        <v>1.525495047121718E-4</v>
      </c>
      <c r="G141">
        <v>3.0561819481343997E-5</v>
      </c>
      <c r="H141" t="b">
        <v>0</v>
      </c>
    </row>
    <row r="142" spans="1:8" x14ac:dyDescent="0.15">
      <c r="A142">
        <v>92</v>
      </c>
      <c r="B142">
        <v>13</v>
      </c>
      <c r="C142">
        <v>252526.85546875</v>
      </c>
      <c r="D142">
        <v>81266596.938974559</v>
      </c>
      <c r="E142">
        <v>1.650434534266454E-4</v>
      </c>
      <c r="F142">
        <v>1.525495047121718E-4</v>
      </c>
      <c r="G142">
        <v>1.2493948714473599E-5</v>
      </c>
      <c r="H142" t="b">
        <v>0</v>
      </c>
    </row>
    <row r="143" spans="1:8" x14ac:dyDescent="0.15">
      <c r="A143">
        <v>92</v>
      </c>
      <c r="B143">
        <v>14</v>
      </c>
      <c r="C143">
        <v>251326.85546875</v>
      </c>
      <c r="D143">
        <v>-7402953.6635713307</v>
      </c>
      <c r="E143">
        <v>1.5134060214990711E-4</v>
      </c>
      <c r="F143">
        <v>1.525495047121718E-4</v>
      </c>
      <c r="G143">
        <v>-1.208902562264692E-6</v>
      </c>
      <c r="H143" t="b">
        <v>1</v>
      </c>
    </row>
    <row r="144" spans="1:8" x14ac:dyDescent="0.15">
      <c r="A144">
        <v>92</v>
      </c>
      <c r="B144">
        <v>15</v>
      </c>
      <c r="C144">
        <v>251926.85546875</v>
      </c>
      <c r="D144">
        <v>34799620.321210392</v>
      </c>
      <c r="E144">
        <v>1.5805904541519821E-4</v>
      </c>
      <c r="F144">
        <v>1.525495047121718E-4</v>
      </c>
      <c r="G144">
        <v>5.5095407030264108E-6</v>
      </c>
      <c r="H144" t="b">
        <v>0</v>
      </c>
    </row>
    <row r="145" spans="1:8" x14ac:dyDescent="0.15">
      <c r="A145">
        <v>92</v>
      </c>
      <c r="B145">
        <v>16</v>
      </c>
      <c r="C145">
        <v>251626.85546875</v>
      </c>
      <c r="D145">
        <v>13172875.09540914</v>
      </c>
      <c r="E145">
        <v>1.5466714393180201E-4</v>
      </c>
      <c r="F145">
        <v>1.525495047121718E-4</v>
      </c>
      <c r="G145">
        <v>2.1176392196302098E-6</v>
      </c>
      <c r="H145" t="b">
        <v>0</v>
      </c>
    </row>
    <row r="146" spans="1:8" x14ac:dyDescent="0.15">
      <c r="A146">
        <v>92</v>
      </c>
      <c r="B146">
        <v>17</v>
      </c>
      <c r="C146">
        <v>251266.85546875</v>
      </c>
      <c r="D146">
        <v>-11393237.78953159</v>
      </c>
      <c r="E146">
        <v>1.5068304068056141E-4</v>
      </c>
      <c r="F146">
        <v>1.525495047121718E-4</v>
      </c>
      <c r="G146">
        <v>-1.866464031610363E-6</v>
      </c>
      <c r="H146" t="b">
        <v>1</v>
      </c>
    </row>
    <row r="147" spans="1:8" x14ac:dyDescent="0.15">
      <c r="A147">
        <v>92</v>
      </c>
      <c r="B147">
        <v>18</v>
      </c>
      <c r="C147">
        <v>251446.85546875</v>
      </c>
      <c r="D147">
        <v>702199.65886782238</v>
      </c>
      <c r="E147">
        <v>1.5266345043120491E-4</v>
      </c>
      <c r="F147">
        <v>1.525495047121718E-4</v>
      </c>
      <c r="G147">
        <v>1.13945719033159E-7</v>
      </c>
      <c r="H147" t="b">
        <v>0</v>
      </c>
    </row>
    <row r="148" spans="1:8" x14ac:dyDescent="0.15">
      <c r="A148">
        <v>92</v>
      </c>
      <c r="B148">
        <v>19</v>
      </c>
      <c r="C148">
        <v>251356.85546875</v>
      </c>
      <c r="D148">
        <v>-5392235.7562428256</v>
      </c>
      <c r="E148">
        <v>1.516703506370904E-4</v>
      </c>
      <c r="F148">
        <v>1.525495047121718E-4</v>
      </c>
      <c r="G148">
        <v>-8.7915407508137736E-7</v>
      </c>
      <c r="H148" t="b">
        <v>1</v>
      </c>
    </row>
    <row r="149" spans="1:8" x14ac:dyDescent="0.15">
      <c r="A149">
        <v>92</v>
      </c>
      <c r="B149">
        <v>20</v>
      </c>
      <c r="C149">
        <v>251401.85546875</v>
      </c>
      <c r="D149">
        <v>-2356730.703171561</v>
      </c>
      <c r="E149">
        <v>1.5216617318113821E-4</v>
      </c>
      <c r="F149">
        <v>1.525495047121718E-4</v>
      </c>
      <c r="G149">
        <v>-3.8333153103362332E-7</v>
      </c>
      <c r="H149" t="b">
        <v>1</v>
      </c>
    </row>
    <row r="150" spans="1:8" x14ac:dyDescent="0.15">
      <c r="A150">
        <v>92</v>
      </c>
      <c r="B150">
        <v>21</v>
      </c>
      <c r="C150">
        <v>251446.85546875</v>
      </c>
      <c r="D150">
        <v>702199.65886782238</v>
      </c>
      <c r="E150">
        <v>1.5266345043120491E-4</v>
      </c>
      <c r="F150">
        <v>1.525495047121718E-4</v>
      </c>
      <c r="G150">
        <v>1.13945719033159E-7</v>
      </c>
      <c r="H150" t="b">
        <v>0</v>
      </c>
    </row>
    <row r="151" spans="1:8" x14ac:dyDescent="0.15">
      <c r="A151">
        <v>92</v>
      </c>
      <c r="B151">
        <v>22</v>
      </c>
      <c r="C151">
        <v>251424.35546875</v>
      </c>
      <c r="D151">
        <v>-830194.63101521449</v>
      </c>
      <c r="E151">
        <v>1.5241463004998321E-4</v>
      </c>
      <c r="F151">
        <v>1.525495047121718E-4</v>
      </c>
      <c r="G151">
        <v>-1.3487466218853851E-7</v>
      </c>
      <c r="H151" t="b">
        <v>1</v>
      </c>
    </row>
    <row r="152" spans="1:8" x14ac:dyDescent="0.15">
      <c r="A152">
        <v>92</v>
      </c>
      <c r="B152">
        <v>23</v>
      </c>
      <c r="C152">
        <v>251435.60546875</v>
      </c>
      <c r="D152">
        <v>-64747.08067451472</v>
      </c>
      <c r="E152">
        <v>1.5253899201906211E-4</v>
      </c>
      <c r="F152">
        <v>1.525495047121718E-4</v>
      </c>
      <c r="G152">
        <v>-1.051269310964114E-8</v>
      </c>
      <c r="H152" t="b">
        <v>1</v>
      </c>
    </row>
    <row r="153" spans="1:8" x14ac:dyDescent="0.15">
      <c r="A153">
        <v>92</v>
      </c>
      <c r="B153">
        <v>24</v>
      </c>
      <c r="C153">
        <v>251446.85546875</v>
      </c>
      <c r="D153">
        <v>702199.65886782238</v>
      </c>
      <c r="E153">
        <v>1.5266345043120491E-4</v>
      </c>
      <c r="F153">
        <v>1.525495047121718E-4</v>
      </c>
      <c r="G153">
        <v>1.13945719033159E-7</v>
      </c>
      <c r="H153" t="b">
        <v>0</v>
      </c>
    </row>
    <row r="154" spans="1:8" x14ac:dyDescent="0.15">
      <c r="A154">
        <v>92</v>
      </c>
      <c r="B154">
        <v>25</v>
      </c>
      <c r="C154">
        <v>251441.23046875</v>
      </c>
      <c r="D154">
        <v>318534.58447518252</v>
      </c>
      <c r="E154">
        <v>1.5260120847589449E-4</v>
      </c>
      <c r="F154">
        <v>1.525495047121718E-4</v>
      </c>
      <c r="G154">
        <v>5.1703763722743632E-8</v>
      </c>
      <c r="H154" t="b">
        <v>0</v>
      </c>
    </row>
    <row r="155" spans="1:8" x14ac:dyDescent="0.15">
      <c r="A155">
        <v>92</v>
      </c>
      <c r="B155">
        <v>26</v>
      </c>
      <c r="C155">
        <v>251434.48046875</v>
      </c>
      <c r="D155">
        <v>-141342.5004589507</v>
      </c>
      <c r="E155">
        <v>1.5252655420891831E-4</v>
      </c>
      <c r="F155">
        <v>1.525495047121718E-4</v>
      </c>
      <c r="G155">
        <v>-2.2950503253518819E-8</v>
      </c>
      <c r="H155" t="b">
        <v>1</v>
      </c>
    </row>
    <row r="156" spans="1:8" x14ac:dyDescent="0.15">
      <c r="A156">
        <v>92</v>
      </c>
      <c r="B156">
        <v>27</v>
      </c>
      <c r="C156">
        <v>251437.85546875</v>
      </c>
      <c r="D156">
        <v>88521.622048303136</v>
      </c>
      <c r="E156">
        <v>1.5256387587329301E-4</v>
      </c>
      <c r="F156">
        <v>1.525495047121718E-4</v>
      </c>
      <c r="G156">
        <v>1.437116112120969E-8</v>
      </c>
      <c r="H156" t="b">
        <v>0</v>
      </c>
    </row>
    <row r="157" spans="1:8" x14ac:dyDescent="0.15">
      <c r="A157">
        <v>92</v>
      </c>
      <c r="B157">
        <v>28</v>
      </c>
      <c r="C157">
        <v>251441.90546874999</v>
      </c>
      <c r="D157">
        <v>364553.0051704701</v>
      </c>
      <c r="E157">
        <v>1.5260867597878509E-4</v>
      </c>
      <c r="F157">
        <v>1.525495047121718E-4</v>
      </c>
      <c r="G157">
        <v>5.9171266613284841E-8</v>
      </c>
      <c r="H157" t="b">
        <v>0</v>
      </c>
    </row>
    <row r="158" spans="1:8" x14ac:dyDescent="0.15">
      <c r="A158">
        <v>92</v>
      </c>
      <c r="B158">
        <v>29</v>
      </c>
      <c r="C158">
        <v>251439.88046874999</v>
      </c>
      <c r="D158">
        <v>226513.57158641101</v>
      </c>
      <c r="E158">
        <v>1.5258627445249271E-4</v>
      </c>
      <c r="F158">
        <v>1.525495047121718E-4</v>
      </c>
      <c r="G158">
        <v>3.6769740320959558E-8</v>
      </c>
      <c r="H158" t="b">
        <v>0</v>
      </c>
    </row>
    <row r="159" spans="1:8" x14ac:dyDescent="0.15">
      <c r="A159">
        <v>92</v>
      </c>
      <c r="B159">
        <v>30</v>
      </c>
      <c r="C159">
        <v>251440.89296875001</v>
      </c>
      <c r="D159">
        <v>295544.3294263389</v>
      </c>
      <c r="E159">
        <v>1.5259747760228891E-4</v>
      </c>
      <c r="F159">
        <v>1.525495047121718E-4</v>
      </c>
      <c r="G159">
        <v>4.7972890117081897E-8</v>
      </c>
      <c r="H159" t="b">
        <v>0</v>
      </c>
    </row>
    <row r="160" spans="1:8" x14ac:dyDescent="0.15">
      <c r="A160">
        <v>92</v>
      </c>
      <c r="B160">
        <v>31</v>
      </c>
      <c r="C160">
        <v>251440.38671875</v>
      </c>
      <c r="D160">
        <v>261035.95307287379</v>
      </c>
      <c r="E160">
        <v>1.5259187731265299E-4</v>
      </c>
      <c r="F160">
        <v>1.525495047121718E-4</v>
      </c>
      <c r="G160">
        <v>4.2372600481268381E-8</v>
      </c>
      <c r="H160" t="b">
        <v>0</v>
      </c>
    </row>
    <row r="161" spans="1:8" x14ac:dyDescent="0.15">
      <c r="A161">
        <v>92</v>
      </c>
      <c r="B161">
        <v>32</v>
      </c>
      <c r="C161">
        <v>251439.77921874999</v>
      </c>
      <c r="D161">
        <v>219629.81895252061</v>
      </c>
      <c r="E161">
        <v>1.5258515720822989E-4</v>
      </c>
      <c r="F161">
        <v>1.525495047121718E-4</v>
      </c>
      <c r="G161">
        <v>3.5652496058142863E-8</v>
      </c>
      <c r="H161" t="b">
        <v>0</v>
      </c>
    </row>
    <row r="162" spans="1:8" x14ac:dyDescent="0.15">
      <c r="A162">
        <v>92</v>
      </c>
      <c r="B162">
        <v>33</v>
      </c>
      <c r="C162">
        <v>251440.08296875001</v>
      </c>
      <c r="D162">
        <v>240315.3782622469</v>
      </c>
      <c r="E162">
        <v>1.5258851447252461E-4</v>
      </c>
      <c r="F162">
        <v>1.525495047121718E-4</v>
      </c>
      <c r="G162">
        <v>3.9009760352862709E-8</v>
      </c>
      <c r="H162" t="b">
        <v>0</v>
      </c>
    </row>
    <row r="163" spans="1:8" x14ac:dyDescent="0.15">
      <c r="A163">
        <v>92</v>
      </c>
      <c r="B163">
        <v>34</v>
      </c>
      <c r="C163">
        <v>251440.44746875</v>
      </c>
      <c r="D163">
        <v>265159.82651080831</v>
      </c>
      <c r="E163">
        <v>1.5259254658278831E-4</v>
      </c>
      <c r="F163">
        <v>1.525495047121718E-4</v>
      </c>
      <c r="G163">
        <v>4.3041870616538243E-8</v>
      </c>
      <c r="H163" t="b">
        <v>0</v>
      </c>
    </row>
    <row r="164" spans="1:8" x14ac:dyDescent="0.15">
      <c r="A164">
        <v>92</v>
      </c>
      <c r="B164">
        <v>35</v>
      </c>
      <c r="C164">
        <v>251440.26521874999</v>
      </c>
      <c r="D164">
        <v>252737.41006273829</v>
      </c>
      <c r="E164">
        <v>1.5259053051571881E-4</v>
      </c>
      <c r="F164">
        <v>1.525495047121718E-4</v>
      </c>
      <c r="G164">
        <v>4.1025803547065347E-8</v>
      </c>
      <c r="H164" t="b">
        <v>0</v>
      </c>
    </row>
    <row r="165" spans="1:8" x14ac:dyDescent="0.15">
      <c r="A165">
        <v>93</v>
      </c>
      <c r="B165">
        <v>1</v>
      </c>
      <c r="C165">
        <v>6050000</v>
      </c>
      <c r="D165">
        <v>9.4345936813920992E+16</v>
      </c>
      <c r="E165">
        <v>536.87092200000006</v>
      </c>
      <c r="F165">
        <v>1.5254950471899059E-4</v>
      </c>
      <c r="G165">
        <v>536.87076945049535</v>
      </c>
      <c r="H165" t="b">
        <v>0</v>
      </c>
    </row>
    <row r="166" spans="1:8" x14ac:dyDescent="0.15">
      <c r="A166">
        <v>93</v>
      </c>
      <c r="B166">
        <v>2</v>
      </c>
      <c r="C166">
        <v>3075000</v>
      </c>
      <c r="D166">
        <v>9.4345936813920992E+16</v>
      </c>
      <c r="E166">
        <v>536.87092200000006</v>
      </c>
      <c r="F166">
        <v>1.5254950471899059E-4</v>
      </c>
      <c r="G166">
        <v>536.87076945049535</v>
      </c>
      <c r="H166" t="b">
        <v>0</v>
      </c>
    </row>
    <row r="167" spans="1:8" x14ac:dyDescent="0.15">
      <c r="A167">
        <v>93</v>
      </c>
      <c r="B167">
        <v>3</v>
      </c>
      <c r="C167">
        <v>1587500</v>
      </c>
      <c r="D167">
        <v>9.4345936813920992E+16</v>
      </c>
      <c r="E167">
        <v>536.87092200000006</v>
      </c>
      <c r="F167">
        <v>1.5254950471899059E-4</v>
      </c>
      <c r="G167">
        <v>536.87076945049535</v>
      </c>
      <c r="H167" t="b">
        <v>0</v>
      </c>
    </row>
    <row r="168" spans="1:8" x14ac:dyDescent="0.15">
      <c r="A168">
        <v>93</v>
      </c>
      <c r="B168">
        <v>4</v>
      </c>
      <c r="C168">
        <v>843750</v>
      </c>
      <c r="D168">
        <v>9.4345936813920992E+16</v>
      </c>
      <c r="E168">
        <v>536.87092200000006</v>
      </c>
      <c r="F168">
        <v>1.5254950471899059E-4</v>
      </c>
      <c r="G168">
        <v>536.87076945049535</v>
      </c>
      <c r="H168" t="b">
        <v>0</v>
      </c>
    </row>
    <row r="169" spans="1:8" x14ac:dyDescent="0.15">
      <c r="A169">
        <v>93</v>
      </c>
      <c r="B169">
        <v>5</v>
      </c>
      <c r="C169">
        <v>471875</v>
      </c>
      <c r="D169">
        <v>83412327181368.422</v>
      </c>
      <c r="E169">
        <v>1.2011347732701669</v>
      </c>
      <c r="F169">
        <v>1.5254950471210729E-4</v>
      </c>
      <c r="G169">
        <v>1.200982223765455</v>
      </c>
      <c r="H169" t="b">
        <v>0</v>
      </c>
    </row>
    <row r="170" spans="1:8" x14ac:dyDescent="0.15">
      <c r="A170">
        <v>93</v>
      </c>
      <c r="B170">
        <v>6</v>
      </c>
      <c r="C170">
        <v>285937.5</v>
      </c>
      <c r="D170">
        <v>19059364866.577518</v>
      </c>
      <c r="E170">
        <v>1.3977986005613129E-3</v>
      </c>
      <c r="F170">
        <v>1.5254950471217169E-4</v>
      </c>
      <c r="G170">
        <v>1.245249095849141E-3</v>
      </c>
      <c r="H170" t="b">
        <v>0</v>
      </c>
    </row>
    <row r="171" spans="1:8" x14ac:dyDescent="0.15">
      <c r="A171">
        <v>93</v>
      </c>
      <c r="B171">
        <v>7</v>
      </c>
      <c r="C171">
        <v>192968.75</v>
      </c>
      <c r="D171">
        <v>38362.656470792012</v>
      </c>
      <c r="E171">
        <v>4.4016685343430688E-6</v>
      </c>
      <c r="F171">
        <v>1.525495047121718E-4</v>
      </c>
      <c r="G171">
        <v>-1.481478361778287E-4</v>
      </c>
      <c r="H171" t="b">
        <v>1</v>
      </c>
    </row>
    <row r="172" spans="1:8" x14ac:dyDescent="0.15">
      <c r="A172">
        <v>93</v>
      </c>
      <c r="B172">
        <v>8</v>
      </c>
      <c r="C172">
        <v>239453.125</v>
      </c>
      <c r="D172">
        <v>-1545005.3864167361</v>
      </c>
      <c r="E172">
        <v>6.1407435089167064E-5</v>
      </c>
      <c r="F172">
        <v>1.525495047121718E-4</v>
      </c>
      <c r="G172">
        <v>-9.1142069623004711E-5</v>
      </c>
      <c r="H172" t="b">
        <v>1</v>
      </c>
    </row>
    <row r="173" spans="1:8" x14ac:dyDescent="0.15">
      <c r="A173">
        <v>93</v>
      </c>
      <c r="B173">
        <v>9</v>
      </c>
      <c r="C173">
        <v>262695.3125</v>
      </c>
      <c r="D173">
        <v>1693288779.6548891</v>
      </c>
      <c r="E173">
        <v>3.3379144105422629E-4</v>
      </c>
      <c r="F173">
        <v>1.525495047121718E-4</v>
      </c>
      <c r="G173">
        <v>1.8124193634205449E-4</v>
      </c>
      <c r="H173" t="b">
        <v>0</v>
      </c>
    </row>
    <row r="174" spans="1:8" x14ac:dyDescent="0.15">
      <c r="A174">
        <v>93</v>
      </c>
      <c r="B174">
        <v>10</v>
      </c>
      <c r="C174">
        <v>251074.21875</v>
      </c>
      <c r="D174">
        <v>-23925336.532794479</v>
      </c>
      <c r="E174">
        <v>1.485891360357212E-4</v>
      </c>
      <c r="F174">
        <v>1.525495047121718E-4</v>
      </c>
      <c r="G174">
        <v>-3.9603686764505966E-6</v>
      </c>
      <c r="H174" t="b">
        <v>1</v>
      </c>
    </row>
    <row r="175" spans="1:8" x14ac:dyDescent="0.15">
      <c r="A175">
        <v>93</v>
      </c>
      <c r="B175">
        <v>11</v>
      </c>
      <c r="C175">
        <v>256884.765625</v>
      </c>
      <c r="D175">
        <v>560910329.89105558</v>
      </c>
      <c r="E175">
        <v>2.2464640572907881E-4</v>
      </c>
      <c r="F175">
        <v>1.525495047121718E-4</v>
      </c>
      <c r="G175">
        <v>7.2096901016907035E-5</v>
      </c>
      <c r="H175" t="b">
        <v>0</v>
      </c>
    </row>
    <row r="176" spans="1:8" x14ac:dyDescent="0.15">
      <c r="A176">
        <v>93</v>
      </c>
      <c r="B176">
        <v>12</v>
      </c>
      <c r="C176">
        <v>253979.4921875</v>
      </c>
      <c r="D176">
        <v>212258991.7498084</v>
      </c>
      <c r="E176">
        <v>1.831113241935158E-4</v>
      </c>
      <c r="F176">
        <v>1.525495047121718E-4</v>
      </c>
      <c r="G176">
        <v>3.0561819481343997E-5</v>
      </c>
      <c r="H176" t="b">
        <v>0</v>
      </c>
    </row>
    <row r="177" spans="1:8" x14ac:dyDescent="0.15">
      <c r="A177">
        <v>93</v>
      </c>
      <c r="B177">
        <v>13</v>
      </c>
      <c r="C177">
        <v>252526.85546875</v>
      </c>
      <c r="D177">
        <v>81266596.938974559</v>
      </c>
      <c r="E177">
        <v>1.650434534266454E-4</v>
      </c>
      <c r="F177">
        <v>1.525495047121718E-4</v>
      </c>
      <c r="G177">
        <v>1.2493948714473599E-5</v>
      </c>
      <c r="H177" t="b">
        <v>0</v>
      </c>
    </row>
    <row r="178" spans="1:8" x14ac:dyDescent="0.15">
      <c r="A178">
        <v>93</v>
      </c>
      <c r="B178">
        <v>14</v>
      </c>
      <c r="C178">
        <v>251326.85546875</v>
      </c>
      <c r="D178">
        <v>-7402953.6635713307</v>
      </c>
      <c r="E178">
        <v>1.5134060214990711E-4</v>
      </c>
      <c r="F178">
        <v>1.525495047121718E-4</v>
      </c>
      <c r="G178">
        <v>-1.208902562264692E-6</v>
      </c>
      <c r="H178" t="b">
        <v>1</v>
      </c>
    </row>
    <row r="179" spans="1:8" x14ac:dyDescent="0.15">
      <c r="A179">
        <v>93</v>
      </c>
      <c r="B179">
        <v>15</v>
      </c>
      <c r="C179">
        <v>251926.85546875</v>
      </c>
      <c r="D179">
        <v>34799620.321210392</v>
      </c>
      <c r="E179">
        <v>1.5805904541519821E-4</v>
      </c>
      <c r="F179">
        <v>1.525495047121718E-4</v>
      </c>
      <c r="G179">
        <v>5.5095407030264108E-6</v>
      </c>
      <c r="H179" t="b">
        <v>0</v>
      </c>
    </row>
    <row r="180" spans="1:8" x14ac:dyDescent="0.15">
      <c r="A180">
        <v>93</v>
      </c>
      <c r="B180">
        <v>16</v>
      </c>
      <c r="C180">
        <v>251626.85546875</v>
      </c>
      <c r="D180">
        <v>13172875.09540914</v>
      </c>
      <c r="E180">
        <v>1.5466714393180201E-4</v>
      </c>
      <c r="F180">
        <v>1.525495047121718E-4</v>
      </c>
      <c r="G180">
        <v>2.1176392196302098E-6</v>
      </c>
      <c r="H180" t="b">
        <v>0</v>
      </c>
    </row>
    <row r="181" spans="1:8" x14ac:dyDescent="0.15">
      <c r="A181">
        <v>93</v>
      </c>
      <c r="B181">
        <v>17</v>
      </c>
      <c r="C181">
        <v>251266.85546875</v>
      </c>
      <c r="D181">
        <v>-11393237.78953159</v>
      </c>
      <c r="E181">
        <v>1.5068304068056141E-4</v>
      </c>
      <c r="F181">
        <v>1.525495047121718E-4</v>
      </c>
      <c r="G181">
        <v>-1.866464031610363E-6</v>
      </c>
      <c r="H181" t="b">
        <v>1</v>
      </c>
    </row>
    <row r="182" spans="1:8" x14ac:dyDescent="0.15">
      <c r="A182">
        <v>93</v>
      </c>
      <c r="B182">
        <v>18</v>
      </c>
      <c r="C182">
        <v>251446.85546875</v>
      </c>
      <c r="D182">
        <v>702199.65886782238</v>
      </c>
      <c r="E182">
        <v>1.5266345043120491E-4</v>
      </c>
      <c r="F182">
        <v>1.525495047121718E-4</v>
      </c>
      <c r="G182">
        <v>1.13945719033159E-7</v>
      </c>
      <c r="H182" t="b">
        <v>0</v>
      </c>
    </row>
    <row r="183" spans="1:8" x14ac:dyDescent="0.15">
      <c r="A183">
        <v>93</v>
      </c>
      <c r="B183">
        <v>19</v>
      </c>
      <c r="C183">
        <v>251356.85546875</v>
      </c>
      <c r="D183">
        <v>-5392235.7562428256</v>
      </c>
      <c r="E183">
        <v>1.516703506370904E-4</v>
      </c>
      <c r="F183">
        <v>1.525495047121718E-4</v>
      </c>
      <c r="G183">
        <v>-8.7915407508137736E-7</v>
      </c>
      <c r="H183" t="b">
        <v>1</v>
      </c>
    </row>
    <row r="184" spans="1:8" x14ac:dyDescent="0.15">
      <c r="A184">
        <v>93</v>
      </c>
      <c r="B184">
        <v>20</v>
      </c>
      <c r="C184">
        <v>251401.85546875</v>
      </c>
      <c r="D184">
        <v>-2356730.703171561</v>
      </c>
      <c r="E184">
        <v>1.5216617318113821E-4</v>
      </c>
      <c r="F184">
        <v>1.525495047121718E-4</v>
      </c>
      <c r="G184">
        <v>-3.8333153103362332E-7</v>
      </c>
      <c r="H184" t="b">
        <v>1</v>
      </c>
    </row>
    <row r="185" spans="1:8" x14ac:dyDescent="0.15">
      <c r="A185">
        <v>93</v>
      </c>
      <c r="B185">
        <v>21</v>
      </c>
      <c r="C185">
        <v>251446.85546875</v>
      </c>
      <c r="D185">
        <v>702199.65886782238</v>
      </c>
      <c r="E185">
        <v>1.5266345043120491E-4</v>
      </c>
      <c r="F185">
        <v>1.525495047121718E-4</v>
      </c>
      <c r="G185">
        <v>1.13945719033159E-7</v>
      </c>
      <c r="H185" t="b">
        <v>0</v>
      </c>
    </row>
    <row r="186" spans="1:8" x14ac:dyDescent="0.15">
      <c r="A186">
        <v>93</v>
      </c>
      <c r="B186">
        <v>22</v>
      </c>
      <c r="C186">
        <v>251424.35546875</v>
      </c>
      <c r="D186">
        <v>-830194.63101521449</v>
      </c>
      <c r="E186">
        <v>1.5241463004998321E-4</v>
      </c>
      <c r="F186">
        <v>1.525495047121718E-4</v>
      </c>
      <c r="G186">
        <v>-1.3487466218853851E-7</v>
      </c>
      <c r="H186" t="b">
        <v>1</v>
      </c>
    </row>
    <row r="187" spans="1:8" x14ac:dyDescent="0.15">
      <c r="A187">
        <v>93</v>
      </c>
      <c r="B187">
        <v>23</v>
      </c>
      <c r="C187">
        <v>251435.60546875</v>
      </c>
      <c r="D187">
        <v>-64747.08067451472</v>
      </c>
      <c r="E187">
        <v>1.5253899201906211E-4</v>
      </c>
      <c r="F187">
        <v>1.525495047121718E-4</v>
      </c>
      <c r="G187">
        <v>-1.051269310964114E-8</v>
      </c>
      <c r="H187" t="b">
        <v>1</v>
      </c>
    </row>
    <row r="188" spans="1:8" x14ac:dyDescent="0.15">
      <c r="A188">
        <v>93</v>
      </c>
      <c r="B188">
        <v>24</v>
      </c>
      <c r="C188">
        <v>251446.85546875</v>
      </c>
      <c r="D188">
        <v>702199.65886782238</v>
      </c>
      <c r="E188">
        <v>1.5266345043120491E-4</v>
      </c>
      <c r="F188">
        <v>1.525495047121718E-4</v>
      </c>
      <c r="G188">
        <v>1.13945719033159E-7</v>
      </c>
      <c r="H188" t="b">
        <v>0</v>
      </c>
    </row>
    <row r="189" spans="1:8" x14ac:dyDescent="0.15">
      <c r="A189">
        <v>93</v>
      </c>
      <c r="B189">
        <v>25</v>
      </c>
      <c r="C189">
        <v>251441.23046875</v>
      </c>
      <c r="D189">
        <v>318534.58447518252</v>
      </c>
      <c r="E189">
        <v>1.5260120847589449E-4</v>
      </c>
      <c r="F189">
        <v>1.525495047121718E-4</v>
      </c>
      <c r="G189">
        <v>5.1703763722743632E-8</v>
      </c>
      <c r="H189" t="b">
        <v>0</v>
      </c>
    </row>
    <row r="190" spans="1:8" x14ac:dyDescent="0.15">
      <c r="A190">
        <v>93</v>
      </c>
      <c r="B190">
        <v>26</v>
      </c>
      <c r="C190">
        <v>251434.48046875</v>
      </c>
      <c r="D190">
        <v>-141342.5004589507</v>
      </c>
      <c r="E190">
        <v>1.5252655420891831E-4</v>
      </c>
      <c r="F190">
        <v>1.525495047121718E-4</v>
      </c>
      <c r="G190">
        <v>-2.2950503253518819E-8</v>
      </c>
      <c r="H190" t="b">
        <v>1</v>
      </c>
    </row>
    <row r="191" spans="1:8" x14ac:dyDescent="0.15">
      <c r="A191">
        <v>93</v>
      </c>
      <c r="B191">
        <v>27</v>
      </c>
      <c r="C191">
        <v>251437.85546875</v>
      </c>
      <c r="D191">
        <v>88521.622048303136</v>
      </c>
      <c r="E191">
        <v>1.5256387587329301E-4</v>
      </c>
      <c r="F191">
        <v>1.525495047121718E-4</v>
      </c>
      <c r="G191">
        <v>1.437116112120969E-8</v>
      </c>
      <c r="H191" t="b">
        <v>0</v>
      </c>
    </row>
    <row r="192" spans="1:8" x14ac:dyDescent="0.15">
      <c r="A192">
        <v>93</v>
      </c>
      <c r="B192">
        <v>28</v>
      </c>
      <c r="C192">
        <v>251441.90546874999</v>
      </c>
      <c r="D192">
        <v>364553.0051704701</v>
      </c>
      <c r="E192">
        <v>1.5260867597878509E-4</v>
      </c>
      <c r="F192">
        <v>1.525495047121718E-4</v>
      </c>
      <c r="G192">
        <v>5.9171266613284841E-8</v>
      </c>
      <c r="H192" t="b">
        <v>0</v>
      </c>
    </row>
    <row r="193" spans="1:8" x14ac:dyDescent="0.15">
      <c r="A193">
        <v>93</v>
      </c>
      <c r="B193">
        <v>29</v>
      </c>
      <c r="C193">
        <v>251439.88046874999</v>
      </c>
      <c r="D193">
        <v>226513.57158641101</v>
      </c>
      <c r="E193">
        <v>1.5258627445249271E-4</v>
      </c>
      <c r="F193">
        <v>1.525495047121718E-4</v>
      </c>
      <c r="G193">
        <v>3.6769740320959558E-8</v>
      </c>
      <c r="H193" t="b">
        <v>0</v>
      </c>
    </row>
    <row r="194" spans="1:8" x14ac:dyDescent="0.15">
      <c r="A194">
        <v>93</v>
      </c>
      <c r="B194">
        <v>30</v>
      </c>
      <c r="C194">
        <v>251440.89296875001</v>
      </c>
      <c r="D194">
        <v>295544.3294263389</v>
      </c>
      <c r="E194">
        <v>1.5259747760228891E-4</v>
      </c>
      <c r="F194">
        <v>1.525495047121718E-4</v>
      </c>
      <c r="G194">
        <v>4.7972890117081897E-8</v>
      </c>
      <c r="H194" t="b">
        <v>0</v>
      </c>
    </row>
    <row r="195" spans="1:8" x14ac:dyDescent="0.15">
      <c r="A195">
        <v>93</v>
      </c>
      <c r="B195">
        <v>31</v>
      </c>
      <c r="C195">
        <v>251440.38671875</v>
      </c>
      <c r="D195">
        <v>261035.95307287379</v>
      </c>
      <c r="E195">
        <v>1.5259187731265299E-4</v>
      </c>
      <c r="F195">
        <v>1.525495047121718E-4</v>
      </c>
      <c r="G195">
        <v>4.2372600481268381E-8</v>
      </c>
      <c r="H195" t="b">
        <v>0</v>
      </c>
    </row>
    <row r="196" spans="1:8" x14ac:dyDescent="0.15">
      <c r="A196">
        <v>93</v>
      </c>
      <c r="B196">
        <v>32</v>
      </c>
      <c r="C196">
        <v>251439.77921874999</v>
      </c>
      <c r="D196">
        <v>219629.81895252061</v>
      </c>
      <c r="E196">
        <v>1.5258515720822989E-4</v>
      </c>
      <c r="F196">
        <v>1.525495047121718E-4</v>
      </c>
      <c r="G196">
        <v>3.5652496058142863E-8</v>
      </c>
      <c r="H196" t="b">
        <v>0</v>
      </c>
    </row>
    <row r="197" spans="1:8" x14ac:dyDescent="0.15">
      <c r="A197">
        <v>93</v>
      </c>
      <c r="B197">
        <v>33</v>
      </c>
      <c r="C197">
        <v>251440.08296875001</v>
      </c>
      <c r="D197">
        <v>240315.3782622469</v>
      </c>
      <c r="E197">
        <v>1.5258851447252461E-4</v>
      </c>
      <c r="F197">
        <v>1.525495047121718E-4</v>
      </c>
      <c r="G197">
        <v>3.9009760352862709E-8</v>
      </c>
      <c r="H197" t="b">
        <v>0</v>
      </c>
    </row>
    <row r="198" spans="1:8" x14ac:dyDescent="0.15">
      <c r="A198">
        <v>93</v>
      </c>
      <c r="B198">
        <v>34</v>
      </c>
      <c r="C198">
        <v>251440.44746875</v>
      </c>
      <c r="D198">
        <v>265159.82651080831</v>
      </c>
      <c r="E198">
        <v>1.5259254658278831E-4</v>
      </c>
      <c r="F198">
        <v>1.525495047121718E-4</v>
      </c>
      <c r="G198">
        <v>4.3041870616538243E-8</v>
      </c>
      <c r="H198" t="b">
        <v>0</v>
      </c>
    </row>
    <row r="199" spans="1:8" x14ac:dyDescent="0.15">
      <c r="A199">
        <v>93</v>
      </c>
      <c r="B199">
        <v>35</v>
      </c>
      <c r="C199">
        <v>251440.26521874999</v>
      </c>
      <c r="D199">
        <v>252737.41006273829</v>
      </c>
      <c r="E199">
        <v>1.5259053051571881E-4</v>
      </c>
      <c r="F199">
        <v>1.525495047121718E-4</v>
      </c>
      <c r="G199">
        <v>4.1025803547065347E-8</v>
      </c>
      <c r="H199" t="b">
        <v>0</v>
      </c>
    </row>
    <row r="200" spans="1:8" x14ac:dyDescent="0.15">
      <c r="A200">
        <v>94</v>
      </c>
      <c r="B200">
        <v>1</v>
      </c>
      <c r="C200">
        <v>6050000</v>
      </c>
      <c r="D200">
        <v>4.7293633632533363E+17</v>
      </c>
      <c r="E200">
        <v>536.87092200000018</v>
      </c>
      <c r="F200">
        <v>5.3949714128975763E-5</v>
      </c>
      <c r="G200">
        <v>536.87086805028605</v>
      </c>
      <c r="H200" t="b">
        <v>0</v>
      </c>
    </row>
    <row r="201" spans="1:8" x14ac:dyDescent="0.15">
      <c r="A201">
        <v>94</v>
      </c>
      <c r="B201">
        <v>2</v>
      </c>
      <c r="C201">
        <v>3075000</v>
      </c>
      <c r="D201">
        <v>406607811730141.19</v>
      </c>
      <c r="E201">
        <v>1.1620403008386111</v>
      </c>
      <c r="F201">
        <v>5.3949714119427838E-5</v>
      </c>
      <c r="G201">
        <v>1.1619863511244919</v>
      </c>
      <c r="H201" t="b">
        <v>0</v>
      </c>
    </row>
    <row r="202" spans="1:8" x14ac:dyDescent="0.15">
      <c r="A202">
        <v>94</v>
      </c>
      <c r="B202">
        <v>3</v>
      </c>
      <c r="C202">
        <v>1587500</v>
      </c>
      <c r="D202">
        <v>58207512257.768257</v>
      </c>
      <c r="E202">
        <v>8.9408610033899557E-4</v>
      </c>
      <c r="F202">
        <v>5.3949714119411359E-5</v>
      </c>
      <c r="G202">
        <v>8.4013638621958421E-4</v>
      </c>
      <c r="H202" t="b">
        <v>0</v>
      </c>
    </row>
    <row r="203" spans="1:8" x14ac:dyDescent="0.15">
      <c r="A203">
        <v>94</v>
      </c>
      <c r="B203">
        <v>4</v>
      </c>
      <c r="C203">
        <v>843750</v>
      </c>
      <c r="D203">
        <v>-41399.796479824938</v>
      </c>
      <c r="E203">
        <v>-2.5851861703488749E-6</v>
      </c>
      <c r="F203">
        <v>5.3949714119411331E-5</v>
      </c>
      <c r="G203">
        <v>-5.6534900289760213E-5</v>
      </c>
      <c r="H203" t="b">
        <v>1</v>
      </c>
    </row>
    <row r="204" spans="1:8" x14ac:dyDescent="0.15">
      <c r="A204">
        <v>94</v>
      </c>
      <c r="B204">
        <v>5</v>
      </c>
      <c r="C204">
        <v>1215625</v>
      </c>
      <c r="D204">
        <v>-922975.65075423382</v>
      </c>
      <c r="E204">
        <v>1.9069705341881171E-5</v>
      </c>
      <c r="F204">
        <v>5.3949714119411331E-5</v>
      </c>
      <c r="G204">
        <v>-3.488000877753016E-5</v>
      </c>
      <c r="H204" t="b">
        <v>1</v>
      </c>
    </row>
    <row r="205" spans="1:8" x14ac:dyDescent="0.15">
      <c r="A205">
        <v>94</v>
      </c>
      <c r="B205">
        <v>6</v>
      </c>
      <c r="C205">
        <v>1401562.5</v>
      </c>
      <c r="D205">
        <v>4277389858.0321631</v>
      </c>
      <c r="E205">
        <v>1.6510472662900979E-4</v>
      </c>
      <c r="F205">
        <v>5.3949714119411331E-5</v>
      </c>
      <c r="G205">
        <v>1.111550125095985E-4</v>
      </c>
      <c r="H205" t="b">
        <v>0</v>
      </c>
    </row>
    <row r="206" spans="1:8" x14ac:dyDescent="0.15">
      <c r="A206">
        <v>94</v>
      </c>
      <c r="B206">
        <v>7</v>
      </c>
      <c r="C206">
        <v>1308593.75</v>
      </c>
      <c r="D206">
        <v>138470795.16982701</v>
      </c>
      <c r="E206">
        <v>6.0121937537678482E-5</v>
      </c>
      <c r="F206">
        <v>5.3949714119411331E-5</v>
      </c>
      <c r="G206">
        <v>6.1722234182671508E-6</v>
      </c>
      <c r="H206" t="b">
        <v>0</v>
      </c>
    </row>
    <row r="207" spans="1:8" x14ac:dyDescent="0.15">
      <c r="A207">
        <v>94</v>
      </c>
      <c r="B207">
        <v>8</v>
      </c>
      <c r="C207">
        <v>1262109.375</v>
      </c>
      <c r="D207">
        <v>-136351247.65649039</v>
      </c>
      <c r="E207">
        <v>3.4430104438206131E-5</v>
      </c>
      <c r="F207">
        <v>5.3949714119411331E-5</v>
      </c>
      <c r="G207">
        <v>-1.9519609681205201E-5</v>
      </c>
      <c r="H207" t="b">
        <v>1</v>
      </c>
    </row>
    <row r="208" spans="1:8" x14ac:dyDescent="0.15">
      <c r="A208">
        <v>94</v>
      </c>
      <c r="B208">
        <v>9</v>
      </c>
      <c r="C208">
        <v>1285351.5625</v>
      </c>
      <c r="D208">
        <v>-142468125.63193449</v>
      </c>
      <c r="E208">
        <v>4.5715384807593503E-5</v>
      </c>
      <c r="F208">
        <v>5.3949714119411331E-5</v>
      </c>
      <c r="G208">
        <v>-8.2343293118178351E-6</v>
      </c>
      <c r="H208" t="b">
        <v>1</v>
      </c>
    </row>
    <row r="209" spans="1:8" x14ac:dyDescent="0.15">
      <c r="A209">
        <v>94</v>
      </c>
      <c r="B209">
        <v>10</v>
      </c>
      <c r="C209">
        <v>1296972.65625</v>
      </c>
      <c r="D209">
        <v>-29445858.045400351</v>
      </c>
      <c r="E209">
        <v>5.248660554210833E-5</v>
      </c>
      <c r="F209">
        <v>5.3949714119411331E-5</v>
      </c>
      <c r="G209">
        <v>-1.4631085773030009E-6</v>
      </c>
      <c r="H209" t="b">
        <v>1</v>
      </c>
    </row>
    <row r="210" spans="1:8" x14ac:dyDescent="0.15">
      <c r="A210">
        <v>94</v>
      </c>
      <c r="B210">
        <v>11</v>
      </c>
      <c r="C210">
        <v>1302783.203125</v>
      </c>
      <c r="D210">
        <v>47728725.76800555</v>
      </c>
      <c r="E210">
        <v>5.6190655082478431E-5</v>
      </c>
      <c r="F210">
        <v>5.3949714119411331E-5</v>
      </c>
      <c r="G210">
        <v>2.2409409630670999E-6</v>
      </c>
      <c r="H210" t="b">
        <v>0</v>
      </c>
    </row>
    <row r="211" spans="1:8" x14ac:dyDescent="0.15">
      <c r="A211">
        <v>94</v>
      </c>
      <c r="B211">
        <v>12</v>
      </c>
      <c r="C211">
        <v>1299877.9296875</v>
      </c>
      <c r="D211">
        <v>7483593.2161679361</v>
      </c>
      <c r="E211">
        <v>5.4310941476416657E-5</v>
      </c>
      <c r="F211">
        <v>5.3949714119411331E-5</v>
      </c>
      <c r="G211">
        <v>3.6122735700532541E-7</v>
      </c>
      <c r="H211" t="b">
        <v>0</v>
      </c>
    </row>
    <row r="212" spans="1:8" x14ac:dyDescent="0.15">
      <c r="A212">
        <v>94</v>
      </c>
      <c r="B212">
        <v>13</v>
      </c>
      <c r="C212">
        <v>1298425.29296875</v>
      </c>
      <c r="D212">
        <v>-11391201.372293931</v>
      </c>
      <c r="E212">
        <v>5.3391941926184149E-5</v>
      </c>
      <c r="F212">
        <v>5.3949714119411331E-5</v>
      </c>
      <c r="G212">
        <v>-5.5777219322718208E-7</v>
      </c>
      <c r="H212" t="b">
        <v>1</v>
      </c>
    </row>
    <row r="213" spans="1:8" x14ac:dyDescent="0.15">
      <c r="A213">
        <v>94</v>
      </c>
      <c r="B213">
        <v>14</v>
      </c>
      <c r="C213">
        <v>1298925.29296875</v>
      </c>
      <c r="D213">
        <v>-4987442.9859295217</v>
      </c>
      <c r="E213">
        <v>5.3706712537580619E-5</v>
      </c>
      <c r="F213">
        <v>5.3949714119411331E-5</v>
      </c>
      <c r="G213">
        <v>-2.4300158183071291E-7</v>
      </c>
      <c r="H213" t="b">
        <v>1</v>
      </c>
    </row>
    <row r="214" spans="1:8" x14ac:dyDescent="0.15">
      <c r="A214">
        <v>94</v>
      </c>
      <c r="B214">
        <v>15</v>
      </c>
      <c r="C214">
        <v>1299425.29296875</v>
      </c>
      <c r="D214">
        <v>1513830.389667839</v>
      </c>
      <c r="E214">
        <v>5.4023109617012632E-5</v>
      </c>
      <c r="F214">
        <v>5.3949714119411331E-5</v>
      </c>
      <c r="G214">
        <v>7.3395497601300304E-8</v>
      </c>
      <c r="H214" t="b">
        <v>0</v>
      </c>
    </row>
    <row r="215" spans="1:8" x14ac:dyDescent="0.15">
      <c r="A215">
        <v>94</v>
      </c>
      <c r="B215">
        <v>16</v>
      </c>
      <c r="C215">
        <v>1299175.29296875</v>
      </c>
      <c r="D215">
        <v>-1749017.3071311871</v>
      </c>
      <c r="E215">
        <v>5.3864707322312352E-5</v>
      </c>
      <c r="F215">
        <v>5.3949714119411331E-5</v>
      </c>
      <c r="G215">
        <v>-8.5006797098979207E-8</v>
      </c>
      <c r="H215" t="b">
        <v>1</v>
      </c>
    </row>
    <row r="216" spans="1:8" x14ac:dyDescent="0.15">
      <c r="A216">
        <v>94</v>
      </c>
      <c r="B216">
        <v>17</v>
      </c>
      <c r="C216">
        <v>1299300.29296875</v>
      </c>
      <c r="D216">
        <v>-120702.9995154374</v>
      </c>
      <c r="E216">
        <v>5.3943854850604192E-5</v>
      </c>
      <c r="F216">
        <v>5.3949714119411331E-5</v>
      </c>
      <c r="G216">
        <v>-5.8592688071464486E-9</v>
      </c>
      <c r="H216" t="b">
        <v>1</v>
      </c>
    </row>
    <row r="217" spans="1:8" x14ac:dyDescent="0.15">
      <c r="A217">
        <v>94</v>
      </c>
      <c r="B217">
        <v>18</v>
      </c>
      <c r="C217">
        <v>1299425.29296875</v>
      </c>
      <c r="D217">
        <v>1513830.389667839</v>
      </c>
      <c r="E217">
        <v>5.4023109617012632E-5</v>
      </c>
      <c r="F217">
        <v>5.3949714119411331E-5</v>
      </c>
      <c r="G217">
        <v>7.3395497601300304E-8</v>
      </c>
      <c r="H217" t="b">
        <v>0</v>
      </c>
    </row>
    <row r="218" spans="1:8" x14ac:dyDescent="0.15">
      <c r="A218">
        <v>94</v>
      </c>
      <c r="B218">
        <v>19</v>
      </c>
      <c r="C218">
        <v>1299362.79296875</v>
      </c>
      <c r="D218">
        <v>695772.33726558043</v>
      </c>
      <c r="E218">
        <v>5.3983468163585869E-5</v>
      </c>
      <c r="F218">
        <v>5.3949714119411331E-5</v>
      </c>
      <c r="G218">
        <v>3.3754044174537233E-8</v>
      </c>
      <c r="H218" t="b">
        <v>0</v>
      </c>
    </row>
    <row r="219" spans="1:8" x14ac:dyDescent="0.15">
      <c r="A219">
        <v>94</v>
      </c>
      <c r="B219">
        <v>20</v>
      </c>
      <c r="C219">
        <v>1299394.04296875</v>
      </c>
      <c r="D219">
        <v>1104583.122548342</v>
      </c>
      <c r="E219">
        <v>5.4003284385939749E-5</v>
      </c>
      <c r="F219">
        <v>5.3949714119411331E-5</v>
      </c>
      <c r="G219">
        <v>5.3570266528417409E-8</v>
      </c>
      <c r="H219" t="b">
        <v>0</v>
      </c>
    </row>
    <row r="220" spans="1:8" x14ac:dyDescent="0.15">
      <c r="A220">
        <v>94</v>
      </c>
      <c r="B220">
        <v>21</v>
      </c>
      <c r="C220">
        <v>1299431.54296875</v>
      </c>
      <c r="D220">
        <v>1595714.867390533</v>
      </c>
      <c r="E220">
        <v>5.4027074903336927E-5</v>
      </c>
      <c r="F220">
        <v>5.3949714119411331E-5</v>
      </c>
      <c r="G220">
        <v>7.7360783925602063E-8</v>
      </c>
      <c r="H220" t="b">
        <v>0</v>
      </c>
    </row>
    <row r="221" spans="1:8" x14ac:dyDescent="0.15">
      <c r="A221">
        <v>94</v>
      </c>
      <c r="B221">
        <v>22</v>
      </c>
      <c r="C221">
        <v>1299412.79296875</v>
      </c>
      <c r="D221">
        <v>1350053.040587021</v>
      </c>
      <c r="E221">
        <v>5.4015177181435577E-5</v>
      </c>
      <c r="F221">
        <v>5.3949714119411331E-5</v>
      </c>
      <c r="G221">
        <v>6.5463062024251925E-8</v>
      </c>
      <c r="H221" t="b">
        <v>0</v>
      </c>
    </row>
    <row r="222" spans="1:8" x14ac:dyDescent="0.15">
      <c r="A222">
        <v>94</v>
      </c>
      <c r="B222">
        <v>23</v>
      </c>
      <c r="C222">
        <v>1299390.29296875</v>
      </c>
      <c r="D222">
        <v>1055505.6502360271</v>
      </c>
      <c r="E222">
        <v>5.4000906102449682E-5</v>
      </c>
      <c r="F222">
        <v>5.3949714119411331E-5</v>
      </c>
      <c r="G222">
        <v>5.1191983038350122E-8</v>
      </c>
      <c r="H222" t="b">
        <v>0</v>
      </c>
    </row>
    <row r="223" spans="1:8" x14ac:dyDescent="0.15">
      <c r="A223">
        <v>94</v>
      </c>
      <c r="B223">
        <v>24</v>
      </c>
      <c r="C223">
        <v>1299401.54296875</v>
      </c>
      <c r="D223">
        <v>1202808.823574896</v>
      </c>
      <c r="E223">
        <v>5.4008043856764332E-5</v>
      </c>
      <c r="F223">
        <v>5.3949714119411331E-5</v>
      </c>
      <c r="G223">
        <v>5.8329737352993912E-8</v>
      </c>
      <c r="H223" t="b">
        <v>0</v>
      </c>
    </row>
    <row r="224" spans="1:8" x14ac:dyDescent="0.15">
      <c r="A224">
        <v>94</v>
      </c>
      <c r="B224">
        <v>25</v>
      </c>
      <c r="C224">
        <v>1299415.04296875</v>
      </c>
      <c r="D224">
        <v>1379518.67757849</v>
      </c>
      <c r="E224">
        <v>5.401660447124503E-5</v>
      </c>
      <c r="F224">
        <v>5.3949714119411331E-5</v>
      </c>
      <c r="G224">
        <v>6.6890351833698519E-8</v>
      </c>
      <c r="H224" t="b">
        <v>0</v>
      </c>
    </row>
    <row r="225" spans="1:8" x14ac:dyDescent="0.15">
      <c r="A225">
        <v>94</v>
      </c>
      <c r="B225">
        <v>26</v>
      </c>
      <c r="C225">
        <v>1299408.29296875</v>
      </c>
      <c r="D225">
        <v>1291181.969120828</v>
      </c>
      <c r="E225">
        <v>5.4012325329541969E-5</v>
      </c>
      <c r="F225">
        <v>5.3949714119411331E-5</v>
      </c>
      <c r="G225">
        <v>6.2611210130637731E-8</v>
      </c>
      <c r="H225" t="b">
        <v>0</v>
      </c>
    </row>
    <row r="226" spans="1:8" x14ac:dyDescent="0.15">
      <c r="A226">
        <v>95</v>
      </c>
      <c r="B226">
        <v>1</v>
      </c>
      <c r="C226">
        <v>6050000</v>
      </c>
      <c r="D226">
        <v>4.7609222042842982E+17</v>
      </c>
      <c r="E226">
        <v>536.87092200000006</v>
      </c>
      <c r="F226">
        <v>5.3713009037892327E-5</v>
      </c>
      <c r="G226">
        <v>536.87086828699103</v>
      </c>
      <c r="H226" t="b">
        <v>0</v>
      </c>
    </row>
    <row r="227" spans="1:8" x14ac:dyDescent="0.15">
      <c r="A227">
        <v>95</v>
      </c>
      <c r="B227">
        <v>2</v>
      </c>
      <c r="C227">
        <v>3075000</v>
      </c>
      <c r="D227">
        <v>4.7609222042843053E+17</v>
      </c>
      <c r="E227">
        <v>536.87092200000018</v>
      </c>
      <c r="F227">
        <v>5.3713009037892327E-5</v>
      </c>
      <c r="G227">
        <v>536.87086828699114</v>
      </c>
      <c r="H227" t="b">
        <v>0</v>
      </c>
    </row>
    <row r="228" spans="1:8" x14ac:dyDescent="0.15">
      <c r="A228">
        <v>95</v>
      </c>
      <c r="B228">
        <v>3</v>
      </c>
      <c r="C228">
        <v>1587500</v>
      </c>
      <c r="D228">
        <v>5.055752288127964E+16</v>
      </c>
      <c r="E228">
        <v>74.526498280872048</v>
      </c>
      <c r="F228">
        <v>5.3713009023681479E-5</v>
      </c>
      <c r="G228">
        <v>74.526444567863024</v>
      </c>
      <c r="H228" t="b">
        <v>0</v>
      </c>
    </row>
    <row r="229" spans="1:8" x14ac:dyDescent="0.15">
      <c r="A229">
        <v>95</v>
      </c>
      <c r="B229">
        <v>4</v>
      </c>
      <c r="C229">
        <v>843750</v>
      </c>
      <c r="D229">
        <v>45163318539764.844</v>
      </c>
      <c r="E229">
        <v>0.18107894346212611</v>
      </c>
      <c r="F229">
        <v>5.3713009029815462E-5</v>
      </c>
      <c r="G229">
        <v>0.18102523045309629</v>
      </c>
      <c r="H229" t="b">
        <v>0</v>
      </c>
    </row>
    <row r="230" spans="1:8" x14ac:dyDescent="0.15">
      <c r="A230">
        <v>95</v>
      </c>
      <c r="B230">
        <v>5</v>
      </c>
      <c r="C230">
        <v>471875</v>
      </c>
      <c r="D230">
        <v>1874404088.8502121</v>
      </c>
      <c r="E230">
        <v>1.1144576985242361E-4</v>
      </c>
      <c r="F230">
        <v>5.37130090298092E-5</v>
      </c>
      <c r="G230">
        <v>5.7732760822614351E-5</v>
      </c>
      <c r="H230" t="b">
        <v>0</v>
      </c>
    </row>
    <row r="231" spans="1:8" x14ac:dyDescent="0.15">
      <c r="A231">
        <v>95</v>
      </c>
      <c r="B231">
        <v>6</v>
      </c>
      <c r="C231">
        <v>285937.5</v>
      </c>
      <c r="D231">
        <v>-34314.99437736236</v>
      </c>
      <c r="E231">
        <v>-5.0034207078316246E-6</v>
      </c>
      <c r="F231">
        <v>5.37130090298092E-5</v>
      </c>
      <c r="G231">
        <v>-5.8716429737640829E-5</v>
      </c>
      <c r="H231" t="b">
        <v>1</v>
      </c>
    </row>
    <row r="232" spans="1:8" x14ac:dyDescent="0.15">
      <c r="A232">
        <v>95</v>
      </c>
      <c r="B232">
        <v>7</v>
      </c>
      <c r="C232">
        <v>378906.25</v>
      </c>
      <c r="D232">
        <v>-101014.4992766051</v>
      </c>
      <c r="E232">
        <v>6.4639935879603126E-6</v>
      </c>
      <c r="F232">
        <v>5.37130090298092E-5</v>
      </c>
      <c r="G232">
        <v>-4.7249015441848878E-5</v>
      </c>
      <c r="H232" t="b">
        <v>1</v>
      </c>
    </row>
    <row r="233" spans="1:8" x14ac:dyDescent="0.15">
      <c r="A233">
        <v>95</v>
      </c>
      <c r="B233">
        <v>8</v>
      </c>
      <c r="C233">
        <v>425390.625</v>
      </c>
      <c r="D233">
        <v>-1009150.570242359</v>
      </c>
      <c r="E233">
        <v>1.9309943864813071E-5</v>
      </c>
      <c r="F233">
        <v>5.37130090298092E-5</v>
      </c>
      <c r="G233">
        <v>-3.440306516499613E-5</v>
      </c>
      <c r="H233" t="b">
        <v>1</v>
      </c>
    </row>
    <row r="234" spans="1:8" x14ac:dyDescent="0.15">
      <c r="A234">
        <v>95</v>
      </c>
      <c r="B234">
        <v>9</v>
      </c>
      <c r="C234">
        <v>448632.8125</v>
      </c>
      <c r="D234">
        <v>-99154314.629148498</v>
      </c>
      <c r="E234">
        <v>4.8455830093026938E-5</v>
      </c>
      <c r="F234">
        <v>5.37130090298092E-5</v>
      </c>
      <c r="G234">
        <v>-5.2571789367822621E-6</v>
      </c>
      <c r="H234" t="b">
        <v>1</v>
      </c>
    </row>
    <row r="235" spans="1:8" x14ac:dyDescent="0.15">
      <c r="A235">
        <v>95</v>
      </c>
      <c r="B235">
        <v>10</v>
      </c>
      <c r="C235">
        <v>460253.90625</v>
      </c>
      <c r="D235">
        <v>534232858.94559127</v>
      </c>
      <c r="E235">
        <v>7.4228499362755839E-5</v>
      </c>
      <c r="F235">
        <v>5.37130090298092E-5</v>
      </c>
      <c r="G235">
        <v>2.0515490332946639E-5</v>
      </c>
      <c r="H235" t="b">
        <v>0</v>
      </c>
    </row>
    <row r="236" spans="1:8" x14ac:dyDescent="0.15">
      <c r="A236">
        <v>95</v>
      </c>
      <c r="B236">
        <v>11</v>
      </c>
      <c r="C236">
        <v>454443.359375</v>
      </c>
      <c r="D236">
        <v>145052364.65430969</v>
      </c>
      <c r="E236">
        <v>6.0130068605316349E-5</v>
      </c>
      <c r="F236">
        <v>5.37130090298092E-5</v>
      </c>
      <c r="G236">
        <v>6.4170595755071486E-6</v>
      </c>
      <c r="H236" t="b">
        <v>0</v>
      </c>
    </row>
    <row r="237" spans="1:8" x14ac:dyDescent="0.15">
      <c r="A237">
        <v>95</v>
      </c>
      <c r="B237">
        <v>12</v>
      </c>
      <c r="C237">
        <v>451538.0859375</v>
      </c>
      <c r="D237">
        <v>6259108.9425035976</v>
      </c>
      <c r="E237">
        <v>5.4014166348064123E-5</v>
      </c>
      <c r="F237">
        <v>5.37130090298092E-5</v>
      </c>
      <c r="G237">
        <v>3.0115731825491561E-7</v>
      </c>
      <c r="H237" t="b">
        <v>0</v>
      </c>
    </row>
    <row r="238" spans="1:8" x14ac:dyDescent="0.15">
      <c r="A238">
        <v>95</v>
      </c>
      <c r="B238">
        <v>13</v>
      </c>
      <c r="C238">
        <v>450085.44921875</v>
      </c>
      <c r="D238">
        <v>-50482513.281415209</v>
      </c>
      <c r="E238">
        <v>5.1168154734320933E-5</v>
      </c>
      <c r="F238">
        <v>5.37130090298092E-5</v>
      </c>
      <c r="G238">
        <v>-2.5448542954882678E-6</v>
      </c>
      <c r="H238" t="b">
        <v>1</v>
      </c>
    </row>
    <row r="239" spans="1:8" x14ac:dyDescent="0.15">
      <c r="A239">
        <v>95</v>
      </c>
      <c r="B239">
        <v>14</v>
      </c>
      <c r="C239">
        <v>450585.44921875</v>
      </c>
      <c r="D239">
        <v>-31874787.048536882</v>
      </c>
      <c r="E239">
        <v>5.2132387046151539E-5</v>
      </c>
      <c r="F239">
        <v>5.37130090298092E-5</v>
      </c>
      <c r="G239">
        <v>-1.5806219836576609E-6</v>
      </c>
      <c r="H239" t="b">
        <v>1</v>
      </c>
    </row>
    <row r="240" spans="1:8" x14ac:dyDescent="0.15">
      <c r="A240">
        <v>95</v>
      </c>
      <c r="B240">
        <v>15</v>
      </c>
      <c r="C240">
        <v>451085.44921875</v>
      </c>
      <c r="D240">
        <v>-12301601.840751501</v>
      </c>
      <c r="E240">
        <v>5.3112682759505409E-5</v>
      </c>
      <c r="F240">
        <v>5.37130090298092E-5</v>
      </c>
      <c r="G240">
        <v>-6.0032627030379154E-7</v>
      </c>
      <c r="H240" t="b">
        <v>1</v>
      </c>
    </row>
    <row r="241" spans="1:8" x14ac:dyDescent="0.15">
      <c r="A241">
        <v>95</v>
      </c>
      <c r="B241">
        <v>16</v>
      </c>
      <c r="C241">
        <v>451585.44921875</v>
      </c>
      <c r="D241">
        <v>8247840.2627797276</v>
      </c>
      <c r="E241">
        <v>5.4109274446797563E-5</v>
      </c>
      <c r="F241">
        <v>5.37130090298092E-5</v>
      </c>
      <c r="G241">
        <v>3.9626541698835598E-7</v>
      </c>
      <c r="H241" t="b">
        <v>0</v>
      </c>
    </row>
    <row r="242" spans="1:8" x14ac:dyDescent="0.15">
      <c r="A242">
        <v>95</v>
      </c>
      <c r="B242">
        <v>17</v>
      </c>
      <c r="C242">
        <v>451335.44921875</v>
      </c>
      <c r="D242">
        <v>-2149608.0781937041</v>
      </c>
      <c r="E242">
        <v>5.3608927463209212E-5</v>
      </c>
      <c r="F242">
        <v>5.37130090298092E-5</v>
      </c>
      <c r="G242">
        <v>-1.0408156659998881E-7</v>
      </c>
      <c r="H242" t="b">
        <v>1</v>
      </c>
    </row>
    <row r="243" spans="1:8" x14ac:dyDescent="0.15">
      <c r="A243">
        <v>95</v>
      </c>
      <c r="B243">
        <v>18</v>
      </c>
      <c r="C243">
        <v>451460.44921875</v>
      </c>
      <c r="D243">
        <v>3018349.4648509799</v>
      </c>
      <c r="E243">
        <v>5.385858661512024E-5</v>
      </c>
      <c r="F243">
        <v>5.37130090298092E-5</v>
      </c>
      <c r="G243">
        <v>1.4557758531104009E-7</v>
      </c>
      <c r="H243" t="b">
        <v>0</v>
      </c>
    </row>
    <row r="244" spans="1:8" x14ac:dyDescent="0.15">
      <c r="A244">
        <v>95</v>
      </c>
      <c r="B244">
        <v>19</v>
      </c>
      <c r="C244">
        <v>451397.94921875</v>
      </c>
      <c r="D244">
        <v>426688.5703456293</v>
      </c>
      <c r="E244">
        <v>5.3733628592617501E-5</v>
      </c>
      <c r="F244">
        <v>5.37130090298092E-5</v>
      </c>
      <c r="G244">
        <v>2.0619562808300551E-8</v>
      </c>
      <c r="H244" t="b">
        <v>0</v>
      </c>
    </row>
    <row r="245" spans="1:8" x14ac:dyDescent="0.15">
      <c r="A245">
        <v>95</v>
      </c>
      <c r="B245">
        <v>20</v>
      </c>
      <c r="C245">
        <v>451429.19921875</v>
      </c>
      <c r="D245">
        <v>1720597.0661605999</v>
      </c>
      <c r="E245">
        <v>5.3796075463685537E-5</v>
      </c>
      <c r="F245">
        <v>5.37130090298092E-5</v>
      </c>
      <c r="G245">
        <v>8.3066433876336681E-8</v>
      </c>
      <c r="H245" t="b">
        <v>0</v>
      </c>
    </row>
    <row r="246" spans="1:8" x14ac:dyDescent="0.15">
      <c r="A246">
        <v>95</v>
      </c>
      <c r="B246">
        <v>21</v>
      </c>
      <c r="C246">
        <v>451413.57421875</v>
      </c>
      <c r="D246">
        <v>1073162.5084537489</v>
      </c>
      <c r="E246">
        <v>5.3764843996677203E-5</v>
      </c>
      <c r="F246">
        <v>5.37130090298092E-5</v>
      </c>
      <c r="G246">
        <v>5.1834966867995388E-8</v>
      </c>
      <c r="H246" t="b">
        <v>0</v>
      </c>
    </row>
    <row r="247" spans="1:8" x14ac:dyDescent="0.15">
      <c r="A247">
        <v>95</v>
      </c>
      <c r="B247">
        <v>22</v>
      </c>
      <c r="C247">
        <v>451394.82421875</v>
      </c>
      <c r="D247">
        <v>297494.30780389323</v>
      </c>
      <c r="E247">
        <v>5.3727386727579562E-5</v>
      </c>
      <c r="F247">
        <v>5.37130090298092E-5</v>
      </c>
      <c r="G247">
        <v>1.437769777036134E-8</v>
      </c>
      <c r="H247" t="b">
        <v>0</v>
      </c>
    </row>
    <row r="248" spans="1:8" x14ac:dyDescent="0.15">
      <c r="A248">
        <v>95</v>
      </c>
      <c r="B248">
        <v>23</v>
      </c>
      <c r="C248">
        <v>451404.19921875</v>
      </c>
      <c r="D248">
        <v>685148.15710401756</v>
      </c>
      <c r="E248">
        <v>5.3746112115495622E-5</v>
      </c>
      <c r="F248">
        <v>5.37130090298092E-5</v>
      </c>
      <c r="G248">
        <v>3.3103085686414979E-8</v>
      </c>
      <c r="H248" t="b">
        <v>0</v>
      </c>
    </row>
    <row r="249" spans="1:8" x14ac:dyDescent="0.15">
      <c r="A249">
        <v>95</v>
      </c>
      <c r="B249">
        <v>24</v>
      </c>
      <c r="C249">
        <v>451399.51171875</v>
      </c>
      <c r="D249">
        <v>491278.01873943262</v>
      </c>
      <c r="E249">
        <v>5.3736748698983217E-5</v>
      </c>
      <c r="F249">
        <v>5.37130090298092E-5</v>
      </c>
      <c r="G249">
        <v>2.3739669174023859E-8</v>
      </c>
      <c r="H249" t="b">
        <v>0</v>
      </c>
    </row>
    <row r="250" spans="1:8" x14ac:dyDescent="0.15">
      <c r="A250">
        <v>95</v>
      </c>
      <c r="B250">
        <v>25</v>
      </c>
      <c r="C250">
        <v>451393.88671875</v>
      </c>
      <c r="D250">
        <v>258747.93591049299</v>
      </c>
      <c r="E250">
        <v>5.3725514506687449E-5</v>
      </c>
      <c r="F250">
        <v>5.37130090298092E-5</v>
      </c>
      <c r="G250">
        <v>1.250547687824892E-8</v>
      </c>
      <c r="H250" t="b">
        <v>0</v>
      </c>
    </row>
    <row r="251" spans="1:8" x14ac:dyDescent="0.15">
      <c r="A251">
        <v>95</v>
      </c>
      <c r="B251">
        <v>26</v>
      </c>
      <c r="C251">
        <v>451396.69921875</v>
      </c>
      <c r="D251">
        <v>375012.14362725872</v>
      </c>
      <c r="E251">
        <v>5.3731132054008317E-5</v>
      </c>
      <c r="F251">
        <v>5.37130090298092E-5</v>
      </c>
      <c r="G251">
        <v>1.8123024199116661E-8</v>
      </c>
      <c r="H251" t="b">
        <v>0</v>
      </c>
    </row>
    <row r="252" spans="1:8" x14ac:dyDescent="0.15">
      <c r="A252">
        <v>95</v>
      </c>
      <c r="B252">
        <v>27</v>
      </c>
      <c r="C252">
        <v>451400.07421875</v>
      </c>
      <c r="D252">
        <v>514552.60059347952</v>
      </c>
      <c r="E252">
        <v>5.3737872944100527E-5</v>
      </c>
      <c r="F252">
        <v>5.37130090298092E-5</v>
      </c>
      <c r="G252">
        <v>2.4863914291333309E-8</v>
      </c>
      <c r="H252" t="b">
        <v>0</v>
      </c>
    </row>
    <row r="253" spans="1:8" x14ac:dyDescent="0.15">
      <c r="A253">
        <v>95</v>
      </c>
      <c r="B253">
        <v>28</v>
      </c>
      <c r="C253">
        <v>451398.38671875</v>
      </c>
      <c r="D253">
        <v>444776.77161134349</v>
      </c>
      <c r="E253">
        <v>5.3734502405407103E-5</v>
      </c>
      <c r="F253">
        <v>5.37130090298092E-5</v>
      </c>
      <c r="G253">
        <v>2.149337559790269E-8</v>
      </c>
      <c r="H253" t="b">
        <v>0</v>
      </c>
    </row>
    <row r="254" spans="1:8" x14ac:dyDescent="0.15">
      <c r="A254">
        <v>95</v>
      </c>
      <c r="B254">
        <v>29</v>
      </c>
      <c r="C254">
        <v>451399.23046875</v>
      </c>
      <c r="D254">
        <v>479663.2860348961</v>
      </c>
      <c r="E254">
        <v>5.3736187651345541E-5</v>
      </c>
      <c r="F254">
        <v>5.37130090298092E-5</v>
      </c>
      <c r="G254">
        <v>2.317862153634073E-8</v>
      </c>
      <c r="H254" t="b">
        <v>0</v>
      </c>
    </row>
    <row r="255" spans="1:8" x14ac:dyDescent="0.15">
      <c r="A255">
        <v>95</v>
      </c>
      <c r="B255">
        <v>30</v>
      </c>
      <c r="C255">
        <v>451398.80859375</v>
      </c>
      <c r="D255">
        <v>462219.67892042978</v>
      </c>
      <c r="E255">
        <v>5.373534502252967E-5</v>
      </c>
      <c r="F255">
        <v>5.37130090298092E-5</v>
      </c>
      <c r="G255">
        <v>2.2335992720470019E-8</v>
      </c>
      <c r="H255" t="b">
        <v>0</v>
      </c>
    </row>
    <row r="256" spans="1:8" x14ac:dyDescent="0.15">
      <c r="A256">
        <v>95</v>
      </c>
      <c r="B256">
        <v>31</v>
      </c>
      <c r="C256">
        <v>451398.30234375002</v>
      </c>
      <c r="D256">
        <v>441273.54905893072</v>
      </c>
      <c r="E256">
        <v>5.3734333172046712E-5</v>
      </c>
      <c r="F256">
        <v>5.37130090298092E-5</v>
      </c>
      <c r="G256">
        <v>2.132414223751124E-8</v>
      </c>
      <c r="H256" t="b">
        <v>0</v>
      </c>
    </row>
    <row r="257" spans="1:8" x14ac:dyDescent="0.15">
      <c r="A257">
        <v>95</v>
      </c>
      <c r="B257">
        <v>32</v>
      </c>
      <c r="C257">
        <v>451398.55546875001</v>
      </c>
      <c r="D257">
        <v>451739.12483486539</v>
      </c>
      <c r="E257">
        <v>5.3734838739493329E-5</v>
      </c>
      <c r="F257">
        <v>5.37130090298092E-5</v>
      </c>
      <c r="G257">
        <v>2.182970968412864E-8</v>
      </c>
      <c r="H257" t="b">
        <v>0</v>
      </c>
    </row>
    <row r="258" spans="1:8" x14ac:dyDescent="0.15">
      <c r="A258">
        <v>96</v>
      </c>
      <c r="B258">
        <v>1</v>
      </c>
      <c r="C258">
        <v>6050000</v>
      </c>
      <c r="D258">
        <v>5858687730350472</v>
      </c>
      <c r="E258">
        <v>11.4089559072267</v>
      </c>
      <c r="F258">
        <v>5.371300902901055E-5</v>
      </c>
      <c r="G258">
        <v>11.408902194217671</v>
      </c>
      <c r="H258" t="b">
        <v>0</v>
      </c>
    </row>
    <row r="259" spans="1:8" x14ac:dyDescent="0.15">
      <c r="A259">
        <v>96</v>
      </c>
      <c r="B259">
        <v>2</v>
      </c>
      <c r="C259">
        <v>3075000</v>
      </c>
      <c r="D259">
        <v>502619213115.51062</v>
      </c>
      <c r="E259">
        <v>4.6244187371095886E-3</v>
      </c>
      <c r="F259">
        <v>5.371300902980939E-5</v>
      </c>
      <c r="G259">
        <v>4.5707057280797792E-3</v>
      </c>
      <c r="H259" t="b">
        <v>0</v>
      </c>
    </row>
    <row r="260" spans="1:8" x14ac:dyDescent="0.15">
      <c r="A260">
        <v>96</v>
      </c>
      <c r="B260">
        <v>3</v>
      </c>
      <c r="C260">
        <v>1587500</v>
      </c>
      <c r="D260">
        <v>-64685.611034099282</v>
      </c>
      <c r="E260">
        <v>2.3565991463368168E-6</v>
      </c>
      <c r="F260">
        <v>5.37130090298092E-5</v>
      </c>
      <c r="G260">
        <v>-5.1356409883472392E-5</v>
      </c>
      <c r="H260" t="b">
        <v>1</v>
      </c>
    </row>
    <row r="261" spans="1:8" x14ac:dyDescent="0.15">
      <c r="A261">
        <v>96</v>
      </c>
      <c r="B261">
        <v>4</v>
      </c>
      <c r="C261">
        <v>2331250</v>
      </c>
      <c r="D261">
        <v>4217435150.580719</v>
      </c>
      <c r="E261">
        <v>1.6314547656179579E-4</v>
      </c>
      <c r="F261">
        <v>5.37130090298092E-5</v>
      </c>
      <c r="G261">
        <v>1.094324675319866E-4</v>
      </c>
      <c r="H261" t="b">
        <v>0</v>
      </c>
    </row>
    <row r="262" spans="1:8" x14ac:dyDescent="0.15">
      <c r="A262">
        <v>96</v>
      </c>
      <c r="B262">
        <v>5</v>
      </c>
      <c r="C262">
        <v>1959375</v>
      </c>
      <c r="D262">
        <v>-432136.07162611198</v>
      </c>
      <c r="E262">
        <v>1.5755773272532511E-5</v>
      </c>
      <c r="F262">
        <v>5.37130090298092E-5</v>
      </c>
      <c r="G262">
        <v>-3.7957235757276693E-5</v>
      </c>
      <c r="H262" t="b">
        <v>1</v>
      </c>
    </row>
    <row r="263" spans="1:8" x14ac:dyDescent="0.15">
      <c r="A263">
        <v>96</v>
      </c>
      <c r="B263">
        <v>6</v>
      </c>
      <c r="C263">
        <v>2145312.5</v>
      </c>
      <c r="D263">
        <v>-53404500.55327747</v>
      </c>
      <c r="E263">
        <v>5.1013566507633367E-5</v>
      </c>
      <c r="F263">
        <v>5.37130090298092E-5</v>
      </c>
      <c r="G263">
        <v>-2.6994425221758341E-6</v>
      </c>
      <c r="H263" t="b">
        <v>1</v>
      </c>
    </row>
    <row r="264" spans="1:8" x14ac:dyDescent="0.15">
      <c r="A264">
        <v>96</v>
      </c>
      <c r="B264">
        <v>7</v>
      </c>
      <c r="C264">
        <v>2238281.25</v>
      </c>
      <c r="D264">
        <v>1175218033.9944961</v>
      </c>
      <c r="E264">
        <v>9.3321144800385302E-5</v>
      </c>
      <c r="F264">
        <v>5.37130090298092E-5</v>
      </c>
      <c r="G264">
        <v>3.9608135770576101E-5</v>
      </c>
      <c r="H264" t="b">
        <v>0</v>
      </c>
    </row>
    <row r="265" spans="1:8" x14ac:dyDescent="0.15">
      <c r="A265">
        <v>96</v>
      </c>
      <c r="B265">
        <v>8</v>
      </c>
      <c r="C265">
        <v>2191796.875</v>
      </c>
      <c r="D265">
        <v>391956270.94260073</v>
      </c>
      <c r="E265">
        <v>6.9415576109435601E-5</v>
      </c>
      <c r="F265">
        <v>5.37130090298092E-5</v>
      </c>
      <c r="G265">
        <v>1.57025670796264E-5</v>
      </c>
      <c r="H265" t="b">
        <v>0</v>
      </c>
    </row>
    <row r="266" spans="1:8" x14ac:dyDescent="0.15">
      <c r="A266">
        <v>96</v>
      </c>
      <c r="B266">
        <v>9</v>
      </c>
      <c r="C266">
        <v>2168554.6875</v>
      </c>
      <c r="D266">
        <v>132198448.5669626</v>
      </c>
      <c r="E266">
        <v>5.9599961801936187E-5</v>
      </c>
      <c r="F266">
        <v>5.37130090298092E-5</v>
      </c>
      <c r="G266">
        <v>5.886952772126993E-6</v>
      </c>
      <c r="H266" t="b">
        <v>0</v>
      </c>
    </row>
    <row r="267" spans="1:8" x14ac:dyDescent="0.15">
      <c r="A267">
        <v>96</v>
      </c>
      <c r="B267">
        <v>10</v>
      </c>
      <c r="C267">
        <v>2156933.59375</v>
      </c>
      <c r="D267">
        <v>30634267.26954484</v>
      </c>
      <c r="E267">
        <v>5.5161739201877432E-5</v>
      </c>
      <c r="F267">
        <v>5.37130090298092E-5</v>
      </c>
      <c r="G267">
        <v>1.4487301720682321E-6</v>
      </c>
      <c r="H267" t="b">
        <v>0</v>
      </c>
    </row>
    <row r="268" spans="1:8" x14ac:dyDescent="0.15">
      <c r="A268">
        <v>96</v>
      </c>
      <c r="B268">
        <v>11</v>
      </c>
      <c r="C268">
        <v>2151123.046875</v>
      </c>
      <c r="D268">
        <v>-13521026.15125568</v>
      </c>
      <c r="E268">
        <v>5.3052538192567118E-5</v>
      </c>
      <c r="F268">
        <v>5.37130090298092E-5</v>
      </c>
      <c r="G268">
        <v>-6.6047083724207593E-7</v>
      </c>
      <c r="H268" t="b">
        <v>1</v>
      </c>
    </row>
    <row r="269" spans="1:8" x14ac:dyDescent="0.15">
      <c r="A269">
        <v>96</v>
      </c>
      <c r="B269">
        <v>12</v>
      </c>
      <c r="C269">
        <v>2154028.3203125</v>
      </c>
      <c r="D269">
        <v>8015915.7388870874</v>
      </c>
      <c r="E269">
        <v>5.4098197166727622E-5</v>
      </c>
      <c r="F269">
        <v>5.37130090298092E-5</v>
      </c>
      <c r="G269">
        <v>3.8518813691842198E-7</v>
      </c>
      <c r="H269" t="b">
        <v>0</v>
      </c>
    </row>
    <row r="270" spans="1:8" x14ac:dyDescent="0.15">
      <c r="A270">
        <v>96</v>
      </c>
      <c r="B270">
        <v>13</v>
      </c>
      <c r="C270">
        <v>2152575.68359375</v>
      </c>
      <c r="D270">
        <v>-2886921.239951496</v>
      </c>
      <c r="E270">
        <v>5.3573149186493268E-5</v>
      </c>
      <c r="F270">
        <v>5.37130090298092E-5</v>
      </c>
      <c r="G270">
        <v>-1.3985984331592579E-7</v>
      </c>
      <c r="H270" t="b">
        <v>1</v>
      </c>
    </row>
    <row r="271" spans="1:8" x14ac:dyDescent="0.15">
      <c r="A271">
        <v>96</v>
      </c>
      <c r="B271">
        <v>14</v>
      </c>
      <c r="C271">
        <v>2153075.68359375</v>
      </c>
      <c r="D271">
        <v>835438.56822698237</v>
      </c>
      <c r="E271">
        <v>5.3753368869130741E-5</v>
      </c>
      <c r="F271">
        <v>5.37130090298092E-5</v>
      </c>
      <c r="G271">
        <v>4.0359839321540672E-8</v>
      </c>
      <c r="H271" t="b">
        <v>0</v>
      </c>
    </row>
    <row r="272" spans="1:8" x14ac:dyDescent="0.15">
      <c r="A272">
        <v>96</v>
      </c>
      <c r="B272">
        <v>15</v>
      </c>
      <c r="C272">
        <v>2153675.68359375</v>
      </c>
      <c r="D272">
        <v>5344331.1331327735</v>
      </c>
      <c r="E272">
        <v>5.3970325629385862E-5</v>
      </c>
      <c r="F272">
        <v>5.37130090298092E-5</v>
      </c>
      <c r="G272">
        <v>2.5731659957665482E-7</v>
      </c>
      <c r="H272" t="b">
        <v>0</v>
      </c>
    </row>
    <row r="273" spans="1:8" x14ac:dyDescent="0.15">
      <c r="A273">
        <v>96</v>
      </c>
      <c r="B273">
        <v>16</v>
      </c>
      <c r="C273">
        <v>2153375.68359375</v>
      </c>
      <c r="D273">
        <v>3084166.150663041</v>
      </c>
      <c r="E273">
        <v>5.3861753707836599E-5</v>
      </c>
      <c r="F273">
        <v>5.37130090298092E-5</v>
      </c>
      <c r="G273">
        <v>1.487446780273986E-7</v>
      </c>
      <c r="H273" t="b">
        <v>0</v>
      </c>
    </row>
    <row r="274" spans="1:8" x14ac:dyDescent="0.15">
      <c r="A274">
        <v>96</v>
      </c>
      <c r="B274">
        <v>17</v>
      </c>
      <c r="C274">
        <v>2153015.68359375</v>
      </c>
      <c r="D274">
        <v>387071.90960162278</v>
      </c>
      <c r="E274">
        <v>5.373171469044006E-5</v>
      </c>
      <c r="F274">
        <v>5.37130090298092E-5</v>
      </c>
      <c r="G274">
        <v>1.870566063085925E-8</v>
      </c>
      <c r="H274" t="b">
        <v>0</v>
      </c>
    </row>
    <row r="275" spans="1:8" x14ac:dyDescent="0.15">
      <c r="A275">
        <v>96</v>
      </c>
      <c r="B275">
        <v>18</v>
      </c>
      <c r="C275">
        <v>2153195.68359375</v>
      </c>
      <c r="D275">
        <v>1733487.778531549</v>
      </c>
      <c r="E275">
        <v>5.3796696988959879E-5</v>
      </c>
      <c r="F275">
        <v>5.37130090298092E-5</v>
      </c>
      <c r="G275">
        <v>8.3687959150678464E-8</v>
      </c>
      <c r="H275" t="b">
        <v>0</v>
      </c>
    </row>
    <row r="276" spans="1:8" x14ac:dyDescent="0.15">
      <c r="A276">
        <v>96</v>
      </c>
      <c r="B276">
        <v>19</v>
      </c>
      <c r="C276">
        <v>2153411.68359375</v>
      </c>
      <c r="D276">
        <v>3354723.1348031312</v>
      </c>
      <c r="E276">
        <v>5.387476963354804E-5</v>
      </c>
      <c r="F276">
        <v>5.37130090298092E-5</v>
      </c>
      <c r="G276">
        <v>1.6176060373884E-7</v>
      </c>
      <c r="H276" t="b">
        <v>0</v>
      </c>
    </row>
    <row r="277" spans="1:8" x14ac:dyDescent="0.15">
      <c r="A277">
        <v>96</v>
      </c>
      <c r="B277">
        <v>20</v>
      </c>
      <c r="C277">
        <v>2153303.68359375</v>
      </c>
      <c r="D277">
        <v>2543423.1967250612</v>
      </c>
      <c r="E277">
        <v>5.3835724018693993E-5</v>
      </c>
      <c r="F277">
        <v>5.37130090298092E-5</v>
      </c>
      <c r="G277">
        <v>1.2271498888479231E-7</v>
      </c>
      <c r="H277" t="b">
        <v>0</v>
      </c>
    </row>
    <row r="278" spans="1:8" x14ac:dyDescent="0.15">
      <c r="A278">
        <v>96</v>
      </c>
      <c r="B278">
        <v>21</v>
      </c>
      <c r="C278">
        <v>2153174.0835937499</v>
      </c>
      <c r="D278">
        <v>1571691.9968072199</v>
      </c>
      <c r="E278">
        <v>5.3788895141970937E-5</v>
      </c>
      <c r="F278">
        <v>5.37130090298092E-5</v>
      </c>
      <c r="G278">
        <v>7.5886112161736711E-8</v>
      </c>
      <c r="H278" t="b">
        <v>0</v>
      </c>
    </row>
    <row r="279" spans="1:8" x14ac:dyDescent="0.15">
      <c r="A279">
        <v>96</v>
      </c>
      <c r="B279">
        <v>22</v>
      </c>
      <c r="C279">
        <v>2153238.8835937502</v>
      </c>
      <c r="D279">
        <v>2057258.0756696691</v>
      </c>
      <c r="E279">
        <v>5.3812303637086847E-5</v>
      </c>
      <c r="F279">
        <v>5.37130090298092E-5</v>
      </c>
      <c r="G279">
        <v>9.9294607277646886E-8</v>
      </c>
      <c r="H279" t="b">
        <v>0</v>
      </c>
    </row>
    <row r="280" spans="1:8" x14ac:dyDescent="0.15">
      <c r="A280">
        <v>96</v>
      </c>
      <c r="B280">
        <v>23</v>
      </c>
      <c r="C280">
        <v>2153316.643593749</v>
      </c>
      <c r="D280">
        <v>2640708.049275469</v>
      </c>
      <c r="E280">
        <v>5.3840408554758512E-5</v>
      </c>
      <c r="F280">
        <v>5.37130090298092E-5</v>
      </c>
      <c r="G280">
        <v>1.273995249493116E-7</v>
      </c>
      <c r="H280" t="b">
        <v>0</v>
      </c>
    </row>
    <row r="281" spans="1:8" x14ac:dyDescent="0.15">
      <c r="A281">
        <v>96</v>
      </c>
      <c r="B281">
        <v>24</v>
      </c>
      <c r="C281">
        <v>2153277.7635937501</v>
      </c>
      <c r="D281">
        <v>2348855.127543496</v>
      </c>
      <c r="E281">
        <v>5.382635298869737E-5</v>
      </c>
      <c r="F281">
        <v>5.37130090298092E-5</v>
      </c>
      <c r="G281">
        <v>1.133439588881698E-7</v>
      </c>
      <c r="H281" t="b">
        <v>0</v>
      </c>
    </row>
    <row r="282" spans="1:8" x14ac:dyDescent="0.15">
      <c r="A282">
        <v>96</v>
      </c>
      <c r="B282">
        <v>25</v>
      </c>
      <c r="C282">
        <v>2153231.1075937501</v>
      </c>
      <c r="D282">
        <v>1999024.510276949</v>
      </c>
      <c r="E282">
        <v>5.3809497170441873E-5</v>
      </c>
      <c r="F282">
        <v>5.37130090298092E-5</v>
      </c>
      <c r="G282">
        <v>9.6488140632672217E-8</v>
      </c>
      <c r="H282" t="b">
        <v>0</v>
      </c>
    </row>
    <row r="283" spans="1:8" x14ac:dyDescent="0.15">
      <c r="A283">
        <v>96</v>
      </c>
      <c r="B283">
        <v>26</v>
      </c>
      <c r="C283">
        <v>2153254.4355937499</v>
      </c>
      <c r="D283">
        <v>2173873.7275675852</v>
      </c>
      <c r="E283">
        <v>5.3817922994773923E-5</v>
      </c>
      <c r="F283">
        <v>5.37130090298092E-5</v>
      </c>
      <c r="G283">
        <v>1.04913964964723E-7</v>
      </c>
      <c r="H283" t="b">
        <v>0</v>
      </c>
    </row>
    <row r="284" spans="1:8" x14ac:dyDescent="0.15">
      <c r="A284">
        <v>97</v>
      </c>
      <c r="B284">
        <v>1</v>
      </c>
      <c r="C284">
        <v>6050000</v>
      </c>
      <c r="D284">
        <v>4.7926786072726022E+17</v>
      </c>
      <c r="E284">
        <v>536.87092200000006</v>
      </c>
      <c r="F284">
        <v>5.3476306447919342E-5</v>
      </c>
      <c r="G284">
        <v>536.87086852369362</v>
      </c>
      <c r="H284" t="b">
        <v>0</v>
      </c>
    </row>
    <row r="285" spans="1:8" x14ac:dyDescent="0.15">
      <c r="A285">
        <v>97</v>
      </c>
      <c r="B285">
        <v>2</v>
      </c>
      <c r="C285">
        <v>3075000</v>
      </c>
      <c r="D285">
        <v>4.7926786072726029E+17</v>
      </c>
      <c r="E285">
        <v>536.87092200000018</v>
      </c>
      <c r="F285">
        <v>5.3476306447919342E-5</v>
      </c>
      <c r="G285">
        <v>536.87086852369373</v>
      </c>
      <c r="H285" t="b">
        <v>0</v>
      </c>
    </row>
    <row r="286" spans="1:8" x14ac:dyDescent="0.15">
      <c r="A286">
        <v>97</v>
      </c>
      <c r="B286">
        <v>3</v>
      </c>
      <c r="C286">
        <v>1587500</v>
      </c>
      <c r="D286">
        <v>5.0537306505842672E+16</v>
      </c>
      <c r="E286">
        <v>74.068568171300029</v>
      </c>
      <c r="F286">
        <v>5.3476306433708487E-5</v>
      </c>
      <c r="G286">
        <v>74.068514694993596</v>
      </c>
      <c r="H286" t="b">
        <v>0</v>
      </c>
    </row>
    <row r="287" spans="1:8" x14ac:dyDescent="0.15">
      <c r="A287">
        <v>97</v>
      </c>
      <c r="B287">
        <v>4</v>
      </c>
      <c r="C287">
        <v>843750</v>
      </c>
      <c r="D287">
        <v>44941077513260.297</v>
      </c>
      <c r="E287">
        <v>0.17934617771285261</v>
      </c>
      <c r="F287">
        <v>5.347630643795509E-5</v>
      </c>
      <c r="G287">
        <v>0.1792927014064146</v>
      </c>
      <c r="H287" t="b">
        <v>0</v>
      </c>
    </row>
    <row r="288" spans="1:8" x14ac:dyDescent="0.15">
      <c r="A288">
        <v>97</v>
      </c>
      <c r="B288">
        <v>5</v>
      </c>
      <c r="C288">
        <v>471875</v>
      </c>
      <c r="D288">
        <v>1882386729.238812</v>
      </c>
      <c r="E288">
        <v>1.111458764370857E-4</v>
      </c>
      <c r="F288">
        <v>5.3476306437943659E-5</v>
      </c>
      <c r="G288">
        <v>5.7669569999142043E-5</v>
      </c>
      <c r="H288" t="b">
        <v>0</v>
      </c>
    </row>
    <row r="289" spans="1:8" x14ac:dyDescent="0.15">
      <c r="A289">
        <v>97</v>
      </c>
      <c r="B289">
        <v>6</v>
      </c>
      <c r="C289">
        <v>285937.5</v>
      </c>
      <c r="D289">
        <v>-34457.022719190143</v>
      </c>
      <c r="E289">
        <v>-4.9668789549721189E-6</v>
      </c>
      <c r="F289">
        <v>5.3476306437943659E-5</v>
      </c>
      <c r="G289">
        <v>-5.8443185392915777E-5</v>
      </c>
      <c r="H289" t="b">
        <v>1</v>
      </c>
    </row>
    <row r="290" spans="1:8" x14ac:dyDescent="0.15">
      <c r="A290">
        <v>97</v>
      </c>
      <c r="B290">
        <v>7</v>
      </c>
      <c r="C290">
        <v>378906.25</v>
      </c>
      <c r="D290">
        <v>-101748.6386980376</v>
      </c>
      <c r="E290">
        <v>6.4720323720591476E-6</v>
      </c>
      <c r="F290">
        <v>5.3476306437943659E-5</v>
      </c>
      <c r="G290">
        <v>-4.7004274065884508E-5</v>
      </c>
      <c r="H290" t="b">
        <v>1</v>
      </c>
    </row>
    <row r="291" spans="1:8" x14ac:dyDescent="0.15">
      <c r="A291">
        <v>97</v>
      </c>
      <c r="B291">
        <v>8</v>
      </c>
      <c r="C291">
        <v>425390.625</v>
      </c>
      <c r="D291">
        <v>-1031082.9116866291</v>
      </c>
      <c r="E291">
        <v>1.9296873062518141E-5</v>
      </c>
      <c r="F291">
        <v>5.3476306437943652E-5</v>
      </c>
      <c r="G291">
        <v>-3.4179433375425511E-5</v>
      </c>
      <c r="H291" t="b">
        <v>1</v>
      </c>
    </row>
    <row r="292" spans="1:8" x14ac:dyDescent="0.15">
      <c r="A292">
        <v>97</v>
      </c>
      <c r="B292">
        <v>9</v>
      </c>
      <c r="C292">
        <v>448632.8125</v>
      </c>
      <c r="D292">
        <v>-96926555.234275907</v>
      </c>
      <c r="E292">
        <v>4.8370783382513379E-5</v>
      </c>
      <c r="F292">
        <v>5.3476306437943659E-5</v>
      </c>
      <c r="G292">
        <v>-5.10552305543028E-6</v>
      </c>
      <c r="H292" t="b">
        <v>1</v>
      </c>
    </row>
    <row r="293" spans="1:8" x14ac:dyDescent="0.15">
      <c r="A293">
        <v>97</v>
      </c>
      <c r="B293">
        <v>10</v>
      </c>
      <c r="C293">
        <v>460253.90625</v>
      </c>
      <c r="D293">
        <v>539198773.09232616</v>
      </c>
      <c r="E293">
        <v>7.4065356960243065E-5</v>
      </c>
      <c r="F293">
        <v>5.3476306437943659E-5</v>
      </c>
      <c r="G293">
        <v>2.058905052229941E-5</v>
      </c>
      <c r="H293" t="b">
        <v>0</v>
      </c>
    </row>
    <row r="294" spans="1:8" x14ac:dyDescent="0.15">
      <c r="A294">
        <v>97</v>
      </c>
      <c r="B294">
        <v>11</v>
      </c>
      <c r="C294">
        <v>454443.359375</v>
      </c>
      <c r="D294">
        <v>148597848.5183787</v>
      </c>
      <c r="E294">
        <v>6.0011080899743832E-5</v>
      </c>
      <c r="F294">
        <v>5.3476306437943659E-5</v>
      </c>
      <c r="G294">
        <v>6.5347744618001726E-6</v>
      </c>
      <c r="H294" t="b">
        <v>0</v>
      </c>
    </row>
    <row r="295" spans="1:8" x14ac:dyDescent="0.15">
      <c r="A295">
        <v>97</v>
      </c>
      <c r="B295">
        <v>12</v>
      </c>
      <c r="C295">
        <v>451538.0859375</v>
      </c>
      <c r="D295">
        <v>9138600.7390885539</v>
      </c>
      <c r="E295">
        <v>5.3913290265231153E-5</v>
      </c>
      <c r="F295">
        <v>5.3476306437943659E-5</v>
      </c>
      <c r="G295">
        <v>4.3698382728748732E-7</v>
      </c>
      <c r="H295" t="b">
        <v>0</v>
      </c>
    </row>
    <row r="296" spans="1:8" x14ac:dyDescent="0.15">
      <c r="A296">
        <v>97</v>
      </c>
      <c r="B296">
        <v>13</v>
      </c>
      <c r="C296">
        <v>450085.44921875</v>
      </c>
      <c r="D296">
        <v>-47929616.723769009</v>
      </c>
      <c r="E296">
        <v>5.1075462691824018E-5</v>
      </c>
      <c r="F296">
        <v>5.3476306437943659E-5</v>
      </c>
      <c r="G296">
        <v>-2.4008437461196341E-6</v>
      </c>
      <c r="H296" t="b">
        <v>1</v>
      </c>
    </row>
    <row r="297" spans="1:8" x14ac:dyDescent="0.15">
      <c r="A297">
        <v>97</v>
      </c>
      <c r="B297">
        <v>14</v>
      </c>
      <c r="C297">
        <v>450585.44921875</v>
      </c>
      <c r="D297">
        <v>-29209766.296090361</v>
      </c>
      <c r="E297">
        <v>5.2036940407562838E-5</v>
      </c>
      <c r="F297">
        <v>5.3476306437943659E-5</v>
      </c>
      <c r="G297">
        <v>-1.4393660303808211E-6</v>
      </c>
      <c r="H297" t="b">
        <v>1</v>
      </c>
    </row>
    <row r="298" spans="1:8" x14ac:dyDescent="0.15">
      <c r="A298">
        <v>97</v>
      </c>
      <c r="B298">
        <v>15</v>
      </c>
      <c r="C298">
        <v>451085.44921875</v>
      </c>
      <c r="D298">
        <v>-9524178.1503503136</v>
      </c>
      <c r="E298">
        <v>5.3014416504943637E-5</v>
      </c>
      <c r="F298">
        <v>5.3476306437943659E-5</v>
      </c>
      <c r="G298">
        <v>-4.6188993300001481E-7</v>
      </c>
      <c r="H298" t="b">
        <v>1</v>
      </c>
    </row>
    <row r="299" spans="1:8" x14ac:dyDescent="0.15">
      <c r="A299">
        <v>97</v>
      </c>
      <c r="B299">
        <v>16</v>
      </c>
      <c r="C299">
        <v>451585.44921875</v>
      </c>
      <c r="D299">
        <v>11138047.34088151</v>
      </c>
      <c r="E299">
        <v>5.4008122813034409E-5</v>
      </c>
      <c r="F299">
        <v>5.3476306437943659E-5</v>
      </c>
      <c r="G299">
        <v>5.3181637509075062E-7</v>
      </c>
      <c r="H299" t="b">
        <v>0</v>
      </c>
    </row>
    <row r="300" spans="1:8" x14ac:dyDescent="0.15">
      <c r="A300">
        <v>97</v>
      </c>
      <c r="B300">
        <v>17</v>
      </c>
      <c r="C300">
        <v>451335.44921875</v>
      </c>
      <c r="D300">
        <v>684164.81265561329</v>
      </c>
      <c r="E300">
        <v>5.3509227318937977E-5</v>
      </c>
      <c r="F300">
        <v>5.3476306437943659E-5</v>
      </c>
      <c r="G300">
        <v>3.2920880994325699E-8</v>
      </c>
      <c r="H300" t="b">
        <v>0</v>
      </c>
    </row>
    <row r="301" spans="1:8" x14ac:dyDescent="0.15">
      <c r="A301">
        <v>97</v>
      </c>
      <c r="B301">
        <v>18</v>
      </c>
      <c r="C301">
        <v>451035.44921875</v>
      </c>
      <c r="D301">
        <v>-11536501.402792281</v>
      </c>
      <c r="E301">
        <v>5.2915942297494608E-5</v>
      </c>
      <c r="F301">
        <v>5.3476306437943659E-5</v>
      </c>
      <c r="G301">
        <v>-5.6036414044905082E-7</v>
      </c>
      <c r="H301" t="b">
        <v>1</v>
      </c>
    </row>
    <row r="302" spans="1:8" x14ac:dyDescent="0.15">
      <c r="A302">
        <v>97</v>
      </c>
      <c r="B302">
        <v>19</v>
      </c>
      <c r="C302">
        <v>451185.44921875</v>
      </c>
      <c r="D302">
        <v>-5470207.7044034936</v>
      </c>
      <c r="E302">
        <v>5.3211852797882207E-5</v>
      </c>
      <c r="F302">
        <v>5.3476306437943659E-5</v>
      </c>
      <c r="G302">
        <v>-2.6445364006145148E-7</v>
      </c>
      <c r="H302" t="b">
        <v>1</v>
      </c>
    </row>
    <row r="303" spans="1:8" x14ac:dyDescent="0.15">
      <c r="A303">
        <v>97</v>
      </c>
      <c r="B303">
        <v>20</v>
      </c>
      <c r="C303">
        <v>451335.44921875</v>
      </c>
      <c r="D303">
        <v>684164.81265561329</v>
      </c>
      <c r="E303">
        <v>5.3509227318937977E-5</v>
      </c>
      <c r="F303">
        <v>5.3476306437943659E-5</v>
      </c>
      <c r="G303">
        <v>3.2920880994325699E-8</v>
      </c>
      <c r="H303" t="b">
        <v>0</v>
      </c>
    </row>
    <row r="304" spans="1:8" x14ac:dyDescent="0.15">
      <c r="A304">
        <v>97</v>
      </c>
      <c r="B304">
        <v>21</v>
      </c>
      <c r="C304">
        <v>451260.44921875</v>
      </c>
      <c r="D304">
        <v>-2404052.5217296951</v>
      </c>
      <c r="E304">
        <v>5.3360356569591423E-5</v>
      </c>
      <c r="F304">
        <v>5.3476306437943659E-5</v>
      </c>
      <c r="G304">
        <v>-1.159498683522353E-7</v>
      </c>
      <c r="H304" t="b">
        <v>1</v>
      </c>
    </row>
    <row r="305" spans="1:8" x14ac:dyDescent="0.15">
      <c r="A305">
        <v>97</v>
      </c>
      <c r="B305">
        <v>22</v>
      </c>
      <c r="C305">
        <v>451297.94921875</v>
      </c>
      <c r="D305">
        <v>-862704.05339913187</v>
      </c>
      <c r="E305">
        <v>5.3434746023151278E-5</v>
      </c>
      <c r="F305">
        <v>5.3476306437943659E-5</v>
      </c>
      <c r="G305">
        <v>-4.1560414792380187E-8</v>
      </c>
      <c r="H305" t="b">
        <v>1</v>
      </c>
    </row>
    <row r="306" spans="1:8" x14ac:dyDescent="0.15">
      <c r="A306">
        <v>97</v>
      </c>
      <c r="B306">
        <v>23</v>
      </c>
      <c r="C306">
        <v>451335.44921875</v>
      </c>
      <c r="D306">
        <v>684164.81265561329</v>
      </c>
      <c r="E306">
        <v>5.3509227318937977E-5</v>
      </c>
      <c r="F306">
        <v>5.3476306437943659E-5</v>
      </c>
      <c r="G306">
        <v>3.2920880994325699E-8</v>
      </c>
      <c r="H306" t="b">
        <v>0</v>
      </c>
    </row>
    <row r="307" spans="1:8" x14ac:dyDescent="0.15">
      <c r="A307">
        <v>97</v>
      </c>
      <c r="B307">
        <v>24</v>
      </c>
      <c r="C307">
        <v>451316.69921875</v>
      </c>
      <c r="D307">
        <v>-89976.170179085326</v>
      </c>
      <c r="E307">
        <v>5.3471974404859917E-5</v>
      </c>
      <c r="F307">
        <v>5.3476306437943659E-5</v>
      </c>
      <c r="G307">
        <v>-4.332033083734874E-9</v>
      </c>
      <c r="H307" t="b">
        <v>1</v>
      </c>
    </row>
    <row r="308" spans="1:8" x14ac:dyDescent="0.15">
      <c r="A308">
        <v>97</v>
      </c>
      <c r="B308">
        <v>25</v>
      </c>
      <c r="C308">
        <v>451326.07421875</v>
      </c>
      <c r="D308">
        <v>296913.57672173472</v>
      </c>
      <c r="E308">
        <v>5.3490597599129088E-5</v>
      </c>
      <c r="F308">
        <v>5.3476306437943659E-5</v>
      </c>
      <c r="G308">
        <v>1.42911611854363E-8</v>
      </c>
      <c r="H308" t="b">
        <v>0</v>
      </c>
    </row>
    <row r="309" spans="1:8" x14ac:dyDescent="0.15">
      <c r="A309">
        <v>97</v>
      </c>
      <c r="B309">
        <v>26</v>
      </c>
      <c r="C309">
        <v>451337.32421875</v>
      </c>
      <c r="D309">
        <v>761637.01466015424</v>
      </c>
      <c r="E309">
        <v>5.3512953015425492E-5</v>
      </c>
      <c r="F309">
        <v>5.3476306437943659E-5</v>
      </c>
      <c r="G309">
        <v>3.6646577481833499E-8</v>
      </c>
      <c r="H309" t="b">
        <v>0</v>
      </c>
    </row>
    <row r="310" spans="1:8" x14ac:dyDescent="0.15">
      <c r="A310">
        <v>97</v>
      </c>
      <c r="B310">
        <v>27</v>
      </c>
      <c r="C310">
        <v>451331.69921875</v>
      </c>
      <c r="D310">
        <v>529213.14159029908</v>
      </c>
      <c r="E310">
        <v>5.3501774273053253E-5</v>
      </c>
      <c r="F310">
        <v>5.3476306437943659E-5</v>
      </c>
      <c r="G310">
        <v>2.546783510958776E-8</v>
      </c>
      <c r="H310" t="b">
        <v>0</v>
      </c>
    </row>
    <row r="311" spans="1:8" x14ac:dyDescent="0.15">
      <c r="A311">
        <v>97</v>
      </c>
      <c r="B311">
        <v>28</v>
      </c>
      <c r="C311">
        <v>451324.94921875</v>
      </c>
      <c r="D311">
        <v>250468.57907733071</v>
      </c>
      <c r="E311">
        <v>5.3488362512519298E-5</v>
      </c>
      <c r="F311">
        <v>5.3476306437943659E-5</v>
      </c>
      <c r="G311">
        <v>1.205607457564609E-8</v>
      </c>
      <c r="H311" t="b">
        <v>0</v>
      </c>
    </row>
    <row r="312" spans="1:8" x14ac:dyDescent="0.15">
      <c r="A312">
        <v>97</v>
      </c>
      <c r="B312">
        <v>29</v>
      </c>
      <c r="C312">
        <v>451328.32421875</v>
      </c>
      <c r="D312">
        <v>389818.48678154277</v>
      </c>
      <c r="E312">
        <v>5.3495068020507997E-5</v>
      </c>
      <c r="F312">
        <v>5.3476306437943659E-5</v>
      </c>
      <c r="G312">
        <v>1.8761582564338568E-8</v>
      </c>
      <c r="H312" t="b">
        <v>0</v>
      </c>
    </row>
    <row r="313" spans="1:8" x14ac:dyDescent="0.15">
      <c r="A313">
        <v>97</v>
      </c>
      <c r="B313">
        <v>30</v>
      </c>
      <c r="C313">
        <v>451332.37421874999</v>
      </c>
      <c r="D313">
        <v>557113.67145864852</v>
      </c>
      <c r="E313">
        <v>5.350311639357208E-5</v>
      </c>
      <c r="F313">
        <v>5.3476306437943659E-5</v>
      </c>
      <c r="G313">
        <v>2.6809955628421481E-8</v>
      </c>
      <c r="H313" t="b">
        <v>0</v>
      </c>
    </row>
    <row r="314" spans="1:8" x14ac:dyDescent="0.15">
      <c r="A314">
        <v>97</v>
      </c>
      <c r="B314">
        <v>31</v>
      </c>
      <c r="C314">
        <v>451330.34921875002</v>
      </c>
      <c r="D314">
        <v>473449.90989858349</v>
      </c>
      <c r="E314">
        <v>5.3499091682689222E-5</v>
      </c>
      <c r="F314">
        <v>5.3476306437943659E-5</v>
      </c>
      <c r="G314">
        <v>2.2785244745556981E-8</v>
      </c>
      <c r="H314" t="b">
        <v>0</v>
      </c>
    </row>
    <row r="315" spans="1:8" x14ac:dyDescent="0.15">
      <c r="A315">
        <v>97</v>
      </c>
      <c r="B315">
        <v>32</v>
      </c>
      <c r="C315">
        <v>451327.91921874997</v>
      </c>
      <c r="D315">
        <v>373110.35449602129</v>
      </c>
      <c r="E315">
        <v>5.349426410064342E-5</v>
      </c>
      <c r="F315">
        <v>5.3476306437943659E-5</v>
      </c>
      <c r="G315">
        <v>1.7957662699761469E-8</v>
      </c>
      <c r="H315" t="b">
        <v>0</v>
      </c>
    </row>
    <row r="316" spans="1:8" x14ac:dyDescent="0.15">
      <c r="A316">
        <v>97</v>
      </c>
      <c r="B316">
        <v>33</v>
      </c>
      <c r="C316">
        <v>451329.13421875</v>
      </c>
      <c r="D316">
        <v>423269.12300663348</v>
      </c>
      <c r="E316">
        <v>5.3496677453219408E-5</v>
      </c>
      <c r="F316">
        <v>5.3476306437943659E-5</v>
      </c>
      <c r="G316">
        <v>2.0371015275756072E-8</v>
      </c>
      <c r="H316" t="b">
        <v>0</v>
      </c>
    </row>
    <row r="317" spans="1:8" x14ac:dyDescent="0.15">
      <c r="A317">
        <v>97</v>
      </c>
      <c r="B317">
        <v>34</v>
      </c>
      <c r="C317">
        <v>451330.59221874998</v>
      </c>
      <c r="D317">
        <v>483486.76309251902</v>
      </c>
      <c r="E317">
        <v>5.3499574540157343E-5</v>
      </c>
      <c r="F317">
        <v>5.3476306437943659E-5</v>
      </c>
      <c r="G317">
        <v>2.326810221367758E-8</v>
      </c>
      <c r="H317" t="b">
        <v>0</v>
      </c>
    </row>
    <row r="318" spans="1:8" x14ac:dyDescent="0.15">
      <c r="A318">
        <v>97</v>
      </c>
      <c r="B318">
        <v>35</v>
      </c>
      <c r="C318">
        <v>451329.86321874999</v>
      </c>
      <c r="D318">
        <v>453393.12253326928</v>
      </c>
      <c r="E318">
        <v>5.3498126759829889E-5</v>
      </c>
      <c r="F318">
        <v>5.3476306437943659E-5</v>
      </c>
      <c r="G318">
        <v>2.1820321886230101E-8</v>
      </c>
      <c r="H318" t="b">
        <v>0</v>
      </c>
    </row>
    <row r="319" spans="1:8" x14ac:dyDescent="0.15">
      <c r="A319">
        <v>98</v>
      </c>
      <c r="B319">
        <v>1</v>
      </c>
      <c r="C319">
        <v>6050000</v>
      </c>
      <c r="D319">
        <v>5691806834240614</v>
      </c>
      <c r="E319">
        <v>11.063543609942521</v>
      </c>
      <c r="F319">
        <v>5.3476306437261201E-5</v>
      </c>
      <c r="G319">
        <v>11.06349013363608</v>
      </c>
      <c r="H319" t="b">
        <v>0</v>
      </c>
    </row>
    <row r="320" spans="1:8" x14ac:dyDescent="0.15">
      <c r="A320">
        <v>98</v>
      </c>
      <c r="B320">
        <v>2</v>
      </c>
      <c r="C320">
        <v>3075000</v>
      </c>
      <c r="D320">
        <v>495610728315.15619</v>
      </c>
      <c r="E320">
        <v>4.5500292424762627E-3</v>
      </c>
      <c r="F320">
        <v>5.3476306437943808E-5</v>
      </c>
      <c r="G320">
        <v>4.4965529360383189E-3</v>
      </c>
      <c r="H320" t="b">
        <v>0</v>
      </c>
    </row>
    <row r="321" spans="1:8" x14ac:dyDescent="0.15">
      <c r="A321">
        <v>98</v>
      </c>
      <c r="B321">
        <v>3</v>
      </c>
      <c r="C321">
        <v>1587500</v>
      </c>
      <c r="D321">
        <v>-64921.079475741113</v>
      </c>
      <c r="E321">
        <v>2.3530692604488761E-6</v>
      </c>
      <c r="F321">
        <v>5.3476306437943659E-5</v>
      </c>
      <c r="G321">
        <v>-5.1123237177494792E-5</v>
      </c>
      <c r="H321" t="b">
        <v>1</v>
      </c>
    </row>
    <row r="322" spans="1:8" x14ac:dyDescent="0.15">
      <c r="A322">
        <v>98</v>
      </c>
      <c r="B322">
        <v>4</v>
      </c>
      <c r="C322">
        <v>2331250</v>
      </c>
      <c r="D322">
        <v>4154609998.491003</v>
      </c>
      <c r="E322">
        <v>1.61138280095713E-4</v>
      </c>
      <c r="F322">
        <v>5.3476306437943652E-5</v>
      </c>
      <c r="G322">
        <v>1.076619736577694E-4</v>
      </c>
      <c r="H322" t="b">
        <v>0</v>
      </c>
    </row>
    <row r="323" spans="1:8" x14ac:dyDescent="0.15">
      <c r="A323">
        <v>98</v>
      </c>
      <c r="B323">
        <v>5</v>
      </c>
      <c r="C323">
        <v>1959375</v>
      </c>
      <c r="D323">
        <v>-432327.17355151172</v>
      </c>
      <c r="E323">
        <v>1.5677402599366631E-5</v>
      </c>
      <c r="F323">
        <v>5.3476306437943659E-5</v>
      </c>
      <c r="G323">
        <v>-3.7798903838577027E-5</v>
      </c>
      <c r="H323" t="b">
        <v>1</v>
      </c>
    </row>
    <row r="324" spans="1:8" x14ac:dyDescent="0.15">
      <c r="A324">
        <v>98</v>
      </c>
      <c r="B324">
        <v>6</v>
      </c>
      <c r="C324">
        <v>2145312.5</v>
      </c>
      <c r="D324">
        <v>-59734665.949712798</v>
      </c>
      <c r="E324">
        <v>5.0450930020710603E-5</v>
      </c>
      <c r="F324">
        <v>5.3476306437943659E-5</v>
      </c>
      <c r="G324">
        <v>-3.0253764172330621E-6</v>
      </c>
      <c r="H324" t="b">
        <v>1</v>
      </c>
    </row>
    <row r="325" spans="1:8" x14ac:dyDescent="0.15">
      <c r="A325">
        <v>98</v>
      </c>
      <c r="B325">
        <v>7</v>
      </c>
      <c r="C325">
        <v>2238281.25</v>
      </c>
      <c r="D325">
        <v>1150460927.1496699</v>
      </c>
      <c r="E325">
        <v>9.2230040152779582E-5</v>
      </c>
      <c r="F325">
        <v>5.3476306437943659E-5</v>
      </c>
      <c r="G325">
        <v>3.8753733714835917E-5</v>
      </c>
      <c r="H325" t="b">
        <v>0</v>
      </c>
    </row>
    <row r="326" spans="1:8" x14ac:dyDescent="0.15">
      <c r="A326">
        <v>98</v>
      </c>
      <c r="B326">
        <v>8</v>
      </c>
      <c r="C326">
        <v>2191796.875</v>
      </c>
      <c r="D326">
        <v>378051933.91380799</v>
      </c>
      <c r="E326">
        <v>6.8626344918112494E-5</v>
      </c>
      <c r="F326">
        <v>5.3476306437943659E-5</v>
      </c>
      <c r="G326">
        <v>1.515003848016884E-5</v>
      </c>
      <c r="H326" t="b">
        <v>0</v>
      </c>
    </row>
    <row r="327" spans="1:8" x14ac:dyDescent="0.15">
      <c r="A327">
        <v>98</v>
      </c>
      <c r="B327">
        <v>9</v>
      </c>
      <c r="C327">
        <v>2168554.6875</v>
      </c>
      <c r="D327">
        <v>122411624.10760739</v>
      </c>
      <c r="E327">
        <v>5.8932657134779918E-5</v>
      </c>
      <c r="F327">
        <v>5.3476306437943659E-5</v>
      </c>
      <c r="G327">
        <v>5.4563506968362662E-6</v>
      </c>
      <c r="H327" t="b">
        <v>0</v>
      </c>
    </row>
    <row r="328" spans="1:8" x14ac:dyDescent="0.15">
      <c r="A328">
        <v>98</v>
      </c>
      <c r="B328">
        <v>10</v>
      </c>
      <c r="C328">
        <v>2156933.59375</v>
      </c>
      <c r="D328">
        <v>22641420.396902461</v>
      </c>
      <c r="E328">
        <v>5.4548554209782559E-5</v>
      </c>
      <c r="F328">
        <v>5.3476306437943659E-5</v>
      </c>
      <c r="G328">
        <v>1.0722477718389E-6</v>
      </c>
      <c r="H328" t="b">
        <v>0</v>
      </c>
    </row>
    <row r="329" spans="1:8" x14ac:dyDescent="0.15">
      <c r="A329">
        <v>98</v>
      </c>
      <c r="B329">
        <v>11</v>
      </c>
      <c r="C329">
        <v>2151123.046875</v>
      </c>
      <c r="D329">
        <v>-20669680.172795981</v>
      </c>
      <c r="E329">
        <v>5.2464947361736853E-5</v>
      </c>
      <c r="F329">
        <v>5.3476306437943659E-5</v>
      </c>
      <c r="G329">
        <v>-1.0113590762068119E-6</v>
      </c>
      <c r="H329" t="b">
        <v>1</v>
      </c>
    </row>
    <row r="330" spans="1:8" x14ac:dyDescent="0.15">
      <c r="A330">
        <v>98</v>
      </c>
      <c r="B330">
        <v>12</v>
      </c>
      <c r="C330">
        <v>2154028.3203125</v>
      </c>
      <c r="D330">
        <v>449211.53573782317</v>
      </c>
      <c r="E330">
        <v>5.3497925581930327E-5</v>
      </c>
      <c r="F330">
        <v>5.3476306437943659E-5</v>
      </c>
      <c r="G330">
        <v>2.1619143986675241E-8</v>
      </c>
      <c r="H330" t="b">
        <v>0</v>
      </c>
    </row>
    <row r="331" spans="1:8" x14ac:dyDescent="0.15">
      <c r="A331">
        <v>98</v>
      </c>
      <c r="B331">
        <v>13</v>
      </c>
      <c r="C331">
        <v>2155480.95703125</v>
      </c>
      <c r="D331">
        <v>11410449.683583651</v>
      </c>
      <c r="E331">
        <v>5.4021021639443238E-5</v>
      </c>
      <c r="F331">
        <v>5.3476306437943659E-5</v>
      </c>
      <c r="G331">
        <v>5.4471520149957964E-7</v>
      </c>
      <c r="H331" t="b">
        <v>0</v>
      </c>
    </row>
    <row r="332" spans="1:8" x14ac:dyDescent="0.15">
      <c r="A332">
        <v>98</v>
      </c>
      <c r="B332">
        <v>14</v>
      </c>
      <c r="C332">
        <v>2154980.95703125</v>
      </c>
      <c r="D332">
        <v>7607151.7800252493</v>
      </c>
      <c r="E332">
        <v>5.3840469174167663E-5</v>
      </c>
      <c r="F332">
        <v>5.3476306437943659E-5</v>
      </c>
      <c r="G332">
        <v>3.641627362239972E-7</v>
      </c>
      <c r="H332" t="b">
        <v>0</v>
      </c>
    </row>
    <row r="333" spans="1:8" x14ac:dyDescent="0.15">
      <c r="A333">
        <v>98</v>
      </c>
      <c r="B333">
        <v>15</v>
      </c>
      <c r="C333">
        <v>2154380.95703125</v>
      </c>
      <c r="D333">
        <v>3085385.6241696421</v>
      </c>
      <c r="E333">
        <v>5.3624502982489697E-5</v>
      </c>
      <c r="F333">
        <v>5.3476306437943659E-5</v>
      </c>
      <c r="G333">
        <v>1.4819654454603881E-7</v>
      </c>
      <c r="H333" t="b">
        <v>0</v>
      </c>
    </row>
    <row r="334" spans="1:8" x14ac:dyDescent="0.15">
      <c r="A334">
        <v>98</v>
      </c>
      <c r="B334">
        <v>16</v>
      </c>
      <c r="C334">
        <v>2153660.95703125</v>
      </c>
      <c r="D334">
        <v>-2280175.2054603929</v>
      </c>
      <c r="E334">
        <v>5.3366341666773131E-5</v>
      </c>
      <c r="F334">
        <v>5.3476306437943659E-5</v>
      </c>
      <c r="G334">
        <v>-1.099647711705272E-7</v>
      </c>
      <c r="H334" t="b">
        <v>1</v>
      </c>
    </row>
    <row r="335" spans="1:8" x14ac:dyDescent="0.15">
      <c r="A335">
        <v>98</v>
      </c>
      <c r="B335">
        <v>17</v>
      </c>
      <c r="C335">
        <v>2154020.95703125</v>
      </c>
      <c r="D335">
        <v>394335.12506043399</v>
      </c>
      <c r="E335">
        <v>5.3495285337267352E-5</v>
      </c>
      <c r="F335">
        <v>5.3476306437943659E-5</v>
      </c>
      <c r="G335">
        <v>1.8978899323693589E-8</v>
      </c>
      <c r="H335" t="b">
        <v>0</v>
      </c>
    </row>
    <row r="336" spans="1:8" x14ac:dyDescent="0.15">
      <c r="A336">
        <v>98</v>
      </c>
      <c r="B336">
        <v>18</v>
      </c>
      <c r="C336">
        <v>2154452.95703125</v>
      </c>
      <c r="D336">
        <v>3625575.1533786622</v>
      </c>
      <c r="E336">
        <v>5.3650379069687548E-5</v>
      </c>
      <c r="F336">
        <v>5.3476306437943659E-5</v>
      </c>
      <c r="G336">
        <v>1.7407263174388981E-7</v>
      </c>
      <c r="H336" t="b">
        <v>0</v>
      </c>
    </row>
    <row r="337" spans="1:8" x14ac:dyDescent="0.15">
      <c r="A337">
        <v>98</v>
      </c>
      <c r="B337">
        <v>19</v>
      </c>
      <c r="C337">
        <v>2154236.95703125</v>
      </c>
      <c r="D337">
        <v>2006986.564472703</v>
      </c>
      <c r="E337">
        <v>5.3572783377741197E-5</v>
      </c>
      <c r="F337">
        <v>5.3476306437943659E-5</v>
      </c>
      <c r="G337">
        <v>9.6476939797545194E-8</v>
      </c>
      <c r="H337" t="b">
        <v>0</v>
      </c>
    </row>
    <row r="338" spans="1:8" x14ac:dyDescent="0.15">
      <c r="A338">
        <v>98</v>
      </c>
      <c r="B338">
        <v>20</v>
      </c>
      <c r="C338">
        <v>2154344.95703125</v>
      </c>
      <c r="D338">
        <v>2815538.3950403989</v>
      </c>
      <c r="E338">
        <v>5.3611569010814438E-5</v>
      </c>
      <c r="F338">
        <v>5.3476306437943659E-5</v>
      </c>
      <c r="G338">
        <v>1.3526257287077911E-7</v>
      </c>
      <c r="H338" t="b">
        <v>0</v>
      </c>
    </row>
    <row r="339" spans="1:8" x14ac:dyDescent="0.15">
      <c r="A339">
        <v>98</v>
      </c>
      <c r="B339">
        <v>21</v>
      </c>
      <c r="C339">
        <v>2154290.95703125</v>
      </c>
      <c r="D339">
        <v>2411076.903889881</v>
      </c>
      <c r="E339">
        <v>5.3592173141862011E-5</v>
      </c>
      <c r="F339">
        <v>5.3476306437943659E-5</v>
      </c>
      <c r="G339">
        <v>1.158667039183523E-7</v>
      </c>
      <c r="H339" t="b">
        <v>0</v>
      </c>
    </row>
    <row r="340" spans="1:8" x14ac:dyDescent="0.15">
      <c r="A340">
        <v>98</v>
      </c>
      <c r="B340">
        <v>22</v>
      </c>
      <c r="C340">
        <v>2154226.1570312502</v>
      </c>
      <c r="D340">
        <v>1926213.0277866491</v>
      </c>
      <c r="E340">
        <v>5.356890615735629E-5</v>
      </c>
      <c r="F340">
        <v>5.3476306437943659E-5</v>
      </c>
      <c r="G340">
        <v>9.2599719412631367E-8</v>
      </c>
      <c r="H340" t="b">
        <v>0</v>
      </c>
    </row>
    <row r="341" spans="1:8" x14ac:dyDescent="0.15">
      <c r="A341">
        <v>98</v>
      </c>
      <c r="B341">
        <v>23</v>
      </c>
      <c r="C341">
        <v>2154258.5570312501</v>
      </c>
      <c r="D341">
        <v>2168578.167170505</v>
      </c>
      <c r="E341">
        <v>5.3580538550913838E-5</v>
      </c>
      <c r="F341">
        <v>5.3476306437943659E-5</v>
      </c>
      <c r="G341">
        <v>1.042321129701791E-7</v>
      </c>
      <c r="H341" t="b">
        <v>0</v>
      </c>
    </row>
    <row r="342" spans="1:8" x14ac:dyDescent="0.15">
      <c r="A342">
        <v>99</v>
      </c>
      <c r="B342">
        <v>1</v>
      </c>
      <c r="C342">
        <v>6050000</v>
      </c>
      <c r="D342">
        <v>4.8246351348103469E+17</v>
      </c>
      <c r="E342">
        <v>536.87092200000006</v>
      </c>
      <c r="F342">
        <v>5.3239605563248922E-5</v>
      </c>
      <c r="G342">
        <v>536.8708687603945</v>
      </c>
      <c r="H342" t="b">
        <v>0</v>
      </c>
    </row>
    <row r="343" spans="1:8" x14ac:dyDescent="0.15">
      <c r="A343">
        <v>99</v>
      </c>
      <c r="B343">
        <v>2</v>
      </c>
      <c r="C343">
        <v>3075000</v>
      </c>
      <c r="D343">
        <v>298007237085254.63</v>
      </c>
      <c r="E343">
        <v>0.87753705939004845</v>
      </c>
      <c r="F343">
        <v>5.3239605589894268E-5</v>
      </c>
      <c r="G343">
        <v>0.87748381978445855</v>
      </c>
      <c r="H343" t="b">
        <v>0</v>
      </c>
    </row>
    <row r="344" spans="1:8" x14ac:dyDescent="0.15">
      <c r="A344">
        <v>99</v>
      </c>
      <c r="B344">
        <v>3</v>
      </c>
      <c r="C344">
        <v>1587500</v>
      </c>
      <c r="D344">
        <v>39390467660.85936</v>
      </c>
      <c r="E344">
        <v>6.6439801785463679E-4</v>
      </c>
      <c r="F344">
        <v>5.3239605589866302E-5</v>
      </c>
      <c r="G344">
        <v>6.1115841226477049E-4</v>
      </c>
      <c r="H344" t="b">
        <v>0</v>
      </c>
    </row>
    <row r="345" spans="1:8" x14ac:dyDescent="0.15">
      <c r="A345">
        <v>99</v>
      </c>
      <c r="B345">
        <v>4</v>
      </c>
      <c r="C345">
        <v>843750</v>
      </c>
      <c r="D345">
        <v>-39467.048658740328</v>
      </c>
      <c r="E345">
        <v>-3.2485001628662842E-6</v>
      </c>
      <c r="F345">
        <v>5.3239605589866302E-5</v>
      </c>
      <c r="G345">
        <v>-5.6488105752732592E-5</v>
      </c>
      <c r="H345" t="b">
        <v>1</v>
      </c>
    </row>
    <row r="346" spans="1:8" x14ac:dyDescent="0.15">
      <c r="A346">
        <v>99</v>
      </c>
      <c r="B346">
        <v>5</v>
      </c>
      <c r="C346">
        <v>1215625</v>
      </c>
      <c r="D346">
        <v>-475736.934351267</v>
      </c>
      <c r="E346">
        <v>1.604706973664766E-5</v>
      </c>
      <c r="F346">
        <v>5.3239605589866302E-5</v>
      </c>
      <c r="G346">
        <v>-3.7192535853218642E-5</v>
      </c>
      <c r="H346" t="b">
        <v>1</v>
      </c>
    </row>
    <row r="347" spans="1:8" x14ac:dyDescent="0.15">
      <c r="A347">
        <v>99</v>
      </c>
      <c r="B347">
        <v>6</v>
      </c>
      <c r="C347">
        <v>1401562.5</v>
      </c>
      <c r="D347">
        <v>2291728920.252121</v>
      </c>
      <c r="E347">
        <v>1.203809257655146E-4</v>
      </c>
      <c r="F347">
        <v>5.3239605589866302E-5</v>
      </c>
      <c r="G347">
        <v>6.7141320175648282E-5</v>
      </c>
      <c r="H347" t="b">
        <v>0</v>
      </c>
    </row>
    <row r="348" spans="1:8" x14ac:dyDescent="0.15">
      <c r="A348">
        <v>99</v>
      </c>
      <c r="B348">
        <v>7</v>
      </c>
      <c r="C348">
        <v>1308593.75</v>
      </c>
      <c r="D348">
        <v>-157793219.57525191</v>
      </c>
      <c r="E348">
        <v>4.330813993926833E-5</v>
      </c>
      <c r="F348">
        <v>5.3239605589866302E-5</v>
      </c>
      <c r="G348">
        <v>-9.9314656505979725E-6</v>
      </c>
      <c r="H348" t="b">
        <v>1</v>
      </c>
    </row>
    <row r="349" spans="1:8" x14ac:dyDescent="0.15">
      <c r="A349">
        <v>99</v>
      </c>
      <c r="B349">
        <v>8</v>
      </c>
      <c r="C349">
        <v>1355078.125</v>
      </c>
      <c r="D349">
        <v>528876424.79114002</v>
      </c>
      <c r="E349">
        <v>7.3404094609694662E-5</v>
      </c>
      <c r="F349">
        <v>5.3239605589866302E-5</v>
      </c>
      <c r="G349">
        <v>2.016448901982836E-5</v>
      </c>
      <c r="H349" t="b">
        <v>0</v>
      </c>
    </row>
    <row r="350" spans="1:8" x14ac:dyDescent="0.15">
      <c r="A350">
        <v>99</v>
      </c>
      <c r="B350">
        <v>9</v>
      </c>
      <c r="C350">
        <v>1331835.9375</v>
      </c>
      <c r="D350">
        <v>74291860.707158104</v>
      </c>
      <c r="E350">
        <v>5.6628181434301957E-5</v>
      </c>
      <c r="F350">
        <v>5.3239605589866302E-5</v>
      </c>
      <c r="G350">
        <v>3.388575844435655E-6</v>
      </c>
      <c r="H350" t="b">
        <v>0</v>
      </c>
    </row>
    <row r="351" spans="1:8" x14ac:dyDescent="0.15">
      <c r="A351">
        <v>99</v>
      </c>
      <c r="B351">
        <v>10</v>
      </c>
      <c r="C351">
        <v>1320214.84375</v>
      </c>
      <c r="D351">
        <v>-71732692.038145587</v>
      </c>
      <c r="E351">
        <v>4.9577830470359171E-5</v>
      </c>
      <c r="F351">
        <v>5.3239605589866302E-5</v>
      </c>
      <c r="G351">
        <v>-3.6617751195071312E-6</v>
      </c>
      <c r="H351" t="b">
        <v>1</v>
      </c>
    </row>
    <row r="352" spans="1:8" x14ac:dyDescent="0.15">
      <c r="A352">
        <v>99</v>
      </c>
      <c r="B352">
        <v>11</v>
      </c>
      <c r="C352">
        <v>1326025.390625</v>
      </c>
      <c r="D352">
        <v>-4960038.9381448776</v>
      </c>
      <c r="E352">
        <v>5.3000882778991048E-5</v>
      </c>
      <c r="F352">
        <v>5.3239605589866302E-5</v>
      </c>
      <c r="G352">
        <v>-2.3872281087525379E-7</v>
      </c>
      <c r="H352" t="b">
        <v>1</v>
      </c>
    </row>
    <row r="353" spans="1:8" x14ac:dyDescent="0.15">
      <c r="A353">
        <v>99</v>
      </c>
      <c r="B353">
        <v>12</v>
      </c>
      <c r="C353">
        <v>1328930.6640625</v>
      </c>
      <c r="D353">
        <v>33071633.045755621</v>
      </c>
      <c r="E353">
        <v>5.4788237176369308E-5</v>
      </c>
      <c r="F353">
        <v>5.3239605589866302E-5</v>
      </c>
      <c r="G353">
        <v>1.548631586503006E-6</v>
      </c>
      <c r="H353" t="b">
        <v>0</v>
      </c>
    </row>
    <row r="354" spans="1:8" x14ac:dyDescent="0.15">
      <c r="A354">
        <v>99</v>
      </c>
      <c r="B354">
        <v>13</v>
      </c>
      <c r="C354">
        <v>1327478.02734375</v>
      </c>
      <c r="D354">
        <v>13661552.14168128</v>
      </c>
      <c r="E354">
        <v>5.388806832459221E-5</v>
      </c>
      <c r="F354">
        <v>5.3239605589866302E-5</v>
      </c>
      <c r="G354">
        <v>6.484627347259076E-7</v>
      </c>
      <c r="H354" t="b">
        <v>0</v>
      </c>
    </row>
    <row r="355" spans="1:8" x14ac:dyDescent="0.15">
      <c r="A355">
        <v>99</v>
      </c>
      <c r="B355">
        <v>14</v>
      </c>
      <c r="C355">
        <v>1326278.02734375</v>
      </c>
      <c r="D355">
        <v>-1777690.34843937</v>
      </c>
      <c r="E355">
        <v>5.3154254797737623E-5</v>
      </c>
      <c r="F355">
        <v>5.3239605589866302E-5</v>
      </c>
      <c r="G355">
        <v>-8.5350792128685766E-8</v>
      </c>
      <c r="H355" t="b">
        <v>1</v>
      </c>
    </row>
    <row r="356" spans="1:8" x14ac:dyDescent="0.15">
      <c r="A356">
        <v>99</v>
      </c>
      <c r="B356">
        <v>15</v>
      </c>
      <c r="C356">
        <v>1326878.02734375</v>
      </c>
      <c r="D356">
        <v>5874898.5464814678</v>
      </c>
      <c r="E356">
        <v>5.3520056697898962E-5</v>
      </c>
      <c r="F356">
        <v>5.3239605589866302E-5</v>
      </c>
      <c r="G356">
        <v>2.804511080326601E-7</v>
      </c>
      <c r="H356" t="b">
        <v>0</v>
      </c>
    </row>
    <row r="357" spans="1:8" x14ac:dyDescent="0.15">
      <c r="A357">
        <v>99</v>
      </c>
      <c r="B357">
        <v>16</v>
      </c>
      <c r="C357">
        <v>1326578.02734375</v>
      </c>
      <c r="D357">
        <v>2031924.0689653121</v>
      </c>
      <c r="E357">
        <v>5.3336882258740083E-5</v>
      </c>
      <c r="F357">
        <v>5.3239605589866302E-5</v>
      </c>
      <c r="G357">
        <v>9.7276668873774166E-8</v>
      </c>
      <c r="H357" t="b">
        <v>0</v>
      </c>
    </row>
    <row r="358" spans="1:8" x14ac:dyDescent="0.15">
      <c r="A358">
        <v>99</v>
      </c>
      <c r="B358">
        <v>17</v>
      </c>
      <c r="C358">
        <v>1326218.02734375</v>
      </c>
      <c r="D358">
        <v>-2535664.9074453809</v>
      </c>
      <c r="E358">
        <v>5.3117792470503227E-5</v>
      </c>
      <c r="F358">
        <v>5.3239605589866302E-5</v>
      </c>
      <c r="G358">
        <v>-1.2181311936306809E-7</v>
      </c>
      <c r="H358" t="b">
        <v>1</v>
      </c>
    </row>
    <row r="359" spans="1:8" x14ac:dyDescent="0.15">
      <c r="A359">
        <v>99</v>
      </c>
      <c r="B359">
        <v>18</v>
      </c>
      <c r="C359">
        <v>1326398.02734375</v>
      </c>
      <c r="D359">
        <v>-257850.10262981561</v>
      </c>
      <c r="E359">
        <v>5.3227239911050489E-5</v>
      </c>
      <c r="F359">
        <v>5.3239605589866302E-5</v>
      </c>
      <c r="G359">
        <v>-1.2365678815813309E-8</v>
      </c>
      <c r="H359" t="b">
        <v>1</v>
      </c>
    </row>
    <row r="360" spans="1:8" x14ac:dyDescent="0.15">
      <c r="A360">
        <v>99</v>
      </c>
      <c r="B360">
        <v>19</v>
      </c>
      <c r="C360">
        <v>1326578.02734375</v>
      </c>
      <c r="D360">
        <v>2031924.0689653121</v>
      </c>
      <c r="E360">
        <v>5.3336882258740083E-5</v>
      </c>
      <c r="F360">
        <v>5.3239605589866302E-5</v>
      </c>
      <c r="G360">
        <v>9.7276668873774166E-8</v>
      </c>
      <c r="H360" t="b">
        <v>0</v>
      </c>
    </row>
    <row r="361" spans="1:8" x14ac:dyDescent="0.15">
      <c r="A361">
        <v>99</v>
      </c>
      <c r="B361">
        <v>20</v>
      </c>
      <c r="C361">
        <v>1326488.02734375</v>
      </c>
      <c r="D361">
        <v>885478.15684365667</v>
      </c>
      <c r="E361">
        <v>5.3282033685999468E-5</v>
      </c>
      <c r="F361">
        <v>5.3239605589866302E-5</v>
      </c>
      <c r="G361">
        <v>4.2428096133165509E-8</v>
      </c>
      <c r="H361" t="b">
        <v>0</v>
      </c>
    </row>
    <row r="362" spans="1:8" x14ac:dyDescent="0.15">
      <c r="A362">
        <v>99</v>
      </c>
      <c r="B362">
        <v>21</v>
      </c>
      <c r="C362">
        <v>1326533.02734375</v>
      </c>
      <c r="D362">
        <v>1458297.1992754431</v>
      </c>
      <c r="E362">
        <v>5.3309450447972502E-5</v>
      </c>
      <c r="F362">
        <v>5.3239605589866302E-5</v>
      </c>
      <c r="G362">
        <v>6.9844858106192986E-8</v>
      </c>
      <c r="H362" t="b">
        <v>0</v>
      </c>
    </row>
    <row r="363" spans="1:8" x14ac:dyDescent="0.15">
      <c r="A363">
        <v>99</v>
      </c>
      <c r="B363">
        <v>22</v>
      </c>
      <c r="C363">
        <v>1326510.52734375</v>
      </c>
      <c r="D363">
        <v>1171793.737996751</v>
      </c>
      <c r="E363">
        <v>5.3295740521915947E-5</v>
      </c>
      <c r="F363">
        <v>5.3239605589866302E-5</v>
      </c>
      <c r="G363">
        <v>5.6134932049644883E-8</v>
      </c>
      <c r="H363" t="b">
        <v>0</v>
      </c>
    </row>
    <row r="364" spans="1:8" x14ac:dyDescent="0.15">
      <c r="A364">
        <v>99</v>
      </c>
      <c r="B364">
        <v>23</v>
      </c>
      <c r="C364">
        <v>1326521.77734375</v>
      </c>
      <c r="D364">
        <v>1315078.065507815</v>
      </c>
      <c r="E364">
        <v>5.3302597782390393E-5</v>
      </c>
      <c r="F364">
        <v>5.3239605589866302E-5</v>
      </c>
      <c r="G364">
        <v>6.2992192524084399E-8</v>
      </c>
      <c r="H364" t="b">
        <v>0</v>
      </c>
    </row>
    <row r="365" spans="1:8" x14ac:dyDescent="0.15">
      <c r="A365">
        <v>100</v>
      </c>
      <c r="B365">
        <v>1</v>
      </c>
      <c r="C365">
        <v>6050000</v>
      </c>
      <c r="D365">
        <v>674526057454466.63</v>
      </c>
      <c r="E365">
        <v>0.41769699431975432</v>
      </c>
      <c r="F365">
        <v>1.8161648258518959E-5</v>
      </c>
      <c r="G365">
        <v>0.4176788326714958</v>
      </c>
      <c r="H365" t="b">
        <v>0</v>
      </c>
    </row>
    <row r="366" spans="1:8" x14ac:dyDescent="0.15">
      <c r="A366">
        <v>100</v>
      </c>
      <c r="B366">
        <v>2</v>
      </c>
      <c r="C366">
        <v>3075000</v>
      </c>
      <c r="D366">
        <v>247418795050.60239</v>
      </c>
      <c r="E366">
        <v>6.8913078875207227E-4</v>
      </c>
      <c r="F366">
        <v>1.8161648258494239E-5</v>
      </c>
      <c r="G366">
        <v>6.7096914049357803E-4</v>
      </c>
      <c r="H366" t="b">
        <v>0</v>
      </c>
    </row>
    <row r="367" spans="1:8" x14ac:dyDescent="0.15">
      <c r="A367">
        <v>100</v>
      </c>
      <c r="B367">
        <v>3</v>
      </c>
      <c r="C367">
        <v>1587500</v>
      </c>
      <c r="D367">
        <v>-73062.910335317676</v>
      </c>
      <c r="E367">
        <v>-6.6650554002105181E-7</v>
      </c>
      <c r="F367">
        <v>1.8161648258494191E-5</v>
      </c>
      <c r="G367">
        <v>-1.8828153798515251E-5</v>
      </c>
      <c r="H367" t="b">
        <v>1</v>
      </c>
    </row>
    <row r="368" spans="1:8" x14ac:dyDescent="0.15">
      <c r="A368">
        <v>100</v>
      </c>
      <c r="B368">
        <v>4</v>
      </c>
      <c r="C368">
        <v>2331250</v>
      </c>
      <c r="D368">
        <v>89845954.854508862</v>
      </c>
      <c r="E368">
        <v>1.9373521608172371E-5</v>
      </c>
      <c r="F368">
        <v>1.8161648258494191E-5</v>
      </c>
      <c r="G368">
        <v>1.2118733496781761E-6</v>
      </c>
      <c r="H368" t="b">
        <v>0</v>
      </c>
    </row>
    <row r="369" spans="1:8" x14ac:dyDescent="0.15">
      <c r="A369">
        <v>100</v>
      </c>
      <c r="B369">
        <v>5</v>
      </c>
      <c r="C369">
        <v>1959375</v>
      </c>
      <c r="D369">
        <v>-291846.34930906282</v>
      </c>
      <c r="E369">
        <v>3.6863603877718291E-6</v>
      </c>
      <c r="F369">
        <v>1.8161648258494191E-5</v>
      </c>
      <c r="G369">
        <v>-1.447528787072237E-5</v>
      </c>
      <c r="H369" t="b">
        <v>1</v>
      </c>
    </row>
    <row r="370" spans="1:8" x14ac:dyDescent="0.15">
      <c r="A370">
        <v>100</v>
      </c>
      <c r="B370">
        <v>6</v>
      </c>
      <c r="C370">
        <v>2145312.5</v>
      </c>
      <c r="D370">
        <v>-3780411.436465865</v>
      </c>
      <c r="E370">
        <v>7.8130614001081809E-6</v>
      </c>
      <c r="F370">
        <v>1.8161648258494191E-5</v>
      </c>
      <c r="G370">
        <v>-1.0348586858386011E-5</v>
      </c>
      <c r="H370" t="b">
        <v>1</v>
      </c>
    </row>
    <row r="371" spans="1:8" x14ac:dyDescent="0.15">
      <c r="A371">
        <v>100</v>
      </c>
      <c r="B371">
        <v>7</v>
      </c>
      <c r="C371">
        <v>2238281.25</v>
      </c>
      <c r="D371">
        <v>-57589181.220407061</v>
      </c>
      <c r="E371">
        <v>1.08545675411181E-5</v>
      </c>
      <c r="F371">
        <v>1.8161648258494191E-5</v>
      </c>
      <c r="G371">
        <v>-7.3070807173760946E-6</v>
      </c>
      <c r="H371" t="b">
        <v>1</v>
      </c>
    </row>
    <row r="372" spans="1:8" x14ac:dyDescent="0.15">
      <c r="A372">
        <v>100</v>
      </c>
      <c r="B372">
        <v>8</v>
      </c>
      <c r="C372">
        <v>2284765.625</v>
      </c>
      <c r="D372">
        <v>-138275451.12552649</v>
      </c>
      <c r="E372">
        <v>1.4411814415636119E-5</v>
      </c>
      <c r="F372">
        <v>1.8161648258494191E-5</v>
      </c>
      <c r="G372">
        <v>-3.7498338428580768E-6</v>
      </c>
      <c r="H372" t="b">
        <v>1</v>
      </c>
    </row>
    <row r="373" spans="1:8" x14ac:dyDescent="0.15">
      <c r="A373">
        <v>100</v>
      </c>
      <c r="B373">
        <v>9</v>
      </c>
      <c r="C373">
        <v>2308007.8125</v>
      </c>
      <c r="D373">
        <v>-78618994.498401105</v>
      </c>
      <c r="E373">
        <v>1.6733268385226699E-5</v>
      </c>
      <c r="F373">
        <v>1.8161648258494191E-5</v>
      </c>
      <c r="G373">
        <v>-1.4283798732674961E-6</v>
      </c>
      <c r="H373" t="b">
        <v>1</v>
      </c>
    </row>
    <row r="374" spans="1:8" x14ac:dyDescent="0.15">
      <c r="A374">
        <v>100</v>
      </c>
      <c r="B374">
        <v>10</v>
      </c>
      <c r="C374">
        <v>2319628.90625</v>
      </c>
      <c r="D374">
        <v>-9691060.6872993466</v>
      </c>
      <c r="E374">
        <v>1.8011365847341409E-5</v>
      </c>
      <c r="F374">
        <v>1.8161648258494191E-5</v>
      </c>
      <c r="G374">
        <v>-1.502824111527894E-7</v>
      </c>
      <c r="H374" t="b">
        <v>1</v>
      </c>
    </row>
    <row r="375" spans="1:8" x14ac:dyDescent="0.15">
      <c r="A375">
        <v>100</v>
      </c>
      <c r="B375">
        <v>11</v>
      </c>
      <c r="C375">
        <v>2325439.453125</v>
      </c>
      <c r="D375">
        <v>36029553.1910339</v>
      </c>
      <c r="E375">
        <v>1.8681653199417549E-5</v>
      </c>
      <c r="F375">
        <v>1.8161648258494191E-5</v>
      </c>
      <c r="G375">
        <v>5.200049409233572E-7</v>
      </c>
      <c r="H375" t="b">
        <v>0</v>
      </c>
    </row>
    <row r="376" spans="1:8" x14ac:dyDescent="0.15">
      <c r="A376">
        <v>100</v>
      </c>
      <c r="B376">
        <v>12</v>
      </c>
      <c r="C376">
        <v>2322534.1796875</v>
      </c>
      <c r="D376">
        <v>12185529.50600276</v>
      </c>
      <c r="E376">
        <v>1.834384824950339E-5</v>
      </c>
      <c r="F376">
        <v>1.8161648258494191E-5</v>
      </c>
      <c r="G376">
        <v>1.8219999100919221E-7</v>
      </c>
      <c r="H376" t="b">
        <v>0</v>
      </c>
    </row>
    <row r="377" spans="1:8" x14ac:dyDescent="0.15">
      <c r="A377">
        <v>100</v>
      </c>
      <c r="B377">
        <v>13</v>
      </c>
      <c r="C377">
        <v>2321081.54296875</v>
      </c>
      <c r="D377">
        <v>1004724.998984937</v>
      </c>
      <c r="E377">
        <v>1.8176945251492629E-5</v>
      </c>
      <c r="F377">
        <v>1.8161648258494191E-5</v>
      </c>
      <c r="G377">
        <v>1.5296992998437309E-8</v>
      </c>
      <c r="H377" t="b">
        <v>0</v>
      </c>
    </row>
    <row r="378" spans="1:8" x14ac:dyDescent="0.15">
      <c r="A378">
        <v>100</v>
      </c>
      <c r="B378">
        <v>14</v>
      </c>
      <c r="C378">
        <v>2321581.54296875</v>
      </c>
      <c r="D378">
        <v>4798078.3515264699</v>
      </c>
      <c r="E378">
        <v>1.8234243613193981E-5</v>
      </c>
      <c r="F378">
        <v>1.8161648258494191E-5</v>
      </c>
      <c r="G378">
        <v>7.259535469978287E-8</v>
      </c>
      <c r="H378" t="b">
        <v>0</v>
      </c>
    </row>
    <row r="379" spans="1:8" x14ac:dyDescent="0.15">
      <c r="A379">
        <v>100</v>
      </c>
      <c r="B379">
        <v>15</v>
      </c>
      <c r="C379">
        <v>2321331.54296875</v>
      </c>
      <c r="D379">
        <v>2894255.1808665008</v>
      </c>
      <c r="E379">
        <v>1.8205575622822929E-5</v>
      </c>
      <c r="F379">
        <v>1.8161648258494191E-5</v>
      </c>
      <c r="G379">
        <v>4.392736432873038E-8</v>
      </c>
      <c r="H379" t="b">
        <v>0</v>
      </c>
    </row>
    <row r="380" spans="1:8" x14ac:dyDescent="0.15">
      <c r="A380">
        <v>100</v>
      </c>
      <c r="B380">
        <v>16</v>
      </c>
      <c r="C380">
        <v>2321031.54296875</v>
      </c>
      <c r="D380">
        <v>628605.92685944051</v>
      </c>
      <c r="E380">
        <v>1.8171224825012261E-5</v>
      </c>
      <c r="F380">
        <v>1.8161648258494191E-5</v>
      </c>
      <c r="G380">
        <v>9.5765665180629208E-9</v>
      </c>
      <c r="H380" t="b">
        <v>0</v>
      </c>
    </row>
    <row r="381" spans="1:8" x14ac:dyDescent="0.15">
      <c r="A381">
        <v>100</v>
      </c>
      <c r="B381">
        <v>17</v>
      </c>
      <c r="C381">
        <v>2321181.54296875</v>
      </c>
      <c r="D381">
        <v>1758842.7747514669</v>
      </c>
      <c r="E381">
        <v>1.818839317253797E-5</v>
      </c>
      <c r="F381">
        <v>1.8161648258494191E-5</v>
      </c>
      <c r="G381">
        <v>2.6744914043778231E-8</v>
      </c>
      <c r="H381" t="b">
        <v>0</v>
      </c>
    </row>
    <row r="382" spans="1:8" x14ac:dyDescent="0.15">
      <c r="A382">
        <v>100</v>
      </c>
      <c r="B382">
        <v>18</v>
      </c>
      <c r="C382">
        <v>2321361.54296875</v>
      </c>
      <c r="D382">
        <v>3121959.4005710171</v>
      </c>
      <c r="E382">
        <v>1.8209013806070709E-5</v>
      </c>
      <c r="F382">
        <v>1.8161648258494191E-5</v>
      </c>
      <c r="G382">
        <v>4.736554757651712E-8</v>
      </c>
      <c r="H382" t="b">
        <v>0</v>
      </c>
    </row>
    <row r="383" spans="1:8" x14ac:dyDescent="0.15">
      <c r="A383">
        <v>100</v>
      </c>
      <c r="B383">
        <v>19</v>
      </c>
      <c r="C383">
        <v>2321271.54296875</v>
      </c>
      <c r="D383">
        <v>2439416.3848107699</v>
      </c>
      <c r="E383">
        <v>1.819870015890871E-5</v>
      </c>
      <c r="F383">
        <v>1.8161648258494191E-5</v>
      </c>
      <c r="G383">
        <v>3.7051900414514672E-8</v>
      </c>
      <c r="H383" t="b">
        <v>0</v>
      </c>
    </row>
    <row r="384" spans="1:8" x14ac:dyDescent="0.15">
      <c r="A384">
        <v>100</v>
      </c>
      <c r="B384">
        <v>20</v>
      </c>
      <c r="C384">
        <v>2321163.54296875</v>
      </c>
      <c r="D384">
        <v>1622889.1408248609</v>
      </c>
      <c r="E384">
        <v>1.8186331436232631E-5</v>
      </c>
      <c r="F384">
        <v>1.8161648258494191E-5</v>
      </c>
      <c r="G384">
        <v>2.4683177738432541E-8</v>
      </c>
      <c r="H384" t="b">
        <v>0</v>
      </c>
    </row>
    <row r="385" spans="1:8" x14ac:dyDescent="0.15">
      <c r="A385">
        <v>100</v>
      </c>
      <c r="B385">
        <v>21</v>
      </c>
      <c r="C385">
        <v>2321217.54296875</v>
      </c>
      <c r="D385">
        <v>2030869.4537647311</v>
      </c>
      <c r="E385">
        <v>1.819251567406723E-5</v>
      </c>
      <c r="F385">
        <v>1.8161648258494191E-5</v>
      </c>
      <c r="G385">
        <v>3.0867415573032252E-8</v>
      </c>
      <c r="H385" t="b">
        <v>0</v>
      </c>
    </row>
    <row r="386" spans="1:8" x14ac:dyDescent="0.15">
      <c r="A386">
        <v>100</v>
      </c>
      <c r="B386">
        <v>22</v>
      </c>
      <c r="C386">
        <v>2321282.3429687498</v>
      </c>
      <c r="D386">
        <v>2521269.055084791</v>
      </c>
      <c r="E386">
        <v>1.8199938224292419E-5</v>
      </c>
      <c r="F386">
        <v>1.8161648258494191E-5</v>
      </c>
      <c r="G386">
        <v>3.8289965798227802E-8</v>
      </c>
      <c r="H386" t="b">
        <v>0</v>
      </c>
    </row>
    <row r="387" spans="1:8" x14ac:dyDescent="0.15">
      <c r="A387">
        <v>100</v>
      </c>
      <c r="B387">
        <v>23</v>
      </c>
      <c r="C387">
        <v>2321249.9429687499</v>
      </c>
      <c r="D387">
        <v>2275896.1965925088</v>
      </c>
      <c r="E387">
        <v>1.819622582937774E-5</v>
      </c>
      <c r="F387">
        <v>1.8161648258494191E-5</v>
      </c>
      <c r="G387">
        <v>3.4577570883548758E-8</v>
      </c>
      <c r="H387" t="b">
        <v>0</v>
      </c>
    </row>
    <row r="388" spans="1:8" x14ac:dyDescent="0.15">
      <c r="A388">
        <v>100</v>
      </c>
      <c r="B388">
        <v>24</v>
      </c>
      <c r="C388">
        <v>2321266.1429687501</v>
      </c>
      <c r="D388">
        <v>2398578.5374808232</v>
      </c>
      <c r="E388">
        <v>1.8198082339909662E-5</v>
      </c>
      <c r="F388">
        <v>1.8161648258494191E-5</v>
      </c>
      <c r="G388">
        <v>3.6434081415466752E-8</v>
      </c>
      <c r="H388" t="b">
        <v>0</v>
      </c>
    </row>
    <row r="389" spans="1:8" x14ac:dyDescent="0.15">
      <c r="A389">
        <v>100</v>
      </c>
      <c r="B389">
        <v>25</v>
      </c>
      <c r="C389">
        <v>2321258.04296875</v>
      </c>
      <c r="D389">
        <v>2337255.9360079709</v>
      </c>
      <c r="E389">
        <v>1.8197154459428841E-5</v>
      </c>
      <c r="F389">
        <v>1.8161648258494191E-5</v>
      </c>
      <c r="G389">
        <v>3.5506200934642787E-8</v>
      </c>
      <c r="H389" t="b">
        <v>0</v>
      </c>
    </row>
    <row r="390" spans="1:8" x14ac:dyDescent="0.15">
      <c r="A390">
        <v>101</v>
      </c>
      <c r="B390">
        <v>1</v>
      </c>
      <c r="C390">
        <v>6050000</v>
      </c>
      <c r="D390">
        <v>2.6273468947642511E+18</v>
      </c>
      <c r="E390">
        <v>536.87092200000006</v>
      </c>
      <c r="F390">
        <v>1.791483077795419E-5</v>
      </c>
      <c r="G390">
        <v>536.87090408516929</v>
      </c>
      <c r="H390" t="b">
        <v>0</v>
      </c>
    </row>
    <row r="391" spans="1:8" x14ac:dyDescent="0.15">
      <c r="A391">
        <v>101</v>
      </c>
      <c r="B391">
        <v>2</v>
      </c>
      <c r="C391">
        <v>3075000</v>
      </c>
      <c r="D391">
        <v>3.7558837044218008E+16</v>
      </c>
      <c r="E391">
        <v>12.88558677633381</v>
      </c>
      <c r="F391">
        <v>1.7914830751308841E-5</v>
      </c>
      <c r="G391">
        <v>12.88556886150306</v>
      </c>
      <c r="H391" t="b">
        <v>0</v>
      </c>
    </row>
    <row r="392" spans="1:8" x14ac:dyDescent="0.15">
      <c r="A392">
        <v>101</v>
      </c>
      <c r="B392">
        <v>3</v>
      </c>
      <c r="C392">
        <v>1587500</v>
      </c>
      <c r="D392">
        <v>61425361769719.023</v>
      </c>
      <c r="E392">
        <v>5.5256044190712041E-2</v>
      </c>
      <c r="F392">
        <v>1.7914830751301899E-5</v>
      </c>
      <c r="G392">
        <v>5.5238129359960739E-2</v>
      </c>
      <c r="H392" t="b">
        <v>0</v>
      </c>
    </row>
    <row r="393" spans="1:8" x14ac:dyDescent="0.15">
      <c r="A393">
        <v>101</v>
      </c>
      <c r="B393">
        <v>4</v>
      </c>
      <c r="C393">
        <v>843750</v>
      </c>
      <c r="D393">
        <v>1508316006.8496561</v>
      </c>
      <c r="E393">
        <v>3.1333833229966252E-5</v>
      </c>
      <c r="F393">
        <v>1.791483075130112E-5</v>
      </c>
      <c r="G393">
        <v>1.3419002478665131E-5</v>
      </c>
      <c r="H393" t="b">
        <v>0</v>
      </c>
    </row>
    <row r="394" spans="1:8" x14ac:dyDescent="0.15">
      <c r="A394">
        <v>101</v>
      </c>
      <c r="B394">
        <v>5</v>
      </c>
      <c r="C394">
        <v>471875</v>
      </c>
      <c r="D394">
        <v>-29950.001274236969</v>
      </c>
      <c r="E394">
        <v>-5.1497499885327114E-6</v>
      </c>
      <c r="F394">
        <v>1.791483075130112E-5</v>
      </c>
      <c r="G394">
        <v>-2.3064580739833831E-5</v>
      </c>
      <c r="H394" t="b">
        <v>1</v>
      </c>
    </row>
    <row r="395" spans="1:8" x14ac:dyDescent="0.15">
      <c r="A395">
        <v>101</v>
      </c>
      <c r="B395">
        <v>6</v>
      </c>
      <c r="C395">
        <v>657812.5</v>
      </c>
      <c r="D395">
        <v>-164080.48083051189</v>
      </c>
      <c r="E395">
        <v>2.111114419117657E-6</v>
      </c>
      <c r="F395">
        <v>1.791483075130112E-5</v>
      </c>
      <c r="G395">
        <v>-1.5803716332183458E-5</v>
      </c>
      <c r="H395" t="b">
        <v>1</v>
      </c>
    </row>
    <row r="396" spans="1:8" x14ac:dyDescent="0.15">
      <c r="A396">
        <v>101</v>
      </c>
      <c r="B396">
        <v>7</v>
      </c>
      <c r="C396">
        <v>750781.25</v>
      </c>
      <c r="D396">
        <v>-2447122.7095163511</v>
      </c>
      <c r="E396">
        <v>7.1934491485582282E-6</v>
      </c>
      <c r="F396">
        <v>1.791483075130112E-5</v>
      </c>
      <c r="G396">
        <v>-1.0721381602742891E-5</v>
      </c>
      <c r="H396" t="b">
        <v>1</v>
      </c>
    </row>
    <row r="397" spans="1:8" x14ac:dyDescent="0.15">
      <c r="A397">
        <v>101</v>
      </c>
      <c r="B397">
        <v>8</v>
      </c>
      <c r="C397">
        <v>797265.625</v>
      </c>
      <c r="D397">
        <v>-127898457.60237201</v>
      </c>
      <c r="E397">
        <v>1.277756292426063E-5</v>
      </c>
      <c r="F397">
        <v>1.791483075130112E-5</v>
      </c>
      <c r="G397">
        <v>-5.1372678270404884E-6</v>
      </c>
      <c r="H397" t="b">
        <v>1</v>
      </c>
    </row>
    <row r="398" spans="1:8" x14ac:dyDescent="0.15">
      <c r="A398">
        <v>101</v>
      </c>
      <c r="B398">
        <v>9</v>
      </c>
      <c r="C398">
        <v>820507.8125</v>
      </c>
      <c r="D398">
        <v>193706845.90770429</v>
      </c>
      <c r="E398">
        <v>2.0256304253130611E-5</v>
      </c>
      <c r="F398">
        <v>1.791483075130112E-5</v>
      </c>
      <c r="G398">
        <v>2.341473501829495E-6</v>
      </c>
      <c r="H398" t="b">
        <v>0</v>
      </c>
    </row>
    <row r="399" spans="1:8" x14ac:dyDescent="0.15">
      <c r="A399">
        <v>101</v>
      </c>
      <c r="B399">
        <v>10</v>
      </c>
      <c r="C399">
        <v>808886.71875</v>
      </c>
      <c r="D399">
        <v>-93194311.601479203</v>
      </c>
      <c r="E399">
        <v>1.6139642200162398E-5</v>
      </c>
      <c r="F399">
        <v>1.791483075130112E-5</v>
      </c>
      <c r="G399">
        <v>-1.775188551138721E-6</v>
      </c>
      <c r="H399" t="b">
        <v>1</v>
      </c>
    </row>
    <row r="400" spans="1:8" x14ac:dyDescent="0.15">
      <c r="A400">
        <v>101</v>
      </c>
      <c r="B400">
        <v>11</v>
      </c>
      <c r="C400">
        <v>814697.265625</v>
      </c>
      <c r="D400">
        <v>12153161.03420007</v>
      </c>
      <c r="E400">
        <v>1.8095353426147389E-5</v>
      </c>
      <c r="F400">
        <v>1.791483075130112E-5</v>
      </c>
      <c r="G400">
        <v>1.8052267484627331E-7</v>
      </c>
      <c r="H400" t="b">
        <v>0</v>
      </c>
    </row>
    <row r="401" spans="1:8" x14ac:dyDescent="0.15">
      <c r="A401">
        <v>101</v>
      </c>
      <c r="B401">
        <v>12</v>
      </c>
      <c r="C401">
        <v>811791.9921875</v>
      </c>
      <c r="D401">
        <v>-49183040.921428621</v>
      </c>
      <c r="E401">
        <v>1.7092925774943781E-5</v>
      </c>
      <c r="F401">
        <v>1.791483075130112E-5</v>
      </c>
      <c r="G401">
        <v>-8.2190497635734199E-7</v>
      </c>
      <c r="H401" t="b">
        <v>1</v>
      </c>
    </row>
    <row r="402" spans="1:8" x14ac:dyDescent="0.15">
      <c r="A402">
        <v>101</v>
      </c>
      <c r="B402">
        <v>13</v>
      </c>
      <c r="C402">
        <v>813244.62890625</v>
      </c>
      <c r="D402">
        <v>-20783426.776503161</v>
      </c>
      <c r="E402">
        <v>1.7587864017916119E-5</v>
      </c>
      <c r="F402">
        <v>1.791483075130112E-5</v>
      </c>
      <c r="G402">
        <v>-3.269667333850044E-7</v>
      </c>
      <c r="H402" t="b">
        <v>1</v>
      </c>
    </row>
    <row r="403" spans="1:8" x14ac:dyDescent="0.15">
      <c r="A403">
        <v>101</v>
      </c>
      <c r="B403">
        <v>14</v>
      </c>
      <c r="C403">
        <v>813744.62890625</v>
      </c>
      <c r="D403">
        <v>-9969239.6776936892</v>
      </c>
      <c r="E403">
        <v>1.7761112595553061E-5</v>
      </c>
      <c r="F403">
        <v>1.791483075130112E-5</v>
      </c>
      <c r="G403">
        <v>-1.537181557480552E-7</v>
      </c>
      <c r="H403" t="b">
        <v>1</v>
      </c>
    </row>
    <row r="404" spans="1:8" x14ac:dyDescent="0.15">
      <c r="A404">
        <v>101</v>
      </c>
      <c r="B404">
        <v>15</v>
      </c>
      <c r="C404">
        <v>814244.62890625</v>
      </c>
      <c r="D404">
        <v>1390987.67582119</v>
      </c>
      <c r="E404">
        <v>1.7935859284491181E-5</v>
      </c>
      <c r="F404">
        <v>1.791483075130112E-5</v>
      </c>
      <c r="G404">
        <v>2.1028533190064399E-8</v>
      </c>
      <c r="H404" t="b">
        <v>0</v>
      </c>
    </row>
    <row r="405" spans="1:8" x14ac:dyDescent="0.15">
      <c r="A405">
        <v>101</v>
      </c>
      <c r="B405">
        <v>16</v>
      </c>
      <c r="C405">
        <v>813994.62890625</v>
      </c>
      <c r="D405">
        <v>-4357909.9104882795</v>
      </c>
      <c r="E405">
        <v>1.7848298114704491E-5</v>
      </c>
      <c r="F405">
        <v>1.791483075130112E-5</v>
      </c>
      <c r="G405">
        <v>-6.6532636596628337E-8</v>
      </c>
      <c r="H405" t="b">
        <v>1</v>
      </c>
    </row>
    <row r="406" spans="1:8" x14ac:dyDescent="0.15">
      <c r="A406">
        <v>101</v>
      </c>
      <c r="B406">
        <v>17</v>
      </c>
      <c r="C406">
        <v>814119.62890625</v>
      </c>
      <c r="D406">
        <v>-1500739.5666825599</v>
      </c>
      <c r="E406">
        <v>1.789203142614114E-5</v>
      </c>
      <c r="F406">
        <v>1.791483075130112E-5</v>
      </c>
      <c r="G406">
        <v>-2.2799325159979969E-8</v>
      </c>
      <c r="H406" t="b">
        <v>1</v>
      </c>
    </row>
    <row r="407" spans="1:8" x14ac:dyDescent="0.15">
      <c r="A407">
        <v>101</v>
      </c>
      <c r="B407">
        <v>18</v>
      </c>
      <c r="C407">
        <v>814244.62890625</v>
      </c>
      <c r="D407">
        <v>1390987.67582119</v>
      </c>
      <c r="E407">
        <v>1.7935859284491181E-5</v>
      </c>
      <c r="F407">
        <v>1.791483075130112E-5</v>
      </c>
      <c r="G407">
        <v>2.1028533190064399E-8</v>
      </c>
      <c r="H407" t="b">
        <v>0</v>
      </c>
    </row>
    <row r="408" spans="1:8" x14ac:dyDescent="0.15">
      <c r="A408">
        <v>101</v>
      </c>
      <c r="B408">
        <v>19</v>
      </c>
      <c r="C408">
        <v>814182.12890625</v>
      </c>
      <c r="D408">
        <v>-59193.870819220167</v>
      </c>
      <c r="E408">
        <v>1.7913933680319589E-5</v>
      </c>
      <c r="F408">
        <v>1.791483075130112E-5</v>
      </c>
      <c r="G408">
        <v>-8.9707098152740669E-10</v>
      </c>
      <c r="H408" t="b">
        <v>1</v>
      </c>
    </row>
    <row r="409" spans="1:8" x14ac:dyDescent="0.15">
      <c r="A409">
        <v>101</v>
      </c>
      <c r="B409">
        <v>20</v>
      </c>
      <c r="C409">
        <v>814213.37890625</v>
      </c>
      <c r="D409">
        <v>664814.67898549407</v>
      </c>
      <c r="E409">
        <v>1.7924893536612509E-5</v>
      </c>
      <c r="F409">
        <v>1.791483075130112E-5</v>
      </c>
      <c r="G409">
        <v>1.00627853113923E-8</v>
      </c>
      <c r="H409" t="b">
        <v>0</v>
      </c>
    </row>
    <row r="410" spans="1:8" x14ac:dyDescent="0.15">
      <c r="A410">
        <v>101</v>
      </c>
      <c r="B410">
        <v>21</v>
      </c>
      <c r="C410">
        <v>814250.87890625</v>
      </c>
      <c r="D410">
        <v>1536468.4847670409</v>
      </c>
      <c r="E410">
        <v>1.7938052934619179E-5</v>
      </c>
      <c r="F410">
        <v>1.791483075130112E-5</v>
      </c>
      <c r="G410">
        <v>2.3222183318062301E-8</v>
      </c>
      <c r="H410" t="b">
        <v>0</v>
      </c>
    </row>
    <row r="411" spans="1:8" x14ac:dyDescent="0.15">
      <c r="A411">
        <v>101</v>
      </c>
      <c r="B411">
        <v>22</v>
      </c>
      <c r="C411">
        <v>814232.12890625</v>
      </c>
      <c r="D411">
        <v>1100244.9291177441</v>
      </c>
      <c r="E411">
        <v>1.7931472071661111E-5</v>
      </c>
      <c r="F411">
        <v>1.791483075130112E-5</v>
      </c>
      <c r="G411">
        <v>1.6641320359988099E-8</v>
      </c>
      <c r="H411" t="b">
        <v>0</v>
      </c>
    </row>
    <row r="412" spans="1:8" x14ac:dyDescent="0.15">
      <c r="A412">
        <v>101</v>
      </c>
      <c r="B412">
        <v>23</v>
      </c>
      <c r="C412">
        <v>814209.62890625</v>
      </c>
      <c r="D412">
        <v>577819.41171811195</v>
      </c>
      <c r="E412">
        <v>1.7923578042833289E-5</v>
      </c>
      <c r="F412">
        <v>1.791483075130112E-5</v>
      </c>
      <c r="G412">
        <v>8.7472915321731609E-9</v>
      </c>
      <c r="H412" t="b">
        <v>0</v>
      </c>
    </row>
    <row r="413" spans="1:8" x14ac:dyDescent="0.15">
      <c r="A413">
        <v>101</v>
      </c>
      <c r="B413">
        <v>24</v>
      </c>
      <c r="C413">
        <v>814220.87890625</v>
      </c>
      <c r="D413">
        <v>838885.06016922242</v>
      </c>
      <c r="E413">
        <v>1.792752457226808E-5</v>
      </c>
      <c r="F413">
        <v>1.791483075130112E-5</v>
      </c>
      <c r="G413">
        <v>1.2693820966963421E-8</v>
      </c>
      <c r="H413" t="b">
        <v>0</v>
      </c>
    </row>
    <row r="414" spans="1:8" x14ac:dyDescent="0.15">
      <c r="A414">
        <v>101</v>
      </c>
      <c r="B414">
        <v>25</v>
      </c>
      <c r="C414">
        <v>814215.25390625</v>
      </c>
      <c r="D414">
        <v>708310.34864369675</v>
      </c>
      <c r="E414">
        <v>1.7925551108942721E-5</v>
      </c>
      <c r="F414">
        <v>1.791483075130112E-5</v>
      </c>
      <c r="G414">
        <v>1.07203576415976E-8</v>
      </c>
      <c r="H414" t="b">
        <v>0</v>
      </c>
    </row>
    <row r="415" spans="1:8" x14ac:dyDescent="0.15">
      <c r="A415">
        <v>101</v>
      </c>
      <c r="B415">
        <v>26</v>
      </c>
      <c r="C415">
        <v>814218.06640625</v>
      </c>
      <c r="D415">
        <v>773588.93737710547</v>
      </c>
      <c r="E415">
        <v>1.792653781674681E-5</v>
      </c>
      <c r="F415">
        <v>1.791483075130112E-5</v>
      </c>
      <c r="G415">
        <v>1.170706544569342E-8</v>
      </c>
      <c r="H415" t="b">
        <v>0</v>
      </c>
    </row>
    <row r="416" spans="1:8" x14ac:dyDescent="0.15">
      <c r="A416">
        <v>101</v>
      </c>
      <c r="B416">
        <v>27</v>
      </c>
      <c r="C416">
        <v>814221.44140625</v>
      </c>
      <c r="D416">
        <v>851946.3891659457</v>
      </c>
      <c r="E416">
        <v>1.7927721929101829E-5</v>
      </c>
      <c r="F416">
        <v>1.791483075130112E-5</v>
      </c>
      <c r="G416">
        <v>1.289117780071294E-8</v>
      </c>
      <c r="H416" t="b">
        <v>0</v>
      </c>
    </row>
    <row r="417" spans="1:8" x14ac:dyDescent="0.15">
      <c r="A417">
        <v>101</v>
      </c>
      <c r="B417">
        <v>28</v>
      </c>
      <c r="C417">
        <v>814219.75390625</v>
      </c>
      <c r="D417">
        <v>812764.50671567558</v>
      </c>
      <c r="E417">
        <v>1.7927129864331101E-5</v>
      </c>
      <c r="F417">
        <v>1.791483075130112E-5</v>
      </c>
      <c r="G417">
        <v>1.2299113029984469E-8</v>
      </c>
      <c r="H417" t="b">
        <v>0</v>
      </c>
    </row>
    <row r="418" spans="1:8" x14ac:dyDescent="0.15">
      <c r="A418">
        <v>102</v>
      </c>
      <c r="B418">
        <v>1</v>
      </c>
      <c r="C418">
        <v>6050000</v>
      </c>
      <c r="D418">
        <v>600467717769788.25</v>
      </c>
      <c r="E418">
        <v>0.37201269821915439</v>
      </c>
      <c r="F418">
        <v>1.7914830751308841E-5</v>
      </c>
      <c r="G418">
        <v>0.37199478338840308</v>
      </c>
      <c r="H418" t="b">
        <v>0</v>
      </c>
    </row>
    <row r="419" spans="1:8" x14ac:dyDescent="0.15">
      <c r="A419">
        <v>102</v>
      </c>
      <c r="B419">
        <v>2</v>
      </c>
      <c r="C419">
        <v>3075000</v>
      </c>
      <c r="D419">
        <v>217745086697.45319</v>
      </c>
      <c r="E419">
        <v>6.16185129955631E-4</v>
      </c>
      <c r="F419">
        <v>1.791483075130114E-5</v>
      </c>
      <c r="G419">
        <v>5.9827029920432985E-4</v>
      </c>
      <c r="H419" t="b">
        <v>0</v>
      </c>
    </row>
    <row r="420" spans="1:8" x14ac:dyDescent="0.15">
      <c r="A420">
        <v>102</v>
      </c>
      <c r="B420">
        <v>3</v>
      </c>
      <c r="C420">
        <v>1587500</v>
      </c>
      <c r="D420">
        <v>-71623.881983763495</v>
      </c>
      <c r="E420">
        <v>-7.7498836554928512E-7</v>
      </c>
      <c r="F420">
        <v>1.791483075130112E-5</v>
      </c>
      <c r="G420">
        <v>-1.8689819116850401E-5</v>
      </c>
      <c r="H420" t="b">
        <v>1</v>
      </c>
    </row>
    <row r="421" spans="1:8" x14ac:dyDescent="0.15">
      <c r="A421">
        <v>102</v>
      </c>
      <c r="B421">
        <v>4</v>
      </c>
      <c r="C421">
        <v>2331250</v>
      </c>
      <c r="D421">
        <v>-44508088.717225693</v>
      </c>
      <c r="E421">
        <v>1.7179071692704469E-5</v>
      </c>
      <c r="F421">
        <v>1.791483075130112E-5</v>
      </c>
      <c r="G421">
        <v>-7.3575905859665016E-7</v>
      </c>
      <c r="H421" t="b">
        <v>1</v>
      </c>
    </row>
    <row r="422" spans="1:8" x14ac:dyDescent="0.15">
      <c r="A422">
        <v>102</v>
      </c>
      <c r="B422">
        <v>5</v>
      </c>
      <c r="C422">
        <v>2703125</v>
      </c>
      <c r="D422">
        <v>24131790167.586712</v>
      </c>
      <c r="E422">
        <v>1.2965360240441441E-4</v>
      </c>
      <c r="F422">
        <v>1.791483075130112E-5</v>
      </c>
      <c r="G422">
        <v>1.1173877165311329E-4</v>
      </c>
      <c r="H422" t="b">
        <v>0</v>
      </c>
    </row>
    <row r="423" spans="1:8" x14ac:dyDescent="0.15">
      <c r="A423">
        <v>102</v>
      </c>
      <c r="B423">
        <v>6</v>
      </c>
      <c r="C423">
        <v>2517187.5</v>
      </c>
      <c r="D423">
        <v>4757876214.1861982</v>
      </c>
      <c r="E423">
        <v>5.0661055604688343E-5</v>
      </c>
      <c r="F423">
        <v>1.791483075130112E-5</v>
      </c>
      <c r="G423">
        <v>3.2746224853387213E-5</v>
      </c>
      <c r="H423" t="b">
        <v>0</v>
      </c>
    </row>
    <row r="424" spans="1:8" x14ac:dyDescent="0.15">
      <c r="A424">
        <v>102</v>
      </c>
      <c r="B424">
        <v>7</v>
      </c>
      <c r="C424">
        <v>2424218.75</v>
      </c>
      <c r="D424">
        <v>1335351930.540453</v>
      </c>
      <c r="E424">
        <v>3.0090808491468122E-5</v>
      </c>
      <c r="F424">
        <v>1.791483075130112E-5</v>
      </c>
      <c r="G424">
        <v>1.2175977740167E-5</v>
      </c>
      <c r="H424" t="b">
        <v>0</v>
      </c>
    </row>
    <row r="425" spans="1:8" x14ac:dyDescent="0.15">
      <c r="A425">
        <v>102</v>
      </c>
      <c r="B425">
        <v>8</v>
      </c>
      <c r="C425">
        <v>2377734.375</v>
      </c>
      <c r="D425">
        <v>449824637.92120463</v>
      </c>
      <c r="E425">
        <v>2.2855250650698429E-5</v>
      </c>
      <c r="F425">
        <v>1.791483075130112E-5</v>
      </c>
      <c r="G425">
        <v>4.9404198993973097E-6</v>
      </c>
      <c r="H425" t="b">
        <v>0</v>
      </c>
    </row>
    <row r="426" spans="1:8" x14ac:dyDescent="0.15">
      <c r="A426">
        <v>102</v>
      </c>
      <c r="B426">
        <v>9</v>
      </c>
      <c r="C426">
        <v>2354492.1875</v>
      </c>
      <c r="D426">
        <v>153776900.08132869</v>
      </c>
      <c r="E426">
        <v>1.984172890682543E-5</v>
      </c>
      <c r="F426">
        <v>1.791483075130112E-5</v>
      </c>
      <c r="G426">
        <v>1.9268981555243141E-6</v>
      </c>
      <c r="H426" t="b">
        <v>0</v>
      </c>
    </row>
    <row r="427" spans="1:8" x14ac:dyDescent="0.15">
      <c r="A427">
        <v>102</v>
      </c>
      <c r="B427">
        <v>10</v>
      </c>
      <c r="C427">
        <v>2342871.09375</v>
      </c>
      <c r="D427">
        <v>38813763.643718712</v>
      </c>
      <c r="E427">
        <v>1.8468919324608E-5</v>
      </c>
      <c r="F427">
        <v>1.791483075130112E-5</v>
      </c>
      <c r="G427">
        <v>5.5408857330687693E-7</v>
      </c>
      <c r="H427" t="b">
        <v>0</v>
      </c>
    </row>
    <row r="428" spans="1:8" x14ac:dyDescent="0.15">
      <c r="A428">
        <v>102</v>
      </c>
      <c r="B428">
        <v>11</v>
      </c>
      <c r="C428">
        <v>2337060.546875</v>
      </c>
      <c r="D428">
        <v>-6583607.5073043117</v>
      </c>
      <c r="E428">
        <v>1.781392596878315E-5</v>
      </c>
      <c r="F428">
        <v>1.791483075130112E-5</v>
      </c>
      <c r="G428">
        <v>-1.009047825179665E-7</v>
      </c>
      <c r="H428" t="b">
        <v>1</v>
      </c>
    </row>
    <row r="429" spans="1:8" x14ac:dyDescent="0.15">
      <c r="A429">
        <v>102</v>
      </c>
      <c r="B429">
        <v>12</v>
      </c>
      <c r="C429">
        <v>2339965.8203125</v>
      </c>
      <c r="D429">
        <v>15156527.26402797</v>
      </c>
      <c r="E429">
        <v>1.8138901476071479E-5</v>
      </c>
      <c r="F429">
        <v>1.791483075130112E-5</v>
      </c>
      <c r="G429">
        <v>2.2407072477035971E-7</v>
      </c>
      <c r="H429" t="b">
        <v>0</v>
      </c>
    </row>
    <row r="430" spans="1:8" x14ac:dyDescent="0.15">
      <c r="A430">
        <v>102</v>
      </c>
      <c r="B430">
        <v>13</v>
      </c>
      <c r="C430">
        <v>2338513.18359375</v>
      </c>
      <c r="D430">
        <v>4050199.4231672361</v>
      </c>
      <c r="E430">
        <v>1.797578897529798E-5</v>
      </c>
      <c r="F430">
        <v>1.791483075130112E-5</v>
      </c>
      <c r="G430">
        <v>6.0958223996863438E-8</v>
      </c>
      <c r="H430" t="b">
        <v>0</v>
      </c>
    </row>
    <row r="431" spans="1:8" x14ac:dyDescent="0.15">
      <c r="A431">
        <v>102</v>
      </c>
      <c r="B431">
        <v>14</v>
      </c>
      <c r="C431">
        <v>2337313.18359375</v>
      </c>
      <c r="D431">
        <v>-4768055.1997138718</v>
      </c>
      <c r="E431">
        <v>1.7841984401835841E-5</v>
      </c>
      <c r="F431">
        <v>1.791483075130112E-5</v>
      </c>
      <c r="G431">
        <v>-7.284634946527505E-8</v>
      </c>
      <c r="H431" t="b">
        <v>1</v>
      </c>
    </row>
    <row r="432" spans="1:8" x14ac:dyDescent="0.15">
      <c r="A432">
        <v>102</v>
      </c>
      <c r="B432">
        <v>15</v>
      </c>
      <c r="C432">
        <v>2337913.18359375</v>
      </c>
      <c r="D432">
        <v>-399131.81786581228</v>
      </c>
      <c r="E432">
        <v>1.790877849708428E-5</v>
      </c>
      <c r="F432">
        <v>1.791483075130112E-5</v>
      </c>
      <c r="G432">
        <v>-6.0522542168392186E-9</v>
      </c>
      <c r="H432" t="b">
        <v>1</v>
      </c>
    </row>
    <row r="433" spans="1:8" x14ac:dyDescent="0.15">
      <c r="A433">
        <v>102</v>
      </c>
      <c r="B433">
        <v>16</v>
      </c>
      <c r="C433">
        <v>2338513.18359375</v>
      </c>
      <c r="D433">
        <v>4050199.4231672361</v>
      </c>
      <c r="E433">
        <v>1.797578897529798E-5</v>
      </c>
      <c r="F433">
        <v>1.791483075130112E-5</v>
      </c>
      <c r="G433">
        <v>6.0958223996863438E-8</v>
      </c>
      <c r="H433" t="b">
        <v>0</v>
      </c>
    </row>
    <row r="434" spans="1:8" x14ac:dyDescent="0.15">
      <c r="A434">
        <v>102</v>
      </c>
      <c r="B434">
        <v>17</v>
      </c>
      <c r="C434">
        <v>2338213.18359375</v>
      </c>
      <c r="D434">
        <v>1815393.383372027</v>
      </c>
      <c r="E434">
        <v>1.7942255746681111E-5</v>
      </c>
      <c r="F434">
        <v>1.791483075130112E-5</v>
      </c>
      <c r="G434">
        <v>2.7424995379988381E-8</v>
      </c>
      <c r="H434" t="b">
        <v>0</v>
      </c>
    </row>
    <row r="435" spans="1:8" x14ac:dyDescent="0.15">
      <c r="A435">
        <v>102</v>
      </c>
      <c r="B435">
        <v>18</v>
      </c>
      <c r="C435">
        <v>2338363.18359375</v>
      </c>
      <c r="D435">
        <v>2930297.6802964159</v>
      </c>
      <c r="E435">
        <v>1.795901596253934E-5</v>
      </c>
      <c r="F435">
        <v>1.791483075130112E-5</v>
      </c>
      <c r="G435">
        <v>4.4185211238220571E-8</v>
      </c>
      <c r="H435" t="b">
        <v>0</v>
      </c>
    </row>
    <row r="436" spans="1:8" x14ac:dyDescent="0.15">
      <c r="A436">
        <v>102</v>
      </c>
      <c r="B436">
        <v>19</v>
      </c>
      <c r="C436">
        <v>2338288.18359375</v>
      </c>
      <c r="D436">
        <v>2372241.3501483519</v>
      </c>
      <c r="E436">
        <v>1.7950634557354961E-5</v>
      </c>
      <c r="F436">
        <v>1.791483075130112E-5</v>
      </c>
      <c r="G436">
        <v>3.5803806053837598E-8</v>
      </c>
      <c r="H436" t="b">
        <v>0</v>
      </c>
    </row>
    <row r="437" spans="1:8" x14ac:dyDescent="0.15">
      <c r="A437">
        <v>102</v>
      </c>
      <c r="B437">
        <v>20</v>
      </c>
      <c r="C437">
        <v>2338198.18359375</v>
      </c>
      <c r="D437">
        <v>1704185.836950748</v>
      </c>
      <c r="E437">
        <v>1.794058055339701E-5</v>
      </c>
      <c r="F437">
        <v>1.791483075130112E-5</v>
      </c>
      <c r="G437">
        <v>2.5749802095890531E-8</v>
      </c>
      <c r="H437" t="b">
        <v>0</v>
      </c>
    </row>
    <row r="438" spans="1:8" x14ac:dyDescent="0.15">
      <c r="A438">
        <v>102</v>
      </c>
      <c r="B438">
        <v>21</v>
      </c>
      <c r="C438">
        <v>2338243.18359375</v>
      </c>
      <c r="D438">
        <v>2037959.7883789011</v>
      </c>
      <c r="E438">
        <v>1.7945606541030761E-5</v>
      </c>
      <c r="F438">
        <v>1.791483075130112E-5</v>
      </c>
      <c r="G438">
        <v>3.0775789729645132E-8</v>
      </c>
      <c r="H438" t="b">
        <v>0</v>
      </c>
    </row>
    <row r="439" spans="1:8" x14ac:dyDescent="0.15">
      <c r="A439">
        <v>102</v>
      </c>
      <c r="B439">
        <v>22</v>
      </c>
      <c r="C439">
        <v>2338297.18359375</v>
      </c>
      <c r="D439">
        <v>2439141.4687221409</v>
      </c>
      <c r="E439">
        <v>1.7951640146473551E-5</v>
      </c>
      <c r="F439">
        <v>1.791483075130112E-5</v>
      </c>
      <c r="G439">
        <v>3.6809395172434407E-8</v>
      </c>
      <c r="H439" t="b">
        <v>0</v>
      </c>
    </row>
    <row r="440" spans="1:8" x14ac:dyDescent="0.15">
      <c r="A440">
        <v>102</v>
      </c>
      <c r="B440">
        <v>23</v>
      </c>
      <c r="C440">
        <v>2338270.18359375</v>
      </c>
      <c r="D440">
        <v>2238495.6209677681</v>
      </c>
      <c r="E440">
        <v>1.7948623525963088E-5</v>
      </c>
      <c r="F440">
        <v>1.791483075130112E-5</v>
      </c>
      <c r="G440">
        <v>3.3792774661972168E-8</v>
      </c>
      <c r="H440" t="b">
        <v>0</v>
      </c>
    </row>
    <row r="441" spans="1:8" x14ac:dyDescent="0.15">
      <c r="A441">
        <v>102</v>
      </c>
      <c r="B441">
        <v>24</v>
      </c>
      <c r="C441">
        <v>2338283.68359375</v>
      </c>
      <c r="D441">
        <v>2338744.549277442</v>
      </c>
      <c r="E441">
        <v>1.7950130975970469E-5</v>
      </c>
      <c r="F441">
        <v>1.791483075130112E-5</v>
      </c>
      <c r="G441">
        <v>3.530022466934944E-8</v>
      </c>
      <c r="H441" t="b">
        <v>0</v>
      </c>
    </row>
    <row r="442" spans="1:8" x14ac:dyDescent="0.15">
      <c r="A442">
        <v>103</v>
      </c>
      <c r="B442">
        <v>1</v>
      </c>
      <c r="C442">
        <v>6050000</v>
      </c>
      <c r="D442">
        <v>2.6456395449791862E+18</v>
      </c>
      <c r="E442">
        <v>536.87092200000006</v>
      </c>
      <c r="F442">
        <v>1.783258903742535E-5</v>
      </c>
      <c r="G442">
        <v>536.87090416741103</v>
      </c>
      <c r="H442" t="b">
        <v>0</v>
      </c>
    </row>
    <row r="443" spans="1:8" x14ac:dyDescent="0.15">
      <c r="A443">
        <v>103</v>
      </c>
      <c r="B443">
        <v>2</v>
      </c>
      <c r="C443">
        <v>3075000</v>
      </c>
      <c r="D443">
        <v>3.1234787580374128E+16</v>
      </c>
      <c r="E443">
        <v>10.91419229468845</v>
      </c>
      <c r="F443">
        <v>1.78325889983455E-5</v>
      </c>
      <c r="G443">
        <v>10.914174462099449</v>
      </c>
      <c r="H443" t="b">
        <v>0</v>
      </c>
    </row>
    <row r="444" spans="1:8" x14ac:dyDescent="0.15">
      <c r="A444">
        <v>103</v>
      </c>
      <c r="B444">
        <v>3</v>
      </c>
      <c r="C444">
        <v>1587500</v>
      </c>
      <c r="D444">
        <v>48973688938240.758</v>
      </c>
      <c r="E444">
        <v>4.5557603750475698E-2</v>
      </c>
      <c r="F444">
        <v>1.7832588998664689E-5</v>
      </c>
      <c r="G444">
        <v>4.553977116147704E-2</v>
      </c>
      <c r="H444" t="b">
        <v>0</v>
      </c>
    </row>
    <row r="445" spans="1:8" x14ac:dyDescent="0.15">
      <c r="A445">
        <v>103</v>
      </c>
      <c r="B445">
        <v>4</v>
      </c>
      <c r="C445">
        <v>843750</v>
      </c>
      <c r="D445">
        <v>493394972.57074332</v>
      </c>
      <c r="E445">
        <v>2.3156798428368149E-5</v>
      </c>
      <c r="F445">
        <v>1.7832588998666529E-5</v>
      </c>
      <c r="G445">
        <v>5.3242094297016236E-6</v>
      </c>
      <c r="H445" t="b">
        <v>0</v>
      </c>
    </row>
    <row r="446" spans="1:8" x14ac:dyDescent="0.15">
      <c r="A446">
        <v>103</v>
      </c>
      <c r="B446">
        <v>5</v>
      </c>
      <c r="C446">
        <v>471875</v>
      </c>
      <c r="D446">
        <v>-27803.2152694242</v>
      </c>
      <c r="E446">
        <v>-5.6017344172652711E-6</v>
      </c>
      <c r="F446">
        <v>1.7832588998666529E-5</v>
      </c>
      <c r="G446">
        <v>-2.3434323415931802E-5</v>
      </c>
      <c r="H446" t="b">
        <v>1</v>
      </c>
    </row>
    <row r="447" spans="1:8" x14ac:dyDescent="0.15">
      <c r="A447">
        <v>103</v>
      </c>
      <c r="B447">
        <v>6</v>
      </c>
      <c r="C447">
        <v>657812.5</v>
      </c>
      <c r="D447">
        <v>-146006.32248810591</v>
      </c>
      <c r="E447">
        <v>1.74498874184742E-6</v>
      </c>
      <c r="F447">
        <v>1.7832588998666529E-5</v>
      </c>
      <c r="G447">
        <v>-1.60876002568191E-5</v>
      </c>
      <c r="H447" t="b">
        <v>1</v>
      </c>
    </row>
    <row r="448" spans="1:8" x14ac:dyDescent="0.15">
      <c r="A448">
        <v>103</v>
      </c>
      <c r="B448">
        <v>7</v>
      </c>
      <c r="C448">
        <v>750781.25</v>
      </c>
      <c r="D448">
        <v>-1105506.513999887</v>
      </c>
      <c r="E448">
        <v>6.0842345399392377E-6</v>
      </c>
      <c r="F448">
        <v>1.7832588998666529E-5</v>
      </c>
      <c r="G448">
        <v>-1.1748354458727289E-5</v>
      </c>
      <c r="H448" t="b">
        <v>1</v>
      </c>
    </row>
    <row r="449" spans="1:8" x14ac:dyDescent="0.15">
      <c r="A449">
        <v>103</v>
      </c>
      <c r="B449">
        <v>8</v>
      </c>
      <c r="C449">
        <v>797265.625</v>
      </c>
      <c r="D449">
        <v>-37562161.050199099</v>
      </c>
      <c r="E449">
        <v>1.01619346992201E-5</v>
      </c>
      <c r="F449">
        <v>1.7832588998666529E-5</v>
      </c>
      <c r="G449">
        <v>-7.67065429944643E-6</v>
      </c>
      <c r="H449" t="b">
        <v>1</v>
      </c>
    </row>
    <row r="450" spans="1:8" x14ac:dyDescent="0.15">
      <c r="A450">
        <v>103</v>
      </c>
      <c r="B450">
        <v>9</v>
      </c>
      <c r="C450">
        <v>820507.8125</v>
      </c>
      <c r="D450">
        <v>-127379977.08750729</v>
      </c>
      <c r="E450">
        <v>1.4867842185287759E-5</v>
      </c>
      <c r="F450">
        <v>1.7832588998666529E-5</v>
      </c>
      <c r="G450">
        <v>-2.9647468133787631E-6</v>
      </c>
      <c r="H450" t="b">
        <v>1</v>
      </c>
    </row>
    <row r="451" spans="1:8" x14ac:dyDescent="0.15">
      <c r="A451">
        <v>103</v>
      </c>
      <c r="B451">
        <v>10</v>
      </c>
      <c r="C451">
        <v>832128.90625</v>
      </c>
      <c r="D451">
        <v>55904655.709713943</v>
      </c>
      <c r="E451">
        <v>1.8610616765308469E-5</v>
      </c>
      <c r="F451">
        <v>1.7832588998666529E-5</v>
      </c>
      <c r="G451">
        <v>7.7802776664194015E-7</v>
      </c>
      <c r="H451" t="b">
        <v>0</v>
      </c>
    </row>
    <row r="452" spans="1:8" x14ac:dyDescent="0.15">
      <c r="A452">
        <v>103</v>
      </c>
      <c r="B452">
        <v>11</v>
      </c>
      <c r="C452">
        <v>826318.359375</v>
      </c>
      <c r="D452">
        <v>-67731588.284454212</v>
      </c>
      <c r="E452">
        <v>1.6646984813984942E-5</v>
      </c>
      <c r="F452">
        <v>1.7832588998666529E-5</v>
      </c>
      <c r="G452">
        <v>-1.1856041846815869E-6</v>
      </c>
      <c r="H452" t="b">
        <v>1</v>
      </c>
    </row>
    <row r="453" spans="1:8" x14ac:dyDescent="0.15">
      <c r="A453">
        <v>103</v>
      </c>
      <c r="B453">
        <v>12</v>
      </c>
      <c r="C453">
        <v>829223.6328125</v>
      </c>
      <c r="D453">
        <v>-14678196.55893885</v>
      </c>
      <c r="E453">
        <v>1.7604760089271159E-5</v>
      </c>
      <c r="F453">
        <v>1.7832588998666529E-5</v>
      </c>
      <c r="G453">
        <v>-2.278289093953699E-7</v>
      </c>
      <c r="H453" t="b">
        <v>1</v>
      </c>
    </row>
    <row r="454" spans="1:8" x14ac:dyDescent="0.15">
      <c r="A454">
        <v>103</v>
      </c>
      <c r="B454">
        <v>13</v>
      </c>
      <c r="C454">
        <v>830676.26953125</v>
      </c>
      <c r="D454">
        <v>18322994.11708279</v>
      </c>
      <c r="E454">
        <v>1.810155192500117E-5</v>
      </c>
      <c r="F454">
        <v>1.7832588998666529E-5</v>
      </c>
      <c r="G454">
        <v>2.6896292633464479E-7</v>
      </c>
      <c r="H454" t="b">
        <v>0</v>
      </c>
    </row>
    <row r="455" spans="1:8" x14ac:dyDescent="0.15">
      <c r="A455">
        <v>103</v>
      </c>
      <c r="B455">
        <v>14</v>
      </c>
      <c r="C455">
        <v>829476.26953125</v>
      </c>
      <c r="D455">
        <v>-9259043.5734483749</v>
      </c>
      <c r="E455">
        <v>1.7690289455654088E-5</v>
      </c>
      <c r="F455">
        <v>1.7832588998666529E-5</v>
      </c>
      <c r="G455">
        <v>-1.422995430124336E-7</v>
      </c>
      <c r="H455" t="b">
        <v>1</v>
      </c>
    </row>
    <row r="456" spans="1:8" x14ac:dyDescent="0.15">
      <c r="A456">
        <v>103</v>
      </c>
      <c r="B456">
        <v>15</v>
      </c>
      <c r="C456">
        <v>830076.26953125</v>
      </c>
      <c r="D456">
        <v>4148362.1100702891</v>
      </c>
      <c r="E456">
        <v>1.7894883053052202E-5</v>
      </c>
      <c r="F456">
        <v>1.7832588998666529E-5</v>
      </c>
      <c r="G456">
        <v>6.2294054385672788E-8</v>
      </c>
      <c r="H456" t="b">
        <v>0</v>
      </c>
    </row>
    <row r="457" spans="1:8" x14ac:dyDescent="0.15">
      <c r="A457">
        <v>103</v>
      </c>
      <c r="B457">
        <v>16</v>
      </c>
      <c r="C457">
        <v>829776.26953125</v>
      </c>
      <c r="D457">
        <v>-2650378.879175189</v>
      </c>
      <c r="E457">
        <v>1.7792327776509499E-5</v>
      </c>
      <c r="F457">
        <v>1.7832588998666529E-5</v>
      </c>
      <c r="G457">
        <v>-4.0261222157026783E-8</v>
      </c>
      <c r="H457" t="b">
        <v>1</v>
      </c>
    </row>
    <row r="458" spans="1:8" x14ac:dyDescent="0.15">
      <c r="A458">
        <v>103</v>
      </c>
      <c r="B458">
        <v>17</v>
      </c>
      <c r="C458">
        <v>829926.26953125</v>
      </c>
      <c r="D458">
        <v>725132.8196070703</v>
      </c>
      <c r="E458">
        <v>1.7843540809176811E-5</v>
      </c>
      <c r="F458">
        <v>1.7832588998666529E-5</v>
      </c>
      <c r="G458">
        <v>1.0951810510285549E-8</v>
      </c>
      <c r="H458" t="b">
        <v>0</v>
      </c>
    </row>
    <row r="459" spans="1:8" x14ac:dyDescent="0.15">
      <c r="A459">
        <v>103</v>
      </c>
      <c r="B459">
        <v>18</v>
      </c>
      <c r="C459">
        <v>830106.26953125</v>
      </c>
      <c r="D459">
        <v>4838755.3048306713</v>
      </c>
      <c r="E459">
        <v>1.7905167061051959E-5</v>
      </c>
      <c r="F459">
        <v>1.7832588998666529E-5</v>
      </c>
      <c r="G459">
        <v>7.2578062385433227E-8</v>
      </c>
      <c r="H459" t="b">
        <v>0</v>
      </c>
    </row>
    <row r="460" spans="1:8" x14ac:dyDescent="0.15">
      <c r="A460">
        <v>103</v>
      </c>
      <c r="B460">
        <v>19</v>
      </c>
      <c r="C460">
        <v>830016.26953125</v>
      </c>
      <c r="D460">
        <v>2773328.3251072061</v>
      </c>
      <c r="E460">
        <v>1.787433060297806E-5</v>
      </c>
      <c r="F460">
        <v>1.7832588998666529E-5</v>
      </c>
      <c r="G460">
        <v>4.1741604311531621E-8</v>
      </c>
      <c r="H460" t="b">
        <v>0</v>
      </c>
    </row>
    <row r="461" spans="1:8" x14ac:dyDescent="0.15">
      <c r="A461">
        <v>103</v>
      </c>
      <c r="B461">
        <v>20</v>
      </c>
      <c r="C461">
        <v>829908.26953125</v>
      </c>
      <c r="D461">
        <v>317557.3259403641</v>
      </c>
      <c r="E461">
        <v>1.783738844482396E-5</v>
      </c>
      <c r="F461">
        <v>1.7832588998666529E-5</v>
      </c>
      <c r="G461">
        <v>4.7994461574348834E-9</v>
      </c>
      <c r="H461" t="b">
        <v>0</v>
      </c>
    </row>
    <row r="462" spans="1:8" x14ac:dyDescent="0.15">
      <c r="A462">
        <v>103</v>
      </c>
      <c r="B462">
        <v>21</v>
      </c>
      <c r="C462">
        <v>829962.26953125</v>
      </c>
      <c r="D462">
        <v>1542346.2777931029</v>
      </c>
      <c r="E462">
        <v>1.7855851130842171E-5</v>
      </c>
      <c r="F462">
        <v>1.7832588998666529E-5</v>
      </c>
      <c r="G462">
        <v>2.3262132175645529E-8</v>
      </c>
      <c r="H462" t="b">
        <v>0</v>
      </c>
    </row>
    <row r="463" spans="1:8" x14ac:dyDescent="0.15">
      <c r="A463">
        <v>103</v>
      </c>
      <c r="B463">
        <v>22</v>
      </c>
      <c r="C463">
        <v>829935.26953125</v>
      </c>
      <c r="D463">
        <v>929178.30416217051</v>
      </c>
      <c r="E463">
        <v>1.7846617690380901E-5</v>
      </c>
      <c r="F463">
        <v>1.7832588998666529E-5</v>
      </c>
      <c r="G463">
        <v>1.4028691714379319E-8</v>
      </c>
      <c r="H463" t="b">
        <v>0</v>
      </c>
    </row>
    <row r="464" spans="1:8" x14ac:dyDescent="0.15">
      <c r="A464">
        <v>103</v>
      </c>
      <c r="B464">
        <v>23</v>
      </c>
      <c r="C464">
        <v>829902.86953124998</v>
      </c>
      <c r="D464">
        <v>195418.6573433028</v>
      </c>
      <c r="E464">
        <v>1.783554309895892E-5</v>
      </c>
      <c r="F464">
        <v>1.7832588998666529E-5</v>
      </c>
      <c r="G464">
        <v>2.9541002923946678E-9</v>
      </c>
      <c r="H464" t="b">
        <v>0</v>
      </c>
    </row>
    <row r="465" spans="1:8" x14ac:dyDescent="0.15">
      <c r="A465">
        <v>103</v>
      </c>
      <c r="B465">
        <v>24</v>
      </c>
      <c r="C465">
        <v>829919.06953124993</v>
      </c>
      <c r="D465">
        <v>562020.15974849369</v>
      </c>
      <c r="E465">
        <v>1.784107963976489E-5</v>
      </c>
      <c r="F465">
        <v>1.7832588998666529E-5</v>
      </c>
      <c r="G465">
        <v>8.4906410983644947E-9</v>
      </c>
      <c r="H465" t="b">
        <v>0</v>
      </c>
    </row>
    <row r="466" spans="1:8" x14ac:dyDescent="0.15">
      <c r="A466">
        <v>103</v>
      </c>
      <c r="B466">
        <v>25</v>
      </c>
      <c r="C466">
        <v>829938.50953124987</v>
      </c>
      <c r="D466">
        <v>1002660.439429403</v>
      </c>
      <c r="E466">
        <v>1.7847725235838848E-5</v>
      </c>
      <c r="F466">
        <v>1.7832588998666529E-5</v>
      </c>
      <c r="G466">
        <v>1.5136237172326441E-8</v>
      </c>
      <c r="H466" t="b">
        <v>0</v>
      </c>
    </row>
    <row r="467" spans="1:8" x14ac:dyDescent="0.15">
      <c r="A467">
        <v>103</v>
      </c>
      <c r="B467">
        <v>26</v>
      </c>
      <c r="C467">
        <v>829928.7895312499</v>
      </c>
      <c r="D467">
        <v>782248.23167904373</v>
      </c>
      <c r="E467">
        <v>1.7844402288934641E-5</v>
      </c>
      <c r="F467">
        <v>1.7832588998666529E-5</v>
      </c>
      <c r="G467">
        <v>1.181329026811914E-8</v>
      </c>
      <c r="H467" t="b">
        <v>0</v>
      </c>
    </row>
    <row r="468" spans="1:8" x14ac:dyDescent="0.15">
      <c r="A468">
        <v>103</v>
      </c>
      <c r="B468">
        <v>27</v>
      </c>
      <c r="C468">
        <v>829933.64953124989</v>
      </c>
      <c r="D468">
        <v>892437.43313987995</v>
      </c>
      <c r="E468">
        <v>1.7846063817370501E-5</v>
      </c>
      <c r="F468">
        <v>1.7832588998666529E-5</v>
      </c>
      <c r="G468">
        <v>1.347481870397235E-8</v>
      </c>
      <c r="H468" t="b">
        <v>0</v>
      </c>
    </row>
    <row r="469" spans="1:8" x14ac:dyDescent="0.15">
      <c r="A469">
        <v>103</v>
      </c>
      <c r="B469">
        <v>28</v>
      </c>
      <c r="C469">
        <v>829931.21953124984</v>
      </c>
      <c r="D469">
        <v>837336.56768416264</v>
      </c>
      <c r="E469">
        <v>1.7845233036161629E-5</v>
      </c>
      <c r="F469">
        <v>1.7832588998666529E-5</v>
      </c>
      <c r="G469">
        <v>1.264403749510015E-8</v>
      </c>
      <c r="H469" t="b">
        <v>0</v>
      </c>
    </row>
    <row r="470" spans="1:8" x14ac:dyDescent="0.15">
      <c r="A470">
        <v>104</v>
      </c>
      <c r="B470">
        <v>1</v>
      </c>
      <c r="C470">
        <v>6050000</v>
      </c>
      <c r="D470">
        <v>709189610038.01501</v>
      </c>
      <c r="E470">
        <v>2.5076888884232608E-3</v>
      </c>
      <c r="F470">
        <v>2.6167991399821299E-5</v>
      </c>
      <c r="G470">
        <v>2.48152089702344E-3</v>
      </c>
      <c r="H470" t="b">
        <v>0</v>
      </c>
    </row>
    <row r="471" spans="1:8" x14ac:dyDescent="0.15">
      <c r="A471">
        <v>104</v>
      </c>
      <c r="B471">
        <v>2</v>
      </c>
      <c r="C471">
        <v>3075000</v>
      </c>
      <c r="D471">
        <v>-97725332.439185739</v>
      </c>
      <c r="E471">
        <v>2.3303469337170762E-5</v>
      </c>
      <c r="F471">
        <v>2.6167991399821499E-5</v>
      </c>
      <c r="G471">
        <v>-2.8645220626507369E-6</v>
      </c>
      <c r="H471" t="b">
        <v>1</v>
      </c>
    </row>
    <row r="472" spans="1:8" x14ac:dyDescent="0.15">
      <c r="A472">
        <v>104</v>
      </c>
      <c r="B472">
        <v>3</v>
      </c>
      <c r="C472">
        <v>4562500</v>
      </c>
      <c r="D472">
        <v>76546102580.146973</v>
      </c>
      <c r="E472">
        <v>4.6426282226283579E-4</v>
      </c>
      <c r="F472">
        <v>2.6167991399821509E-5</v>
      </c>
      <c r="G472">
        <v>4.3809483086301428E-4</v>
      </c>
      <c r="H472" t="b">
        <v>0</v>
      </c>
    </row>
    <row r="473" spans="1:8" x14ac:dyDescent="0.15">
      <c r="A473">
        <v>104</v>
      </c>
      <c r="B473">
        <v>4</v>
      </c>
      <c r="C473">
        <v>3818750</v>
      </c>
      <c r="D473">
        <v>12408014905.998529</v>
      </c>
      <c r="E473">
        <v>1.3571388183782171E-4</v>
      </c>
      <c r="F473">
        <v>2.6167991399821499E-5</v>
      </c>
      <c r="G473">
        <v>1.095458904380002E-4</v>
      </c>
      <c r="H473" t="b">
        <v>0</v>
      </c>
    </row>
    <row r="474" spans="1:8" x14ac:dyDescent="0.15">
      <c r="A474">
        <v>104</v>
      </c>
      <c r="B474">
        <v>5</v>
      </c>
      <c r="C474">
        <v>3446875</v>
      </c>
      <c r="D474">
        <v>2819247502.5048852</v>
      </c>
      <c r="E474">
        <v>6.1458961222432047E-5</v>
      </c>
      <c r="F474">
        <v>2.6167991399821499E-5</v>
      </c>
      <c r="G474">
        <v>3.5290969822610548E-5</v>
      </c>
      <c r="H474" t="b">
        <v>0</v>
      </c>
    </row>
    <row r="475" spans="1:8" x14ac:dyDescent="0.15">
      <c r="A475">
        <v>104</v>
      </c>
      <c r="B475">
        <v>6</v>
      </c>
      <c r="C475">
        <v>3260937.5</v>
      </c>
      <c r="D475">
        <v>781411632.67427933</v>
      </c>
      <c r="E475">
        <v>3.8844625669460038E-5</v>
      </c>
      <c r="F475">
        <v>2.6167991399821499E-5</v>
      </c>
      <c r="G475">
        <v>1.267663426963854E-5</v>
      </c>
      <c r="H475" t="b">
        <v>0</v>
      </c>
    </row>
    <row r="476" spans="1:8" x14ac:dyDescent="0.15">
      <c r="A476">
        <v>104</v>
      </c>
      <c r="B476">
        <v>7</v>
      </c>
      <c r="C476">
        <v>3167968.75</v>
      </c>
      <c r="D476">
        <v>213493699.47588161</v>
      </c>
      <c r="E476">
        <v>3.0301329566703141E-5</v>
      </c>
      <c r="F476">
        <v>2.6167991399821499E-5</v>
      </c>
      <c r="G476">
        <v>4.1333381668816491E-6</v>
      </c>
      <c r="H476" t="b">
        <v>0</v>
      </c>
    </row>
    <row r="477" spans="1:8" x14ac:dyDescent="0.15">
      <c r="A477">
        <v>104</v>
      </c>
      <c r="B477">
        <v>8</v>
      </c>
      <c r="C477">
        <v>3121484.375</v>
      </c>
      <c r="D477">
        <v>20384086.932175111</v>
      </c>
      <c r="E477">
        <v>2.6622227485128391E-5</v>
      </c>
      <c r="F477">
        <v>2.6167991399821499E-5</v>
      </c>
      <c r="G477">
        <v>4.5423608530689212E-7</v>
      </c>
      <c r="H477" t="b">
        <v>0</v>
      </c>
    </row>
    <row r="478" spans="1:8" x14ac:dyDescent="0.15">
      <c r="A478">
        <v>104</v>
      </c>
      <c r="B478">
        <v>9</v>
      </c>
      <c r="C478">
        <v>3098242.1875</v>
      </c>
      <c r="D478">
        <v>-49275544.537599117</v>
      </c>
      <c r="E478">
        <v>2.4919520246065469E-5</v>
      </c>
      <c r="F478">
        <v>2.6167991399821499E-5</v>
      </c>
      <c r="G478">
        <v>-1.2484711537560229E-6</v>
      </c>
      <c r="H478" t="b">
        <v>1</v>
      </c>
    </row>
    <row r="479" spans="1:8" x14ac:dyDescent="0.15">
      <c r="A479">
        <v>104</v>
      </c>
      <c r="B479">
        <v>10</v>
      </c>
      <c r="C479">
        <v>3109863.28125</v>
      </c>
      <c r="D479">
        <v>-17211318.463647</v>
      </c>
      <c r="E479">
        <v>2.575980859242607E-5</v>
      </c>
      <c r="F479">
        <v>2.6167991399821499E-5</v>
      </c>
      <c r="G479">
        <v>-4.0818280739542861E-7</v>
      </c>
      <c r="H479" t="b">
        <v>1</v>
      </c>
    </row>
    <row r="480" spans="1:8" x14ac:dyDescent="0.15">
      <c r="A480">
        <v>104</v>
      </c>
      <c r="B480">
        <v>11</v>
      </c>
      <c r="C480">
        <v>3115673.828125</v>
      </c>
      <c r="D480">
        <v>880552.14336480154</v>
      </c>
      <c r="E480">
        <v>2.618822511203576E-5</v>
      </c>
      <c r="F480">
        <v>2.6167991399821499E-5</v>
      </c>
      <c r="G480">
        <v>2.0233712214267709E-8</v>
      </c>
      <c r="H480" t="b">
        <v>0</v>
      </c>
    </row>
    <row r="481" spans="1:8" x14ac:dyDescent="0.15">
      <c r="A481">
        <v>104</v>
      </c>
      <c r="B481">
        <v>12</v>
      </c>
      <c r="C481">
        <v>3118579.1015625</v>
      </c>
      <c r="D481">
        <v>10454097.2011346</v>
      </c>
      <c r="E481">
        <v>2.640452594995428E-5</v>
      </c>
      <c r="F481">
        <v>2.6167991399821499E-5</v>
      </c>
      <c r="G481">
        <v>2.3653455013278459E-7</v>
      </c>
      <c r="H481" t="b">
        <v>0</v>
      </c>
    </row>
    <row r="482" spans="1:8" x14ac:dyDescent="0.15">
      <c r="A482">
        <v>104</v>
      </c>
      <c r="B482">
        <v>13</v>
      </c>
      <c r="C482">
        <v>3117126.46484375</v>
      </c>
      <c r="D482">
        <v>5622947.6996619403</v>
      </c>
      <c r="E482">
        <v>2.6296199757836009E-5</v>
      </c>
      <c r="F482">
        <v>2.6167991399821499E-5</v>
      </c>
      <c r="G482">
        <v>1.282083580145164E-7</v>
      </c>
      <c r="H482" t="b">
        <v>0</v>
      </c>
    </row>
    <row r="483" spans="1:8" x14ac:dyDescent="0.15">
      <c r="A483">
        <v>104</v>
      </c>
      <c r="B483">
        <v>14</v>
      </c>
      <c r="C483">
        <v>3115926.46484375</v>
      </c>
      <c r="D483">
        <v>1698984.825695008</v>
      </c>
      <c r="E483">
        <v>2.6206978637321689E-5</v>
      </c>
      <c r="F483">
        <v>2.6167991399821499E-5</v>
      </c>
      <c r="G483">
        <v>3.8987237500190038E-8</v>
      </c>
      <c r="H483" t="b">
        <v>0</v>
      </c>
    </row>
    <row r="484" spans="1:8" x14ac:dyDescent="0.15">
      <c r="A484">
        <v>104</v>
      </c>
      <c r="B484">
        <v>15</v>
      </c>
      <c r="C484">
        <v>3116526.46484375</v>
      </c>
      <c r="D484">
        <v>3653412.439363827</v>
      </c>
      <c r="E484">
        <v>2.625155925883978E-5</v>
      </c>
      <c r="F484">
        <v>2.6167991399821499E-5</v>
      </c>
      <c r="G484">
        <v>8.3567859018280575E-8</v>
      </c>
      <c r="H484" t="b">
        <v>0</v>
      </c>
    </row>
    <row r="485" spans="1:8" x14ac:dyDescent="0.15">
      <c r="A485">
        <v>104</v>
      </c>
      <c r="B485">
        <v>16</v>
      </c>
      <c r="C485">
        <v>3116226.46484375</v>
      </c>
      <c r="D485">
        <v>2674307.7735741269</v>
      </c>
      <c r="E485">
        <v>2.6229261366236541E-5</v>
      </c>
      <c r="F485">
        <v>2.6167991399821499E-5</v>
      </c>
      <c r="G485">
        <v>6.1269966415045563E-8</v>
      </c>
      <c r="H485" t="b">
        <v>0</v>
      </c>
    </row>
    <row r="486" spans="1:8" x14ac:dyDescent="0.15">
      <c r="A486">
        <v>104</v>
      </c>
      <c r="B486">
        <v>17</v>
      </c>
      <c r="C486">
        <v>3116376.46484375</v>
      </c>
      <c r="D486">
        <v>3163388.6088815192</v>
      </c>
      <c r="E486">
        <v>2.6240408450192139E-5</v>
      </c>
      <c r="F486">
        <v>2.6167991399821499E-5</v>
      </c>
      <c r="G486">
        <v>7.2417050370639756E-8</v>
      </c>
      <c r="H486" t="b">
        <v>0</v>
      </c>
    </row>
    <row r="487" spans="1:8" x14ac:dyDescent="0.15">
      <c r="A487">
        <v>104</v>
      </c>
      <c r="B487">
        <v>18</v>
      </c>
      <c r="C487">
        <v>3116301.46484375</v>
      </c>
      <c r="D487">
        <v>2918800.532318762</v>
      </c>
      <c r="E487">
        <v>2.6234836042317329E-5</v>
      </c>
      <c r="F487">
        <v>2.6167991399821499E-5</v>
      </c>
      <c r="G487">
        <v>6.6844642495830097E-8</v>
      </c>
      <c r="H487" t="b">
        <v>0</v>
      </c>
    </row>
    <row r="488" spans="1:8" x14ac:dyDescent="0.15">
      <c r="A488">
        <v>104</v>
      </c>
      <c r="B488">
        <v>19</v>
      </c>
      <c r="C488">
        <v>3116338.96484375</v>
      </c>
      <c r="D488">
        <v>3041030.0136969709</v>
      </c>
      <c r="E488">
        <v>2.6237621330046979E-5</v>
      </c>
      <c r="F488">
        <v>2.6167991399821499E-5</v>
      </c>
      <c r="G488">
        <v>6.9629930225483644E-8</v>
      </c>
      <c r="H488" t="b">
        <v>0</v>
      </c>
    </row>
    <row r="489" spans="1:8" x14ac:dyDescent="0.15">
      <c r="A489">
        <v>104</v>
      </c>
      <c r="B489">
        <v>20</v>
      </c>
      <c r="C489">
        <v>3116383.96484375</v>
      </c>
      <c r="D489">
        <v>3187937.6651373748</v>
      </c>
      <c r="E489">
        <v>2.6240967502226808E-5</v>
      </c>
      <c r="F489">
        <v>2.6167991399821499E-5</v>
      </c>
      <c r="G489">
        <v>7.2976102405312787E-8</v>
      </c>
      <c r="H489" t="b">
        <v>0</v>
      </c>
    </row>
    <row r="490" spans="1:8" x14ac:dyDescent="0.15">
      <c r="A490">
        <v>104</v>
      </c>
      <c r="B490">
        <v>21</v>
      </c>
      <c r="C490">
        <v>3116361.46484375</v>
      </c>
      <c r="D490">
        <v>3114438.0987753072</v>
      </c>
      <c r="E490">
        <v>2.6239293574199541E-5</v>
      </c>
      <c r="F490">
        <v>2.6167991399821499E-5</v>
      </c>
      <c r="G490">
        <v>7.1302174378045318E-8</v>
      </c>
      <c r="H490" t="b">
        <v>0</v>
      </c>
    </row>
    <row r="491" spans="1:8" x14ac:dyDescent="0.15">
      <c r="A491">
        <v>105</v>
      </c>
      <c r="B491">
        <v>1</v>
      </c>
      <c r="C491">
        <v>6050000</v>
      </c>
      <c r="D491">
        <v>432509887897.24872</v>
      </c>
      <c r="E491">
        <v>1.633733777682244E-3</v>
      </c>
      <c r="F491">
        <v>2.5268913480376789E-5</v>
      </c>
      <c r="G491">
        <v>1.608464864201867E-3</v>
      </c>
      <c r="H491" t="b">
        <v>0</v>
      </c>
    </row>
    <row r="492" spans="1:8" x14ac:dyDescent="0.15">
      <c r="A492">
        <v>105</v>
      </c>
      <c r="B492">
        <v>2</v>
      </c>
      <c r="C492">
        <v>3075000</v>
      </c>
      <c r="D492">
        <v>-18441717.83769998</v>
      </c>
      <c r="E492">
        <v>1.32060786169844E-5</v>
      </c>
      <c r="F492">
        <v>2.526891348037684E-5</v>
      </c>
      <c r="G492">
        <v>-1.206283486339244E-5</v>
      </c>
      <c r="H492" t="b">
        <v>1</v>
      </c>
    </row>
    <row r="493" spans="1:8" x14ac:dyDescent="0.15">
      <c r="A493">
        <v>105</v>
      </c>
      <c r="B493">
        <v>3</v>
      </c>
      <c r="C493">
        <v>4562500</v>
      </c>
      <c r="D493">
        <v>41628050868.080307</v>
      </c>
      <c r="E493">
        <v>2.886531014155494E-4</v>
      </c>
      <c r="F493">
        <v>2.526891348037685E-5</v>
      </c>
      <c r="G493">
        <v>2.633841879351726E-4</v>
      </c>
      <c r="H493" t="b">
        <v>0</v>
      </c>
    </row>
    <row r="494" spans="1:8" x14ac:dyDescent="0.15">
      <c r="A494">
        <v>105</v>
      </c>
      <c r="B494">
        <v>4</v>
      </c>
      <c r="C494">
        <v>3818750</v>
      </c>
      <c r="D494">
        <v>5240088908.441967</v>
      </c>
      <c r="E494">
        <v>7.9822524194615783E-5</v>
      </c>
      <c r="F494">
        <v>2.526891348037685E-5</v>
      </c>
      <c r="G494">
        <v>5.4553610714238943E-5</v>
      </c>
      <c r="H494" t="b">
        <v>0</v>
      </c>
    </row>
    <row r="495" spans="1:8" x14ac:dyDescent="0.15">
      <c r="A495">
        <v>105</v>
      </c>
      <c r="B495">
        <v>5</v>
      </c>
      <c r="C495">
        <v>3446875</v>
      </c>
      <c r="D495">
        <v>577672647.72386348</v>
      </c>
      <c r="E495">
        <v>3.4728743463527311E-5</v>
      </c>
      <c r="F495">
        <v>2.526891348037684E-5</v>
      </c>
      <c r="G495">
        <v>9.4598299831504674E-6</v>
      </c>
      <c r="H495" t="b">
        <v>0</v>
      </c>
    </row>
    <row r="496" spans="1:8" x14ac:dyDescent="0.15">
      <c r="A496">
        <v>105</v>
      </c>
      <c r="B496">
        <v>6</v>
      </c>
      <c r="C496">
        <v>3260937.5</v>
      </c>
      <c r="D496">
        <v>-119863947.7782751</v>
      </c>
      <c r="E496">
        <v>2.1425742794900921E-5</v>
      </c>
      <c r="F496">
        <v>2.526891348037684E-5</v>
      </c>
      <c r="G496">
        <v>-3.8431706854759192E-6</v>
      </c>
      <c r="H496" t="b">
        <v>1</v>
      </c>
    </row>
    <row r="497" spans="1:8" x14ac:dyDescent="0.15">
      <c r="A497">
        <v>105</v>
      </c>
      <c r="B497">
        <v>7</v>
      </c>
      <c r="C497">
        <v>3353906.25</v>
      </c>
      <c r="D497">
        <v>111489390.8728091</v>
      </c>
      <c r="E497">
        <v>2.7451980402445708E-5</v>
      </c>
      <c r="F497">
        <v>2.526891348037684E-5</v>
      </c>
      <c r="G497">
        <v>2.1830669220688621E-6</v>
      </c>
      <c r="H497" t="b">
        <v>0</v>
      </c>
    </row>
    <row r="498" spans="1:8" x14ac:dyDescent="0.15">
      <c r="A498">
        <v>105</v>
      </c>
      <c r="B498">
        <v>8</v>
      </c>
      <c r="C498">
        <v>3307421.875</v>
      </c>
      <c r="D498">
        <v>-40529832.838969201</v>
      </c>
      <c r="E498">
        <v>2.4292874717468231E-5</v>
      </c>
      <c r="F498">
        <v>2.526891348037684E-5</v>
      </c>
      <c r="G498">
        <v>-9.7603876290860913E-7</v>
      </c>
      <c r="H498" t="b">
        <v>1</v>
      </c>
    </row>
    <row r="499" spans="1:8" x14ac:dyDescent="0.15">
      <c r="A499">
        <v>105</v>
      </c>
      <c r="B499">
        <v>9</v>
      </c>
      <c r="C499">
        <v>3330664.0625</v>
      </c>
      <c r="D499">
        <v>26456619.21078331</v>
      </c>
      <c r="E499">
        <v>2.583456312833859E-5</v>
      </c>
      <c r="F499">
        <v>2.526891348037684E-5</v>
      </c>
      <c r="G499">
        <v>5.6564964796175035E-7</v>
      </c>
      <c r="H499" t="b">
        <v>0</v>
      </c>
    </row>
    <row r="500" spans="1:8" x14ac:dyDescent="0.15">
      <c r="A500">
        <v>105</v>
      </c>
      <c r="B500">
        <v>10</v>
      </c>
      <c r="C500">
        <v>3319042.96875</v>
      </c>
      <c r="D500">
        <v>-9468722.9945377111</v>
      </c>
      <c r="E500">
        <v>2.505440946679737E-5</v>
      </c>
      <c r="F500">
        <v>2.526891348037684E-5</v>
      </c>
      <c r="G500">
        <v>-2.1450401357947331E-7</v>
      </c>
      <c r="H500" t="b">
        <v>1</v>
      </c>
    </row>
    <row r="501" spans="1:8" x14ac:dyDescent="0.15">
      <c r="A501">
        <v>105</v>
      </c>
      <c r="B501">
        <v>11</v>
      </c>
      <c r="C501">
        <v>3324853.515625</v>
      </c>
      <c r="D501">
        <v>7874121.4439444728</v>
      </c>
      <c r="E501">
        <v>2.544213946244491E-5</v>
      </c>
      <c r="F501">
        <v>2.526891348037684E-5</v>
      </c>
      <c r="G501">
        <v>1.7322598206806321E-7</v>
      </c>
      <c r="H501" t="b">
        <v>0</v>
      </c>
    </row>
    <row r="502" spans="1:8" x14ac:dyDescent="0.15">
      <c r="A502">
        <v>105</v>
      </c>
      <c r="B502">
        <v>12</v>
      </c>
      <c r="C502">
        <v>3321948.2421875</v>
      </c>
      <c r="D502">
        <v>-950763.46729445702</v>
      </c>
      <c r="E502">
        <v>2.5247690474376301E-5</v>
      </c>
      <c r="F502">
        <v>2.526891348037684E-5</v>
      </c>
      <c r="G502">
        <v>-2.1223006000539272E-8</v>
      </c>
      <c r="H502" t="b">
        <v>1</v>
      </c>
    </row>
    <row r="503" spans="1:8" x14ac:dyDescent="0.15">
      <c r="A503">
        <v>105</v>
      </c>
      <c r="B503">
        <v>13</v>
      </c>
      <c r="C503">
        <v>3323400.87890625</v>
      </c>
      <c r="D503">
        <v>3423201.7743118489</v>
      </c>
      <c r="E503">
        <v>2.5344770276189641E-5</v>
      </c>
      <c r="F503">
        <v>2.526891348037684E-5</v>
      </c>
      <c r="G503">
        <v>7.5856795812793824E-8</v>
      </c>
      <c r="H503" t="b">
        <v>0</v>
      </c>
    </row>
    <row r="504" spans="1:8" x14ac:dyDescent="0.15">
      <c r="A504">
        <v>105</v>
      </c>
      <c r="B504">
        <v>14</v>
      </c>
      <c r="C504">
        <v>3322200.87890625</v>
      </c>
      <c r="D504">
        <v>-195603.95712807661</v>
      </c>
      <c r="E504">
        <v>2.526455275446502E-5</v>
      </c>
      <c r="F504">
        <v>2.526891348037684E-5</v>
      </c>
      <c r="G504">
        <v>-4.360725911826789E-9</v>
      </c>
      <c r="H504" t="b">
        <v>1</v>
      </c>
    </row>
    <row r="505" spans="1:8" x14ac:dyDescent="0.15">
      <c r="A505">
        <v>105</v>
      </c>
      <c r="B505">
        <v>15</v>
      </c>
      <c r="C505">
        <v>3322800.87890625</v>
      </c>
      <c r="D505">
        <v>1607199.485637387</v>
      </c>
      <c r="E505">
        <v>2.5304635792706532E-5</v>
      </c>
      <c r="F505">
        <v>2.526891348037684E-5</v>
      </c>
      <c r="G505">
        <v>3.5722312329691462E-8</v>
      </c>
      <c r="H505" t="b">
        <v>0</v>
      </c>
    </row>
    <row r="506" spans="1:8" x14ac:dyDescent="0.15">
      <c r="A506">
        <v>105</v>
      </c>
      <c r="B506">
        <v>16</v>
      </c>
      <c r="C506">
        <v>3323520.87890625</v>
      </c>
      <c r="D506">
        <v>3787966.0812950181</v>
      </c>
      <c r="E506">
        <v>2.5352802856759079E-5</v>
      </c>
      <c r="F506">
        <v>2.526891348037684E-5</v>
      </c>
      <c r="G506">
        <v>8.3889376382238604E-8</v>
      </c>
      <c r="H506" t="b">
        <v>0</v>
      </c>
    </row>
    <row r="507" spans="1:8" x14ac:dyDescent="0.15">
      <c r="A507">
        <v>105</v>
      </c>
      <c r="B507">
        <v>17</v>
      </c>
      <c r="C507">
        <v>3323160.87890625</v>
      </c>
      <c r="D507">
        <v>2695181.7038004822</v>
      </c>
      <c r="E507">
        <v>2.5328709565691121E-5</v>
      </c>
      <c r="F507">
        <v>2.526891348037684E-5</v>
      </c>
      <c r="G507">
        <v>5.9796085314277949E-8</v>
      </c>
      <c r="H507" t="b">
        <v>0</v>
      </c>
    </row>
    <row r="508" spans="1:8" x14ac:dyDescent="0.15">
      <c r="A508">
        <v>105</v>
      </c>
      <c r="B508">
        <v>18</v>
      </c>
      <c r="C508">
        <v>3323340.87890625</v>
      </c>
      <c r="D508">
        <v>3241016.956967141</v>
      </c>
      <c r="E508">
        <v>2.5340754735101189E-5</v>
      </c>
      <c r="F508">
        <v>2.526891348037684E-5</v>
      </c>
      <c r="G508">
        <v>7.1841254724345978E-8</v>
      </c>
      <c r="H508" t="b">
        <v>0</v>
      </c>
    </row>
    <row r="509" spans="1:8" x14ac:dyDescent="0.15">
      <c r="A509">
        <v>105</v>
      </c>
      <c r="B509">
        <v>19</v>
      </c>
      <c r="C509">
        <v>3323556.87890625</v>
      </c>
      <c r="D509">
        <v>3897427.8181496202</v>
      </c>
      <c r="E509">
        <v>2.5355211476254989E-5</v>
      </c>
      <c r="F509">
        <v>2.526891348037684E-5</v>
      </c>
      <c r="G509">
        <v>8.6297995878141878E-8</v>
      </c>
      <c r="H509" t="b">
        <v>0</v>
      </c>
    </row>
    <row r="510" spans="1:8" x14ac:dyDescent="0.15">
      <c r="A510">
        <v>105</v>
      </c>
      <c r="B510">
        <v>20</v>
      </c>
      <c r="C510">
        <v>3323448.87890625</v>
      </c>
      <c r="D510">
        <v>3568974.2462806301</v>
      </c>
      <c r="E510">
        <v>2.534798152487889E-5</v>
      </c>
      <c r="F510">
        <v>2.526891348037684E-5</v>
      </c>
      <c r="G510">
        <v>7.9068044502050329E-8</v>
      </c>
      <c r="H510" t="b">
        <v>0</v>
      </c>
    </row>
    <row r="511" spans="1:8" x14ac:dyDescent="0.15">
      <c r="A511">
        <v>105</v>
      </c>
      <c r="B511">
        <v>21</v>
      </c>
      <c r="C511">
        <v>3323319.2789062499</v>
      </c>
      <c r="D511">
        <v>3175392.6435101</v>
      </c>
      <c r="E511">
        <v>2.5339307719400799E-5</v>
      </c>
      <c r="F511">
        <v>2.526891348037684E-5</v>
      </c>
      <c r="G511">
        <v>7.0394239023951718E-8</v>
      </c>
      <c r="H511" t="b">
        <v>0</v>
      </c>
    </row>
    <row r="512" spans="1:8" x14ac:dyDescent="0.15">
      <c r="A512">
        <v>105</v>
      </c>
      <c r="B512">
        <v>22</v>
      </c>
      <c r="C512">
        <v>3323384.0789062502</v>
      </c>
      <c r="D512">
        <v>3372106.7299283012</v>
      </c>
      <c r="E512">
        <v>2.5343644330867511E-5</v>
      </c>
      <c r="F512">
        <v>2.526891348037684E-5</v>
      </c>
      <c r="G512">
        <v>7.4730850490667758E-8</v>
      </c>
      <c r="H512" t="b">
        <v>0</v>
      </c>
    </row>
    <row r="513" spans="1:8" x14ac:dyDescent="0.15">
      <c r="A513">
        <v>105</v>
      </c>
      <c r="B513">
        <v>23</v>
      </c>
      <c r="C513">
        <v>3323351.6789062498</v>
      </c>
      <c r="D513">
        <v>3273800.5169795058</v>
      </c>
      <c r="E513">
        <v>2.534147749564007E-5</v>
      </c>
      <c r="F513">
        <v>2.526891348037684E-5</v>
      </c>
      <c r="G513">
        <v>7.2564015263230274E-8</v>
      </c>
      <c r="H513" t="b">
        <v>0</v>
      </c>
    </row>
    <row r="514" spans="1:8" x14ac:dyDescent="0.15">
      <c r="A514">
        <v>105</v>
      </c>
      <c r="B514">
        <v>24</v>
      </c>
      <c r="C514">
        <v>3323367.87890625</v>
      </c>
      <c r="D514">
        <v>3322983.8472857848</v>
      </c>
      <c r="E514">
        <v>2.5342561666786881E-5</v>
      </c>
      <c r="F514">
        <v>2.526891348037684E-5</v>
      </c>
      <c r="G514">
        <v>7.3648186410037332E-8</v>
      </c>
      <c r="H514" t="b">
        <v>0</v>
      </c>
    </row>
    <row r="515" spans="1:8" x14ac:dyDescent="0.15">
      <c r="A515">
        <v>106</v>
      </c>
      <c r="B515">
        <v>1</v>
      </c>
      <c r="C515">
        <v>6050000</v>
      </c>
      <c r="D515">
        <v>122778188687.5872</v>
      </c>
      <c r="E515">
        <v>6.2231836657034663E-4</v>
      </c>
      <c r="F515">
        <v>2.505194544630003E-5</v>
      </c>
      <c r="G515">
        <v>5.972664211240466E-4</v>
      </c>
      <c r="H515" t="b">
        <v>0</v>
      </c>
    </row>
    <row r="516" spans="1:8" x14ac:dyDescent="0.15">
      <c r="A516">
        <v>106</v>
      </c>
      <c r="B516">
        <v>2</v>
      </c>
      <c r="C516">
        <v>3075000</v>
      </c>
      <c r="D516">
        <v>-381038.89775331347</v>
      </c>
      <c r="E516">
        <v>6.1850160348636479E-6</v>
      </c>
      <c r="F516">
        <v>2.505194544630002E-5</v>
      </c>
      <c r="G516">
        <v>-1.8866929411436371E-5</v>
      </c>
      <c r="H516" t="b">
        <v>1</v>
      </c>
    </row>
    <row r="517" spans="1:8" x14ac:dyDescent="0.15">
      <c r="A517">
        <v>106</v>
      </c>
      <c r="B517">
        <v>3</v>
      </c>
      <c r="C517">
        <v>4562500</v>
      </c>
      <c r="D517">
        <v>7201561788.0349855</v>
      </c>
      <c r="E517">
        <v>9.3853298727109317E-5</v>
      </c>
      <c r="F517">
        <v>2.505194544630003E-5</v>
      </c>
      <c r="G517">
        <v>6.8801353280809291E-5</v>
      </c>
      <c r="H517" t="b">
        <v>0</v>
      </c>
    </row>
    <row r="518" spans="1:8" x14ac:dyDescent="0.15">
      <c r="A518">
        <v>106</v>
      </c>
      <c r="B518">
        <v>4</v>
      </c>
      <c r="C518">
        <v>3818750</v>
      </c>
      <c r="D518">
        <v>-98715258.514231384</v>
      </c>
      <c r="E518">
        <v>2.2247153113444191E-5</v>
      </c>
      <c r="F518">
        <v>2.505194544630002E-5</v>
      </c>
      <c r="G518">
        <v>-2.8047923328558289E-6</v>
      </c>
      <c r="H518" t="b">
        <v>1</v>
      </c>
    </row>
    <row r="519" spans="1:8" x14ac:dyDescent="0.15">
      <c r="A519">
        <v>106</v>
      </c>
      <c r="B519">
        <v>5</v>
      </c>
      <c r="C519">
        <v>4190625</v>
      </c>
      <c r="D519">
        <v>1786845500.703763</v>
      </c>
      <c r="E519">
        <v>4.8524466689161117E-5</v>
      </c>
      <c r="F519">
        <v>2.505194544630002E-5</v>
      </c>
      <c r="G519">
        <v>2.34725212428611E-5</v>
      </c>
      <c r="H519" t="b">
        <v>0</v>
      </c>
    </row>
    <row r="520" spans="1:8" x14ac:dyDescent="0.15">
      <c r="A520">
        <v>106</v>
      </c>
      <c r="B520">
        <v>6</v>
      </c>
      <c r="C520">
        <v>4004687.5</v>
      </c>
      <c r="D520">
        <v>506066449.52135032</v>
      </c>
      <c r="E520">
        <v>3.3424867396873332E-5</v>
      </c>
      <c r="F520">
        <v>2.505194544630002E-5</v>
      </c>
      <c r="G520">
        <v>8.3729219505733059E-6</v>
      </c>
      <c r="H520" t="b">
        <v>0</v>
      </c>
    </row>
    <row r="521" spans="1:8" x14ac:dyDescent="0.15">
      <c r="A521">
        <v>106</v>
      </c>
      <c r="B521">
        <v>7</v>
      </c>
      <c r="C521">
        <v>3911718.75</v>
      </c>
      <c r="D521">
        <v>121543633.7088218</v>
      </c>
      <c r="E521">
        <v>2.7394934923526559E-5</v>
      </c>
      <c r="F521">
        <v>2.505194544630002E-5</v>
      </c>
      <c r="G521">
        <v>2.342989477226542E-6</v>
      </c>
      <c r="H521" t="b">
        <v>0</v>
      </c>
    </row>
    <row r="522" spans="1:8" x14ac:dyDescent="0.15">
      <c r="A522">
        <v>106</v>
      </c>
      <c r="B522">
        <v>8</v>
      </c>
      <c r="C522">
        <v>3865234.375</v>
      </c>
      <c r="D522">
        <v>-14771090.762974931</v>
      </c>
      <c r="E522">
        <v>2.4716735666129419E-5</v>
      </c>
      <c r="F522">
        <v>2.505194544630002E-5</v>
      </c>
      <c r="G522">
        <v>-3.3520978017060349E-7</v>
      </c>
      <c r="H522" t="b">
        <v>1</v>
      </c>
    </row>
    <row r="523" spans="1:8" x14ac:dyDescent="0.15">
      <c r="A523">
        <v>106</v>
      </c>
      <c r="B523">
        <v>9</v>
      </c>
      <c r="C523">
        <v>3888476.5625</v>
      </c>
      <c r="D523">
        <v>47449567.766376279</v>
      </c>
      <c r="E523">
        <v>2.6029191123120179E-5</v>
      </c>
      <c r="F523">
        <v>2.505194544630002E-5</v>
      </c>
      <c r="G523">
        <v>9.772456768201598E-7</v>
      </c>
      <c r="H523" t="b">
        <v>0</v>
      </c>
    </row>
    <row r="524" spans="1:8" x14ac:dyDescent="0.15">
      <c r="A524">
        <v>106</v>
      </c>
      <c r="B524">
        <v>10</v>
      </c>
      <c r="C524">
        <v>3876855.46875</v>
      </c>
      <c r="D524">
        <v>14559205.5314977</v>
      </c>
      <c r="E524">
        <v>2.5366360275514971E-5</v>
      </c>
      <c r="F524">
        <v>2.505194544630002E-5</v>
      </c>
      <c r="G524">
        <v>3.1441482921495522E-7</v>
      </c>
      <c r="H524" t="b">
        <v>0</v>
      </c>
    </row>
    <row r="525" spans="1:8" x14ac:dyDescent="0.15">
      <c r="A525">
        <v>106</v>
      </c>
      <c r="B525">
        <v>11</v>
      </c>
      <c r="C525">
        <v>3871044.921875</v>
      </c>
      <c r="D525">
        <v>-544163.58381091058</v>
      </c>
      <c r="E525">
        <v>2.5039902273424691E-5</v>
      </c>
      <c r="F525">
        <v>2.505194544630002E-5</v>
      </c>
      <c r="G525">
        <v>-1.2043172875325079E-8</v>
      </c>
      <c r="H525" t="b">
        <v>1</v>
      </c>
    </row>
    <row r="526" spans="1:8" x14ac:dyDescent="0.15">
      <c r="A526">
        <v>106</v>
      </c>
      <c r="B526">
        <v>12</v>
      </c>
      <c r="C526">
        <v>3873950.1953125</v>
      </c>
      <c r="D526">
        <v>6897011.8493478736</v>
      </c>
      <c r="E526">
        <v>2.5202716958592179E-5</v>
      </c>
      <c r="F526">
        <v>2.505194544630002E-5</v>
      </c>
      <c r="G526">
        <v>1.5077151229215641E-7</v>
      </c>
      <c r="H526" t="b">
        <v>0</v>
      </c>
    </row>
    <row r="527" spans="1:8" x14ac:dyDescent="0.15">
      <c r="A527">
        <v>106</v>
      </c>
      <c r="B527">
        <v>13</v>
      </c>
      <c r="C527">
        <v>3872497.55859375</v>
      </c>
      <c r="D527">
        <v>3148963.922106341</v>
      </c>
      <c r="E527">
        <v>2.512120742956649E-5</v>
      </c>
      <c r="F527">
        <v>2.505194544630002E-5</v>
      </c>
      <c r="G527">
        <v>6.9261983266466579E-8</v>
      </c>
      <c r="H527" t="b">
        <v>0</v>
      </c>
    </row>
    <row r="528" spans="1:8" x14ac:dyDescent="0.15">
      <c r="A528">
        <v>106</v>
      </c>
      <c r="B528">
        <v>14</v>
      </c>
      <c r="C528">
        <v>3872997.55859375</v>
      </c>
      <c r="D528">
        <v>4432851.2326816414</v>
      </c>
      <c r="E528">
        <v>2.5149240334329988E-5</v>
      </c>
      <c r="F528">
        <v>2.505194544630002E-5</v>
      </c>
      <c r="G528">
        <v>9.7294888029968862E-8</v>
      </c>
      <c r="H528" t="b">
        <v>0</v>
      </c>
    </row>
    <row r="529" spans="1:8" x14ac:dyDescent="0.15">
      <c r="A529">
        <v>106</v>
      </c>
      <c r="B529">
        <v>15</v>
      </c>
      <c r="C529">
        <v>3872747.55859375</v>
      </c>
      <c r="D529">
        <v>3790022.1713662581</v>
      </c>
      <c r="E529">
        <v>2.5135219293254311E-5</v>
      </c>
      <c r="F529">
        <v>2.505194544630002E-5</v>
      </c>
      <c r="G529">
        <v>8.3273846954294323E-8</v>
      </c>
      <c r="H529" t="b">
        <v>0</v>
      </c>
    </row>
    <row r="530" spans="1:8" x14ac:dyDescent="0.15">
      <c r="A530">
        <v>106</v>
      </c>
      <c r="B530">
        <v>16</v>
      </c>
      <c r="C530">
        <v>3872872.55859375</v>
      </c>
      <c r="D530">
        <v>4111197.587112552</v>
      </c>
      <c r="E530">
        <v>2.514222828181055E-5</v>
      </c>
      <c r="F530">
        <v>2.505194544630002E-5</v>
      </c>
      <c r="G530">
        <v>9.0282835510533332E-8</v>
      </c>
      <c r="H530" t="b">
        <v>0</v>
      </c>
    </row>
    <row r="531" spans="1:8" x14ac:dyDescent="0.15">
      <c r="A531">
        <v>106</v>
      </c>
      <c r="B531">
        <v>17</v>
      </c>
      <c r="C531">
        <v>3872810.05859375</v>
      </c>
      <c r="D531">
        <v>3950629.3636029358</v>
      </c>
      <c r="E531">
        <v>2.5138725133808179E-5</v>
      </c>
      <c r="F531">
        <v>2.505194544630002E-5</v>
      </c>
      <c r="G531">
        <v>8.6779687508162451E-8</v>
      </c>
      <c r="H531" t="b">
        <v>0</v>
      </c>
    </row>
    <row r="532" spans="1:8" x14ac:dyDescent="0.15">
      <c r="A532">
        <v>106</v>
      </c>
      <c r="B532">
        <v>18</v>
      </c>
      <c r="C532">
        <v>3872735.05859375</v>
      </c>
      <c r="D532">
        <v>3757997.4191532321</v>
      </c>
      <c r="E532">
        <v>2.5134520015064219E-5</v>
      </c>
      <c r="F532">
        <v>2.505194544630002E-5</v>
      </c>
      <c r="G532">
        <v>8.2574568764203214E-8</v>
      </c>
      <c r="H532" t="b">
        <v>0</v>
      </c>
    </row>
    <row r="533" spans="1:8" x14ac:dyDescent="0.15">
      <c r="A533">
        <v>106</v>
      </c>
      <c r="B533">
        <v>19</v>
      </c>
      <c r="C533">
        <v>3872772.55859375</v>
      </c>
      <c r="D533">
        <v>3854224.6491172719</v>
      </c>
      <c r="E533">
        <v>2.5136620968882202E-5</v>
      </c>
      <c r="F533">
        <v>2.505194544630002E-5</v>
      </c>
      <c r="G533">
        <v>8.4675522582185382E-8</v>
      </c>
      <c r="H533" t="b">
        <v>0</v>
      </c>
    </row>
    <row r="534" spans="1:8" x14ac:dyDescent="0.15">
      <c r="A534">
        <v>107</v>
      </c>
      <c r="B534">
        <v>1</v>
      </c>
      <c r="C534">
        <v>6050000</v>
      </c>
      <c r="D534">
        <v>94637410619.717529</v>
      </c>
      <c r="E534">
        <v>4.9285253916255998E-4</v>
      </c>
      <c r="F534">
        <v>2.421351300787992E-5</v>
      </c>
      <c r="G534">
        <v>4.6863902615468012E-4</v>
      </c>
      <c r="H534" t="b">
        <v>0</v>
      </c>
    </row>
    <row r="535" spans="1:8" x14ac:dyDescent="0.15">
      <c r="A535">
        <v>107</v>
      </c>
      <c r="B535">
        <v>2</v>
      </c>
      <c r="C535">
        <v>3075000</v>
      </c>
      <c r="D535">
        <v>-285527.8270032453</v>
      </c>
      <c r="E535">
        <v>5.1044589168559112E-6</v>
      </c>
      <c r="F535">
        <v>2.4213513007879941E-5</v>
      </c>
      <c r="G535">
        <v>-1.9109054091024031E-5</v>
      </c>
      <c r="H535" t="b">
        <v>1</v>
      </c>
    </row>
    <row r="536" spans="1:8" x14ac:dyDescent="0.15">
      <c r="A536">
        <v>107</v>
      </c>
      <c r="B536">
        <v>3</v>
      </c>
      <c r="C536">
        <v>4562500</v>
      </c>
      <c r="D536">
        <v>4624796485.3117065</v>
      </c>
      <c r="E536">
        <v>7.1356538239540217E-5</v>
      </c>
      <c r="F536">
        <v>2.4213513007879941E-5</v>
      </c>
      <c r="G536">
        <v>4.714302523166028E-5</v>
      </c>
      <c r="H536" t="b">
        <v>0</v>
      </c>
    </row>
    <row r="537" spans="1:8" x14ac:dyDescent="0.15">
      <c r="A537">
        <v>107</v>
      </c>
      <c r="B537">
        <v>4</v>
      </c>
      <c r="C537">
        <v>3818750</v>
      </c>
      <c r="D537">
        <v>-111680574.83587541</v>
      </c>
      <c r="E537">
        <v>1.6290754752356301E-5</v>
      </c>
      <c r="F537">
        <v>2.4213513007879941E-5</v>
      </c>
      <c r="G537">
        <v>-7.9227582555236329E-6</v>
      </c>
      <c r="H537" t="b">
        <v>1</v>
      </c>
    </row>
    <row r="538" spans="1:8" x14ac:dyDescent="0.15">
      <c r="A538">
        <v>107</v>
      </c>
      <c r="B538">
        <v>5</v>
      </c>
      <c r="C538">
        <v>4190625</v>
      </c>
      <c r="D538">
        <v>821091048.50113785</v>
      </c>
      <c r="E538">
        <v>3.6277590552117948E-5</v>
      </c>
      <c r="F538">
        <v>2.4213513007879941E-5</v>
      </c>
      <c r="G538">
        <v>1.2064077544238021E-5</v>
      </c>
      <c r="H538" t="b">
        <v>0</v>
      </c>
    </row>
    <row r="539" spans="1:8" x14ac:dyDescent="0.15">
      <c r="A539">
        <v>107</v>
      </c>
      <c r="B539">
        <v>6</v>
      </c>
      <c r="C539">
        <v>4004687.5</v>
      </c>
      <c r="D539">
        <v>25823263.096736301</v>
      </c>
      <c r="E539">
        <v>2.4744762187928971E-5</v>
      </c>
      <c r="F539">
        <v>2.4213513007879941E-5</v>
      </c>
      <c r="G539">
        <v>5.3124918004903663E-7</v>
      </c>
      <c r="H539" t="b">
        <v>0</v>
      </c>
    </row>
    <row r="540" spans="1:8" x14ac:dyDescent="0.15">
      <c r="A540">
        <v>107</v>
      </c>
      <c r="B540">
        <v>7</v>
      </c>
      <c r="C540">
        <v>3911718.75</v>
      </c>
      <c r="D540">
        <v>-124645208.1149379</v>
      </c>
      <c r="E540">
        <v>2.0173200955249689E-5</v>
      </c>
      <c r="F540">
        <v>2.4213513007879941E-5</v>
      </c>
      <c r="G540">
        <v>-4.0403120526302452E-6</v>
      </c>
      <c r="H540" t="b">
        <v>1</v>
      </c>
    </row>
    <row r="541" spans="1:8" x14ac:dyDescent="0.15">
      <c r="A541">
        <v>107</v>
      </c>
      <c r="B541">
        <v>8</v>
      </c>
      <c r="C541">
        <v>3958203.125</v>
      </c>
      <c r="D541">
        <v>-73168076.108903319</v>
      </c>
      <c r="E541">
        <v>2.236801259716666E-5</v>
      </c>
      <c r="F541">
        <v>2.4213513007879941E-5</v>
      </c>
      <c r="G541">
        <v>-1.8455004107132739E-6</v>
      </c>
      <c r="H541" t="b">
        <v>1</v>
      </c>
    </row>
    <row r="542" spans="1:8" x14ac:dyDescent="0.15">
      <c r="A542">
        <v>107</v>
      </c>
      <c r="B542">
        <v>9</v>
      </c>
      <c r="C542">
        <v>3981445.3125</v>
      </c>
      <c r="D542">
        <v>-30018749.082545169</v>
      </c>
      <c r="E542">
        <v>2.3532957310287592E-5</v>
      </c>
      <c r="F542">
        <v>2.4213513007879941E-5</v>
      </c>
      <c r="G542">
        <v>-6.8055569759234582E-7</v>
      </c>
      <c r="H542" t="b">
        <v>1</v>
      </c>
    </row>
    <row r="543" spans="1:8" x14ac:dyDescent="0.15">
      <c r="A543">
        <v>107</v>
      </c>
      <c r="B543">
        <v>10</v>
      </c>
      <c r="C543">
        <v>3993066.40625</v>
      </c>
      <c r="D543">
        <v>-3735716.6402883581</v>
      </c>
      <c r="E543">
        <v>2.4132922800365011E-5</v>
      </c>
      <c r="F543">
        <v>2.4213513007879941E-5</v>
      </c>
      <c r="G543">
        <v>-8.0590207514926859E-8</v>
      </c>
      <c r="H543" t="b">
        <v>1</v>
      </c>
    </row>
    <row r="544" spans="1:8" x14ac:dyDescent="0.15">
      <c r="A544">
        <v>107</v>
      </c>
      <c r="B544">
        <v>11</v>
      </c>
      <c r="C544">
        <v>3998876.953125</v>
      </c>
      <c r="D544">
        <v>10627726.548125289</v>
      </c>
      <c r="E544">
        <v>2.443734679137905E-5</v>
      </c>
      <c r="F544">
        <v>2.4213513007879941E-5</v>
      </c>
      <c r="G544">
        <v>2.2383378349910961E-7</v>
      </c>
      <c r="H544" t="b">
        <v>0</v>
      </c>
    </row>
    <row r="545" spans="1:8" x14ac:dyDescent="0.15">
      <c r="A545">
        <v>107</v>
      </c>
      <c r="B545">
        <v>12</v>
      </c>
      <c r="C545">
        <v>3995971.6796875</v>
      </c>
      <c r="D545">
        <v>3342790.5705570681</v>
      </c>
      <c r="E545">
        <v>2.4284761756488451E-5</v>
      </c>
      <c r="F545">
        <v>2.4213513007879941E-5</v>
      </c>
      <c r="G545">
        <v>7.1248748608516586E-8</v>
      </c>
      <c r="H545" t="b">
        <v>0</v>
      </c>
    </row>
    <row r="546" spans="1:8" x14ac:dyDescent="0.15">
      <c r="A546">
        <v>107</v>
      </c>
      <c r="B546">
        <v>13</v>
      </c>
      <c r="C546">
        <v>3997424.31640625</v>
      </c>
      <c r="D546">
        <v>6959432.8957380792</v>
      </c>
      <c r="E546">
        <v>2.4360962528526549E-5</v>
      </c>
      <c r="F546">
        <v>2.4213513007879941E-5</v>
      </c>
      <c r="G546">
        <v>1.4744952064661449E-7</v>
      </c>
      <c r="H546" t="b">
        <v>0</v>
      </c>
    </row>
    <row r="547" spans="1:8" x14ac:dyDescent="0.15">
      <c r="A547">
        <v>107</v>
      </c>
      <c r="B547">
        <v>14</v>
      </c>
      <c r="C547">
        <v>3996924.31640625</v>
      </c>
      <c r="D547">
        <v>5708696.8062412823</v>
      </c>
      <c r="E547">
        <v>2.4334712090625799E-5</v>
      </c>
      <c r="F547">
        <v>2.4213513007879941E-5</v>
      </c>
      <c r="G547">
        <v>1.2119908274585791E-7</v>
      </c>
      <c r="H547" t="b">
        <v>0</v>
      </c>
    </row>
    <row r="548" spans="1:8" x14ac:dyDescent="0.15">
      <c r="A548">
        <v>107</v>
      </c>
      <c r="B548">
        <v>15</v>
      </c>
      <c r="C548">
        <v>3996324.31640625</v>
      </c>
      <c r="D548">
        <v>4216056.7184931282</v>
      </c>
      <c r="E548">
        <v>2.4303243974126069E-5</v>
      </c>
      <c r="F548">
        <v>2.4213513007879941E-5</v>
      </c>
      <c r="G548">
        <v>8.9730966246128353E-8</v>
      </c>
      <c r="H548" t="b">
        <v>0</v>
      </c>
    </row>
    <row r="549" spans="1:8" x14ac:dyDescent="0.15">
      <c r="A549">
        <v>107</v>
      </c>
      <c r="B549">
        <v>16</v>
      </c>
      <c r="C549">
        <v>3995604.31640625</v>
      </c>
      <c r="D549">
        <v>2436362.0826423871</v>
      </c>
      <c r="E549">
        <v>2.4265520908832218E-5</v>
      </c>
      <c r="F549">
        <v>2.4213513007879941E-5</v>
      </c>
      <c r="G549">
        <v>5.2007900952277591E-8</v>
      </c>
      <c r="H549" t="b">
        <v>0</v>
      </c>
    </row>
    <row r="550" spans="1:8" x14ac:dyDescent="0.15">
      <c r="A550">
        <v>107</v>
      </c>
      <c r="B550">
        <v>17</v>
      </c>
      <c r="C550">
        <v>3995964.31640625</v>
      </c>
      <c r="D550">
        <v>3324659.9683173881</v>
      </c>
      <c r="E550">
        <v>2.4284377464948051E-5</v>
      </c>
      <c r="F550">
        <v>2.4213513007879941E-5</v>
      </c>
      <c r="G550">
        <v>7.0864457068117286E-8</v>
      </c>
      <c r="H550" t="b">
        <v>0</v>
      </c>
    </row>
    <row r="551" spans="1:8" x14ac:dyDescent="0.15">
      <c r="A551">
        <v>107</v>
      </c>
      <c r="B551">
        <v>18</v>
      </c>
      <c r="C551">
        <v>3996396.31640625</v>
      </c>
      <c r="D551">
        <v>4394646.3556164429</v>
      </c>
      <c r="E551">
        <v>2.430701716556771E-5</v>
      </c>
      <c r="F551">
        <v>2.4213513007879941E-5</v>
      </c>
      <c r="G551">
        <v>9.3504157687776117E-8</v>
      </c>
      <c r="H551" t="b">
        <v>0</v>
      </c>
    </row>
    <row r="552" spans="1:8" x14ac:dyDescent="0.15">
      <c r="A552">
        <v>107</v>
      </c>
      <c r="B552">
        <v>19</v>
      </c>
      <c r="C552">
        <v>3996180.31640625</v>
      </c>
      <c r="D552">
        <v>3859047.564989897</v>
      </c>
      <c r="E552">
        <v>2.4295694516256731E-5</v>
      </c>
      <c r="F552">
        <v>2.4213513007879941E-5</v>
      </c>
      <c r="G552">
        <v>8.218150837679676E-8</v>
      </c>
      <c r="H552" t="b">
        <v>0</v>
      </c>
    </row>
    <row r="553" spans="1:8" x14ac:dyDescent="0.15">
      <c r="A553">
        <v>107</v>
      </c>
      <c r="B553">
        <v>20</v>
      </c>
      <c r="C553">
        <v>3996288.31640625</v>
      </c>
      <c r="D553">
        <v>4126704.2540139132</v>
      </c>
      <c r="E553">
        <v>2.4301355326240561E-5</v>
      </c>
      <c r="F553">
        <v>2.4213513007879941E-5</v>
      </c>
      <c r="G553">
        <v>8.7842318360627469E-8</v>
      </c>
      <c r="H553" t="b">
        <v>0</v>
      </c>
    </row>
    <row r="554" spans="1:8" x14ac:dyDescent="0.15">
      <c r="A554">
        <v>107</v>
      </c>
      <c r="B554">
        <v>21</v>
      </c>
      <c r="C554">
        <v>3996234.31640625</v>
      </c>
      <c r="D554">
        <v>3992910.31786429</v>
      </c>
      <c r="E554">
        <v>2.429852627474098E-5</v>
      </c>
      <c r="F554">
        <v>2.4213513007879941E-5</v>
      </c>
      <c r="G554">
        <v>8.5013266861042535E-8</v>
      </c>
      <c r="H554" t="b">
        <v>0</v>
      </c>
    </row>
    <row r="555" spans="1:8" x14ac:dyDescent="0.15">
      <c r="A555">
        <v>108</v>
      </c>
      <c r="B555">
        <v>1</v>
      </c>
      <c r="C555">
        <v>6050000</v>
      </c>
      <c r="D555">
        <v>6197856962.5397787</v>
      </c>
      <c r="E555">
        <v>7.859989427753047E-5</v>
      </c>
      <c r="F555">
        <v>2.3038280944948399E-5</v>
      </c>
      <c r="G555">
        <v>5.5561613332582068E-5</v>
      </c>
      <c r="H555" t="b">
        <v>0</v>
      </c>
    </row>
    <row r="556" spans="1:8" x14ac:dyDescent="0.15">
      <c r="A556">
        <v>108</v>
      </c>
      <c r="B556">
        <v>2</v>
      </c>
      <c r="C556">
        <v>3075000</v>
      </c>
      <c r="D556">
        <v>-91790.105830524262</v>
      </c>
      <c r="E556">
        <v>6.0205237337837338E-7</v>
      </c>
      <c r="F556">
        <v>2.3038280944948399E-5</v>
      </c>
      <c r="G556">
        <v>-2.243622857157002E-5</v>
      </c>
      <c r="H556" t="b">
        <v>1</v>
      </c>
    </row>
    <row r="557" spans="1:8" x14ac:dyDescent="0.15">
      <c r="A557">
        <v>108</v>
      </c>
      <c r="B557">
        <v>3</v>
      </c>
      <c r="C557">
        <v>4562500</v>
      </c>
      <c r="D557">
        <v>-3869992.9076294131</v>
      </c>
      <c r="E557">
        <v>9.9955777784441546E-6</v>
      </c>
      <c r="F557">
        <v>2.3038280944948399E-5</v>
      </c>
      <c r="G557">
        <v>-1.3042703166504241E-5</v>
      </c>
      <c r="H557" t="b">
        <v>1</v>
      </c>
    </row>
    <row r="558" spans="1:8" x14ac:dyDescent="0.15">
      <c r="A558">
        <v>108</v>
      </c>
      <c r="B558">
        <v>4</v>
      </c>
      <c r="C558">
        <v>5306250</v>
      </c>
      <c r="D558">
        <v>337436029.74581641</v>
      </c>
      <c r="E558">
        <v>2.8394033368968399E-5</v>
      </c>
      <c r="F558">
        <v>2.3038280944948399E-5</v>
      </c>
      <c r="G558">
        <v>5.3557524240200067E-6</v>
      </c>
      <c r="H558" t="b">
        <v>0</v>
      </c>
    </row>
    <row r="559" spans="1:8" x14ac:dyDescent="0.15">
      <c r="A559">
        <v>108</v>
      </c>
      <c r="B559">
        <v>5</v>
      </c>
      <c r="C559">
        <v>4934375</v>
      </c>
      <c r="D559">
        <v>-104995797.8191987</v>
      </c>
      <c r="E559">
        <v>1.5302744675536858E-5</v>
      </c>
      <c r="F559">
        <v>2.3038280944948399E-5</v>
      </c>
      <c r="G559">
        <v>-7.7355362694115336E-6</v>
      </c>
      <c r="H559" t="b">
        <v>1</v>
      </c>
    </row>
    <row r="560" spans="1:8" x14ac:dyDescent="0.15">
      <c r="A560">
        <v>108</v>
      </c>
      <c r="B560">
        <v>6</v>
      </c>
      <c r="C560">
        <v>5120312.5</v>
      </c>
      <c r="D560">
        <v>-79683224.884989217</v>
      </c>
      <c r="E560">
        <v>2.10704727474169E-5</v>
      </c>
      <c r="F560">
        <v>2.3038280944948399E-5</v>
      </c>
      <c r="G560">
        <v>-1.967808197531495E-6</v>
      </c>
      <c r="H560" t="b">
        <v>1</v>
      </c>
    </row>
    <row r="561" spans="1:8" x14ac:dyDescent="0.15">
      <c r="A561">
        <v>108</v>
      </c>
      <c r="B561">
        <v>7</v>
      </c>
      <c r="C561">
        <v>5213281.25</v>
      </c>
      <c r="D561">
        <v>81314502.812294468</v>
      </c>
      <c r="E561">
        <v>2.4522045835832559E-5</v>
      </c>
      <c r="F561">
        <v>2.3038280944948399E-5</v>
      </c>
      <c r="G561">
        <v>1.4837648908841609E-6</v>
      </c>
      <c r="H561" t="b">
        <v>0</v>
      </c>
    </row>
    <row r="562" spans="1:8" x14ac:dyDescent="0.15">
      <c r="A562">
        <v>108</v>
      </c>
      <c r="B562">
        <v>8</v>
      </c>
      <c r="C562">
        <v>5166796.875</v>
      </c>
      <c r="D562">
        <v>-13930517.641243091</v>
      </c>
      <c r="E562">
        <v>2.2745641529638809E-5</v>
      </c>
      <c r="F562">
        <v>2.3038280944948399E-5</v>
      </c>
      <c r="G562">
        <v>-2.9263941530958281E-7</v>
      </c>
      <c r="H562" t="b">
        <v>1</v>
      </c>
    </row>
    <row r="563" spans="1:8" x14ac:dyDescent="0.15">
      <c r="A563">
        <v>108</v>
      </c>
      <c r="B563">
        <v>9</v>
      </c>
      <c r="C563">
        <v>5190039.0625</v>
      </c>
      <c r="D563">
        <v>29829887.457306571</v>
      </c>
      <c r="E563">
        <v>2.3620980047576121E-5</v>
      </c>
      <c r="F563">
        <v>2.3038280944948399E-5</v>
      </c>
      <c r="G563">
        <v>5.826991026277292E-7</v>
      </c>
      <c r="H563" t="b">
        <v>0</v>
      </c>
    </row>
    <row r="564" spans="1:8" x14ac:dyDescent="0.15">
      <c r="A564">
        <v>108</v>
      </c>
      <c r="B564">
        <v>10</v>
      </c>
      <c r="C564">
        <v>5178417.96875</v>
      </c>
      <c r="D564">
        <v>7005806.7628084421</v>
      </c>
      <c r="E564">
        <v>2.3180112977916229E-5</v>
      </c>
      <c r="F564">
        <v>2.3038280944948399E-5</v>
      </c>
      <c r="G564">
        <v>1.41832032967837E-7</v>
      </c>
      <c r="H564" t="b">
        <v>0</v>
      </c>
    </row>
    <row r="565" spans="1:8" x14ac:dyDescent="0.15">
      <c r="A565">
        <v>108</v>
      </c>
      <c r="B565">
        <v>11</v>
      </c>
      <c r="C565">
        <v>5172607.421875</v>
      </c>
      <c r="D565">
        <v>-3695616.7010115688</v>
      </c>
      <c r="E565">
        <v>2.296208007974512E-5</v>
      </c>
      <c r="F565">
        <v>2.3038280944948399E-5</v>
      </c>
      <c r="G565">
        <v>-7.6200865203275488E-8</v>
      </c>
      <c r="H565" t="b">
        <v>1</v>
      </c>
    </row>
    <row r="566" spans="1:8" x14ac:dyDescent="0.15">
      <c r="A566">
        <v>108</v>
      </c>
      <c r="B566">
        <v>12</v>
      </c>
      <c r="C566">
        <v>5175512.6953125</v>
      </c>
      <c r="D566">
        <v>1596483.640076261</v>
      </c>
      <c r="E566">
        <v>2.3070897817922059E-5</v>
      </c>
      <c r="F566">
        <v>2.3038280944948399E-5</v>
      </c>
      <c r="G566">
        <v>3.2616872973664068E-8</v>
      </c>
      <c r="H566" t="b">
        <v>0</v>
      </c>
    </row>
    <row r="567" spans="1:8" x14ac:dyDescent="0.15">
      <c r="A567">
        <v>108</v>
      </c>
      <c r="B567">
        <v>13</v>
      </c>
      <c r="C567">
        <v>5176965.33203125</v>
      </c>
      <c r="D567">
        <v>4286440.3760836218</v>
      </c>
      <c r="E567">
        <v>2.3125455483695401E-5</v>
      </c>
      <c r="F567">
        <v>2.3038280944948399E-5</v>
      </c>
      <c r="G567">
        <v>8.7174538747002118E-8</v>
      </c>
      <c r="H567" t="b">
        <v>0</v>
      </c>
    </row>
    <row r="568" spans="1:8" x14ac:dyDescent="0.15">
      <c r="A568">
        <v>108</v>
      </c>
      <c r="B568">
        <v>14</v>
      </c>
      <c r="C568">
        <v>5178165.33203125</v>
      </c>
      <c r="D568">
        <v>6530678.4244251456</v>
      </c>
      <c r="E568">
        <v>2.3170598574343639E-5</v>
      </c>
      <c r="F568">
        <v>2.3038280944948399E-5</v>
      </c>
      <c r="G568">
        <v>1.323176293952399E-7</v>
      </c>
      <c r="H568" t="b">
        <v>0</v>
      </c>
    </row>
    <row r="569" spans="1:8" x14ac:dyDescent="0.15">
      <c r="A569">
        <v>108</v>
      </c>
      <c r="B569">
        <v>15</v>
      </c>
      <c r="C569">
        <v>5177565.33203125</v>
      </c>
      <c r="D569">
        <v>5406082.9641918326</v>
      </c>
      <c r="E569">
        <v>2.314801921721519E-5</v>
      </c>
      <c r="F569">
        <v>2.3038280944948399E-5</v>
      </c>
      <c r="G569">
        <v>1.09738272266795E-7</v>
      </c>
      <c r="H569" t="b">
        <v>0</v>
      </c>
    </row>
    <row r="570" spans="1:8" x14ac:dyDescent="0.15">
      <c r="A570">
        <v>108</v>
      </c>
      <c r="B570">
        <v>16</v>
      </c>
      <c r="C570">
        <v>5176845.33203125</v>
      </c>
      <c r="D570">
        <v>4063044.229924737</v>
      </c>
      <c r="E570">
        <v>2.312094336839518E-5</v>
      </c>
      <c r="F570">
        <v>2.3038280944948399E-5</v>
      </c>
      <c r="G570">
        <v>8.2662423446787673E-8</v>
      </c>
      <c r="H570" t="b">
        <v>0</v>
      </c>
    </row>
    <row r="571" spans="1:8" x14ac:dyDescent="0.15">
      <c r="A571">
        <v>108</v>
      </c>
      <c r="B571">
        <v>17</v>
      </c>
      <c r="C571">
        <v>5177205.33203125</v>
      </c>
      <c r="D571">
        <v>4733694.9801287204</v>
      </c>
      <c r="E571">
        <v>2.3134478932886899E-5</v>
      </c>
      <c r="F571">
        <v>2.3038280944948399E-5</v>
      </c>
      <c r="G571">
        <v>9.6197987938500255E-8</v>
      </c>
      <c r="H571" t="b">
        <v>0</v>
      </c>
    </row>
    <row r="572" spans="1:8" x14ac:dyDescent="0.15">
      <c r="A572">
        <v>108</v>
      </c>
      <c r="B572">
        <v>18</v>
      </c>
      <c r="C572">
        <v>5177637.33203125</v>
      </c>
      <c r="D572">
        <v>5540777.5353112742</v>
      </c>
      <c r="E572">
        <v>2.3150728010138641E-5</v>
      </c>
      <c r="F572">
        <v>2.3038280944948399E-5</v>
      </c>
      <c r="G572">
        <v>1.124470651902452E-7</v>
      </c>
      <c r="H572" t="b">
        <v>0</v>
      </c>
    </row>
    <row r="573" spans="1:8" x14ac:dyDescent="0.15">
      <c r="A573">
        <v>108</v>
      </c>
      <c r="B573">
        <v>19</v>
      </c>
      <c r="C573">
        <v>5177421.33203125</v>
      </c>
      <c r="D573">
        <v>5136840.5882146498</v>
      </c>
      <c r="E573">
        <v>2.314260095332363E-5</v>
      </c>
      <c r="F573">
        <v>2.3038280944948399E-5</v>
      </c>
      <c r="G573">
        <v>1.043200083752311E-7</v>
      </c>
      <c r="H573" t="b">
        <v>0</v>
      </c>
    </row>
    <row r="574" spans="1:8" x14ac:dyDescent="0.15">
      <c r="A574">
        <v>109</v>
      </c>
      <c r="B574">
        <v>1</v>
      </c>
      <c r="C574">
        <v>6050000</v>
      </c>
      <c r="D574">
        <v>6546843280.0756798</v>
      </c>
      <c r="E574">
        <v>8.0962494259901021E-5</v>
      </c>
      <c r="F574">
        <v>2.3038280944948399E-5</v>
      </c>
      <c r="G574">
        <v>5.7924213314952632E-5</v>
      </c>
      <c r="H574" t="b">
        <v>0</v>
      </c>
    </row>
    <row r="575" spans="1:8" x14ac:dyDescent="0.15">
      <c r="A575">
        <v>109</v>
      </c>
      <c r="B575">
        <v>2</v>
      </c>
      <c r="C575">
        <v>3075000</v>
      </c>
      <c r="D575">
        <v>-92945.585376509698</v>
      </c>
      <c r="E575">
        <v>6.5957867853074899E-7</v>
      </c>
      <c r="F575">
        <v>2.3038280944948399E-5</v>
      </c>
      <c r="G575">
        <v>-2.2378702266417651E-5</v>
      </c>
      <c r="H575" t="b">
        <v>1</v>
      </c>
    </row>
    <row r="576" spans="1:8" x14ac:dyDescent="0.15">
      <c r="A576">
        <v>109</v>
      </c>
      <c r="B576">
        <v>3</v>
      </c>
      <c r="C576">
        <v>4562500</v>
      </c>
      <c r="D576">
        <v>-4418979.767680523</v>
      </c>
      <c r="E576">
        <v>1.018236023508673E-5</v>
      </c>
      <c r="F576">
        <v>2.3038280944948399E-5</v>
      </c>
      <c r="G576">
        <v>-1.285592070986167E-5</v>
      </c>
      <c r="H576" t="b">
        <v>1</v>
      </c>
    </row>
    <row r="577" spans="1:8" x14ac:dyDescent="0.15">
      <c r="A577">
        <v>109</v>
      </c>
      <c r="B577">
        <v>4</v>
      </c>
      <c r="C577">
        <v>5306250</v>
      </c>
      <c r="D577">
        <v>406964952.94558853</v>
      </c>
      <c r="E577">
        <v>2.934098545444092E-5</v>
      </c>
      <c r="F577">
        <v>2.3038280944948399E-5</v>
      </c>
      <c r="G577">
        <v>6.3027045094925242E-6</v>
      </c>
      <c r="H577" t="b">
        <v>0</v>
      </c>
    </row>
    <row r="578" spans="1:8" x14ac:dyDescent="0.15">
      <c r="A578">
        <v>109</v>
      </c>
      <c r="B578">
        <v>5</v>
      </c>
      <c r="C578">
        <v>4934375</v>
      </c>
      <c r="D578">
        <v>-116668275.12151849</v>
      </c>
      <c r="E578">
        <v>1.5845273607994451E-5</v>
      </c>
      <c r="F578">
        <v>2.3038280944948399E-5</v>
      </c>
      <c r="G578">
        <v>-7.1930073369539411E-6</v>
      </c>
      <c r="H578" t="b">
        <v>1</v>
      </c>
    </row>
    <row r="579" spans="1:8" x14ac:dyDescent="0.15">
      <c r="A579">
        <v>109</v>
      </c>
      <c r="B579">
        <v>6</v>
      </c>
      <c r="C579">
        <v>5120312.5</v>
      </c>
      <c r="D579">
        <v>-54239444.618383981</v>
      </c>
      <c r="E579">
        <v>2.179441982697596E-5</v>
      </c>
      <c r="F579">
        <v>2.3038280944948399E-5</v>
      </c>
      <c r="G579">
        <v>-1.243861117972438E-6</v>
      </c>
      <c r="H579" t="b">
        <v>1</v>
      </c>
    </row>
    <row r="580" spans="1:8" x14ac:dyDescent="0.15">
      <c r="A580">
        <v>109</v>
      </c>
      <c r="B580">
        <v>7</v>
      </c>
      <c r="C580">
        <v>5213281.25</v>
      </c>
      <c r="D580">
        <v>133107261.9979528</v>
      </c>
      <c r="E580">
        <v>2.535193248265246E-5</v>
      </c>
      <c r="F580">
        <v>2.3038280944948399E-5</v>
      </c>
      <c r="G580">
        <v>2.313651537704068E-6</v>
      </c>
      <c r="H580" t="b">
        <v>0</v>
      </c>
    </row>
    <row r="581" spans="1:8" x14ac:dyDescent="0.15">
      <c r="A581">
        <v>109</v>
      </c>
      <c r="B581">
        <v>8</v>
      </c>
      <c r="C581">
        <v>5166796.875</v>
      </c>
      <c r="D581">
        <v>24531193.386208698</v>
      </c>
      <c r="E581">
        <v>2.3521292708761479E-5</v>
      </c>
      <c r="F581">
        <v>2.3038280944948399E-5</v>
      </c>
      <c r="G581">
        <v>4.8301176381308034E-7</v>
      </c>
      <c r="H581" t="b">
        <v>0</v>
      </c>
    </row>
    <row r="582" spans="1:8" x14ac:dyDescent="0.15">
      <c r="A582">
        <v>109</v>
      </c>
      <c r="B582">
        <v>9</v>
      </c>
      <c r="C582">
        <v>5143554.6875</v>
      </c>
      <c r="D582">
        <v>-18546175.113134399</v>
      </c>
      <c r="E582">
        <v>2.264523610609525E-5</v>
      </c>
      <c r="F582">
        <v>2.3038280944948399E-5</v>
      </c>
      <c r="G582">
        <v>-3.9304483885314138E-7</v>
      </c>
      <c r="H582" t="b">
        <v>1</v>
      </c>
    </row>
    <row r="583" spans="1:8" x14ac:dyDescent="0.15">
      <c r="A583">
        <v>109</v>
      </c>
      <c r="B583">
        <v>10</v>
      </c>
      <c r="C583">
        <v>5155175.78125</v>
      </c>
      <c r="D583">
        <v>2045812.026431975</v>
      </c>
      <c r="E583">
        <v>2.3080045697631239E-5</v>
      </c>
      <c r="F583">
        <v>2.3038280944948399E-5</v>
      </c>
      <c r="G583">
        <v>4.176475268284345E-8</v>
      </c>
      <c r="H583" t="b">
        <v>0</v>
      </c>
    </row>
    <row r="584" spans="1:8" x14ac:dyDescent="0.15">
      <c r="A584">
        <v>109</v>
      </c>
      <c r="B584">
        <v>11</v>
      </c>
      <c r="C584">
        <v>5160986.328125</v>
      </c>
      <c r="D584">
        <v>13049076.67517557</v>
      </c>
      <c r="E584">
        <v>2.3299861988773581E-5</v>
      </c>
      <c r="F584">
        <v>2.3038280944948399E-5</v>
      </c>
      <c r="G584">
        <v>2.6158104382518221E-7</v>
      </c>
      <c r="H584" t="b">
        <v>0</v>
      </c>
    </row>
    <row r="585" spans="1:8" x14ac:dyDescent="0.15">
      <c r="A585">
        <v>109</v>
      </c>
      <c r="B585">
        <v>12</v>
      </c>
      <c r="C585">
        <v>5158081.0546875</v>
      </c>
      <c r="D585">
        <v>7487887.3864204567</v>
      </c>
      <c r="E585">
        <v>2.3189751468799931E-5</v>
      </c>
      <c r="F585">
        <v>2.3038280944948399E-5</v>
      </c>
      <c r="G585">
        <v>1.514705238515324E-7</v>
      </c>
      <c r="H585" t="b">
        <v>0</v>
      </c>
    </row>
    <row r="586" spans="1:8" x14ac:dyDescent="0.15">
      <c r="A586">
        <v>109</v>
      </c>
      <c r="B586">
        <v>13</v>
      </c>
      <c r="C586">
        <v>5156628.41796875</v>
      </c>
      <c r="D586">
        <v>4752013.7172822123</v>
      </c>
      <c r="E586">
        <v>2.3134848229986679E-5</v>
      </c>
      <c r="F586">
        <v>2.3038280944948399E-5</v>
      </c>
      <c r="G586">
        <v>9.656728503828067E-8</v>
      </c>
      <c r="H586" t="b">
        <v>0</v>
      </c>
    </row>
    <row r="587" spans="1:8" x14ac:dyDescent="0.15">
      <c r="A587">
        <v>109</v>
      </c>
      <c r="B587">
        <v>14</v>
      </c>
      <c r="C587">
        <v>5157128.41796875</v>
      </c>
      <c r="D587">
        <v>5690352.6858231416</v>
      </c>
      <c r="E587">
        <v>2.315373464469259E-5</v>
      </c>
      <c r="F587">
        <v>2.3038280944948399E-5</v>
      </c>
      <c r="G587">
        <v>1.154536997441979E-7</v>
      </c>
      <c r="H587" t="b">
        <v>0</v>
      </c>
    </row>
    <row r="588" spans="1:8" x14ac:dyDescent="0.15">
      <c r="A588">
        <v>109</v>
      </c>
      <c r="B588">
        <v>15</v>
      </c>
      <c r="C588">
        <v>5156878.41796875</v>
      </c>
      <c r="D588">
        <v>5220743.5539060924</v>
      </c>
      <c r="E588">
        <v>2.314428994562507E-5</v>
      </c>
      <c r="F588">
        <v>2.3038280944948399E-5</v>
      </c>
      <c r="G588">
        <v>1.060090006766709E-7</v>
      </c>
      <c r="H588" t="b">
        <v>0</v>
      </c>
    </row>
    <row r="589" spans="1:8" x14ac:dyDescent="0.15">
      <c r="A589">
        <v>109</v>
      </c>
      <c r="B589">
        <v>16</v>
      </c>
      <c r="C589">
        <v>5156578.41796875</v>
      </c>
      <c r="D589">
        <v>4658443.3139409451</v>
      </c>
      <c r="E589">
        <v>2.3132961658156699E-5</v>
      </c>
      <c r="F589">
        <v>2.3038280944948399E-5</v>
      </c>
      <c r="G589">
        <v>9.4680713208303974E-8</v>
      </c>
      <c r="H589" t="b">
        <v>0</v>
      </c>
    </row>
    <row r="590" spans="1:8" x14ac:dyDescent="0.15">
      <c r="A590">
        <v>109</v>
      </c>
      <c r="B590">
        <v>17</v>
      </c>
      <c r="C590">
        <v>5156728.41796875</v>
      </c>
      <c r="D590">
        <v>4939400.1653139414</v>
      </c>
      <c r="E590">
        <v>2.313862455827137E-5</v>
      </c>
      <c r="F590">
        <v>2.3038280944948399E-5</v>
      </c>
      <c r="G590">
        <v>1.003436133229714E-7</v>
      </c>
      <c r="H590" t="b">
        <v>0</v>
      </c>
    </row>
    <row r="591" spans="1:8" x14ac:dyDescent="0.15">
      <c r="A591">
        <v>109</v>
      </c>
      <c r="B591">
        <v>18</v>
      </c>
      <c r="C591">
        <v>5156908.41796875</v>
      </c>
      <c r="D591">
        <v>5277050.2140794359</v>
      </c>
      <c r="E591">
        <v>2.3145423151975749E-5</v>
      </c>
      <c r="F591">
        <v>2.3038280944948399E-5</v>
      </c>
      <c r="G591">
        <v>1.071422070273572E-7</v>
      </c>
      <c r="H591" t="b">
        <v>0</v>
      </c>
    </row>
    <row r="592" spans="1:8" x14ac:dyDescent="0.15">
      <c r="A592">
        <v>109</v>
      </c>
      <c r="B592">
        <v>19</v>
      </c>
      <c r="C592">
        <v>5156818.41796875</v>
      </c>
      <c r="D592">
        <v>5108168.2183710169</v>
      </c>
      <c r="E592">
        <v>2.31420236618074E-5</v>
      </c>
      <c r="F592">
        <v>2.3038280944948399E-5</v>
      </c>
      <c r="G592">
        <v>1.037427168590048E-7</v>
      </c>
      <c r="H592" t="b">
        <v>0</v>
      </c>
    </row>
    <row r="593" spans="1:8" x14ac:dyDescent="0.15">
      <c r="A593">
        <v>110</v>
      </c>
      <c r="B593">
        <v>1</v>
      </c>
      <c r="C593">
        <v>6050000</v>
      </c>
      <c r="D593">
        <v>29098239249.92757</v>
      </c>
      <c r="E593">
        <v>1.9468613494133861E-4</v>
      </c>
      <c r="F593">
        <v>2.230515813022582E-5</v>
      </c>
      <c r="G593">
        <v>1.7238097681111279E-4</v>
      </c>
      <c r="H593" t="b">
        <v>0</v>
      </c>
    </row>
    <row r="594" spans="1:8" x14ac:dyDescent="0.15">
      <c r="A594">
        <v>110</v>
      </c>
      <c r="B594">
        <v>2</v>
      </c>
      <c r="C594">
        <v>3075000</v>
      </c>
      <c r="D594">
        <v>-142990.66264935079</v>
      </c>
      <c r="E594">
        <v>2.3366654081529482E-6</v>
      </c>
      <c r="F594">
        <v>2.230515813022582E-5</v>
      </c>
      <c r="G594">
        <v>-1.9968492722072869E-5</v>
      </c>
      <c r="H594" t="b">
        <v>1</v>
      </c>
    </row>
    <row r="595" spans="1:8" x14ac:dyDescent="0.15">
      <c r="A595">
        <v>110</v>
      </c>
      <c r="B595">
        <v>3</v>
      </c>
      <c r="C595">
        <v>4562500</v>
      </c>
      <c r="D595">
        <v>53154022.360475257</v>
      </c>
      <c r="E595">
        <v>2.3280366905726461E-5</v>
      </c>
      <c r="F595">
        <v>2.230515813022582E-5</v>
      </c>
      <c r="G595">
        <v>9.7520877550064789E-7</v>
      </c>
      <c r="H595" t="b">
        <v>0</v>
      </c>
    </row>
    <row r="596" spans="1:8" x14ac:dyDescent="0.15">
      <c r="A596">
        <v>110</v>
      </c>
      <c r="B596">
        <v>4</v>
      </c>
      <c r="C596">
        <v>3818750</v>
      </c>
      <c r="D596">
        <v>-1102394.4316227799</v>
      </c>
      <c r="E596">
        <v>7.6953596955259228E-6</v>
      </c>
      <c r="F596">
        <v>2.230515813022582E-5</v>
      </c>
      <c r="G596">
        <v>-1.460979843469989E-5</v>
      </c>
      <c r="H596" t="b">
        <v>1</v>
      </c>
    </row>
    <row r="597" spans="1:8" x14ac:dyDescent="0.15">
      <c r="A597">
        <v>110</v>
      </c>
      <c r="B597">
        <v>5</v>
      </c>
      <c r="C597">
        <v>4190625</v>
      </c>
      <c r="D597">
        <v>-22793408.865602922</v>
      </c>
      <c r="E597">
        <v>1.1995694633779639E-5</v>
      </c>
      <c r="F597">
        <v>2.230515813022582E-5</v>
      </c>
      <c r="G597">
        <v>-1.030946349644618E-5</v>
      </c>
      <c r="H597" t="b">
        <v>1</v>
      </c>
    </row>
    <row r="598" spans="1:8" x14ac:dyDescent="0.15">
      <c r="A598">
        <v>110</v>
      </c>
      <c r="B598">
        <v>6</v>
      </c>
      <c r="C598">
        <v>4376562.5</v>
      </c>
      <c r="D598">
        <v>-128590229.4633467</v>
      </c>
      <c r="E598">
        <v>1.6233840031022629E-5</v>
      </c>
      <c r="F598">
        <v>2.230515813022582E-5</v>
      </c>
      <c r="G598">
        <v>-6.0713180992031841E-6</v>
      </c>
      <c r="H598" t="b">
        <v>1</v>
      </c>
    </row>
    <row r="599" spans="1:8" x14ac:dyDescent="0.15">
      <c r="A599">
        <v>110</v>
      </c>
      <c r="B599">
        <v>7</v>
      </c>
      <c r="C599">
        <v>4469531.25</v>
      </c>
      <c r="D599">
        <v>-104692739.55076</v>
      </c>
      <c r="E599">
        <v>1.9510373144523311E-5</v>
      </c>
      <c r="F599">
        <v>2.230515813022582E-5</v>
      </c>
      <c r="G599">
        <v>-2.7947849857025092E-6</v>
      </c>
      <c r="H599" t="b">
        <v>1</v>
      </c>
    </row>
    <row r="600" spans="1:8" x14ac:dyDescent="0.15">
      <c r="A600">
        <v>110</v>
      </c>
      <c r="B600">
        <v>8</v>
      </c>
      <c r="C600">
        <v>4516015.625</v>
      </c>
      <c r="D600">
        <v>-44738023.346894093</v>
      </c>
      <c r="E600">
        <v>2.133070246143525E-5</v>
      </c>
      <c r="F600">
        <v>2.230515813022582E-5</v>
      </c>
      <c r="G600">
        <v>-9.7445566879056662E-7</v>
      </c>
      <c r="H600" t="b">
        <v>1</v>
      </c>
    </row>
    <row r="601" spans="1:8" x14ac:dyDescent="0.15">
      <c r="A601">
        <v>110</v>
      </c>
      <c r="B601">
        <v>9</v>
      </c>
      <c r="C601">
        <v>4539257.8125</v>
      </c>
      <c r="D601">
        <v>-806873.90244387626</v>
      </c>
      <c r="E601">
        <v>2.228908242125717E-5</v>
      </c>
      <c r="F601">
        <v>2.230515813022582E-5</v>
      </c>
      <c r="G601">
        <v>-1.607570896864667E-8</v>
      </c>
      <c r="H601" t="b">
        <v>1</v>
      </c>
    </row>
    <row r="602" spans="1:8" x14ac:dyDescent="0.15">
      <c r="A602">
        <v>110</v>
      </c>
      <c r="B602">
        <v>10</v>
      </c>
      <c r="C602">
        <v>4550878.90625</v>
      </c>
      <c r="D602">
        <v>24886263.062312089</v>
      </c>
      <c r="E602">
        <v>2.27805860852981E-5</v>
      </c>
      <c r="F602">
        <v>2.230515813022582E-5</v>
      </c>
      <c r="G602">
        <v>4.7542795507228368E-7</v>
      </c>
      <c r="H602" t="b">
        <v>0</v>
      </c>
    </row>
    <row r="603" spans="1:8" x14ac:dyDescent="0.15">
      <c r="A603">
        <v>110</v>
      </c>
      <c r="B603">
        <v>11</v>
      </c>
      <c r="C603">
        <v>4545068.359375</v>
      </c>
      <c r="D603">
        <v>11723433.763476839</v>
      </c>
      <c r="E603">
        <v>2.2533829082092851E-5</v>
      </c>
      <c r="F603">
        <v>2.230515813022582E-5</v>
      </c>
      <c r="G603">
        <v>2.2867095186703161E-7</v>
      </c>
      <c r="H603" t="b">
        <v>0</v>
      </c>
    </row>
    <row r="604" spans="1:8" x14ac:dyDescent="0.15">
      <c r="A604">
        <v>110</v>
      </c>
      <c r="B604">
        <v>12</v>
      </c>
      <c r="C604">
        <v>4542163.0859375</v>
      </c>
      <c r="D604">
        <v>5379261.6477244096</v>
      </c>
      <c r="E604">
        <v>2.2411195941775699E-5</v>
      </c>
      <c r="F604">
        <v>2.230515813022582E-5</v>
      </c>
      <c r="G604">
        <v>1.060378115498832E-7</v>
      </c>
      <c r="H604" t="b">
        <v>0</v>
      </c>
    </row>
    <row r="605" spans="1:8" x14ac:dyDescent="0.15">
      <c r="A605">
        <v>110</v>
      </c>
      <c r="B605">
        <v>13</v>
      </c>
      <c r="C605">
        <v>4540710.44921875</v>
      </c>
      <c r="D605">
        <v>2266508.0667947498</v>
      </c>
      <c r="E605">
        <v>2.235007432279028E-5</v>
      </c>
      <c r="F605">
        <v>2.230515813022582E-5</v>
      </c>
      <c r="G605">
        <v>4.4916192564467479E-8</v>
      </c>
      <c r="H605" t="b">
        <v>0</v>
      </c>
    </row>
    <row r="606" spans="1:8" x14ac:dyDescent="0.15">
      <c r="A606">
        <v>110</v>
      </c>
      <c r="B606">
        <v>14</v>
      </c>
      <c r="C606">
        <v>4541210.44921875</v>
      </c>
      <c r="D606">
        <v>3333472.5155184208</v>
      </c>
      <c r="E606">
        <v>2.2371097836934439E-5</v>
      </c>
      <c r="F606">
        <v>2.230515813022582E-5</v>
      </c>
      <c r="G606">
        <v>6.5939706708623011E-8</v>
      </c>
      <c r="H606" t="b">
        <v>0</v>
      </c>
    </row>
    <row r="607" spans="1:8" x14ac:dyDescent="0.15">
      <c r="A607">
        <v>110</v>
      </c>
      <c r="B607">
        <v>15</v>
      </c>
      <c r="C607">
        <v>4541810.44921875</v>
      </c>
      <c r="D607">
        <v>4620064.4015227919</v>
      </c>
      <c r="E607">
        <v>2.2396347710976281E-5</v>
      </c>
      <c r="F607">
        <v>2.230515813022582E-5</v>
      </c>
      <c r="G607">
        <v>9.1189580750467773E-8</v>
      </c>
      <c r="H607" t="b">
        <v>0</v>
      </c>
    </row>
    <row r="608" spans="1:8" x14ac:dyDescent="0.15">
      <c r="A608">
        <v>110</v>
      </c>
      <c r="B608">
        <v>16</v>
      </c>
      <c r="C608">
        <v>4541510.44921875</v>
      </c>
      <c r="D608">
        <v>3975961.7600770262</v>
      </c>
      <c r="E608">
        <v>2.238372068468372E-5</v>
      </c>
      <c r="F608">
        <v>2.230515813022582E-5</v>
      </c>
      <c r="G608">
        <v>7.856255445789996E-8</v>
      </c>
      <c r="H608" t="b">
        <v>0</v>
      </c>
    </row>
    <row r="609" spans="1:8" x14ac:dyDescent="0.15">
      <c r="A609">
        <v>110</v>
      </c>
      <c r="B609">
        <v>17</v>
      </c>
      <c r="C609">
        <v>4541660.44921875</v>
      </c>
      <c r="D609">
        <v>4297733.3353261016</v>
      </c>
      <c r="E609">
        <v>2.2390032145832871E-5</v>
      </c>
      <c r="F609">
        <v>2.230515813022582E-5</v>
      </c>
      <c r="G609">
        <v>8.4874015607058452E-8</v>
      </c>
      <c r="H609" t="b">
        <v>0</v>
      </c>
    </row>
    <row r="610" spans="1:8" x14ac:dyDescent="0.15">
      <c r="A610">
        <v>110</v>
      </c>
      <c r="B610">
        <v>18</v>
      </c>
      <c r="C610">
        <v>4541840.44921875</v>
      </c>
      <c r="D610">
        <v>4684497.7681158204</v>
      </c>
      <c r="E610">
        <v>2.239760935789276E-5</v>
      </c>
      <c r="F610">
        <v>2.230515813022582E-5</v>
      </c>
      <c r="G610">
        <v>9.2451227666947563E-8</v>
      </c>
      <c r="H610" t="b">
        <v>0</v>
      </c>
    </row>
    <row r="611" spans="1:8" x14ac:dyDescent="0.15">
      <c r="A611">
        <v>110</v>
      </c>
      <c r="B611">
        <v>19</v>
      </c>
      <c r="C611">
        <v>4541750.44921875</v>
      </c>
      <c r="D611">
        <v>4491039.7972420286</v>
      </c>
      <c r="E611">
        <v>2.2393820502639631E-5</v>
      </c>
      <c r="F611">
        <v>2.230515813022582E-5</v>
      </c>
      <c r="G611">
        <v>8.8662372413814535E-8</v>
      </c>
      <c r="H611" t="b">
        <v>0</v>
      </c>
    </row>
    <row r="612" spans="1:8" x14ac:dyDescent="0.15">
      <c r="A612">
        <v>110</v>
      </c>
      <c r="B612">
        <v>20</v>
      </c>
      <c r="C612">
        <v>4541795.44921875</v>
      </c>
      <c r="D612">
        <v>4587819.2921945415</v>
      </c>
      <c r="E612">
        <v>2.239571622813237E-5</v>
      </c>
      <c r="F612">
        <v>2.230515813022582E-5</v>
      </c>
      <c r="G612">
        <v>9.0558097906553493E-8</v>
      </c>
      <c r="H612" t="b">
        <v>0</v>
      </c>
    </row>
    <row r="613" spans="1:8" x14ac:dyDescent="0.15">
      <c r="A613">
        <v>110</v>
      </c>
      <c r="B613">
        <v>21</v>
      </c>
      <c r="C613">
        <v>4541772.94921875</v>
      </c>
      <c r="D613">
        <v>4539459.5201459117</v>
      </c>
      <c r="E613">
        <v>2.2394769029829261E-5</v>
      </c>
      <c r="F613">
        <v>2.230515813022582E-5</v>
      </c>
      <c r="G613">
        <v>8.9610899603444693E-8</v>
      </c>
      <c r="H613" t="b">
        <v>0</v>
      </c>
    </row>
    <row r="614" spans="1:8" x14ac:dyDescent="0.15">
      <c r="A614">
        <v>111</v>
      </c>
      <c r="B614">
        <v>1</v>
      </c>
      <c r="C614">
        <v>6050000</v>
      </c>
      <c r="D614">
        <v>82128925694.660995</v>
      </c>
      <c r="E614">
        <v>3.9833694623227759E-4</v>
      </c>
      <c r="F614">
        <v>2.212776209361493E-5</v>
      </c>
      <c r="G614">
        <v>3.7620918413866272E-4</v>
      </c>
      <c r="H614" t="b">
        <v>0</v>
      </c>
    </row>
    <row r="615" spans="1:8" x14ac:dyDescent="0.15">
      <c r="A615">
        <v>111</v>
      </c>
      <c r="B615">
        <v>2</v>
      </c>
      <c r="C615">
        <v>3075000</v>
      </c>
      <c r="D615">
        <v>-257616.85447333069</v>
      </c>
      <c r="E615">
        <v>4.2609619359729656E-6</v>
      </c>
      <c r="F615">
        <v>2.212776209361495E-5</v>
      </c>
      <c r="G615">
        <v>-1.7866800157641979E-5</v>
      </c>
      <c r="H615" t="b">
        <v>1</v>
      </c>
    </row>
    <row r="616" spans="1:8" x14ac:dyDescent="0.15">
      <c r="A616">
        <v>111</v>
      </c>
      <c r="B616">
        <v>3</v>
      </c>
      <c r="C616">
        <v>4562500</v>
      </c>
      <c r="D616">
        <v>3438251685.845273</v>
      </c>
      <c r="E616">
        <v>5.5894438524449552E-5</v>
      </c>
      <c r="F616">
        <v>2.212776209361495E-5</v>
      </c>
      <c r="G616">
        <v>3.3766676430834592E-5</v>
      </c>
      <c r="H616" t="b">
        <v>0</v>
      </c>
    </row>
    <row r="617" spans="1:8" x14ac:dyDescent="0.15">
      <c r="A617">
        <v>111</v>
      </c>
      <c r="B617">
        <v>4</v>
      </c>
      <c r="C617">
        <v>3818750</v>
      </c>
      <c r="D617">
        <v>-40891214.383513793</v>
      </c>
      <c r="E617">
        <v>1.271669204986032E-5</v>
      </c>
      <c r="F617">
        <v>2.212776209361495E-5</v>
      </c>
      <c r="G617">
        <v>-9.4110700437546253E-6</v>
      </c>
      <c r="H617" t="b">
        <v>1</v>
      </c>
    </row>
    <row r="618" spans="1:8" x14ac:dyDescent="0.15">
      <c r="A618">
        <v>111</v>
      </c>
      <c r="B618">
        <v>5</v>
      </c>
      <c r="C618">
        <v>4190625</v>
      </c>
      <c r="D618">
        <v>399603252.06285721</v>
      </c>
      <c r="E618">
        <v>2.8048258770601799E-5</v>
      </c>
      <c r="F618">
        <v>2.212776209361495E-5</v>
      </c>
      <c r="G618">
        <v>5.920496676986849E-6</v>
      </c>
      <c r="H618" t="b">
        <v>0</v>
      </c>
    </row>
    <row r="619" spans="1:8" x14ac:dyDescent="0.15">
      <c r="A619">
        <v>111</v>
      </c>
      <c r="B619">
        <v>6</v>
      </c>
      <c r="C619">
        <v>4004687.5</v>
      </c>
      <c r="D619">
        <v>-112843398.1052956</v>
      </c>
      <c r="E619">
        <v>1.89858318478298E-5</v>
      </c>
      <c r="F619">
        <v>2.212776209361495E-5</v>
      </c>
      <c r="G619">
        <v>-3.1419302457851528E-6</v>
      </c>
      <c r="H619" t="b">
        <v>1</v>
      </c>
    </row>
    <row r="620" spans="1:8" x14ac:dyDescent="0.15">
      <c r="A620">
        <v>111</v>
      </c>
      <c r="B620">
        <v>7</v>
      </c>
      <c r="C620">
        <v>4097656.25</v>
      </c>
      <c r="D620">
        <v>57818105.489740878</v>
      </c>
      <c r="E620">
        <v>2.317420784286037E-5</v>
      </c>
      <c r="F620">
        <v>2.212776209361495E-5</v>
      </c>
      <c r="G620">
        <v>1.046445749245416E-6</v>
      </c>
      <c r="H620" t="b">
        <v>0</v>
      </c>
    </row>
    <row r="621" spans="1:8" x14ac:dyDescent="0.15">
      <c r="A621">
        <v>111</v>
      </c>
      <c r="B621">
        <v>8</v>
      </c>
      <c r="C621">
        <v>4051171.875</v>
      </c>
      <c r="D621">
        <v>-51364380.50514774</v>
      </c>
      <c r="E621">
        <v>2.0998542700030939E-5</v>
      </c>
      <c r="F621">
        <v>2.212776209361495E-5</v>
      </c>
      <c r="G621">
        <v>-1.1292193935840079E-6</v>
      </c>
      <c r="H621" t="b">
        <v>1</v>
      </c>
    </row>
    <row r="622" spans="1:8" x14ac:dyDescent="0.15">
      <c r="A622">
        <v>111</v>
      </c>
      <c r="B622">
        <v>9</v>
      </c>
      <c r="C622">
        <v>4074414.0625</v>
      </c>
      <c r="D622">
        <v>-3135745.2633573469</v>
      </c>
      <c r="E622">
        <v>2.206548019920451E-5</v>
      </c>
      <c r="F622">
        <v>2.212776209361495E-5</v>
      </c>
      <c r="G622">
        <v>-6.2281894410443355E-8</v>
      </c>
      <c r="H622" t="b">
        <v>1</v>
      </c>
    </row>
    <row r="623" spans="1:8" x14ac:dyDescent="0.15">
      <c r="A623">
        <v>111</v>
      </c>
      <c r="B623">
        <v>10</v>
      </c>
      <c r="C623">
        <v>4086035.15625</v>
      </c>
      <c r="D623">
        <v>25701142.173348598</v>
      </c>
      <c r="E623">
        <v>2.261457513270264E-5</v>
      </c>
      <c r="F623">
        <v>2.212776209361495E-5</v>
      </c>
      <c r="G623">
        <v>4.8681303908769302E-7</v>
      </c>
      <c r="H623" t="b">
        <v>0</v>
      </c>
    </row>
    <row r="624" spans="1:8" x14ac:dyDescent="0.15">
      <c r="A624">
        <v>111</v>
      </c>
      <c r="B624">
        <v>11</v>
      </c>
      <c r="C624">
        <v>4080224.609375</v>
      </c>
      <c r="D624">
        <v>10878648.35797639</v>
      </c>
      <c r="E624">
        <v>2.2338711954485291E-5</v>
      </c>
      <c r="F624">
        <v>2.212776209361495E-5</v>
      </c>
      <c r="G624">
        <v>2.1094986087033741E-7</v>
      </c>
      <c r="H624" t="b">
        <v>0</v>
      </c>
    </row>
    <row r="625" spans="1:8" x14ac:dyDescent="0.15">
      <c r="A625">
        <v>111</v>
      </c>
      <c r="B625">
        <v>12</v>
      </c>
      <c r="C625">
        <v>4077319.3359375</v>
      </c>
      <c r="D625">
        <v>3771190.383793042</v>
      </c>
      <c r="E625">
        <v>2.2201767386989741E-5</v>
      </c>
      <c r="F625">
        <v>2.212776209361495E-5</v>
      </c>
      <c r="G625">
        <v>7.4005293374790993E-8</v>
      </c>
      <c r="H625" t="b">
        <v>0</v>
      </c>
    </row>
    <row r="626" spans="1:8" x14ac:dyDescent="0.15">
      <c r="A626">
        <v>111</v>
      </c>
      <c r="B626">
        <v>13</v>
      </c>
      <c r="C626">
        <v>4078771.97265625</v>
      </c>
      <c r="D626">
        <v>7299798.1683562733</v>
      </c>
      <c r="E626">
        <v>2.2270158204014439E-5</v>
      </c>
      <c r="F626">
        <v>2.212776209361495E-5</v>
      </c>
      <c r="G626">
        <v>1.4239611039948549E-7</v>
      </c>
      <c r="H626" t="b">
        <v>0</v>
      </c>
    </row>
    <row r="627" spans="1:8" x14ac:dyDescent="0.15">
      <c r="A627">
        <v>111</v>
      </c>
      <c r="B627">
        <v>14</v>
      </c>
      <c r="C627">
        <v>4078271.97265625</v>
      </c>
      <c r="D627">
        <v>6079531.2928761626</v>
      </c>
      <c r="E627">
        <v>2.2246598558565908E-5</v>
      </c>
      <c r="F627">
        <v>2.212776209361495E-5</v>
      </c>
      <c r="G627">
        <v>1.188364649509619E-7</v>
      </c>
      <c r="H627" t="b">
        <v>0</v>
      </c>
    </row>
    <row r="628" spans="1:8" x14ac:dyDescent="0.15">
      <c r="A628">
        <v>111</v>
      </c>
      <c r="B628">
        <v>15</v>
      </c>
      <c r="C628">
        <v>4077671.97265625</v>
      </c>
      <c r="D628">
        <v>4623151.6164896116</v>
      </c>
      <c r="E628">
        <v>2.221835427699016E-5</v>
      </c>
      <c r="F628">
        <v>2.212776209361495E-5</v>
      </c>
      <c r="G628">
        <v>9.0592183375206529E-8</v>
      </c>
      <c r="H628" t="b">
        <v>0</v>
      </c>
    </row>
    <row r="629" spans="1:8" x14ac:dyDescent="0.15">
      <c r="A629">
        <v>111</v>
      </c>
      <c r="B629">
        <v>16</v>
      </c>
      <c r="C629">
        <v>4076951.97265625</v>
      </c>
      <c r="D629">
        <v>2886790.855747161</v>
      </c>
      <c r="E629">
        <v>2.2184498085967321E-5</v>
      </c>
      <c r="F629">
        <v>2.212776209361495E-5</v>
      </c>
      <c r="G629">
        <v>5.6735992352370719E-8</v>
      </c>
      <c r="H629" t="b">
        <v>0</v>
      </c>
    </row>
    <row r="630" spans="1:8" x14ac:dyDescent="0.15">
      <c r="A630">
        <v>111</v>
      </c>
      <c r="B630">
        <v>17</v>
      </c>
      <c r="C630">
        <v>4077311.97265625</v>
      </c>
      <c r="D630">
        <v>3753432.3716232199</v>
      </c>
      <c r="E630">
        <v>2.220142114509557E-5</v>
      </c>
      <c r="F630">
        <v>2.212776209361495E-5</v>
      </c>
      <c r="G630">
        <v>7.3659051480623049E-8</v>
      </c>
      <c r="H630" t="b">
        <v>0</v>
      </c>
    </row>
    <row r="631" spans="1:8" x14ac:dyDescent="0.15">
      <c r="A631">
        <v>111</v>
      </c>
      <c r="B631">
        <v>18</v>
      </c>
      <c r="C631">
        <v>4077743.97265625</v>
      </c>
      <c r="D631">
        <v>4797465.0587074002</v>
      </c>
      <c r="E631">
        <v>2.2221742112462431E-5</v>
      </c>
      <c r="F631">
        <v>2.212776209361495E-5</v>
      </c>
      <c r="G631">
        <v>9.3980018847477227E-8</v>
      </c>
      <c r="H631" t="b">
        <v>0</v>
      </c>
    </row>
    <row r="632" spans="1:8" x14ac:dyDescent="0.15">
      <c r="A632">
        <v>111</v>
      </c>
      <c r="B632">
        <v>19</v>
      </c>
      <c r="C632">
        <v>4077527.97265625</v>
      </c>
      <c r="D632">
        <v>4274963.4488094216</v>
      </c>
      <c r="E632">
        <v>2.221158115924108E-5</v>
      </c>
      <c r="F632">
        <v>2.212776209361495E-5</v>
      </c>
      <c r="G632">
        <v>8.3819065626133493E-8</v>
      </c>
      <c r="H632" t="b">
        <v>0</v>
      </c>
    </row>
    <row r="633" spans="1:8" x14ac:dyDescent="0.15">
      <c r="A633">
        <v>111</v>
      </c>
      <c r="B633">
        <v>20</v>
      </c>
      <c r="C633">
        <v>4077268.7726562498</v>
      </c>
      <c r="D633">
        <v>3649341.8056073012</v>
      </c>
      <c r="E633">
        <v>2.21993911893812E-5</v>
      </c>
      <c r="F633">
        <v>2.212776209361495E-5</v>
      </c>
      <c r="G633">
        <v>7.1629095766246822E-8</v>
      </c>
      <c r="H633" t="b">
        <v>0</v>
      </c>
    </row>
    <row r="634" spans="1:8" x14ac:dyDescent="0.15">
      <c r="A634">
        <v>111</v>
      </c>
      <c r="B634">
        <v>21</v>
      </c>
      <c r="C634">
        <v>4077398.3726562499</v>
      </c>
      <c r="D634">
        <v>3961884.1876834799</v>
      </c>
      <c r="E634">
        <v>2.2205484177959409E-5</v>
      </c>
      <c r="F634">
        <v>2.212776209361495E-5</v>
      </c>
      <c r="G634">
        <v>7.7722084344462227E-8</v>
      </c>
      <c r="H634" t="b">
        <v>0</v>
      </c>
    </row>
    <row r="635" spans="1:8" x14ac:dyDescent="0.15">
      <c r="A635">
        <v>111</v>
      </c>
      <c r="B635">
        <v>22</v>
      </c>
      <c r="C635">
        <v>4077553.8926562499</v>
      </c>
      <c r="D635">
        <v>4337544.3283179607</v>
      </c>
      <c r="E635">
        <v>2.221279909937693E-5</v>
      </c>
      <c r="F635">
        <v>2.212776209361495E-5</v>
      </c>
      <c r="G635">
        <v>8.5037005761983548E-8</v>
      </c>
      <c r="H635" t="b">
        <v>0</v>
      </c>
    </row>
    <row r="636" spans="1:8" x14ac:dyDescent="0.15">
      <c r="A636">
        <v>111</v>
      </c>
      <c r="B636">
        <v>23</v>
      </c>
      <c r="C636">
        <v>4077476.1326562501</v>
      </c>
      <c r="D636">
        <v>4149711.4414755781</v>
      </c>
      <c r="E636">
        <v>2.220914274747763E-5</v>
      </c>
      <c r="F636">
        <v>2.212776209361495E-5</v>
      </c>
      <c r="G636">
        <v>8.1380653862676578E-8</v>
      </c>
      <c r="H636" t="b">
        <v>0</v>
      </c>
    </row>
    <row r="637" spans="1:8" x14ac:dyDescent="0.15">
      <c r="A637">
        <v>111</v>
      </c>
      <c r="B637">
        <v>24</v>
      </c>
      <c r="C637">
        <v>4077382.8206562502</v>
      </c>
      <c r="D637">
        <v>3924418.7201111629</v>
      </c>
      <c r="E637">
        <v>2.2204754132743678E-5</v>
      </c>
      <c r="F637">
        <v>2.212776209361495E-5</v>
      </c>
      <c r="G637">
        <v>7.6992039128728561E-8</v>
      </c>
      <c r="H637" t="b">
        <v>0</v>
      </c>
    </row>
    <row r="638" spans="1:8" x14ac:dyDescent="0.15">
      <c r="A638">
        <v>111</v>
      </c>
      <c r="B638">
        <v>25</v>
      </c>
      <c r="C638">
        <v>4077429.4766562502</v>
      </c>
      <c r="D638">
        <v>4036970.246937742</v>
      </c>
      <c r="E638">
        <v>2.220694701183174E-5</v>
      </c>
      <c r="F638">
        <v>2.212776209361495E-5</v>
      </c>
      <c r="G638">
        <v>7.9184918216793581E-8</v>
      </c>
      <c r="H638" t="b">
        <v>0</v>
      </c>
    </row>
    <row r="639" spans="1:8" x14ac:dyDescent="0.15">
      <c r="A639">
        <v>112</v>
      </c>
      <c r="B639">
        <v>1</v>
      </c>
      <c r="C639">
        <v>6050000</v>
      </c>
      <c r="D639">
        <v>27008522469.34874</v>
      </c>
      <c r="E639">
        <v>1.8175482993517181E-4</v>
      </c>
      <c r="F639">
        <v>2.1952636251886351E-5</v>
      </c>
      <c r="G639">
        <v>1.5980219368328549E-4</v>
      </c>
      <c r="H639" t="b">
        <v>0</v>
      </c>
    </row>
    <row r="640" spans="1:8" x14ac:dyDescent="0.15">
      <c r="A640">
        <v>112</v>
      </c>
      <c r="B640">
        <v>2</v>
      </c>
      <c r="C640">
        <v>3075000</v>
      </c>
      <c r="D640">
        <v>-140277.06589923071</v>
      </c>
      <c r="E640">
        <v>2.2021539533912801E-6</v>
      </c>
      <c r="F640">
        <v>2.195263625188634E-5</v>
      </c>
      <c r="G640">
        <v>-1.9750482298495059E-5</v>
      </c>
      <c r="H640" t="b">
        <v>1</v>
      </c>
    </row>
    <row r="641" spans="1:8" x14ac:dyDescent="0.15">
      <c r="A641">
        <v>112</v>
      </c>
      <c r="B641">
        <v>3</v>
      </c>
      <c r="C641">
        <v>4562500</v>
      </c>
      <c r="D641">
        <v>-25266355.270567391</v>
      </c>
      <c r="E641">
        <v>2.1432809267104082E-5</v>
      </c>
      <c r="F641">
        <v>2.195263625188634E-5</v>
      </c>
      <c r="G641">
        <v>-5.1982698478225878E-7</v>
      </c>
      <c r="H641" t="b">
        <v>1</v>
      </c>
    </row>
    <row r="642" spans="1:8" x14ac:dyDescent="0.15">
      <c r="A642">
        <v>112</v>
      </c>
      <c r="B642">
        <v>4</v>
      </c>
      <c r="C642">
        <v>5306250</v>
      </c>
      <c r="D642">
        <v>5792026601.9829187</v>
      </c>
      <c r="E642">
        <v>7.178784822436566E-5</v>
      </c>
      <c r="F642">
        <v>2.195263625188634E-5</v>
      </c>
      <c r="G642">
        <v>4.9835211972479323E-5</v>
      </c>
      <c r="H642" t="b">
        <v>0</v>
      </c>
    </row>
    <row r="643" spans="1:8" x14ac:dyDescent="0.15">
      <c r="A643">
        <v>112</v>
      </c>
      <c r="B643">
        <v>5</v>
      </c>
      <c r="C643">
        <v>4934375</v>
      </c>
      <c r="D643">
        <v>1662802168.6443181</v>
      </c>
      <c r="E643">
        <v>4.0953057392457668E-5</v>
      </c>
      <c r="F643">
        <v>2.195263625188634E-5</v>
      </c>
      <c r="G643">
        <v>1.9000421140571331E-5</v>
      </c>
      <c r="H643" t="b">
        <v>0</v>
      </c>
    </row>
    <row r="644" spans="1:8" x14ac:dyDescent="0.15">
      <c r="A644">
        <v>112</v>
      </c>
      <c r="B644">
        <v>6</v>
      </c>
      <c r="C644">
        <v>4748437.5</v>
      </c>
      <c r="D644">
        <v>577708997.73042834</v>
      </c>
      <c r="E644">
        <v>2.9986220486427859E-5</v>
      </c>
      <c r="F644">
        <v>2.195263625188634E-5</v>
      </c>
      <c r="G644">
        <v>8.0335842345415224E-6</v>
      </c>
      <c r="H644" t="b">
        <v>0</v>
      </c>
    </row>
    <row r="645" spans="1:8" x14ac:dyDescent="0.15">
      <c r="A645">
        <v>112</v>
      </c>
      <c r="B645">
        <v>7</v>
      </c>
      <c r="C645">
        <v>4655468.75</v>
      </c>
      <c r="D645">
        <v>221110117.0487037</v>
      </c>
      <c r="E645">
        <v>2.543255123049792E-5</v>
      </c>
      <c r="F645">
        <v>2.195263625188634E-5</v>
      </c>
      <c r="G645">
        <v>3.479914978611583E-6</v>
      </c>
      <c r="H645" t="b">
        <v>0</v>
      </c>
    </row>
    <row r="646" spans="1:8" x14ac:dyDescent="0.15">
      <c r="A646">
        <v>112</v>
      </c>
      <c r="B646">
        <v>8</v>
      </c>
      <c r="C646">
        <v>4608984.375</v>
      </c>
      <c r="D646">
        <v>81037569.786170572</v>
      </c>
      <c r="E646">
        <v>2.3366540245018429E-5</v>
      </c>
      <c r="F646">
        <v>2.195263625188634E-5</v>
      </c>
      <c r="G646">
        <v>1.413903993132089E-6</v>
      </c>
      <c r="H646" t="b">
        <v>0</v>
      </c>
    </row>
    <row r="647" spans="1:8" x14ac:dyDescent="0.15">
      <c r="A647">
        <v>112</v>
      </c>
      <c r="B647">
        <v>9</v>
      </c>
      <c r="C647">
        <v>4585742.1875</v>
      </c>
      <c r="D647">
        <v>22814891.843626339</v>
      </c>
      <c r="E647">
        <v>2.2383559268341469E-5</v>
      </c>
      <c r="F647">
        <v>2.195263625188634E-5</v>
      </c>
      <c r="G647">
        <v>4.3092301645512862E-7</v>
      </c>
      <c r="H647" t="b">
        <v>0</v>
      </c>
    </row>
    <row r="648" spans="1:8" x14ac:dyDescent="0.15">
      <c r="A648">
        <v>112</v>
      </c>
      <c r="B648">
        <v>10</v>
      </c>
      <c r="C648">
        <v>4574121.09375</v>
      </c>
      <c r="D648">
        <v>-2460510.628013324</v>
      </c>
      <c r="E648">
        <v>2.190417290606186E-5</v>
      </c>
      <c r="F648">
        <v>2.195263625188634E-5</v>
      </c>
      <c r="G648">
        <v>-4.8463345824480651E-8</v>
      </c>
      <c r="H648" t="b">
        <v>1</v>
      </c>
    </row>
    <row r="649" spans="1:8" x14ac:dyDescent="0.15">
      <c r="A649">
        <v>112</v>
      </c>
      <c r="B649">
        <v>11</v>
      </c>
      <c r="C649">
        <v>4579931.640625</v>
      </c>
      <c r="D649">
        <v>9864177.0560447015</v>
      </c>
      <c r="E649">
        <v>2.2142857423759189E-5</v>
      </c>
      <c r="F649">
        <v>2.195263625188634E-5</v>
      </c>
      <c r="G649">
        <v>1.9022117187284901E-7</v>
      </c>
      <c r="H649" t="b">
        <v>0</v>
      </c>
    </row>
    <row r="650" spans="1:8" x14ac:dyDescent="0.15">
      <c r="A650">
        <v>112</v>
      </c>
      <c r="B650">
        <v>12</v>
      </c>
      <c r="C650">
        <v>4577026.3671875</v>
      </c>
      <c r="D650">
        <v>3624058.3553750631</v>
      </c>
      <c r="E650">
        <v>2.202326251150487E-5</v>
      </c>
      <c r="F650">
        <v>2.195263625188634E-5</v>
      </c>
      <c r="G650">
        <v>7.0626259618525772E-8</v>
      </c>
      <c r="H650" t="b">
        <v>0</v>
      </c>
    </row>
    <row r="651" spans="1:8" x14ac:dyDescent="0.15">
      <c r="A651">
        <v>112</v>
      </c>
      <c r="B651">
        <v>13</v>
      </c>
      <c r="C651">
        <v>4578479.00390625</v>
      </c>
      <c r="D651">
        <v>6724582.4970920216</v>
      </c>
      <c r="E651">
        <v>2.2082996264212979E-5</v>
      </c>
      <c r="F651">
        <v>2.195263625188634E-5</v>
      </c>
      <c r="G651">
        <v>1.30360012326642E-7</v>
      </c>
      <c r="H651" t="b">
        <v>0</v>
      </c>
    </row>
    <row r="652" spans="1:8" x14ac:dyDescent="0.15">
      <c r="A652">
        <v>112</v>
      </c>
      <c r="B652">
        <v>14</v>
      </c>
      <c r="C652">
        <v>4577979.00390625</v>
      </c>
      <c r="D652">
        <v>5652989.9557554647</v>
      </c>
      <c r="E652">
        <v>2.2062421738483501E-5</v>
      </c>
      <c r="F652">
        <v>2.195263625188634E-5</v>
      </c>
      <c r="G652">
        <v>1.097854865971644E-7</v>
      </c>
      <c r="H652" t="b">
        <v>0</v>
      </c>
    </row>
    <row r="653" spans="1:8" x14ac:dyDescent="0.15">
      <c r="A653">
        <v>112</v>
      </c>
      <c r="B653">
        <v>15</v>
      </c>
      <c r="C653">
        <v>4577379.00390625</v>
      </c>
      <c r="D653">
        <v>4373156.1803084463</v>
      </c>
      <c r="E653">
        <v>2.2037751743489631E-5</v>
      </c>
      <c r="F653">
        <v>2.195263625188634E-5</v>
      </c>
      <c r="G653">
        <v>8.5115491603293935E-8</v>
      </c>
      <c r="H653" t="b">
        <v>0</v>
      </c>
    </row>
    <row r="654" spans="1:8" x14ac:dyDescent="0.15">
      <c r="A654">
        <v>112</v>
      </c>
      <c r="B654">
        <v>16</v>
      </c>
      <c r="C654">
        <v>4577679.00390625</v>
      </c>
      <c r="D654">
        <v>5012312.538098163</v>
      </c>
      <c r="E654">
        <v>2.2050085395753169E-5</v>
      </c>
      <c r="F654">
        <v>2.195263625188634E-5</v>
      </c>
      <c r="G654">
        <v>9.7449143866825755E-8</v>
      </c>
      <c r="H654" t="b">
        <v>0</v>
      </c>
    </row>
    <row r="655" spans="1:8" x14ac:dyDescent="0.15">
      <c r="A655">
        <v>112</v>
      </c>
      <c r="B655">
        <v>17</v>
      </c>
      <c r="C655">
        <v>4577529.00390625</v>
      </c>
      <c r="D655">
        <v>4692492.2603230365</v>
      </c>
      <c r="E655">
        <v>2.204391723027779E-5</v>
      </c>
      <c r="F655">
        <v>2.195263625188634E-5</v>
      </c>
      <c r="G655">
        <v>9.1280978391445803E-8</v>
      </c>
      <c r="H655" t="b">
        <v>0</v>
      </c>
    </row>
    <row r="656" spans="1:8" x14ac:dyDescent="0.15">
      <c r="A656">
        <v>112</v>
      </c>
      <c r="B656">
        <v>18</v>
      </c>
      <c r="C656">
        <v>4577349.00390625</v>
      </c>
      <c r="D656">
        <v>4309407.9016883904</v>
      </c>
      <c r="E656">
        <v>2.203652014360915E-5</v>
      </c>
      <c r="F656">
        <v>2.195263625188634E-5</v>
      </c>
      <c r="G656">
        <v>8.3883891722806526E-8</v>
      </c>
      <c r="H656" t="b">
        <v>0</v>
      </c>
    </row>
    <row r="657" spans="1:8" x14ac:dyDescent="0.15">
      <c r="A657">
        <v>112</v>
      </c>
      <c r="B657">
        <v>19</v>
      </c>
      <c r="C657">
        <v>4577439.00390625</v>
      </c>
      <c r="D657">
        <v>4500840.8446517698</v>
      </c>
      <c r="E657">
        <v>2.2040217777277239E-5</v>
      </c>
      <c r="F657">
        <v>2.195263625188634E-5</v>
      </c>
      <c r="G657">
        <v>8.7581525390901914E-8</v>
      </c>
      <c r="H657" t="b">
        <v>0</v>
      </c>
    </row>
    <row r="658" spans="1:8" x14ac:dyDescent="0.15">
      <c r="A658">
        <v>112</v>
      </c>
      <c r="B658">
        <v>20</v>
      </c>
      <c r="C658">
        <v>4577547.00390625</v>
      </c>
      <c r="D658">
        <v>4730909.7641189117</v>
      </c>
      <c r="E658">
        <v>2.2044658515944571E-5</v>
      </c>
      <c r="F658">
        <v>2.195263625188634E-5</v>
      </c>
      <c r="G658">
        <v>9.2022264058230557E-8</v>
      </c>
      <c r="H658" t="b">
        <v>0</v>
      </c>
    </row>
    <row r="659" spans="1:8" x14ac:dyDescent="0.15">
      <c r="A659">
        <v>112</v>
      </c>
      <c r="B659">
        <v>21</v>
      </c>
      <c r="C659">
        <v>4577493.00390625</v>
      </c>
      <c r="D659">
        <v>4615883.0428418731</v>
      </c>
      <c r="E659">
        <v>2.2042438728113169E-5</v>
      </c>
      <c r="F659">
        <v>2.195263625188634E-5</v>
      </c>
      <c r="G659">
        <v>8.980247622683167E-8</v>
      </c>
      <c r="H659" t="b">
        <v>0</v>
      </c>
    </row>
    <row r="660" spans="1:8" x14ac:dyDescent="0.15">
      <c r="A660">
        <v>113</v>
      </c>
      <c r="B660">
        <v>1</v>
      </c>
      <c r="C660">
        <v>6050000</v>
      </c>
      <c r="D660">
        <v>79537771772.730057</v>
      </c>
      <c r="E660">
        <v>3.8547168786657872E-4</v>
      </c>
      <c r="F660">
        <v>2.1952636251886351E-5</v>
      </c>
      <c r="G660">
        <v>3.6351905161469231E-4</v>
      </c>
      <c r="H660" t="b">
        <v>0</v>
      </c>
    </row>
    <row r="661" spans="1:8" x14ac:dyDescent="0.15">
      <c r="A661">
        <v>113</v>
      </c>
      <c r="B661">
        <v>2</v>
      </c>
      <c r="C661">
        <v>3075000</v>
      </c>
      <c r="D661">
        <v>-251335.81611381879</v>
      </c>
      <c r="E661">
        <v>4.1445000699146084E-6</v>
      </c>
      <c r="F661">
        <v>2.195263625188634E-5</v>
      </c>
      <c r="G661">
        <v>-1.7808136181971729E-5</v>
      </c>
      <c r="H661" t="b">
        <v>1</v>
      </c>
    </row>
    <row r="662" spans="1:8" x14ac:dyDescent="0.15">
      <c r="A662">
        <v>113</v>
      </c>
      <c r="B662">
        <v>3</v>
      </c>
      <c r="C662">
        <v>4562500</v>
      </c>
      <c r="D662">
        <v>3222254661.75244</v>
      </c>
      <c r="E662">
        <v>5.3775087195930292E-5</v>
      </c>
      <c r="F662">
        <v>2.195263625188634E-5</v>
      </c>
      <c r="G662">
        <v>3.1822450944043948E-5</v>
      </c>
      <c r="H662" t="b">
        <v>0</v>
      </c>
    </row>
    <row r="663" spans="1:8" x14ac:dyDescent="0.15">
      <c r="A663">
        <v>113</v>
      </c>
      <c r="B663">
        <v>4</v>
      </c>
      <c r="C663">
        <v>3818750</v>
      </c>
      <c r="D663">
        <v>-35432364.685612582</v>
      </c>
      <c r="E663">
        <v>1.241693066212708E-5</v>
      </c>
      <c r="F663">
        <v>2.195263625188634E-5</v>
      </c>
      <c r="G663">
        <v>-9.5357055897592624E-6</v>
      </c>
      <c r="H663" t="b">
        <v>1</v>
      </c>
    </row>
    <row r="664" spans="1:8" x14ac:dyDescent="0.15">
      <c r="A664">
        <v>113</v>
      </c>
      <c r="B664">
        <v>5</v>
      </c>
      <c r="C664">
        <v>4190625</v>
      </c>
      <c r="D664">
        <v>330167462.90299392</v>
      </c>
      <c r="E664">
        <v>2.6921163232177939E-5</v>
      </c>
      <c r="F664">
        <v>2.195263625188634E-5</v>
      </c>
      <c r="G664">
        <v>4.9685269802915953E-6</v>
      </c>
      <c r="H664" t="b">
        <v>0</v>
      </c>
    </row>
    <row r="665" spans="1:8" x14ac:dyDescent="0.15">
      <c r="A665">
        <v>113</v>
      </c>
      <c r="B665">
        <v>6</v>
      </c>
      <c r="C665">
        <v>4004687.5</v>
      </c>
      <c r="D665">
        <v>-123734499.1841116</v>
      </c>
      <c r="E665">
        <v>1.819820594253731E-5</v>
      </c>
      <c r="F665">
        <v>2.195263625188634E-5</v>
      </c>
      <c r="G665">
        <v>-3.7544303093490311E-6</v>
      </c>
      <c r="H665" t="b">
        <v>1</v>
      </c>
    </row>
    <row r="666" spans="1:8" x14ac:dyDescent="0.15">
      <c r="A666">
        <v>113</v>
      </c>
      <c r="B666">
        <v>7</v>
      </c>
      <c r="C666">
        <v>4097656.25</v>
      </c>
      <c r="D666">
        <v>14393838.85070193</v>
      </c>
      <c r="E666">
        <v>2.2228155008091359E-5</v>
      </c>
      <c r="F666">
        <v>2.195263625188634E-5</v>
      </c>
      <c r="G666">
        <v>2.7551875620501502E-7</v>
      </c>
      <c r="H666" t="b">
        <v>0</v>
      </c>
    </row>
    <row r="667" spans="1:8" x14ac:dyDescent="0.15">
      <c r="A667">
        <v>113</v>
      </c>
      <c r="B667">
        <v>8</v>
      </c>
      <c r="C667">
        <v>4051171.875</v>
      </c>
      <c r="D667">
        <v>-77261011.179627061</v>
      </c>
      <c r="E667">
        <v>2.01344274365276E-5</v>
      </c>
      <c r="F667">
        <v>2.195263625188634E-5</v>
      </c>
      <c r="G667">
        <v>-1.818208815358737E-6</v>
      </c>
      <c r="H667" t="b">
        <v>1</v>
      </c>
    </row>
    <row r="668" spans="1:8" x14ac:dyDescent="0.15">
      <c r="A668">
        <v>113</v>
      </c>
      <c r="B668">
        <v>9</v>
      </c>
      <c r="C668">
        <v>4074414.0625</v>
      </c>
      <c r="D668">
        <v>-37476099.269902833</v>
      </c>
      <c r="E668">
        <v>2.1161070079080589E-5</v>
      </c>
      <c r="F668">
        <v>2.195263625188634E-5</v>
      </c>
      <c r="G668">
        <v>-7.9156617280574758E-7</v>
      </c>
      <c r="H668" t="b">
        <v>1</v>
      </c>
    </row>
    <row r="669" spans="1:8" x14ac:dyDescent="0.15">
      <c r="A669">
        <v>113</v>
      </c>
      <c r="B669">
        <v>10</v>
      </c>
      <c r="C669">
        <v>4086035.15625</v>
      </c>
      <c r="D669">
        <v>-13101483.81664166</v>
      </c>
      <c r="E669">
        <v>2.1689490122332431E-5</v>
      </c>
      <c r="F669">
        <v>2.195263625188634E-5</v>
      </c>
      <c r="G669">
        <v>-2.631461295539062E-7</v>
      </c>
      <c r="H669" t="b">
        <v>1</v>
      </c>
    </row>
    <row r="670" spans="1:8" x14ac:dyDescent="0.15">
      <c r="A670">
        <v>113</v>
      </c>
      <c r="B670">
        <v>11</v>
      </c>
      <c r="C670">
        <v>4091845.703125</v>
      </c>
      <c r="D670">
        <v>249830.03434195981</v>
      </c>
      <c r="E670">
        <v>2.195753354466279E-5</v>
      </c>
      <c r="F670">
        <v>2.195263625188634E-5</v>
      </c>
      <c r="G670">
        <v>4.8972927764459541E-9</v>
      </c>
      <c r="H670" t="b">
        <v>0</v>
      </c>
    </row>
    <row r="671" spans="1:8" x14ac:dyDescent="0.15">
      <c r="A671">
        <v>113</v>
      </c>
      <c r="B671">
        <v>12</v>
      </c>
      <c r="C671">
        <v>4094750.9765625</v>
      </c>
      <c r="D671">
        <v>7222027.5346765099</v>
      </c>
      <c r="E671">
        <v>2.209252222192483E-5</v>
      </c>
      <c r="F671">
        <v>2.195263625188634E-5</v>
      </c>
      <c r="G671">
        <v>1.398859700384899E-7</v>
      </c>
      <c r="H671" t="b">
        <v>0</v>
      </c>
    </row>
    <row r="672" spans="1:8" x14ac:dyDescent="0.15">
      <c r="A672">
        <v>113</v>
      </c>
      <c r="B672">
        <v>13</v>
      </c>
      <c r="C672">
        <v>4093298.33984375</v>
      </c>
      <c r="D672">
        <v>3711029.2067974559</v>
      </c>
      <c r="E672">
        <v>2.2024946618125531E-5</v>
      </c>
      <c r="F672">
        <v>2.195263625188634E-5</v>
      </c>
      <c r="G672">
        <v>7.2310366239190929E-8</v>
      </c>
      <c r="H672" t="b">
        <v>0</v>
      </c>
    </row>
    <row r="673" spans="1:8" x14ac:dyDescent="0.15">
      <c r="A673">
        <v>113</v>
      </c>
      <c r="B673">
        <v>14</v>
      </c>
      <c r="C673">
        <v>4093798.33984375</v>
      </c>
      <c r="D673">
        <v>4913945.7934923116</v>
      </c>
      <c r="E673">
        <v>2.2048188969767561E-5</v>
      </c>
      <c r="F673">
        <v>2.195263625188634E-5</v>
      </c>
      <c r="G673">
        <v>9.5552717881220773E-8</v>
      </c>
      <c r="H673" t="b">
        <v>0</v>
      </c>
    </row>
    <row r="674" spans="1:8" x14ac:dyDescent="0.15">
      <c r="A674">
        <v>113</v>
      </c>
      <c r="B674">
        <v>15</v>
      </c>
      <c r="C674">
        <v>4093548.33984375</v>
      </c>
      <c r="D674">
        <v>4311715.8045435678</v>
      </c>
      <c r="E674">
        <v>2.2036564736326869E-5</v>
      </c>
      <c r="F674">
        <v>2.195263625188634E-5</v>
      </c>
      <c r="G674">
        <v>8.3928484440525469E-8</v>
      </c>
      <c r="H674" t="b">
        <v>0</v>
      </c>
    </row>
    <row r="675" spans="1:8" x14ac:dyDescent="0.15">
      <c r="A675">
        <v>113</v>
      </c>
      <c r="B675">
        <v>16</v>
      </c>
      <c r="C675">
        <v>4093248.33984375</v>
      </c>
      <c r="D675">
        <v>3591137.4548344598</v>
      </c>
      <c r="E675">
        <v>2.202262489975363E-5</v>
      </c>
      <c r="F675">
        <v>2.195263625188634E-5</v>
      </c>
      <c r="G675">
        <v>6.9988647867286533E-8</v>
      </c>
      <c r="H675" t="b">
        <v>0</v>
      </c>
    </row>
    <row r="676" spans="1:8" x14ac:dyDescent="0.15">
      <c r="A676">
        <v>113</v>
      </c>
      <c r="B676">
        <v>17</v>
      </c>
      <c r="C676">
        <v>4093398.33984375</v>
      </c>
      <c r="D676">
        <v>3951195.85765999</v>
      </c>
      <c r="E676">
        <v>2.202959462372256E-5</v>
      </c>
      <c r="F676">
        <v>2.195263625188634E-5</v>
      </c>
      <c r="G676">
        <v>7.6958371836219873E-8</v>
      </c>
      <c r="H676" t="b">
        <v>0</v>
      </c>
    </row>
    <row r="677" spans="1:8" x14ac:dyDescent="0.15">
      <c r="A677">
        <v>113</v>
      </c>
      <c r="B677">
        <v>18</v>
      </c>
      <c r="C677">
        <v>4093578.33984375</v>
      </c>
      <c r="D677">
        <v>4383966.2339910315</v>
      </c>
      <c r="E677">
        <v>2.2037960564472031E-5</v>
      </c>
      <c r="F677">
        <v>2.195263625188634E-5</v>
      </c>
      <c r="G677">
        <v>8.5324312585687652E-8</v>
      </c>
      <c r="H677" t="b">
        <v>0</v>
      </c>
    </row>
    <row r="678" spans="1:8" x14ac:dyDescent="0.15">
      <c r="A678">
        <v>113</v>
      </c>
      <c r="B678">
        <v>19</v>
      </c>
      <c r="C678">
        <v>4093488.33984375</v>
      </c>
      <c r="D678">
        <v>4167485.5305691659</v>
      </c>
      <c r="E678">
        <v>2.2033777284253299E-5</v>
      </c>
      <c r="F678">
        <v>2.195263625188634E-5</v>
      </c>
      <c r="G678">
        <v>8.1141032366955566E-8</v>
      </c>
      <c r="H678" t="b">
        <v>0</v>
      </c>
    </row>
    <row r="679" spans="1:8" x14ac:dyDescent="0.15">
      <c r="A679">
        <v>113</v>
      </c>
      <c r="B679">
        <v>20</v>
      </c>
      <c r="C679">
        <v>4093380.33984375</v>
      </c>
      <c r="D679">
        <v>3907960.8426395119</v>
      </c>
      <c r="E679">
        <v>2.2028758165973721E-5</v>
      </c>
      <c r="F679">
        <v>2.195263625188634E-5</v>
      </c>
      <c r="G679">
        <v>7.6121914087383814E-8</v>
      </c>
      <c r="H679" t="b">
        <v>0</v>
      </c>
    </row>
    <row r="680" spans="1:8" x14ac:dyDescent="0.15">
      <c r="A680">
        <v>113</v>
      </c>
      <c r="B680">
        <v>21</v>
      </c>
      <c r="C680">
        <v>4093434.33984375</v>
      </c>
      <c r="D680">
        <v>4037619.923194129</v>
      </c>
      <c r="E680">
        <v>2.203126628140336E-5</v>
      </c>
      <c r="F680">
        <v>2.195263625188634E-5</v>
      </c>
      <c r="G680">
        <v>7.863002951701955E-8</v>
      </c>
      <c r="H680" t="b">
        <v>0</v>
      </c>
    </row>
    <row r="681" spans="1:8" x14ac:dyDescent="0.15">
      <c r="A681">
        <v>113</v>
      </c>
      <c r="B681">
        <v>22</v>
      </c>
      <c r="C681">
        <v>4093499.1398437498</v>
      </c>
      <c r="D681">
        <v>4193453.1276631192</v>
      </c>
      <c r="E681">
        <v>2.203427924515909E-5</v>
      </c>
      <c r="F681">
        <v>2.195263625188634E-5</v>
      </c>
      <c r="G681">
        <v>8.1642993272749466E-8</v>
      </c>
      <c r="H681" t="b">
        <v>0</v>
      </c>
    </row>
    <row r="682" spans="1:8" x14ac:dyDescent="0.15">
      <c r="A682">
        <v>113</v>
      </c>
      <c r="B682">
        <v>23</v>
      </c>
      <c r="C682">
        <v>4093466.7398437499</v>
      </c>
      <c r="D682">
        <v>4115489.6821276378</v>
      </c>
      <c r="E682">
        <v>2.2032772056932751E-5</v>
      </c>
      <c r="F682">
        <v>2.195263625188634E-5</v>
      </c>
      <c r="G682">
        <v>8.0135805046410263E-8</v>
      </c>
      <c r="H682" t="b">
        <v>0</v>
      </c>
    </row>
    <row r="683" spans="1:8" x14ac:dyDescent="0.15">
      <c r="A683">
        <v>114</v>
      </c>
      <c r="B683">
        <v>1</v>
      </c>
      <c r="C683">
        <v>6050000</v>
      </c>
      <c r="D683">
        <v>-95030671.318134546</v>
      </c>
      <c r="E683">
        <v>1.0748127462861779E-5</v>
      </c>
      <c r="F683">
        <v>1.5901282462099242E-5</v>
      </c>
      <c r="G683">
        <v>-5.1531549992374538E-6</v>
      </c>
      <c r="H683" t="b">
        <v>1</v>
      </c>
    </row>
    <row r="684" spans="1:8" x14ac:dyDescent="0.15">
      <c r="A684">
        <v>114</v>
      </c>
      <c r="B684">
        <v>2</v>
      </c>
      <c r="C684">
        <v>9025000</v>
      </c>
      <c r="D684">
        <v>54629752187.796967</v>
      </c>
      <c r="E684">
        <v>1.9989524867271901E-4</v>
      </c>
      <c r="F684">
        <v>1.5901282462099221E-5</v>
      </c>
      <c r="G684">
        <v>1.8399396621061981E-4</v>
      </c>
      <c r="H684" t="b">
        <v>0</v>
      </c>
    </row>
    <row r="685" spans="1:8" x14ac:dyDescent="0.15">
      <c r="A685">
        <v>114</v>
      </c>
      <c r="B685">
        <v>3</v>
      </c>
      <c r="C685">
        <v>7537500</v>
      </c>
      <c r="D685">
        <v>8213423550.9695082</v>
      </c>
      <c r="E685">
        <v>6.0157961763646778E-5</v>
      </c>
      <c r="F685">
        <v>1.5901282462099242E-5</v>
      </c>
      <c r="G685">
        <v>4.4256679301547539E-5</v>
      </c>
      <c r="H685" t="b">
        <v>0</v>
      </c>
    </row>
    <row r="686" spans="1:8" x14ac:dyDescent="0.15">
      <c r="A686">
        <v>114</v>
      </c>
      <c r="B686">
        <v>4</v>
      </c>
      <c r="C686">
        <v>6793750</v>
      </c>
      <c r="D686">
        <v>1430678620.4692471</v>
      </c>
      <c r="E686">
        <v>2.7477105648804702E-5</v>
      </c>
      <c r="F686">
        <v>1.5901282462099242E-5</v>
      </c>
      <c r="G686">
        <v>1.157582318670546E-5</v>
      </c>
      <c r="H686" t="b">
        <v>0</v>
      </c>
    </row>
    <row r="687" spans="1:8" x14ac:dyDescent="0.15">
      <c r="A687">
        <v>114</v>
      </c>
      <c r="B687">
        <v>5</v>
      </c>
      <c r="C687">
        <v>6421875</v>
      </c>
      <c r="D687">
        <v>121753086.4818144</v>
      </c>
      <c r="E687">
        <v>1.7403680518209108E-5</v>
      </c>
      <c r="F687">
        <v>1.5901282462099242E-5</v>
      </c>
      <c r="G687">
        <v>1.5023980561098671E-6</v>
      </c>
      <c r="H687" t="b">
        <v>0</v>
      </c>
    </row>
    <row r="688" spans="1:8" x14ac:dyDescent="0.15">
      <c r="A688">
        <v>114</v>
      </c>
      <c r="B688">
        <v>6</v>
      </c>
      <c r="C688">
        <v>6235937.5</v>
      </c>
      <c r="D688">
        <v>-107452781.44576269</v>
      </c>
      <c r="E688">
        <v>1.3581328993206129E-5</v>
      </c>
      <c r="F688">
        <v>1.5901282462099242E-5</v>
      </c>
      <c r="G688">
        <v>-2.319953468893109E-6</v>
      </c>
      <c r="H688" t="b">
        <v>1</v>
      </c>
    </row>
    <row r="689" spans="1:8" x14ac:dyDescent="0.15">
      <c r="A689">
        <v>114</v>
      </c>
      <c r="B689">
        <v>7</v>
      </c>
      <c r="C689">
        <v>6328906.25</v>
      </c>
      <c r="D689">
        <v>-31682607.24457217</v>
      </c>
      <c r="E689">
        <v>1.5401277262068699E-5</v>
      </c>
      <c r="F689">
        <v>1.5901282462099242E-5</v>
      </c>
      <c r="G689">
        <v>-5.0000520003053606E-7</v>
      </c>
      <c r="H689" t="b">
        <v>1</v>
      </c>
    </row>
    <row r="690" spans="1:8" x14ac:dyDescent="0.15">
      <c r="A690">
        <v>114</v>
      </c>
      <c r="B690">
        <v>8</v>
      </c>
      <c r="C690">
        <v>6375390.625</v>
      </c>
      <c r="D690">
        <v>34456308.703549877</v>
      </c>
      <c r="E690">
        <v>1.637895557637723E-5</v>
      </c>
      <c r="F690">
        <v>1.5901282462099242E-5</v>
      </c>
      <c r="G690">
        <v>4.7767311427799217E-7</v>
      </c>
      <c r="H690" t="b">
        <v>0</v>
      </c>
    </row>
    <row r="691" spans="1:8" x14ac:dyDescent="0.15">
      <c r="A691">
        <v>114</v>
      </c>
      <c r="B691">
        <v>9</v>
      </c>
      <c r="C691">
        <v>6352148.4375</v>
      </c>
      <c r="D691">
        <v>-1144713.5536888239</v>
      </c>
      <c r="E691">
        <v>1.5884381716190278E-5</v>
      </c>
      <c r="F691">
        <v>1.5901282462099242E-5</v>
      </c>
      <c r="G691">
        <v>-1.6900745908963181E-8</v>
      </c>
      <c r="H691" t="b">
        <v>1</v>
      </c>
    </row>
    <row r="692" spans="1:8" x14ac:dyDescent="0.15">
      <c r="A692">
        <v>114</v>
      </c>
      <c r="B692">
        <v>10</v>
      </c>
      <c r="C692">
        <v>6363769.53125</v>
      </c>
      <c r="D692">
        <v>16008216.053244419</v>
      </c>
      <c r="E692">
        <v>1.613020611647731E-5</v>
      </c>
      <c r="F692">
        <v>1.5901282462099242E-5</v>
      </c>
      <c r="G692">
        <v>2.289236543780715E-7</v>
      </c>
      <c r="H692" t="b">
        <v>0</v>
      </c>
    </row>
    <row r="693" spans="1:8" x14ac:dyDescent="0.15">
      <c r="A693">
        <v>114</v>
      </c>
      <c r="B693">
        <v>11</v>
      </c>
      <c r="C693">
        <v>6357958.984375</v>
      </c>
      <c r="D693">
        <v>7271559.4002134586</v>
      </c>
      <c r="E693">
        <v>1.6006929595753631E-5</v>
      </c>
      <c r="F693">
        <v>1.5901282462099242E-5</v>
      </c>
      <c r="G693">
        <v>1.056471336543957E-7</v>
      </c>
      <c r="H693" t="b">
        <v>0</v>
      </c>
    </row>
    <row r="694" spans="1:8" x14ac:dyDescent="0.15">
      <c r="A694">
        <v>114</v>
      </c>
      <c r="B694">
        <v>12</v>
      </c>
      <c r="C694">
        <v>6355053.7109375</v>
      </c>
      <c r="D694">
        <v>3023588.4523820709</v>
      </c>
      <c r="E694">
        <v>1.594556474986661E-5</v>
      </c>
      <c r="F694">
        <v>1.5901282462099242E-5</v>
      </c>
      <c r="G694">
        <v>4.4282287767371571E-8</v>
      </c>
      <c r="H694" t="b">
        <v>0</v>
      </c>
    </row>
    <row r="695" spans="1:8" x14ac:dyDescent="0.15">
      <c r="A695">
        <v>114</v>
      </c>
      <c r="B695">
        <v>13</v>
      </c>
      <c r="C695">
        <v>6356506.34765625</v>
      </c>
      <c r="D695">
        <v>5137522.1629913365</v>
      </c>
      <c r="E695">
        <v>1.5976223465023949E-5</v>
      </c>
      <c r="F695">
        <v>1.5901282462099242E-5</v>
      </c>
      <c r="G695">
        <v>7.4941002924706917E-8</v>
      </c>
      <c r="H695" t="b">
        <v>0</v>
      </c>
    </row>
    <row r="696" spans="1:8" x14ac:dyDescent="0.15">
      <c r="A696">
        <v>114</v>
      </c>
      <c r="B696">
        <v>14</v>
      </c>
      <c r="C696">
        <v>6357706.34765625</v>
      </c>
      <c r="D696">
        <v>6898926.9663414834</v>
      </c>
      <c r="E696">
        <v>1.6001585288666679E-5</v>
      </c>
      <c r="F696">
        <v>1.5901282462099242E-5</v>
      </c>
      <c r="G696">
        <v>1.003028265674371E-7</v>
      </c>
      <c r="H696" t="b">
        <v>0</v>
      </c>
    </row>
    <row r="697" spans="1:8" x14ac:dyDescent="0.15">
      <c r="A697">
        <v>114</v>
      </c>
      <c r="B697">
        <v>15</v>
      </c>
      <c r="C697">
        <v>6357106.34765625</v>
      </c>
      <c r="D697">
        <v>6016582.9723884631</v>
      </c>
      <c r="E697">
        <v>1.5988901413314011E-5</v>
      </c>
      <c r="F697">
        <v>1.5901282462099242E-5</v>
      </c>
      <c r="G697">
        <v>8.7618951214772449E-8</v>
      </c>
      <c r="H697" t="b">
        <v>0</v>
      </c>
    </row>
    <row r="698" spans="1:8" x14ac:dyDescent="0.15">
      <c r="A698">
        <v>114</v>
      </c>
      <c r="B698">
        <v>16</v>
      </c>
      <c r="C698">
        <v>6357406.34765625</v>
      </c>
      <c r="D698">
        <v>6457293.4065752216</v>
      </c>
      <c r="E698">
        <v>1.5995241876668392E-5</v>
      </c>
      <c r="F698">
        <v>1.5901282462099242E-5</v>
      </c>
      <c r="G698">
        <v>9.3959414569150045E-8</v>
      </c>
      <c r="H698" t="b">
        <v>0</v>
      </c>
    </row>
    <row r="699" spans="1:8" x14ac:dyDescent="0.15">
      <c r="A699">
        <v>114</v>
      </c>
      <c r="B699">
        <v>17</v>
      </c>
      <c r="C699">
        <v>6357256.34765625</v>
      </c>
      <c r="D699">
        <v>6236864.5641464666</v>
      </c>
      <c r="E699">
        <v>1.5992071876579242E-5</v>
      </c>
      <c r="F699">
        <v>1.5901282462099242E-5</v>
      </c>
      <c r="G699">
        <v>9.0789414479999992E-8</v>
      </c>
      <c r="H699" t="b">
        <v>0</v>
      </c>
    </row>
    <row r="700" spans="1:8" x14ac:dyDescent="0.15">
      <c r="A700">
        <v>114</v>
      </c>
      <c r="B700">
        <v>18</v>
      </c>
      <c r="C700">
        <v>6357331.34765625</v>
      </c>
      <c r="D700">
        <v>6347085.3175980002</v>
      </c>
      <c r="E700">
        <v>1.5993657290192679E-5</v>
      </c>
      <c r="F700">
        <v>1.5901282462099242E-5</v>
      </c>
      <c r="G700">
        <v>9.2374828093437809E-8</v>
      </c>
      <c r="H700" t="b">
        <v>0</v>
      </c>
    </row>
    <row r="701" spans="1:8" x14ac:dyDescent="0.15">
      <c r="A701">
        <v>115</v>
      </c>
      <c r="B701">
        <v>1</v>
      </c>
      <c r="C701">
        <v>6050000</v>
      </c>
      <c r="D701">
        <v>14997767523.077169</v>
      </c>
      <c r="E701">
        <v>8.5456008419935352E-5</v>
      </c>
      <c r="F701">
        <v>1.5901282462099242E-5</v>
      </c>
      <c r="G701">
        <v>6.9554725957836114E-5</v>
      </c>
      <c r="H701" t="b">
        <v>0</v>
      </c>
    </row>
    <row r="702" spans="1:8" x14ac:dyDescent="0.15">
      <c r="A702">
        <v>115</v>
      </c>
      <c r="B702">
        <v>2</v>
      </c>
      <c r="C702">
        <v>3075000</v>
      </c>
      <c r="D702">
        <v>-128544.4386198495</v>
      </c>
      <c r="E702">
        <v>9.3234831951578229E-7</v>
      </c>
      <c r="F702">
        <v>1.5901282462099242E-5</v>
      </c>
      <c r="G702">
        <v>-1.496893414258346E-5</v>
      </c>
      <c r="H702" t="b">
        <v>1</v>
      </c>
    </row>
    <row r="703" spans="1:8" x14ac:dyDescent="0.15">
      <c r="A703">
        <v>115</v>
      </c>
      <c r="B703">
        <v>3</v>
      </c>
      <c r="C703">
        <v>4562500</v>
      </c>
      <c r="D703">
        <v>-59521030.41562172</v>
      </c>
      <c r="E703">
        <v>9.8279944813211665E-6</v>
      </c>
      <c r="F703">
        <v>1.5901282462099242E-5</v>
      </c>
      <c r="G703">
        <v>-6.0732879807780717E-6</v>
      </c>
      <c r="H703" t="b">
        <v>1</v>
      </c>
    </row>
    <row r="704" spans="1:8" x14ac:dyDescent="0.15">
      <c r="A704">
        <v>115</v>
      </c>
      <c r="B704">
        <v>4</v>
      </c>
      <c r="C704">
        <v>5306250</v>
      </c>
      <c r="D704">
        <v>2143094299.0432899</v>
      </c>
      <c r="E704">
        <v>3.1799169428847137E-5</v>
      </c>
      <c r="F704">
        <v>1.5901282462099242E-5</v>
      </c>
      <c r="G704">
        <v>1.5897886966747899E-5</v>
      </c>
      <c r="H704" t="b">
        <v>0</v>
      </c>
    </row>
    <row r="705" spans="1:8" x14ac:dyDescent="0.15">
      <c r="A705">
        <v>115</v>
      </c>
      <c r="B705">
        <v>5</v>
      </c>
      <c r="C705">
        <v>4934375</v>
      </c>
      <c r="D705">
        <v>126649120.5213328</v>
      </c>
      <c r="E705">
        <v>1.7455588698389459E-5</v>
      </c>
      <c r="F705">
        <v>1.5901282462099242E-5</v>
      </c>
      <c r="G705">
        <v>1.5543062362902251E-6</v>
      </c>
      <c r="H705" t="b">
        <v>0</v>
      </c>
    </row>
    <row r="706" spans="1:8" x14ac:dyDescent="0.15">
      <c r="A706">
        <v>115</v>
      </c>
      <c r="B706">
        <v>6</v>
      </c>
      <c r="C706">
        <v>4748437.5</v>
      </c>
      <c r="D706">
        <v>-121678613.4248475</v>
      </c>
      <c r="E706">
        <v>1.25039012543728E-5</v>
      </c>
      <c r="F706">
        <v>1.5901282462099242E-5</v>
      </c>
      <c r="G706">
        <v>-3.39738120772644E-6</v>
      </c>
      <c r="H706" t="b">
        <v>1</v>
      </c>
    </row>
    <row r="707" spans="1:8" x14ac:dyDescent="0.15">
      <c r="A707">
        <v>115</v>
      </c>
      <c r="B707">
        <v>7</v>
      </c>
      <c r="C707">
        <v>4841406.25</v>
      </c>
      <c r="D707">
        <v>-62761290.703377232</v>
      </c>
      <c r="E707">
        <v>1.481950819426053E-5</v>
      </c>
      <c r="F707">
        <v>1.5901282462099242E-5</v>
      </c>
      <c r="G707">
        <v>-1.081774267838712E-6</v>
      </c>
      <c r="H707" t="b">
        <v>1</v>
      </c>
    </row>
    <row r="708" spans="1:8" x14ac:dyDescent="0.15">
      <c r="A708">
        <v>115</v>
      </c>
      <c r="B708">
        <v>8</v>
      </c>
      <c r="C708">
        <v>4887890.625</v>
      </c>
      <c r="D708">
        <v>13527671.474137461</v>
      </c>
      <c r="E708">
        <v>1.6095590015109579E-5</v>
      </c>
      <c r="F708">
        <v>1.5901282462099242E-5</v>
      </c>
      <c r="G708">
        <v>1.9430755301033689E-7</v>
      </c>
      <c r="H708" t="b">
        <v>0</v>
      </c>
    </row>
    <row r="709" spans="1:8" x14ac:dyDescent="0.15">
      <c r="A709">
        <v>115</v>
      </c>
      <c r="B709">
        <v>9</v>
      </c>
      <c r="C709">
        <v>4864648.4375</v>
      </c>
      <c r="D709">
        <v>-28957329.240689948</v>
      </c>
      <c r="E709">
        <v>1.5447287218503409E-5</v>
      </c>
      <c r="F709">
        <v>1.5901282462099242E-5</v>
      </c>
      <c r="G709">
        <v>-4.5399524359583259E-7</v>
      </c>
      <c r="H709" t="b">
        <v>1</v>
      </c>
    </row>
    <row r="710" spans="1:8" x14ac:dyDescent="0.15">
      <c r="A710">
        <v>115</v>
      </c>
      <c r="B710">
        <v>10</v>
      </c>
      <c r="C710">
        <v>4876269.53125</v>
      </c>
      <c r="D710">
        <v>-8832722.7725120764</v>
      </c>
      <c r="E710">
        <v>1.5768844336212311E-5</v>
      </c>
      <c r="F710">
        <v>1.5901282462099242E-5</v>
      </c>
      <c r="G710">
        <v>-1.324381258869306E-7</v>
      </c>
      <c r="H710" t="b">
        <v>1</v>
      </c>
    </row>
    <row r="711" spans="1:8" x14ac:dyDescent="0.15">
      <c r="A711">
        <v>115</v>
      </c>
      <c r="B711">
        <v>11</v>
      </c>
      <c r="C711">
        <v>4882080.078125</v>
      </c>
      <c r="D711">
        <v>2063902.390191145</v>
      </c>
      <c r="E711">
        <v>1.5931565167923441E-5</v>
      </c>
      <c r="F711">
        <v>1.5901282462099242E-5</v>
      </c>
      <c r="G711">
        <v>3.0282705824202652E-8</v>
      </c>
      <c r="H711" t="b">
        <v>0</v>
      </c>
    </row>
    <row r="712" spans="1:8" x14ac:dyDescent="0.15">
      <c r="A712">
        <v>115</v>
      </c>
      <c r="B712">
        <v>12</v>
      </c>
      <c r="C712">
        <v>4884985.3515625</v>
      </c>
      <c r="D712">
        <v>7724381.1986440513</v>
      </c>
      <c r="E712">
        <v>1.6013414167565888E-5</v>
      </c>
      <c r="F712">
        <v>1.5901282462099242E-5</v>
      </c>
      <c r="G712">
        <v>1.121317054666502E-7</v>
      </c>
      <c r="H712" t="b">
        <v>0</v>
      </c>
    </row>
    <row r="713" spans="1:8" x14ac:dyDescent="0.15">
      <c r="A713">
        <v>115</v>
      </c>
      <c r="B713">
        <v>13</v>
      </c>
      <c r="C713">
        <v>4883532.71484375</v>
      </c>
      <c r="D713">
        <v>4876352.662654073</v>
      </c>
      <c r="E713">
        <v>1.5972448838284978E-5</v>
      </c>
      <c r="F713">
        <v>1.5901282462099242E-5</v>
      </c>
      <c r="G713">
        <v>7.1166376185743583E-8</v>
      </c>
      <c r="H713" t="b">
        <v>0</v>
      </c>
    </row>
    <row r="714" spans="1:8" x14ac:dyDescent="0.15">
      <c r="A714">
        <v>116</v>
      </c>
      <c r="B714">
        <v>1</v>
      </c>
      <c r="C714">
        <v>6050000</v>
      </c>
      <c r="D714">
        <v>12623740950.2941</v>
      </c>
      <c r="E714">
        <v>7.7020496005575294E-5</v>
      </c>
      <c r="F714">
        <v>1.5901282462099242E-5</v>
      </c>
      <c r="G714">
        <v>6.1119213543476056E-5</v>
      </c>
      <c r="H714" t="b">
        <v>0</v>
      </c>
    </row>
    <row r="715" spans="1:8" x14ac:dyDescent="0.15">
      <c r="A715">
        <v>116</v>
      </c>
      <c r="B715">
        <v>2</v>
      </c>
      <c r="C715">
        <v>3075000</v>
      </c>
      <c r="D715">
        <v>-121690.0667214555</v>
      </c>
      <c r="E715">
        <v>7.6575284031829843E-7</v>
      </c>
      <c r="F715">
        <v>1.5901282462099242E-5</v>
      </c>
      <c r="G715">
        <v>-1.5135529621780941E-5</v>
      </c>
      <c r="H715" t="b">
        <v>1</v>
      </c>
    </row>
    <row r="716" spans="1:8" x14ac:dyDescent="0.15">
      <c r="A716">
        <v>116</v>
      </c>
      <c r="B716">
        <v>3</v>
      </c>
      <c r="C716">
        <v>4562500</v>
      </c>
      <c r="D716">
        <v>-36136442.788219199</v>
      </c>
      <c r="E716">
        <v>9.2107967843055317E-6</v>
      </c>
      <c r="F716">
        <v>1.5901282462099242E-5</v>
      </c>
      <c r="G716">
        <v>-6.6904856777937056E-6</v>
      </c>
      <c r="H716" t="b">
        <v>1</v>
      </c>
    </row>
    <row r="717" spans="1:8" x14ac:dyDescent="0.15">
      <c r="A717">
        <v>116</v>
      </c>
      <c r="B717">
        <v>4</v>
      </c>
      <c r="C717">
        <v>5306250</v>
      </c>
      <c r="D717">
        <v>1567454487.4222629</v>
      </c>
      <c r="E717">
        <v>2.834427611152214E-5</v>
      </c>
      <c r="F717">
        <v>1.5901282462099242E-5</v>
      </c>
      <c r="G717">
        <v>1.24429936494229E-5</v>
      </c>
      <c r="H717" t="b">
        <v>0</v>
      </c>
    </row>
    <row r="718" spans="1:8" x14ac:dyDescent="0.15">
      <c r="A718">
        <v>116</v>
      </c>
      <c r="B718">
        <v>5</v>
      </c>
      <c r="C718">
        <v>4934375</v>
      </c>
      <c r="D718">
        <v>-28756801.605280019</v>
      </c>
      <c r="E718">
        <v>1.5450646990376421E-5</v>
      </c>
      <c r="F718">
        <v>1.5901282462099242E-5</v>
      </c>
      <c r="G718">
        <v>-4.5063547172281392E-7</v>
      </c>
      <c r="H718" t="b">
        <v>1</v>
      </c>
    </row>
    <row r="719" spans="1:8" x14ac:dyDescent="0.15">
      <c r="A719">
        <v>116</v>
      </c>
      <c r="B719">
        <v>6</v>
      </c>
      <c r="C719">
        <v>5120312.5</v>
      </c>
      <c r="D719">
        <v>543373933.47720325</v>
      </c>
      <c r="E719">
        <v>2.1148953454427289E-5</v>
      </c>
      <c r="F719">
        <v>1.5901282462099242E-5</v>
      </c>
      <c r="G719">
        <v>5.2476709923280478E-6</v>
      </c>
      <c r="H719" t="b">
        <v>0</v>
      </c>
    </row>
    <row r="720" spans="1:8" x14ac:dyDescent="0.15">
      <c r="A720">
        <v>116</v>
      </c>
      <c r="B720">
        <v>7</v>
      </c>
      <c r="C720">
        <v>5027343.75</v>
      </c>
      <c r="D720">
        <v>193990809.63958779</v>
      </c>
      <c r="E720">
        <v>1.8127048350093099E-5</v>
      </c>
      <c r="F720">
        <v>1.5901282462099242E-5</v>
      </c>
      <c r="G720">
        <v>2.2257658879938572E-6</v>
      </c>
      <c r="H720" t="b">
        <v>0</v>
      </c>
    </row>
    <row r="721" spans="1:8" x14ac:dyDescent="0.15">
      <c r="A721">
        <v>116</v>
      </c>
      <c r="B721">
        <v>8</v>
      </c>
      <c r="C721">
        <v>4980859.375</v>
      </c>
      <c r="D721">
        <v>63765826.711008802</v>
      </c>
      <c r="E721">
        <v>1.6747340040393691E-5</v>
      </c>
      <c r="F721">
        <v>1.5901282462099242E-5</v>
      </c>
      <c r="G721">
        <v>8.4605757829445607E-7</v>
      </c>
      <c r="H721" t="b">
        <v>0</v>
      </c>
    </row>
    <row r="722" spans="1:8" x14ac:dyDescent="0.15">
      <c r="A722">
        <v>116</v>
      </c>
      <c r="B722">
        <v>9</v>
      </c>
      <c r="C722">
        <v>4957617.1875</v>
      </c>
      <c r="D722">
        <v>13045978.5447671</v>
      </c>
      <c r="E722">
        <v>1.60888333309376E-5</v>
      </c>
      <c r="F722">
        <v>1.5901282462099242E-5</v>
      </c>
      <c r="G722">
        <v>1.8755086883836159E-7</v>
      </c>
      <c r="H722" t="b">
        <v>0</v>
      </c>
    </row>
    <row r="723" spans="1:8" x14ac:dyDescent="0.15">
      <c r="A723">
        <v>116</v>
      </c>
      <c r="B723">
        <v>10</v>
      </c>
      <c r="C723">
        <v>4945996.09375</v>
      </c>
      <c r="D723">
        <v>-8938577.0314240865</v>
      </c>
      <c r="E723">
        <v>1.5767227900545661E-5</v>
      </c>
      <c r="F723">
        <v>1.5901282462099242E-5</v>
      </c>
      <c r="G723">
        <v>-1.3405456155358091E-7</v>
      </c>
      <c r="H723" t="b">
        <v>1</v>
      </c>
    </row>
    <row r="724" spans="1:8" x14ac:dyDescent="0.15">
      <c r="A724">
        <v>116</v>
      </c>
      <c r="B724">
        <v>11</v>
      </c>
      <c r="C724">
        <v>4951806.640625</v>
      </c>
      <c r="D724">
        <v>1778956.566077597</v>
      </c>
      <c r="E724">
        <v>1.5927398588839968E-5</v>
      </c>
      <c r="F724">
        <v>1.5901282462099242E-5</v>
      </c>
      <c r="G724">
        <v>2.6116126740733599E-8</v>
      </c>
      <c r="H724" t="b">
        <v>0</v>
      </c>
    </row>
    <row r="725" spans="1:8" x14ac:dyDescent="0.15">
      <c r="A725">
        <v>116</v>
      </c>
      <c r="B725">
        <v>12</v>
      </c>
      <c r="C725">
        <v>4954711.9140625</v>
      </c>
      <c r="D725">
        <v>7343298.5776166832</v>
      </c>
      <c r="E725">
        <v>1.6007957643248691E-5</v>
      </c>
      <c r="F725">
        <v>1.5901282462099242E-5</v>
      </c>
      <c r="G725">
        <v>1.0667518114945631E-7</v>
      </c>
      <c r="H725" t="b">
        <v>0</v>
      </c>
    </row>
    <row r="726" spans="1:8" x14ac:dyDescent="0.15">
      <c r="A726">
        <v>116</v>
      </c>
      <c r="B726">
        <v>13</v>
      </c>
      <c r="C726">
        <v>4953259.27734375</v>
      </c>
      <c r="D726">
        <v>4543896.0355027281</v>
      </c>
      <c r="E726">
        <v>1.5967638580834311E-5</v>
      </c>
      <c r="F726">
        <v>1.5901282462099242E-5</v>
      </c>
      <c r="G726">
        <v>6.6356118735068923E-8</v>
      </c>
      <c r="H726" t="b">
        <v>0</v>
      </c>
    </row>
    <row r="727" spans="1:8" x14ac:dyDescent="0.15">
      <c r="A727">
        <v>116</v>
      </c>
      <c r="B727">
        <v>14</v>
      </c>
      <c r="C727">
        <v>4953759.27734375</v>
      </c>
      <c r="D727">
        <v>5503624.1399702802</v>
      </c>
      <c r="E727">
        <v>1.598150847611716E-5</v>
      </c>
      <c r="F727">
        <v>1.5901282462099242E-5</v>
      </c>
      <c r="G727">
        <v>8.0226014017921752E-8</v>
      </c>
      <c r="H727" t="b">
        <v>0</v>
      </c>
    </row>
    <row r="728" spans="1:8" x14ac:dyDescent="0.15">
      <c r="A728">
        <v>116</v>
      </c>
      <c r="B728">
        <v>15</v>
      </c>
      <c r="C728">
        <v>4953509.27734375</v>
      </c>
      <c r="D728">
        <v>5023281.9175001699</v>
      </c>
      <c r="E728">
        <v>1.5974572828002331E-5</v>
      </c>
      <c r="F728">
        <v>1.5901282462099242E-5</v>
      </c>
      <c r="G728">
        <v>7.3290365903092437E-8</v>
      </c>
      <c r="H728" t="b">
        <v>0</v>
      </c>
    </row>
    <row r="729" spans="1:8" x14ac:dyDescent="0.15">
      <c r="A729">
        <v>116</v>
      </c>
      <c r="B729">
        <v>16</v>
      </c>
      <c r="C729">
        <v>4953209.27734375</v>
      </c>
      <c r="D729">
        <v>4448219.3389931535</v>
      </c>
      <c r="E729">
        <v>1.596625314128876E-5</v>
      </c>
      <c r="F729">
        <v>1.5901282462099242E-5</v>
      </c>
      <c r="G729">
        <v>6.4970679189517964E-8</v>
      </c>
      <c r="H729" t="b">
        <v>0</v>
      </c>
    </row>
    <row r="730" spans="1:8" x14ac:dyDescent="0.15">
      <c r="A730">
        <v>116</v>
      </c>
      <c r="B730">
        <v>17</v>
      </c>
      <c r="C730">
        <v>4953359.27734375</v>
      </c>
      <c r="D730">
        <v>4735501.8177641556</v>
      </c>
      <c r="E730">
        <v>1.5970411622227718E-5</v>
      </c>
      <c r="F730">
        <v>1.5901282462099242E-5</v>
      </c>
      <c r="G730">
        <v>6.9129160128480295E-8</v>
      </c>
      <c r="H730" t="b">
        <v>0</v>
      </c>
    </row>
    <row r="731" spans="1:8" x14ac:dyDescent="0.15">
      <c r="A731">
        <v>116</v>
      </c>
      <c r="B731">
        <v>18</v>
      </c>
      <c r="C731">
        <v>4953539.27734375</v>
      </c>
      <c r="D731">
        <v>5080803.8981399592</v>
      </c>
      <c r="E731">
        <v>1.5975404040812301E-5</v>
      </c>
      <c r="F731">
        <v>1.5901282462099242E-5</v>
      </c>
      <c r="G731">
        <v>7.4121578713062813E-8</v>
      </c>
      <c r="H731" t="b">
        <v>0</v>
      </c>
    </row>
    <row r="732" spans="1:8" x14ac:dyDescent="0.15">
      <c r="A732">
        <v>116</v>
      </c>
      <c r="B732">
        <v>19</v>
      </c>
      <c r="C732">
        <v>4953449.27734375</v>
      </c>
      <c r="D732">
        <v>4908151.7801970504</v>
      </c>
      <c r="E732">
        <v>1.5972908620923109E-5</v>
      </c>
      <c r="F732">
        <v>1.5901282462099242E-5</v>
      </c>
      <c r="G732">
        <v>7.1626158823867125E-8</v>
      </c>
      <c r="H732" t="b">
        <v>0</v>
      </c>
    </row>
    <row r="733" spans="1:8" x14ac:dyDescent="0.15">
      <c r="A733">
        <v>117</v>
      </c>
      <c r="B733">
        <v>1</v>
      </c>
      <c r="C733">
        <v>6050000</v>
      </c>
      <c r="D733">
        <v>608322103647.22437</v>
      </c>
      <c r="E733">
        <v>1.1891695369420721E-3</v>
      </c>
      <c r="F733">
        <v>1.5901282462099309E-5</v>
      </c>
      <c r="G733">
        <v>1.1732682544799719E-3</v>
      </c>
      <c r="H733" t="b">
        <v>0</v>
      </c>
    </row>
    <row r="734" spans="1:8" x14ac:dyDescent="0.15">
      <c r="A734">
        <v>117</v>
      </c>
      <c r="B734">
        <v>2</v>
      </c>
      <c r="C734">
        <v>3075000</v>
      </c>
      <c r="D734">
        <v>-70395792.665257782</v>
      </c>
      <c r="E734">
        <v>1.008218648657892E-5</v>
      </c>
      <c r="F734">
        <v>1.5901282462099242E-5</v>
      </c>
      <c r="G734">
        <v>-5.8190959755203156E-6</v>
      </c>
      <c r="H734" t="b">
        <v>1</v>
      </c>
    </row>
    <row r="735" spans="1:8" x14ac:dyDescent="0.15">
      <c r="A735">
        <v>117</v>
      </c>
      <c r="B735">
        <v>3</v>
      </c>
      <c r="C735">
        <v>4562500</v>
      </c>
      <c r="D735">
        <v>60342590514.655937</v>
      </c>
      <c r="E735">
        <v>2.1428354891124901E-4</v>
      </c>
      <c r="F735">
        <v>1.5901282462099248E-5</v>
      </c>
      <c r="G735">
        <v>1.983822664491497E-4</v>
      </c>
      <c r="H735" t="b">
        <v>0</v>
      </c>
    </row>
    <row r="736" spans="1:8" x14ac:dyDescent="0.15">
      <c r="A736">
        <v>117</v>
      </c>
      <c r="B736">
        <v>4</v>
      </c>
      <c r="C736">
        <v>3818750</v>
      </c>
      <c r="D736">
        <v>7975393890.4376631</v>
      </c>
      <c r="E736">
        <v>5.9189578047265007E-5</v>
      </c>
      <c r="F736">
        <v>1.5901282462099242E-5</v>
      </c>
      <c r="G736">
        <v>4.3288295585165783E-5</v>
      </c>
      <c r="H736" t="b">
        <v>0</v>
      </c>
    </row>
    <row r="737" spans="1:8" x14ac:dyDescent="0.15">
      <c r="A737">
        <v>117</v>
      </c>
      <c r="B737">
        <v>5</v>
      </c>
      <c r="C737">
        <v>3446875</v>
      </c>
      <c r="D737">
        <v>1155193214.7103901</v>
      </c>
      <c r="E737">
        <v>2.5661079124259161E-5</v>
      </c>
      <c r="F737">
        <v>1.5901282462099242E-5</v>
      </c>
      <c r="G737">
        <v>9.7597966621599258E-6</v>
      </c>
      <c r="H737" t="b">
        <v>0</v>
      </c>
    </row>
    <row r="738" spans="1:8" x14ac:dyDescent="0.15">
      <c r="A738">
        <v>117</v>
      </c>
      <c r="B738">
        <v>6</v>
      </c>
      <c r="C738">
        <v>3260937.5</v>
      </c>
      <c r="D738">
        <v>-7461151.5473060142</v>
      </c>
      <c r="E738">
        <v>1.5789724067133471E-5</v>
      </c>
      <c r="F738">
        <v>1.5901282462099242E-5</v>
      </c>
      <c r="G738">
        <v>-1.115583949657704E-7</v>
      </c>
      <c r="H738" t="b">
        <v>1</v>
      </c>
    </row>
    <row r="739" spans="1:8" x14ac:dyDescent="0.15">
      <c r="A739">
        <v>117</v>
      </c>
      <c r="B739">
        <v>7</v>
      </c>
      <c r="C739">
        <v>3353906.25</v>
      </c>
      <c r="D739">
        <v>436816448.42501879</v>
      </c>
      <c r="E739">
        <v>2.025937590067532E-5</v>
      </c>
      <c r="F739">
        <v>1.5901282462099242E-5</v>
      </c>
      <c r="G739">
        <v>4.3580934385760781E-6</v>
      </c>
      <c r="H739" t="b">
        <v>0</v>
      </c>
    </row>
    <row r="740" spans="1:8" x14ac:dyDescent="0.15">
      <c r="A740">
        <v>117</v>
      </c>
      <c r="B740">
        <v>8</v>
      </c>
      <c r="C740">
        <v>3307421.875</v>
      </c>
      <c r="D740">
        <v>171960151.86554989</v>
      </c>
      <c r="E740">
        <v>1.791532989192318E-5</v>
      </c>
      <c r="F740">
        <v>1.5901282462099242E-5</v>
      </c>
      <c r="G740">
        <v>2.0140474298239421E-6</v>
      </c>
      <c r="H740" t="b">
        <v>0</v>
      </c>
    </row>
    <row r="741" spans="1:8" x14ac:dyDescent="0.15">
      <c r="A741">
        <v>117</v>
      </c>
      <c r="B741">
        <v>9</v>
      </c>
      <c r="C741">
        <v>3284179.6875</v>
      </c>
      <c r="D741">
        <v>70340745.110861897</v>
      </c>
      <c r="E741">
        <v>1.682614598461816E-5</v>
      </c>
      <c r="F741">
        <v>1.5901282462099242E-5</v>
      </c>
      <c r="G741">
        <v>9.2486352251892187E-7</v>
      </c>
      <c r="H741" t="b">
        <v>0</v>
      </c>
    </row>
    <row r="742" spans="1:8" x14ac:dyDescent="0.15">
      <c r="A742">
        <v>117</v>
      </c>
      <c r="B742">
        <v>10</v>
      </c>
      <c r="C742">
        <v>3272558.59375</v>
      </c>
      <c r="D742">
        <v>28591602.15414783</v>
      </c>
      <c r="E742">
        <v>1.630145397956629E-5</v>
      </c>
      <c r="F742">
        <v>1.5901282462099242E-5</v>
      </c>
      <c r="G742">
        <v>4.0017151746705128E-7</v>
      </c>
      <c r="H742" t="b">
        <v>0</v>
      </c>
    </row>
    <row r="743" spans="1:8" x14ac:dyDescent="0.15">
      <c r="A743">
        <v>117</v>
      </c>
      <c r="B743">
        <v>11</v>
      </c>
      <c r="C743">
        <v>3266748.046875</v>
      </c>
      <c r="D743">
        <v>9869137.5257832427</v>
      </c>
      <c r="E743">
        <v>1.6043983249072252E-5</v>
      </c>
      <c r="F743">
        <v>1.5901282462099242E-5</v>
      </c>
      <c r="G743">
        <v>1.4270078697301011E-7</v>
      </c>
      <c r="H743" t="b">
        <v>0</v>
      </c>
    </row>
    <row r="744" spans="1:8" x14ac:dyDescent="0.15">
      <c r="A744">
        <v>117</v>
      </c>
      <c r="B744">
        <v>12</v>
      </c>
      <c r="C744">
        <v>3263842.7734375</v>
      </c>
      <c r="D744">
        <v>1031912.380131147</v>
      </c>
      <c r="E744">
        <v>1.591645338338054E-5</v>
      </c>
      <c r="F744">
        <v>1.5901282462099242E-5</v>
      </c>
      <c r="G744">
        <v>1.5170921281304881E-8</v>
      </c>
      <c r="H744" t="b">
        <v>0</v>
      </c>
    </row>
    <row r="745" spans="1:8" x14ac:dyDescent="0.15">
      <c r="A745">
        <v>117</v>
      </c>
      <c r="B745">
        <v>13</v>
      </c>
      <c r="C745">
        <v>3265295.41015625</v>
      </c>
      <c r="D745">
        <v>5407295.16878461</v>
      </c>
      <c r="E745">
        <v>1.5980118578955872E-5</v>
      </c>
      <c r="F745">
        <v>1.5901282462099242E-5</v>
      </c>
      <c r="G745">
        <v>7.8836116856636742E-8</v>
      </c>
      <c r="H745" t="b">
        <v>0</v>
      </c>
    </row>
    <row r="746" spans="1:8" x14ac:dyDescent="0.15">
      <c r="A746">
        <v>117</v>
      </c>
      <c r="B746">
        <v>14</v>
      </c>
      <c r="C746">
        <v>3264795.41015625</v>
      </c>
      <c r="D746">
        <v>3891499.3232036</v>
      </c>
      <c r="E746">
        <v>1.5958181716569731E-5</v>
      </c>
      <c r="F746">
        <v>1.5901282462099242E-5</v>
      </c>
      <c r="G746">
        <v>5.6899254470493219E-8</v>
      </c>
      <c r="H746" t="b">
        <v>0</v>
      </c>
    </row>
    <row r="747" spans="1:8" x14ac:dyDescent="0.15">
      <c r="A747">
        <v>117</v>
      </c>
      <c r="B747">
        <v>15</v>
      </c>
      <c r="C747">
        <v>3264195.41015625</v>
      </c>
      <c r="D747">
        <v>2086123.1690834831</v>
      </c>
      <c r="E747">
        <v>1.5931889897103629E-5</v>
      </c>
      <c r="F747">
        <v>1.5901282462099242E-5</v>
      </c>
      <c r="G747">
        <v>3.0607435004390318E-8</v>
      </c>
      <c r="H747" t="b">
        <v>0</v>
      </c>
    </row>
    <row r="748" spans="1:8" x14ac:dyDescent="0.15">
      <c r="A748">
        <v>117</v>
      </c>
      <c r="B748">
        <v>16</v>
      </c>
      <c r="C748">
        <v>3264495.41015625</v>
      </c>
      <c r="D748">
        <v>2987035.6127081108</v>
      </c>
      <c r="E748">
        <v>1.5945032464981011E-5</v>
      </c>
      <c r="F748">
        <v>1.5901282462099242E-5</v>
      </c>
      <c r="G748">
        <v>4.375000288176978E-8</v>
      </c>
      <c r="H748" t="b">
        <v>0</v>
      </c>
    </row>
    <row r="749" spans="1:8" x14ac:dyDescent="0.15">
      <c r="A749">
        <v>117</v>
      </c>
      <c r="B749">
        <v>17</v>
      </c>
      <c r="C749">
        <v>3264855.41015625</v>
      </c>
      <c r="D749">
        <v>4072846.5764280031</v>
      </c>
      <c r="E749">
        <v>1.5960812776256559E-5</v>
      </c>
      <c r="F749">
        <v>1.5901282462099242E-5</v>
      </c>
      <c r="G749">
        <v>5.9530314157317403E-8</v>
      </c>
      <c r="H749" t="b">
        <v>0</v>
      </c>
    </row>
    <row r="750" spans="1:8" x14ac:dyDescent="0.15">
      <c r="A750">
        <v>117</v>
      </c>
      <c r="B750">
        <v>18</v>
      </c>
      <c r="C750">
        <v>3264675.41015625</v>
      </c>
      <c r="D750">
        <v>3529310.396128166</v>
      </c>
      <c r="E750">
        <v>1.595292154717017E-5</v>
      </c>
      <c r="F750">
        <v>1.5901282462099242E-5</v>
      </c>
      <c r="G750">
        <v>5.1639085070935483E-8</v>
      </c>
      <c r="H750" t="b">
        <v>0</v>
      </c>
    </row>
    <row r="751" spans="1:8" x14ac:dyDescent="0.15">
      <c r="A751">
        <v>117</v>
      </c>
      <c r="B751">
        <v>19</v>
      </c>
      <c r="C751">
        <v>3264459.41015625</v>
      </c>
      <c r="D751">
        <v>2878739.5728866071</v>
      </c>
      <c r="E751">
        <v>1.5943455017223149E-5</v>
      </c>
      <c r="F751">
        <v>1.5901282462099242E-5</v>
      </c>
      <c r="G751">
        <v>4.2172555123910607E-8</v>
      </c>
      <c r="H751" t="b">
        <v>0</v>
      </c>
    </row>
    <row r="752" spans="1:8" x14ac:dyDescent="0.15">
      <c r="A752">
        <v>117</v>
      </c>
      <c r="B752">
        <v>20</v>
      </c>
      <c r="C752">
        <v>3264567.41015625</v>
      </c>
      <c r="D752">
        <v>3203786.607763452</v>
      </c>
      <c r="E752">
        <v>1.594818772915691E-5</v>
      </c>
      <c r="F752">
        <v>1.5901282462099242E-5</v>
      </c>
      <c r="G752">
        <v>4.6905267057668621E-8</v>
      </c>
      <c r="H752" t="b">
        <v>0</v>
      </c>
    </row>
    <row r="753" spans="1:8" x14ac:dyDescent="0.15">
      <c r="A753">
        <v>117</v>
      </c>
      <c r="B753">
        <v>21</v>
      </c>
      <c r="C753">
        <v>3264697.0101562501</v>
      </c>
      <c r="D753">
        <v>3594472.412306102</v>
      </c>
      <c r="E753">
        <v>1.595386844351842E-5</v>
      </c>
      <c r="F753">
        <v>1.5901282462099242E-5</v>
      </c>
      <c r="G753">
        <v>5.2585981419182208E-8</v>
      </c>
      <c r="H753" t="b">
        <v>0</v>
      </c>
    </row>
    <row r="754" spans="1:8" x14ac:dyDescent="0.15">
      <c r="A754">
        <v>117</v>
      </c>
      <c r="B754">
        <v>22</v>
      </c>
      <c r="C754">
        <v>3264632.2101562498</v>
      </c>
      <c r="D754">
        <v>3398979.9674039832</v>
      </c>
      <c r="E754">
        <v>1.5951026961844988E-5</v>
      </c>
      <c r="F754">
        <v>1.5901282462099242E-5</v>
      </c>
      <c r="G754">
        <v>4.9744499745753518E-8</v>
      </c>
      <c r="H754" t="b">
        <v>0</v>
      </c>
    </row>
    <row r="755" spans="1:8" x14ac:dyDescent="0.15">
      <c r="A755">
        <v>117</v>
      </c>
      <c r="B755">
        <v>23</v>
      </c>
      <c r="C755">
        <v>3264554.450156251</v>
      </c>
      <c r="D755">
        <v>3164692.2197684939</v>
      </c>
      <c r="E755">
        <v>1.5947618820181399E-5</v>
      </c>
      <c r="F755">
        <v>1.5901282462099242E-5</v>
      </c>
      <c r="G755">
        <v>4.6336358082156962E-8</v>
      </c>
      <c r="H755" t="b">
        <v>0</v>
      </c>
    </row>
    <row r="756" spans="1:8" x14ac:dyDescent="0.15">
      <c r="A756">
        <v>117</v>
      </c>
      <c r="B756">
        <v>24</v>
      </c>
      <c r="C756">
        <v>3264593.3301562499</v>
      </c>
      <c r="D756">
        <v>3281868.7526511741</v>
      </c>
      <c r="E756">
        <v>1.5949323744599101E-5</v>
      </c>
      <c r="F756">
        <v>1.5901282462099242E-5</v>
      </c>
      <c r="G756">
        <v>4.8041282499859378E-8</v>
      </c>
      <c r="H756" t="b">
        <v>0</v>
      </c>
    </row>
    <row r="757" spans="1:8" x14ac:dyDescent="0.15">
      <c r="A757">
        <v>118</v>
      </c>
      <c r="B757">
        <v>1</v>
      </c>
      <c r="C757">
        <v>6050000</v>
      </c>
      <c r="D757">
        <v>12860736126.306959</v>
      </c>
      <c r="E757">
        <v>7.7297470164921077E-5</v>
      </c>
      <c r="F757">
        <v>1.5798424110076489E-5</v>
      </c>
      <c r="G757">
        <v>6.1499046054844592E-5</v>
      </c>
      <c r="H757" t="b">
        <v>0</v>
      </c>
    </row>
    <row r="758" spans="1:8" x14ac:dyDescent="0.15">
      <c r="A758">
        <v>118</v>
      </c>
      <c r="B758">
        <v>2</v>
      </c>
      <c r="C758">
        <v>3075000</v>
      </c>
      <c r="D758">
        <v>-122575.6036599252</v>
      </c>
      <c r="E758">
        <v>7.7396232893220111E-7</v>
      </c>
      <c r="F758">
        <v>1.5798424110076489E-5</v>
      </c>
      <c r="G758">
        <v>-1.502446178114428E-5</v>
      </c>
      <c r="H758" t="b">
        <v>1</v>
      </c>
    </row>
    <row r="759" spans="1:8" x14ac:dyDescent="0.15">
      <c r="A759">
        <v>118</v>
      </c>
      <c r="B759">
        <v>3</v>
      </c>
      <c r="C759">
        <v>4562500</v>
      </c>
      <c r="D759">
        <v>-38204178.508481473</v>
      </c>
      <c r="E759">
        <v>9.2199076628578407E-6</v>
      </c>
      <c r="F759">
        <v>1.5798424110076489E-5</v>
      </c>
      <c r="G759">
        <v>-6.5785164472186436E-6</v>
      </c>
      <c r="H759" t="b">
        <v>1</v>
      </c>
    </row>
    <row r="760" spans="1:8" x14ac:dyDescent="0.15">
      <c r="A760">
        <v>118</v>
      </c>
      <c r="B760">
        <v>4</v>
      </c>
      <c r="C760">
        <v>5306250</v>
      </c>
      <c r="D760">
        <v>1618978196.0475359</v>
      </c>
      <c r="E760">
        <v>2.846660246634775E-5</v>
      </c>
      <c r="F760">
        <v>1.5798424110076489E-5</v>
      </c>
      <c r="G760">
        <v>1.266817835627126E-5</v>
      </c>
      <c r="H760" t="b">
        <v>0</v>
      </c>
    </row>
    <row r="761" spans="1:8" x14ac:dyDescent="0.15">
      <c r="A761">
        <v>118</v>
      </c>
      <c r="B761">
        <v>5</v>
      </c>
      <c r="C761">
        <v>4934375</v>
      </c>
      <c r="D761">
        <v>-18049331.24206607</v>
      </c>
      <c r="E761">
        <v>1.5523962096703859E-5</v>
      </c>
      <c r="F761">
        <v>1.5798424110076489E-5</v>
      </c>
      <c r="G761">
        <v>-2.7446201337262232E-7</v>
      </c>
      <c r="H761" t="b">
        <v>1</v>
      </c>
    </row>
    <row r="762" spans="1:8" x14ac:dyDescent="0.15">
      <c r="A762">
        <v>118</v>
      </c>
      <c r="B762">
        <v>6</v>
      </c>
      <c r="C762">
        <v>5120312.5</v>
      </c>
      <c r="D762">
        <v>572955496.32398129</v>
      </c>
      <c r="E762">
        <v>2.124469280476944E-5</v>
      </c>
      <c r="F762">
        <v>1.5798424110076489E-5</v>
      </c>
      <c r="G762">
        <v>5.4462686946929517E-6</v>
      </c>
      <c r="H762" t="b">
        <v>0</v>
      </c>
    </row>
    <row r="763" spans="1:8" x14ac:dyDescent="0.15">
      <c r="A763">
        <v>118</v>
      </c>
      <c r="B763">
        <v>7</v>
      </c>
      <c r="C763">
        <v>5027343.75</v>
      </c>
      <c r="D763">
        <v>215663669.3154439</v>
      </c>
      <c r="E763">
        <v>1.8211225621885211E-5</v>
      </c>
      <c r="F763">
        <v>1.5798424110076489E-5</v>
      </c>
      <c r="G763">
        <v>2.412801511808726E-6</v>
      </c>
      <c r="H763" t="b">
        <v>0</v>
      </c>
    </row>
    <row r="764" spans="1:8" x14ac:dyDescent="0.15">
      <c r="A764">
        <v>118</v>
      </c>
      <c r="B764">
        <v>8</v>
      </c>
      <c r="C764">
        <v>4980859.375</v>
      </c>
      <c r="D764">
        <v>79592778.984940872</v>
      </c>
      <c r="E764">
        <v>1.682600918804296E-5</v>
      </c>
      <c r="F764">
        <v>1.5798424110076489E-5</v>
      </c>
      <c r="G764">
        <v>1.027585077966471E-6</v>
      </c>
      <c r="H764" t="b">
        <v>0</v>
      </c>
    </row>
    <row r="765" spans="1:8" x14ac:dyDescent="0.15">
      <c r="A765">
        <v>118</v>
      </c>
      <c r="B765">
        <v>9</v>
      </c>
      <c r="C765">
        <v>4957617.1875</v>
      </c>
      <c r="D765">
        <v>26223938.59820364</v>
      </c>
      <c r="E765">
        <v>1.6164792393875199E-5</v>
      </c>
      <c r="F765">
        <v>1.5798424110076489E-5</v>
      </c>
      <c r="G765">
        <v>3.6636828379871039E-7</v>
      </c>
      <c r="H765" t="b">
        <v>0</v>
      </c>
    </row>
    <row r="766" spans="1:8" x14ac:dyDescent="0.15">
      <c r="A766">
        <v>118</v>
      </c>
      <c r="B766">
        <v>10</v>
      </c>
      <c r="C766">
        <v>4945996.09375</v>
      </c>
      <c r="D766">
        <v>2982139.3941785018</v>
      </c>
      <c r="E766">
        <v>1.5841856137020648E-5</v>
      </c>
      <c r="F766">
        <v>1.5798424110076489E-5</v>
      </c>
      <c r="G766">
        <v>4.3432026944166672E-8</v>
      </c>
      <c r="H766" t="b">
        <v>0</v>
      </c>
    </row>
    <row r="767" spans="1:8" x14ac:dyDescent="0.15">
      <c r="A767">
        <v>118</v>
      </c>
      <c r="B767">
        <v>11</v>
      </c>
      <c r="C767">
        <v>4951806.640625</v>
      </c>
      <c r="D767">
        <v>14322791.084512221</v>
      </c>
      <c r="E767">
        <v>1.6002690605947649E-5</v>
      </c>
      <c r="F767">
        <v>1.5798424110076489E-5</v>
      </c>
      <c r="G767">
        <v>2.042664958711641E-7</v>
      </c>
      <c r="H767" t="b">
        <v>0</v>
      </c>
    </row>
    <row r="768" spans="1:8" x14ac:dyDescent="0.15">
      <c r="A768">
        <v>118</v>
      </c>
      <c r="B768">
        <v>12</v>
      </c>
      <c r="C768">
        <v>4948901.3671875</v>
      </c>
      <c r="D768">
        <v>8582897.5207236726</v>
      </c>
      <c r="E768">
        <v>1.5922115363145741E-5</v>
      </c>
      <c r="F768">
        <v>1.5798424110076489E-5</v>
      </c>
      <c r="G768">
        <v>1.2369125306925231E-7</v>
      </c>
      <c r="H768" t="b">
        <v>0</v>
      </c>
    </row>
    <row r="769" spans="1:8" x14ac:dyDescent="0.15">
      <c r="A769">
        <v>118</v>
      </c>
      <c r="B769">
        <v>13</v>
      </c>
      <c r="C769">
        <v>4947448.73046875</v>
      </c>
      <c r="D769">
        <v>5765188.8387262356</v>
      </c>
      <c r="E769">
        <v>1.588194630729959E-5</v>
      </c>
      <c r="F769">
        <v>1.5798424110076489E-5</v>
      </c>
      <c r="G769">
        <v>8.3522197223107709E-8</v>
      </c>
      <c r="H769" t="b">
        <v>0</v>
      </c>
    </row>
    <row r="770" spans="1:8" x14ac:dyDescent="0.15">
      <c r="A770">
        <v>118</v>
      </c>
      <c r="B770">
        <v>14</v>
      </c>
      <c r="C770">
        <v>4946248.73046875</v>
      </c>
      <c r="D770">
        <v>3463736.3435289259</v>
      </c>
      <c r="E770">
        <v>1.5848823728571621E-5</v>
      </c>
      <c r="F770">
        <v>1.5798424110076489E-5</v>
      </c>
      <c r="G770">
        <v>5.0399618495132757E-8</v>
      </c>
      <c r="H770" t="b">
        <v>0</v>
      </c>
    </row>
    <row r="771" spans="1:8" x14ac:dyDescent="0.15">
      <c r="A771">
        <v>118</v>
      </c>
      <c r="B771">
        <v>15</v>
      </c>
      <c r="C771">
        <v>4946848.73046875</v>
      </c>
      <c r="D771">
        <v>4611543.0796272717</v>
      </c>
      <c r="E771">
        <v>1.586537876017048E-5</v>
      </c>
      <c r="F771">
        <v>1.5798424110076489E-5</v>
      </c>
      <c r="G771">
        <v>6.6954650093997768E-8</v>
      </c>
      <c r="H771" t="b">
        <v>0</v>
      </c>
    </row>
    <row r="772" spans="1:8" x14ac:dyDescent="0.15">
      <c r="A772">
        <v>118</v>
      </c>
      <c r="B772">
        <v>16</v>
      </c>
      <c r="C772">
        <v>4947568.73046875</v>
      </c>
      <c r="D772">
        <v>5996640.2523170663</v>
      </c>
      <c r="E772">
        <v>1.588526161829551E-5</v>
      </c>
      <c r="F772">
        <v>1.5798424110076489E-5</v>
      </c>
      <c r="G772">
        <v>8.6837508219024789E-8</v>
      </c>
      <c r="H772" t="b">
        <v>0</v>
      </c>
    </row>
    <row r="773" spans="1:8" x14ac:dyDescent="0.15">
      <c r="A773">
        <v>118</v>
      </c>
      <c r="B773">
        <v>17</v>
      </c>
      <c r="C773">
        <v>4947208.73046875</v>
      </c>
      <c r="D773">
        <v>5302995.5011441717</v>
      </c>
      <c r="E773">
        <v>1.5875317300229941E-5</v>
      </c>
      <c r="F773">
        <v>1.5798424110076489E-5</v>
      </c>
      <c r="G773">
        <v>7.6893190153458786E-8</v>
      </c>
      <c r="H773" t="b">
        <v>0</v>
      </c>
    </row>
    <row r="774" spans="1:8" x14ac:dyDescent="0.15">
      <c r="A774">
        <v>118</v>
      </c>
      <c r="B774">
        <v>18</v>
      </c>
      <c r="C774">
        <v>4946776.73046875</v>
      </c>
      <c r="D774">
        <v>4473429.8338574553</v>
      </c>
      <c r="E774">
        <v>1.5863390512332382E-5</v>
      </c>
      <c r="F774">
        <v>1.5798424110076489E-5</v>
      </c>
      <c r="G774">
        <v>6.4966402255899774E-8</v>
      </c>
      <c r="H774" t="b">
        <v>0</v>
      </c>
    </row>
    <row r="775" spans="1:8" x14ac:dyDescent="0.15">
      <c r="A775">
        <v>118</v>
      </c>
      <c r="B775">
        <v>19</v>
      </c>
      <c r="C775">
        <v>4946992.73046875</v>
      </c>
      <c r="D775">
        <v>4887829.934275968</v>
      </c>
      <c r="E775">
        <v>1.586935303455482E-5</v>
      </c>
      <c r="F775">
        <v>1.5798424110076489E-5</v>
      </c>
      <c r="G775">
        <v>7.0928924478338062E-8</v>
      </c>
      <c r="H775" t="b">
        <v>0</v>
      </c>
    </row>
    <row r="776" spans="1:8" x14ac:dyDescent="0.15">
      <c r="A776">
        <v>118</v>
      </c>
      <c r="B776">
        <v>20</v>
      </c>
      <c r="C776">
        <v>4947251.9304687502</v>
      </c>
      <c r="D776">
        <v>5386185.6538420478</v>
      </c>
      <c r="E776">
        <v>1.5876511297503971E-5</v>
      </c>
      <c r="F776">
        <v>1.5798424110076489E-5</v>
      </c>
      <c r="G776">
        <v>7.8087187427489422E-8</v>
      </c>
      <c r="H776" t="b">
        <v>0</v>
      </c>
    </row>
    <row r="777" spans="1:8" x14ac:dyDescent="0.15">
      <c r="A777">
        <v>118</v>
      </c>
      <c r="B777">
        <v>21</v>
      </c>
      <c r="C777">
        <v>4947122.3304687506</v>
      </c>
      <c r="D777">
        <v>5136902.4622478914</v>
      </c>
      <c r="E777">
        <v>1.587293231937099E-5</v>
      </c>
      <c r="F777">
        <v>1.5798424110076489E-5</v>
      </c>
      <c r="G777">
        <v>7.4508209294508603E-8</v>
      </c>
      <c r="H777" t="b">
        <v>0</v>
      </c>
    </row>
    <row r="778" spans="1:8" x14ac:dyDescent="0.15">
      <c r="A778">
        <v>118</v>
      </c>
      <c r="B778">
        <v>22</v>
      </c>
      <c r="C778">
        <v>4946966.810468751</v>
      </c>
      <c r="D778">
        <v>4838126.4901119173</v>
      </c>
      <c r="E778">
        <v>1.5868638374191621E-5</v>
      </c>
      <c r="F778">
        <v>1.5798424110076489E-5</v>
      </c>
      <c r="G778">
        <v>7.0214264115138724E-8</v>
      </c>
      <c r="H778" t="b">
        <v>0</v>
      </c>
    </row>
    <row r="779" spans="1:8" x14ac:dyDescent="0.15">
      <c r="A779">
        <v>118</v>
      </c>
      <c r="B779">
        <v>23</v>
      </c>
      <c r="C779">
        <v>4947044.5704687508</v>
      </c>
      <c r="D779">
        <v>4987399.8444548268</v>
      </c>
      <c r="E779">
        <v>1.5870784299300718E-5</v>
      </c>
      <c r="F779">
        <v>1.5798424110076489E-5</v>
      </c>
      <c r="G779">
        <v>7.2360189224236559E-8</v>
      </c>
      <c r="H779" t="b">
        <v>0</v>
      </c>
    </row>
    <row r="780" spans="1:8" x14ac:dyDescent="0.15">
      <c r="A780">
        <v>119</v>
      </c>
      <c r="B780">
        <v>1</v>
      </c>
      <c r="C780">
        <v>6050000</v>
      </c>
      <c r="D780">
        <v>-120346587.036296</v>
      </c>
      <c r="E780">
        <v>1.185668810900693E-5</v>
      </c>
      <c r="F780">
        <v>1.54961944859755E-5</v>
      </c>
      <c r="G780">
        <v>-3.6395063769685689E-6</v>
      </c>
      <c r="H780" t="b">
        <v>1</v>
      </c>
    </row>
    <row r="781" spans="1:8" x14ac:dyDescent="0.15">
      <c r="A781">
        <v>119</v>
      </c>
      <c r="B781">
        <v>2</v>
      </c>
      <c r="C781">
        <v>9025000</v>
      </c>
      <c r="D781">
        <v>64927053523.788803</v>
      </c>
      <c r="E781">
        <v>2.1868040129558599E-4</v>
      </c>
      <c r="F781">
        <v>1.549619448597549E-5</v>
      </c>
      <c r="G781">
        <v>2.031842068096105E-4</v>
      </c>
      <c r="H781" t="b">
        <v>0</v>
      </c>
    </row>
    <row r="782" spans="1:8" x14ac:dyDescent="0.15">
      <c r="A782">
        <v>119</v>
      </c>
      <c r="B782">
        <v>3</v>
      </c>
      <c r="C782">
        <v>7537500</v>
      </c>
      <c r="D782">
        <v>10403664406.94873</v>
      </c>
      <c r="E782">
        <v>6.6754596219248131E-5</v>
      </c>
      <c r="F782">
        <v>1.54961944859755E-5</v>
      </c>
      <c r="G782">
        <v>5.1258401733272627E-5</v>
      </c>
      <c r="H782" t="b">
        <v>0</v>
      </c>
    </row>
    <row r="783" spans="1:8" x14ac:dyDescent="0.15">
      <c r="A783">
        <v>119</v>
      </c>
      <c r="B783">
        <v>4</v>
      </c>
      <c r="C783">
        <v>6793750</v>
      </c>
      <c r="D783">
        <v>2120944001.5535309</v>
      </c>
      <c r="E783">
        <v>3.0797292613685137E-5</v>
      </c>
      <c r="F783">
        <v>1.54961944859755E-5</v>
      </c>
      <c r="G783">
        <v>1.5301098127709651E-5</v>
      </c>
      <c r="H783" t="b">
        <v>0</v>
      </c>
    </row>
    <row r="784" spans="1:8" x14ac:dyDescent="0.15">
      <c r="A784">
        <v>119</v>
      </c>
      <c r="B784">
        <v>5</v>
      </c>
      <c r="C784">
        <v>6421875</v>
      </c>
      <c r="D784">
        <v>424608699.94146848</v>
      </c>
      <c r="E784">
        <v>1.962429456189785E-5</v>
      </c>
      <c r="F784">
        <v>1.54961944859755E-5</v>
      </c>
      <c r="G784">
        <v>4.1281000759223501E-6</v>
      </c>
      <c r="H784" t="b">
        <v>0</v>
      </c>
    </row>
    <row r="785" spans="1:8" x14ac:dyDescent="0.15">
      <c r="A785">
        <v>119</v>
      </c>
      <c r="B785">
        <v>6</v>
      </c>
      <c r="C785">
        <v>6235937.5</v>
      </c>
      <c r="D785">
        <v>-8948761.0177255385</v>
      </c>
      <c r="E785">
        <v>1.5364941305899411E-5</v>
      </c>
      <c r="F785">
        <v>1.54961944859755E-5</v>
      </c>
      <c r="G785">
        <v>-1.3125318007608551E-7</v>
      </c>
      <c r="H785" t="b">
        <v>1</v>
      </c>
    </row>
    <row r="786" spans="1:8" x14ac:dyDescent="0.15">
      <c r="A786">
        <v>119</v>
      </c>
      <c r="B786">
        <v>7</v>
      </c>
      <c r="C786">
        <v>6328906.25</v>
      </c>
      <c r="D786">
        <v>164879712.914655</v>
      </c>
      <c r="E786">
        <v>1.7394564547144171E-5</v>
      </c>
      <c r="F786">
        <v>1.54961944859755E-5</v>
      </c>
      <c r="G786">
        <v>1.898370061168671E-6</v>
      </c>
      <c r="H786" t="b">
        <v>0</v>
      </c>
    </row>
    <row r="787" spans="1:8" x14ac:dyDescent="0.15">
      <c r="A787">
        <v>119</v>
      </c>
      <c r="B787">
        <v>8</v>
      </c>
      <c r="C787">
        <v>6282421.875</v>
      </c>
      <c r="D787">
        <v>66550493.286797747</v>
      </c>
      <c r="E787">
        <v>1.6355532224262541E-5</v>
      </c>
      <c r="F787">
        <v>1.54961944859755E-5</v>
      </c>
      <c r="G787">
        <v>8.5933773828704069E-7</v>
      </c>
      <c r="H787" t="b">
        <v>0</v>
      </c>
    </row>
    <row r="788" spans="1:8" x14ac:dyDescent="0.15">
      <c r="A788">
        <v>119</v>
      </c>
      <c r="B788">
        <v>9</v>
      </c>
      <c r="C788">
        <v>6259179.6875</v>
      </c>
      <c r="D788">
        <v>26069083.14411965</v>
      </c>
      <c r="E788">
        <v>1.585432094204963E-5</v>
      </c>
      <c r="F788">
        <v>1.54961944859755E-5</v>
      </c>
      <c r="G788">
        <v>3.5812645607412999E-7</v>
      </c>
      <c r="H788" t="b">
        <v>0</v>
      </c>
    </row>
    <row r="789" spans="1:8" x14ac:dyDescent="0.15">
      <c r="A789">
        <v>119</v>
      </c>
      <c r="B789">
        <v>10</v>
      </c>
      <c r="C789">
        <v>6247558.59375</v>
      </c>
      <c r="D789">
        <v>7892410.8477637134</v>
      </c>
      <c r="E789">
        <v>1.56081730598836E-5</v>
      </c>
      <c r="F789">
        <v>1.54961944859755E-5</v>
      </c>
      <c r="G789">
        <v>1.119785739080998E-7</v>
      </c>
      <c r="H789" t="b">
        <v>0</v>
      </c>
    </row>
    <row r="790" spans="1:8" x14ac:dyDescent="0.15">
      <c r="A790">
        <v>119</v>
      </c>
      <c r="B790">
        <v>11</v>
      </c>
      <c r="C790">
        <v>6241748.046875</v>
      </c>
      <c r="D790">
        <v>-693730.0328825094</v>
      </c>
      <c r="E790">
        <v>1.5486188160873649E-5</v>
      </c>
      <c r="F790">
        <v>1.54961944859755E-5</v>
      </c>
      <c r="G790">
        <v>-1.0006325101847959E-8</v>
      </c>
      <c r="H790" t="b">
        <v>1</v>
      </c>
    </row>
    <row r="791" spans="1:8" x14ac:dyDescent="0.15">
      <c r="A791">
        <v>119</v>
      </c>
      <c r="B791">
        <v>12</v>
      </c>
      <c r="C791">
        <v>6244653.3203125</v>
      </c>
      <c r="D791">
        <v>3557786.6403556149</v>
      </c>
      <c r="E791">
        <v>1.5547089087035091E-5</v>
      </c>
      <c r="F791">
        <v>1.54961944859755E-5</v>
      </c>
      <c r="G791">
        <v>5.0894601059593872E-8</v>
      </c>
      <c r="H791" t="b">
        <v>0</v>
      </c>
    </row>
    <row r="792" spans="1:8" x14ac:dyDescent="0.15">
      <c r="A792">
        <v>119</v>
      </c>
      <c r="B792">
        <v>13</v>
      </c>
      <c r="C792">
        <v>6246105.95703125</v>
      </c>
      <c r="D792">
        <v>5714633.0650194241</v>
      </c>
      <c r="E792">
        <v>1.5577607480122361E-5</v>
      </c>
      <c r="F792">
        <v>1.54961944859755E-5</v>
      </c>
      <c r="G792">
        <v>8.141299414686799E-8</v>
      </c>
      <c r="H792" t="b">
        <v>0</v>
      </c>
    </row>
    <row r="793" spans="1:8" x14ac:dyDescent="0.15">
      <c r="A793">
        <v>119</v>
      </c>
      <c r="B793">
        <v>14</v>
      </c>
      <c r="C793">
        <v>6247305.95703125</v>
      </c>
      <c r="D793">
        <v>7512159.0568391336</v>
      </c>
      <c r="E793">
        <v>1.5602853891871538E-5</v>
      </c>
      <c r="F793">
        <v>1.54961944859755E-5</v>
      </c>
      <c r="G793">
        <v>1.066594058960416E-7</v>
      </c>
      <c r="H793" t="b">
        <v>0</v>
      </c>
    </row>
    <row r="794" spans="1:8" x14ac:dyDescent="0.15">
      <c r="A794">
        <v>119</v>
      </c>
      <c r="B794">
        <v>15</v>
      </c>
      <c r="C794">
        <v>6246705.95703125</v>
      </c>
      <c r="D794">
        <v>6611679.705225369</v>
      </c>
      <c r="E794">
        <v>1.5590227659489471E-5</v>
      </c>
      <c r="F794">
        <v>1.54961944859755E-5</v>
      </c>
      <c r="G794">
        <v>9.4033173513973899E-8</v>
      </c>
      <c r="H794" t="b">
        <v>0</v>
      </c>
    </row>
    <row r="795" spans="1:8" x14ac:dyDescent="0.15">
      <c r="A795">
        <v>119</v>
      </c>
      <c r="B795">
        <v>16</v>
      </c>
      <c r="C795">
        <v>6245985.95703125</v>
      </c>
      <c r="D795">
        <v>5535664.185791702</v>
      </c>
      <c r="E795">
        <v>1.557508457594244E-5</v>
      </c>
      <c r="F795">
        <v>1.54961944859755E-5</v>
      </c>
      <c r="G795">
        <v>7.8890089966943318E-8</v>
      </c>
      <c r="H795" t="b">
        <v>0</v>
      </c>
    </row>
    <row r="796" spans="1:8" x14ac:dyDescent="0.15">
      <c r="A796">
        <v>119</v>
      </c>
      <c r="B796">
        <v>17</v>
      </c>
      <c r="C796">
        <v>6246345.95703125</v>
      </c>
      <c r="D796">
        <v>6072998.0478679799</v>
      </c>
      <c r="E796">
        <v>1.5582654235723851E-5</v>
      </c>
      <c r="F796">
        <v>1.54961944859755E-5</v>
      </c>
      <c r="G796">
        <v>8.6459749748351423E-8</v>
      </c>
      <c r="H796" t="b">
        <v>0</v>
      </c>
    </row>
    <row r="797" spans="1:8" x14ac:dyDescent="0.15">
      <c r="A797">
        <v>119</v>
      </c>
      <c r="B797">
        <v>18</v>
      </c>
      <c r="C797">
        <v>6246777.95703125</v>
      </c>
      <c r="D797">
        <v>6719491.209396339</v>
      </c>
      <c r="E797">
        <v>1.5591741579119839E-5</v>
      </c>
      <c r="F797">
        <v>1.54961944859755E-5</v>
      </c>
      <c r="G797">
        <v>9.5547093144338459E-8</v>
      </c>
      <c r="H797" t="b">
        <v>0</v>
      </c>
    </row>
    <row r="798" spans="1:8" x14ac:dyDescent="0.15">
      <c r="A798">
        <v>119</v>
      </c>
      <c r="B798">
        <v>19</v>
      </c>
      <c r="C798">
        <v>6246561.95703125</v>
      </c>
      <c r="D798">
        <v>6396079.314124451</v>
      </c>
      <c r="E798">
        <v>1.5587198317420359E-5</v>
      </c>
      <c r="F798">
        <v>1.54961944859755E-5</v>
      </c>
      <c r="G798">
        <v>9.1003831444862215E-8</v>
      </c>
      <c r="H798" t="b">
        <v>0</v>
      </c>
    </row>
    <row r="799" spans="1:8" x14ac:dyDescent="0.15">
      <c r="A799">
        <v>119</v>
      </c>
      <c r="B799">
        <v>20</v>
      </c>
      <c r="C799">
        <v>6246302.7570312498</v>
      </c>
      <c r="D799">
        <v>6008515.7507545333</v>
      </c>
      <c r="E799">
        <v>1.5581746647778671E-5</v>
      </c>
      <c r="F799">
        <v>1.54961944859755E-5</v>
      </c>
      <c r="G799">
        <v>8.5552161803174507E-8</v>
      </c>
      <c r="H799" t="b">
        <v>0</v>
      </c>
    </row>
    <row r="800" spans="1:8" x14ac:dyDescent="0.15">
      <c r="A800">
        <v>119</v>
      </c>
      <c r="B800">
        <v>21</v>
      </c>
      <c r="C800">
        <v>6246432.3570312494</v>
      </c>
      <c r="D800">
        <v>6202148.9270475823</v>
      </c>
      <c r="E800">
        <v>1.5584471376951549E-5</v>
      </c>
      <c r="F800">
        <v>1.54961944859755E-5</v>
      </c>
      <c r="G800">
        <v>8.8276890976055853E-8</v>
      </c>
      <c r="H800" t="b">
        <v>0</v>
      </c>
    </row>
    <row r="801" spans="1:8" x14ac:dyDescent="0.15">
      <c r="A801">
        <v>120</v>
      </c>
      <c r="B801">
        <v>1</v>
      </c>
      <c r="C801">
        <v>6050000</v>
      </c>
      <c r="D801">
        <v>353131472149.78369</v>
      </c>
      <c r="E801">
        <v>7.4143077474465033E-4</v>
      </c>
      <c r="F801">
        <v>1.520317029067889E-5</v>
      </c>
      <c r="G801">
        <v>7.2622760445397144E-4</v>
      </c>
      <c r="H801" t="b">
        <v>0</v>
      </c>
    </row>
    <row r="802" spans="1:8" x14ac:dyDescent="0.15">
      <c r="A802">
        <v>120</v>
      </c>
      <c r="B802">
        <v>2</v>
      </c>
      <c r="C802">
        <v>3075000</v>
      </c>
      <c r="D802">
        <v>-5271367.1702747494</v>
      </c>
      <c r="E802">
        <v>6.8960140350812397E-6</v>
      </c>
      <c r="F802">
        <v>1.5203170290678921E-5</v>
      </c>
      <c r="G802">
        <v>-8.3071562555976759E-6</v>
      </c>
      <c r="H802" t="b">
        <v>1</v>
      </c>
    </row>
    <row r="803" spans="1:8" x14ac:dyDescent="0.15">
      <c r="A803">
        <v>120</v>
      </c>
      <c r="B803">
        <v>3</v>
      </c>
      <c r="C803">
        <v>4562500</v>
      </c>
      <c r="D803">
        <v>29089507101.777531</v>
      </c>
      <c r="E803">
        <v>1.235432337638762E-4</v>
      </c>
      <c r="F803">
        <v>1.5203170290678921E-5</v>
      </c>
      <c r="G803">
        <v>1.083400634731973E-4</v>
      </c>
      <c r="H803" t="b">
        <v>0</v>
      </c>
    </row>
    <row r="804" spans="1:8" x14ac:dyDescent="0.15">
      <c r="A804">
        <v>120</v>
      </c>
      <c r="B804">
        <v>4</v>
      </c>
      <c r="C804">
        <v>3818750</v>
      </c>
      <c r="D804">
        <v>2404579070.0559211</v>
      </c>
      <c r="E804">
        <v>3.1696324419226573E-5</v>
      </c>
      <c r="F804">
        <v>1.520317029067891E-5</v>
      </c>
      <c r="G804">
        <v>1.6493154128547659E-5</v>
      </c>
      <c r="H804" t="b">
        <v>0</v>
      </c>
    </row>
    <row r="805" spans="1:8" x14ac:dyDescent="0.15">
      <c r="A805">
        <v>120</v>
      </c>
      <c r="B805">
        <v>5</v>
      </c>
      <c r="C805">
        <v>3446875</v>
      </c>
      <c r="D805">
        <v>-104604656.1846264</v>
      </c>
      <c r="E805">
        <v>1.3055852518146541E-5</v>
      </c>
      <c r="F805">
        <v>1.5203170290678921E-5</v>
      </c>
      <c r="G805">
        <v>-2.1473177725323711E-6</v>
      </c>
      <c r="H805" t="b">
        <v>1</v>
      </c>
    </row>
    <row r="806" spans="1:8" x14ac:dyDescent="0.15">
      <c r="A806">
        <v>120</v>
      </c>
      <c r="B806">
        <v>6</v>
      </c>
      <c r="C806">
        <v>3632812.5</v>
      </c>
      <c r="D806">
        <v>622705485.8891201</v>
      </c>
      <c r="E806">
        <v>2.078895389785949E-5</v>
      </c>
      <c r="F806">
        <v>1.5203170290678921E-5</v>
      </c>
      <c r="G806">
        <v>5.5857836071805708E-6</v>
      </c>
      <c r="H806" t="b">
        <v>0</v>
      </c>
    </row>
    <row r="807" spans="1:8" x14ac:dyDescent="0.15">
      <c r="A807">
        <v>120</v>
      </c>
      <c r="B807">
        <v>7</v>
      </c>
      <c r="C807">
        <v>3539843.75</v>
      </c>
      <c r="D807">
        <v>114613262.744684</v>
      </c>
      <c r="E807">
        <v>1.6571481534834411E-5</v>
      </c>
      <c r="F807">
        <v>1.5203170290678921E-5</v>
      </c>
      <c r="G807">
        <v>1.368311244155496E-6</v>
      </c>
      <c r="H807" t="b">
        <v>0</v>
      </c>
    </row>
    <row r="808" spans="1:8" x14ac:dyDescent="0.15">
      <c r="A808">
        <v>120</v>
      </c>
      <c r="B808">
        <v>8</v>
      </c>
      <c r="C808">
        <v>3493359.375</v>
      </c>
      <c r="D808">
        <v>-31096960.38641708</v>
      </c>
      <c r="E808">
        <v>1.473130226992499E-5</v>
      </c>
      <c r="F808">
        <v>1.5203170290678921E-5</v>
      </c>
      <c r="G808">
        <v>-4.7186802075392891E-7</v>
      </c>
      <c r="H808" t="b">
        <v>1</v>
      </c>
    </row>
    <row r="809" spans="1:8" x14ac:dyDescent="0.15">
      <c r="A809">
        <v>120</v>
      </c>
      <c r="B809">
        <v>9</v>
      </c>
      <c r="C809">
        <v>3516601.5625</v>
      </c>
      <c r="D809">
        <v>31918133.724383019</v>
      </c>
      <c r="E809">
        <v>1.5630124589374341E-5</v>
      </c>
      <c r="F809">
        <v>1.5203170290678921E-5</v>
      </c>
      <c r="G809">
        <v>4.2695429869542879E-7</v>
      </c>
      <c r="H809" t="b">
        <v>0</v>
      </c>
    </row>
    <row r="810" spans="1:8" x14ac:dyDescent="0.15">
      <c r="A810">
        <v>120</v>
      </c>
      <c r="B810">
        <v>10</v>
      </c>
      <c r="C810">
        <v>3504980.46875</v>
      </c>
      <c r="D810">
        <v>-1946838.146407719</v>
      </c>
      <c r="E810">
        <v>1.5175481008375899E-5</v>
      </c>
      <c r="F810">
        <v>1.5203170290678921E-5</v>
      </c>
      <c r="G810">
        <v>-2.7689282303019728E-8</v>
      </c>
      <c r="H810" t="b">
        <v>1</v>
      </c>
    </row>
    <row r="811" spans="1:8" x14ac:dyDescent="0.15">
      <c r="A811">
        <v>120</v>
      </c>
      <c r="B811">
        <v>11</v>
      </c>
      <c r="C811">
        <v>3510791.015625</v>
      </c>
      <c r="D811">
        <v>14383586.46602184</v>
      </c>
      <c r="E811">
        <v>1.5401484744289671E-5</v>
      </c>
      <c r="F811">
        <v>1.5203170290678921E-5</v>
      </c>
      <c r="G811">
        <v>1.983144536107591E-7</v>
      </c>
      <c r="H811" t="b">
        <v>0</v>
      </c>
    </row>
    <row r="812" spans="1:8" x14ac:dyDescent="0.15">
      <c r="A812">
        <v>120</v>
      </c>
      <c r="B812">
        <v>12</v>
      </c>
      <c r="C812">
        <v>3507885.7421875</v>
      </c>
      <c r="D812">
        <v>6069479.9279831396</v>
      </c>
      <c r="E812">
        <v>1.5288155020343879E-5</v>
      </c>
      <c r="F812">
        <v>1.5203170290678921E-5</v>
      </c>
      <c r="G812">
        <v>8.4984729664966616E-8</v>
      </c>
      <c r="H812" t="b">
        <v>0</v>
      </c>
    </row>
    <row r="813" spans="1:8" x14ac:dyDescent="0.15">
      <c r="A813">
        <v>120</v>
      </c>
      <c r="B813">
        <v>13</v>
      </c>
      <c r="C813">
        <v>3506433.10546875</v>
      </c>
      <c r="D813">
        <v>2024319.765377956</v>
      </c>
      <c r="E813">
        <v>1.5231736545557581E-5</v>
      </c>
      <c r="F813">
        <v>1.5203170290678921E-5</v>
      </c>
      <c r="G813">
        <v>2.8566254878666889E-8</v>
      </c>
      <c r="H813" t="b">
        <v>0</v>
      </c>
    </row>
    <row r="814" spans="1:8" x14ac:dyDescent="0.15">
      <c r="A814">
        <v>120</v>
      </c>
      <c r="B814">
        <v>14</v>
      </c>
      <c r="C814">
        <v>3506933.10546875</v>
      </c>
      <c r="D814">
        <v>3408291.4513496561</v>
      </c>
      <c r="E814">
        <v>1.525113737381638E-5</v>
      </c>
      <c r="F814">
        <v>1.5203170290678921E-5</v>
      </c>
      <c r="G814">
        <v>4.7967083137467867E-8</v>
      </c>
      <c r="H814" t="b">
        <v>0</v>
      </c>
    </row>
    <row r="815" spans="1:8" x14ac:dyDescent="0.15">
      <c r="A815">
        <v>120</v>
      </c>
      <c r="B815">
        <v>15</v>
      </c>
      <c r="C815">
        <v>3507533.10546875</v>
      </c>
      <c r="D815">
        <v>5080599.2388158841</v>
      </c>
      <c r="E815">
        <v>1.5274443120455581E-5</v>
      </c>
      <c r="F815">
        <v>1.5203170290678921E-5</v>
      </c>
      <c r="G815">
        <v>7.1272829776662371E-8</v>
      </c>
      <c r="H815" t="b">
        <v>0</v>
      </c>
    </row>
    <row r="816" spans="1:8" x14ac:dyDescent="0.15">
      <c r="A816">
        <v>120</v>
      </c>
      <c r="B816">
        <v>16</v>
      </c>
      <c r="C816">
        <v>3507233.10546875</v>
      </c>
      <c r="D816">
        <v>4242893.0715406081</v>
      </c>
      <c r="E816">
        <v>1.5262787192256879E-5</v>
      </c>
      <c r="F816">
        <v>1.5203170290678921E-5</v>
      </c>
      <c r="G816">
        <v>5.9616901577963226E-8</v>
      </c>
      <c r="H816" t="b">
        <v>0</v>
      </c>
    </row>
    <row r="817" spans="1:8" x14ac:dyDescent="0.15">
      <c r="A817">
        <v>120</v>
      </c>
      <c r="B817">
        <v>17</v>
      </c>
      <c r="C817">
        <v>3506873.10546875</v>
      </c>
      <c r="D817">
        <v>3241751.0080726361</v>
      </c>
      <c r="E817">
        <v>1.524880824923386E-5</v>
      </c>
      <c r="F817">
        <v>1.5203170290678921E-5</v>
      </c>
      <c r="G817">
        <v>4.5637958554946223E-8</v>
      </c>
      <c r="H817" t="b">
        <v>0</v>
      </c>
    </row>
    <row r="818" spans="1:8" x14ac:dyDescent="0.15">
      <c r="A818">
        <v>120</v>
      </c>
      <c r="B818">
        <v>18</v>
      </c>
      <c r="C818">
        <v>3507053.10546875</v>
      </c>
      <c r="D818">
        <v>3741688.8489605249</v>
      </c>
      <c r="E818">
        <v>1.525579557836216E-5</v>
      </c>
      <c r="F818">
        <v>1.5203170290678921E-5</v>
      </c>
      <c r="G818">
        <v>5.2625287683244799E-8</v>
      </c>
      <c r="H818" t="b">
        <v>0</v>
      </c>
    </row>
    <row r="819" spans="1:8" x14ac:dyDescent="0.15">
      <c r="A819">
        <v>120</v>
      </c>
      <c r="B819">
        <v>19</v>
      </c>
      <c r="C819">
        <v>3506963.10546875</v>
      </c>
      <c r="D819">
        <v>3491609.1423074668</v>
      </c>
      <c r="E819">
        <v>1.525230204098302E-5</v>
      </c>
      <c r="F819">
        <v>1.5203170290678921E-5</v>
      </c>
      <c r="G819">
        <v>4.9131750304099498E-8</v>
      </c>
      <c r="H819" t="b">
        <v>0</v>
      </c>
    </row>
    <row r="820" spans="1:8" x14ac:dyDescent="0.15">
      <c r="A820">
        <v>121</v>
      </c>
      <c r="B820">
        <v>1</v>
      </c>
      <c r="C820">
        <v>6050000</v>
      </c>
      <c r="D820">
        <v>684520948535.22986</v>
      </c>
      <c r="E820">
        <v>9.2878871065744419E-4</v>
      </c>
      <c r="F820">
        <v>1.2147820509179269E-5</v>
      </c>
      <c r="G820">
        <v>9.1664089014826492E-4</v>
      </c>
      <c r="H820" t="b">
        <v>0</v>
      </c>
    </row>
    <row r="821" spans="1:8" x14ac:dyDescent="0.15">
      <c r="A821">
        <v>121</v>
      </c>
      <c r="B821">
        <v>2</v>
      </c>
      <c r="C821">
        <v>3075000</v>
      </c>
      <c r="D821">
        <v>-79078068.958502248</v>
      </c>
      <c r="E821">
        <v>8.1179579755820469E-6</v>
      </c>
      <c r="F821">
        <v>1.214782050917923E-5</v>
      </c>
      <c r="G821">
        <v>-4.0298625335971816E-6</v>
      </c>
      <c r="H821" t="b">
        <v>1</v>
      </c>
    </row>
    <row r="822" spans="1:8" x14ac:dyDescent="0.15">
      <c r="A822">
        <v>121</v>
      </c>
      <c r="B822">
        <v>3</v>
      </c>
      <c r="C822">
        <v>4562500</v>
      </c>
      <c r="D822">
        <v>66667909490.742661</v>
      </c>
      <c r="E822">
        <v>1.6607830738648289E-4</v>
      </c>
      <c r="F822">
        <v>1.214782050917924E-5</v>
      </c>
      <c r="G822">
        <v>1.539304868773036E-4</v>
      </c>
      <c r="H822" t="b">
        <v>0</v>
      </c>
    </row>
    <row r="823" spans="1:8" x14ac:dyDescent="0.15">
      <c r="A823">
        <v>121</v>
      </c>
      <c r="B823">
        <v>4</v>
      </c>
      <c r="C823">
        <v>3818750</v>
      </c>
      <c r="D823">
        <v>8507106859.6075077</v>
      </c>
      <c r="E823">
        <v>4.5150925882777002E-5</v>
      </c>
      <c r="F823">
        <v>1.214782050917923E-5</v>
      </c>
      <c r="G823">
        <v>3.3003105373597782E-5</v>
      </c>
      <c r="H823" t="b">
        <v>0</v>
      </c>
    </row>
    <row r="824" spans="1:8" x14ac:dyDescent="0.15">
      <c r="A824">
        <v>121</v>
      </c>
      <c r="B824">
        <v>5</v>
      </c>
      <c r="C824">
        <v>3446875</v>
      </c>
      <c r="D824">
        <v>1165268445.521261</v>
      </c>
      <c r="E824">
        <v>1.9334668312399631E-5</v>
      </c>
      <c r="F824">
        <v>1.214782050917923E-5</v>
      </c>
      <c r="G824">
        <v>7.1868478032204016E-6</v>
      </c>
      <c r="H824" t="b">
        <v>0</v>
      </c>
    </row>
    <row r="825" spans="1:8" x14ac:dyDescent="0.15">
      <c r="A825">
        <v>121</v>
      </c>
      <c r="B825">
        <v>6</v>
      </c>
      <c r="C825">
        <v>3260937.5</v>
      </c>
      <c r="D825">
        <v>-27327250.510074891</v>
      </c>
      <c r="E825">
        <v>1.1806682944689791E-5</v>
      </c>
      <c r="F825">
        <v>1.214782050917923E-5</v>
      </c>
      <c r="G825">
        <v>-3.4113756448943798E-7</v>
      </c>
      <c r="H825" t="b">
        <v>1</v>
      </c>
    </row>
    <row r="826" spans="1:8" x14ac:dyDescent="0.15">
      <c r="A826">
        <v>121</v>
      </c>
      <c r="B826">
        <v>7</v>
      </c>
      <c r="C826">
        <v>3353906.25</v>
      </c>
      <c r="D826">
        <v>401019041.29200542</v>
      </c>
      <c r="E826">
        <v>1.5208857455549269E-5</v>
      </c>
      <c r="F826">
        <v>1.214782050917923E-5</v>
      </c>
      <c r="G826">
        <v>3.0610369463700441E-6</v>
      </c>
      <c r="H826" t="b">
        <v>0</v>
      </c>
    </row>
    <row r="827" spans="1:8" x14ac:dyDescent="0.15">
      <c r="A827">
        <v>121</v>
      </c>
      <c r="B827">
        <v>8</v>
      </c>
      <c r="C827">
        <v>3307421.875</v>
      </c>
      <c r="D827">
        <v>133967829.5906302</v>
      </c>
      <c r="E827">
        <v>1.342314800648568E-5</v>
      </c>
      <c r="F827">
        <v>1.214782050917923E-5</v>
      </c>
      <c r="G827">
        <v>1.275327497306454E-6</v>
      </c>
      <c r="H827" t="b">
        <v>0</v>
      </c>
    </row>
    <row r="828" spans="1:8" x14ac:dyDescent="0.15">
      <c r="A828">
        <v>121</v>
      </c>
      <c r="B828">
        <v>9</v>
      </c>
      <c r="C828">
        <v>3284179.6875</v>
      </c>
      <c r="D828">
        <v>41286989.469529167</v>
      </c>
      <c r="E828">
        <v>1.259447789621167E-5</v>
      </c>
      <c r="F828">
        <v>1.214782050917923E-5</v>
      </c>
      <c r="G828">
        <v>4.4665738703244639E-7</v>
      </c>
      <c r="H828" t="b">
        <v>0</v>
      </c>
    </row>
    <row r="829" spans="1:8" x14ac:dyDescent="0.15">
      <c r="A829">
        <v>121</v>
      </c>
      <c r="B829">
        <v>10</v>
      </c>
      <c r="C829">
        <v>3272558.59375</v>
      </c>
      <c r="D829">
        <v>4116825.678564731</v>
      </c>
      <c r="E829">
        <v>1.219556082777949E-5</v>
      </c>
      <c r="F829">
        <v>1.214782050917923E-5</v>
      </c>
      <c r="G829">
        <v>4.7740318600262939E-8</v>
      </c>
      <c r="H829" t="b">
        <v>0</v>
      </c>
    </row>
    <row r="830" spans="1:8" x14ac:dyDescent="0.15">
      <c r="A830">
        <v>121</v>
      </c>
      <c r="B830">
        <v>11</v>
      </c>
      <c r="C830">
        <v>3266748.046875</v>
      </c>
      <c r="D830">
        <v>-12302884.282171721</v>
      </c>
      <c r="E830">
        <v>1.1999878949786119E-5</v>
      </c>
      <c r="F830">
        <v>1.214782050917923E-5</v>
      </c>
      <c r="G830">
        <v>-1.479415593931059E-7</v>
      </c>
      <c r="H830" t="b">
        <v>1</v>
      </c>
    </row>
    <row r="831" spans="1:8" x14ac:dyDescent="0.15">
      <c r="A831">
        <v>121</v>
      </c>
      <c r="B831">
        <v>12</v>
      </c>
      <c r="C831">
        <v>3269653.3203125</v>
      </c>
      <c r="D831">
        <v>-4269736.8741921065</v>
      </c>
      <c r="E831">
        <v>1.209740725100902E-5</v>
      </c>
      <c r="F831">
        <v>1.214782050917923E-5</v>
      </c>
      <c r="G831">
        <v>-5.0413258170203653E-8</v>
      </c>
      <c r="H831" t="b">
        <v>1</v>
      </c>
    </row>
    <row r="832" spans="1:8" x14ac:dyDescent="0.15">
      <c r="A832">
        <v>121</v>
      </c>
      <c r="B832">
        <v>13</v>
      </c>
      <c r="C832">
        <v>3271105.95703125</v>
      </c>
      <c r="D832">
        <v>-120848.7000211827</v>
      </c>
      <c r="E832">
        <v>1.214640647294958E-5</v>
      </c>
      <c r="F832">
        <v>1.214782050917923E-5</v>
      </c>
      <c r="G832">
        <v>-1.4140362296469239E-9</v>
      </c>
      <c r="H832" t="b">
        <v>1</v>
      </c>
    </row>
    <row r="833" spans="1:8" x14ac:dyDescent="0.15">
      <c r="A833">
        <v>121</v>
      </c>
      <c r="B833">
        <v>14</v>
      </c>
      <c r="C833">
        <v>3271605.95703125</v>
      </c>
      <c r="D833">
        <v>1327724.1181351</v>
      </c>
      <c r="E833">
        <v>1.216330804002653E-5</v>
      </c>
      <c r="F833">
        <v>1.214782050917923E-5</v>
      </c>
      <c r="G833">
        <v>1.5487530847302699E-8</v>
      </c>
      <c r="H833" t="b">
        <v>0</v>
      </c>
    </row>
    <row r="834" spans="1:8" x14ac:dyDescent="0.15">
      <c r="A834">
        <v>121</v>
      </c>
      <c r="B834">
        <v>15</v>
      </c>
      <c r="C834">
        <v>3272205.95703125</v>
      </c>
      <c r="D834">
        <v>3079887.6884216461</v>
      </c>
      <c r="E834">
        <v>1.218361372926779E-5</v>
      </c>
      <c r="F834">
        <v>1.214782050917923E-5</v>
      </c>
      <c r="G834">
        <v>3.5793220088556572E-8</v>
      </c>
      <c r="H834" t="b">
        <v>0</v>
      </c>
    </row>
    <row r="835" spans="1:8" x14ac:dyDescent="0.15">
      <c r="A835">
        <v>121</v>
      </c>
      <c r="B835">
        <v>16</v>
      </c>
      <c r="C835">
        <v>3272925.95703125</v>
      </c>
      <c r="D835">
        <v>5202734.8908345615</v>
      </c>
      <c r="E835">
        <v>1.2208017370362731E-5</v>
      </c>
      <c r="F835">
        <v>1.214782050917923E-5</v>
      </c>
      <c r="G835">
        <v>6.0196861183503989E-8</v>
      </c>
      <c r="H835" t="b">
        <v>0</v>
      </c>
    </row>
    <row r="836" spans="1:8" x14ac:dyDescent="0.15">
      <c r="A836">
        <v>121</v>
      </c>
      <c r="B836">
        <v>17</v>
      </c>
      <c r="C836">
        <v>3272565.95703125</v>
      </c>
      <c r="D836">
        <v>4138593.506361844</v>
      </c>
      <c r="E836">
        <v>1.219581107601711E-5</v>
      </c>
      <c r="F836">
        <v>1.214782050917923E-5</v>
      </c>
      <c r="G836">
        <v>4.7990566837881693E-8</v>
      </c>
      <c r="H836" t="b">
        <v>0</v>
      </c>
    </row>
    <row r="837" spans="1:8" x14ac:dyDescent="0.15">
      <c r="A837">
        <v>121</v>
      </c>
      <c r="B837">
        <v>18</v>
      </c>
      <c r="C837">
        <v>3272133.95703125</v>
      </c>
      <c r="D837">
        <v>2868817.1115122931</v>
      </c>
      <c r="E837">
        <v>1.218117555278774E-5</v>
      </c>
      <c r="F837">
        <v>1.214782050917923E-5</v>
      </c>
      <c r="G837">
        <v>3.3355043608512751E-8</v>
      </c>
      <c r="H837" t="b">
        <v>0</v>
      </c>
    </row>
    <row r="838" spans="1:8" x14ac:dyDescent="0.15">
      <c r="A838">
        <v>121</v>
      </c>
      <c r="B838">
        <v>19</v>
      </c>
      <c r="C838">
        <v>3272349.95703125</v>
      </c>
      <c r="D838">
        <v>3502687.276880716</v>
      </c>
      <c r="E838">
        <v>1.2188491237639949E-5</v>
      </c>
      <c r="F838">
        <v>1.214782050917923E-5</v>
      </c>
      <c r="G838">
        <v>4.0670728460719008E-8</v>
      </c>
      <c r="H838" t="b">
        <v>0</v>
      </c>
    </row>
    <row r="839" spans="1:8" x14ac:dyDescent="0.15">
      <c r="A839">
        <v>121</v>
      </c>
      <c r="B839">
        <v>20</v>
      </c>
      <c r="C839">
        <v>3272241.95703125</v>
      </c>
      <c r="D839">
        <v>3185505.2683484708</v>
      </c>
      <c r="E839">
        <v>1.2184832961926421E-5</v>
      </c>
      <c r="F839">
        <v>1.214782050917923E-5</v>
      </c>
      <c r="G839">
        <v>3.7012452747192002E-8</v>
      </c>
      <c r="H839" t="b">
        <v>0</v>
      </c>
    </row>
    <row r="840" spans="1:8" x14ac:dyDescent="0.15">
      <c r="A840">
        <v>121</v>
      </c>
      <c r="B840">
        <v>21</v>
      </c>
      <c r="C840">
        <v>3272295.95703125</v>
      </c>
      <c r="D840">
        <v>3344034.52660893</v>
      </c>
      <c r="E840">
        <v>1.2186661991451539E-5</v>
      </c>
      <c r="F840">
        <v>1.214782050917923E-5</v>
      </c>
      <c r="G840">
        <v>3.8841482272315883E-8</v>
      </c>
      <c r="H840" t="b">
        <v>0</v>
      </c>
    </row>
    <row r="841" spans="1:8" x14ac:dyDescent="0.15">
      <c r="A841">
        <v>121</v>
      </c>
      <c r="B841">
        <v>22</v>
      </c>
      <c r="C841">
        <v>3272268.95703125</v>
      </c>
      <c r="D841">
        <v>3264754.4627969959</v>
      </c>
      <c r="E841">
        <v>1.2185747449607321E-5</v>
      </c>
      <c r="F841">
        <v>1.214782050917923E-5</v>
      </c>
      <c r="G841">
        <v>3.7926940428088738E-8</v>
      </c>
      <c r="H841" t="b">
        <v>0</v>
      </c>
    </row>
    <row r="842" spans="1:8" x14ac:dyDescent="0.15">
      <c r="A842">
        <v>122</v>
      </c>
      <c r="B842">
        <v>1</v>
      </c>
      <c r="C842">
        <v>6050000</v>
      </c>
      <c r="D842">
        <v>245808547543.31259</v>
      </c>
      <c r="E842">
        <v>3.8175065536708561E-4</v>
      </c>
      <c r="F842">
        <v>1.108836305001196E-5</v>
      </c>
      <c r="G842">
        <v>3.7066229231707361E-4</v>
      </c>
      <c r="H842" t="b">
        <v>0</v>
      </c>
    </row>
    <row r="843" spans="1:8" x14ac:dyDescent="0.15">
      <c r="A843">
        <v>122</v>
      </c>
      <c r="B843">
        <v>2</v>
      </c>
      <c r="C843">
        <v>3075000</v>
      </c>
      <c r="D843">
        <v>-1390045.167901881</v>
      </c>
      <c r="E843">
        <v>3.8777911312399514E-6</v>
      </c>
      <c r="F843">
        <v>1.108836305001197E-5</v>
      </c>
      <c r="G843">
        <v>-7.2105719187720164E-6</v>
      </c>
      <c r="H843" t="b">
        <v>1</v>
      </c>
    </row>
    <row r="844" spans="1:8" x14ac:dyDescent="0.15">
      <c r="A844">
        <v>122</v>
      </c>
      <c r="B844">
        <v>3</v>
      </c>
      <c r="C844">
        <v>4562500</v>
      </c>
      <c r="D844">
        <v>15616188673.946011</v>
      </c>
      <c r="E844">
        <v>5.7648388823454229E-5</v>
      </c>
      <c r="F844">
        <v>1.108836305001197E-5</v>
      </c>
      <c r="G844">
        <v>4.656002577344226E-5</v>
      </c>
      <c r="H844" t="b">
        <v>0</v>
      </c>
    </row>
    <row r="845" spans="1:8" x14ac:dyDescent="0.15">
      <c r="A845">
        <v>122</v>
      </c>
      <c r="B845">
        <v>4</v>
      </c>
      <c r="C845">
        <v>3818750</v>
      </c>
      <c r="D845">
        <v>325348696.78663492</v>
      </c>
      <c r="E845">
        <v>1.348548119686579E-5</v>
      </c>
      <c r="F845">
        <v>1.108836305001197E-5</v>
      </c>
      <c r="G845">
        <v>2.3971181468538188E-6</v>
      </c>
      <c r="H845" t="b">
        <v>0</v>
      </c>
    </row>
    <row r="846" spans="1:8" x14ac:dyDescent="0.15">
      <c r="A846">
        <v>122</v>
      </c>
      <c r="B846">
        <v>5</v>
      </c>
      <c r="C846">
        <v>3446875</v>
      </c>
      <c r="D846">
        <v>-51300222.09000998</v>
      </c>
      <c r="E846">
        <v>6.9455314622363127E-6</v>
      </c>
      <c r="F846">
        <v>1.108836305001197E-5</v>
      </c>
      <c r="G846">
        <v>-4.1428315877756542E-6</v>
      </c>
      <c r="H846" t="b">
        <v>1</v>
      </c>
    </row>
    <row r="847" spans="1:8" x14ac:dyDescent="0.15">
      <c r="A847">
        <v>122</v>
      </c>
      <c r="B847">
        <v>6</v>
      </c>
      <c r="C847">
        <v>3632812.5</v>
      </c>
      <c r="D847">
        <v>-108316180.7762714</v>
      </c>
      <c r="E847">
        <v>8.9039032959582647E-6</v>
      </c>
      <c r="F847">
        <v>1.108836305001197E-5</v>
      </c>
      <c r="G847">
        <v>-2.1844597540537018E-6</v>
      </c>
      <c r="H847" t="b">
        <v>1</v>
      </c>
    </row>
    <row r="848" spans="1:8" x14ac:dyDescent="0.15">
      <c r="A848">
        <v>122</v>
      </c>
      <c r="B848">
        <v>7</v>
      </c>
      <c r="C848">
        <v>3725781.25</v>
      </c>
      <c r="D848">
        <v>-23652943.34220463</v>
      </c>
      <c r="E848">
        <v>1.081678695823327E-5</v>
      </c>
      <c r="F848">
        <v>1.108836305001197E-5</v>
      </c>
      <c r="G848">
        <v>-2.7157609177869328E-7</v>
      </c>
      <c r="H848" t="b">
        <v>1</v>
      </c>
    </row>
    <row r="849" spans="1:8" x14ac:dyDescent="0.15">
      <c r="A849">
        <v>122</v>
      </c>
      <c r="B849">
        <v>8</v>
      </c>
      <c r="C849">
        <v>3772265.625</v>
      </c>
      <c r="D849">
        <v>111525881.65519319</v>
      </c>
      <c r="E849">
        <v>1.209358671774111E-5</v>
      </c>
      <c r="F849">
        <v>1.108836305001197E-5</v>
      </c>
      <c r="G849">
        <v>1.005223667729143E-6</v>
      </c>
      <c r="H849" t="b">
        <v>0</v>
      </c>
    </row>
    <row r="850" spans="1:8" x14ac:dyDescent="0.15">
      <c r="A850">
        <v>122</v>
      </c>
      <c r="B850">
        <v>9</v>
      </c>
      <c r="C850">
        <v>3749023.4375</v>
      </c>
      <c r="D850">
        <v>34904901.460093498</v>
      </c>
      <c r="E850">
        <v>1.1441309067781119E-5</v>
      </c>
      <c r="F850">
        <v>1.108836305001197E-5</v>
      </c>
      <c r="G850">
        <v>3.5294601776915589E-7</v>
      </c>
      <c r="H850" t="b">
        <v>0</v>
      </c>
    </row>
    <row r="851" spans="1:8" x14ac:dyDescent="0.15">
      <c r="A851">
        <v>122</v>
      </c>
      <c r="B851">
        <v>10</v>
      </c>
      <c r="C851">
        <v>3737402.34375</v>
      </c>
      <c r="D851">
        <v>3461533.233340668</v>
      </c>
      <c r="E851">
        <v>1.1125599027007991E-5</v>
      </c>
      <c r="F851">
        <v>1.108836305001197E-5</v>
      </c>
      <c r="G851">
        <v>3.7235976996022121E-8</v>
      </c>
      <c r="H851" t="b">
        <v>0</v>
      </c>
    </row>
    <row r="852" spans="1:8" x14ac:dyDescent="0.15">
      <c r="A852">
        <v>122</v>
      </c>
      <c r="B852">
        <v>11</v>
      </c>
      <c r="C852">
        <v>3743212.890625</v>
      </c>
      <c r="D852">
        <v>18629967.99862973</v>
      </c>
      <c r="E852">
        <v>1.128258538774487E-5</v>
      </c>
      <c r="F852">
        <v>1.108836305001197E-5</v>
      </c>
      <c r="G852">
        <v>1.942223377329044E-7</v>
      </c>
      <c r="H852" t="b">
        <v>0</v>
      </c>
    </row>
    <row r="853" spans="1:8" x14ac:dyDescent="0.15">
      <c r="A853">
        <v>122</v>
      </c>
      <c r="B853">
        <v>12</v>
      </c>
      <c r="C853">
        <v>3740307.6171875</v>
      </c>
      <c r="D853">
        <v>10908953.547574669</v>
      </c>
      <c r="E853">
        <v>1.1203875803350821E-5</v>
      </c>
      <c r="F853">
        <v>1.108836305001197E-5</v>
      </c>
      <c r="G853">
        <v>1.155127533388555E-7</v>
      </c>
      <c r="H853" t="b">
        <v>0</v>
      </c>
    </row>
    <row r="854" spans="1:8" x14ac:dyDescent="0.15">
      <c r="A854">
        <v>122</v>
      </c>
      <c r="B854">
        <v>13</v>
      </c>
      <c r="C854">
        <v>3738854.98046875</v>
      </c>
      <c r="D854">
        <v>7151234.0319184633</v>
      </c>
      <c r="E854">
        <v>1.11646834160577E-5</v>
      </c>
      <c r="F854">
        <v>1.108836305001197E-5</v>
      </c>
      <c r="G854">
        <v>7.6320366045738074E-8</v>
      </c>
      <c r="H854" t="b">
        <v>0</v>
      </c>
    </row>
    <row r="855" spans="1:8" x14ac:dyDescent="0.15">
      <c r="A855">
        <v>122</v>
      </c>
      <c r="B855">
        <v>14</v>
      </c>
      <c r="C855">
        <v>3737654.98046875</v>
      </c>
      <c r="D855">
        <v>4098361.6312431572</v>
      </c>
      <c r="E855">
        <v>1.1132388677379499E-5</v>
      </c>
      <c r="F855">
        <v>1.108836305001197E-5</v>
      </c>
      <c r="G855">
        <v>4.4025627367537572E-8</v>
      </c>
      <c r="H855" t="b">
        <v>0</v>
      </c>
    </row>
    <row r="856" spans="1:8" x14ac:dyDescent="0.15">
      <c r="A856">
        <v>122</v>
      </c>
      <c r="B856">
        <v>15</v>
      </c>
      <c r="C856">
        <v>3736214.98046875</v>
      </c>
      <c r="D856">
        <v>495826.08114681923</v>
      </c>
      <c r="E856">
        <v>1.1093731487420751E-5</v>
      </c>
      <c r="F856">
        <v>1.108836305001197E-5</v>
      </c>
      <c r="G856">
        <v>5.3684374087837607E-9</v>
      </c>
      <c r="H856" t="b">
        <v>0</v>
      </c>
    </row>
    <row r="857" spans="1:8" x14ac:dyDescent="0.15">
      <c r="A857">
        <v>122</v>
      </c>
      <c r="B857">
        <v>16</v>
      </c>
      <c r="C857">
        <v>3736934.98046875</v>
      </c>
      <c r="D857">
        <v>2288771.1454879618</v>
      </c>
      <c r="E857">
        <v>1.1113046537907641E-5</v>
      </c>
      <c r="F857">
        <v>1.108836305001197E-5</v>
      </c>
      <c r="G857">
        <v>2.46834878956703E-8</v>
      </c>
      <c r="H857" t="b">
        <v>0</v>
      </c>
    </row>
    <row r="858" spans="1:8" x14ac:dyDescent="0.15">
      <c r="A858">
        <v>122</v>
      </c>
      <c r="B858">
        <v>17</v>
      </c>
      <c r="C858">
        <v>3737798.98046875</v>
      </c>
      <c r="D858">
        <v>4462262.5909502264</v>
      </c>
      <c r="E858">
        <v>1.1136260158559641E-5</v>
      </c>
      <c r="F858">
        <v>1.108836305001197E-5</v>
      </c>
      <c r="G858">
        <v>4.78971085476772E-8</v>
      </c>
      <c r="H858" t="b">
        <v>0</v>
      </c>
    </row>
    <row r="859" spans="1:8" x14ac:dyDescent="0.15">
      <c r="A859">
        <v>122</v>
      </c>
      <c r="B859">
        <v>18</v>
      </c>
      <c r="C859">
        <v>3737366.98046875</v>
      </c>
      <c r="D859">
        <v>3372496.8680174132</v>
      </c>
      <c r="E859">
        <v>1.1124648269481309E-5</v>
      </c>
      <c r="F859">
        <v>1.108836305001197E-5</v>
      </c>
      <c r="G859">
        <v>3.6285219469339087E-8</v>
      </c>
      <c r="H859" t="b">
        <v>0</v>
      </c>
    </row>
    <row r="860" spans="1:8" x14ac:dyDescent="0.15">
      <c r="A860">
        <v>122</v>
      </c>
      <c r="B860">
        <v>19</v>
      </c>
      <c r="C860">
        <v>3737582.98046875</v>
      </c>
      <c r="D860">
        <v>3916602.0625543352</v>
      </c>
      <c r="E860">
        <v>1.113045270966605E-5</v>
      </c>
      <c r="F860">
        <v>1.108836305001197E-5</v>
      </c>
      <c r="G860">
        <v>4.2089659654088009E-8</v>
      </c>
      <c r="H860" t="b">
        <v>0</v>
      </c>
    </row>
    <row r="861" spans="1:8" x14ac:dyDescent="0.15">
      <c r="A861">
        <v>122</v>
      </c>
      <c r="B861">
        <v>20</v>
      </c>
      <c r="C861">
        <v>3737474.98046875</v>
      </c>
      <c r="D861">
        <v>3644420.9945747722</v>
      </c>
      <c r="E861">
        <v>1.112755081592431E-5</v>
      </c>
      <c r="F861">
        <v>1.108836305001197E-5</v>
      </c>
      <c r="G861">
        <v>3.9187765912346772E-8</v>
      </c>
      <c r="H861" t="b">
        <v>0</v>
      </c>
    </row>
    <row r="862" spans="1:8" x14ac:dyDescent="0.15">
      <c r="A862">
        <v>122</v>
      </c>
      <c r="B862">
        <v>21</v>
      </c>
      <c r="C862">
        <v>3737528.98046875</v>
      </c>
      <c r="D862">
        <v>3780435.5108179268</v>
      </c>
      <c r="E862">
        <v>1.112900137616163E-5</v>
      </c>
      <c r="F862">
        <v>1.108836305001197E-5</v>
      </c>
      <c r="G862">
        <v>4.063832614966351E-8</v>
      </c>
      <c r="H862" t="b">
        <v>0</v>
      </c>
    </row>
    <row r="863" spans="1:8" x14ac:dyDescent="0.15">
      <c r="A863">
        <v>122</v>
      </c>
      <c r="B863">
        <v>22</v>
      </c>
      <c r="C863">
        <v>3737501.98046875</v>
      </c>
      <c r="D863">
        <v>3712445.8463803008</v>
      </c>
      <c r="E863">
        <v>1.1128276389613479E-5</v>
      </c>
      <c r="F863">
        <v>1.108836305001197E-5</v>
      </c>
      <c r="G863">
        <v>3.9913339601514128E-8</v>
      </c>
      <c r="H863" t="b">
        <v>0</v>
      </c>
    </row>
    <row r="864" spans="1:8" x14ac:dyDescent="0.15">
      <c r="A864">
        <v>123</v>
      </c>
      <c r="B864">
        <v>1</v>
      </c>
      <c r="C864">
        <v>6050000</v>
      </c>
      <c r="D864">
        <v>165763274895.23999</v>
      </c>
      <c r="E864">
        <v>2.8542415496603951E-4</v>
      </c>
      <c r="F864">
        <v>1.108836305001196E-5</v>
      </c>
      <c r="G864">
        <v>2.743357919160275E-4</v>
      </c>
      <c r="H864" t="b">
        <v>0</v>
      </c>
    </row>
    <row r="865" spans="1:8" x14ac:dyDescent="0.15">
      <c r="A865">
        <v>123</v>
      </c>
      <c r="B865">
        <v>2</v>
      </c>
      <c r="C865">
        <v>3075000</v>
      </c>
      <c r="D865">
        <v>-652977.23996025312</v>
      </c>
      <c r="E865">
        <v>3.0369903581682591E-6</v>
      </c>
      <c r="F865">
        <v>1.108836305001197E-5</v>
      </c>
      <c r="G865">
        <v>-8.0513726918437082E-6</v>
      </c>
      <c r="H865" t="b">
        <v>1</v>
      </c>
    </row>
    <row r="866" spans="1:8" x14ac:dyDescent="0.15">
      <c r="A866">
        <v>123</v>
      </c>
      <c r="B866">
        <v>3</v>
      </c>
      <c r="C866">
        <v>4562500</v>
      </c>
      <c r="D866">
        <v>8395242858.9267254</v>
      </c>
      <c r="E866">
        <v>4.0415014416281887E-5</v>
      </c>
      <c r="F866">
        <v>1.108836305001197E-5</v>
      </c>
      <c r="G866">
        <v>2.9326651366269929E-5</v>
      </c>
      <c r="H866" t="b">
        <v>0</v>
      </c>
    </row>
    <row r="867" spans="1:8" x14ac:dyDescent="0.15">
      <c r="A867">
        <v>123</v>
      </c>
      <c r="B867">
        <v>4</v>
      </c>
      <c r="C867">
        <v>3818750</v>
      </c>
      <c r="D867">
        <v>-106480189.30711269</v>
      </c>
      <c r="E867">
        <v>9.0917681376454076E-6</v>
      </c>
      <c r="F867">
        <v>1.108836305001197E-5</v>
      </c>
      <c r="G867">
        <v>-1.9965949123665588E-6</v>
      </c>
      <c r="H867" t="b">
        <v>1</v>
      </c>
    </row>
    <row r="868" spans="1:8" x14ac:dyDescent="0.15">
      <c r="A868">
        <v>123</v>
      </c>
      <c r="B868">
        <v>5</v>
      </c>
      <c r="C868">
        <v>4190625</v>
      </c>
      <c r="D868">
        <v>1819662667.100853</v>
      </c>
      <c r="E868">
        <v>2.0277893958310361E-5</v>
      </c>
      <c r="F868">
        <v>1.108836305001197E-5</v>
      </c>
      <c r="G868">
        <v>9.1895309082983942E-6</v>
      </c>
      <c r="H868" t="b">
        <v>0</v>
      </c>
    </row>
    <row r="869" spans="1:8" x14ac:dyDescent="0.15">
      <c r="A869">
        <v>123</v>
      </c>
      <c r="B869">
        <v>6</v>
      </c>
      <c r="C869">
        <v>4004687.5</v>
      </c>
      <c r="D869">
        <v>367848717.36917901</v>
      </c>
      <c r="E869">
        <v>1.372002231970848E-5</v>
      </c>
      <c r="F869">
        <v>1.108836305001197E-5</v>
      </c>
      <c r="G869">
        <v>2.631659269696517E-6</v>
      </c>
      <c r="H869" t="b">
        <v>0</v>
      </c>
    </row>
    <row r="870" spans="1:8" x14ac:dyDescent="0.15">
      <c r="A870">
        <v>123</v>
      </c>
      <c r="B870">
        <v>7</v>
      </c>
      <c r="C870">
        <v>3911718.75</v>
      </c>
      <c r="D870">
        <v>4361136.0509803696</v>
      </c>
      <c r="E870">
        <v>1.113518489413798E-5</v>
      </c>
      <c r="F870">
        <v>1.108836305001197E-5</v>
      </c>
      <c r="G870">
        <v>4.6821844126013261E-8</v>
      </c>
      <c r="H870" t="b">
        <v>0</v>
      </c>
    </row>
    <row r="871" spans="1:8" x14ac:dyDescent="0.15">
      <c r="A871">
        <v>123</v>
      </c>
      <c r="B871">
        <v>8</v>
      </c>
      <c r="C871">
        <v>3865234.375</v>
      </c>
      <c r="D871">
        <v>-77826104.079268217</v>
      </c>
      <c r="E871">
        <v>9.9953417592706196E-6</v>
      </c>
      <c r="F871">
        <v>1.108836305001197E-5</v>
      </c>
      <c r="G871">
        <v>-1.0930212907413471E-6</v>
      </c>
      <c r="H871" t="b">
        <v>1</v>
      </c>
    </row>
    <row r="872" spans="1:8" x14ac:dyDescent="0.15">
      <c r="A872">
        <v>123</v>
      </c>
      <c r="B872">
        <v>9</v>
      </c>
      <c r="C872">
        <v>3888476.5625</v>
      </c>
      <c r="D872">
        <v>-43907994.483629979</v>
      </c>
      <c r="E872">
        <v>1.055315092392438E-5</v>
      </c>
      <c r="F872">
        <v>1.108836305001197E-5</v>
      </c>
      <c r="G872">
        <v>-5.3521212608758715E-7</v>
      </c>
      <c r="H872" t="b">
        <v>1</v>
      </c>
    </row>
    <row r="873" spans="1:8" x14ac:dyDescent="0.15">
      <c r="A873">
        <v>123</v>
      </c>
      <c r="B873">
        <v>10</v>
      </c>
      <c r="C873">
        <v>3900097.65625</v>
      </c>
      <c r="D873">
        <v>-21650589.36307551</v>
      </c>
      <c r="E873">
        <v>1.0841094808908069E-5</v>
      </c>
      <c r="F873">
        <v>1.108836305001197E-5</v>
      </c>
      <c r="G873">
        <v>-2.4726824110389922E-7</v>
      </c>
      <c r="H873" t="b">
        <v>1</v>
      </c>
    </row>
    <row r="874" spans="1:8" x14ac:dyDescent="0.15">
      <c r="A874">
        <v>123</v>
      </c>
      <c r="B874">
        <v>11</v>
      </c>
      <c r="C874">
        <v>3905908.203125</v>
      </c>
      <c r="D874">
        <v>-9124428.5251173042</v>
      </c>
      <c r="E874">
        <v>1.098736591130576E-5</v>
      </c>
      <c r="F874">
        <v>1.108836305001197E-5</v>
      </c>
      <c r="G874">
        <v>-1.009971387062086E-7</v>
      </c>
      <c r="H874" t="b">
        <v>1</v>
      </c>
    </row>
    <row r="875" spans="1:8" x14ac:dyDescent="0.15">
      <c r="A875">
        <v>123</v>
      </c>
      <c r="B875">
        <v>12</v>
      </c>
      <c r="C875">
        <v>3908813.4765625</v>
      </c>
      <c r="D875">
        <v>-2502874.7249868209</v>
      </c>
      <c r="E875">
        <v>1.106108120758045E-5</v>
      </c>
      <c r="F875">
        <v>1.108836305001197E-5</v>
      </c>
      <c r="G875">
        <v>-2.728184243151556E-8</v>
      </c>
      <c r="H875" t="b">
        <v>1</v>
      </c>
    </row>
    <row r="876" spans="1:8" x14ac:dyDescent="0.15">
      <c r="A876">
        <v>123</v>
      </c>
      <c r="B876">
        <v>13</v>
      </c>
      <c r="C876">
        <v>3910266.11328125</v>
      </c>
      <c r="D876">
        <v>898718.37554751139</v>
      </c>
      <c r="E876">
        <v>1.109808503719234E-5</v>
      </c>
      <c r="F876">
        <v>1.108836305001197E-5</v>
      </c>
      <c r="G876">
        <v>9.7219871803726139E-9</v>
      </c>
      <c r="H876" t="b">
        <v>0</v>
      </c>
    </row>
    <row r="877" spans="1:8" x14ac:dyDescent="0.15">
      <c r="A877">
        <v>123</v>
      </c>
      <c r="B877">
        <v>14</v>
      </c>
      <c r="C877">
        <v>3910766.11328125</v>
      </c>
      <c r="D877">
        <v>2083614.2108390329</v>
      </c>
      <c r="E877">
        <v>1.111084409808097E-5</v>
      </c>
      <c r="F877">
        <v>1.108836305001197E-5</v>
      </c>
      <c r="G877">
        <v>2.248104806900615E-8</v>
      </c>
      <c r="H877" t="b">
        <v>0</v>
      </c>
    </row>
    <row r="878" spans="1:8" x14ac:dyDescent="0.15">
      <c r="A878">
        <v>123</v>
      </c>
      <c r="B878">
        <v>15</v>
      </c>
      <c r="C878">
        <v>3911366.11328125</v>
      </c>
      <c r="D878">
        <v>3514979.5675508878</v>
      </c>
      <c r="E878">
        <v>1.11261695682544E-5</v>
      </c>
      <c r="F878">
        <v>1.108836305001197E-5</v>
      </c>
      <c r="G878">
        <v>3.780651824243609E-8</v>
      </c>
      <c r="H878" t="b">
        <v>0</v>
      </c>
    </row>
    <row r="879" spans="1:8" x14ac:dyDescent="0.15">
      <c r="A879">
        <v>123</v>
      </c>
      <c r="B879">
        <v>16</v>
      </c>
      <c r="C879">
        <v>3912086.11328125</v>
      </c>
      <c r="D879">
        <v>5246468.9676438691</v>
      </c>
      <c r="E879">
        <v>1.11445828193544E-5</v>
      </c>
      <c r="F879">
        <v>1.108836305001197E-5</v>
      </c>
      <c r="G879">
        <v>5.6219769342434687E-8</v>
      </c>
      <c r="H879" t="b">
        <v>0</v>
      </c>
    </row>
    <row r="880" spans="1:8" x14ac:dyDescent="0.15">
      <c r="A880">
        <v>123</v>
      </c>
      <c r="B880">
        <v>17</v>
      </c>
      <c r="C880">
        <v>3911726.11328125</v>
      </c>
      <c r="D880">
        <v>4378842.8072665902</v>
      </c>
      <c r="E880">
        <v>1.113537320113581E-5</v>
      </c>
      <c r="F880">
        <v>1.108836305001197E-5</v>
      </c>
      <c r="G880">
        <v>4.7010151123841101E-8</v>
      </c>
      <c r="H880" t="b">
        <v>0</v>
      </c>
    </row>
    <row r="881" spans="1:8" x14ac:dyDescent="0.15">
      <c r="A881">
        <v>123</v>
      </c>
      <c r="B881">
        <v>18</v>
      </c>
      <c r="C881">
        <v>3911294.11328125</v>
      </c>
      <c r="D881">
        <v>3342658.0330178961</v>
      </c>
      <c r="E881">
        <v>1.112432955968018E-5</v>
      </c>
      <c r="F881">
        <v>1.108836305001197E-5</v>
      </c>
      <c r="G881">
        <v>3.5966509668216357E-8</v>
      </c>
      <c r="H881" t="b">
        <v>0</v>
      </c>
    </row>
    <row r="882" spans="1:8" x14ac:dyDescent="0.15">
      <c r="A882">
        <v>123</v>
      </c>
      <c r="B882">
        <v>19</v>
      </c>
      <c r="C882">
        <v>3911510.11328125</v>
      </c>
      <c r="D882">
        <v>3860132.3504215102</v>
      </c>
      <c r="E882">
        <v>1.112985092917249E-5</v>
      </c>
      <c r="F882">
        <v>1.108836305001197E-5</v>
      </c>
      <c r="G882">
        <v>4.1487879160521338E-8</v>
      </c>
      <c r="H882" t="b">
        <v>0</v>
      </c>
    </row>
    <row r="883" spans="1:8" x14ac:dyDescent="0.15">
      <c r="A883">
        <v>123</v>
      </c>
      <c r="B883">
        <v>20</v>
      </c>
      <c r="C883">
        <v>3911769.3132812502</v>
      </c>
      <c r="D883">
        <v>4482759.1664126515</v>
      </c>
      <c r="E883">
        <v>1.1136478039243041E-5</v>
      </c>
      <c r="F883">
        <v>1.108836305001197E-5</v>
      </c>
      <c r="G883">
        <v>4.8114989231075317E-8</v>
      </c>
      <c r="H883" t="b">
        <v>0</v>
      </c>
    </row>
    <row r="884" spans="1:8" x14ac:dyDescent="0.15">
      <c r="A884">
        <v>123</v>
      </c>
      <c r="B884">
        <v>21</v>
      </c>
      <c r="C884">
        <v>3911639.7132812501</v>
      </c>
      <c r="D884">
        <v>4171231.457204401</v>
      </c>
      <c r="E884">
        <v>1.1133164409536669E-5</v>
      </c>
      <c r="F884">
        <v>1.108836305001197E-5</v>
      </c>
      <c r="G884">
        <v>4.4801359524702537E-8</v>
      </c>
      <c r="H884" t="b">
        <v>0</v>
      </c>
    </row>
    <row r="885" spans="1:8" x14ac:dyDescent="0.15">
      <c r="A885">
        <v>123</v>
      </c>
      <c r="B885">
        <v>22</v>
      </c>
      <c r="C885">
        <v>3911484.1932812501</v>
      </c>
      <c r="D885">
        <v>3797912.3112907512</v>
      </c>
      <c r="E885">
        <v>1.1129187700373869E-5</v>
      </c>
      <c r="F885">
        <v>1.108836305001197E-5</v>
      </c>
      <c r="G885">
        <v>4.0824650361902388E-8</v>
      </c>
      <c r="H885" t="b">
        <v>0</v>
      </c>
    </row>
    <row r="886" spans="1:8" x14ac:dyDescent="0.15">
      <c r="A886">
        <v>123</v>
      </c>
      <c r="B886">
        <v>23</v>
      </c>
      <c r="C886">
        <v>3911561.9532812499</v>
      </c>
      <c r="D886">
        <v>3984454.74638981</v>
      </c>
      <c r="E886">
        <v>1.113117560233186E-5</v>
      </c>
      <c r="F886">
        <v>1.108836305001197E-5</v>
      </c>
      <c r="G886">
        <v>4.2812552319891777E-8</v>
      </c>
      <c r="H886" t="b">
        <v>0</v>
      </c>
    </row>
    <row r="887" spans="1:8" x14ac:dyDescent="0.15">
      <c r="A887">
        <v>123</v>
      </c>
      <c r="B887">
        <v>24</v>
      </c>
      <c r="C887">
        <v>3911523.07328125</v>
      </c>
      <c r="D887">
        <v>3891161.5997952912</v>
      </c>
      <c r="E887">
        <v>1.113018161645498E-5</v>
      </c>
      <c r="F887">
        <v>1.108836305001197E-5</v>
      </c>
      <c r="G887">
        <v>4.1818566443015152E-8</v>
      </c>
      <c r="H887" t="b">
        <v>0</v>
      </c>
    </row>
    <row r="888" spans="1:8" x14ac:dyDescent="0.15">
      <c r="A888">
        <v>124</v>
      </c>
      <c r="B888">
        <v>1</v>
      </c>
      <c r="C888">
        <v>6050000</v>
      </c>
      <c r="D888">
        <v>166540439569.45331</v>
      </c>
      <c r="E888">
        <v>2.8097647115396762E-4</v>
      </c>
      <c r="F888">
        <v>1.0916805512103169E-5</v>
      </c>
      <c r="G888">
        <v>2.7005966564186439E-4</v>
      </c>
      <c r="H888" t="b">
        <v>0</v>
      </c>
    </row>
    <row r="889" spans="1:8" x14ac:dyDescent="0.15">
      <c r="A889">
        <v>124</v>
      </c>
      <c r="B889">
        <v>2</v>
      </c>
      <c r="C889">
        <v>3075000</v>
      </c>
      <c r="D889">
        <v>-657364.1706302251</v>
      </c>
      <c r="E889">
        <v>2.9918799062703698E-6</v>
      </c>
      <c r="F889">
        <v>1.091680551210319E-5</v>
      </c>
      <c r="G889">
        <v>-7.9249256058328169E-6</v>
      </c>
      <c r="H889" t="b">
        <v>1</v>
      </c>
    </row>
    <row r="890" spans="1:8" x14ac:dyDescent="0.15">
      <c r="A890">
        <v>124</v>
      </c>
      <c r="B890">
        <v>3</v>
      </c>
      <c r="C890">
        <v>4562500</v>
      </c>
      <c r="D890">
        <v>8396041378.8154917</v>
      </c>
      <c r="E890">
        <v>3.9708493220423372E-5</v>
      </c>
      <c r="F890">
        <v>1.091680551210319E-5</v>
      </c>
      <c r="G890">
        <v>2.8791687708320181E-5</v>
      </c>
      <c r="H890" t="b">
        <v>0</v>
      </c>
    </row>
    <row r="891" spans="1:8" x14ac:dyDescent="0.15">
      <c r="A891">
        <v>124</v>
      </c>
      <c r="B891">
        <v>4</v>
      </c>
      <c r="C891">
        <v>3818750</v>
      </c>
      <c r="D891">
        <v>-105726489.0720962</v>
      </c>
      <c r="E891">
        <v>8.9688366610813951E-6</v>
      </c>
      <c r="F891">
        <v>1.091680551210319E-5</v>
      </c>
      <c r="G891">
        <v>-1.9479688510217912E-6</v>
      </c>
      <c r="H891" t="b">
        <v>1</v>
      </c>
    </row>
    <row r="892" spans="1:8" x14ac:dyDescent="0.15">
      <c r="A892">
        <v>124</v>
      </c>
      <c r="B892">
        <v>5</v>
      </c>
      <c r="C892">
        <v>4190625</v>
      </c>
      <c r="D892">
        <v>1810887981.20981</v>
      </c>
      <c r="E892">
        <v>1.9907072544691562E-5</v>
      </c>
      <c r="F892">
        <v>1.091680551210319E-5</v>
      </c>
      <c r="G892">
        <v>8.9902670325883753E-6</v>
      </c>
      <c r="H892" t="b">
        <v>0</v>
      </c>
    </row>
    <row r="893" spans="1:8" x14ac:dyDescent="0.15">
      <c r="A893">
        <v>124</v>
      </c>
      <c r="B893">
        <v>6</v>
      </c>
      <c r="C893">
        <v>4004687.5</v>
      </c>
      <c r="D893">
        <v>358934574.88787711</v>
      </c>
      <c r="E893">
        <v>1.346262793503217E-5</v>
      </c>
      <c r="F893">
        <v>1.091680551210319E-5</v>
      </c>
      <c r="G893">
        <v>2.5458224229289839E-6</v>
      </c>
      <c r="H893" t="b">
        <v>0</v>
      </c>
    </row>
    <row r="894" spans="1:8" x14ac:dyDescent="0.15">
      <c r="A894">
        <v>124</v>
      </c>
      <c r="B894">
        <v>7</v>
      </c>
      <c r="C894">
        <v>3911718.75</v>
      </c>
      <c r="D894">
        <v>649717.30474092567</v>
      </c>
      <c r="E894">
        <v>1.0923747404906189E-5</v>
      </c>
      <c r="F894">
        <v>1.091680551210319E-5</v>
      </c>
      <c r="G894">
        <v>6.9418928029997432E-9</v>
      </c>
      <c r="H894" t="b">
        <v>0</v>
      </c>
    </row>
    <row r="895" spans="1:8" x14ac:dyDescent="0.15">
      <c r="A895">
        <v>124</v>
      </c>
      <c r="B895">
        <v>8</v>
      </c>
      <c r="C895">
        <v>3958203.125</v>
      </c>
      <c r="D895">
        <v>143120852.80094519</v>
      </c>
      <c r="E895">
        <v>1.214139088334128E-5</v>
      </c>
      <c r="F895">
        <v>1.091680551210319E-5</v>
      </c>
      <c r="G895">
        <v>1.224585371238097E-6</v>
      </c>
      <c r="H895" t="b">
        <v>0</v>
      </c>
    </row>
    <row r="896" spans="1:8" x14ac:dyDescent="0.15">
      <c r="A896">
        <v>124</v>
      </c>
      <c r="B896">
        <v>9</v>
      </c>
      <c r="C896">
        <v>3934960.9375</v>
      </c>
      <c r="D896">
        <v>63414253.507552162</v>
      </c>
      <c r="E896">
        <v>1.1520053187067511E-5</v>
      </c>
      <c r="F896">
        <v>1.091680551210319E-5</v>
      </c>
      <c r="G896">
        <v>6.0324767496432788E-7</v>
      </c>
      <c r="H896" t="b">
        <v>0</v>
      </c>
    </row>
    <row r="897" spans="1:8" x14ac:dyDescent="0.15">
      <c r="A897">
        <v>124</v>
      </c>
      <c r="B897">
        <v>10</v>
      </c>
      <c r="C897">
        <v>3923339.84375</v>
      </c>
      <c r="D897">
        <v>29995181.097150531</v>
      </c>
      <c r="E897">
        <v>1.1218787390388179E-5</v>
      </c>
      <c r="F897">
        <v>1.091680551210319E-5</v>
      </c>
      <c r="G897">
        <v>3.0198187828499481E-7</v>
      </c>
      <c r="H897" t="b">
        <v>0</v>
      </c>
    </row>
    <row r="898" spans="1:8" x14ac:dyDescent="0.15">
      <c r="A898">
        <v>124</v>
      </c>
      <c r="B898">
        <v>11</v>
      </c>
      <c r="C898">
        <v>3917529.296875</v>
      </c>
      <c r="D898">
        <v>14823822.191112161</v>
      </c>
      <c r="E898">
        <v>1.107049495724939E-5</v>
      </c>
      <c r="F898">
        <v>1.091680551210319E-5</v>
      </c>
      <c r="G898">
        <v>1.5368944514620511E-7</v>
      </c>
      <c r="H898" t="b">
        <v>0</v>
      </c>
    </row>
    <row r="899" spans="1:8" x14ac:dyDescent="0.15">
      <c r="A899">
        <v>124</v>
      </c>
      <c r="B899">
        <v>12</v>
      </c>
      <c r="C899">
        <v>3914624.0234375</v>
      </c>
      <c r="D899">
        <v>7613391.9063726701</v>
      </c>
      <c r="E899">
        <v>1.099692838888578E-5</v>
      </c>
      <c r="F899">
        <v>1.091680551210319E-5</v>
      </c>
      <c r="G899">
        <v>8.0122876782588837E-8</v>
      </c>
      <c r="H899" t="b">
        <v>0</v>
      </c>
    </row>
    <row r="900" spans="1:8" x14ac:dyDescent="0.15">
      <c r="A900">
        <v>124</v>
      </c>
      <c r="B900">
        <v>13</v>
      </c>
      <c r="C900">
        <v>3913171.38671875</v>
      </c>
      <c r="D900">
        <v>4100882.1701360252</v>
      </c>
      <c r="E900">
        <v>1.096028986318312E-5</v>
      </c>
      <c r="F900">
        <v>1.091680551210319E-5</v>
      </c>
      <c r="G900">
        <v>4.348435107993214E-8</v>
      </c>
      <c r="H900" t="b">
        <v>0</v>
      </c>
    </row>
    <row r="901" spans="1:8" x14ac:dyDescent="0.15">
      <c r="A901">
        <v>124</v>
      </c>
      <c r="B901">
        <v>14</v>
      </c>
      <c r="C901">
        <v>3911971.38671875</v>
      </c>
      <c r="D901">
        <v>1245537.6900921329</v>
      </c>
      <c r="E901">
        <v>1.0930095828845649E-5</v>
      </c>
      <c r="F901">
        <v>1.091680551210319E-5</v>
      </c>
      <c r="G901">
        <v>1.3290316742467961E-8</v>
      </c>
      <c r="H901" t="b">
        <v>0</v>
      </c>
    </row>
    <row r="902" spans="1:8" x14ac:dyDescent="0.15">
      <c r="A902">
        <v>124</v>
      </c>
      <c r="B902">
        <v>15</v>
      </c>
      <c r="C902">
        <v>3912571.38671875</v>
      </c>
      <c r="D902">
        <v>2668046.8000682918</v>
      </c>
      <c r="E902">
        <v>1.0945185272072209E-5</v>
      </c>
      <c r="F902">
        <v>1.091680551210319E-5</v>
      </c>
      <c r="G902">
        <v>2.8379759969024719E-8</v>
      </c>
      <c r="H902" t="b">
        <v>0</v>
      </c>
    </row>
    <row r="903" spans="1:8" x14ac:dyDescent="0.15">
      <c r="A903">
        <v>124</v>
      </c>
      <c r="B903">
        <v>16</v>
      </c>
      <c r="C903">
        <v>3913291.38671875</v>
      </c>
      <c r="D903">
        <v>4388774.6282649217</v>
      </c>
      <c r="E903">
        <v>1.0963313485967609E-5</v>
      </c>
      <c r="F903">
        <v>1.091680551210319E-5</v>
      </c>
      <c r="G903">
        <v>4.6507973864424562E-8</v>
      </c>
      <c r="H903" t="b">
        <v>0</v>
      </c>
    </row>
    <row r="904" spans="1:8" x14ac:dyDescent="0.15">
      <c r="A904">
        <v>124</v>
      </c>
      <c r="B904">
        <v>17</v>
      </c>
      <c r="C904">
        <v>3912931.38671875</v>
      </c>
      <c r="D904">
        <v>3526470.2129424461</v>
      </c>
      <c r="E904">
        <v>1.0954245815080001E-5</v>
      </c>
      <c r="F904">
        <v>1.091680551210319E-5</v>
      </c>
      <c r="G904">
        <v>3.7440302976809122E-8</v>
      </c>
      <c r="H904" t="b">
        <v>0</v>
      </c>
    </row>
    <row r="905" spans="1:8" x14ac:dyDescent="0.15">
      <c r="A905">
        <v>124</v>
      </c>
      <c r="B905">
        <v>18</v>
      </c>
      <c r="C905">
        <v>3913111.38671875</v>
      </c>
      <c r="D905">
        <v>3957180.7542767748</v>
      </c>
      <c r="E905">
        <v>1.0958779220515101E-5</v>
      </c>
      <c r="F905">
        <v>1.091680551210319E-5</v>
      </c>
      <c r="G905">
        <v>4.1973708411917743E-8</v>
      </c>
      <c r="H905" t="b">
        <v>0</v>
      </c>
    </row>
    <row r="906" spans="1:8" x14ac:dyDescent="0.15">
      <c r="A906">
        <v>124</v>
      </c>
      <c r="B906">
        <v>19</v>
      </c>
      <c r="C906">
        <v>3913021.38671875</v>
      </c>
      <c r="D906">
        <v>3741736.9919031989</v>
      </c>
      <c r="E906">
        <v>1.095651264088773E-5</v>
      </c>
      <c r="F906">
        <v>1.091680551210319E-5</v>
      </c>
      <c r="G906">
        <v>3.9707128784547579E-8</v>
      </c>
      <c r="H906" t="b">
        <v>0</v>
      </c>
    </row>
    <row r="907" spans="1:8" x14ac:dyDescent="0.15">
      <c r="A907">
        <v>124</v>
      </c>
      <c r="B907">
        <v>20</v>
      </c>
      <c r="C907">
        <v>3913066.38671875</v>
      </c>
      <c r="D907">
        <v>3849370.9849454551</v>
      </c>
      <c r="E907">
        <v>1.0957645269531399E-5</v>
      </c>
      <c r="F907">
        <v>1.091680551210319E-5</v>
      </c>
      <c r="G907">
        <v>4.0839757428214759E-8</v>
      </c>
      <c r="H907" t="b">
        <v>0</v>
      </c>
    </row>
    <row r="908" spans="1:8" x14ac:dyDescent="0.15">
      <c r="A908">
        <v>124</v>
      </c>
      <c r="B908">
        <v>21</v>
      </c>
      <c r="C908">
        <v>3913120.38671875</v>
      </c>
      <c r="D908">
        <v>3978679.571270579</v>
      </c>
      <c r="E908">
        <v>1.095900528358379E-5</v>
      </c>
      <c r="F908">
        <v>1.091680551210319E-5</v>
      </c>
      <c r="G908">
        <v>4.2199771480603428E-8</v>
      </c>
      <c r="H908" t="b">
        <v>0</v>
      </c>
    </row>
    <row r="909" spans="1:8" x14ac:dyDescent="0.15">
      <c r="A909">
        <v>124</v>
      </c>
      <c r="B909">
        <v>22</v>
      </c>
      <c r="C909">
        <v>3913093.38671875</v>
      </c>
      <c r="D909">
        <v>3914073.1704055858</v>
      </c>
      <c r="E909">
        <v>1.0958325875093449E-5</v>
      </c>
      <c r="F909">
        <v>1.091680551210319E-5</v>
      </c>
      <c r="G909">
        <v>4.1520362990261461E-8</v>
      </c>
      <c r="H909" t="b">
        <v>0</v>
      </c>
    </row>
    <row r="910" spans="1:8" x14ac:dyDescent="0.15">
      <c r="A910">
        <v>125</v>
      </c>
      <c r="B910">
        <v>1</v>
      </c>
      <c r="C910">
        <v>6050000</v>
      </c>
      <c r="D910">
        <v>1.4567377494191291E+18</v>
      </c>
      <c r="E910">
        <v>536.87092200000006</v>
      </c>
      <c r="F910">
        <v>2.58248516047388E-5</v>
      </c>
      <c r="G910">
        <v>536.87089617514846</v>
      </c>
      <c r="H910" t="b">
        <v>0</v>
      </c>
    </row>
    <row r="911" spans="1:8" x14ac:dyDescent="0.15">
      <c r="A911">
        <v>125</v>
      </c>
      <c r="B911">
        <v>2</v>
      </c>
      <c r="C911">
        <v>3075000</v>
      </c>
      <c r="D911">
        <v>4023163935.7008872</v>
      </c>
      <c r="E911">
        <v>7.1544467925739488E-5</v>
      </c>
      <c r="F911">
        <v>2.582485157616558E-5</v>
      </c>
      <c r="G911">
        <v>4.5719616349573911E-5</v>
      </c>
      <c r="H911" t="b">
        <v>0</v>
      </c>
    </row>
    <row r="912" spans="1:8" x14ac:dyDescent="0.15">
      <c r="A912">
        <v>125</v>
      </c>
      <c r="B912">
        <v>3</v>
      </c>
      <c r="C912">
        <v>1587500</v>
      </c>
      <c r="D912">
        <v>-8643.7168440981022</v>
      </c>
      <c r="E912">
        <v>-2.004196725517892E-5</v>
      </c>
      <c r="F912">
        <v>2.582485157616557E-5</v>
      </c>
      <c r="G912">
        <v>-4.5866818831344503E-5</v>
      </c>
      <c r="H912" t="b">
        <v>1</v>
      </c>
    </row>
    <row r="913" spans="1:8" x14ac:dyDescent="0.15">
      <c r="A913">
        <v>125</v>
      </c>
      <c r="B913">
        <v>4</v>
      </c>
      <c r="C913">
        <v>2331250</v>
      </c>
      <c r="D913">
        <v>-60049.175865664583</v>
      </c>
      <c r="E913">
        <v>-1.396681345586901E-6</v>
      </c>
      <c r="F913">
        <v>2.582485157616558E-5</v>
      </c>
      <c r="G913">
        <v>-2.7221532921752479E-5</v>
      </c>
      <c r="H913" t="b">
        <v>1</v>
      </c>
    </row>
    <row r="914" spans="1:8" x14ac:dyDescent="0.15">
      <c r="A914">
        <v>125</v>
      </c>
      <c r="B914">
        <v>5</v>
      </c>
      <c r="C914">
        <v>2703125</v>
      </c>
      <c r="D914">
        <v>-245903.39109601261</v>
      </c>
      <c r="E914">
        <v>5.0367863958680941E-6</v>
      </c>
      <c r="F914">
        <v>2.582485157616558E-5</v>
      </c>
      <c r="G914">
        <v>-2.0788065180297481E-5</v>
      </c>
      <c r="H914" t="b">
        <v>1</v>
      </c>
    </row>
    <row r="915" spans="1:8" x14ac:dyDescent="0.15">
      <c r="A915">
        <v>125</v>
      </c>
      <c r="B915">
        <v>6</v>
      </c>
      <c r="C915">
        <v>2889062.5</v>
      </c>
      <c r="D915">
        <v>-16548064.96553061</v>
      </c>
      <c r="E915">
        <v>1.3328845225375499E-5</v>
      </c>
      <c r="F915">
        <v>2.582485157616558E-5</v>
      </c>
      <c r="G915">
        <v>-1.2496006350790081E-5</v>
      </c>
      <c r="H915" t="b">
        <v>1</v>
      </c>
    </row>
    <row r="916" spans="1:8" x14ac:dyDescent="0.15">
      <c r="A916">
        <v>125</v>
      </c>
      <c r="B916">
        <v>7</v>
      </c>
      <c r="C916">
        <v>2982031.25</v>
      </c>
      <c r="D916">
        <v>266366586.29422209</v>
      </c>
      <c r="E916">
        <v>3.0787864915246522E-5</v>
      </c>
      <c r="F916">
        <v>2.582485157616558E-5</v>
      </c>
      <c r="G916">
        <v>4.963013339080945E-6</v>
      </c>
      <c r="H916" t="b">
        <v>0</v>
      </c>
    </row>
    <row r="917" spans="1:8" x14ac:dyDescent="0.15">
      <c r="A917">
        <v>125</v>
      </c>
      <c r="B917">
        <v>8</v>
      </c>
      <c r="C917">
        <v>2935546.875</v>
      </c>
      <c r="D917">
        <v>-138031749.78988791</v>
      </c>
      <c r="E917">
        <v>1.9826148614001601E-5</v>
      </c>
      <c r="F917">
        <v>2.582485157616558E-5</v>
      </c>
      <c r="G917">
        <v>-5.998702962163979E-6</v>
      </c>
      <c r="H917" t="b">
        <v>1</v>
      </c>
    </row>
    <row r="918" spans="1:8" x14ac:dyDescent="0.15">
      <c r="A918">
        <v>125</v>
      </c>
      <c r="B918">
        <v>9</v>
      </c>
      <c r="C918">
        <v>2958789.0625</v>
      </c>
      <c r="D918">
        <v>-43633500.487667292</v>
      </c>
      <c r="E918">
        <v>2.474614408032839E-5</v>
      </c>
      <c r="F918">
        <v>2.582485157616558E-5</v>
      </c>
      <c r="G918">
        <v>-1.0787074958371899E-6</v>
      </c>
      <c r="H918" t="b">
        <v>1</v>
      </c>
    </row>
    <row r="919" spans="1:8" x14ac:dyDescent="0.15">
      <c r="A919">
        <v>125</v>
      </c>
      <c r="B919">
        <v>10</v>
      </c>
      <c r="C919">
        <v>2970410.15625</v>
      </c>
      <c r="D919">
        <v>87831254.274169132</v>
      </c>
      <c r="E919">
        <v>2.7613225682807591E-5</v>
      </c>
      <c r="F919">
        <v>2.582485157616558E-5</v>
      </c>
      <c r="G919">
        <v>1.7883741066420139E-6</v>
      </c>
      <c r="H919" t="b">
        <v>0</v>
      </c>
    </row>
    <row r="920" spans="1:8" x14ac:dyDescent="0.15">
      <c r="A920">
        <v>125</v>
      </c>
      <c r="B920">
        <v>11</v>
      </c>
      <c r="C920">
        <v>2964599.609375</v>
      </c>
      <c r="D920">
        <v>14319641.475739529</v>
      </c>
      <c r="E920">
        <v>2.6142998906112751E-5</v>
      </c>
      <c r="F920">
        <v>2.582485157616558E-5</v>
      </c>
      <c r="G920">
        <v>3.181473299471781E-7</v>
      </c>
      <c r="H920" t="b">
        <v>0</v>
      </c>
    </row>
    <row r="921" spans="1:8" x14ac:dyDescent="0.15">
      <c r="A921">
        <v>125</v>
      </c>
      <c r="B921">
        <v>12</v>
      </c>
      <c r="C921">
        <v>2961694.3359375</v>
      </c>
      <c r="D921">
        <v>-16628355.253152059</v>
      </c>
      <c r="E921">
        <v>2.543561482852879E-5</v>
      </c>
      <c r="F921">
        <v>2.582485157616558E-5</v>
      </c>
      <c r="G921">
        <v>-3.8923674763678329E-7</v>
      </c>
      <c r="H921" t="b">
        <v>1</v>
      </c>
    </row>
    <row r="922" spans="1:8" x14ac:dyDescent="0.15">
      <c r="A922">
        <v>125</v>
      </c>
      <c r="B922">
        <v>13</v>
      </c>
      <c r="C922">
        <v>2963146.97265625</v>
      </c>
      <c r="D922">
        <v>-1658486.3710837429</v>
      </c>
      <c r="E922">
        <v>2.5787040675054561E-5</v>
      </c>
      <c r="F922">
        <v>2.582485157616558E-5</v>
      </c>
      <c r="G922">
        <v>-3.7810901111015882E-8</v>
      </c>
      <c r="H922" t="b">
        <v>1</v>
      </c>
    </row>
    <row r="923" spans="1:8" x14ac:dyDescent="0.15">
      <c r="A923">
        <v>125</v>
      </c>
      <c r="B923">
        <v>14</v>
      </c>
      <c r="C923">
        <v>2963646.97265625</v>
      </c>
      <c r="D923">
        <v>3726319.2162792622</v>
      </c>
      <c r="E923">
        <v>2.5909049096996931E-5</v>
      </c>
      <c r="F923">
        <v>2.582485157616558E-5</v>
      </c>
      <c r="G923">
        <v>8.4197520831353815E-8</v>
      </c>
      <c r="H923" t="b">
        <v>0</v>
      </c>
    </row>
    <row r="924" spans="1:8" x14ac:dyDescent="0.15">
      <c r="A924">
        <v>125</v>
      </c>
      <c r="B924">
        <v>15</v>
      </c>
      <c r="C924">
        <v>2963396.97265625</v>
      </c>
      <c r="D924">
        <v>1018962.456592183</v>
      </c>
      <c r="E924">
        <v>2.584797843523982E-5</v>
      </c>
      <c r="F924">
        <v>2.582485157616558E-5</v>
      </c>
      <c r="G924">
        <v>2.3126859074243239E-8</v>
      </c>
      <c r="H924" t="b">
        <v>0</v>
      </c>
    </row>
    <row r="925" spans="1:8" x14ac:dyDescent="0.15">
      <c r="A925">
        <v>125</v>
      </c>
      <c r="B925">
        <v>16</v>
      </c>
      <c r="C925">
        <v>2963521.97265625</v>
      </c>
      <c r="D925">
        <v>2368816.4167239298</v>
      </c>
      <c r="E925">
        <v>2.5878495359822058E-5</v>
      </c>
      <c r="F925">
        <v>2.582485157616558E-5</v>
      </c>
      <c r="G925">
        <v>5.3643783656485157E-8</v>
      </c>
      <c r="H925" t="b">
        <v>0</v>
      </c>
    </row>
    <row r="926" spans="1:8" x14ac:dyDescent="0.15">
      <c r="A926">
        <v>125</v>
      </c>
      <c r="B926">
        <v>17</v>
      </c>
      <c r="C926">
        <v>2963671.97265625</v>
      </c>
      <c r="D926">
        <v>3998708.0995929339</v>
      </c>
      <c r="E926">
        <v>2.591516356981587E-5</v>
      </c>
      <c r="F926">
        <v>2.582485157616558E-5</v>
      </c>
      <c r="G926">
        <v>9.0311993650293024E-8</v>
      </c>
      <c r="H926" t="b">
        <v>0</v>
      </c>
    </row>
    <row r="927" spans="1:8" x14ac:dyDescent="0.15">
      <c r="A927">
        <v>125</v>
      </c>
      <c r="B927">
        <v>18</v>
      </c>
      <c r="C927">
        <v>2963596.97265625</v>
      </c>
      <c r="D927">
        <v>3182444.130019689</v>
      </c>
      <c r="E927">
        <v>2.5896824193529849E-5</v>
      </c>
      <c r="F927">
        <v>2.582485157616558E-5</v>
      </c>
      <c r="G927">
        <v>7.1972617364275405E-8</v>
      </c>
      <c r="H927" t="b">
        <v>0</v>
      </c>
    </row>
    <row r="928" spans="1:8" x14ac:dyDescent="0.15">
      <c r="A928">
        <v>125</v>
      </c>
      <c r="B928">
        <v>19</v>
      </c>
      <c r="C928">
        <v>2963506.97265625</v>
      </c>
      <c r="D928">
        <v>2206429.4086921648</v>
      </c>
      <c r="E928">
        <v>2.587483136335234E-5</v>
      </c>
      <c r="F928">
        <v>2.582485157616558E-5</v>
      </c>
      <c r="G928">
        <v>4.9979787186766533E-8</v>
      </c>
      <c r="H928" t="b">
        <v>0</v>
      </c>
    </row>
    <row r="929" spans="1:8" x14ac:dyDescent="0.15">
      <c r="A929">
        <v>125</v>
      </c>
      <c r="B929">
        <v>20</v>
      </c>
      <c r="C929">
        <v>2963551.97265625</v>
      </c>
      <c r="D929">
        <v>2693984.9703687448</v>
      </c>
      <c r="E929">
        <v>2.58858263869941E-5</v>
      </c>
      <c r="F929">
        <v>2.582485157616558E-5</v>
      </c>
      <c r="G929">
        <v>6.0974810828520011E-8</v>
      </c>
      <c r="H929" t="b">
        <v>0</v>
      </c>
    </row>
    <row r="930" spans="1:8" x14ac:dyDescent="0.15">
      <c r="A930">
        <v>125</v>
      </c>
      <c r="B930">
        <v>21</v>
      </c>
      <c r="C930">
        <v>2963605.97265625</v>
      </c>
      <c r="D930">
        <v>3280252.8521096888</v>
      </c>
      <c r="E930">
        <v>2.5899024278475881E-5</v>
      </c>
      <c r="F930">
        <v>2.582485157616558E-5</v>
      </c>
      <c r="G930">
        <v>7.4172702310304104E-8</v>
      </c>
      <c r="H930" t="b">
        <v>0</v>
      </c>
    </row>
    <row r="931" spans="1:8" x14ac:dyDescent="0.15">
      <c r="A931">
        <v>125</v>
      </c>
      <c r="B931">
        <v>22</v>
      </c>
      <c r="C931">
        <v>2963578.97265625</v>
      </c>
      <c r="D931">
        <v>2986873.3695496041</v>
      </c>
      <c r="E931">
        <v>2.5892422966480331E-5</v>
      </c>
      <c r="F931">
        <v>2.582485157616558E-5</v>
      </c>
      <c r="G931">
        <v>6.7571390314750431E-8</v>
      </c>
      <c r="H931" t="b">
        <v>0</v>
      </c>
    </row>
    <row r="932" spans="1:8" x14ac:dyDescent="0.15">
      <c r="A932">
        <v>126</v>
      </c>
      <c r="B932">
        <v>1</v>
      </c>
      <c r="C932">
        <v>6050000</v>
      </c>
      <c r="D932">
        <v>4.692185447324585E+17</v>
      </c>
      <c r="E932">
        <v>176.46107447670059</v>
      </c>
      <c r="F932">
        <v>2.381119156780187E-5</v>
      </c>
      <c r="G932">
        <v>176.46105066550899</v>
      </c>
      <c r="H932" t="b">
        <v>0</v>
      </c>
    </row>
    <row r="933" spans="1:8" x14ac:dyDescent="0.15">
      <c r="A933">
        <v>126</v>
      </c>
      <c r="B933">
        <v>2</v>
      </c>
      <c r="C933">
        <v>3075000</v>
      </c>
      <c r="D933">
        <v>-86435895.042006657</v>
      </c>
      <c r="E933">
        <v>1.506166779867647E-5</v>
      </c>
      <c r="F933">
        <v>2.3811191581321041E-5</v>
      </c>
      <c r="G933">
        <v>-8.7495237826445683E-6</v>
      </c>
      <c r="H933" t="b">
        <v>1</v>
      </c>
    </row>
    <row r="934" spans="1:8" x14ac:dyDescent="0.15">
      <c r="A934">
        <v>126</v>
      </c>
      <c r="B934">
        <v>3</v>
      </c>
      <c r="C934">
        <v>4562500</v>
      </c>
      <c r="D934">
        <v>205025299928120.59</v>
      </c>
      <c r="E934">
        <v>0.22428889479540939</v>
      </c>
      <c r="F934">
        <v>2.3811191581318839E-5</v>
      </c>
      <c r="G934">
        <v>0.2242650836038281</v>
      </c>
      <c r="H934" t="b">
        <v>0</v>
      </c>
    </row>
    <row r="935" spans="1:8" x14ac:dyDescent="0.15">
      <c r="A935">
        <v>126</v>
      </c>
      <c r="B935">
        <v>4</v>
      </c>
      <c r="C935">
        <v>3818750</v>
      </c>
      <c r="D935">
        <v>1484871817324.217</v>
      </c>
      <c r="E935">
        <v>3.9812389756906192E-3</v>
      </c>
      <c r="F935">
        <v>2.3811191581321441E-5</v>
      </c>
      <c r="G935">
        <v>3.9574277841092978E-3</v>
      </c>
      <c r="H935" t="b">
        <v>0</v>
      </c>
    </row>
    <row r="936" spans="1:8" x14ac:dyDescent="0.15">
      <c r="A936">
        <v>126</v>
      </c>
      <c r="B936">
        <v>5</v>
      </c>
      <c r="C936">
        <v>3446875</v>
      </c>
      <c r="D936">
        <v>53466432018.786484</v>
      </c>
      <c r="E936">
        <v>3.2028231981317152E-4</v>
      </c>
      <c r="F936">
        <v>2.3811191581321058E-5</v>
      </c>
      <c r="G936">
        <v>2.9647112823185041E-4</v>
      </c>
      <c r="H936" t="b">
        <v>0</v>
      </c>
    </row>
    <row r="937" spans="1:8" x14ac:dyDescent="0.15">
      <c r="A937">
        <v>126</v>
      </c>
      <c r="B937">
        <v>6</v>
      </c>
      <c r="C937">
        <v>3260937.5</v>
      </c>
      <c r="D937">
        <v>5318122808.3420706</v>
      </c>
      <c r="E937">
        <v>7.5232162518429108E-5</v>
      </c>
      <c r="F937">
        <v>2.3811191581321041E-5</v>
      </c>
      <c r="G937">
        <v>5.1420970937108063E-5</v>
      </c>
      <c r="H937" t="b">
        <v>0</v>
      </c>
    </row>
    <row r="938" spans="1:8" x14ac:dyDescent="0.15">
      <c r="A938">
        <v>126</v>
      </c>
      <c r="B938">
        <v>7</v>
      </c>
      <c r="C938">
        <v>3167968.75</v>
      </c>
      <c r="D938">
        <v>718508003.56161833</v>
      </c>
      <c r="E938">
        <v>3.4406686549812337E-5</v>
      </c>
      <c r="F938">
        <v>2.3811191581321041E-5</v>
      </c>
      <c r="G938">
        <v>1.0595494968491299E-5</v>
      </c>
      <c r="H938" t="b">
        <v>0</v>
      </c>
    </row>
    <row r="939" spans="1:8" x14ac:dyDescent="0.15">
      <c r="A939">
        <v>126</v>
      </c>
      <c r="B939">
        <v>8</v>
      </c>
      <c r="C939">
        <v>3121484.375</v>
      </c>
      <c r="D939">
        <v>-40122979.515209861</v>
      </c>
      <c r="E939">
        <v>2.2895396858145311E-5</v>
      </c>
      <c r="F939">
        <v>2.3811191581321041E-5</v>
      </c>
      <c r="G939">
        <v>-9.1579472317572991E-7</v>
      </c>
      <c r="H939" t="b">
        <v>1</v>
      </c>
    </row>
    <row r="940" spans="1:8" x14ac:dyDescent="0.15">
      <c r="A940">
        <v>126</v>
      </c>
      <c r="B940">
        <v>9</v>
      </c>
      <c r="C940">
        <v>3144726.5625</v>
      </c>
      <c r="D940">
        <v>251723570.09663519</v>
      </c>
      <c r="E940">
        <v>2.810627728461668E-5</v>
      </c>
      <c r="F940">
        <v>2.3811191581321041E-5</v>
      </c>
      <c r="G940">
        <v>4.2950857032956417E-6</v>
      </c>
      <c r="H940" t="b">
        <v>0</v>
      </c>
    </row>
    <row r="941" spans="1:8" x14ac:dyDescent="0.15">
      <c r="A941">
        <v>126</v>
      </c>
      <c r="B941">
        <v>10</v>
      </c>
      <c r="C941">
        <v>3133105.46875</v>
      </c>
      <c r="D941">
        <v>83362748.880111739</v>
      </c>
      <c r="E941">
        <v>2.5376384427464429E-5</v>
      </c>
      <c r="F941">
        <v>2.3811191581321041E-5</v>
      </c>
      <c r="G941">
        <v>1.565192846143384E-6</v>
      </c>
      <c r="H941" t="b">
        <v>0</v>
      </c>
    </row>
    <row r="942" spans="1:8" x14ac:dyDescent="0.15">
      <c r="A942">
        <v>126</v>
      </c>
      <c r="B942">
        <v>11</v>
      </c>
      <c r="C942">
        <v>3127294.921875</v>
      </c>
      <c r="D942">
        <v>14303723.44132367</v>
      </c>
      <c r="E942">
        <v>2.410612169979131E-5</v>
      </c>
      <c r="F942">
        <v>2.3811191581321041E-5</v>
      </c>
      <c r="G942">
        <v>2.949301184702682E-7</v>
      </c>
      <c r="H942" t="b">
        <v>0</v>
      </c>
    </row>
    <row r="943" spans="1:8" x14ac:dyDescent="0.15">
      <c r="A943">
        <v>126</v>
      </c>
      <c r="B943">
        <v>12</v>
      </c>
      <c r="C943">
        <v>3124389.6484375</v>
      </c>
      <c r="D943">
        <v>-14660991.33227364</v>
      </c>
      <c r="E943">
        <v>2.3493482180906839E-5</v>
      </c>
      <c r="F943">
        <v>2.3811191581321041E-5</v>
      </c>
      <c r="G943">
        <v>-3.1770940041420562E-7</v>
      </c>
      <c r="H943" t="b">
        <v>1</v>
      </c>
    </row>
    <row r="944" spans="1:8" x14ac:dyDescent="0.15">
      <c r="A944">
        <v>126</v>
      </c>
      <c r="B944">
        <v>13</v>
      </c>
      <c r="C944">
        <v>3125842.28515625</v>
      </c>
      <c r="D944">
        <v>-626082.77534015465</v>
      </c>
      <c r="E944">
        <v>2.379796073434019E-5</v>
      </c>
      <c r="F944">
        <v>2.3811191581321041E-5</v>
      </c>
      <c r="G944">
        <v>-1.3230846980848499E-8</v>
      </c>
      <c r="H944" t="b">
        <v>1</v>
      </c>
    </row>
    <row r="945" spans="1:8" x14ac:dyDescent="0.15">
      <c r="A945">
        <v>126</v>
      </c>
      <c r="B945">
        <v>14</v>
      </c>
      <c r="C945">
        <v>3126342.28515625</v>
      </c>
      <c r="D945">
        <v>4410864.9130086536</v>
      </c>
      <c r="E945">
        <v>2.3903613846920419E-5</v>
      </c>
      <c r="F945">
        <v>2.3811191581321041E-5</v>
      </c>
      <c r="G945">
        <v>9.2422265599380777E-8</v>
      </c>
      <c r="H945" t="b">
        <v>0</v>
      </c>
    </row>
    <row r="946" spans="1:8" x14ac:dyDescent="0.15">
      <c r="A946">
        <v>126</v>
      </c>
      <c r="B946">
        <v>15</v>
      </c>
      <c r="C946">
        <v>3126092.28515625</v>
      </c>
      <c r="D946">
        <v>1879056.5256295069</v>
      </c>
      <c r="E946">
        <v>2.385073197002764E-5</v>
      </c>
      <c r="F946">
        <v>2.3811191581321041E-5</v>
      </c>
      <c r="G946">
        <v>3.954038870660227E-8</v>
      </c>
      <c r="H946" t="b">
        <v>0</v>
      </c>
    </row>
    <row r="947" spans="1:8" x14ac:dyDescent="0.15">
      <c r="A947">
        <v>126</v>
      </c>
      <c r="B947">
        <v>16</v>
      </c>
      <c r="C947">
        <v>3126217.28515625</v>
      </c>
      <c r="D947">
        <v>3141594.7749638259</v>
      </c>
      <c r="E947">
        <v>2.387715852129293E-5</v>
      </c>
      <c r="F947">
        <v>2.3811191581321041E-5</v>
      </c>
      <c r="G947">
        <v>6.5966939971885089E-8</v>
      </c>
      <c r="H947" t="b">
        <v>0</v>
      </c>
    </row>
    <row r="948" spans="1:8" x14ac:dyDescent="0.15">
      <c r="A948">
        <v>127</v>
      </c>
      <c r="B948">
        <v>1</v>
      </c>
      <c r="C948">
        <v>6050000</v>
      </c>
      <c r="D948">
        <v>2.2679638762581672E+16</v>
      </c>
      <c r="E948">
        <v>9.9576990151431186</v>
      </c>
      <c r="F948">
        <v>2.0165222640144979E-5</v>
      </c>
      <c r="G948">
        <v>9.9576788499204785</v>
      </c>
      <c r="H948" t="b">
        <v>0</v>
      </c>
    </row>
    <row r="949" spans="1:8" x14ac:dyDescent="0.15">
      <c r="A949">
        <v>127</v>
      </c>
      <c r="B949">
        <v>2</v>
      </c>
      <c r="C949">
        <v>3075000</v>
      </c>
      <c r="D949">
        <v>-227072.51141935191</v>
      </c>
      <c r="E949">
        <v>3.4211551491051949E-6</v>
      </c>
      <c r="F949">
        <v>2.016522263974255E-5</v>
      </c>
      <c r="G949">
        <v>-1.6744067490637361E-5</v>
      </c>
      <c r="H949" t="b">
        <v>1</v>
      </c>
    </row>
    <row r="950" spans="1:8" x14ac:dyDescent="0.15">
      <c r="A950">
        <v>127</v>
      </c>
      <c r="B950">
        <v>3</v>
      </c>
      <c r="C950">
        <v>4562500</v>
      </c>
      <c r="D950">
        <v>15838749918633.619</v>
      </c>
      <c r="E950">
        <v>2.161807058611245E-2</v>
      </c>
      <c r="F950">
        <v>2.0165222639742519E-5</v>
      </c>
      <c r="G950">
        <v>2.1597905363472711E-2</v>
      </c>
      <c r="H950" t="b">
        <v>0</v>
      </c>
    </row>
    <row r="951" spans="1:8" x14ac:dyDescent="0.15">
      <c r="A951">
        <v>127</v>
      </c>
      <c r="B951">
        <v>4</v>
      </c>
      <c r="C951">
        <v>3818750</v>
      </c>
      <c r="D951">
        <v>76506592572.524918</v>
      </c>
      <c r="E951">
        <v>3.3807540703147999E-4</v>
      </c>
      <c r="F951">
        <v>2.016522263974257E-5</v>
      </c>
      <c r="G951">
        <v>3.1791018439173753E-4</v>
      </c>
      <c r="H951" t="b">
        <v>0</v>
      </c>
    </row>
    <row r="952" spans="1:8" x14ac:dyDescent="0.15">
      <c r="A952">
        <v>127</v>
      </c>
      <c r="B952">
        <v>5</v>
      </c>
      <c r="C952">
        <v>3446875</v>
      </c>
      <c r="D952">
        <v>254639579.96012691</v>
      </c>
      <c r="E952">
        <v>2.3744246815795271E-5</v>
      </c>
      <c r="F952">
        <v>2.016522263974255E-5</v>
      </c>
      <c r="G952">
        <v>3.5790241760527151E-6</v>
      </c>
      <c r="H952" t="b">
        <v>0</v>
      </c>
    </row>
    <row r="953" spans="1:8" x14ac:dyDescent="0.15">
      <c r="A953">
        <v>127</v>
      </c>
      <c r="B953">
        <v>6</v>
      </c>
      <c r="C953">
        <v>3260937.5</v>
      </c>
      <c r="D953">
        <v>-2216873.5574710178</v>
      </c>
      <c r="E953">
        <v>7.9906485138159107E-6</v>
      </c>
      <c r="F953">
        <v>2.016522263974255E-5</v>
      </c>
      <c r="G953">
        <v>-1.2174574125926641E-5</v>
      </c>
      <c r="H953" t="b">
        <v>1</v>
      </c>
    </row>
    <row r="954" spans="1:8" x14ac:dyDescent="0.15">
      <c r="A954">
        <v>127</v>
      </c>
      <c r="B954">
        <v>7</v>
      </c>
      <c r="C954">
        <v>3353906.25</v>
      </c>
      <c r="D954">
        <v>-46100541.107075579</v>
      </c>
      <c r="E954">
        <v>1.1829808796701191E-5</v>
      </c>
      <c r="F954">
        <v>2.016522263974255E-5</v>
      </c>
      <c r="G954">
        <v>-8.3354138430413608E-6</v>
      </c>
      <c r="H954" t="b">
        <v>1</v>
      </c>
    </row>
    <row r="955" spans="1:8" x14ac:dyDescent="0.15">
      <c r="A955">
        <v>127</v>
      </c>
      <c r="B955">
        <v>8</v>
      </c>
      <c r="C955">
        <v>3400390.625</v>
      </c>
      <c r="D955">
        <v>-125532407.7091326</v>
      </c>
      <c r="E955">
        <v>1.6409404509813E-5</v>
      </c>
      <c r="F955">
        <v>2.016522263974255E-5</v>
      </c>
      <c r="G955">
        <v>-3.7558181299295569E-6</v>
      </c>
      <c r="H955" t="b">
        <v>1</v>
      </c>
    </row>
    <row r="956" spans="1:8" x14ac:dyDescent="0.15">
      <c r="A956">
        <v>127</v>
      </c>
      <c r="B956">
        <v>9</v>
      </c>
      <c r="C956">
        <v>3423632.8125</v>
      </c>
      <c r="D956">
        <v>-21292747.589845479</v>
      </c>
      <c r="E956">
        <v>1.9762152514192161E-5</v>
      </c>
      <c r="F956">
        <v>2.016522263974255E-5</v>
      </c>
      <c r="G956">
        <v>-4.0307012555038883E-7</v>
      </c>
      <c r="H956" t="b">
        <v>1</v>
      </c>
    </row>
    <row r="957" spans="1:8" x14ac:dyDescent="0.15">
      <c r="A957">
        <v>127</v>
      </c>
      <c r="B957">
        <v>10</v>
      </c>
      <c r="C957">
        <v>3435253.90625</v>
      </c>
      <c r="D957">
        <v>94771750.342743188</v>
      </c>
      <c r="E957">
        <v>2.166817317844188E-5</v>
      </c>
      <c r="F957">
        <v>2.016522263974255E-5</v>
      </c>
      <c r="G957">
        <v>1.5029505386993231E-6</v>
      </c>
      <c r="H957" t="b">
        <v>0</v>
      </c>
    </row>
    <row r="958" spans="1:8" x14ac:dyDescent="0.15">
      <c r="A958">
        <v>127</v>
      </c>
      <c r="B958">
        <v>11</v>
      </c>
      <c r="C958">
        <v>3429443.359375</v>
      </c>
      <c r="D958">
        <v>30661535.152339779</v>
      </c>
      <c r="E958">
        <v>2.0694774231396072E-5</v>
      </c>
      <c r="F958">
        <v>2.016522263974255E-5</v>
      </c>
      <c r="G958">
        <v>5.2955159165351835E-7</v>
      </c>
      <c r="H958" t="b">
        <v>0</v>
      </c>
    </row>
    <row r="959" spans="1:8" x14ac:dyDescent="0.15">
      <c r="A959">
        <v>127</v>
      </c>
      <c r="B959">
        <v>12</v>
      </c>
      <c r="C959">
        <v>3426538.0859375</v>
      </c>
      <c r="D959">
        <v>3223300.2268650341</v>
      </c>
      <c r="E959">
        <v>2.0223454093133889E-5</v>
      </c>
      <c r="F959">
        <v>2.016522263974255E-5</v>
      </c>
      <c r="G959">
        <v>5.8231453391332811E-8</v>
      </c>
      <c r="H959" t="b">
        <v>0</v>
      </c>
    </row>
    <row r="960" spans="1:8" x14ac:dyDescent="0.15">
      <c r="A960">
        <v>127</v>
      </c>
      <c r="B960">
        <v>13</v>
      </c>
      <c r="C960">
        <v>3427990.72265625</v>
      </c>
      <c r="D960">
        <v>16569845.71375796</v>
      </c>
      <c r="E960">
        <v>2.0457849378899501E-5</v>
      </c>
      <c r="F960">
        <v>2.016522263974255E-5</v>
      </c>
      <c r="G960">
        <v>2.9262673915695099E-7</v>
      </c>
      <c r="H960" t="b">
        <v>0</v>
      </c>
    </row>
    <row r="961" spans="1:8" x14ac:dyDescent="0.15">
      <c r="A961">
        <v>127</v>
      </c>
      <c r="B961">
        <v>14</v>
      </c>
      <c r="C961">
        <v>3427490.72265625</v>
      </c>
      <c r="D961">
        <v>11892587.06839888</v>
      </c>
      <c r="E961">
        <v>2.037688590068826E-5</v>
      </c>
      <c r="F961">
        <v>2.016522263974255E-5</v>
      </c>
      <c r="G961">
        <v>2.116632609457031E-7</v>
      </c>
      <c r="H961" t="b">
        <v>0</v>
      </c>
    </row>
    <row r="962" spans="1:8" x14ac:dyDescent="0.15">
      <c r="A962">
        <v>127</v>
      </c>
      <c r="B962">
        <v>15</v>
      </c>
      <c r="C962">
        <v>3426890.72265625</v>
      </c>
      <c r="D962">
        <v>6395561.2903271252</v>
      </c>
      <c r="E962">
        <v>2.028012387581147E-5</v>
      </c>
      <c r="F962">
        <v>2.016522263974255E-5</v>
      </c>
      <c r="G962">
        <v>1.1490123606891651E-7</v>
      </c>
      <c r="H962" t="b">
        <v>0</v>
      </c>
    </row>
    <row r="963" spans="1:8" x14ac:dyDescent="0.15">
      <c r="A963">
        <v>127</v>
      </c>
      <c r="B963">
        <v>16</v>
      </c>
      <c r="C963">
        <v>3426170.72265625</v>
      </c>
      <c r="D963">
        <v>-35716.717994198822</v>
      </c>
      <c r="E963">
        <v>2.016457362925773E-5</v>
      </c>
      <c r="F963">
        <v>2.016522263974255E-5</v>
      </c>
      <c r="G963">
        <v>-6.490104848265758E-10</v>
      </c>
      <c r="H963" t="b">
        <v>1</v>
      </c>
    </row>
    <row r="964" spans="1:8" x14ac:dyDescent="0.15">
      <c r="A964">
        <v>127</v>
      </c>
      <c r="B964">
        <v>17</v>
      </c>
      <c r="C964">
        <v>3426530.72265625</v>
      </c>
      <c r="D964">
        <v>3157520.9223506148</v>
      </c>
      <c r="E964">
        <v>2.0222272366014671E-5</v>
      </c>
      <c r="F964">
        <v>2.016522263974255E-5</v>
      </c>
      <c r="G964">
        <v>5.7049726272114208E-8</v>
      </c>
      <c r="H964" t="b">
        <v>0</v>
      </c>
    </row>
    <row r="965" spans="1:8" x14ac:dyDescent="0.15">
      <c r="A965">
        <v>127</v>
      </c>
      <c r="B965">
        <v>18</v>
      </c>
      <c r="C965">
        <v>3426962.72265625</v>
      </c>
      <c r="D965">
        <v>7048503.5249885656</v>
      </c>
      <c r="E965">
        <v>2.0291711453658931E-5</v>
      </c>
      <c r="F965">
        <v>2.016522263974255E-5</v>
      </c>
      <c r="G965">
        <v>1.2648881391637821E-7</v>
      </c>
      <c r="H965" t="b">
        <v>0</v>
      </c>
    </row>
    <row r="966" spans="1:8" x14ac:dyDescent="0.15">
      <c r="A966">
        <v>127</v>
      </c>
      <c r="B966">
        <v>19</v>
      </c>
      <c r="C966">
        <v>3426746.72265625</v>
      </c>
      <c r="D966">
        <v>5094947.7525386624</v>
      </c>
      <c r="E966">
        <v>2.0256964789814829E-5</v>
      </c>
      <c r="F966">
        <v>2.016522263974255E-5</v>
      </c>
      <c r="G966">
        <v>9.174215007227575E-8</v>
      </c>
      <c r="H966" t="b">
        <v>0</v>
      </c>
    </row>
    <row r="967" spans="1:8" x14ac:dyDescent="0.15">
      <c r="A967">
        <v>127</v>
      </c>
      <c r="B967">
        <v>20</v>
      </c>
      <c r="C967">
        <v>3426487.5226562498</v>
      </c>
      <c r="D967">
        <v>2771975.0409153192</v>
      </c>
      <c r="E967">
        <v>2.0215340528689179E-5</v>
      </c>
      <c r="F967">
        <v>2.016522263974255E-5</v>
      </c>
      <c r="G967">
        <v>5.0117888946625642E-8</v>
      </c>
      <c r="H967" t="b">
        <v>0</v>
      </c>
    </row>
    <row r="968" spans="1:8" x14ac:dyDescent="0.15">
      <c r="A968">
        <v>127</v>
      </c>
      <c r="B968">
        <v>21</v>
      </c>
      <c r="C968">
        <v>3426617.1226562499</v>
      </c>
      <c r="D968">
        <v>3930483.4147659978</v>
      </c>
      <c r="E968">
        <v>2.023614147472876E-5</v>
      </c>
      <c r="F968">
        <v>2.016522263974255E-5</v>
      </c>
      <c r="G968">
        <v>7.0918834986206345E-8</v>
      </c>
      <c r="H968" t="b">
        <v>0</v>
      </c>
    </row>
    <row r="969" spans="1:8" x14ac:dyDescent="0.15">
      <c r="A969">
        <v>127</v>
      </c>
      <c r="B969">
        <v>22</v>
      </c>
      <c r="C969">
        <v>3426552.3226562501</v>
      </c>
      <c r="D969">
        <v>3350468.654503224</v>
      </c>
      <c r="E969">
        <v>2.022573790455859E-5</v>
      </c>
      <c r="F969">
        <v>2.016522263974255E-5</v>
      </c>
      <c r="G969">
        <v>6.0515264816033223E-8</v>
      </c>
      <c r="H969" t="b">
        <v>0</v>
      </c>
    </row>
    <row r="970" spans="1:8" x14ac:dyDescent="0.15">
      <c r="A970">
        <v>127</v>
      </c>
      <c r="B970">
        <v>23</v>
      </c>
      <c r="C970">
        <v>3426584.72265625</v>
      </c>
      <c r="D970">
        <v>3640294.21699053</v>
      </c>
      <c r="E970">
        <v>2.023093906646225E-5</v>
      </c>
      <c r="F970">
        <v>2.016522263974255E-5</v>
      </c>
      <c r="G970">
        <v>6.5716426719696937E-8</v>
      </c>
      <c r="H970" t="b">
        <v>0</v>
      </c>
    </row>
    <row r="971" spans="1:8" x14ac:dyDescent="0.15">
      <c r="A971">
        <v>127</v>
      </c>
      <c r="B971">
        <v>24</v>
      </c>
      <c r="C971">
        <v>3426568.5226562498</v>
      </c>
      <c r="D971">
        <v>3495403.4645922361</v>
      </c>
      <c r="E971">
        <v>2.022833954059447E-5</v>
      </c>
      <c r="F971">
        <v>2.016522263974255E-5</v>
      </c>
      <c r="G971">
        <v>6.3116900851912893E-8</v>
      </c>
      <c r="H971" t="b">
        <v>0</v>
      </c>
    </row>
    <row r="972" spans="1:8" x14ac:dyDescent="0.15">
      <c r="A972">
        <v>127</v>
      </c>
      <c r="B972">
        <v>25</v>
      </c>
      <c r="C972">
        <v>3426549.0826562499</v>
      </c>
      <c r="D972">
        <v>3321573.5118759391</v>
      </c>
      <c r="E972">
        <v>2.0225219067550979E-5</v>
      </c>
      <c r="F972">
        <v>2.016522263974255E-5</v>
      </c>
      <c r="G972">
        <v>5.999642780842192E-8</v>
      </c>
      <c r="H972" t="b">
        <v>0</v>
      </c>
    </row>
    <row r="973" spans="1:8" x14ac:dyDescent="0.15">
      <c r="A973">
        <v>127</v>
      </c>
      <c r="B973">
        <v>26</v>
      </c>
      <c r="C973">
        <v>3426558.8026562501</v>
      </c>
      <c r="D973">
        <v>3408472.130460951</v>
      </c>
      <c r="E973">
        <v>2.022677924799637E-5</v>
      </c>
      <c r="F973">
        <v>2.016522263974255E-5</v>
      </c>
      <c r="G973">
        <v>6.1556608253819889E-8</v>
      </c>
      <c r="H973" t="b">
        <v>0</v>
      </c>
    </row>
    <row r="974" spans="1:8" x14ac:dyDescent="0.15">
      <c r="A974">
        <v>128</v>
      </c>
      <c r="B974">
        <v>1</v>
      </c>
      <c r="C974">
        <v>6050000</v>
      </c>
      <c r="D974">
        <v>7152674619688184</v>
      </c>
      <c r="E974">
        <v>3.4285159390854449</v>
      </c>
      <c r="F974">
        <v>1.9146850222195869E-5</v>
      </c>
      <c r="G974">
        <v>3.4284967922352232</v>
      </c>
      <c r="H974" t="b">
        <v>0</v>
      </c>
    </row>
    <row r="975" spans="1:8" x14ac:dyDescent="0.15">
      <c r="A975">
        <v>128</v>
      </c>
      <c r="B975">
        <v>2</v>
      </c>
      <c r="C975">
        <v>3075000</v>
      </c>
      <c r="D975">
        <v>-144032.6363475484</v>
      </c>
      <c r="E975">
        <v>1.8061078086024811E-6</v>
      </c>
      <c r="F975">
        <v>1.914685022205411E-5</v>
      </c>
      <c r="G975">
        <v>-1.7340742413451631E-5</v>
      </c>
      <c r="H975" t="b">
        <v>1</v>
      </c>
    </row>
    <row r="976" spans="1:8" x14ac:dyDescent="0.15">
      <c r="A976">
        <v>128</v>
      </c>
      <c r="B976">
        <v>3</v>
      </c>
      <c r="C976">
        <v>4562500</v>
      </c>
      <c r="D976">
        <v>5004115770359.2354</v>
      </c>
      <c r="E976">
        <v>7.9449523721151147E-3</v>
      </c>
      <c r="F976">
        <v>1.9146850222053619E-5</v>
      </c>
      <c r="G976">
        <v>7.9258055218930611E-3</v>
      </c>
      <c r="H976" t="b">
        <v>0</v>
      </c>
    </row>
    <row r="977" spans="1:8" x14ac:dyDescent="0.15">
      <c r="A977">
        <v>128</v>
      </c>
      <c r="B977">
        <v>4</v>
      </c>
      <c r="C977">
        <v>3818750</v>
      </c>
      <c r="D977">
        <v>16813826924.6852</v>
      </c>
      <c r="E977">
        <v>1.13872457700458E-4</v>
      </c>
      <c r="F977">
        <v>1.914685022205411E-5</v>
      </c>
      <c r="G977">
        <v>9.4725607478403937E-5</v>
      </c>
      <c r="H977" t="b">
        <v>0</v>
      </c>
    </row>
    <row r="978" spans="1:8" x14ac:dyDescent="0.15">
      <c r="A978">
        <v>128</v>
      </c>
      <c r="B978">
        <v>5</v>
      </c>
      <c r="C978">
        <v>3446875</v>
      </c>
      <c r="D978">
        <v>-10791835.781169631</v>
      </c>
      <c r="E978">
        <v>9.503094195964031E-6</v>
      </c>
      <c r="F978">
        <v>1.914685022205411E-5</v>
      </c>
      <c r="G978">
        <v>-9.6437560260900822E-6</v>
      </c>
      <c r="H978" t="b">
        <v>1</v>
      </c>
    </row>
    <row r="979" spans="1:8" x14ac:dyDescent="0.15">
      <c r="A979">
        <v>128</v>
      </c>
      <c r="B979">
        <v>6</v>
      </c>
      <c r="C979">
        <v>3632812.5</v>
      </c>
      <c r="D979">
        <v>1127729165.743614</v>
      </c>
      <c r="E979">
        <v>3.1030681126751727E-5</v>
      </c>
      <c r="F979">
        <v>1.914685022205411E-5</v>
      </c>
      <c r="G979">
        <v>1.188383090469761E-5</v>
      </c>
      <c r="H979" t="b">
        <v>0</v>
      </c>
    </row>
    <row r="980" spans="1:8" x14ac:dyDescent="0.15">
      <c r="A980">
        <v>128</v>
      </c>
      <c r="B980">
        <v>7</v>
      </c>
      <c r="C980">
        <v>3539843.75</v>
      </c>
      <c r="D980">
        <v>-125399332.582545</v>
      </c>
      <c r="E980">
        <v>1.544955351840596E-5</v>
      </c>
      <c r="F980">
        <v>1.914685022205411E-5</v>
      </c>
      <c r="G980">
        <v>-3.697296703648154E-6</v>
      </c>
      <c r="H980" t="b">
        <v>1</v>
      </c>
    </row>
    <row r="981" spans="1:8" x14ac:dyDescent="0.15">
      <c r="A981">
        <v>128</v>
      </c>
      <c r="B981">
        <v>8</v>
      </c>
      <c r="C981">
        <v>3586328.125</v>
      </c>
      <c r="D981">
        <v>210497881.86718681</v>
      </c>
      <c r="E981">
        <v>2.1988023024343371E-5</v>
      </c>
      <c r="F981">
        <v>1.914685022205411E-5</v>
      </c>
      <c r="G981">
        <v>2.8411728022892582E-6</v>
      </c>
      <c r="H981" t="b">
        <v>0</v>
      </c>
    </row>
    <row r="982" spans="1:8" x14ac:dyDescent="0.15">
      <c r="A982">
        <v>128</v>
      </c>
      <c r="B982">
        <v>9</v>
      </c>
      <c r="C982">
        <v>3563085.9375</v>
      </c>
      <c r="D982">
        <v>-37138564.043711051</v>
      </c>
      <c r="E982">
        <v>1.8450951907911359E-5</v>
      </c>
      <c r="F982">
        <v>1.914685022205411E-5</v>
      </c>
      <c r="G982">
        <v>-6.9589831414275724E-7</v>
      </c>
      <c r="H982" t="b">
        <v>1</v>
      </c>
    </row>
    <row r="983" spans="1:8" x14ac:dyDescent="0.15">
      <c r="A983">
        <v>128</v>
      </c>
      <c r="B983">
        <v>10</v>
      </c>
      <c r="C983">
        <v>3574707.03125</v>
      </c>
      <c r="D983">
        <v>63668033.214366376</v>
      </c>
      <c r="E983">
        <v>2.014737999244296E-5</v>
      </c>
      <c r="F983">
        <v>1.914685022205411E-5</v>
      </c>
      <c r="G983">
        <v>1.000529770388843E-6</v>
      </c>
      <c r="H983" t="b">
        <v>0</v>
      </c>
    </row>
    <row r="984" spans="1:8" x14ac:dyDescent="0.15">
      <c r="A984">
        <v>128</v>
      </c>
      <c r="B984">
        <v>11</v>
      </c>
      <c r="C984">
        <v>3568896.484375</v>
      </c>
      <c r="D984">
        <v>7891273.645891943</v>
      </c>
      <c r="E984">
        <v>1.928183703341007E-5</v>
      </c>
      <c r="F984">
        <v>1.914685022205411E-5</v>
      </c>
      <c r="G984">
        <v>1.3498681135595299E-7</v>
      </c>
      <c r="H984" t="b">
        <v>0</v>
      </c>
    </row>
    <row r="985" spans="1:8" x14ac:dyDescent="0.15">
      <c r="A985">
        <v>128</v>
      </c>
      <c r="B985">
        <v>12</v>
      </c>
      <c r="C985">
        <v>3565991.2109375</v>
      </c>
      <c r="D985">
        <v>-15916582.5111991</v>
      </c>
      <c r="E985">
        <v>1.886213281295993E-5</v>
      </c>
      <c r="F985">
        <v>1.914685022205411E-5</v>
      </c>
      <c r="G985">
        <v>-2.8471740909418662E-7</v>
      </c>
      <c r="H985" t="b">
        <v>1</v>
      </c>
    </row>
    <row r="986" spans="1:8" x14ac:dyDescent="0.15">
      <c r="A986">
        <v>128</v>
      </c>
      <c r="B986">
        <v>13</v>
      </c>
      <c r="C986">
        <v>3567443.84765625</v>
      </c>
      <c r="D986">
        <v>-4342154.3886584751</v>
      </c>
      <c r="E986">
        <v>1.9070910174652591E-5</v>
      </c>
      <c r="F986">
        <v>1.914685022205411E-5</v>
      </c>
      <c r="G986">
        <v>-7.5940047401522087E-8</v>
      </c>
      <c r="H986" t="b">
        <v>1</v>
      </c>
    </row>
    <row r="987" spans="1:8" x14ac:dyDescent="0.15">
      <c r="A987">
        <v>128</v>
      </c>
      <c r="B987">
        <v>14</v>
      </c>
      <c r="C987">
        <v>3567943.84765625</v>
      </c>
      <c r="D987">
        <v>-206415.14869396351</v>
      </c>
      <c r="E987">
        <v>1.9143267807683981E-5</v>
      </c>
      <c r="F987">
        <v>1.914685022205411E-5</v>
      </c>
      <c r="G987">
        <v>-3.5824143701358268E-9</v>
      </c>
      <c r="H987" t="b">
        <v>1</v>
      </c>
    </row>
    <row r="988" spans="1:8" x14ac:dyDescent="0.15">
      <c r="A988">
        <v>128</v>
      </c>
      <c r="B988">
        <v>15</v>
      </c>
      <c r="C988">
        <v>3568443.84765625</v>
      </c>
      <c r="D988">
        <v>4007924.1237599868</v>
      </c>
      <c r="E988">
        <v>1.9215881054268881E-5</v>
      </c>
      <c r="F988">
        <v>1.914685022205411E-5</v>
      </c>
      <c r="G988">
        <v>6.9030832214764069E-8</v>
      </c>
      <c r="H988" t="b">
        <v>0</v>
      </c>
    </row>
    <row r="989" spans="1:8" x14ac:dyDescent="0.15">
      <c r="A989">
        <v>128</v>
      </c>
      <c r="B989">
        <v>16</v>
      </c>
      <c r="C989">
        <v>3568193.84765625</v>
      </c>
      <c r="D989">
        <v>1890896.9208654589</v>
      </c>
      <c r="E989">
        <v>1.917954242727116E-5</v>
      </c>
      <c r="F989">
        <v>1.914685022205411E-5</v>
      </c>
      <c r="G989">
        <v>3.2692205217047231E-8</v>
      </c>
      <c r="H989" t="b">
        <v>0</v>
      </c>
    </row>
    <row r="990" spans="1:8" x14ac:dyDescent="0.15">
      <c r="A990">
        <v>128</v>
      </c>
      <c r="B990">
        <v>17</v>
      </c>
      <c r="C990">
        <v>3568318.84765625</v>
      </c>
      <c r="D990">
        <v>2946875.3704657499</v>
      </c>
      <c r="E990">
        <v>1.9197702588725771E-5</v>
      </c>
      <c r="F990">
        <v>1.914685022205411E-5</v>
      </c>
      <c r="G990">
        <v>5.085236667166072E-8</v>
      </c>
      <c r="H990" t="b">
        <v>0</v>
      </c>
    </row>
    <row r="991" spans="1:8" x14ac:dyDescent="0.15">
      <c r="A991">
        <v>128</v>
      </c>
      <c r="B991">
        <v>18</v>
      </c>
      <c r="C991">
        <v>3568468.84765625</v>
      </c>
      <c r="D991">
        <v>4220713.6886640377</v>
      </c>
      <c r="E991">
        <v>1.9219518441385569E-5</v>
      </c>
      <c r="F991">
        <v>1.914685022205411E-5</v>
      </c>
      <c r="G991">
        <v>7.2668219331452647E-8</v>
      </c>
      <c r="H991" t="b">
        <v>0</v>
      </c>
    </row>
    <row r="992" spans="1:8" x14ac:dyDescent="0.15">
      <c r="A992">
        <v>128</v>
      </c>
      <c r="B992">
        <v>19</v>
      </c>
      <c r="C992">
        <v>3568393.84765625</v>
      </c>
      <c r="D992">
        <v>3582938.3407887341</v>
      </c>
      <c r="E992">
        <v>1.9208608203278501E-5</v>
      </c>
      <c r="F992">
        <v>1.914685022205411E-5</v>
      </c>
      <c r="G992">
        <v>6.1757981224388266E-8</v>
      </c>
      <c r="H992" t="b">
        <v>0</v>
      </c>
    </row>
    <row r="993" spans="1:8" x14ac:dyDescent="0.15">
      <c r="A993">
        <v>129</v>
      </c>
      <c r="B993">
        <v>1</v>
      </c>
      <c r="C993">
        <v>6050000</v>
      </c>
      <c r="D993">
        <v>175208336501866.31</v>
      </c>
      <c r="E993">
        <v>0.10856263497524631</v>
      </c>
      <c r="F993">
        <v>1.5203170290675749E-5</v>
      </c>
      <c r="G993">
        <v>0.1085474318049556</v>
      </c>
      <c r="H993" t="b">
        <v>0</v>
      </c>
    </row>
    <row r="994" spans="1:8" x14ac:dyDescent="0.15">
      <c r="A994">
        <v>129</v>
      </c>
      <c r="B994">
        <v>2</v>
      </c>
      <c r="C994">
        <v>3075000</v>
      </c>
      <c r="D994">
        <v>-51860.413633409509</v>
      </c>
      <c r="E994">
        <v>-2.3755197403484389E-6</v>
      </c>
      <c r="F994">
        <v>1.520317029067891E-5</v>
      </c>
      <c r="G994">
        <v>-1.757869003102735E-5</v>
      </c>
      <c r="H994" t="b">
        <v>1</v>
      </c>
    </row>
    <row r="995" spans="1:8" x14ac:dyDescent="0.15">
      <c r="A995">
        <v>129</v>
      </c>
      <c r="B995">
        <v>3</v>
      </c>
      <c r="C995">
        <v>4562500</v>
      </c>
      <c r="D995">
        <v>68027456699.29866</v>
      </c>
      <c r="E995">
        <v>2.208370995137331E-4</v>
      </c>
      <c r="F995">
        <v>1.5203170290678921E-5</v>
      </c>
      <c r="G995">
        <v>2.0563392922305409E-4</v>
      </c>
      <c r="H995" t="b">
        <v>0</v>
      </c>
    </row>
    <row r="996" spans="1:8" x14ac:dyDescent="0.15">
      <c r="A996">
        <v>129</v>
      </c>
      <c r="B996">
        <v>4</v>
      </c>
      <c r="C996">
        <v>3818750</v>
      </c>
      <c r="D996">
        <v>-916006.14724765252</v>
      </c>
      <c r="E996">
        <v>4.8490110946886008E-6</v>
      </c>
      <c r="F996">
        <v>1.5203170290678921E-5</v>
      </c>
      <c r="G996">
        <v>-1.035415919599031E-5</v>
      </c>
      <c r="H996" t="b">
        <v>1</v>
      </c>
    </row>
    <row r="997" spans="1:8" x14ac:dyDescent="0.15">
      <c r="A997">
        <v>129</v>
      </c>
      <c r="B997">
        <v>5</v>
      </c>
      <c r="C997">
        <v>4190625</v>
      </c>
      <c r="D997">
        <v>1468386735.5671749</v>
      </c>
      <c r="E997">
        <v>2.6417681224835359E-5</v>
      </c>
      <c r="F997">
        <v>1.5203170290678921E-5</v>
      </c>
      <c r="G997">
        <v>1.121451093415644E-5</v>
      </c>
      <c r="H997" t="b">
        <v>0</v>
      </c>
    </row>
    <row r="998" spans="1:8" x14ac:dyDescent="0.15">
      <c r="A998">
        <v>129</v>
      </c>
      <c r="B998">
        <v>6</v>
      </c>
      <c r="C998">
        <v>4004687.5</v>
      </c>
      <c r="D998">
        <v>-53107257.307726108</v>
      </c>
      <c r="E998">
        <v>9.2894765099395679E-6</v>
      </c>
      <c r="F998">
        <v>1.5203170290678921E-5</v>
      </c>
      <c r="G998">
        <v>-5.9136937807393476E-6</v>
      </c>
      <c r="H998" t="b">
        <v>1</v>
      </c>
    </row>
    <row r="999" spans="1:8" x14ac:dyDescent="0.15">
      <c r="A999">
        <v>129</v>
      </c>
      <c r="B999">
        <v>7</v>
      </c>
      <c r="C999">
        <v>4097656.25</v>
      </c>
      <c r="D999">
        <v>-33195220.267621528</v>
      </c>
      <c r="E999">
        <v>1.4696812863951999E-5</v>
      </c>
      <c r="F999">
        <v>1.5203170290678921E-5</v>
      </c>
      <c r="G999">
        <v>-5.0635742672691465E-7</v>
      </c>
      <c r="H999" t="b">
        <v>1</v>
      </c>
    </row>
    <row r="1000" spans="1:8" x14ac:dyDescent="0.15">
      <c r="A1000">
        <v>129</v>
      </c>
      <c r="B1000">
        <v>8</v>
      </c>
      <c r="C1000">
        <v>4144140.625</v>
      </c>
      <c r="D1000">
        <v>489741957.81890041</v>
      </c>
      <c r="E1000">
        <v>1.976497054564727E-5</v>
      </c>
      <c r="F1000">
        <v>1.5203170290678921E-5</v>
      </c>
      <c r="G1000">
        <v>4.5618002549683581E-6</v>
      </c>
      <c r="H1000" t="b">
        <v>0</v>
      </c>
    </row>
    <row r="1001" spans="1:8" x14ac:dyDescent="0.15">
      <c r="A1001">
        <v>129</v>
      </c>
      <c r="B1001">
        <v>9</v>
      </c>
      <c r="C1001">
        <v>4120898.4375</v>
      </c>
      <c r="D1001">
        <v>163685392.25833079</v>
      </c>
      <c r="E1001">
        <v>1.7056886084038761E-5</v>
      </c>
      <c r="F1001">
        <v>1.5203170290678921E-5</v>
      </c>
      <c r="G1001">
        <v>1.853715793359842E-6</v>
      </c>
      <c r="H1001" t="b">
        <v>0</v>
      </c>
    </row>
    <row r="1002" spans="1:8" x14ac:dyDescent="0.15">
      <c r="A1002">
        <v>129</v>
      </c>
      <c r="B1002">
        <v>10</v>
      </c>
      <c r="C1002">
        <v>4109277.34375</v>
      </c>
      <c r="D1002">
        <v>48576749.270332783</v>
      </c>
      <c r="E1002">
        <v>1.5836082247034032E-5</v>
      </c>
      <c r="F1002">
        <v>1.5203170290678921E-5</v>
      </c>
      <c r="G1002">
        <v>6.3291195635511271E-7</v>
      </c>
      <c r="H1002" t="b">
        <v>0</v>
      </c>
    </row>
    <row r="1003" spans="1:8" x14ac:dyDescent="0.15">
      <c r="A1003">
        <v>129</v>
      </c>
      <c r="B1003">
        <v>11</v>
      </c>
      <c r="C1003">
        <v>4103466.796875</v>
      </c>
      <c r="D1003">
        <v>3798998.077001032</v>
      </c>
      <c r="E1003">
        <v>1.5256595699506031E-5</v>
      </c>
      <c r="F1003">
        <v>1.5203170290678921E-5</v>
      </c>
      <c r="G1003">
        <v>5.3425408827113308E-8</v>
      </c>
      <c r="H1003" t="b">
        <v>0</v>
      </c>
    </row>
    <row r="1004" spans="1:8" x14ac:dyDescent="0.15">
      <c r="A1004">
        <v>129</v>
      </c>
      <c r="B1004">
        <v>12</v>
      </c>
      <c r="C1004">
        <v>4106372.0703125</v>
      </c>
      <c r="D1004">
        <v>25181591.043947861</v>
      </c>
      <c r="E1004">
        <v>1.554383673784168E-5</v>
      </c>
      <c r="F1004">
        <v>1.5203170290678921E-5</v>
      </c>
      <c r="G1004">
        <v>3.4066644716276413E-7</v>
      </c>
      <c r="H1004" t="b">
        <v>0</v>
      </c>
    </row>
    <row r="1005" spans="1:8" x14ac:dyDescent="0.15">
      <c r="A1005">
        <v>129</v>
      </c>
      <c r="B1005">
        <v>13</v>
      </c>
      <c r="C1005">
        <v>4104919.43359375</v>
      </c>
      <c r="D1005">
        <v>14243341.58324944</v>
      </c>
      <c r="E1005">
        <v>1.5399601021169098E-5</v>
      </c>
      <c r="F1005">
        <v>1.5203170290678921E-5</v>
      </c>
      <c r="G1005">
        <v>1.9643073049018291E-7</v>
      </c>
      <c r="H1005" t="b">
        <v>0</v>
      </c>
    </row>
    <row r="1006" spans="1:8" x14ac:dyDescent="0.15">
      <c r="A1006">
        <v>129</v>
      </c>
      <c r="B1006">
        <v>14</v>
      </c>
      <c r="C1006">
        <v>4103719.43359375</v>
      </c>
      <c r="D1006">
        <v>5580286.38667884</v>
      </c>
      <c r="E1006">
        <v>1.5281378214893911E-5</v>
      </c>
      <c r="F1006">
        <v>1.5203170290678921E-5</v>
      </c>
      <c r="G1006">
        <v>7.8207924214998876E-8</v>
      </c>
      <c r="H1006" t="b">
        <v>0</v>
      </c>
    </row>
    <row r="1007" spans="1:8" x14ac:dyDescent="0.15">
      <c r="A1007">
        <v>129</v>
      </c>
      <c r="B1007">
        <v>15</v>
      </c>
      <c r="C1007">
        <v>4102279.43359375</v>
      </c>
      <c r="D1007">
        <v>-4376343.0980872447</v>
      </c>
      <c r="E1007">
        <v>1.514062113413346E-5</v>
      </c>
      <c r="F1007">
        <v>1.5203170290678921E-5</v>
      </c>
      <c r="G1007">
        <v>-6.2549156545451786E-8</v>
      </c>
      <c r="H1007" t="b">
        <v>1</v>
      </c>
    </row>
    <row r="1008" spans="1:8" x14ac:dyDescent="0.15">
      <c r="A1008">
        <v>129</v>
      </c>
      <c r="B1008">
        <v>16</v>
      </c>
      <c r="C1008">
        <v>4102999.43359375</v>
      </c>
      <c r="D1008">
        <v>542552.42329238856</v>
      </c>
      <c r="E1008">
        <v>1.5210848807316319E-5</v>
      </c>
      <c r="F1008">
        <v>1.5203170290678921E-5</v>
      </c>
      <c r="G1008">
        <v>7.6785166374002768E-9</v>
      </c>
      <c r="H1008" t="b">
        <v>0</v>
      </c>
    </row>
    <row r="1009" spans="1:8" x14ac:dyDescent="0.15">
      <c r="A1009">
        <v>129</v>
      </c>
      <c r="B1009">
        <v>17</v>
      </c>
      <c r="C1009">
        <v>4103863.43359375</v>
      </c>
      <c r="D1009">
        <v>6602268.0958049381</v>
      </c>
      <c r="E1009">
        <v>1.5295521590936019E-5</v>
      </c>
      <c r="F1009">
        <v>1.5203170290678921E-5</v>
      </c>
      <c r="G1009">
        <v>9.23513002571068E-8</v>
      </c>
      <c r="H1009" t="b">
        <v>0</v>
      </c>
    </row>
    <row r="1010" spans="1:8" x14ac:dyDescent="0.15">
      <c r="A1010">
        <v>129</v>
      </c>
      <c r="B1010">
        <v>18</v>
      </c>
      <c r="C1010">
        <v>4103431.43359375</v>
      </c>
      <c r="D1010">
        <v>3550898.363146103</v>
      </c>
      <c r="E1010">
        <v>1.525313059630667E-5</v>
      </c>
      <c r="F1010">
        <v>1.5203170290678921E-5</v>
      </c>
      <c r="G1010">
        <v>4.9960305627757981E-8</v>
      </c>
      <c r="H1010" t="b">
        <v>0</v>
      </c>
    </row>
    <row r="1011" spans="1:8" x14ac:dyDescent="0.15">
      <c r="A1011">
        <v>129</v>
      </c>
      <c r="B1011">
        <v>19</v>
      </c>
      <c r="C1011">
        <v>4103647.43359375</v>
      </c>
      <c r="D1011">
        <v>5071191.5563557707</v>
      </c>
      <c r="E1011">
        <v>1.527431242668848E-5</v>
      </c>
      <c r="F1011">
        <v>1.5203170290678921E-5</v>
      </c>
      <c r="G1011">
        <v>7.1142136009564279E-8</v>
      </c>
      <c r="H1011" t="b">
        <v>0</v>
      </c>
    </row>
    <row r="1012" spans="1:8" x14ac:dyDescent="0.15">
      <c r="A1012">
        <v>129</v>
      </c>
      <c r="B1012">
        <v>20</v>
      </c>
      <c r="C1012">
        <v>4103539.43359375</v>
      </c>
      <c r="D1012">
        <v>4309634.6401826907</v>
      </c>
      <c r="E1012">
        <v>1.5263717203495099E-5</v>
      </c>
      <c r="F1012">
        <v>1.5203170290678921E-5</v>
      </c>
      <c r="G1012">
        <v>6.054691281618699E-8</v>
      </c>
      <c r="H1012" t="b">
        <v>0</v>
      </c>
    </row>
    <row r="1013" spans="1:8" x14ac:dyDescent="0.15">
      <c r="A1013">
        <v>129</v>
      </c>
      <c r="B1013">
        <v>21</v>
      </c>
      <c r="C1013">
        <v>4103409.8335937499</v>
      </c>
      <c r="D1013">
        <v>3399397.2424664982</v>
      </c>
      <c r="E1013">
        <v>1.5251013022953289E-5</v>
      </c>
      <c r="F1013">
        <v>1.5203170290678921E-5</v>
      </c>
      <c r="G1013">
        <v>4.7842732274375347E-8</v>
      </c>
      <c r="H1013" t="b">
        <v>0</v>
      </c>
    </row>
    <row r="1014" spans="1:8" x14ac:dyDescent="0.15">
      <c r="A1014">
        <v>129</v>
      </c>
      <c r="B1014">
        <v>22</v>
      </c>
      <c r="C1014">
        <v>4103474.6335937502</v>
      </c>
      <c r="D1014">
        <v>3854095.6501647588</v>
      </c>
      <c r="E1014">
        <v>1.5257364777232469E-5</v>
      </c>
      <c r="F1014">
        <v>1.5203170290678921E-5</v>
      </c>
      <c r="G1014">
        <v>5.4194486553550382E-8</v>
      </c>
      <c r="H1014" t="b">
        <v>0</v>
      </c>
    </row>
    <row r="1015" spans="1:8" x14ac:dyDescent="0.15">
      <c r="A1015">
        <v>129</v>
      </c>
      <c r="B1015">
        <v>23</v>
      </c>
      <c r="C1015">
        <v>4103552.393593749</v>
      </c>
      <c r="D1015">
        <v>4400935.6646938073</v>
      </c>
      <c r="E1015">
        <v>1.5264989055708771E-5</v>
      </c>
      <c r="F1015">
        <v>1.5203170290678921E-5</v>
      </c>
      <c r="G1015">
        <v>6.1818765029855556E-8</v>
      </c>
      <c r="H1015" t="b">
        <v>0</v>
      </c>
    </row>
    <row r="1016" spans="1:8" x14ac:dyDescent="0.15">
      <c r="A1016">
        <v>129</v>
      </c>
      <c r="B1016">
        <v>24</v>
      </c>
      <c r="C1016">
        <v>4103513.5135937501</v>
      </c>
      <c r="D1016">
        <v>4127341.242613093</v>
      </c>
      <c r="E1016">
        <v>1.5261176473988111E-5</v>
      </c>
      <c r="F1016">
        <v>1.5203170290678921E-5</v>
      </c>
      <c r="G1016">
        <v>5.80061833091918E-8</v>
      </c>
      <c r="H1016" t="b">
        <v>0</v>
      </c>
    </row>
    <row r="1017" spans="1:8" x14ac:dyDescent="0.15">
      <c r="A1017">
        <v>130</v>
      </c>
      <c r="B1017">
        <v>1</v>
      </c>
      <c r="C1017">
        <v>6050000</v>
      </c>
      <c r="D1017">
        <v>40045121125455.367</v>
      </c>
      <c r="E1017">
        <v>2.8786577092128309E-2</v>
      </c>
      <c r="F1017">
        <v>1.4030806913641751E-5</v>
      </c>
      <c r="G1017">
        <v>2.877254628521466E-2</v>
      </c>
      <c r="H1017" t="b">
        <v>0</v>
      </c>
    </row>
    <row r="1018" spans="1:8" x14ac:dyDescent="0.15">
      <c r="A1018">
        <v>130</v>
      </c>
      <c r="B1018">
        <v>2</v>
      </c>
      <c r="C1018">
        <v>3075000</v>
      </c>
      <c r="D1018">
        <v>-35913.216999509117</v>
      </c>
      <c r="E1018">
        <v>-3.946107753941748E-6</v>
      </c>
      <c r="F1018">
        <v>1.403080691364119E-5</v>
      </c>
      <c r="G1018">
        <v>-1.7976914667582931E-5</v>
      </c>
      <c r="H1018" t="b">
        <v>1</v>
      </c>
    </row>
    <row r="1019" spans="1:8" x14ac:dyDescent="0.15">
      <c r="A1019">
        <v>130</v>
      </c>
      <c r="B1019">
        <v>3</v>
      </c>
      <c r="C1019">
        <v>4562500</v>
      </c>
      <c r="D1019">
        <v>7502510302.3339567</v>
      </c>
      <c r="E1019">
        <v>4.9667990483587033E-5</v>
      </c>
      <c r="F1019">
        <v>1.403080691364119E-5</v>
      </c>
      <c r="G1019">
        <v>3.5637183569945843E-5</v>
      </c>
      <c r="H1019" t="b">
        <v>0</v>
      </c>
    </row>
    <row r="1020" spans="1:8" x14ac:dyDescent="0.15">
      <c r="A1020">
        <v>130</v>
      </c>
      <c r="B1020">
        <v>4</v>
      </c>
      <c r="C1020">
        <v>3818750</v>
      </c>
      <c r="D1020">
        <v>-227836.58161057471</v>
      </c>
      <c r="E1020">
        <v>2.0656235181079748E-6</v>
      </c>
      <c r="F1020">
        <v>1.403080691364119E-5</v>
      </c>
      <c r="G1020">
        <v>-1.1965183395533209E-5</v>
      </c>
      <c r="H1020" t="b">
        <v>1</v>
      </c>
    </row>
    <row r="1021" spans="1:8" x14ac:dyDescent="0.15">
      <c r="A1021">
        <v>130</v>
      </c>
      <c r="B1021">
        <v>5</v>
      </c>
      <c r="C1021">
        <v>4190625</v>
      </c>
      <c r="D1021">
        <v>-18578524.290880959</v>
      </c>
      <c r="E1021">
        <v>7.5359233279722309E-6</v>
      </c>
      <c r="F1021">
        <v>1.403080691364119E-5</v>
      </c>
      <c r="G1021">
        <v>-6.4948835856689556E-6</v>
      </c>
      <c r="H1021" t="b">
        <v>1</v>
      </c>
    </row>
    <row r="1022" spans="1:8" x14ac:dyDescent="0.15">
      <c r="A1022">
        <v>130</v>
      </c>
      <c r="B1022">
        <v>6</v>
      </c>
      <c r="C1022">
        <v>4376562.5</v>
      </c>
      <c r="D1022">
        <v>349987579.70700991</v>
      </c>
      <c r="E1022">
        <v>1.7195343620703249E-5</v>
      </c>
      <c r="F1022">
        <v>1.403080691364119E-5</v>
      </c>
      <c r="G1022">
        <v>3.1645367070620589E-6</v>
      </c>
      <c r="H1022" t="b">
        <v>0</v>
      </c>
    </row>
    <row r="1023" spans="1:8" x14ac:dyDescent="0.15">
      <c r="A1023">
        <v>130</v>
      </c>
      <c r="B1023">
        <v>7</v>
      </c>
      <c r="C1023">
        <v>4283593.75</v>
      </c>
      <c r="D1023">
        <v>-107264331.5394793</v>
      </c>
      <c r="E1023">
        <v>1.008904566275274E-5</v>
      </c>
      <c r="F1023">
        <v>1.403080691364119E-5</v>
      </c>
      <c r="G1023">
        <v>-3.9417612508884469E-6</v>
      </c>
      <c r="H1023" t="b">
        <v>1</v>
      </c>
    </row>
    <row r="1024" spans="1:8" x14ac:dyDescent="0.15">
      <c r="A1024">
        <v>130</v>
      </c>
      <c r="B1024">
        <v>8</v>
      </c>
      <c r="C1024">
        <v>4330078.125</v>
      </c>
      <c r="D1024">
        <v>-64595600.072365083</v>
      </c>
      <c r="E1024">
        <v>1.301564029444596E-5</v>
      </c>
      <c r="F1024">
        <v>1.403080691364119E-5</v>
      </c>
      <c r="G1024">
        <v>-1.0151666191952301E-6</v>
      </c>
      <c r="H1024" t="b">
        <v>1</v>
      </c>
    </row>
    <row r="1025" spans="1:8" x14ac:dyDescent="0.15">
      <c r="A1025">
        <v>130</v>
      </c>
      <c r="B1025">
        <v>9</v>
      </c>
      <c r="C1025">
        <v>4353320.3125</v>
      </c>
      <c r="D1025">
        <v>81211744.077655688</v>
      </c>
      <c r="E1025">
        <v>1.4970713586777489E-5</v>
      </c>
      <c r="F1025">
        <v>1.403080691364119E-5</v>
      </c>
      <c r="G1025">
        <v>9.3990667313630799E-7</v>
      </c>
      <c r="H1025" t="b">
        <v>0</v>
      </c>
    </row>
    <row r="1026" spans="1:8" x14ac:dyDescent="0.15">
      <c r="A1026">
        <v>130</v>
      </c>
      <c r="B1026">
        <v>10</v>
      </c>
      <c r="C1026">
        <v>4341699.21875</v>
      </c>
      <c r="D1026">
        <v>-5190288.3491545003</v>
      </c>
      <c r="E1026">
        <v>1.396144589914064E-5</v>
      </c>
      <c r="F1026">
        <v>1.403080691364119E-5</v>
      </c>
      <c r="G1026">
        <v>-6.936101450054645E-8</v>
      </c>
      <c r="H1026" t="b">
        <v>1</v>
      </c>
    </row>
    <row r="1027" spans="1:8" x14ac:dyDescent="0.15">
      <c r="A1027">
        <v>130</v>
      </c>
      <c r="B1027">
        <v>11</v>
      </c>
      <c r="C1027">
        <v>4347509.765625</v>
      </c>
      <c r="D1027">
        <v>34413359.388596803</v>
      </c>
      <c r="E1027">
        <v>1.445792054091455E-5</v>
      </c>
      <c r="F1027">
        <v>1.403080691364119E-5</v>
      </c>
      <c r="G1027">
        <v>4.2711362727336299E-7</v>
      </c>
      <c r="H1027" t="b">
        <v>0</v>
      </c>
    </row>
    <row r="1028" spans="1:8" x14ac:dyDescent="0.15">
      <c r="A1028">
        <v>130</v>
      </c>
      <c r="B1028">
        <v>12</v>
      </c>
      <c r="C1028">
        <v>4344604.4921875</v>
      </c>
      <c r="D1028">
        <v>13740440.739616901</v>
      </c>
      <c r="E1028">
        <v>1.420767048722362E-5</v>
      </c>
      <c r="F1028">
        <v>1.403080691364119E-5</v>
      </c>
      <c r="G1028">
        <v>1.7686357358243661E-7</v>
      </c>
      <c r="H1028" t="b">
        <v>0</v>
      </c>
    </row>
    <row r="1029" spans="1:8" x14ac:dyDescent="0.15">
      <c r="A1029">
        <v>130</v>
      </c>
      <c r="B1029">
        <v>13</v>
      </c>
      <c r="C1029">
        <v>4343151.85546875</v>
      </c>
      <c r="D1029">
        <v>4060770.3830862381</v>
      </c>
      <c r="E1029">
        <v>1.408405812194279E-5</v>
      </c>
      <c r="F1029">
        <v>1.403080691364119E-5</v>
      </c>
      <c r="G1029">
        <v>5.3251208301608122E-8</v>
      </c>
      <c r="H1029" t="b">
        <v>0</v>
      </c>
    </row>
    <row r="1030" spans="1:8" x14ac:dyDescent="0.15">
      <c r="A1030">
        <v>130</v>
      </c>
      <c r="B1030">
        <v>14</v>
      </c>
      <c r="C1030">
        <v>4343651.85546875</v>
      </c>
      <c r="D1030">
        <v>7343849.4504083376</v>
      </c>
      <c r="E1030">
        <v>1.412649307944567E-5</v>
      </c>
      <c r="F1030">
        <v>1.403080691364119E-5</v>
      </c>
      <c r="G1030">
        <v>9.5686165804481708E-8</v>
      </c>
      <c r="H1030" t="b">
        <v>0</v>
      </c>
    </row>
    <row r="1031" spans="1:8" x14ac:dyDescent="0.15">
      <c r="A1031">
        <v>130</v>
      </c>
      <c r="B1031">
        <v>15</v>
      </c>
      <c r="C1031">
        <v>4343401.85546875</v>
      </c>
      <c r="D1031">
        <v>5695913.7903424539</v>
      </c>
      <c r="E1031">
        <v>1.410526037310376E-5</v>
      </c>
      <c r="F1031">
        <v>1.403080691364119E-5</v>
      </c>
      <c r="G1031">
        <v>7.4453459462568646E-8</v>
      </c>
      <c r="H1031" t="b">
        <v>0</v>
      </c>
    </row>
    <row r="1032" spans="1:8" x14ac:dyDescent="0.15">
      <c r="A1032">
        <v>130</v>
      </c>
      <c r="B1032">
        <v>16</v>
      </c>
      <c r="C1032">
        <v>4343101.85546875</v>
      </c>
      <c r="D1032">
        <v>3735265.9681765079</v>
      </c>
      <c r="E1032">
        <v>1.4079821224548989E-5</v>
      </c>
      <c r="F1032">
        <v>1.403080691364119E-5</v>
      </c>
      <c r="G1032">
        <v>4.9014310907804488E-8</v>
      </c>
      <c r="H1032" t="b">
        <v>0</v>
      </c>
    </row>
    <row r="1033" spans="1:8" x14ac:dyDescent="0.15">
      <c r="A1033">
        <v>130</v>
      </c>
      <c r="B1033">
        <v>17</v>
      </c>
      <c r="C1033">
        <v>4343251.85546875</v>
      </c>
      <c r="D1033">
        <v>4713365.7925587986</v>
      </c>
      <c r="E1033">
        <v>1.409253628826531E-5</v>
      </c>
      <c r="F1033">
        <v>1.403080691364119E-5</v>
      </c>
      <c r="G1033">
        <v>6.1729374624126714E-8</v>
      </c>
      <c r="H1033" t="b">
        <v>0</v>
      </c>
    </row>
    <row r="1034" spans="1:8" x14ac:dyDescent="0.15">
      <c r="A1034">
        <v>130</v>
      </c>
      <c r="B1034">
        <v>18</v>
      </c>
      <c r="C1034">
        <v>4343176.85546875</v>
      </c>
      <c r="D1034">
        <v>4223712.9640475987</v>
      </c>
      <c r="E1034">
        <v>1.4086177014581619E-5</v>
      </c>
      <c r="F1034">
        <v>1.403080691364119E-5</v>
      </c>
      <c r="G1034">
        <v>5.5370100940432608E-8</v>
      </c>
      <c r="H1034" t="b">
        <v>0</v>
      </c>
    </row>
    <row r="1035" spans="1:8" x14ac:dyDescent="0.15">
      <c r="A1035">
        <v>130</v>
      </c>
      <c r="B1035">
        <v>19</v>
      </c>
      <c r="C1035">
        <v>4343214.35546875</v>
      </c>
      <c r="D1035">
        <v>4468427.9905645587</v>
      </c>
      <c r="E1035">
        <v>1.4089356727916941E-5</v>
      </c>
      <c r="F1035">
        <v>1.403080691364119E-5</v>
      </c>
      <c r="G1035">
        <v>5.8549814275749053E-8</v>
      </c>
      <c r="H1035" t="b">
        <v>0</v>
      </c>
    </row>
    <row r="1036" spans="1:8" x14ac:dyDescent="0.15">
      <c r="A1036">
        <v>130</v>
      </c>
      <c r="B1036">
        <v>20</v>
      </c>
      <c r="C1036">
        <v>4343195.60546875</v>
      </c>
      <c r="D1036">
        <v>4346066.2670654077</v>
      </c>
      <c r="E1036">
        <v>1.408776719755435E-5</v>
      </c>
      <c r="F1036">
        <v>1.403080691364119E-5</v>
      </c>
      <c r="G1036">
        <v>5.6960283913167238E-8</v>
      </c>
      <c r="H1036" t="b">
        <v>0</v>
      </c>
    </row>
    <row r="1037" spans="1:8" x14ac:dyDescent="0.15">
      <c r="A1037">
        <v>131</v>
      </c>
      <c r="B1037">
        <v>1</v>
      </c>
      <c r="C1037">
        <v>6050000</v>
      </c>
      <c r="D1037">
        <v>2036879773948.6101</v>
      </c>
      <c r="E1037">
        <v>1.9715853927959048E-3</v>
      </c>
      <c r="F1037">
        <v>1.1264289915258879E-5</v>
      </c>
      <c r="G1037">
        <v>1.960321102880646E-3</v>
      </c>
      <c r="H1037" t="b">
        <v>0</v>
      </c>
    </row>
    <row r="1038" spans="1:8" x14ac:dyDescent="0.15">
      <c r="A1038">
        <v>131</v>
      </c>
      <c r="B1038">
        <v>2</v>
      </c>
      <c r="C1038">
        <v>3075000</v>
      </c>
      <c r="D1038">
        <v>-18680.488519489201</v>
      </c>
      <c r="E1038">
        <v>-6.6218815496048704E-6</v>
      </c>
      <c r="F1038">
        <v>1.1264289915258989E-5</v>
      </c>
      <c r="G1038">
        <v>-1.7886171464863861E-5</v>
      </c>
      <c r="H1038" t="b">
        <v>1</v>
      </c>
    </row>
    <row r="1039" spans="1:8" x14ac:dyDescent="0.15">
      <c r="A1039">
        <v>131</v>
      </c>
      <c r="B1039">
        <v>3</v>
      </c>
      <c r="C1039">
        <v>4562500</v>
      </c>
      <c r="D1039">
        <v>-2707955.932599585</v>
      </c>
      <c r="E1039">
        <v>4.5684857993536941E-6</v>
      </c>
      <c r="F1039">
        <v>1.1264289915258989E-5</v>
      </c>
      <c r="G1039">
        <v>-6.6958041159052954E-6</v>
      </c>
      <c r="H1039" t="b">
        <v>1</v>
      </c>
    </row>
    <row r="1040" spans="1:8" x14ac:dyDescent="0.15">
      <c r="A1040">
        <v>131</v>
      </c>
      <c r="B1040">
        <v>4</v>
      </c>
      <c r="C1040">
        <v>5306250</v>
      </c>
      <c r="D1040">
        <v>37430747389.752327</v>
      </c>
      <c r="E1040">
        <v>1.0230970027159979E-4</v>
      </c>
      <c r="F1040">
        <v>1.1264289915258989E-5</v>
      </c>
      <c r="G1040">
        <v>9.1045410356340765E-5</v>
      </c>
      <c r="H1040" t="b">
        <v>0</v>
      </c>
    </row>
    <row r="1041" spans="1:8" x14ac:dyDescent="0.15">
      <c r="A1041">
        <v>131</v>
      </c>
      <c r="B1041">
        <v>5</v>
      </c>
      <c r="C1041">
        <v>4934375</v>
      </c>
      <c r="D1041">
        <v>1039905104.870737</v>
      </c>
      <c r="E1041">
        <v>1.727340272933912E-5</v>
      </c>
      <c r="F1041">
        <v>1.1264289915258989E-5</v>
      </c>
      <c r="G1041">
        <v>6.0091128140801284E-6</v>
      </c>
      <c r="H1041" t="b">
        <v>0</v>
      </c>
    </row>
    <row r="1042" spans="1:8" x14ac:dyDescent="0.15">
      <c r="A1042">
        <v>131</v>
      </c>
      <c r="B1042">
        <v>6</v>
      </c>
      <c r="C1042">
        <v>4748437.5</v>
      </c>
      <c r="D1042">
        <v>-85350520.022382826</v>
      </c>
      <c r="E1042">
        <v>7.7478502746328647E-6</v>
      </c>
      <c r="F1042">
        <v>1.1264289915258989E-5</v>
      </c>
      <c r="G1042">
        <v>-3.5164396406261252E-6</v>
      </c>
      <c r="H1042" t="b">
        <v>1</v>
      </c>
    </row>
    <row r="1043" spans="1:8" x14ac:dyDescent="0.15">
      <c r="A1043">
        <v>131</v>
      </c>
      <c r="B1043">
        <v>7</v>
      </c>
      <c r="C1043">
        <v>4841406.25</v>
      </c>
      <c r="D1043">
        <v>-49556697.666677758</v>
      </c>
      <c r="E1043">
        <v>1.0641112891594869E-5</v>
      </c>
      <c r="F1043">
        <v>1.1264289915258989E-5</v>
      </c>
      <c r="G1043">
        <v>-6.2317702366411999E-7</v>
      </c>
      <c r="H1043" t="b">
        <v>1</v>
      </c>
    </row>
    <row r="1044" spans="1:8" x14ac:dyDescent="0.15">
      <c r="A1044">
        <v>131</v>
      </c>
      <c r="B1044">
        <v>8</v>
      </c>
      <c r="C1044">
        <v>4887890.625</v>
      </c>
      <c r="D1044">
        <v>306358850.12634683</v>
      </c>
      <c r="E1044">
        <v>1.3587011138912179E-5</v>
      </c>
      <c r="F1044">
        <v>1.1264289915258989E-5</v>
      </c>
      <c r="G1044">
        <v>2.3227212236531952E-6</v>
      </c>
      <c r="H1044" t="b">
        <v>0</v>
      </c>
    </row>
    <row r="1045" spans="1:8" x14ac:dyDescent="0.15">
      <c r="A1045">
        <v>131</v>
      </c>
      <c r="B1045">
        <v>9</v>
      </c>
      <c r="C1045">
        <v>4864648.4375</v>
      </c>
      <c r="D1045">
        <v>80415284.421400264</v>
      </c>
      <c r="E1045">
        <v>1.2030775686740239E-5</v>
      </c>
      <c r="F1045">
        <v>1.1264289915258989E-5</v>
      </c>
      <c r="G1045">
        <v>7.6648577148125145E-7</v>
      </c>
      <c r="H1045" t="b">
        <v>0</v>
      </c>
    </row>
    <row r="1046" spans="1:8" x14ac:dyDescent="0.15">
      <c r="A1046">
        <v>131</v>
      </c>
      <c r="B1046">
        <v>10</v>
      </c>
      <c r="C1046">
        <v>4853027.34375</v>
      </c>
      <c r="D1046">
        <v>4775025.4769885382</v>
      </c>
      <c r="E1046">
        <v>1.1316187254654529E-5</v>
      </c>
      <c r="F1046">
        <v>1.1264289915258989E-5</v>
      </c>
      <c r="G1046">
        <v>5.1897339395544968E-8</v>
      </c>
      <c r="H1046" t="b">
        <v>0</v>
      </c>
    </row>
    <row r="1047" spans="1:8" x14ac:dyDescent="0.15">
      <c r="A1047">
        <v>131</v>
      </c>
      <c r="B1047">
        <v>11</v>
      </c>
      <c r="C1047">
        <v>4858837.890625</v>
      </c>
      <c r="D1047">
        <v>39769939.902295686</v>
      </c>
      <c r="E1047">
        <v>1.1668411341693281E-5</v>
      </c>
      <c r="F1047">
        <v>1.1264289915258989E-5</v>
      </c>
      <c r="G1047">
        <v>4.0412142643428621E-7</v>
      </c>
      <c r="H1047" t="b">
        <v>0</v>
      </c>
    </row>
    <row r="1048" spans="1:8" x14ac:dyDescent="0.15">
      <c r="A1048">
        <v>131</v>
      </c>
      <c r="B1048">
        <v>12</v>
      </c>
      <c r="C1048">
        <v>4855932.6171875</v>
      </c>
      <c r="D1048">
        <v>21586798.016833249</v>
      </c>
      <c r="E1048">
        <v>1.1491048900488319E-5</v>
      </c>
      <c r="F1048">
        <v>1.1264289915258989E-5</v>
      </c>
      <c r="G1048">
        <v>2.2675898522932641E-7</v>
      </c>
      <c r="H1048" t="b">
        <v>0</v>
      </c>
    </row>
    <row r="1049" spans="1:8" x14ac:dyDescent="0.15">
      <c r="A1049">
        <v>131</v>
      </c>
      <c r="B1049">
        <v>13</v>
      </c>
      <c r="C1049">
        <v>4854479.98046875</v>
      </c>
      <c r="D1049">
        <v>13011978.064212659</v>
      </c>
      <c r="E1049">
        <v>1.1403307023504691E-5</v>
      </c>
      <c r="F1049">
        <v>1.1264289915258989E-5</v>
      </c>
      <c r="G1049">
        <v>1.3901710824569599E-7</v>
      </c>
      <c r="H1049" t="b">
        <v>0</v>
      </c>
    </row>
    <row r="1050" spans="1:8" x14ac:dyDescent="0.15">
      <c r="A1050">
        <v>131</v>
      </c>
      <c r="B1050">
        <v>14</v>
      </c>
      <c r="C1050">
        <v>4853279.98046875</v>
      </c>
      <c r="D1050">
        <v>6183517.4830851331</v>
      </c>
      <c r="E1050">
        <v>1.133129430904561E-5</v>
      </c>
      <c r="F1050">
        <v>1.1264289915258989E-5</v>
      </c>
      <c r="G1050">
        <v>6.7004393786620551E-8</v>
      </c>
      <c r="H1050" t="b">
        <v>0</v>
      </c>
    </row>
    <row r="1051" spans="1:8" x14ac:dyDescent="0.15">
      <c r="A1051">
        <v>131</v>
      </c>
      <c r="B1051">
        <v>15</v>
      </c>
      <c r="C1051">
        <v>4851839.98046875</v>
      </c>
      <c r="D1051">
        <v>-1710282.6712651399</v>
      </c>
      <c r="E1051">
        <v>1.124543627404737E-5</v>
      </c>
      <c r="F1051">
        <v>1.1264289915258989E-5</v>
      </c>
      <c r="G1051">
        <v>-1.885364121161743E-8</v>
      </c>
      <c r="H1051" t="b">
        <v>1</v>
      </c>
    </row>
    <row r="1052" spans="1:8" x14ac:dyDescent="0.15">
      <c r="A1052">
        <v>131</v>
      </c>
      <c r="B1052">
        <v>16</v>
      </c>
      <c r="C1052">
        <v>4852559.98046875</v>
      </c>
      <c r="D1052">
        <v>2195969.6313755182</v>
      </c>
      <c r="E1052">
        <v>1.1288289935817901E-5</v>
      </c>
      <c r="F1052">
        <v>1.1264289915258989E-5</v>
      </c>
      <c r="G1052">
        <v>2.4000020558907669E-8</v>
      </c>
      <c r="H1052" t="b">
        <v>0</v>
      </c>
    </row>
    <row r="1053" spans="1:8" x14ac:dyDescent="0.15">
      <c r="A1053">
        <v>131</v>
      </c>
      <c r="B1053">
        <v>17</v>
      </c>
      <c r="C1053">
        <v>4853423.98046875</v>
      </c>
      <c r="D1053">
        <v>6990855.2698339717</v>
      </c>
      <c r="E1053">
        <v>1.13399135186306E-5</v>
      </c>
      <c r="F1053">
        <v>1.1264289915258989E-5</v>
      </c>
      <c r="G1053">
        <v>7.5623603371608526E-8</v>
      </c>
      <c r="H1053" t="b">
        <v>0</v>
      </c>
    </row>
    <row r="1054" spans="1:8" x14ac:dyDescent="0.15">
      <c r="A1054">
        <v>131</v>
      </c>
      <c r="B1054">
        <v>18</v>
      </c>
      <c r="C1054">
        <v>4852991.98046875</v>
      </c>
      <c r="D1054">
        <v>4578732.8836962534</v>
      </c>
      <c r="E1054">
        <v>1.1314074753406539E-5</v>
      </c>
      <c r="F1054">
        <v>1.1264289915258989E-5</v>
      </c>
      <c r="G1054">
        <v>4.9784838147546562E-8</v>
      </c>
      <c r="H1054" t="b">
        <v>0</v>
      </c>
    </row>
    <row r="1055" spans="1:8" x14ac:dyDescent="0.15">
      <c r="A1055">
        <v>131</v>
      </c>
      <c r="B1055">
        <v>19</v>
      </c>
      <c r="C1055">
        <v>4853207.98046875</v>
      </c>
      <c r="D1055">
        <v>5781078.3824878577</v>
      </c>
      <c r="E1055">
        <v>1.132698698223647E-5</v>
      </c>
      <c r="F1055">
        <v>1.1264289915258989E-5</v>
      </c>
      <c r="G1055">
        <v>6.2697066977482371E-8</v>
      </c>
      <c r="H1055" t="b">
        <v>0</v>
      </c>
    </row>
    <row r="1056" spans="1:8" x14ac:dyDescent="0.15">
      <c r="A1056">
        <v>131</v>
      </c>
      <c r="B1056">
        <v>20</v>
      </c>
      <c r="C1056">
        <v>4853099.98046875</v>
      </c>
      <c r="D1056">
        <v>5178955.2546709832</v>
      </c>
      <c r="E1056">
        <v>1.132052883811886E-5</v>
      </c>
      <c r="F1056">
        <v>1.1264289915258989E-5</v>
      </c>
      <c r="G1056">
        <v>5.6238922859868818E-8</v>
      </c>
      <c r="H1056" t="b">
        <v>0</v>
      </c>
    </row>
    <row r="1057" spans="1:8" x14ac:dyDescent="0.15">
      <c r="A1057">
        <v>131</v>
      </c>
      <c r="B1057">
        <v>21</v>
      </c>
      <c r="C1057">
        <v>4852970.3804687504</v>
      </c>
      <c r="D1057">
        <v>4458837.1710419394</v>
      </c>
      <c r="E1057">
        <v>1.131278357130142E-5</v>
      </c>
      <c r="F1057">
        <v>1.1264289915258989E-5</v>
      </c>
      <c r="G1057">
        <v>4.8493656042425657E-8</v>
      </c>
      <c r="H1057" t="b">
        <v>0</v>
      </c>
    </row>
    <row r="1058" spans="1:8" x14ac:dyDescent="0.15">
      <c r="A1058">
        <v>131</v>
      </c>
      <c r="B1058">
        <v>22</v>
      </c>
      <c r="C1058">
        <v>4853035.1804687502</v>
      </c>
      <c r="D1058">
        <v>4818565.0919962134</v>
      </c>
      <c r="E1058">
        <v>1.1316655590398E-5</v>
      </c>
      <c r="F1058">
        <v>1.1264289915258989E-5</v>
      </c>
      <c r="G1058">
        <v>5.2365675139005538E-8</v>
      </c>
      <c r="H1058" t="b">
        <v>0</v>
      </c>
    </row>
    <row r="1059" spans="1:8" x14ac:dyDescent="0.15">
      <c r="A1059">
        <v>132</v>
      </c>
      <c r="B1059">
        <v>1</v>
      </c>
      <c r="C1059">
        <v>6050000</v>
      </c>
      <c r="D1059">
        <v>1328997670759.7051</v>
      </c>
      <c r="E1059">
        <v>1.39288115710264E-3</v>
      </c>
      <c r="F1059">
        <v>1.114651232335178E-5</v>
      </c>
      <c r="G1059">
        <v>1.381734644779288E-3</v>
      </c>
      <c r="H1059" t="b">
        <v>0</v>
      </c>
    </row>
    <row r="1060" spans="1:8" x14ac:dyDescent="0.15">
      <c r="A1060">
        <v>132</v>
      </c>
      <c r="B1060">
        <v>2</v>
      </c>
      <c r="C1060">
        <v>3075000</v>
      </c>
      <c r="D1060">
        <v>-17189.524482157201</v>
      </c>
      <c r="E1060">
        <v>-7.0336806834341209E-6</v>
      </c>
      <c r="F1060">
        <v>1.1146512323351711E-5</v>
      </c>
      <c r="G1060">
        <v>-1.8180193006785828E-5</v>
      </c>
      <c r="H1060" t="b">
        <v>1</v>
      </c>
    </row>
    <row r="1061" spans="1:8" x14ac:dyDescent="0.15">
      <c r="A1061">
        <v>132</v>
      </c>
      <c r="B1061">
        <v>3</v>
      </c>
      <c r="C1061">
        <v>4562500</v>
      </c>
      <c r="D1061">
        <v>-1141877.5003637669</v>
      </c>
      <c r="E1061">
        <v>3.6967194748091319E-6</v>
      </c>
      <c r="F1061">
        <v>1.1146512323351711E-5</v>
      </c>
      <c r="G1061">
        <v>-7.449792848542576E-6</v>
      </c>
      <c r="H1061" t="b">
        <v>1</v>
      </c>
    </row>
    <row r="1062" spans="1:8" x14ac:dyDescent="0.15">
      <c r="A1062">
        <v>132</v>
      </c>
      <c r="B1062">
        <v>4</v>
      </c>
      <c r="C1062">
        <v>5306250</v>
      </c>
      <c r="D1062">
        <v>21315244482.653271</v>
      </c>
      <c r="E1062">
        <v>7.0208618541017291E-5</v>
      </c>
      <c r="F1062">
        <v>1.1146512323351711E-5</v>
      </c>
      <c r="G1062">
        <v>5.9062106217665581E-5</v>
      </c>
      <c r="H1062" t="b">
        <v>0</v>
      </c>
    </row>
    <row r="1063" spans="1:8" x14ac:dyDescent="0.15">
      <c r="A1063">
        <v>132</v>
      </c>
      <c r="B1063">
        <v>5</v>
      </c>
      <c r="C1063">
        <v>4934375</v>
      </c>
      <c r="D1063">
        <v>47167438.201115519</v>
      </c>
      <c r="E1063">
        <v>1.1615527604132521E-5</v>
      </c>
      <c r="F1063">
        <v>1.1146512323351711E-5</v>
      </c>
      <c r="G1063">
        <v>4.6901528078080982E-7</v>
      </c>
      <c r="H1063" t="b">
        <v>0</v>
      </c>
    </row>
    <row r="1064" spans="1:8" x14ac:dyDescent="0.15">
      <c r="A1064">
        <v>132</v>
      </c>
      <c r="B1064">
        <v>6</v>
      </c>
      <c r="C1064">
        <v>4748437.5</v>
      </c>
      <c r="D1064">
        <v>-24908689.1204185</v>
      </c>
      <c r="E1064">
        <v>6.3058380225260777E-6</v>
      </c>
      <c r="F1064">
        <v>1.1146512323351711E-5</v>
      </c>
      <c r="G1064">
        <v>-4.8406743008256297E-6</v>
      </c>
      <c r="H1064" t="b">
        <v>1</v>
      </c>
    </row>
    <row r="1065" spans="1:8" x14ac:dyDescent="0.15">
      <c r="A1065">
        <v>132</v>
      </c>
      <c r="B1065">
        <v>7</v>
      </c>
      <c r="C1065">
        <v>4841406.25</v>
      </c>
      <c r="D1065">
        <v>-100118354.3624606</v>
      </c>
      <c r="E1065">
        <v>8.1206930357585454E-6</v>
      </c>
      <c r="F1065">
        <v>1.1146512323351711E-5</v>
      </c>
      <c r="G1065">
        <v>-3.025819287593162E-6</v>
      </c>
      <c r="H1065" t="b">
        <v>1</v>
      </c>
    </row>
    <row r="1066" spans="1:8" x14ac:dyDescent="0.15">
      <c r="A1066">
        <v>132</v>
      </c>
      <c r="B1066">
        <v>8</v>
      </c>
      <c r="C1066">
        <v>4887890.625</v>
      </c>
      <c r="D1066">
        <v>-105992264.3607287</v>
      </c>
      <c r="E1066">
        <v>9.184931501052083E-6</v>
      </c>
      <c r="F1066">
        <v>1.1146512323351711E-5</v>
      </c>
      <c r="G1066">
        <v>-1.961580822299624E-6</v>
      </c>
      <c r="H1066" t="b">
        <v>1</v>
      </c>
    </row>
    <row r="1067" spans="1:8" x14ac:dyDescent="0.15">
      <c r="A1067">
        <v>132</v>
      </c>
      <c r="B1067">
        <v>9</v>
      </c>
      <c r="C1067">
        <v>4911132.8125</v>
      </c>
      <c r="D1067">
        <v>-64589331.682248972</v>
      </c>
      <c r="E1067">
        <v>1.029267961243134E-5</v>
      </c>
      <c r="F1067">
        <v>1.1146512323351711E-5</v>
      </c>
      <c r="G1067">
        <v>-8.5383271092037123E-7</v>
      </c>
      <c r="H1067" t="b">
        <v>1</v>
      </c>
    </row>
    <row r="1068" spans="1:8" x14ac:dyDescent="0.15">
      <c r="A1068">
        <v>132</v>
      </c>
      <c r="B1068">
        <v>10</v>
      </c>
      <c r="C1068">
        <v>4922753.90625</v>
      </c>
      <c r="D1068">
        <v>-18540253.52547586</v>
      </c>
      <c r="E1068">
        <v>1.093557623115673E-5</v>
      </c>
      <c r="F1068">
        <v>1.1146512323351711E-5</v>
      </c>
      <c r="G1068">
        <v>-2.1093609219497769E-7</v>
      </c>
      <c r="H1068" t="b">
        <v>1</v>
      </c>
    </row>
    <row r="1069" spans="1:8" x14ac:dyDescent="0.15">
      <c r="A1069">
        <v>132</v>
      </c>
      <c r="B1069">
        <v>11</v>
      </c>
      <c r="C1069">
        <v>4928564.453125</v>
      </c>
      <c r="D1069">
        <v>11705452.66167007</v>
      </c>
      <c r="E1069">
        <v>1.127080054695795E-5</v>
      </c>
      <c r="F1069">
        <v>1.1146512323351711E-5</v>
      </c>
      <c r="G1069">
        <v>1.2428822360623921E-7</v>
      </c>
      <c r="H1069" t="b">
        <v>0</v>
      </c>
    </row>
    <row r="1070" spans="1:8" x14ac:dyDescent="0.15">
      <c r="A1070">
        <v>132</v>
      </c>
      <c r="B1070">
        <v>12</v>
      </c>
      <c r="C1070">
        <v>4925659.1796875</v>
      </c>
      <c r="D1070">
        <v>-4050315.2688798462</v>
      </c>
      <c r="E1070">
        <v>1.110201535691856E-5</v>
      </c>
      <c r="F1070">
        <v>1.1146512323351711E-5</v>
      </c>
      <c r="G1070">
        <v>-4.449696643314254E-8</v>
      </c>
      <c r="H1070" t="b">
        <v>1</v>
      </c>
    </row>
    <row r="1071" spans="1:8" x14ac:dyDescent="0.15">
      <c r="A1071">
        <v>132</v>
      </c>
      <c r="B1071">
        <v>13</v>
      </c>
      <c r="C1071">
        <v>4927111.81640625</v>
      </c>
      <c r="D1071">
        <v>3666942.927839193</v>
      </c>
      <c r="E1071">
        <v>1.1186112572032429E-5</v>
      </c>
      <c r="F1071">
        <v>1.1146512323351711E-5</v>
      </c>
      <c r="G1071">
        <v>3.9600248680723597E-8</v>
      </c>
      <c r="H1071" t="b">
        <v>0</v>
      </c>
    </row>
    <row r="1072" spans="1:8" x14ac:dyDescent="0.15">
      <c r="A1072">
        <v>132</v>
      </c>
      <c r="B1072">
        <v>14</v>
      </c>
      <c r="C1072">
        <v>4927611.81640625</v>
      </c>
      <c r="D1072">
        <v>6397358.8370768456</v>
      </c>
      <c r="E1072">
        <v>1.1215195942875989E-5</v>
      </c>
      <c r="F1072">
        <v>1.1146512323351711E-5</v>
      </c>
      <c r="G1072">
        <v>6.868361952428698E-8</v>
      </c>
      <c r="H1072" t="b">
        <v>0</v>
      </c>
    </row>
    <row r="1073" spans="1:8" x14ac:dyDescent="0.15">
      <c r="A1073">
        <v>132</v>
      </c>
      <c r="B1073">
        <v>15</v>
      </c>
      <c r="C1073">
        <v>4927361.81640625</v>
      </c>
      <c r="D1073">
        <v>5027411.883465549</v>
      </c>
      <c r="E1073">
        <v>1.120064582722215E-5</v>
      </c>
      <c r="F1073">
        <v>1.1146512323351711E-5</v>
      </c>
      <c r="G1073">
        <v>5.4133503870440832E-8</v>
      </c>
      <c r="H1073" t="b">
        <v>0</v>
      </c>
    </row>
    <row r="1074" spans="1:8" x14ac:dyDescent="0.15">
      <c r="A1074">
        <v>132</v>
      </c>
      <c r="B1074">
        <v>16</v>
      </c>
      <c r="C1074">
        <v>4927061.81640625</v>
      </c>
      <c r="D1074">
        <v>3396003.4906475772</v>
      </c>
      <c r="E1074">
        <v>1.118320814682978E-5</v>
      </c>
      <c r="F1074">
        <v>1.1146512323351711E-5</v>
      </c>
      <c r="G1074">
        <v>3.6695823478071113E-8</v>
      </c>
      <c r="H1074" t="b">
        <v>0</v>
      </c>
    </row>
    <row r="1075" spans="1:8" x14ac:dyDescent="0.15">
      <c r="A1075">
        <v>132</v>
      </c>
      <c r="B1075">
        <v>17</v>
      </c>
      <c r="C1075">
        <v>4927211.81640625</v>
      </c>
      <c r="D1075">
        <v>4210023.2827770198</v>
      </c>
      <c r="E1075">
        <v>1.1191924158220711E-5</v>
      </c>
      <c r="F1075">
        <v>1.1146512323351711E-5</v>
      </c>
      <c r="G1075">
        <v>4.5411834869003251E-8</v>
      </c>
      <c r="H1075" t="b">
        <v>0</v>
      </c>
    </row>
    <row r="1076" spans="1:8" x14ac:dyDescent="0.15">
      <c r="A1076">
        <v>132</v>
      </c>
      <c r="B1076">
        <v>18</v>
      </c>
      <c r="C1076">
        <v>4927391.81640625</v>
      </c>
      <c r="D1076">
        <v>5191241.4369518692</v>
      </c>
      <c r="E1076">
        <v>1.12023902779497E-5</v>
      </c>
      <c r="F1076">
        <v>1.1146512323351711E-5</v>
      </c>
      <c r="G1076">
        <v>5.5877954597994287E-8</v>
      </c>
      <c r="H1076" t="b">
        <v>0</v>
      </c>
    </row>
    <row r="1077" spans="1:8" x14ac:dyDescent="0.15">
      <c r="A1077">
        <v>132</v>
      </c>
      <c r="B1077">
        <v>19</v>
      </c>
      <c r="C1077">
        <v>4927301.81640625</v>
      </c>
      <c r="D1077">
        <v>4700044.7166585382</v>
      </c>
      <c r="E1077">
        <v>1.1197156403931781E-5</v>
      </c>
      <c r="F1077">
        <v>1.1146512323351711E-5</v>
      </c>
      <c r="G1077">
        <v>5.0644080580073367E-8</v>
      </c>
      <c r="H1077" t="b">
        <v>0</v>
      </c>
    </row>
    <row r="1078" spans="1:8" x14ac:dyDescent="0.15">
      <c r="A1078">
        <v>132</v>
      </c>
      <c r="B1078">
        <v>20</v>
      </c>
      <c r="C1078">
        <v>4927346.81640625</v>
      </c>
      <c r="D1078">
        <v>4945518.6022961531</v>
      </c>
      <c r="E1078">
        <v>1.1199773376919701E-5</v>
      </c>
      <c r="F1078">
        <v>1.1146512323351711E-5</v>
      </c>
      <c r="G1078">
        <v>5.3261053567994933E-8</v>
      </c>
      <c r="H1078" t="b">
        <v>0</v>
      </c>
    </row>
    <row r="1079" spans="1:8" x14ac:dyDescent="0.15">
      <c r="A1079">
        <v>133</v>
      </c>
      <c r="B1079">
        <v>1</v>
      </c>
      <c r="C1079">
        <v>6050000</v>
      </c>
      <c r="D1079">
        <v>830545441086.16235</v>
      </c>
      <c r="E1079">
        <v>9.3032525079735258E-4</v>
      </c>
      <c r="F1079">
        <v>1.0804787528474179E-5</v>
      </c>
      <c r="G1079">
        <v>9.195204632688784E-4</v>
      </c>
      <c r="H1079" t="b">
        <v>0</v>
      </c>
    </row>
    <row r="1080" spans="1:8" x14ac:dyDescent="0.15">
      <c r="A1080">
        <v>133</v>
      </c>
      <c r="B1080">
        <v>2</v>
      </c>
      <c r="C1080">
        <v>3075000</v>
      </c>
      <c r="D1080">
        <v>-15701.93605833014</v>
      </c>
      <c r="E1080">
        <v>-7.402580790504963E-6</v>
      </c>
      <c r="F1080">
        <v>1.0804787528474189E-5</v>
      </c>
      <c r="G1080">
        <v>-1.8207368318979151E-5</v>
      </c>
      <c r="H1080" t="b">
        <v>1</v>
      </c>
    </row>
    <row r="1081" spans="1:8" x14ac:dyDescent="0.15">
      <c r="A1081">
        <v>133</v>
      </c>
      <c r="B1081">
        <v>3</v>
      </c>
      <c r="C1081">
        <v>4562500</v>
      </c>
      <c r="D1081">
        <v>-622812.21131748077</v>
      </c>
      <c r="E1081">
        <v>2.890780220675129E-6</v>
      </c>
      <c r="F1081">
        <v>1.0804787528474189E-5</v>
      </c>
      <c r="G1081">
        <v>-7.9140073077990624E-6</v>
      </c>
      <c r="H1081" t="b">
        <v>1</v>
      </c>
    </row>
    <row r="1082" spans="1:8" x14ac:dyDescent="0.15">
      <c r="A1082">
        <v>133</v>
      </c>
      <c r="B1082">
        <v>4</v>
      </c>
      <c r="C1082">
        <v>5306250</v>
      </c>
      <c r="D1082">
        <v>10952188781.4821</v>
      </c>
      <c r="E1082">
        <v>4.5474490476351759E-5</v>
      </c>
      <c r="F1082">
        <v>1.0804787528474189E-5</v>
      </c>
      <c r="G1082">
        <v>3.4669702947877569E-5</v>
      </c>
      <c r="H1082" t="b">
        <v>0</v>
      </c>
    </row>
    <row r="1083" spans="1:8" x14ac:dyDescent="0.15">
      <c r="A1083">
        <v>133</v>
      </c>
      <c r="B1083">
        <v>5</v>
      </c>
      <c r="C1083">
        <v>4934375</v>
      </c>
      <c r="D1083">
        <v>-105421863.98060951</v>
      </c>
      <c r="E1083">
        <v>8.1980812486541704E-6</v>
      </c>
      <c r="F1083">
        <v>1.0804787528474189E-5</v>
      </c>
      <c r="G1083">
        <v>-2.606706279820021E-6</v>
      </c>
      <c r="H1083" t="b">
        <v>1</v>
      </c>
    </row>
    <row r="1084" spans="1:8" x14ac:dyDescent="0.15">
      <c r="A1084">
        <v>133</v>
      </c>
      <c r="B1084">
        <v>6</v>
      </c>
      <c r="C1084">
        <v>5120312.5</v>
      </c>
      <c r="D1084">
        <v>1602702366.258718</v>
      </c>
      <c r="E1084">
        <v>1.887861001028611E-5</v>
      </c>
      <c r="F1084">
        <v>1.0804787528474189E-5</v>
      </c>
      <c r="G1084">
        <v>8.0738224818119194E-6</v>
      </c>
      <c r="H1084" t="b">
        <v>0</v>
      </c>
    </row>
    <row r="1085" spans="1:8" x14ac:dyDescent="0.15">
      <c r="A1085">
        <v>133</v>
      </c>
      <c r="B1085">
        <v>7</v>
      </c>
      <c r="C1085">
        <v>5027343.75</v>
      </c>
      <c r="D1085">
        <v>125294347.1069281</v>
      </c>
      <c r="E1085">
        <v>1.188960382778812E-5</v>
      </c>
      <c r="F1085">
        <v>1.0804787528474189E-5</v>
      </c>
      <c r="G1085">
        <v>1.084816299313926E-6</v>
      </c>
      <c r="H1085" t="b">
        <v>0</v>
      </c>
    </row>
    <row r="1086" spans="1:8" x14ac:dyDescent="0.15">
      <c r="A1086">
        <v>133</v>
      </c>
      <c r="B1086">
        <v>8</v>
      </c>
      <c r="C1086">
        <v>4980859.375</v>
      </c>
      <c r="D1086">
        <v>-92929874.364874035</v>
      </c>
      <c r="E1086">
        <v>9.3781679235012682E-6</v>
      </c>
      <c r="F1086">
        <v>1.0804787528474189E-5</v>
      </c>
      <c r="G1086">
        <v>-1.426619604972923E-6</v>
      </c>
      <c r="H1086" t="b">
        <v>1</v>
      </c>
    </row>
    <row r="1087" spans="1:8" x14ac:dyDescent="0.15">
      <c r="A1087">
        <v>133</v>
      </c>
      <c r="B1087">
        <v>9</v>
      </c>
      <c r="C1087">
        <v>5004101.5625</v>
      </c>
      <c r="D1087">
        <v>-21453244.770533148</v>
      </c>
      <c r="E1087">
        <v>1.0564960108079431E-5</v>
      </c>
      <c r="F1087">
        <v>1.0804787528474189E-5</v>
      </c>
      <c r="G1087">
        <v>-2.3982742039475691E-7</v>
      </c>
      <c r="H1087" t="b">
        <v>1</v>
      </c>
    </row>
    <row r="1088" spans="1:8" x14ac:dyDescent="0.15">
      <c r="A1088">
        <v>133</v>
      </c>
      <c r="B1088">
        <v>10</v>
      </c>
      <c r="C1088">
        <v>5015722.65625</v>
      </c>
      <c r="D1088">
        <v>41359110.50450784</v>
      </c>
      <c r="E1088">
        <v>1.120918581088119E-5</v>
      </c>
      <c r="F1088">
        <v>1.0804787528474189E-5</v>
      </c>
      <c r="G1088">
        <v>4.043982824070004E-7</v>
      </c>
      <c r="H1088" t="b">
        <v>0</v>
      </c>
    </row>
    <row r="1089" spans="1:8" x14ac:dyDescent="0.15">
      <c r="A1089">
        <v>133</v>
      </c>
      <c r="B1089">
        <v>11</v>
      </c>
      <c r="C1089">
        <v>5009912.109375</v>
      </c>
      <c r="D1089">
        <v>7460683.0186631121</v>
      </c>
      <c r="E1089">
        <v>1.0882656338149361E-5</v>
      </c>
      <c r="F1089">
        <v>1.0804787528474189E-5</v>
      </c>
      <c r="G1089">
        <v>7.7868809675171196E-8</v>
      </c>
      <c r="H1089" t="b">
        <v>0</v>
      </c>
    </row>
    <row r="1090" spans="1:8" x14ac:dyDescent="0.15">
      <c r="A1090">
        <v>133</v>
      </c>
      <c r="B1090">
        <v>12</v>
      </c>
      <c r="C1090">
        <v>5007006.8359375</v>
      </c>
      <c r="D1090">
        <v>-7601120.7929597003</v>
      </c>
      <c r="E1090">
        <v>1.072271854057194E-5</v>
      </c>
      <c r="F1090">
        <v>1.0804787528474189E-5</v>
      </c>
      <c r="G1090">
        <v>-8.2068987902249196E-8</v>
      </c>
      <c r="H1090" t="b">
        <v>1</v>
      </c>
    </row>
    <row r="1091" spans="1:8" x14ac:dyDescent="0.15">
      <c r="A1091">
        <v>133</v>
      </c>
      <c r="B1091">
        <v>13</v>
      </c>
      <c r="C1091">
        <v>5008459.47265625</v>
      </c>
      <c r="D1091">
        <v>-223722.78468194319</v>
      </c>
      <c r="E1091">
        <v>1.080241284228151E-5</v>
      </c>
      <c r="F1091">
        <v>1.0804787528474189E-5</v>
      </c>
      <c r="G1091">
        <v>-2.3746861926839471E-9</v>
      </c>
      <c r="H1091" t="b">
        <v>1</v>
      </c>
    </row>
    <row r="1092" spans="1:8" x14ac:dyDescent="0.15">
      <c r="A1092">
        <v>133</v>
      </c>
      <c r="B1092">
        <v>14</v>
      </c>
      <c r="C1092">
        <v>5008959.47265625</v>
      </c>
      <c r="D1092">
        <v>2386448.5334894001</v>
      </c>
      <c r="E1092">
        <v>1.0829971314065309E-5</v>
      </c>
      <c r="F1092">
        <v>1.0804787528474189E-5</v>
      </c>
      <c r="G1092">
        <v>2.518378559112157E-8</v>
      </c>
      <c r="H1092" t="b">
        <v>0</v>
      </c>
    </row>
    <row r="1093" spans="1:8" x14ac:dyDescent="0.15">
      <c r="A1093">
        <v>133</v>
      </c>
      <c r="B1093">
        <v>15</v>
      </c>
      <c r="C1093">
        <v>5009559.47265625</v>
      </c>
      <c r="D1093">
        <v>5566788.2336500976</v>
      </c>
      <c r="E1093">
        <v>1.086312611557935E-5</v>
      </c>
      <c r="F1093">
        <v>1.0804787528474189E-5</v>
      </c>
      <c r="G1093">
        <v>5.8338587105161087E-8</v>
      </c>
      <c r="H1093" t="b">
        <v>0</v>
      </c>
    </row>
    <row r="1094" spans="1:8" x14ac:dyDescent="0.15">
      <c r="A1094">
        <v>133</v>
      </c>
      <c r="B1094">
        <v>16</v>
      </c>
      <c r="C1094">
        <v>5009259.47265625</v>
      </c>
      <c r="D1094">
        <v>3970049.1168692941</v>
      </c>
      <c r="E1094">
        <v>1.084653728432452E-5</v>
      </c>
      <c r="F1094">
        <v>1.0804787528474189E-5</v>
      </c>
      <c r="G1094">
        <v>4.1749755850333958E-8</v>
      </c>
      <c r="H1094" t="b">
        <v>0</v>
      </c>
    </row>
    <row r="1095" spans="1:8" x14ac:dyDescent="0.15">
      <c r="A1095">
        <v>133</v>
      </c>
      <c r="B1095">
        <v>17</v>
      </c>
      <c r="C1095">
        <v>5009409.47265625</v>
      </c>
      <c r="D1095">
        <v>4766796.2366507584</v>
      </c>
      <c r="E1095">
        <v>1.0854829072125741E-5</v>
      </c>
      <c r="F1095">
        <v>1.0804787528474189E-5</v>
      </c>
      <c r="G1095">
        <v>5.0041543651547883E-8</v>
      </c>
      <c r="H1095" t="b">
        <v>0</v>
      </c>
    </row>
    <row r="1096" spans="1:8" x14ac:dyDescent="0.15">
      <c r="A1096">
        <v>133</v>
      </c>
      <c r="B1096">
        <v>18</v>
      </c>
      <c r="C1096">
        <v>5009589.47265625</v>
      </c>
      <c r="D1096">
        <v>5727195.5040430734</v>
      </c>
      <c r="E1096">
        <v>1.086478635289523E-5</v>
      </c>
      <c r="F1096">
        <v>1.0804787528474189E-5</v>
      </c>
      <c r="G1096">
        <v>5.9998824421042532E-8</v>
      </c>
      <c r="H1096" t="b">
        <v>0</v>
      </c>
    </row>
    <row r="1097" spans="1:8" x14ac:dyDescent="0.15">
      <c r="A1097">
        <v>133</v>
      </c>
      <c r="B1097">
        <v>19</v>
      </c>
      <c r="C1097">
        <v>5009499.47265625</v>
      </c>
      <c r="D1097">
        <v>5246370.800032842</v>
      </c>
      <c r="E1097">
        <v>1.085980634619919E-5</v>
      </c>
      <c r="F1097">
        <v>1.0804787528474189E-5</v>
      </c>
      <c r="G1097">
        <v>5.501881772500035E-8</v>
      </c>
      <c r="H1097" t="b">
        <v>0</v>
      </c>
    </row>
    <row r="1098" spans="1:8" x14ac:dyDescent="0.15">
      <c r="A1098">
        <v>133</v>
      </c>
      <c r="B1098">
        <v>20</v>
      </c>
      <c r="C1098">
        <v>5009391.47265625</v>
      </c>
      <c r="D1098">
        <v>4671012.200438858</v>
      </c>
      <c r="E1098">
        <v>1.085383374754227E-5</v>
      </c>
      <c r="F1098">
        <v>1.0804787528474189E-5</v>
      </c>
      <c r="G1098">
        <v>4.9046219068076807E-8</v>
      </c>
      <c r="H1098" t="b">
        <v>0</v>
      </c>
    </row>
    <row r="1099" spans="1:8" x14ac:dyDescent="0.15">
      <c r="A1099">
        <v>133</v>
      </c>
      <c r="B1099">
        <v>21</v>
      </c>
      <c r="C1099">
        <v>5009445.47265625</v>
      </c>
      <c r="D1099">
        <v>4958507.0744832717</v>
      </c>
      <c r="E1099">
        <v>1.085681997503602E-5</v>
      </c>
      <c r="F1099">
        <v>1.0804787528474189E-5</v>
      </c>
      <c r="G1099">
        <v>5.2032446561830868E-8</v>
      </c>
      <c r="H1099" t="b">
        <v>0</v>
      </c>
    </row>
    <row r="1100" spans="1:8" x14ac:dyDescent="0.15">
      <c r="A1100">
        <v>133</v>
      </c>
      <c r="B1100">
        <v>22</v>
      </c>
      <c r="C1100">
        <v>5009510.2726562498</v>
      </c>
      <c r="D1100">
        <v>5304006.8731492711</v>
      </c>
      <c r="E1100">
        <v>1.0860403835298841E-5</v>
      </c>
      <c r="F1100">
        <v>1.0804787528474189E-5</v>
      </c>
      <c r="G1100">
        <v>5.5616306824649689E-8</v>
      </c>
      <c r="H1100" t="b">
        <v>0</v>
      </c>
    </row>
    <row r="1101" spans="1:8" x14ac:dyDescent="0.15">
      <c r="A1101">
        <v>133</v>
      </c>
      <c r="B1101">
        <v>23</v>
      </c>
      <c r="C1101">
        <v>5009477.8726562494</v>
      </c>
      <c r="D1101">
        <v>5131209.6283910153</v>
      </c>
      <c r="E1101">
        <v>1.085861207695843E-5</v>
      </c>
      <c r="F1101">
        <v>1.0804787528474189E-5</v>
      </c>
      <c r="G1101">
        <v>5.382454848424357E-8</v>
      </c>
      <c r="H1101" t="b">
        <v>0</v>
      </c>
    </row>
    <row r="1102" spans="1:8" x14ac:dyDescent="0.15">
      <c r="A1102">
        <v>133</v>
      </c>
      <c r="B1102">
        <v>24</v>
      </c>
      <c r="C1102">
        <v>5009438.9926562496</v>
      </c>
      <c r="D1102">
        <v>4923985.0733096804</v>
      </c>
      <c r="E1102">
        <v>1.08564615875421E-5</v>
      </c>
      <c r="F1102">
        <v>1.0804787528474189E-5</v>
      </c>
      <c r="G1102">
        <v>5.1674059067912447E-8</v>
      </c>
      <c r="H1102" t="b">
        <v>0</v>
      </c>
    </row>
    <row r="1103" spans="1:8" x14ac:dyDescent="0.15">
      <c r="A1103">
        <v>133</v>
      </c>
      <c r="B1103">
        <v>25</v>
      </c>
      <c r="C1103">
        <v>5009458.43265625</v>
      </c>
      <c r="D1103">
        <v>5027569.5852272213</v>
      </c>
      <c r="E1103">
        <v>1.0857536782913491E-5</v>
      </c>
      <c r="F1103">
        <v>1.0804787528474189E-5</v>
      </c>
      <c r="G1103">
        <v>5.2749254439303142E-8</v>
      </c>
      <c r="H1103" t="b">
        <v>0</v>
      </c>
    </row>
    <row r="1104" spans="1:8" x14ac:dyDescent="0.15">
      <c r="A1104">
        <v>134</v>
      </c>
      <c r="B1104">
        <v>1</v>
      </c>
      <c r="C1104">
        <v>6050000</v>
      </c>
      <c r="D1104">
        <v>302525591394.58069</v>
      </c>
      <c r="E1104">
        <v>9.890727347552585E-4</v>
      </c>
      <c r="F1104">
        <v>1.8175884064821828E-5</v>
      </c>
      <c r="G1104">
        <v>9.7089685069043667E-4</v>
      </c>
      <c r="H1104" t="b">
        <v>0</v>
      </c>
    </row>
    <row r="1105" spans="1:8" x14ac:dyDescent="0.15">
      <c r="A1105">
        <v>134</v>
      </c>
      <c r="B1105">
        <v>2</v>
      </c>
      <c r="C1105">
        <v>3075000</v>
      </c>
      <c r="D1105">
        <v>41284895.217774034</v>
      </c>
      <c r="E1105">
        <v>1.913457834476151E-5</v>
      </c>
      <c r="F1105">
        <v>1.8175884064821801E-5</v>
      </c>
      <c r="G1105">
        <v>9.5869427993970844E-7</v>
      </c>
      <c r="H1105" t="b">
        <v>0</v>
      </c>
    </row>
    <row r="1106" spans="1:8" x14ac:dyDescent="0.15">
      <c r="A1106">
        <v>134</v>
      </c>
      <c r="B1106">
        <v>3</v>
      </c>
      <c r="C1106">
        <v>1587500</v>
      </c>
      <c r="D1106">
        <v>-118044.9039820562</v>
      </c>
      <c r="E1106">
        <v>-3.2781537947472741E-8</v>
      </c>
      <c r="F1106">
        <v>1.8175884064821801E-5</v>
      </c>
      <c r="G1106">
        <v>-1.820866560276927E-5</v>
      </c>
      <c r="H1106" t="b">
        <v>1</v>
      </c>
    </row>
    <row r="1107" spans="1:8" x14ac:dyDescent="0.15">
      <c r="A1107">
        <v>134</v>
      </c>
      <c r="B1107">
        <v>4</v>
      </c>
      <c r="C1107">
        <v>2331250</v>
      </c>
      <c r="D1107">
        <v>-888884.99343325442</v>
      </c>
      <c r="E1107">
        <v>5.5851336570027661E-6</v>
      </c>
      <c r="F1107">
        <v>1.8175884064821801E-5</v>
      </c>
      <c r="G1107">
        <v>-1.259075040781903E-5</v>
      </c>
      <c r="H1107" t="b">
        <v>1</v>
      </c>
    </row>
    <row r="1108" spans="1:8" x14ac:dyDescent="0.15">
      <c r="A1108">
        <v>134</v>
      </c>
      <c r="B1108">
        <v>5</v>
      </c>
      <c r="C1108">
        <v>2703125</v>
      </c>
      <c r="D1108">
        <v>-20527815.219930232</v>
      </c>
      <c r="E1108">
        <v>1.037650044801333E-5</v>
      </c>
      <c r="F1108">
        <v>1.8175884064821801E-5</v>
      </c>
      <c r="G1108">
        <v>-7.7993836168084693E-6</v>
      </c>
      <c r="H1108" t="b">
        <v>1</v>
      </c>
    </row>
    <row r="1109" spans="1:8" x14ac:dyDescent="0.15">
      <c r="A1109">
        <v>134</v>
      </c>
      <c r="B1109">
        <v>6</v>
      </c>
      <c r="C1109">
        <v>2889062.5</v>
      </c>
      <c r="D1109">
        <v>-72325659.559514806</v>
      </c>
      <c r="E1109">
        <v>1.345040396055803E-5</v>
      </c>
      <c r="F1109">
        <v>1.8175884064821801E-5</v>
      </c>
      <c r="G1109">
        <v>-4.7254801042637683E-6</v>
      </c>
      <c r="H1109" t="b">
        <v>1</v>
      </c>
    </row>
    <row r="1110" spans="1:8" x14ac:dyDescent="0.15">
      <c r="A1110">
        <v>134</v>
      </c>
      <c r="B1110">
        <v>7</v>
      </c>
      <c r="C1110">
        <v>2982031.25</v>
      </c>
      <c r="D1110">
        <v>-72079981.530213028</v>
      </c>
      <c r="E1110">
        <v>1.5152168538560751E-5</v>
      </c>
      <c r="F1110">
        <v>1.8175884064821801E-5</v>
      </c>
      <c r="G1110">
        <v>-3.0237155262610439E-6</v>
      </c>
      <c r="H1110" t="b">
        <v>1</v>
      </c>
    </row>
    <row r="1111" spans="1:8" x14ac:dyDescent="0.15">
      <c r="A1111">
        <v>134</v>
      </c>
      <c r="B1111">
        <v>8</v>
      </c>
      <c r="C1111">
        <v>3028515.625</v>
      </c>
      <c r="D1111">
        <v>-37351257.921277732</v>
      </c>
      <c r="E1111">
        <v>1.7050537410884898E-5</v>
      </c>
      <c r="F1111">
        <v>1.8175884064821801E-5</v>
      </c>
      <c r="G1111">
        <v>-1.1253466539368959E-6</v>
      </c>
      <c r="H1111" t="b">
        <v>1</v>
      </c>
    </row>
    <row r="1112" spans="1:8" x14ac:dyDescent="0.15">
      <c r="A1112">
        <v>134</v>
      </c>
      <c r="B1112">
        <v>9</v>
      </c>
      <c r="C1112">
        <v>3051757.8125</v>
      </c>
      <c r="D1112">
        <v>-4029023.3487358131</v>
      </c>
      <c r="E1112">
        <v>1.8070071320277912E-5</v>
      </c>
      <c r="F1112">
        <v>1.8175884064821801E-5</v>
      </c>
      <c r="G1112">
        <v>-1.058127445438862E-7</v>
      </c>
      <c r="H1112" t="b">
        <v>1</v>
      </c>
    </row>
    <row r="1113" spans="1:8" x14ac:dyDescent="0.15">
      <c r="A1113">
        <v>134</v>
      </c>
      <c r="B1113">
        <v>10</v>
      </c>
      <c r="C1113">
        <v>3063378.90625</v>
      </c>
      <c r="D1113">
        <v>17063898.679764509</v>
      </c>
      <c r="E1113">
        <v>1.8596608384430429E-5</v>
      </c>
      <c r="F1113">
        <v>1.8175884064821801E-5</v>
      </c>
      <c r="G1113">
        <v>4.207243196086312E-7</v>
      </c>
      <c r="H1113" t="b">
        <v>0</v>
      </c>
    </row>
    <row r="1114" spans="1:8" x14ac:dyDescent="0.15">
      <c r="A1114">
        <v>134</v>
      </c>
      <c r="B1114">
        <v>11</v>
      </c>
      <c r="C1114">
        <v>3057568.359375</v>
      </c>
      <c r="D1114">
        <v>6134535.1193688959</v>
      </c>
      <c r="E1114">
        <v>1.833192117795383E-5</v>
      </c>
      <c r="F1114">
        <v>1.8175884064821801E-5</v>
      </c>
      <c r="G1114">
        <v>1.5603711313203221E-7</v>
      </c>
      <c r="H1114" t="b">
        <v>0</v>
      </c>
    </row>
    <row r="1115" spans="1:8" x14ac:dyDescent="0.15">
      <c r="A1115">
        <v>134</v>
      </c>
      <c r="B1115">
        <v>12</v>
      </c>
      <c r="C1115">
        <v>3054663.0859375</v>
      </c>
      <c r="D1115">
        <v>958029.74504994869</v>
      </c>
      <c r="E1115">
        <v>1.8200642569059951E-5</v>
      </c>
      <c r="F1115">
        <v>1.8175884064821801E-5</v>
      </c>
      <c r="G1115">
        <v>2.475850423814966E-8</v>
      </c>
      <c r="H1115" t="b">
        <v>0</v>
      </c>
    </row>
    <row r="1116" spans="1:8" x14ac:dyDescent="0.15">
      <c r="A1116">
        <v>134</v>
      </c>
      <c r="B1116">
        <v>13</v>
      </c>
      <c r="C1116">
        <v>3056115.72265625</v>
      </c>
      <c r="D1116">
        <v>3522474.975628193</v>
      </c>
      <c r="E1116">
        <v>1.826619330650376E-5</v>
      </c>
      <c r="F1116">
        <v>1.8175884064821801E-5</v>
      </c>
      <c r="G1116">
        <v>9.0309241681962074E-8</v>
      </c>
      <c r="H1116" t="b">
        <v>0</v>
      </c>
    </row>
    <row r="1117" spans="1:8" x14ac:dyDescent="0.15">
      <c r="A1117">
        <v>134</v>
      </c>
      <c r="B1117">
        <v>14</v>
      </c>
      <c r="C1117">
        <v>3055615.72265625</v>
      </c>
      <c r="D1117">
        <v>2634366.7984529939</v>
      </c>
      <c r="E1117">
        <v>1.824360911093103E-5</v>
      </c>
      <c r="F1117">
        <v>1.8175884064821801E-5</v>
      </c>
      <c r="G1117">
        <v>6.7725046109232324E-8</v>
      </c>
      <c r="H1117" t="b">
        <v>0</v>
      </c>
    </row>
    <row r="1118" spans="1:8" x14ac:dyDescent="0.15">
      <c r="A1118">
        <v>134</v>
      </c>
      <c r="B1118">
        <v>15</v>
      </c>
      <c r="C1118">
        <v>3055865.72265625</v>
      </c>
      <c r="D1118">
        <v>3077685.8864233419</v>
      </c>
      <c r="E1118">
        <v>1.8254897812804101E-5</v>
      </c>
      <c r="F1118">
        <v>1.8175884064821801E-5</v>
      </c>
      <c r="G1118">
        <v>7.9013747982299454E-8</v>
      </c>
      <c r="H1118" t="b">
        <v>0</v>
      </c>
    </row>
    <row r="1119" spans="1:8" x14ac:dyDescent="0.15">
      <c r="A1119">
        <v>135</v>
      </c>
      <c r="B1119">
        <v>1</v>
      </c>
      <c r="C1119">
        <v>6050000</v>
      </c>
      <c r="D1119">
        <v>204741728311.46021</v>
      </c>
      <c r="E1119">
        <v>7.182423663553135E-4</v>
      </c>
      <c r="F1119">
        <v>1.781135490909035E-5</v>
      </c>
      <c r="G1119">
        <v>7.0043101144622315E-4</v>
      </c>
      <c r="H1119" t="b">
        <v>0</v>
      </c>
    </row>
    <row r="1120" spans="1:8" x14ac:dyDescent="0.15">
      <c r="A1120">
        <v>135</v>
      </c>
      <c r="B1120">
        <v>2</v>
      </c>
      <c r="C1120">
        <v>3075000</v>
      </c>
      <c r="D1120">
        <v>-74296269.283227563</v>
      </c>
      <c r="E1120">
        <v>1.3573240902879349E-5</v>
      </c>
      <c r="F1120">
        <v>1.7811354909090319E-5</v>
      </c>
      <c r="G1120">
        <v>-4.2381140062109734E-6</v>
      </c>
      <c r="H1120" t="b">
        <v>1</v>
      </c>
    </row>
    <row r="1121" spans="1:8" x14ac:dyDescent="0.15">
      <c r="A1121">
        <v>135</v>
      </c>
      <c r="B1121">
        <v>3</v>
      </c>
      <c r="C1121">
        <v>4562500</v>
      </c>
      <c r="D1121">
        <v>26837365994.35054</v>
      </c>
      <c r="E1121">
        <v>1.6778585823489401E-4</v>
      </c>
      <c r="F1121">
        <v>1.7811354909090329E-5</v>
      </c>
      <c r="G1121">
        <v>1.499745033258036E-4</v>
      </c>
      <c r="H1121" t="b">
        <v>0</v>
      </c>
    </row>
    <row r="1122" spans="1:8" x14ac:dyDescent="0.15">
      <c r="A1122">
        <v>135</v>
      </c>
      <c r="B1122">
        <v>4</v>
      </c>
      <c r="C1122">
        <v>3818750</v>
      </c>
      <c r="D1122">
        <v>4492593436.4275293</v>
      </c>
      <c r="E1122">
        <v>5.7277288906303829E-5</v>
      </c>
      <c r="F1122">
        <v>1.7811354909090329E-5</v>
      </c>
      <c r="G1122">
        <v>3.9465933997213503E-5</v>
      </c>
      <c r="H1122" t="b">
        <v>0</v>
      </c>
    </row>
    <row r="1123" spans="1:8" x14ac:dyDescent="0.15">
      <c r="A1123">
        <v>135</v>
      </c>
      <c r="B1123">
        <v>5</v>
      </c>
      <c r="C1123">
        <v>3446875</v>
      </c>
      <c r="D1123">
        <v>829592374.14286387</v>
      </c>
      <c r="E1123">
        <v>2.8572052277209431E-5</v>
      </c>
      <c r="F1123">
        <v>1.7811354909090319E-5</v>
      </c>
      <c r="G1123">
        <v>1.076069736811911E-5</v>
      </c>
      <c r="H1123" t="b">
        <v>0</v>
      </c>
    </row>
    <row r="1124" spans="1:8" x14ac:dyDescent="0.15">
      <c r="A1124">
        <v>135</v>
      </c>
      <c r="B1124">
        <v>6</v>
      </c>
      <c r="C1124">
        <v>3260937.5</v>
      </c>
      <c r="D1124">
        <v>57841035.303000137</v>
      </c>
      <c r="E1124">
        <v>1.9084850990248279E-5</v>
      </c>
      <c r="F1124">
        <v>1.7811354909090319E-5</v>
      </c>
      <c r="G1124">
        <v>1.2734960811579571E-6</v>
      </c>
      <c r="H1124" t="b">
        <v>0</v>
      </c>
    </row>
    <row r="1125" spans="1:8" x14ac:dyDescent="0.15">
      <c r="A1125">
        <v>135</v>
      </c>
      <c r="B1125">
        <v>7</v>
      </c>
      <c r="C1125">
        <v>3167968.75</v>
      </c>
      <c r="D1125">
        <v>-66113352.608626999</v>
      </c>
      <c r="E1125">
        <v>1.5336566327849989E-5</v>
      </c>
      <c r="F1125">
        <v>1.7811354909090319E-5</v>
      </c>
      <c r="G1125">
        <v>-2.4747885812403299E-6</v>
      </c>
      <c r="H1125" t="b">
        <v>1</v>
      </c>
    </row>
    <row r="1126" spans="1:8" x14ac:dyDescent="0.15">
      <c r="A1126">
        <v>135</v>
      </c>
      <c r="B1126">
        <v>8</v>
      </c>
      <c r="C1126">
        <v>3214453.125</v>
      </c>
      <c r="D1126">
        <v>-24286723.746526219</v>
      </c>
      <c r="E1126">
        <v>1.7134204864223729E-5</v>
      </c>
      <c r="F1126">
        <v>1.7811354909090319E-5</v>
      </c>
      <c r="G1126">
        <v>-6.7715004486659062E-7</v>
      </c>
      <c r="H1126" t="b">
        <v>1</v>
      </c>
    </row>
    <row r="1127" spans="1:8" x14ac:dyDescent="0.15">
      <c r="A1127">
        <v>135</v>
      </c>
      <c r="B1127">
        <v>9</v>
      </c>
      <c r="C1127">
        <v>3237695.3125</v>
      </c>
      <c r="D1127">
        <v>11318439.255989389</v>
      </c>
      <c r="E1127">
        <v>1.8090136861649111E-5</v>
      </c>
      <c r="F1127">
        <v>1.7811354909090319E-5</v>
      </c>
      <c r="G1127">
        <v>2.78781952558788E-7</v>
      </c>
      <c r="H1127" t="b">
        <v>0</v>
      </c>
    </row>
    <row r="1128" spans="1:8" x14ac:dyDescent="0.15">
      <c r="A1128">
        <v>135</v>
      </c>
      <c r="B1128">
        <v>10</v>
      </c>
      <c r="C1128">
        <v>3226074.21875</v>
      </c>
      <c r="D1128">
        <v>-7798834.5629214002</v>
      </c>
      <c r="E1128">
        <v>1.760730965873313E-5</v>
      </c>
      <c r="F1128">
        <v>1.7811354909090319E-5</v>
      </c>
      <c r="G1128">
        <v>-2.0404525035719261E-7</v>
      </c>
      <c r="H1128" t="b">
        <v>1</v>
      </c>
    </row>
    <row r="1129" spans="1:8" x14ac:dyDescent="0.15">
      <c r="A1129">
        <v>135</v>
      </c>
      <c r="B1129">
        <v>11</v>
      </c>
      <c r="C1129">
        <v>3231884.765625</v>
      </c>
      <c r="D1129">
        <v>1424405.3737396761</v>
      </c>
      <c r="E1129">
        <v>1.7847500441704421E-5</v>
      </c>
      <c r="F1129">
        <v>1.7811354909090319E-5</v>
      </c>
      <c r="G1129">
        <v>3.6145532614101383E-8</v>
      </c>
      <c r="H1129" t="b">
        <v>0</v>
      </c>
    </row>
    <row r="1130" spans="1:8" x14ac:dyDescent="0.15">
      <c r="A1130">
        <v>135</v>
      </c>
      <c r="B1130">
        <v>12</v>
      </c>
      <c r="C1130">
        <v>3234790.0390625</v>
      </c>
      <c r="D1130">
        <v>6286666.4286090834</v>
      </c>
      <c r="E1130">
        <v>1.796851037321183E-5</v>
      </c>
      <c r="F1130">
        <v>1.7811354909090319E-5</v>
      </c>
      <c r="G1130">
        <v>1.571554641215079E-7</v>
      </c>
      <c r="H1130" t="b">
        <v>0</v>
      </c>
    </row>
    <row r="1131" spans="1:8" x14ac:dyDescent="0.15">
      <c r="A1131">
        <v>135</v>
      </c>
      <c r="B1131">
        <v>13</v>
      </c>
      <c r="C1131">
        <v>3233337.40234375</v>
      </c>
      <c r="D1131">
        <v>3834439.3269031201</v>
      </c>
      <c r="E1131">
        <v>1.7907928123017819E-5</v>
      </c>
      <c r="F1131">
        <v>1.7811354909090319E-5</v>
      </c>
      <c r="G1131">
        <v>9.6573213927492798E-8</v>
      </c>
      <c r="H1131" t="b">
        <v>0</v>
      </c>
    </row>
    <row r="1132" spans="1:8" x14ac:dyDescent="0.15">
      <c r="A1132">
        <v>135</v>
      </c>
      <c r="B1132">
        <v>14</v>
      </c>
      <c r="C1132">
        <v>3232137.40234375</v>
      </c>
      <c r="D1132">
        <v>1840541.0937503809</v>
      </c>
      <c r="E1132">
        <v>1.7857999039115959E-5</v>
      </c>
      <c r="F1132">
        <v>1.7811354909090319E-5</v>
      </c>
      <c r="G1132">
        <v>4.6644130025636623E-8</v>
      </c>
      <c r="H1132" t="b">
        <v>0</v>
      </c>
    </row>
    <row r="1133" spans="1:8" x14ac:dyDescent="0.15">
      <c r="A1133">
        <v>135</v>
      </c>
      <c r="B1133">
        <v>15</v>
      </c>
      <c r="C1133">
        <v>3232737.40234375</v>
      </c>
      <c r="D1133">
        <v>2833871.7078423621</v>
      </c>
      <c r="E1133">
        <v>1.7882949731172571E-5</v>
      </c>
      <c r="F1133">
        <v>1.7811354909090319E-5</v>
      </c>
      <c r="G1133">
        <v>7.1594822082248107E-8</v>
      </c>
      <c r="H1133" t="b">
        <v>0</v>
      </c>
    </row>
    <row r="1134" spans="1:8" x14ac:dyDescent="0.15">
      <c r="A1134">
        <v>135</v>
      </c>
      <c r="B1134">
        <v>16</v>
      </c>
      <c r="C1134">
        <v>3233457.40234375</v>
      </c>
      <c r="D1134">
        <v>4035472.0946925129</v>
      </c>
      <c r="E1134">
        <v>1.7912928354724611E-5</v>
      </c>
      <c r="F1134">
        <v>1.7811354909090319E-5</v>
      </c>
      <c r="G1134">
        <v>1.0157344563428471E-7</v>
      </c>
      <c r="H1134" t="b">
        <v>0</v>
      </c>
    </row>
    <row r="1135" spans="1:8" x14ac:dyDescent="0.15">
      <c r="A1135">
        <v>135</v>
      </c>
      <c r="B1135">
        <v>17</v>
      </c>
      <c r="C1135">
        <v>3233097.40234375</v>
      </c>
      <c r="D1135">
        <v>3433347.7062181788</v>
      </c>
      <c r="E1135">
        <v>1.7897933563241101E-5</v>
      </c>
      <c r="F1135">
        <v>1.7811354909090319E-5</v>
      </c>
      <c r="G1135">
        <v>8.6578654150775265E-8</v>
      </c>
      <c r="H1135" t="b">
        <v>0</v>
      </c>
    </row>
    <row r="1136" spans="1:8" x14ac:dyDescent="0.15">
      <c r="A1136">
        <v>135</v>
      </c>
      <c r="B1136">
        <v>18</v>
      </c>
      <c r="C1136">
        <v>3232665.40234375</v>
      </c>
      <c r="D1136">
        <v>2714346.173705278</v>
      </c>
      <c r="E1136">
        <v>1.7879955587695028E-5</v>
      </c>
      <c r="F1136">
        <v>1.7811354909090319E-5</v>
      </c>
      <c r="G1136">
        <v>6.8600678604702529E-8</v>
      </c>
      <c r="H1136" t="b">
        <v>0</v>
      </c>
    </row>
    <row r="1137" spans="1:8" x14ac:dyDescent="0.15">
      <c r="A1137">
        <v>135</v>
      </c>
      <c r="B1137">
        <v>19</v>
      </c>
      <c r="C1137">
        <v>3232881.40234375</v>
      </c>
      <c r="D1137">
        <v>3073411.9187857411</v>
      </c>
      <c r="E1137">
        <v>1.788894363361857E-5</v>
      </c>
      <c r="F1137">
        <v>1.7811354909090319E-5</v>
      </c>
      <c r="G1137">
        <v>7.7588724528250482E-8</v>
      </c>
      <c r="H1137" t="b">
        <v>0</v>
      </c>
    </row>
    <row r="1138" spans="1:8" x14ac:dyDescent="0.15">
      <c r="A1138">
        <v>135</v>
      </c>
      <c r="B1138">
        <v>20</v>
      </c>
      <c r="C1138">
        <v>3233140.6023437502</v>
      </c>
      <c r="D1138">
        <v>3505458.5040070829</v>
      </c>
      <c r="E1138">
        <v>1.7899732254322139E-5</v>
      </c>
      <c r="F1138">
        <v>1.7811354909090319E-5</v>
      </c>
      <c r="G1138">
        <v>8.8377345231819529E-8</v>
      </c>
      <c r="H1138" t="b">
        <v>0</v>
      </c>
    </row>
    <row r="1139" spans="1:8" x14ac:dyDescent="0.15">
      <c r="A1139">
        <v>135</v>
      </c>
      <c r="B1139">
        <v>21</v>
      </c>
      <c r="C1139">
        <v>3233011.0023437501</v>
      </c>
      <c r="D1139">
        <v>3289297.7541120439</v>
      </c>
      <c r="E1139">
        <v>1.7894338084129819E-5</v>
      </c>
      <c r="F1139">
        <v>1.7811354909090319E-5</v>
      </c>
      <c r="G1139">
        <v>8.2983175039496665E-8</v>
      </c>
      <c r="H1139" t="b">
        <v>0</v>
      </c>
    </row>
    <row r="1140" spans="1:8" x14ac:dyDescent="0.15">
      <c r="A1140">
        <v>135</v>
      </c>
      <c r="B1140">
        <v>22</v>
      </c>
      <c r="C1140">
        <v>3232855.4823437501</v>
      </c>
      <c r="D1140">
        <v>3030215.0958880791</v>
      </c>
      <c r="E1140">
        <v>1.7887863392962349E-5</v>
      </c>
      <c r="F1140">
        <v>1.7811354909090319E-5</v>
      </c>
      <c r="G1140">
        <v>7.6508483872023375E-8</v>
      </c>
      <c r="H1140" t="b">
        <v>0</v>
      </c>
    </row>
    <row r="1141" spans="1:8" x14ac:dyDescent="0.15">
      <c r="A1141">
        <v>135</v>
      </c>
      <c r="B1141">
        <v>23</v>
      </c>
      <c r="C1141">
        <v>3232933.2423437499</v>
      </c>
      <c r="D1141">
        <v>3159666.166616024</v>
      </c>
      <c r="E1141">
        <v>1.7891099770816272E-5</v>
      </c>
      <c r="F1141">
        <v>1.7811354909090319E-5</v>
      </c>
      <c r="G1141">
        <v>7.9744861725949008E-8</v>
      </c>
      <c r="H1141" t="b">
        <v>0</v>
      </c>
    </row>
    <row r="1142" spans="1:8" x14ac:dyDescent="0.15">
      <c r="A1142">
        <v>135</v>
      </c>
      <c r="B1142">
        <v>24</v>
      </c>
      <c r="C1142">
        <v>3233026.5543437498</v>
      </c>
      <c r="D1142">
        <v>3315166.5910501531</v>
      </c>
      <c r="E1142">
        <v>1.7894984002713399E-5</v>
      </c>
      <c r="F1142">
        <v>1.7811354909090319E-5</v>
      </c>
      <c r="G1142">
        <v>8.3629093623073102E-8</v>
      </c>
      <c r="H1142" t="b">
        <v>0</v>
      </c>
    </row>
    <row r="1143" spans="1:8" x14ac:dyDescent="0.15">
      <c r="A1143">
        <v>135</v>
      </c>
      <c r="B1143">
        <v>25</v>
      </c>
      <c r="C1143">
        <v>3232979.8983437498</v>
      </c>
      <c r="D1143">
        <v>3237454.6097345361</v>
      </c>
      <c r="E1143">
        <v>1.789304330498579E-5</v>
      </c>
      <c r="F1143">
        <v>1.7811354909090319E-5</v>
      </c>
      <c r="G1143">
        <v>8.1688395895471307E-8</v>
      </c>
      <c r="H1143" t="b">
        <v>0</v>
      </c>
    </row>
    <row r="1144" spans="1:8" x14ac:dyDescent="0.15">
      <c r="A1144">
        <v>136</v>
      </c>
      <c r="B1144">
        <v>1</v>
      </c>
      <c r="C1144">
        <v>6050000</v>
      </c>
      <c r="D1144">
        <v>72040182926.211487</v>
      </c>
      <c r="E1144">
        <v>3.1761907745247851E-4</v>
      </c>
      <c r="F1144">
        <v>1.7116700383670189E-5</v>
      </c>
      <c r="G1144">
        <v>3.0050237706880832E-4</v>
      </c>
      <c r="H1144" t="b">
        <v>0</v>
      </c>
    </row>
    <row r="1145" spans="1:8" x14ac:dyDescent="0.15">
      <c r="A1145">
        <v>136</v>
      </c>
      <c r="B1145">
        <v>2</v>
      </c>
      <c r="C1145">
        <v>3075000</v>
      </c>
      <c r="D1145">
        <v>-3664588.7959712078</v>
      </c>
      <c r="E1145">
        <v>7.4598128208423417E-6</v>
      </c>
      <c r="F1145">
        <v>1.7116700383670189E-5</v>
      </c>
      <c r="G1145">
        <v>-9.6568875628278436E-6</v>
      </c>
      <c r="H1145" t="b">
        <v>1</v>
      </c>
    </row>
    <row r="1146" spans="1:8" x14ac:dyDescent="0.15">
      <c r="A1146">
        <v>136</v>
      </c>
      <c r="B1146">
        <v>3</v>
      </c>
      <c r="C1146">
        <v>4562500</v>
      </c>
      <c r="D1146">
        <v>6374622751.9575586</v>
      </c>
      <c r="E1146">
        <v>6.6039210661511926E-5</v>
      </c>
      <c r="F1146">
        <v>1.7116700383670189E-5</v>
      </c>
      <c r="G1146">
        <v>4.892251027784174E-5</v>
      </c>
      <c r="H1146" t="b">
        <v>0</v>
      </c>
    </row>
    <row r="1147" spans="1:8" x14ac:dyDescent="0.15">
      <c r="A1147">
        <v>136</v>
      </c>
      <c r="B1147">
        <v>4</v>
      </c>
      <c r="C1147">
        <v>3818750</v>
      </c>
      <c r="D1147">
        <v>157905997.25281799</v>
      </c>
      <c r="E1147">
        <v>1.9971295470569882E-5</v>
      </c>
      <c r="F1147">
        <v>1.7116700383670189E-5</v>
      </c>
      <c r="G1147">
        <v>2.8545950868996959E-6</v>
      </c>
      <c r="H1147" t="b">
        <v>0</v>
      </c>
    </row>
    <row r="1148" spans="1:8" x14ac:dyDescent="0.15">
      <c r="A1148">
        <v>136</v>
      </c>
      <c r="B1148">
        <v>5</v>
      </c>
      <c r="C1148">
        <v>3446875</v>
      </c>
      <c r="D1148">
        <v>-57505732.470955722</v>
      </c>
      <c r="E1148">
        <v>1.1721188949052021E-5</v>
      </c>
      <c r="F1148">
        <v>1.7116700383670189E-5</v>
      </c>
      <c r="G1148">
        <v>-5.395511434618163E-6</v>
      </c>
      <c r="H1148" t="b">
        <v>1</v>
      </c>
    </row>
    <row r="1149" spans="1:8" x14ac:dyDescent="0.15">
      <c r="A1149">
        <v>136</v>
      </c>
      <c r="B1149">
        <v>6</v>
      </c>
      <c r="C1149">
        <v>3632812.5</v>
      </c>
      <c r="D1149">
        <v>-70925561.371002167</v>
      </c>
      <c r="E1149">
        <v>1.425658619140177E-5</v>
      </c>
      <c r="F1149">
        <v>1.7116700383670189E-5</v>
      </c>
      <c r="G1149">
        <v>-2.860114192268419E-6</v>
      </c>
      <c r="H1149" t="b">
        <v>1</v>
      </c>
    </row>
    <row r="1150" spans="1:8" x14ac:dyDescent="0.15">
      <c r="A1150">
        <v>136</v>
      </c>
      <c r="B1150">
        <v>7</v>
      </c>
      <c r="C1150">
        <v>3725781.25</v>
      </c>
      <c r="D1150">
        <v>-17328385.30299747</v>
      </c>
      <c r="E1150">
        <v>1.6661753262605691E-5</v>
      </c>
      <c r="F1150">
        <v>1.7116700383670189E-5</v>
      </c>
      <c r="G1150">
        <v>-4.549471210644912E-7</v>
      </c>
      <c r="H1150" t="b">
        <v>1</v>
      </c>
    </row>
    <row r="1151" spans="1:8" x14ac:dyDescent="0.15">
      <c r="A1151">
        <v>136</v>
      </c>
      <c r="B1151">
        <v>8</v>
      </c>
      <c r="C1151">
        <v>3772265.625</v>
      </c>
      <c r="D1151">
        <v>53296973.806491271</v>
      </c>
      <c r="E1151">
        <v>1.8260956356843901E-5</v>
      </c>
      <c r="F1151">
        <v>1.7116700383670189E-5</v>
      </c>
      <c r="G1151">
        <v>1.144255973173713E-6</v>
      </c>
      <c r="H1151" t="b">
        <v>0</v>
      </c>
    </row>
    <row r="1152" spans="1:8" x14ac:dyDescent="0.15">
      <c r="A1152">
        <v>136</v>
      </c>
      <c r="B1152">
        <v>9</v>
      </c>
      <c r="C1152">
        <v>3749023.4375</v>
      </c>
      <c r="D1152">
        <v>14004548.47094514</v>
      </c>
      <c r="E1152">
        <v>1.7447781369088851E-5</v>
      </c>
      <c r="F1152">
        <v>1.7116700383670189E-5</v>
      </c>
      <c r="G1152">
        <v>3.3108098541866562E-7</v>
      </c>
      <c r="H1152" t="b">
        <v>0</v>
      </c>
    </row>
    <row r="1153" spans="1:8" x14ac:dyDescent="0.15">
      <c r="A1153">
        <v>136</v>
      </c>
      <c r="B1153">
        <v>10</v>
      </c>
      <c r="C1153">
        <v>3737402.34375</v>
      </c>
      <c r="D1153">
        <v>-2622336.1179287699</v>
      </c>
      <c r="E1153">
        <v>1.705144449494283E-5</v>
      </c>
      <c r="F1153">
        <v>1.7116700383670189E-5</v>
      </c>
      <c r="G1153">
        <v>-6.5255888727359159E-8</v>
      </c>
      <c r="H1153" t="b">
        <v>1</v>
      </c>
    </row>
    <row r="1154" spans="1:8" x14ac:dyDescent="0.15">
      <c r="A1154">
        <v>136</v>
      </c>
      <c r="B1154">
        <v>11</v>
      </c>
      <c r="C1154">
        <v>3743212.890625</v>
      </c>
      <c r="D1154">
        <v>5446446.5609123455</v>
      </c>
      <c r="E1154">
        <v>1.724876660157047E-5</v>
      </c>
      <c r="F1154">
        <v>1.7116700383670189E-5</v>
      </c>
      <c r="G1154">
        <v>1.3206621790028819E-7</v>
      </c>
      <c r="H1154" t="b">
        <v>0</v>
      </c>
    </row>
    <row r="1155" spans="1:8" x14ac:dyDescent="0.15">
      <c r="A1155">
        <v>136</v>
      </c>
      <c r="B1155">
        <v>12</v>
      </c>
      <c r="C1155">
        <v>3740307.6171875</v>
      </c>
      <c r="D1155">
        <v>1351430.8540817781</v>
      </c>
      <c r="E1155">
        <v>1.7149895038712241E-5</v>
      </c>
      <c r="F1155">
        <v>1.7116700383670189E-5</v>
      </c>
      <c r="G1155">
        <v>3.3194655042052373E-8</v>
      </c>
      <c r="H1155" t="b">
        <v>0</v>
      </c>
    </row>
    <row r="1156" spans="1:8" x14ac:dyDescent="0.15">
      <c r="A1156">
        <v>136</v>
      </c>
      <c r="B1156">
        <v>13</v>
      </c>
      <c r="C1156">
        <v>3741760.25390625</v>
      </c>
      <c r="D1156">
        <v>3383710.801479063</v>
      </c>
      <c r="E1156">
        <v>1.7199277952176469E-5</v>
      </c>
      <c r="F1156">
        <v>1.7116700383670189E-5</v>
      </c>
      <c r="G1156">
        <v>8.2577568506283247E-8</v>
      </c>
      <c r="H1156" t="b">
        <v>0</v>
      </c>
    </row>
    <row r="1157" spans="1:8" x14ac:dyDescent="0.15">
      <c r="A1157">
        <v>136</v>
      </c>
      <c r="B1157">
        <v>14</v>
      </c>
      <c r="C1157">
        <v>3742960.25390625</v>
      </c>
      <c r="D1157">
        <v>5085510.4221759466</v>
      </c>
      <c r="E1157">
        <v>1.7240152133920249E-5</v>
      </c>
      <c r="F1157">
        <v>1.7116700383670189E-5</v>
      </c>
      <c r="G1157">
        <v>1.2345175025006729E-7</v>
      </c>
      <c r="H1157" t="b">
        <v>0</v>
      </c>
    </row>
    <row r="1158" spans="1:8" x14ac:dyDescent="0.15">
      <c r="A1158">
        <v>136</v>
      </c>
      <c r="B1158">
        <v>15</v>
      </c>
      <c r="C1158">
        <v>3742360.25390625</v>
      </c>
      <c r="D1158">
        <v>4231949.8468554821</v>
      </c>
      <c r="E1158">
        <v>1.7219704619664169E-5</v>
      </c>
      <c r="F1158">
        <v>1.7116700383670189E-5</v>
      </c>
      <c r="G1158">
        <v>1.030042359939804E-7</v>
      </c>
      <c r="H1158" t="b">
        <v>0</v>
      </c>
    </row>
    <row r="1159" spans="1:8" x14ac:dyDescent="0.15">
      <c r="A1159">
        <v>136</v>
      </c>
      <c r="B1159">
        <v>16</v>
      </c>
      <c r="C1159">
        <v>3741640.25390625</v>
      </c>
      <c r="D1159">
        <v>3214675.1391523462</v>
      </c>
      <c r="E1159">
        <v>1.719519450382086E-5</v>
      </c>
      <c r="F1159">
        <v>1.7116700383670189E-5</v>
      </c>
      <c r="G1159">
        <v>7.849412015067787E-8</v>
      </c>
      <c r="H1159" t="b">
        <v>0</v>
      </c>
    </row>
    <row r="1160" spans="1:8" x14ac:dyDescent="0.15">
      <c r="A1160">
        <v>136</v>
      </c>
      <c r="B1160">
        <v>17</v>
      </c>
      <c r="C1160">
        <v>3742000.25390625</v>
      </c>
      <c r="D1160">
        <v>3722347.6780570969</v>
      </c>
      <c r="E1160">
        <v>1.7207445615557651E-5</v>
      </c>
      <c r="F1160">
        <v>1.7116700383670189E-5</v>
      </c>
      <c r="G1160">
        <v>9.0745231887461936E-8</v>
      </c>
      <c r="H1160" t="b">
        <v>0</v>
      </c>
    </row>
    <row r="1161" spans="1:8" x14ac:dyDescent="0.15">
      <c r="A1161">
        <v>137</v>
      </c>
      <c r="B1161">
        <v>1</v>
      </c>
      <c r="C1161">
        <v>6050000</v>
      </c>
      <c r="D1161">
        <v>61474775537.371689</v>
      </c>
      <c r="E1161">
        <v>2.7380341120615759E-4</v>
      </c>
      <c r="F1161">
        <v>1.6623878854372259E-5</v>
      </c>
      <c r="G1161">
        <v>2.5717953235178528E-4</v>
      </c>
      <c r="H1161" t="b">
        <v>0</v>
      </c>
    </row>
    <row r="1162" spans="1:8" x14ac:dyDescent="0.15">
      <c r="A1162">
        <v>137</v>
      </c>
      <c r="B1162">
        <v>2</v>
      </c>
      <c r="C1162">
        <v>3075000</v>
      </c>
      <c r="D1162">
        <v>-2372725.0004492509</v>
      </c>
      <c r="E1162">
        <v>6.6396864645967298E-6</v>
      </c>
      <c r="F1162">
        <v>1.6623878854372249E-5</v>
      </c>
      <c r="G1162">
        <v>-9.9841923897755157E-6</v>
      </c>
      <c r="H1162" t="b">
        <v>1</v>
      </c>
    </row>
    <row r="1163" spans="1:8" x14ac:dyDescent="0.15">
      <c r="A1163">
        <v>137</v>
      </c>
      <c r="B1163">
        <v>3</v>
      </c>
      <c r="C1163">
        <v>4562500</v>
      </c>
      <c r="D1163">
        <v>4903576812.4591227</v>
      </c>
      <c r="E1163">
        <v>5.5474374895931401E-5</v>
      </c>
      <c r="F1163">
        <v>1.6623878854372249E-5</v>
      </c>
      <c r="G1163">
        <v>3.8850496041559163E-5</v>
      </c>
      <c r="H1163" t="b">
        <v>0</v>
      </c>
    </row>
    <row r="1164" spans="1:8" x14ac:dyDescent="0.15">
      <c r="A1164">
        <v>137</v>
      </c>
      <c r="B1164">
        <v>4</v>
      </c>
      <c r="C1164">
        <v>3818750</v>
      </c>
      <c r="D1164">
        <v>-9887513.3571220785</v>
      </c>
      <c r="E1164">
        <v>1.6377380934299989E-5</v>
      </c>
      <c r="F1164">
        <v>1.6623878854372249E-5</v>
      </c>
      <c r="G1164">
        <v>-2.4649792007225288E-7</v>
      </c>
      <c r="H1164" t="b">
        <v>1</v>
      </c>
    </row>
    <row r="1165" spans="1:8" x14ac:dyDescent="0.15">
      <c r="A1165">
        <v>137</v>
      </c>
      <c r="B1165">
        <v>5</v>
      </c>
      <c r="C1165">
        <v>4190625</v>
      </c>
      <c r="D1165">
        <v>1412744756.8910351</v>
      </c>
      <c r="E1165">
        <v>3.1727168923648788E-5</v>
      </c>
      <c r="F1165">
        <v>1.6623878854372249E-5</v>
      </c>
      <c r="G1165">
        <v>1.5103290069276551E-5</v>
      </c>
      <c r="H1165" t="b">
        <v>0</v>
      </c>
    </row>
    <row r="1166" spans="1:8" x14ac:dyDescent="0.15">
      <c r="A1166">
        <v>137</v>
      </c>
      <c r="B1166">
        <v>6</v>
      </c>
      <c r="C1166">
        <v>4004687.5</v>
      </c>
      <c r="D1166">
        <v>492574354.42733479</v>
      </c>
      <c r="E1166">
        <v>2.3130656395073061E-5</v>
      </c>
      <c r="F1166">
        <v>1.6623878854372249E-5</v>
      </c>
      <c r="G1166">
        <v>6.5067775407008193E-6</v>
      </c>
      <c r="H1166" t="b">
        <v>0</v>
      </c>
    </row>
    <row r="1167" spans="1:8" x14ac:dyDescent="0.15">
      <c r="A1167">
        <v>137</v>
      </c>
      <c r="B1167">
        <v>7</v>
      </c>
      <c r="C1167">
        <v>3911718.75</v>
      </c>
      <c r="D1167">
        <v>167756333.21705109</v>
      </c>
      <c r="E1167">
        <v>1.953977589662097E-5</v>
      </c>
      <c r="F1167">
        <v>1.6623878854372249E-5</v>
      </c>
      <c r="G1167">
        <v>2.915897042248721E-6</v>
      </c>
      <c r="H1167" t="b">
        <v>0</v>
      </c>
    </row>
    <row r="1168" spans="1:8" x14ac:dyDescent="0.15">
      <c r="A1168">
        <v>137</v>
      </c>
      <c r="B1168">
        <v>8</v>
      </c>
      <c r="C1168">
        <v>3865234.375</v>
      </c>
      <c r="D1168">
        <v>62476651.238689989</v>
      </c>
      <c r="E1168">
        <v>1.7906830799848579E-5</v>
      </c>
      <c r="F1168">
        <v>1.6623878854372249E-5</v>
      </c>
      <c r="G1168">
        <v>1.2829519454763331E-6</v>
      </c>
      <c r="H1168" t="b">
        <v>0</v>
      </c>
    </row>
    <row r="1169" spans="1:8" x14ac:dyDescent="0.15">
      <c r="A1169">
        <v>137</v>
      </c>
      <c r="B1169">
        <v>9</v>
      </c>
      <c r="C1169">
        <v>3841992.1875</v>
      </c>
      <c r="D1169">
        <v>22431595.160507519</v>
      </c>
      <c r="E1169">
        <v>1.712942503928544E-5</v>
      </c>
      <c r="F1169">
        <v>1.6623878854372249E-5</v>
      </c>
      <c r="G1169">
        <v>5.0554618491319416E-7</v>
      </c>
      <c r="H1169" t="b">
        <v>0</v>
      </c>
    </row>
    <row r="1170" spans="1:8" x14ac:dyDescent="0.15">
      <c r="A1170">
        <v>137</v>
      </c>
      <c r="B1170">
        <v>10</v>
      </c>
      <c r="C1170">
        <v>3830371.09375</v>
      </c>
      <c r="D1170">
        <v>5337619.1867238116</v>
      </c>
      <c r="E1170">
        <v>1.6750264942557711E-5</v>
      </c>
      <c r="F1170">
        <v>1.6623878854372249E-5</v>
      </c>
      <c r="G1170">
        <v>1.2638608818546859E-7</v>
      </c>
      <c r="H1170" t="b">
        <v>0</v>
      </c>
    </row>
    <row r="1171" spans="1:8" x14ac:dyDescent="0.15">
      <c r="A1171">
        <v>137</v>
      </c>
      <c r="B1171">
        <v>11</v>
      </c>
      <c r="C1171">
        <v>3824560.546875</v>
      </c>
      <c r="D1171">
        <v>-2504620.7349347589</v>
      </c>
      <c r="E1171">
        <v>1.6563042851503979E-5</v>
      </c>
      <c r="F1171">
        <v>1.6623878854372249E-5</v>
      </c>
      <c r="G1171">
        <v>-6.0836002868270032E-8</v>
      </c>
      <c r="H1171" t="b">
        <v>1</v>
      </c>
    </row>
    <row r="1172" spans="1:8" x14ac:dyDescent="0.15">
      <c r="A1172">
        <v>137</v>
      </c>
      <c r="B1172">
        <v>12</v>
      </c>
      <c r="C1172">
        <v>3827465.8203125</v>
      </c>
      <c r="D1172">
        <v>1358526.365021443</v>
      </c>
      <c r="E1172">
        <v>1.6656456816754811E-5</v>
      </c>
      <c r="F1172">
        <v>1.6623878854372249E-5</v>
      </c>
      <c r="G1172">
        <v>3.2577962382562229E-8</v>
      </c>
      <c r="H1172" t="b">
        <v>0</v>
      </c>
    </row>
    <row r="1173" spans="1:8" x14ac:dyDescent="0.15">
      <c r="A1173">
        <v>137</v>
      </c>
      <c r="B1173">
        <v>13</v>
      </c>
      <c r="C1173">
        <v>3828918.45703125</v>
      </c>
      <c r="D1173">
        <v>3333502.5201866929</v>
      </c>
      <c r="E1173">
        <v>1.6703311186455879E-5</v>
      </c>
      <c r="F1173">
        <v>1.6623878854372249E-5</v>
      </c>
      <c r="G1173">
        <v>7.9432332083633075E-8</v>
      </c>
      <c r="H1173" t="b">
        <v>0</v>
      </c>
    </row>
    <row r="1174" spans="1:8" x14ac:dyDescent="0.15">
      <c r="A1174">
        <v>137</v>
      </c>
      <c r="B1174">
        <v>14</v>
      </c>
      <c r="C1174">
        <v>3830118.45703125</v>
      </c>
      <c r="D1174">
        <v>4986928.8802324543</v>
      </c>
      <c r="E1174">
        <v>1.674209077076281E-5</v>
      </c>
      <c r="F1174">
        <v>1.6623878854372249E-5</v>
      </c>
      <c r="G1174">
        <v>1.182119163905648E-7</v>
      </c>
      <c r="H1174" t="b">
        <v>0</v>
      </c>
    </row>
    <row r="1175" spans="1:8" x14ac:dyDescent="0.15">
      <c r="A1175">
        <v>137</v>
      </c>
      <c r="B1175">
        <v>15</v>
      </c>
      <c r="C1175">
        <v>3829518.45703125</v>
      </c>
      <c r="D1175">
        <v>4157730.815030009</v>
      </c>
      <c r="E1175">
        <v>1.6722692616760491E-5</v>
      </c>
      <c r="F1175">
        <v>1.6623878854372249E-5</v>
      </c>
      <c r="G1175">
        <v>9.8813762388248944E-8</v>
      </c>
      <c r="H1175" t="b">
        <v>0</v>
      </c>
    </row>
    <row r="1176" spans="1:8" x14ac:dyDescent="0.15">
      <c r="A1176">
        <v>137</v>
      </c>
      <c r="B1176">
        <v>16</v>
      </c>
      <c r="C1176">
        <v>3828798.45703125</v>
      </c>
      <c r="D1176">
        <v>3169309.7562409472</v>
      </c>
      <c r="E1176">
        <v>1.6699438258298871E-5</v>
      </c>
      <c r="F1176">
        <v>1.6623878854372249E-5</v>
      </c>
      <c r="G1176">
        <v>7.5559403926628608E-8</v>
      </c>
      <c r="H1176" t="b">
        <v>0</v>
      </c>
    </row>
    <row r="1177" spans="1:8" x14ac:dyDescent="0.15">
      <c r="A1177">
        <v>137</v>
      </c>
      <c r="B1177">
        <v>17</v>
      </c>
      <c r="C1177">
        <v>3829158.45703125</v>
      </c>
      <c r="D1177">
        <v>3662655.520824533</v>
      </c>
      <c r="E1177">
        <v>1.6711063105165539E-5</v>
      </c>
      <c r="F1177">
        <v>1.6623878854372249E-5</v>
      </c>
      <c r="G1177">
        <v>8.7184250793297206E-8</v>
      </c>
      <c r="H1177" t="b">
        <v>0</v>
      </c>
    </row>
    <row r="1178" spans="1:8" x14ac:dyDescent="0.15">
      <c r="A1178">
        <v>137</v>
      </c>
      <c r="B1178">
        <v>18</v>
      </c>
      <c r="C1178">
        <v>3829590.45703125</v>
      </c>
      <c r="D1178">
        <v>4257029.7794879694</v>
      </c>
      <c r="E1178">
        <v>1.672502086617425E-5</v>
      </c>
      <c r="F1178">
        <v>1.6623878854372249E-5</v>
      </c>
      <c r="G1178">
        <v>1.011420118020045E-7</v>
      </c>
      <c r="H1178" t="b">
        <v>0</v>
      </c>
    </row>
    <row r="1179" spans="1:8" x14ac:dyDescent="0.15">
      <c r="A1179">
        <v>137</v>
      </c>
      <c r="B1179">
        <v>19</v>
      </c>
      <c r="C1179">
        <v>3829374.45703125</v>
      </c>
      <c r="D1179">
        <v>3959463.1061633532</v>
      </c>
      <c r="E1179">
        <v>1.6718039548616201E-5</v>
      </c>
      <c r="F1179">
        <v>1.6623878854372249E-5</v>
      </c>
      <c r="G1179">
        <v>9.416069424395885E-8</v>
      </c>
      <c r="H1179" t="b">
        <v>0</v>
      </c>
    </row>
    <row r="1180" spans="1:8" x14ac:dyDescent="0.15">
      <c r="A1180">
        <v>137</v>
      </c>
      <c r="B1180">
        <v>20</v>
      </c>
      <c r="C1180">
        <v>3829115.2570312498</v>
      </c>
      <c r="D1180">
        <v>3603359.6986873262</v>
      </c>
      <c r="E1180">
        <v>1.6709667805794731E-5</v>
      </c>
      <c r="F1180">
        <v>1.6623878854372249E-5</v>
      </c>
      <c r="G1180">
        <v>8.5788951422485988E-8</v>
      </c>
      <c r="H1180" t="b">
        <v>0</v>
      </c>
    </row>
    <row r="1181" spans="1:8" x14ac:dyDescent="0.15">
      <c r="A1181">
        <v>137</v>
      </c>
      <c r="B1181">
        <v>21</v>
      </c>
      <c r="C1181">
        <v>3829244.8570312499</v>
      </c>
      <c r="D1181">
        <v>3781266.8209841182</v>
      </c>
      <c r="E1181">
        <v>1.671385261079592E-5</v>
      </c>
      <c r="F1181">
        <v>1.6623878854372249E-5</v>
      </c>
      <c r="G1181">
        <v>8.9973756423674945E-8</v>
      </c>
      <c r="H1181" t="b">
        <v>0</v>
      </c>
    </row>
    <row r="1182" spans="1:8" x14ac:dyDescent="0.15">
      <c r="A1182">
        <v>137</v>
      </c>
      <c r="B1182">
        <v>22</v>
      </c>
      <c r="C1182">
        <v>3829400.3770312499</v>
      </c>
      <c r="D1182">
        <v>3995187.8260901342</v>
      </c>
      <c r="E1182">
        <v>1.671887838336596E-5</v>
      </c>
      <c r="F1182">
        <v>1.6623878854372249E-5</v>
      </c>
      <c r="G1182">
        <v>9.4999528993717797E-8</v>
      </c>
      <c r="H1182" t="b">
        <v>0</v>
      </c>
    </row>
    <row r="1183" spans="1:8" x14ac:dyDescent="0.15">
      <c r="A1183">
        <v>137</v>
      </c>
      <c r="B1183">
        <v>23</v>
      </c>
      <c r="C1183">
        <v>3829322.6170312501</v>
      </c>
      <c r="D1183">
        <v>3888214.388987001</v>
      </c>
      <c r="E1183">
        <v>1.6716366033217141E-5</v>
      </c>
      <c r="F1183">
        <v>1.6623878854372249E-5</v>
      </c>
      <c r="G1183">
        <v>9.2487178844895284E-8</v>
      </c>
      <c r="H1183" t="b">
        <v>0</v>
      </c>
    </row>
    <row r="1184" spans="1:8" x14ac:dyDescent="0.15">
      <c r="A1184">
        <v>137</v>
      </c>
      <c r="B1184">
        <v>24</v>
      </c>
      <c r="C1184">
        <v>3829229.3050312502</v>
      </c>
      <c r="D1184">
        <v>3759956.3849384608</v>
      </c>
      <c r="E1184">
        <v>1.6713351583754712E-5</v>
      </c>
      <c r="F1184">
        <v>1.6623878854372249E-5</v>
      </c>
      <c r="G1184">
        <v>8.94727293824661E-8</v>
      </c>
      <c r="H1184" t="b">
        <v>0</v>
      </c>
    </row>
    <row r="1185" spans="1:8" x14ac:dyDescent="0.15">
      <c r="A1185">
        <v>137</v>
      </c>
      <c r="B1185">
        <v>25</v>
      </c>
      <c r="C1185">
        <v>3829275.9610312502</v>
      </c>
      <c r="D1185">
        <v>3824070.372369213</v>
      </c>
      <c r="E1185">
        <v>1.671485875793634E-5</v>
      </c>
      <c r="F1185">
        <v>1.6623878854372249E-5</v>
      </c>
      <c r="G1185">
        <v>9.0979903564094406E-8</v>
      </c>
      <c r="H1185" t="b">
        <v>0</v>
      </c>
    </row>
    <row r="1186" spans="1:8" x14ac:dyDescent="0.15">
      <c r="A1186">
        <v>138</v>
      </c>
      <c r="B1186">
        <v>1</v>
      </c>
      <c r="C1186">
        <v>6050000</v>
      </c>
      <c r="D1186">
        <v>2909048005.3772802</v>
      </c>
      <c r="E1186">
        <v>3.9844011570903659E-5</v>
      </c>
      <c r="F1186">
        <v>1.555888306256859E-5</v>
      </c>
      <c r="G1186">
        <v>2.4285128508335069E-5</v>
      </c>
      <c r="H1186" t="b">
        <v>0</v>
      </c>
    </row>
    <row r="1187" spans="1:8" x14ac:dyDescent="0.15">
      <c r="A1187">
        <v>138</v>
      </c>
      <c r="B1187">
        <v>2</v>
      </c>
      <c r="C1187">
        <v>3075000</v>
      </c>
      <c r="D1187">
        <v>-207367.30481736609</v>
      </c>
      <c r="E1187">
        <v>1.5118850867643839E-6</v>
      </c>
      <c r="F1187">
        <v>1.555888306256859E-5</v>
      </c>
      <c r="G1187">
        <v>-1.404699797580421E-5</v>
      </c>
      <c r="H1187" t="b">
        <v>1</v>
      </c>
    </row>
    <row r="1188" spans="1:8" x14ac:dyDescent="0.15">
      <c r="A1188">
        <v>138</v>
      </c>
      <c r="B1188">
        <v>3</v>
      </c>
      <c r="C1188">
        <v>4562500</v>
      </c>
      <c r="D1188">
        <v>-17079757.067235969</v>
      </c>
      <c r="E1188">
        <v>8.7379841967095407E-6</v>
      </c>
      <c r="F1188">
        <v>1.555888306256859E-5</v>
      </c>
      <c r="G1188">
        <v>-6.8208988658590496E-6</v>
      </c>
      <c r="H1188" t="b">
        <v>1</v>
      </c>
    </row>
    <row r="1189" spans="1:8" x14ac:dyDescent="0.15">
      <c r="A1189">
        <v>138</v>
      </c>
      <c r="B1189">
        <v>4</v>
      </c>
      <c r="C1189">
        <v>5306250</v>
      </c>
      <c r="D1189">
        <v>46790934.982590377</v>
      </c>
      <c r="E1189">
        <v>1.6497518601837199E-5</v>
      </c>
      <c r="F1189">
        <v>1.555888306256859E-5</v>
      </c>
      <c r="G1189">
        <v>9.3863553926860861E-7</v>
      </c>
      <c r="H1189" t="b">
        <v>0</v>
      </c>
    </row>
    <row r="1190" spans="1:8" x14ac:dyDescent="0.15">
      <c r="A1190">
        <v>138</v>
      </c>
      <c r="B1190">
        <v>5</v>
      </c>
      <c r="C1190">
        <v>4934375</v>
      </c>
      <c r="D1190">
        <v>-69542051.651219845</v>
      </c>
      <c r="E1190">
        <v>1.1725380184952641E-5</v>
      </c>
      <c r="F1190">
        <v>1.555888306256859E-5</v>
      </c>
      <c r="G1190">
        <v>-3.8335028776159513E-6</v>
      </c>
      <c r="H1190" t="b">
        <v>1</v>
      </c>
    </row>
    <row r="1191" spans="1:8" x14ac:dyDescent="0.15">
      <c r="A1191">
        <v>138</v>
      </c>
      <c r="B1191">
        <v>6</v>
      </c>
      <c r="C1191">
        <v>5120312.5</v>
      </c>
      <c r="D1191">
        <v>-63749873.973375797</v>
      </c>
      <c r="E1191">
        <v>1.3391615666969391E-5</v>
      </c>
      <c r="F1191">
        <v>1.555888306256859E-5</v>
      </c>
      <c r="G1191">
        <v>-2.1672673955992E-6</v>
      </c>
      <c r="H1191" t="b">
        <v>1</v>
      </c>
    </row>
    <row r="1192" spans="1:8" x14ac:dyDescent="0.15">
      <c r="A1192">
        <v>138</v>
      </c>
      <c r="B1192">
        <v>7</v>
      </c>
      <c r="C1192">
        <v>5213281.25</v>
      </c>
      <c r="D1192">
        <v>-38211964.795051128</v>
      </c>
      <c r="E1192">
        <v>1.452682596362483E-5</v>
      </c>
      <c r="F1192">
        <v>1.555888306256859E-5</v>
      </c>
      <c r="G1192">
        <v>-1.0320570989437591E-6</v>
      </c>
      <c r="H1192" t="b">
        <v>1</v>
      </c>
    </row>
    <row r="1193" spans="1:8" x14ac:dyDescent="0.15">
      <c r="A1193">
        <v>138</v>
      </c>
      <c r="B1193">
        <v>8</v>
      </c>
      <c r="C1193">
        <v>5259765.625</v>
      </c>
      <c r="D1193">
        <v>-3019743.995336195</v>
      </c>
      <c r="E1193">
        <v>1.5489234595023739E-5</v>
      </c>
      <c r="F1193">
        <v>1.555888306256859E-5</v>
      </c>
      <c r="G1193">
        <v>-6.9648467544851286E-8</v>
      </c>
      <c r="H1193" t="b">
        <v>1</v>
      </c>
    </row>
    <row r="1194" spans="1:8" x14ac:dyDescent="0.15">
      <c r="A1194">
        <v>138</v>
      </c>
      <c r="B1194">
        <v>9</v>
      </c>
      <c r="C1194">
        <v>5283007.8125</v>
      </c>
      <c r="D1194">
        <v>19972059.75498252</v>
      </c>
      <c r="E1194">
        <v>1.598760611079615E-5</v>
      </c>
      <c r="F1194">
        <v>1.555888306256859E-5</v>
      </c>
      <c r="G1194">
        <v>4.2872304822756338E-7</v>
      </c>
      <c r="H1194" t="b">
        <v>0</v>
      </c>
    </row>
    <row r="1195" spans="1:8" x14ac:dyDescent="0.15">
      <c r="A1195">
        <v>138</v>
      </c>
      <c r="B1195">
        <v>10</v>
      </c>
      <c r="C1195">
        <v>5271386.71875</v>
      </c>
      <c r="D1195">
        <v>8007980.515354814</v>
      </c>
      <c r="E1195">
        <v>1.5736972378032321E-5</v>
      </c>
      <c r="F1195">
        <v>1.555888306256859E-5</v>
      </c>
      <c r="G1195">
        <v>1.780893154637272E-7</v>
      </c>
      <c r="H1195" t="b">
        <v>0</v>
      </c>
    </row>
    <row r="1196" spans="1:8" x14ac:dyDescent="0.15">
      <c r="A1196">
        <v>138</v>
      </c>
      <c r="B1196">
        <v>11</v>
      </c>
      <c r="C1196">
        <v>5265576.171875</v>
      </c>
      <c r="D1196">
        <v>2378442.9745400059</v>
      </c>
      <c r="E1196">
        <v>1.5612742400275721E-5</v>
      </c>
      <c r="F1196">
        <v>1.555888306256859E-5</v>
      </c>
      <c r="G1196">
        <v>5.3859337707134237E-8</v>
      </c>
      <c r="H1196" t="b">
        <v>0</v>
      </c>
    </row>
    <row r="1197" spans="1:8" x14ac:dyDescent="0.15">
      <c r="A1197">
        <v>138</v>
      </c>
      <c r="B1197">
        <v>12</v>
      </c>
      <c r="C1197">
        <v>5268481.4453125</v>
      </c>
      <c r="D1197">
        <v>5164181.1631495347</v>
      </c>
      <c r="E1197">
        <v>1.567476832022271E-5</v>
      </c>
      <c r="F1197">
        <v>1.555888306256859E-5</v>
      </c>
      <c r="G1197">
        <v>1.158852576541231E-7</v>
      </c>
      <c r="H1197" t="b">
        <v>0</v>
      </c>
    </row>
    <row r="1198" spans="1:8" x14ac:dyDescent="0.15">
      <c r="A1198">
        <v>138</v>
      </c>
      <c r="B1198">
        <v>13</v>
      </c>
      <c r="C1198">
        <v>5269934.08203125</v>
      </c>
      <c r="D1198">
        <v>6578759.1874975245</v>
      </c>
      <c r="E1198">
        <v>1.5705847127078249E-5</v>
      </c>
      <c r="F1198">
        <v>1.555888306256859E-5</v>
      </c>
      <c r="G1198">
        <v>1.4696406450966201E-7</v>
      </c>
      <c r="H1198" t="b">
        <v>0</v>
      </c>
    </row>
    <row r="1199" spans="1:8" x14ac:dyDescent="0.15">
      <c r="A1199">
        <v>138</v>
      </c>
      <c r="B1199">
        <v>14</v>
      </c>
      <c r="C1199">
        <v>5269434.08203125</v>
      </c>
      <c r="D1199">
        <v>6090196.4443289796</v>
      </c>
      <c r="E1199">
        <v>1.569514424245001E-5</v>
      </c>
      <c r="F1199">
        <v>1.555888306256859E-5</v>
      </c>
      <c r="G1199">
        <v>1.3626117988142311E-7</v>
      </c>
      <c r="H1199" t="b">
        <v>0</v>
      </c>
    </row>
    <row r="1200" spans="1:8" x14ac:dyDescent="0.15">
      <c r="A1200">
        <v>138</v>
      </c>
      <c r="B1200">
        <v>15</v>
      </c>
      <c r="C1200">
        <v>5268834.08203125</v>
      </c>
      <c r="D1200">
        <v>5506254.1264940724</v>
      </c>
      <c r="E1200">
        <v>1.568230904222101E-5</v>
      </c>
      <c r="F1200">
        <v>1.555888306256859E-5</v>
      </c>
      <c r="G1200">
        <v>1.23425979652416E-7</v>
      </c>
      <c r="H1200" t="b">
        <v>0</v>
      </c>
    </row>
    <row r="1201" spans="1:8" x14ac:dyDescent="0.15">
      <c r="A1201">
        <v>138</v>
      </c>
      <c r="B1201">
        <v>16</v>
      </c>
      <c r="C1201">
        <v>5268114.08203125</v>
      </c>
      <c r="D1201">
        <v>4808679.749562053</v>
      </c>
      <c r="E1201">
        <v>1.5666914312129678E-5</v>
      </c>
      <c r="F1201">
        <v>1.555888306256859E-5</v>
      </c>
      <c r="G1201">
        <v>1.08031249561088E-7</v>
      </c>
      <c r="H1201" t="b">
        <v>0</v>
      </c>
    </row>
    <row r="1202" spans="1:8" x14ac:dyDescent="0.15">
      <c r="A1202">
        <v>138</v>
      </c>
      <c r="B1202">
        <v>17</v>
      </c>
      <c r="C1202">
        <v>5268474.08203125</v>
      </c>
      <c r="D1202">
        <v>5157047.5954680629</v>
      </c>
      <c r="E1202">
        <v>1.5674610893437489E-5</v>
      </c>
      <c r="F1202">
        <v>1.555888306256859E-5</v>
      </c>
      <c r="G1202">
        <v>1.157278308688957E-7</v>
      </c>
      <c r="H1202" t="b">
        <v>0</v>
      </c>
    </row>
    <row r="1203" spans="1:8" x14ac:dyDescent="0.15">
      <c r="A1203">
        <v>138</v>
      </c>
      <c r="B1203">
        <v>18</v>
      </c>
      <c r="C1203">
        <v>5268906.08203125</v>
      </c>
      <c r="D1203">
        <v>5576202.6591528896</v>
      </c>
      <c r="E1203">
        <v>1.5683849004475371E-5</v>
      </c>
      <c r="F1203">
        <v>1.555888306256859E-5</v>
      </c>
      <c r="G1203">
        <v>1.2496594190677721E-7</v>
      </c>
      <c r="H1203" t="b">
        <v>0</v>
      </c>
    </row>
    <row r="1204" spans="1:8" x14ac:dyDescent="0.15">
      <c r="A1204">
        <v>138</v>
      </c>
      <c r="B1204">
        <v>19</v>
      </c>
      <c r="C1204">
        <v>5268690.08203125</v>
      </c>
      <c r="D1204">
        <v>5366464.3031529272</v>
      </c>
      <c r="E1204">
        <v>1.5679229450218621E-5</v>
      </c>
      <c r="F1204">
        <v>1.555888306256859E-5</v>
      </c>
      <c r="G1204">
        <v>1.2034638765003099E-7</v>
      </c>
      <c r="H1204" t="b">
        <v>0</v>
      </c>
    </row>
    <row r="1205" spans="1:8" x14ac:dyDescent="0.15">
      <c r="A1205">
        <v>138</v>
      </c>
      <c r="B1205">
        <v>20</v>
      </c>
      <c r="C1205">
        <v>5268430.8820312498</v>
      </c>
      <c r="D1205">
        <v>5115148.3133507324</v>
      </c>
      <c r="E1205">
        <v>1.5673686098120131E-5</v>
      </c>
      <c r="F1205">
        <v>1.555888306256859E-5</v>
      </c>
      <c r="G1205">
        <v>1.148030355515373E-7</v>
      </c>
      <c r="H1205" t="b">
        <v>0</v>
      </c>
    </row>
    <row r="1206" spans="1:8" x14ac:dyDescent="0.15">
      <c r="A1206">
        <v>138</v>
      </c>
      <c r="B1206">
        <v>21</v>
      </c>
      <c r="C1206">
        <v>5268560.4820312494</v>
      </c>
      <c r="D1206">
        <v>5240775.689685612</v>
      </c>
      <c r="E1206">
        <v>1.567645819645786E-5</v>
      </c>
      <c r="F1206">
        <v>1.555888306256859E-5</v>
      </c>
      <c r="G1206">
        <v>1.175751338892735E-7</v>
      </c>
      <c r="H1206" t="b">
        <v>0</v>
      </c>
    </row>
    <row r="1207" spans="1:8" x14ac:dyDescent="0.15">
      <c r="A1207">
        <v>139</v>
      </c>
      <c r="B1207">
        <v>1</v>
      </c>
      <c r="C1207">
        <v>6050000</v>
      </c>
      <c r="D1207">
        <v>2122388936.6997011</v>
      </c>
      <c r="E1207">
        <v>3.43317839644229E-5</v>
      </c>
      <c r="F1207">
        <v>1.5415719072528481E-5</v>
      </c>
      <c r="G1207">
        <v>1.8916064891894419E-5</v>
      </c>
      <c r="H1207" t="b">
        <v>0</v>
      </c>
    </row>
    <row r="1208" spans="1:8" x14ac:dyDescent="0.15">
      <c r="A1208">
        <v>139</v>
      </c>
      <c r="B1208">
        <v>2</v>
      </c>
      <c r="C1208">
        <v>3075000</v>
      </c>
      <c r="D1208">
        <v>-192071.90525312611</v>
      </c>
      <c r="E1208">
        <v>1.2693296451236801E-6</v>
      </c>
      <c r="F1208">
        <v>1.5415719072528481E-5</v>
      </c>
      <c r="G1208">
        <v>-1.4146389427404799E-5</v>
      </c>
      <c r="H1208" t="b">
        <v>1</v>
      </c>
    </row>
    <row r="1209" spans="1:8" x14ac:dyDescent="0.15">
      <c r="A1209">
        <v>139</v>
      </c>
      <c r="B1209">
        <v>3</v>
      </c>
      <c r="C1209">
        <v>4562500</v>
      </c>
      <c r="D1209">
        <v>-10065497.8753013</v>
      </c>
      <c r="E1209">
        <v>7.9831004147421845E-6</v>
      </c>
      <c r="F1209">
        <v>1.5415719072528481E-5</v>
      </c>
      <c r="G1209">
        <v>-7.4326186577862931E-6</v>
      </c>
      <c r="H1209" t="b">
        <v>1</v>
      </c>
    </row>
    <row r="1210" spans="1:8" x14ac:dyDescent="0.15">
      <c r="A1210">
        <v>139</v>
      </c>
      <c r="B1210">
        <v>4</v>
      </c>
      <c r="C1210">
        <v>5306250</v>
      </c>
      <c r="D1210">
        <v>-49445966.100140281</v>
      </c>
      <c r="E1210">
        <v>1.39824823370354E-5</v>
      </c>
      <c r="F1210">
        <v>1.5415719072528481E-5</v>
      </c>
      <c r="G1210">
        <v>-1.4332367354930821E-6</v>
      </c>
      <c r="H1210" t="b">
        <v>1</v>
      </c>
    </row>
    <row r="1211" spans="1:8" x14ac:dyDescent="0.15">
      <c r="A1211">
        <v>139</v>
      </c>
      <c r="B1211">
        <v>5</v>
      </c>
      <c r="C1211">
        <v>5678125</v>
      </c>
      <c r="D1211">
        <v>611507368.61538863</v>
      </c>
      <c r="E1211">
        <v>2.253902052490378E-5</v>
      </c>
      <c r="F1211">
        <v>1.5415719072528481E-5</v>
      </c>
      <c r="G1211">
        <v>7.1233014523753023E-6</v>
      </c>
      <c r="H1211" t="b">
        <v>0</v>
      </c>
    </row>
    <row r="1212" spans="1:8" x14ac:dyDescent="0.15">
      <c r="A1212">
        <v>139</v>
      </c>
      <c r="B1212">
        <v>6</v>
      </c>
      <c r="C1212">
        <v>5492187.5</v>
      </c>
      <c r="D1212">
        <v>148746575.49619099</v>
      </c>
      <c r="E1212">
        <v>1.7891480014348811E-5</v>
      </c>
      <c r="F1212">
        <v>1.5415719072528481E-5</v>
      </c>
      <c r="G1212">
        <v>2.47576094182033E-6</v>
      </c>
      <c r="H1212" t="b">
        <v>0</v>
      </c>
    </row>
    <row r="1213" spans="1:8" x14ac:dyDescent="0.15">
      <c r="A1213">
        <v>139</v>
      </c>
      <c r="B1213">
        <v>7</v>
      </c>
      <c r="C1213">
        <v>5399218.75</v>
      </c>
      <c r="D1213">
        <v>20372555.9147796</v>
      </c>
      <c r="E1213">
        <v>1.5849201879918829E-5</v>
      </c>
      <c r="F1213">
        <v>1.5415719072528481E-5</v>
      </c>
      <c r="G1213">
        <v>4.3348280739035112E-7</v>
      </c>
      <c r="H1213" t="b">
        <v>0</v>
      </c>
    </row>
    <row r="1214" spans="1:8" x14ac:dyDescent="0.15">
      <c r="A1214">
        <v>139</v>
      </c>
      <c r="B1214">
        <v>8</v>
      </c>
      <c r="C1214">
        <v>5352734.375</v>
      </c>
      <c r="D1214">
        <v>-21199881.018042069</v>
      </c>
      <c r="E1214">
        <v>1.489437679728117E-5</v>
      </c>
      <c r="F1214">
        <v>1.5415719072528481E-5</v>
      </c>
      <c r="G1214">
        <v>-5.2134227524730792E-7</v>
      </c>
      <c r="H1214" t="b">
        <v>1</v>
      </c>
    </row>
    <row r="1215" spans="1:8" x14ac:dyDescent="0.15">
      <c r="A1215">
        <v>139</v>
      </c>
      <c r="B1215">
        <v>9</v>
      </c>
      <c r="C1215">
        <v>5375976.5625</v>
      </c>
      <c r="D1215">
        <v>-2162873.6552494909</v>
      </c>
      <c r="E1215">
        <v>1.536635097252641E-5</v>
      </c>
      <c r="F1215">
        <v>1.5415719072528481E-5</v>
      </c>
      <c r="G1215">
        <v>-4.9368100002064022E-8</v>
      </c>
      <c r="H1215" t="b">
        <v>1</v>
      </c>
    </row>
    <row r="1216" spans="1:8" x14ac:dyDescent="0.15">
      <c r="A1216">
        <v>139</v>
      </c>
      <c r="B1216">
        <v>10</v>
      </c>
      <c r="C1216">
        <v>5387597.65625</v>
      </c>
      <c r="D1216">
        <v>8657169.0828000847</v>
      </c>
      <c r="E1216">
        <v>1.5606407506624991E-5</v>
      </c>
      <c r="F1216">
        <v>1.5415719072528481E-5</v>
      </c>
      <c r="G1216">
        <v>1.906884340965134E-7</v>
      </c>
      <c r="H1216" t="b">
        <v>0</v>
      </c>
    </row>
    <row r="1217" spans="1:8" x14ac:dyDescent="0.15">
      <c r="A1217">
        <v>139</v>
      </c>
      <c r="B1217">
        <v>11</v>
      </c>
      <c r="C1217">
        <v>5381787.109375</v>
      </c>
      <c r="D1217">
        <v>3136580.9646182922</v>
      </c>
      <c r="E1217">
        <v>1.5486039436683889E-5</v>
      </c>
      <c r="F1217">
        <v>1.5415719072528481E-5</v>
      </c>
      <c r="G1217">
        <v>7.0320364155411654E-8</v>
      </c>
      <c r="H1217" t="b">
        <v>0</v>
      </c>
    </row>
    <row r="1218" spans="1:8" x14ac:dyDescent="0.15">
      <c r="A1218">
        <v>139</v>
      </c>
      <c r="B1218">
        <v>12</v>
      </c>
      <c r="C1218">
        <v>5384692.3828125</v>
      </c>
      <c r="D1218">
        <v>5869031.6933317939</v>
      </c>
      <c r="E1218">
        <v>1.5546137491901782E-5</v>
      </c>
      <c r="F1218">
        <v>1.5415719072528481E-5</v>
      </c>
      <c r="G1218">
        <v>1.3041841937330061E-7</v>
      </c>
      <c r="H1218" t="b">
        <v>0</v>
      </c>
    </row>
    <row r="1219" spans="1:8" x14ac:dyDescent="0.15">
      <c r="A1219">
        <v>139</v>
      </c>
      <c r="B1219">
        <v>13</v>
      </c>
      <c r="C1219">
        <v>5383239.74609375</v>
      </c>
      <c r="D1219">
        <v>4495899.658792004</v>
      </c>
      <c r="E1219">
        <v>1.5516067730182521E-5</v>
      </c>
      <c r="F1219">
        <v>1.5415719072528481E-5</v>
      </c>
      <c r="G1219">
        <v>1.003486576540402E-7</v>
      </c>
      <c r="H1219" t="b">
        <v>0</v>
      </c>
    </row>
    <row r="1220" spans="1:8" x14ac:dyDescent="0.15">
      <c r="A1220">
        <v>139</v>
      </c>
      <c r="B1220">
        <v>14</v>
      </c>
      <c r="C1220">
        <v>5383739.74609375</v>
      </c>
      <c r="D1220">
        <v>4966985.5787223168</v>
      </c>
      <c r="E1220">
        <v>1.5526413386056801E-5</v>
      </c>
      <c r="F1220">
        <v>1.5415719072528481E-5</v>
      </c>
      <c r="G1220">
        <v>1.106943135283229E-7</v>
      </c>
      <c r="H1220" t="b">
        <v>0</v>
      </c>
    </row>
    <row r="1221" spans="1:8" x14ac:dyDescent="0.15">
      <c r="A1221">
        <v>139</v>
      </c>
      <c r="B1221">
        <v>15</v>
      </c>
      <c r="C1221">
        <v>5384339.74609375</v>
      </c>
      <c r="D1221">
        <v>5534405.3128485484</v>
      </c>
      <c r="E1221">
        <v>1.5538833656636408E-5</v>
      </c>
      <c r="F1221">
        <v>1.5415719072528481E-5</v>
      </c>
      <c r="G1221">
        <v>1.231145841079341E-7</v>
      </c>
      <c r="H1221" t="b">
        <v>0</v>
      </c>
    </row>
    <row r="1222" spans="1:8" x14ac:dyDescent="0.15">
      <c r="A1222">
        <v>139</v>
      </c>
      <c r="B1222">
        <v>16</v>
      </c>
      <c r="C1222">
        <v>5384039.74609375</v>
      </c>
      <c r="D1222">
        <v>5250426.4561294932</v>
      </c>
      <c r="E1222">
        <v>1.5532623206078099E-5</v>
      </c>
      <c r="F1222">
        <v>1.5415719072528481E-5</v>
      </c>
      <c r="G1222">
        <v>1.169041335496246E-7</v>
      </c>
      <c r="H1222" t="b">
        <v>0</v>
      </c>
    </row>
    <row r="1223" spans="1:8" x14ac:dyDescent="0.15">
      <c r="A1223">
        <v>139</v>
      </c>
      <c r="B1223">
        <v>17</v>
      </c>
      <c r="C1223">
        <v>5384189.74609375</v>
      </c>
      <c r="D1223">
        <v>5392314.644779129</v>
      </c>
      <c r="E1223">
        <v>1.5535727609215432E-5</v>
      </c>
      <c r="F1223">
        <v>1.5415719072528481E-5</v>
      </c>
      <c r="G1223">
        <v>1.2000853668695069E-7</v>
      </c>
      <c r="H1223" t="b">
        <v>0</v>
      </c>
    </row>
    <row r="1224" spans="1:8" x14ac:dyDescent="0.15">
      <c r="A1224">
        <v>140</v>
      </c>
      <c r="B1224">
        <v>1</v>
      </c>
      <c r="C1224">
        <v>6050000</v>
      </c>
      <c r="D1224">
        <v>14092673282.853069</v>
      </c>
      <c r="E1224">
        <v>9.0447063303330375E-5</v>
      </c>
      <c r="F1224">
        <v>1.499870203236932E-5</v>
      </c>
      <c r="G1224">
        <v>7.544836127096105E-5</v>
      </c>
      <c r="H1224" t="b">
        <v>0</v>
      </c>
    </row>
    <row r="1225" spans="1:8" x14ac:dyDescent="0.15">
      <c r="A1225">
        <v>140</v>
      </c>
      <c r="B1225">
        <v>2</v>
      </c>
      <c r="C1225">
        <v>3075000</v>
      </c>
      <c r="D1225">
        <v>-374907.65924644843</v>
      </c>
      <c r="E1225">
        <v>2.8713651250450119E-6</v>
      </c>
      <c r="F1225">
        <v>1.499870203236933E-5</v>
      </c>
      <c r="G1225">
        <v>-1.2127336907324321E-5</v>
      </c>
      <c r="H1225" t="b">
        <v>1</v>
      </c>
    </row>
    <row r="1226" spans="1:8" x14ac:dyDescent="0.15">
      <c r="A1226">
        <v>140</v>
      </c>
      <c r="B1226">
        <v>3</v>
      </c>
      <c r="C1226">
        <v>4562500</v>
      </c>
      <c r="D1226">
        <v>-20700786.867406461</v>
      </c>
      <c r="E1226">
        <v>1.4501320265767269E-5</v>
      </c>
      <c r="F1226">
        <v>1.499870203236933E-5</v>
      </c>
      <c r="G1226">
        <v>-4.9738176660205897E-7</v>
      </c>
      <c r="H1226" t="b">
        <v>1</v>
      </c>
    </row>
    <row r="1227" spans="1:8" x14ac:dyDescent="0.15">
      <c r="A1227">
        <v>140</v>
      </c>
      <c r="B1227">
        <v>4</v>
      </c>
      <c r="C1227">
        <v>5306250</v>
      </c>
      <c r="D1227">
        <v>3352851093.9877791</v>
      </c>
      <c r="E1227">
        <v>4.0889389802120582E-5</v>
      </c>
      <c r="F1227">
        <v>1.499870203236933E-5</v>
      </c>
      <c r="G1227">
        <v>2.5890687769751251E-5</v>
      </c>
      <c r="H1227" t="b">
        <v>0</v>
      </c>
    </row>
    <row r="1228" spans="1:8" x14ac:dyDescent="0.15">
      <c r="A1228">
        <v>140</v>
      </c>
      <c r="B1228">
        <v>5</v>
      </c>
      <c r="C1228">
        <v>4934375</v>
      </c>
      <c r="D1228">
        <v>1005672923.793545</v>
      </c>
      <c r="E1228">
        <v>2.5277024397407711E-5</v>
      </c>
      <c r="F1228">
        <v>1.499870203236933E-5</v>
      </c>
      <c r="G1228">
        <v>1.0278322365038381E-5</v>
      </c>
      <c r="H1228" t="b">
        <v>0</v>
      </c>
    </row>
    <row r="1229" spans="1:8" x14ac:dyDescent="0.15">
      <c r="A1229">
        <v>140</v>
      </c>
      <c r="B1229">
        <v>6</v>
      </c>
      <c r="C1229">
        <v>4748437.5</v>
      </c>
      <c r="D1229">
        <v>322049493.1290133</v>
      </c>
      <c r="E1229">
        <v>1.9346654548911709E-5</v>
      </c>
      <c r="F1229">
        <v>1.499870203236933E-5</v>
      </c>
      <c r="G1229">
        <v>4.3479525165423796E-6</v>
      </c>
      <c r="H1229" t="b">
        <v>0</v>
      </c>
    </row>
    <row r="1230" spans="1:8" x14ac:dyDescent="0.15">
      <c r="A1230">
        <v>140</v>
      </c>
      <c r="B1230">
        <v>7</v>
      </c>
      <c r="C1230">
        <v>4655468.75</v>
      </c>
      <c r="D1230">
        <v>103294914.0958377</v>
      </c>
      <c r="E1230">
        <v>1.67962650965244E-5</v>
      </c>
      <c r="F1230">
        <v>1.499870203236933E-5</v>
      </c>
      <c r="G1230">
        <v>1.797563064155072E-6</v>
      </c>
      <c r="H1230" t="b">
        <v>0</v>
      </c>
    </row>
    <row r="1231" spans="1:8" x14ac:dyDescent="0.15">
      <c r="A1231">
        <v>140</v>
      </c>
      <c r="B1231">
        <v>8</v>
      </c>
      <c r="C1231">
        <v>4608984.375</v>
      </c>
      <c r="D1231">
        <v>30602741.309820779</v>
      </c>
      <c r="E1231">
        <v>1.5617780665438601E-5</v>
      </c>
      <c r="F1231">
        <v>1.499870203236933E-5</v>
      </c>
      <c r="G1231">
        <v>6.190786330692725E-7</v>
      </c>
      <c r="H1231" t="b">
        <v>0</v>
      </c>
    </row>
    <row r="1232" spans="1:8" x14ac:dyDescent="0.15">
      <c r="A1232">
        <v>140</v>
      </c>
      <c r="B1232">
        <v>9</v>
      </c>
      <c r="C1232">
        <v>4585742.1875</v>
      </c>
      <c r="D1232">
        <v>2420346.0209450731</v>
      </c>
      <c r="E1232">
        <v>1.505190044158013E-5</v>
      </c>
      <c r="F1232">
        <v>1.499870203236933E-5</v>
      </c>
      <c r="G1232">
        <v>5.3198409210799633E-8</v>
      </c>
      <c r="H1232" t="b">
        <v>0</v>
      </c>
    </row>
    <row r="1233" spans="1:8" x14ac:dyDescent="0.15">
      <c r="A1233">
        <v>140</v>
      </c>
      <c r="B1233">
        <v>10</v>
      </c>
      <c r="C1233">
        <v>4597363.28125</v>
      </c>
      <c r="D1233">
        <v>15860753.78888678</v>
      </c>
      <c r="E1233">
        <v>1.5332911263092591E-5</v>
      </c>
      <c r="F1233">
        <v>1.499870203236933E-5</v>
      </c>
      <c r="G1233">
        <v>3.3420923072326612E-7</v>
      </c>
      <c r="H1233" t="b">
        <v>0</v>
      </c>
    </row>
    <row r="1234" spans="1:8" x14ac:dyDescent="0.15">
      <c r="A1234">
        <v>140</v>
      </c>
      <c r="B1234">
        <v>11</v>
      </c>
      <c r="C1234">
        <v>4591552.734375</v>
      </c>
      <c r="D1234">
        <v>8980153.6517239194</v>
      </c>
      <c r="E1234">
        <v>1.519192638156422E-5</v>
      </c>
      <c r="F1234">
        <v>1.499870203236933E-5</v>
      </c>
      <c r="G1234">
        <v>1.932243491948949E-7</v>
      </c>
      <c r="H1234" t="b">
        <v>0</v>
      </c>
    </row>
    <row r="1235" spans="1:8" x14ac:dyDescent="0.15">
      <c r="A1235">
        <v>140</v>
      </c>
      <c r="B1235">
        <v>12</v>
      </c>
      <c r="C1235">
        <v>4588647.4609375</v>
      </c>
      <c r="D1235">
        <v>5660425.1322365971</v>
      </c>
      <c r="E1235">
        <v>1.512179362948221E-5</v>
      </c>
      <c r="F1235">
        <v>1.499870203236933E-5</v>
      </c>
      <c r="G1235">
        <v>1.2309159711288029E-7</v>
      </c>
      <c r="H1235" t="b">
        <v>0</v>
      </c>
    </row>
    <row r="1236" spans="1:8" x14ac:dyDescent="0.15">
      <c r="A1236">
        <v>140</v>
      </c>
      <c r="B1236">
        <v>13</v>
      </c>
      <c r="C1236">
        <v>4587194.82421875</v>
      </c>
      <c r="D1236">
        <v>4030464.8671790389</v>
      </c>
      <c r="E1236">
        <v>1.508681712421578E-5</v>
      </c>
      <c r="F1236">
        <v>1.499870203236933E-5</v>
      </c>
      <c r="G1236">
        <v>8.8115091846453422E-8</v>
      </c>
      <c r="H1236" t="b">
        <v>0</v>
      </c>
    </row>
    <row r="1237" spans="1:8" x14ac:dyDescent="0.15">
      <c r="A1237">
        <v>140</v>
      </c>
      <c r="B1237">
        <v>14</v>
      </c>
      <c r="C1237">
        <v>4587694.82421875</v>
      </c>
      <c r="D1237">
        <v>4589201.8334895577</v>
      </c>
      <c r="E1237">
        <v>1.5098848155741961E-5</v>
      </c>
      <c r="F1237">
        <v>1.499870203236933E-5</v>
      </c>
      <c r="G1237">
        <v>1.001461233726342E-7</v>
      </c>
      <c r="H1237" t="b">
        <v>0</v>
      </c>
    </row>
    <row r="1238" spans="1:8" x14ac:dyDescent="0.15">
      <c r="A1238">
        <v>141</v>
      </c>
      <c r="B1238">
        <v>1</v>
      </c>
      <c r="C1238">
        <v>6050000</v>
      </c>
      <c r="D1238">
        <v>48845460679.070137</v>
      </c>
      <c r="E1238">
        <v>2.035457208783838E-4</v>
      </c>
      <c r="F1238">
        <v>1.486371606496979E-5</v>
      </c>
      <c r="G1238">
        <v>1.8868200481341401E-4</v>
      </c>
      <c r="H1238" t="b">
        <v>0</v>
      </c>
    </row>
    <row r="1239" spans="1:8" x14ac:dyDescent="0.15">
      <c r="A1239">
        <v>141</v>
      </c>
      <c r="B1239">
        <v>2</v>
      </c>
      <c r="C1239">
        <v>3075000</v>
      </c>
      <c r="D1239">
        <v>-1406081.505934603</v>
      </c>
      <c r="E1239">
        <v>5.195880181882813E-6</v>
      </c>
      <c r="F1239">
        <v>1.486371606496979E-5</v>
      </c>
      <c r="G1239">
        <v>-9.6678358830869757E-6</v>
      </c>
      <c r="H1239" t="b">
        <v>1</v>
      </c>
    </row>
    <row r="1240" spans="1:8" x14ac:dyDescent="0.15">
      <c r="A1240">
        <v>141</v>
      </c>
      <c r="B1240">
        <v>3</v>
      </c>
      <c r="C1240">
        <v>4562500</v>
      </c>
      <c r="D1240">
        <v>3113179362.36022</v>
      </c>
      <c r="E1240">
        <v>3.9091753802898582E-5</v>
      </c>
      <c r="F1240">
        <v>1.486371606496979E-5</v>
      </c>
      <c r="G1240">
        <v>2.4228037737928799E-5</v>
      </c>
      <c r="H1240" t="b">
        <v>0</v>
      </c>
    </row>
    <row r="1241" spans="1:8" x14ac:dyDescent="0.15">
      <c r="A1241">
        <v>141</v>
      </c>
      <c r="B1241">
        <v>4</v>
      </c>
      <c r="C1241">
        <v>3818750</v>
      </c>
      <c r="D1241">
        <v>-68245005.422349438</v>
      </c>
      <c r="E1241">
        <v>1.2334708261407491E-5</v>
      </c>
      <c r="F1241">
        <v>1.486371606496979E-5</v>
      </c>
      <c r="G1241">
        <v>-2.5290078035623002E-6</v>
      </c>
      <c r="H1241" t="b">
        <v>1</v>
      </c>
    </row>
    <row r="1242" spans="1:8" x14ac:dyDescent="0.15">
      <c r="A1242">
        <v>141</v>
      </c>
      <c r="B1242">
        <v>5</v>
      </c>
      <c r="C1242">
        <v>4190625</v>
      </c>
      <c r="D1242">
        <v>631864623.01079023</v>
      </c>
      <c r="E1242">
        <v>2.1878339766560149E-5</v>
      </c>
      <c r="F1242">
        <v>1.486371606496979E-5</v>
      </c>
      <c r="G1242">
        <v>7.0146237015903634E-6</v>
      </c>
      <c r="H1242" t="b">
        <v>0</v>
      </c>
    </row>
    <row r="1243" spans="1:8" x14ac:dyDescent="0.15">
      <c r="A1243">
        <v>141</v>
      </c>
      <c r="B1243">
        <v>6</v>
      </c>
      <c r="C1243">
        <v>4004687.5</v>
      </c>
      <c r="D1243">
        <v>45864999.233795889</v>
      </c>
      <c r="E1243">
        <v>1.5750507602748828E-5</v>
      </c>
      <c r="F1243">
        <v>1.486371606496979E-5</v>
      </c>
      <c r="G1243">
        <v>8.8679153777903635E-7</v>
      </c>
      <c r="H1243" t="b">
        <v>0</v>
      </c>
    </row>
    <row r="1244" spans="1:8" x14ac:dyDescent="0.15">
      <c r="A1244">
        <v>141</v>
      </c>
      <c r="B1244">
        <v>7</v>
      </c>
      <c r="C1244">
        <v>3911718.75</v>
      </c>
      <c r="D1244">
        <v>-49265198.098636024</v>
      </c>
      <c r="E1244">
        <v>1.3470789557745469E-5</v>
      </c>
      <c r="F1244">
        <v>1.486371606496979E-5</v>
      </c>
      <c r="G1244">
        <v>-1.392926507224319E-6</v>
      </c>
      <c r="H1244" t="b">
        <v>1</v>
      </c>
    </row>
    <row r="1245" spans="1:8" x14ac:dyDescent="0.15">
      <c r="A1245">
        <v>141</v>
      </c>
      <c r="B1245">
        <v>8</v>
      </c>
      <c r="C1245">
        <v>3958203.125</v>
      </c>
      <c r="D1245">
        <v>-17918757.019535709</v>
      </c>
      <c r="E1245">
        <v>1.444134046452156E-5</v>
      </c>
      <c r="F1245">
        <v>1.486371606496979E-5</v>
      </c>
      <c r="G1245">
        <v>-4.2237560044822858E-7</v>
      </c>
      <c r="H1245" t="b">
        <v>1</v>
      </c>
    </row>
    <row r="1246" spans="1:8" x14ac:dyDescent="0.15">
      <c r="A1246">
        <v>141</v>
      </c>
      <c r="B1246">
        <v>9</v>
      </c>
      <c r="C1246">
        <v>3981445.3125</v>
      </c>
      <c r="D1246">
        <v>10424060.063681399</v>
      </c>
      <c r="E1246">
        <v>1.508535834920538E-5</v>
      </c>
      <c r="F1246">
        <v>1.486371606496979E-5</v>
      </c>
      <c r="G1246">
        <v>2.2164228423559479E-7</v>
      </c>
      <c r="H1246" t="b">
        <v>0</v>
      </c>
    </row>
    <row r="1247" spans="1:8" x14ac:dyDescent="0.15">
      <c r="A1247">
        <v>141</v>
      </c>
      <c r="B1247">
        <v>10</v>
      </c>
      <c r="C1247">
        <v>3969824.21875</v>
      </c>
      <c r="D1247">
        <v>-4604970.6262694485</v>
      </c>
      <c r="E1247">
        <v>1.476073499761014E-5</v>
      </c>
      <c r="F1247">
        <v>1.486371606496979E-5</v>
      </c>
      <c r="G1247">
        <v>-1.0298106735965331E-7</v>
      </c>
      <c r="H1247" t="b">
        <v>1</v>
      </c>
    </row>
    <row r="1248" spans="1:8" x14ac:dyDescent="0.15">
      <c r="A1248">
        <v>141</v>
      </c>
      <c r="B1248">
        <v>11</v>
      </c>
      <c r="C1248">
        <v>3975634.765625</v>
      </c>
      <c r="D1248">
        <v>2691397.5925551741</v>
      </c>
      <c r="E1248">
        <v>1.492238896618961E-5</v>
      </c>
      <c r="F1248">
        <v>1.486371606496979E-5</v>
      </c>
      <c r="G1248">
        <v>5.8672901219818407E-8</v>
      </c>
      <c r="H1248" t="b">
        <v>0</v>
      </c>
    </row>
    <row r="1249" spans="1:8" x14ac:dyDescent="0.15">
      <c r="A1249">
        <v>141</v>
      </c>
      <c r="B1249">
        <v>12</v>
      </c>
      <c r="C1249">
        <v>3978540.0390625</v>
      </c>
      <c r="D1249">
        <v>6502793.8400043407</v>
      </c>
      <c r="E1249">
        <v>1.5003710189829569E-5</v>
      </c>
      <c r="F1249">
        <v>1.486371606496979E-5</v>
      </c>
      <c r="G1249">
        <v>1.3999412485978061E-7</v>
      </c>
      <c r="H1249" t="b">
        <v>0</v>
      </c>
    </row>
    <row r="1250" spans="1:8" x14ac:dyDescent="0.15">
      <c r="A1250">
        <v>141</v>
      </c>
      <c r="B1250">
        <v>13</v>
      </c>
      <c r="C1250">
        <v>3977087.40234375</v>
      </c>
      <c r="D1250">
        <v>4583433.2070010202</v>
      </c>
      <c r="E1250">
        <v>1.496300905999954E-5</v>
      </c>
      <c r="F1250">
        <v>1.486371606496979E-5</v>
      </c>
      <c r="G1250">
        <v>9.929299502975134E-8</v>
      </c>
      <c r="H1250" t="b">
        <v>0</v>
      </c>
    </row>
    <row r="1251" spans="1:8" x14ac:dyDescent="0.15">
      <c r="A1251">
        <v>141</v>
      </c>
      <c r="B1251">
        <v>14</v>
      </c>
      <c r="C1251">
        <v>3975887.40234375</v>
      </c>
      <c r="D1251">
        <v>3018481.125511867</v>
      </c>
      <c r="E1251">
        <v>1.492944733588761E-5</v>
      </c>
      <c r="F1251">
        <v>1.486371606496979E-5</v>
      </c>
      <c r="G1251">
        <v>6.5731270917819697E-8</v>
      </c>
      <c r="H1251" t="b">
        <v>0</v>
      </c>
    </row>
    <row r="1252" spans="1:8" x14ac:dyDescent="0.15">
      <c r="A1252">
        <v>141</v>
      </c>
      <c r="B1252">
        <v>15</v>
      </c>
      <c r="C1252">
        <v>3976487.40234375</v>
      </c>
      <c r="D1252">
        <v>3798653.5369534851</v>
      </c>
      <c r="E1252">
        <v>1.4946221788291319E-5</v>
      </c>
      <c r="F1252">
        <v>1.486371606496979E-5</v>
      </c>
      <c r="G1252">
        <v>8.250572332153049E-8</v>
      </c>
      <c r="H1252" t="b">
        <v>0</v>
      </c>
    </row>
    <row r="1253" spans="1:8" x14ac:dyDescent="0.15">
      <c r="A1253">
        <v>141</v>
      </c>
      <c r="B1253">
        <v>16</v>
      </c>
      <c r="C1253">
        <v>3977207.40234375</v>
      </c>
      <c r="D1253">
        <v>4740949.4308903068</v>
      </c>
      <c r="E1253">
        <v>1.496636819775735E-5</v>
      </c>
      <c r="F1253">
        <v>1.486371606496979E-5</v>
      </c>
      <c r="G1253">
        <v>1.0265213278755969E-7</v>
      </c>
      <c r="H1253" t="b">
        <v>0</v>
      </c>
    </row>
    <row r="1254" spans="1:8" x14ac:dyDescent="0.15">
      <c r="A1254">
        <v>141</v>
      </c>
      <c r="B1254">
        <v>17</v>
      </c>
      <c r="C1254">
        <v>3976847.40234375</v>
      </c>
      <c r="D1254">
        <v>4268961.2444915092</v>
      </c>
      <c r="E1254">
        <v>1.4956292468069389E-5</v>
      </c>
      <c r="F1254">
        <v>1.486371606496979E-5</v>
      </c>
      <c r="G1254">
        <v>9.257640309960242E-8</v>
      </c>
      <c r="H1254" t="b">
        <v>0</v>
      </c>
    </row>
    <row r="1255" spans="1:8" x14ac:dyDescent="0.15">
      <c r="A1255">
        <v>141</v>
      </c>
      <c r="B1255">
        <v>18</v>
      </c>
      <c r="C1255">
        <v>3976415.40234375</v>
      </c>
      <c r="D1255">
        <v>3704793.4981638612</v>
      </c>
      <c r="E1255">
        <v>1.494420825819097E-5</v>
      </c>
      <c r="F1255">
        <v>1.486371606496979E-5</v>
      </c>
      <c r="G1255">
        <v>8.0492193221178371E-8</v>
      </c>
      <c r="H1255" t="b">
        <v>0</v>
      </c>
    </row>
    <row r="1256" spans="1:8" x14ac:dyDescent="0.15">
      <c r="A1256">
        <v>141</v>
      </c>
      <c r="B1256">
        <v>19</v>
      </c>
      <c r="C1256">
        <v>3976631.40234375</v>
      </c>
      <c r="D1256">
        <v>3986575.0750578712</v>
      </c>
      <c r="E1256">
        <v>1.4950249454311011E-5</v>
      </c>
      <c r="F1256">
        <v>1.486371606496979E-5</v>
      </c>
      <c r="G1256">
        <v>8.6533389341218573E-8</v>
      </c>
      <c r="H1256" t="b">
        <v>0</v>
      </c>
    </row>
    <row r="1257" spans="1:8" x14ac:dyDescent="0.15">
      <c r="A1257">
        <v>142</v>
      </c>
      <c r="B1257">
        <v>1</v>
      </c>
      <c r="C1257">
        <v>6050000</v>
      </c>
      <c r="D1257">
        <v>42965286042.492783</v>
      </c>
      <c r="E1257">
        <v>1.862335476525411E-4</v>
      </c>
      <c r="F1257">
        <v>1.486371606496979E-5</v>
      </c>
      <c r="G1257">
        <v>1.7136983158757131E-4</v>
      </c>
      <c r="H1257" t="b">
        <v>0</v>
      </c>
    </row>
    <row r="1258" spans="1:8" x14ac:dyDescent="0.15">
      <c r="A1258">
        <v>142</v>
      </c>
      <c r="B1258">
        <v>2</v>
      </c>
      <c r="C1258">
        <v>3075000</v>
      </c>
      <c r="D1258">
        <v>-1128271.279311127</v>
      </c>
      <c r="E1258">
        <v>4.862764504681246E-6</v>
      </c>
      <c r="F1258">
        <v>1.486371606496979E-5</v>
      </c>
      <c r="G1258">
        <v>-1.0000951560288539E-5</v>
      </c>
      <c r="H1258" t="b">
        <v>1</v>
      </c>
    </row>
    <row r="1259" spans="1:8" x14ac:dyDescent="0.15">
      <c r="A1259">
        <v>142</v>
      </c>
      <c r="B1259">
        <v>3</v>
      </c>
      <c r="C1259">
        <v>4562500</v>
      </c>
      <c r="D1259">
        <v>2456253724.6455112</v>
      </c>
      <c r="E1259">
        <v>3.5121044191567558E-5</v>
      </c>
      <c r="F1259">
        <v>1.486371606496979E-5</v>
      </c>
      <c r="G1259">
        <v>2.0257328126597771E-5</v>
      </c>
      <c r="H1259" t="b">
        <v>0</v>
      </c>
    </row>
    <row r="1260" spans="1:8" x14ac:dyDescent="0.15">
      <c r="A1260">
        <v>142</v>
      </c>
      <c r="B1260">
        <v>4</v>
      </c>
      <c r="C1260">
        <v>3818750</v>
      </c>
      <c r="D1260">
        <v>-70393155.652314335</v>
      </c>
      <c r="E1260">
        <v>1.1629314746499149E-5</v>
      </c>
      <c r="F1260">
        <v>1.486371606496979E-5</v>
      </c>
      <c r="G1260">
        <v>-3.234401318470641E-6</v>
      </c>
      <c r="H1260" t="b">
        <v>1</v>
      </c>
    </row>
    <row r="1261" spans="1:8" x14ac:dyDescent="0.15">
      <c r="A1261">
        <v>142</v>
      </c>
      <c r="B1261">
        <v>5</v>
      </c>
      <c r="C1261">
        <v>4190625</v>
      </c>
      <c r="D1261">
        <v>357481381.68446559</v>
      </c>
      <c r="E1261">
        <v>1.95142045754592E-5</v>
      </c>
      <c r="F1261">
        <v>1.486371606496979E-5</v>
      </c>
      <c r="G1261">
        <v>4.6504885104894146E-6</v>
      </c>
      <c r="H1261" t="b">
        <v>0</v>
      </c>
    </row>
    <row r="1262" spans="1:8" x14ac:dyDescent="0.15">
      <c r="A1262">
        <v>142</v>
      </c>
      <c r="B1262">
        <v>6</v>
      </c>
      <c r="C1262">
        <v>4004687.5</v>
      </c>
      <c r="D1262">
        <v>-34220176.626163773</v>
      </c>
      <c r="E1262">
        <v>1.398978512428943E-5</v>
      </c>
      <c r="F1262">
        <v>1.486371606496979E-5</v>
      </c>
      <c r="G1262">
        <v>-8.7393094068036335E-7</v>
      </c>
      <c r="H1262" t="b">
        <v>1</v>
      </c>
    </row>
    <row r="1263" spans="1:8" x14ac:dyDescent="0.15">
      <c r="A1263">
        <v>142</v>
      </c>
      <c r="B1263">
        <v>7</v>
      </c>
      <c r="C1263">
        <v>4097656.25</v>
      </c>
      <c r="D1263">
        <v>98805061.816632405</v>
      </c>
      <c r="E1263">
        <v>1.6582578136080962E-5</v>
      </c>
      <c r="F1263">
        <v>1.486371606496979E-5</v>
      </c>
      <c r="G1263">
        <v>1.718862071111173E-6</v>
      </c>
      <c r="H1263" t="b">
        <v>0</v>
      </c>
    </row>
    <row r="1264" spans="1:8" x14ac:dyDescent="0.15">
      <c r="A1264">
        <v>142</v>
      </c>
      <c r="B1264">
        <v>8</v>
      </c>
      <c r="C1264">
        <v>4051171.875</v>
      </c>
      <c r="D1264">
        <v>18381844.433716699</v>
      </c>
      <c r="E1264">
        <v>1.52453551342348E-5</v>
      </c>
      <c r="F1264">
        <v>1.486371606496979E-5</v>
      </c>
      <c r="G1264">
        <v>3.8163906926500779E-7</v>
      </c>
      <c r="H1264" t="b">
        <v>0</v>
      </c>
    </row>
    <row r="1265" spans="1:8" x14ac:dyDescent="0.15">
      <c r="A1265">
        <v>142</v>
      </c>
      <c r="B1265">
        <v>9</v>
      </c>
      <c r="C1265">
        <v>4027929.6875</v>
      </c>
      <c r="D1265">
        <v>-11170038.70195704</v>
      </c>
      <c r="E1265">
        <v>1.460763712167597E-5</v>
      </c>
      <c r="F1265">
        <v>1.486371606496979E-5</v>
      </c>
      <c r="G1265">
        <v>-2.5607894329381739E-7</v>
      </c>
      <c r="H1265" t="b">
        <v>1</v>
      </c>
    </row>
    <row r="1266" spans="1:8" x14ac:dyDescent="0.15">
      <c r="A1266">
        <v>142</v>
      </c>
      <c r="B1266">
        <v>10</v>
      </c>
      <c r="C1266">
        <v>4039550.78125</v>
      </c>
      <c r="D1266">
        <v>2764247.8034925568</v>
      </c>
      <c r="E1266">
        <v>1.492396237981376E-5</v>
      </c>
      <c r="F1266">
        <v>1.486371606496979E-5</v>
      </c>
      <c r="G1266">
        <v>6.024631484397002E-8</v>
      </c>
      <c r="H1266" t="b">
        <v>0</v>
      </c>
    </row>
    <row r="1267" spans="1:8" x14ac:dyDescent="0.15">
      <c r="A1267">
        <v>142</v>
      </c>
      <c r="B1267">
        <v>11</v>
      </c>
      <c r="C1267">
        <v>4045361.328125</v>
      </c>
      <c r="D1267">
        <v>10359131.134806059</v>
      </c>
      <c r="E1267">
        <v>1.5084022253383061E-5</v>
      </c>
      <c r="F1267">
        <v>1.486371606496979E-5</v>
      </c>
      <c r="G1267">
        <v>2.203061884132736E-7</v>
      </c>
      <c r="H1267" t="b">
        <v>0</v>
      </c>
    </row>
    <row r="1268" spans="1:8" x14ac:dyDescent="0.15">
      <c r="A1268">
        <v>142</v>
      </c>
      <c r="B1268">
        <v>12</v>
      </c>
      <c r="C1268">
        <v>4042456.0546875</v>
      </c>
      <c r="D1268">
        <v>6508705.8930939818</v>
      </c>
      <c r="E1268">
        <v>1.50038347914296E-5</v>
      </c>
      <c r="F1268">
        <v>1.486371606496979E-5</v>
      </c>
      <c r="G1268">
        <v>1.401187264598077E-7</v>
      </c>
      <c r="H1268" t="b">
        <v>0</v>
      </c>
    </row>
    <row r="1269" spans="1:8" x14ac:dyDescent="0.15">
      <c r="A1269">
        <v>142</v>
      </c>
      <c r="B1269">
        <v>13</v>
      </c>
      <c r="C1269">
        <v>4041003.41796875</v>
      </c>
      <c r="D1269">
        <v>4623299.0675541619</v>
      </c>
      <c r="E1269">
        <v>1.4963859549597189E-5</v>
      </c>
      <c r="F1269">
        <v>1.486371606496979E-5</v>
      </c>
      <c r="G1269">
        <v>1.00143484627404E-7</v>
      </c>
      <c r="H1269" t="b">
        <v>0</v>
      </c>
    </row>
    <row r="1270" spans="1:8" x14ac:dyDescent="0.15">
      <c r="A1270">
        <v>142</v>
      </c>
      <c r="B1270">
        <v>14</v>
      </c>
      <c r="C1270">
        <v>4039803.41796875</v>
      </c>
      <c r="D1270">
        <v>3085719.9453037689</v>
      </c>
      <c r="E1270">
        <v>1.493089643535238E-5</v>
      </c>
      <c r="F1270">
        <v>1.486371606496979E-5</v>
      </c>
      <c r="G1270">
        <v>6.7180370382588386E-8</v>
      </c>
      <c r="H1270" t="b">
        <v>0</v>
      </c>
    </row>
    <row r="1271" spans="1:8" x14ac:dyDescent="0.15">
      <c r="A1271">
        <v>142</v>
      </c>
      <c r="B1271">
        <v>15</v>
      </c>
      <c r="C1271">
        <v>4040403.41796875</v>
      </c>
      <c r="D1271">
        <v>3852204.3853074349</v>
      </c>
      <c r="E1271">
        <v>1.494737003203553E-5</v>
      </c>
      <c r="F1271">
        <v>1.486371606496979E-5</v>
      </c>
      <c r="G1271">
        <v>8.3653967065739208E-8</v>
      </c>
      <c r="H1271" t="b">
        <v>0</v>
      </c>
    </row>
    <row r="1272" spans="1:8" x14ac:dyDescent="0.15">
      <c r="A1272">
        <v>142</v>
      </c>
      <c r="B1272">
        <v>16</v>
      </c>
      <c r="C1272">
        <v>4041123.41796875</v>
      </c>
      <c r="D1272">
        <v>4777990.7700529248</v>
      </c>
      <c r="E1272">
        <v>1.496715763193653E-5</v>
      </c>
      <c r="F1272">
        <v>1.486371606496979E-5</v>
      </c>
      <c r="G1272">
        <v>1.034415669667415E-7</v>
      </c>
      <c r="H1272" t="b">
        <v>0</v>
      </c>
    </row>
    <row r="1273" spans="1:8" x14ac:dyDescent="0.15">
      <c r="A1273">
        <v>142</v>
      </c>
      <c r="B1273">
        <v>17</v>
      </c>
      <c r="C1273">
        <v>4040763.41796875</v>
      </c>
      <c r="D1273">
        <v>4314343.3480886677</v>
      </c>
      <c r="E1273">
        <v>1.4957262600755479E-5</v>
      </c>
      <c r="F1273">
        <v>1.486371606496979E-5</v>
      </c>
      <c r="G1273">
        <v>9.3546535785689092E-8</v>
      </c>
      <c r="H1273" t="b">
        <v>0</v>
      </c>
    </row>
    <row r="1274" spans="1:8" x14ac:dyDescent="0.15">
      <c r="A1274">
        <v>142</v>
      </c>
      <c r="B1274">
        <v>18</v>
      </c>
      <c r="C1274">
        <v>4040331.41796875</v>
      </c>
      <c r="D1274">
        <v>3759982.2184218718</v>
      </c>
      <c r="E1274">
        <v>1.4945392342812861E-5</v>
      </c>
      <c r="F1274">
        <v>1.486371606496979E-5</v>
      </c>
      <c r="G1274">
        <v>8.1676277843072031E-8</v>
      </c>
      <c r="H1274" t="b">
        <v>0</v>
      </c>
    </row>
    <row r="1275" spans="1:8" x14ac:dyDescent="0.15">
      <c r="A1275">
        <v>142</v>
      </c>
      <c r="B1275">
        <v>19</v>
      </c>
      <c r="C1275">
        <v>4040547.41796875</v>
      </c>
      <c r="D1275">
        <v>4036843.0516144349</v>
      </c>
      <c r="E1275">
        <v>1.495132599444377E-5</v>
      </c>
      <c r="F1275">
        <v>1.486371606496979E-5</v>
      </c>
      <c r="G1275">
        <v>8.7609929473983261E-8</v>
      </c>
      <c r="H1275" t="b">
        <v>0</v>
      </c>
    </row>
    <row r="1276" spans="1:8" x14ac:dyDescent="0.15">
      <c r="A1276">
        <v>143</v>
      </c>
      <c r="B1276">
        <v>1</v>
      </c>
      <c r="C1276">
        <v>6050000</v>
      </c>
      <c r="D1276">
        <v>17808967055.33247</v>
      </c>
      <c r="E1276">
        <v>1.036796354305262E-4</v>
      </c>
      <c r="F1276">
        <v>1.486371606496979E-5</v>
      </c>
      <c r="G1276">
        <v>8.8815919365556431E-5</v>
      </c>
      <c r="H1276" t="b">
        <v>0</v>
      </c>
    </row>
    <row r="1277" spans="1:8" x14ac:dyDescent="0.15">
      <c r="A1277">
        <v>143</v>
      </c>
      <c r="B1277">
        <v>2</v>
      </c>
      <c r="C1277">
        <v>3075000</v>
      </c>
      <c r="D1277">
        <v>-436071.94457572128</v>
      </c>
      <c r="E1277">
        <v>3.160111790084305E-6</v>
      </c>
      <c r="F1277">
        <v>1.486371606496979E-5</v>
      </c>
      <c r="G1277">
        <v>-1.170360427488548E-5</v>
      </c>
      <c r="H1277" t="b">
        <v>1</v>
      </c>
    </row>
    <row r="1278" spans="1:8" x14ac:dyDescent="0.15">
      <c r="A1278">
        <v>143</v>
      </c>
      <c r="B1278">
        <v>3</v>
      </c>
      <c r="C1278">
        <v>4562500</v>
      </c>
      <c r="D1278">
        <v>142291209.6554763</v>
      </c>
      <c r="E1278">
        <v>1.7176461850599661E-5</v>
      </c>
      <c r="F1278">
        <v>1.486371606496979E-5</v>
      </c>
      <c r="G1278">
        <v>2.312745785629876E-6</v>
      </c>
      <c r="H1278" t="b">
        <v>0</v>
      </c>
    </row>
    <row r="1279" spans="1:8" x14ac:dyDescent="0.15">
      <c r="A1279">
        <v>143</v>
      </c>
      <c r="B1279">
        <v>4</v>
      </c>
      <c r="C1279">
        <v>3818750</v>
      </c>
      <c r="D1279">
        <v>-11459155.11311819</v>
      </c>
      <c r="E1279">
        <v>7.8703291798634746E-6</v>
      </c>
      <c r="F1279">
        <v>1.486371606496979E-5</v>
      </c>
      <c r="G1279">
        <v>-6.9933868851063141E-6</v>
      </c>
      <c r="H1279" t="b">
        <v>1</v>
      </c>
    </row>
    <row r="1280" spans="1:8" x14ac:dyDescent="0.15">
      <c r="A1280">
        <v>143</v>
      </c>
      <c r="B1280">
        <v>5</v>
      </c>
      <c r="C1280">
        <v>4190625</v>
      </c>
      <c r="D1280">
        <v>-68598411.251938596</v>
      </c>
      <c r="E1280">
        <v>1.1253948076621879E-5</v>
      </c>
      <c r="F1280">
        <v>1.486371606496979E-5</v>
      </c>
      <c r="G1280">
        <v>-3.60976798834791E-6</v>
      </c>
      <c r="H1280" t="b">
        <v>1</v>
      </c>
    </row>
    <row r="1281" spans="1:8" x14ac:dyDescent="0.15">
      <c r="A1281">
        <v>143</v>
      </c>
      <c r="B1281">
        <v>6</v>
      </c>
      <c r="C1281">
        <v>4376562.5</v>
      </c>
      <c r="D1281">
        <v>-55725389.286777727</v>
      </c>
      <c r="E1281">
        <v>1.319089087423093E-5</v>
      </c>
      <c r="F1281">
        <v>1.486371606496979E-5</v>
      </c>
      <c r="G1281">
        <v>-1.6728251907388539E-6</v>
      </c>
      <c r="H1281" t="b">
        <v>1</v>
      </c>
    </row>
    <row r="1282" spans="1:8" x14ac:dyDescent="0.15">
      <c r="A1282">
        <v>143</v>
      </c>
      <c r="B1282">
        <v>7</v>
      </c>
      <c r="C1282">
        <v>4469531.25</v>
      </c>
      <c r="D1282">
        <v>-3508424.9419323239</v>
      </c>
      <c r="E1282">
        <v>1.4785567490637259E-5</v>
      </c>
      <c r="F1282">
        <v>1.486371606496979E-5</v>
      </c>
      <c r="G1282">
        <v>-7.8148574332526034E-8</v>
      </c>
      <c r="H1282" t="b">
        <v>1</v>
      </c>
    </row>
    <row r="1283" spans="1:8" x14ac:dyDescent="0.15">
      <c r="A1283">
        <v>143</v>
      </c>
      <c r="B1283">
        <v>8</v>
      </c>
      <c r="C1283">
        <v>4516015.625</v>
      </c>
      <c r="D1283">
        <v>57571165.739504777</v>
      </c>
      <c r="E1283">
        <v>1.594795725185682E-5</v>
      </c>
      <c r="F1283">
        <v>1.486371606496979E-5</v>
      </c>
      <c r="G1283">
        <v>1.0842411868870309E-6</v>
      </c>
      <c r="H1283" t="b">
        <v>0</v>
      </c>
    </row>
    <row r="1284" spans="1:8" x14ac:dyDescent="0.15">
      <c r="A1284">
        <v>143</v>
      </c>
      <c r="B1284">
        <v>9</v>
      </c>
      <c r="C1284">
        <v>4492773.4375</v>
      </c>
      <c r="D1284">
        <v>24234206.438804861</v>
      </c>
      <c r="E1284">
        <v>1.535863252842786E-5</v>
      </c>
      <c r="F1284">
        <v>1.486371606496979E-5</v>
      </c>
      <c r="G1284">
        <v>4.949164634580748E-7</v>
      </c>
      <c r="H1284" t="b">
        <v>0</v>
      </c>
    </row>
    <row r="1285" spans="1:8" x14ac:dyDescent="0.15">
      <c r="A1285">
        <v>143</v>
      </c>
      <c r="B1285">
        <v>10</v>
      </c>
      <c r="C1285">
        <v>4481152.34375</v>
      </c>
      <c r="D1285">
        <v>9683326.5711417347</v>
      </c>
      <c r="E1285">
        <v>1.5070084621919199E-5</v>
      </c>
      <c r="F1285">
        <v>1.486371606496979E-5</v>
      </c>
      <c r="G1285">
        <v>2.0636855694941389E-7</v>
      </c>
      <c r="H1285" t="b">
        <v>0</v>
      </c>
    </row>
    <row r="1286" spans="1:8" x14ac:dyDescent="0.15">
      <c r="A1286">
        <v>143</v>
      </c>
      <c r="B1286">
        <v>11</v>
      </c>
      <c r="C1286">
        <v>4475341.796875</v>
      </c>
      <c r="D1286">
        <v>2920081.1409639721</v>
      </c>
      <c r="E1286">
        <v>1.492732550244975E-5</v>
      </c>
      <c r="F1286">
        <v>1.486371606496979E-5</v>
      </c>
      <c r="G1286">
        <v>6.3609437479960997E-8</v>
      </c>
      <c r="H1286" t="b">
        <v>0</v>
      </c>
    </row>
    <row r="1287" spans="1:8" x14ac:dyDescent="0.15">
      <c r="A1287">
        <v>143</v>
      </c>
      <c r="B1287">
        <v>12</v>
      </c>
      <c r="C1287">
        <v>4478247.0703125</v>
      </c>
      <c r="D1287">
        <v>6259512.1262578778</v>
      </c>
      <c r="E1287">
        <v>1.49985787793723E-5</v>
      </c>
      <c r="F1287">
        <v>1.486371606496979E-5</v>
      </c>
      <c r="G1287">
        <v>1.3486271440251281E-7</v>
      </c>
      <c r="H1287" t="b">
        <v>0</v>
      </c>
    </row>
    <row r="1288" spans="1:8" x14ac:dyDescent="0.15">
      <c r="A1288">
        <v>143</v>
      </c>
      <c r="B1288">
        <v>13</v>
      </c>
      <c r="C1288">
        <v>4476794.43359375</v>
      </c>
      <c r="D1288">
        <v>4579266.7693865448</v>
      </c>
      <c r="E1288">
        <v>1.4962920161449399E-5</v>
      </c>
      <c r="F1288">
        <v>1.486371606496979E-5</v>
      </c>
      <c r="G1288">
        <v>9.920409647961406E-8</v>
      </c>
      <c r="H1288" t="b">
        <v>0</v>
      </c>
    </row>
    <row r="1289" spans="1:8" x14ac:dyDescent="0.15">
      <c r="A1289">
        <v>143</v>
      </c>
      <c r="B1289">
        <v>14</v>
      </c>
      <c r="C1289">
        <v>4475594.43359375</v>
      </c>
      <c r="D1289">
        <v>3207144.1052285121</v>
      </c>
      <c r="E1289">
        <v>1.4933511680161191E-5</v>
      </c>
      <c r="F1289">
        <v>1.486371606496979E-5</v>
      </c>
      <c r="G1289">
        <v>6.9795615191405337E-8</v>
      </c>
      <c r="H1289" t="b">
        <v>0</v>
      </c>
    </row>
    <row r="1290" spans="1:8" x14ac:dyDescent="0.15">
      <c r="A1290">
        <v>143</v>
      </c>
      <c r="B1290">
        <v>15</v>
      </c>
      <c r="C1290">
        <v>4476194.43359375</v>
      </c>
      <c r="D1290">
        <v>3891389.0259128739</v>
      </c>
      <c r="E1290">
        <v>1.4948209978907049E-5</v>
      </c>
      <c r="F1290">
        <v>1.486371606496979E-5</v>
      </c>
      <c r="G1290">
        <v>8.4493913937257247E-8</v>
      </c>
      <c r="H1290" t="b">
        <v>0</v>
      </c>
    </row>
    <row r="1291" spans="1:8" x14ac:dyDescent="0.15">
      <c r="A1291">
        <v>143</v>
      </c>
      <c r="B1291">
        <v>16</v>
      </c>
      <c r="C1291">
        <v>4476914.43359375</v>
      </c>
      <c r="D1291">
        <v>4717272.1713047577</v>
      </c>
      <c r="E1291">
        <v>1.496586348310922E-5</v>
      </c>
      <c r="F1291">
        <v>1.486371606496979E-5</v>
      </c>
      <c r="G1291">
        <v>1.021474181394361E-7</v>
      </c>
      <c r="H1291" t="b">
        <v>0</v>
      </c>
    </row>
    <row r="1292" spans="1:8" x14ac:dyDescent="0.15">
      <c r="A1292">
        <v>143</v>
      </c>
      <c r="B1292">
        <v>17</v>
      </c>
      <c r="C1292">
        <v>4476554.43359375</v>
      </c>
      <c r="D1292">
        <v>4303685.9491389124</v>
      </c>
      <c r="E1292">
        <v>1.495703480339163E-5</v>
      </c>
      <c r="F1292">
        <v>1.486371606496979E-5</v>
      </c>
      <c r="G1292">
        <v>9.3318738421841485E-8</v>
      </c>
      <c r="H1292" t="b">
        <v>0</v>
      </c>
    </row>
    <row r="1293" spans="1:8" x14ac:dyDescent="0.15">
      <c r="A1293">
        <v>143</v>
      </c>
      <c r="B1293">
        <v>18</v>
      </c>
      <c r="C1293">
        <v>4476734.43359375</v>
      </c>
      <c r="D1293">
        <v>4510373.1035320722</v>
      </c>
      <c r="E1293">
        <v>1.496144984130562E-5</v>
      </c>
      <c r="F1293">
        <v>1.486371606496979E-5</v>
      </c>
      <c r="G1293">
        <v>9.7733776335832948E-8</v>
      </c>
      <c r="H1293" t="b">
        <v>0</v>
      </c>
    </row>
    <row r="1294" spans="1:8" x14ac:dyDescent="0.15">
      <c r="A1294">
        <v>144</v>
      </c>
      <c r="B1294">
        <v>1</v>
      </c>
      <c r="C1294">
        <v>6050000</v>
      </c>
      <c r="D1294">
        <v>11405840016.39975</v>
      </c>
      <c r="E1294">
        <v>5.3540368845445688E-5</v>
      </c>
      <c r="F1294">
        <v>1.0648178955476381E-5</v>
      </c>
      <c r="G1294">
        <v>4.2892189889969311E-5</v>
      </c>
      <c r="H1294" t="b">
        <v>0</v>
      </c>
    </row>
    <row r="1295" spans="1:8" x14ac:dyDescent="0.15">
      <c r="A1295">
        <v>144</v>
      </c>
      <c r="B1295">
        <v>2</v>
      </c>
      <c r="C1295">
        <v>3075000</v>
      </c>
      <c r="D1295">
        <v>-374652.21978478512</v>
      </c>
      <c r="E1295">
        <v>1.8323193792418879E-6</v>
      </c>
      <c r="F1295">
        <v>1.0648178955476381E-5</v>
      </c>
      <c r="G1295">
        <v>-8.8158595762344905E-6</v>
      </c>
      <c r="H1295" t="b">
        <v>1</v>
      </c>
    </row>
    <row r="1296" spans="1:8" x14ac:dyDescent="0.15">
      <c r="A1296">
        <v>144</v>
      </c>
      <c r="B1296">
        <v>3</v>
      </c>
      <c r="C1296">
        <v>4562500</v>
      </c>
      <c r="D1296">
        <v>-48676586.13596984</v>
      </c>
      <c r="E1296">
        <v>9.5146268851472664E-6</v>
      </c>
      <c r="F1296">
        <v>1.0648178955476381E-5</v>
      </c>
      <c r="G1296">
        <v>-1.133552070329113E-6</v>
      </c>
      <c r="H1296" t="b">
        <v>1</v>
      </c>
    </row>
    <row r="1297" spans="1:8" x14ac:dyDescent="0.15">
      <c r="A1297">
        <v>144</v>
      </c>
      <c r="B1297">
        <v>4</v>
      </c>
      <c r="C1297">
        <v>5306250</v>
      </c>
      <c r="D1297">
        <v>2151906556.7694912</v>
      </c>
      <c r="E1297">
        <v>2.3079056196288641E-5</v>
      </c>
      <c r="F1297">
        <v>1.0648178955476381E-5</v>
      </c>
      <c r="G1297">
        <v>1.243087724081226E-5</v>
      </c>
      <c r="H1297" t="b">
        <v>0</v>
      </c>
    </row>
    <row r="1298" spans="1:8" x14ac:dyDescent="0.15">
      <c r="A1298">
        <v>144</v>
      </c>
      <c r="B1298">
        <v>5</v>
      </c>
      <c r="C1298">
        <v>4934375</v>
      </c>
      <c r="D1298">
        <v>325970899.06496543</v>
      </c>
      <c r="E1298">
        <v>1.384291404843169E-5</v>
      </c>
      <c r="F1298">
        <v>1.0648178955476381E-5</v>
      </c>
      <c r="G1298">
        <v>3.194735092955307E-6</v>
      </c>
      <c r="H1298" t="b">
        <v>0</v>
      </c>
    </row>
    <row r="1299" spans="1:8" x14ac:dyDescent="0.15">
      <c r="A1299">
        <v>144</v>
      </c>
      <c r="B1299">
        <v>6</v>
      </c>
      <c r="C1299">
        <v>4748437.5</v>
      </c>
      <c r="D1299">
        <v>23713672.976666961</v>
      </c>
      <c r="E1299">
        <v>1.101815605422173E-5</v>
      </c>
      <c r="F1299">
        <v>1.0648178955476381E-5</v>
      </c>
      <c r="G1299">
        <v>3.699770987453496E-7</v>
      </c>
      <c r="H1299" t="b">
        <v>0</v>
      </c>
    </row>
    <row r="1300" spans="1:8" x14ac:dyDescent="0.15">
      <c r="A1300">
        <v>144</v>
      </c>
      <c r="B1300">
        <v>7</v>
      </c>
      <c r="C1300">
        <v>4655468.75</v>
      </c>
      <c r="D1300">
        <v>-21132923.87081968</v>
      </c>
      <c r="E1300">
        <v>1.0252190283334011E-5</v>
      </c>
      <c r="F1300">
        <v>1.0648178955476381E-5</v>
      </c>
      <c r="G1300">
        <v>-3.9598867214236468E-7</v>
      </c>
      <c r="H1300" t="b">
        <v>1</v>
      </c>
    </row>
    <row r="1301" spans="1:8" x14ac:dyDescent="0.15">
      <c r="A1301">
        <v>144</v>
      </c>
      <c r="B1301">
        <v>8</v>
      </c>
      <c r="C1301">
        <v>4701953.125</v>
      </c>
      <c r="D1301">
        <v>-972729.62299887626</v>
      </c>
      <c r="E1301">
        <v>1.063160744419807E-5</v>
      </c>
      <c r="F1301">
        <v>1.0648178955476381E-5</v>
      </c>
      <c r="G1301">
        <v>-1.6571511278307571E-8</v>
      </c>
      <c r="H1301" t="b">
        <v>1</v>
      </c>
    </row>
    <row r="1302" spans="1:8" x14ac:dyDescent="0.15">
      <c r="A1302">
        <v>144</v>
      </c>
      <c r="B1302">
        <v>9</v>
      </c>
      <c r="C1302">
        <v>4725195.3125</v>
      </c>
      <c r="D1302">
        <v>10793187.13449046</v>
      </c>
      <c r="E1302">
        <v>1.082399382272852E-5</v>
      </c>
      <c r="F1302">
        <v>1.0648178955476381E-5</v>
      </c>
      <c r="G1302">
        <v>1.758148672521362E-7</v>
      </c>
      <c r="H1302" t="b">
        <v>0</v>
      </c>
    </row>
    <row r="1303" spans="1:8" x14ac:dyDescent="0.15">
      <c r="A1303">
        <v>144</v>
      </c>
      <c r="B1303">
        <v>10</v>
      </c>
      <c r="C1303">
        <v>4713574.21875</v>
      </c>
      <c r="D1303">
        <v>4767326.7455497188</v>
      </c>
      <c r="E1303">
        <v>1.07275784608928E-5</v>
      </c>
      <c r="F1303">
        <v>1.0648178955476381E-5</v>
      </c>
      <c r="G1303">
        <v>7.9399505416416472E-8</v>
      </c>
      <c r="H1303" t="b">
        <v>0</v>
      </c>
    </row>
    <row r="1304" spans="1:8" x14ac:dyDescent="0.15">
      <c r="A1304">
        <v>144</v>
      </c>
      <c r="B1304">
        <v>11</v>
      </c>
      <c r="C1304">
        <v>4707763.671875</v>
      </c>
      <c r="D1304">
        <v>1861747.6839474549</v>
      </c>
      <c r="E1304">
        <v>1.0679537295596221E-5</v>
      </c>
      <c r="F1304">
        <v>1.0648178955476381E-5</v>
      </c>
      <c r="G1304">
        <v>3.1358340119836843E-8</v>
      </c>
      <c r="H1304" t="b">
        <v>0</v>
      </c>
    </row>
    <row r="1305" spans="1:8" x14ac:dyDescent="0.15">
      <c r="A1305">
        <v>144</v>
      </c>
      <c r="B1305">
        <v>12</v>
      </c>
      <c r="C1305">
        <v>4710668.9453125</v>
      </c>
      <c r="D1305">
        <v>3305602.959106022</v>
      </c>
      <c r="E1305">
        <v>1.07035435723176E-5</v>
      </c>
      <c r="F1305">
        <v>1.0648178955476381E-5</v>
      </c>
      <c r="G1305">
        <v>5.5364616841217963E-8</v>
      </c>
      <c r="H1305" t="b">
        <v>0</v>
      </c>
    </row>
    <row r="1306" spans="1:8" x14ac:dyDescent="0.15">
      <c r="A1306">
        <v>144</v>
      </c>
      <c r="B1306">
        <v>13</v>
      </c>
      <c r="C1306">
        <v>4712121.58203125</v>
      </c>
      <c r="D1306">
        <v>4034222.2949814559</v>
      </c>
      <c r="E1306">
        <v>1.0715557340665981E-5</v>
      </c>
      <c r="F1306">
        <v>1.0648178955476381E-5</v>
      </c>
      <c r="G1306">
        <v>6.7378385189600096E-8</v>
      </c>
      <c r="H1306" t="b">
        <v>0</v>
      </c>
    </row>
    <row r="1307" spans="1:8" x14ac:dyDescent="0.15">
      <c r="A1307">
        <v>144</v>
      </c>
      <c r="B1307">
        <v>14</v>
      </c>
      <c r="C1307">
        <v>4713321.58203125</v>
      </c>
      <c r="D1307">
        <v>4639511.7376559796</v>
      </c>
      <c r="E1307">
        <v>1.072548736645961E-5</v>
      </c>
      <c r="F1307">
        <v>1.0648178955476381E-5</v>
      </c>
      <c r="G1307">
        <v>7.7308410983228961E-8</v>
      </c>
      <c r="H1307" t="b">
        <v>0</v>
      </c>
    </row>
    <row r="1308" spans="1:8" x14ac:dyDescent="0.15">
      <c r="A1308">
        <v>144</v>
      </c>
      <c r="B1308">
        <v>15</v>
      </c>
      <c r="C1308">
        <v>4714761.58203125</v>
      </c>
      <c r="D1308">
        <v>5369827.7201355649</v>
      </c>
      <c r="E1308">
        <v>1.0737408776471771E-5</v>
      </c>
      <c r="F1308">
        <v>1.0648178955476381E-5</v>
      </c>
      <c r="G1308">
        <v>8.9229820995395104E-8</v>
      </c>
      <c r="H1308" t="b">
        <v>0</v>
      </c>
    </row>
    <row r="1309" spans="1:8" x14ac:dyDescent="0.15">
      <c r="A1309">
        <v>144</v>
      </c>
      <c r="B1309">
        <v>16</v>
      </c>
      <c r="C1309">
        <v>4714041.58203125</v>
      </c>
      <c r="D1309">
        <v>5004108.6756179025</v>
      </c>
      <c r="E1309">
        <v>1.0731447017682371E-5</v>
      </c>
      <c r="F1309">
        <v>1.0648178955476381E-5</v>
      </c>
      <c r="G1309">
        <v>8.3268062205995119E-8</v>
      </c>
      <c r="H1309" t="b">
        <v>0</v>
      </c>
    </row>
    <row r="1310" spans="1:8" x14ac:dyDescent="0.15">
      <c r="A1310">
        <v>144</v>
      </c>
      <c r="B1310">
        <v>17</v>
      </c>
      <c r="C1310">
        <v>4713177.58203125</v>
      </c>
      <c r="D1310">
        <v>4566719.0972959222</v>
      </c>
      <c r="E1310">
        <v>1.072429556093529E-5</v>
      </c>
      <c r="F1310">
        <v>1.0648178955476381E-5</v>
      </c>
      <c r="G1310">
        <v>7.611660545890804E-8</v>
      </c>
      <c r="H1310" t="b">
        <v>0</v>
      </c>
    </row>
    <row r="1311" spans="1:8" x14ac:dyDescent="0.15">
      <c r="A1311">
        <v>144</v>
      </c>
      <c r="B1311">
        <v>18</v>
      </c>
      <c r="C1311">
        <v>4713609.58203125</v>
      </c>
      <c r="D1311">
        <v>4785228.6595505839</v>
      </c>
      <c r="E1311">
        <v>1.0727871182385691E-5</v>
      </c>
      <c r="F1311">
        <v>1.0648178955476381E-5</v>
      </c>
      <c r="G1311">
        <v>7.9692226909313396E-8</v>
      </c>
      <c r="H1311" t="b">
        <v>0</v>
      </c>
    </row>
    <row r="1312" spans="1:8" x14ac:dyDescent="0.15">
      <c r="A1312">
        <v>144</v>
      </c>
      <c r="B1312">
        <v>19</v>
      </c>
      <c r="C1312">
        <v>4713393.58203125</v>
      </c>
      <c r="D1312">
        <v>4675924.511966628</v>
      </c>
      <c r="E1312">
        <v>1.072608329483176E-5</v>
      </c>
      <c r="F1312">
        <v>1.0648178955476381E-5</v>
      </c>
      <c r="G1312">
        <v>7.7904339355378913E-8</v>
      </c>
      <c r="H1312" t="b">
        <v>0</v>
      </c>
    </row>
    <row r="1313" spans="1:8" x14ac:dyDescent="0.15">
      <c r="A1313">
        <v>145</v>
      </c>
      <c r="B1313">
        <v>1</v>
      </c>
      <c r="C1313">
        <v>6050000</v>
      </c>
      <c r="D1313">
        <v>135294961176.9615</v>
      </c>
      <c r="E1313">
        <v>2.7094844037611331E-4</v>
      </c>
      <c r="F1313">
        <v>1.0341628698207289E-5</v>
      </c>
      <c r="G1313">
        <v>2.6060681167790602E-4</v>
      </c>
      <c r="H1313" t="b">
        <v>0</v>
      </c>
    </row>
    <row r="1314" spans="1:8" x14ac:dyDescent="0.15">
      <c r="A1314">
        <v>145</v>
      </c>
      <c r="B1314">
        <v>2</v>
      </c>
      <c r="C1314">
        <v>3075000</v>
      </c>
      <c r="D1314">
        <v>-15738694.38878187</v>
      </c>
      <c r="E1314">
        <v>5.9125753347871304E-6</v>
      </c>
      <c r="F1314">
        <v>1.0341628698207299E-5</v>
      </c>
      <c r="G1314">
        <v>-4.4290533634201698E-6</v>
      </c>
      <c r="H1314" t="b">
        <v>1</v>
      </c>
    </row>
    <row r="1315" spans="1:8" x14ac:dyDescent="0.15">
      <c r="A1315">
        <v>145</v>
      </c>
      <c r="B1315">
        <v>3</v>
      </c>
      <c r="C1315">
        <v>4562500</v>
      </c>
      <c r="D1315">
        <v>12815517111.983089</v>
      </c>
      <c r="E1315">
        <v>5.5481361063002602E-5</v>
      </c>
      <c r="F1315">
        <v>1.0341628698207299E-5</v>
      </c>
      <c r="G1315">
        <v>4.5139732364795303E-5</v>
      </c>
      <c r="H1315" t="b">
        <v>0</v>
      </c>
    </row>
    <row r="1316" spans="1:8" x14ac:dyDescent="0.15">
      <c r="A1316">
        <v>145</v>
      </c>
      <c r="B1316">
        <v>4</v>
      </c>
      <c r="C1316">
        <v>3818750</v>
      </c>
      <c r="D1316">
        <v>901777662.09882832</v>
      </c>
      <c r="E1316">
        <v>1.6543328680382232E-5</v>
      </c>
      <c r="F1316">
        <v>1.0341628698207299E-5</v>
      </c>
      <c r="G1316">
        <v>6.2016999821749288E-6</v>
      </c>
      <c r="H1316" t="b">
        <v>0</v>
      </c>
    </row>
    <row r="1317" spans="1:8" x14ac:dyDescent="0.15">
      <c r="A1317">
        <v>145</v>
      </c>
      <c r="B1317">
        <v>5</v>
      </c>
      <c r="C1317">
        <v>3446875</v>
      </c>
      <c r="D1317">
        <v>-45097018.958117343</v>
      </c>
      <c r="E1317">
        <v>9.3483278399501683E-6</v>
      </c>
      <c r="F1317">
        <v>1.0341628698207299E-5</v>
      </c>
      <c r="G1317">
        <v>-9.9330085825713106E-7</v>
      </c>
      <c r="H1317" t="b">
        <v>1</v>
      </c>
    </row>
    <row r="1318" spans="1:8" x14ac:dyDescent="0.15">
      <c r="A1318">
        <v>145</v>
      </c>
      <c r="B1318">
        <v>6</v>
      </c>
      <c r="C1318">
        <v>3632812.5</v>
      </c>
      <c r="D1318">
        <v>80270333.698007762</v>
      </c>
      <c r="E1318">
        <v>1.1400609931183109E-5</v>
      </c>
      <c r="F1318">
        <v>1.0341628698207299E-5</v>
      </c>
      <c r="G1318">
        <v>1.0589812329758129E-6</v>
      </c>
      <c r="H1318" t="b">
        <v>0</v>
      </c>
    </row>
    <row r="1319" spans="1:8" x14ac:dyDescent="0.15">
      <c r="A1319">
        <v>145</v>
      </c>
      <c r="B1319">
        <v>7</v>
      </c>
      <c r="C1319">
        <v>3539843.75</v>
      </c>
      <c r="D1319">
        <v>337232.76257139823</v>
      </c>
      <c r="E1319">
        <v>1.034721924377354E-5</v>
      </c>
      <c r="F1319">
        <v>1.0341628698207299E-5</v>
      </c>
      <c r="G1319">
        <v>5.590545566241847E-9</v>
      </c>
      <c r="H1319" t="b">
        <v>0</v>
      </c>
    </row>
    <row r="1320" spans="1:8" x14ac:dyDescent="0.15">
      <c r="A1320">
        <v>145</v>
      </c>
      <c r="B1320">
        <v>8</v>
      </c>
      <c r="C1320">
        <v>3586328.125</v>
      </c>
      <c r="D1320">
        <v>35735921.407339089</v>
      </c>
      <c r="E1320">
        <v>1.0867124182230819E-5</v>
      </c>
      <c r="F1320">
        <v>1.0341628698207299E-5</v>
      </c>
      <c r="G1320">
        <v>5.2549548402352E-7</v>
      </c>
      <c r="H1320" t="b">
        <v>0</v>
      </c>
    </row>
    <row r="1321" spans="1:8" x14ac:dyDescent="0.15">
      <c r="A1321">
        <v>145</v>
      </c>
      <c r="B1321">
        <v>9</v>
      </c>
      <c r="C1321">
        <v>3563085.9375</v>
      </c>
      <c r="D1321">
        <v>16924511.91973507</v>
      </c>
      <c r="E1321">
        <v>1.060546615983925E-5</v>
      </c>
      <c r="F1321">
        <v>1.0341628698207299E-5</v>
      </c>
      <c r="G1321">
        <v>2.6383746163194689E-7</v>
      </c>
      <c r="H1321" t="b">
        <v>0</v>
      </c>
    </row>
    <row r="1322" spans="1:8" x14ac:dyDescent="0.15">
      <c r="A1322">
        <v>145</v>
      </c>
      <c r="B1322">
        <v>10</v>
      </c>
      <c r="C1322">
        <v>3551464.84375</v>
      </c>
      <c r="D1322">
        <v>8356775.1251167255</v>
      </c>
      <c r="E1322">
        <v>1.04759158521717E-5</v>
      </c>
      <c r="F1322">
        <v>1.0341628698207299E-5</v>
      </c>
      <c r="G1322">
        <v>1.342871539643987E-7</v>
      </c>
      <c r="H1322" t="b">
        <v>0</v>
      </c>
    </row>
    <row r="1323" spans="1:8" x14ac:dyDescent="0.15">
      <c r="A1323">
        <v>145</v>
      </c>
      <c r="B1323">
        <v>11</v>
      </c>
      <c r="C1323">
        <v>3545654.296875</v>
      </c>
      <c r="D1323">
        <v>4278955.3170599164</v>
      </c>
      <c r="E1323">
        <v>1.0411460403850729E-5</v>
      </c>
      <c r="F1323">
        <v>1.0341628698207299E-5</v>
      </c>
      <c r="G1323">
        <v>6.9831705643426425E-8</v>
      </c>
      <c r="H1323" t="b">
        <v>0</v>
      </c>
    </row>
    <row r="1324" spans="1:8" x14ac:dyDescent="0.15">
      <c r="A1324">
        <v>145</v>
      </c>
      <c r="B1324">
        <v>12</v>
      </c>
      <c r="C1324">
        <v>3542749.0234375</v>
      </c>
      <c r="D1324">
        <v>2291173.3325720052</v>
      </c>
      <c r="E1324">
        <v>1.0379313490381771E-5</v>
      </c>
      <c r="F1324">
        <v>1.0341628698207299E-5</v>
      </c>
      <c r="G1324">
        <v>3.7684792174474781E-8</v>
      </c>
      <c r="H1324" t="b">
        <v>0</v>
      </c>
    </row>
    <row r="1325" spans="1:8" x14ac:dyDescent="0.15">
      <c r="A1325">
        <v>145</v>
      </c>
      <c r="B1325">
        <v>13</v>
      </c>
      <c r="C1325">
        <v>3544201.66015625</v>
      </c>
      <c r="D1325">
        <v>3280832.8884395342</v>
      </c>
      <c r="E1325">
        <v>1.0395380469906019E-5</v>
      </c>
      <c r="F1325">
        <v>1.0341628698207299E-5</v>
      </c>
      <c r="G1325">
        <v>5.3751771698724983E-8</v>
      </c>
      <c r="H1325" t="b">
        <v>0</v>
      </c>
    </row>
    <row r="1326" spans="1:8" x14ac:dyDescent="0.15">
      <c r="A1326">
        <v>145</v>
      </c>
      <c r="B1326">
        <v>14</v>
      </c>
      <c r="C1326">
        <v>3545401.66015625</v>
      </c>
      <c r="D1326">
        <v>4104776.821222329</v>
      </c>
      <c r="E1326">
        <v>1.0408663229823991E-5</v>
      </c>
      <c r="F1326">
        <v>1.0341628698207299E-5</v>
      </c>
      <c r="G1326">
        <v>6.7034531616691189E-8</v>
      </c>
      <c r="H1326" t="b">
        <v>0</v>
      </c>
    </row>
    <row r="1327" spans="1:8" x14ac:dyDescent="0.15">
      <c r="A1327">
        <v>145</v>
      </c>
      <c r="B1327">
        <v>15</v>
      </c>
      <c r="C1327">
        <v>3544801.66015625</v>
      </c>
      <c r="D1327">
        <v>3692054.427554816</v>
      </c>
      <c r="E1327">
        <v>1.040202029411588E-5</v>
      </c>
      <c r="F1327">
        <v>1.0341628698207299E-5</v>
      </c>
      <c r="G1327">
        <v>6.0391595908578774E-8</v>
      </c>
      <c r="H1327" t="b">
        <v>0</v>
      </c>
    </row>
    <row r="1328" spans="1:8" x14ac:dyDescent="0.15">
      <c r="A1328">
        <v>145</v>
      </c>
      <c r="B1328">
        <v>16</v>
      </c>
      <c r="C1328">
        <v>3544081.66015625</v>
      </c>
      <c r="D1328">
        <v>3198731.6058714949</v>
      </c>
      <c r="E1328">
        <v>1.03940522807305E-5</v>
      </c>
      <c r="F1328">
        <v>1.0341628698207299E-5</v>
      </c>
      <c r="G1328">
        <v>5.2423582523201987E-8</v>
      </c>
      <c r="H1328" t="b">
        <v>0</v>
      </c>
    </row>
    <row r="1329" spans="1:8" x14ac:dyDescent="0.15">
      <c r="A1329">
        <v>145</v>
      </c>
      <c r="B1329">
        <v>17</v>
      </c>
      <c r="C1329">
        <v>3544441.66015625</v>
      </c>
      <c r="D1329">
        <v>3445157.9622553312</v>
      </c>
      <c r="E1329">
        <v>1.039803629202948E-5</v>
      </c>
      <c r="F1329">
        <v>1.0341628698207299E-5</v>
      </c>
      <c r="G1329">
        <v>5.6407593822179218E-8</v>
      </c>
      <c r="H1329" t="b">
        <v>0</v>
      </c>
    </row>
    <row r="1330" spans="1:8" x14ac:dyDescent="0.15">
      <c r="A1330">
        <v>145</v>
      </c>
      <c r="B1330">
        <v>18</v>
      </c>
      <c r="C1330">
        <v>3544873.66015625</v>
      </c>
      <c r="D1330">
        <v>3741501.464629211</v>
      </c>
      <c r="E1330">
        <v>1.0402817276098041E-5</v>
      </c>
      <c r="F1330">
        <v>1.0341628698207299E-5</v>
      </c>
      <c r="G1330">
        <v>6.1188577890741442E-8</v>
      </c>
      <c r="H1330" t="b">
        <v>0</v>
      </c>
    </row>
    <row r="1331" spans="1:8" x14ac:dyDescent="0.15">
      <c r="A1331">
        <v>145</v>
      </c>
      <c r="B1331">
        <v>19</v>
      </c>
      <c r="C1331">
        <v>3544657.66015625</v>
      </c>
      <c r="D1331">
        <v>3593222.9622588349</v>
      </c>
      <c r="E1331">
        <v>1.040042642868096E-5</v>
      </c>
      <c r="F1331">
        <v>1.0341628698207299E-5</v>
      </c>
      <c r="G1331">
        <v>5.8797730473661878E-8</v>
      </c>
      <c r="H1331" t="b">
        <v>0</v>
      </c>
    </row>
    <row r="1332" spans="1:8" x14ac:dyDescent="0.15">
      <c r="A1332">
        <v>145</v>
      </c>
      <c r="B1332">
        <v>20</v>
      </c>
      <c r="C1332">
        <v>3544398.4601562498</v>
      </c>
      <c r="D1332">
        <v>3415562.345239691</v>
      </c>
      <c r="E1332">
        <v>1.039755821711381E-5</v>
      </c>
      <c r="F1332">
        <v>1.0341628698207299E-5</v>
      </c>
      <c r="G1332">
        <v>5.592951890651361E-8</v>
      </c>
      <c r="H1332" t="b">
        <v>0</v>
      </c>
    </row>
    <row r="1333" spans="1:8" x14ac:dyDescent="0.15">
      <c r="A1333">
        <v>145</v>
      </c>
      <c r="B1333">
        <v>21</v>
      </c>
      <c r="C1333">
        <v>3544528.0601562499</v>
      </c>
      <c r="D1333">
        <v>3504371.7262852248</v>
      </c>
      <c r="E1333">
        <v>1.039899247733374E-5</v>
      </c>
      <c r="F1333">
        <v>1.0341628698207299E-5</v>
      </c>
      <c r="G1333">
        <v>5.736377912644389E-8</v>
      </c>
      <c r="H1333" t="b">
        <v>0</v>
      </c>
    </row>
    <row r="1334" spans="1:8" x14ac:dyDescent="0.15">
      <c r="A1334">
        <v>145</v>
      </c>
      <c r="B1334">
        <v>22</v>
      </c>
      <c r="C1334">
        <v>3544683.5801562499</v>
      </c>
      <c r="D1334">
        <v>3611032.211405606</v>
      </c>
      <c r="E1334">
        <v>1.0400713730067241E-5</v>
      </c>
      <c r="F1334">
        <v>1.0341628698207299E-5</v>
      </c>
      <c r="G1334">
        <v>5.9085031859936233E-8</v>
      </c>
      <c r="H1334" t="b">
        <v>0</v>
      </c>
    </row>
    <row r="1335" spans="1:8" x14ac:dyDescent="0.15">
      <c r="A1335">
        <v>145</v>
      </c>
      <c r="B1335">
        <v>23</v>
      </c>
      <c r="C1335">
        <v>3544605.8201562501</v>
      </c>
      <c r="D1335">
        <v>3557664.0679743569</v>
      </c>
      <c r="E1335">
        <v>1.0399852669285069E-5</v>
      </c>
      <c r="F1335">
        <v>1.0341628698207299E-5</v>
      </c>
      <c r="G1335">
        <v>5.8223971077766472E-8</v>
      </c>
      <c r="H1335" t="b">
        <v>0</v>
      </c>
    </row>
    <row r="1336" spans="1:8" x14ac:dyDescent="0.15">
      <c r="A1336">
        <v>146</v>
      </c>
      <c r="B1336">
        <v>1</v>
      </c>
      <c r="C1336">
        <v>6050000</v>
      </c>
      <c r="D1336">
        <v>185627751174.90479</v>
      </c>
      <c r="E1336">
        <v>3.3549898692560791E-4</v>
      </c>
      <c r="F1336">
        <v>1.0193620209276489E-5</v>
      </c>
      <c r="G1336">
        <v>3.2530536671633142E-4</v>
      </c>
      <c r="H1336" t="b">
        <v>0</v>
      </c>
    </row>
    <row r="1337" spans="1:8" x14ac:dyDescent="0.15">
      <c r="A1337">
        <v>146</v>
      </c>
      <c r="B1337">
        <v>2</v>
      </c>
      <c r="C1337">
        <v>3075000</v>
      </c>
      <c r="D1337">
        <v>-39382089.248838112</v>
      </c>
      <c r="E1337">
        <v>6.9045261720405917E-6</v>
      </c>
      <c r="F1337">
        <v>1.0193620209276479E-5</v>
      </c>
      <c r="G1337">
        <v>-3.2890940372358858E-6</v>
      </c>
      <c r="H1337" t="b">
        <v>1</v>
      </c>
    </row>
    <row r="1338" spans="1:8" x14ac:dyDescent="0.15">
      <c r="A1338">
        <v>146</v>
      </c>
      <c r="B1338">
        <v>3</v>
      </c>
      <c r="C1338">
        <v>4562500</v>
      </c>
      <c r="D1338">
        <v>19802614631.412651</v>
      </c>
      <c r="E1338">
        <v>7.1328151511494654E-5</v>
      </c>
      <c r="F1338">
        <v>1.0193620209276479E-5</v>
      </c>
      <c r="G1338">
        <v>6.1134531302218178E-5</v>
      </c>
      <c r="H1338" t="b">
        <v>0</v>
      </c>
    </row>
    <row r="1339" spans="1:8" x14ac:dyDescent="0.15">
      <c r="A1339">
        <v>146</v>
      </c>
      <c r="B1339">
        <v>4</v>
      </c>
      <c r="C1339">
        <v>3818750</v>
      </c>
      <c r="D1339">
        <v>2155912946.833611</v>
      </c>
      <c r="E1339">
        <v>2.20273946053621E-5</v>
      </c>
      <c r="F1339">
        <v>1.0193620209276479E-5</v>
      </c>
      <c r="G1339">
        <v>1.1833774396085621E-5</v>
      </c>
      <c r="H1339" t="b">
        <v>0</v>
      </c>
    </row>
    <row r="1340" spans="1:8" x14ac:dyDescent="0.15">
      <c r="A1340">
        <v>146</v>
      </c>
      <c r="B1340">
        <v>5</v>
      </c>
      <c r="C1340">
        <v>3446875</v>
      </c>
      <c r="D1340">
        <v>42833837.819457792</v>
      </c>
      <c r="E1340">
        <v>1.080405759262397E-5</v>
      </c>
      <c r="F1340">
        <v>1.0193620209276479E-5</v>
      </c>
      <c r="G1340">
        <v>6.104373833474943E-7</v>
      </c>
      <c r="H1340" t="b">
        <v>0</v>
      </c>
    </row>
    <row r="1341" spans="1:8" x14ac:dyDescent="0.15">
      <c r="A1341">
        <v>146</v>
      </c>
      <c r="B1341">
        <v>6</v>
      </c>
      <c r="C1341">
        <v>3260937.5</v>
      </c>
      <c r="D1341">
        <v>-56144283.813590981</v>
      </c>
      <c r="E1341">
        <v>8.7326119354072609E-6</v>
      </c>
      <c r="F1341">
        <v>1.0193620209276479E-5</v>
      </c>
      <c r="G1341">
        <v>-1.4610082738692171E-6</v>
      </c>
      <c r="H1341" t="b">
        <v>1</v>
      </c>
    </row>
    <row r="1342" spans="1:8" x14ac:dyDescent="0.15">
      <c r="A1342">
        <v>146</v>
      </c>
      <c r="B1342">
        <v>7</v>
      </c>
      <c r="C1342">
        <v>3353906.25</v>
      </c>
      <c r="D1342">
        <v>-24535839.668840259</v>
      </c>
      <c r="E1342">
        <v>9.7385324022962697E-6</v>
      </c>
      <c r="F1342">
        <v>1.0193620209276479E-5</v>
      </c>
      <c r="G1342">
        <v>-4.5508780698020782E-7</v>
      </c>
      <c r="H1342" t="b">
        <v>1</v>
      </c>
    </row>
    <row r="1343" spans="1:8" x14ac:dyDescent="0.15">
      <c r="A1343">
        <v>146</v>
      </c>
      <c r="B1343">
        <v>8</v>
      </c>
      <c r="C1343">
        <v>3400390.625</v>
      </c>
      <c r="D1343">
        <v>4351084.2887550713</v>
      </c>
      <c r="E1343">
        <v>1.026383917228086E-5</v>
      </c>
      <c r="F1343">
        <v>1.0193620209276479E-5</v>
      </c>
      <c r="G1343">
        <v>7.0218963004379213E-8</v>
      </c>
      <c r="H1343" t="b">
        <v>0</v>
      </c>
    </row>
    <row r="1344" spans="1:8" x14ac:dyDescent="0.15">
      <c r="A1344">
        <v>146</v>
      </c>
      <c r="B1344">
        <v>9</v>
      </c>
      <c r="C1344">
        <v>3377148.4375</v>
      </c>
      <c r="D1344">
        <v>-11252365.118121371</v>
      </c>
      <c r="E1344">
        <v>9.9993409308993941E-6</v>
      </c>
      <c r="F1344">
        <v>1.0193620209276479E-5</v>
      </c>
      <c r="G1344">
        <v>-1.9427927837708339E-7</v>
      </c>
      <c r="H1344" t="b">
        <v>1</v>
      </c>
    </row>
    <row r="1345" spans="1:8" x14ac:dyDescent="0.15">
      <c r="A1345">
        <v>146</v>
      </c>
      <c r="B1345">
        <v>10</v>
      </c>
      <c r="C1345">
        <v>3388769.53125</v>
      </c>
      <c r="D1345">
        <v>-3745972.575616084</v>
      </c>
      <c r="E1345">
        <v>1.013112109065543E-5</v>
      </c>
      <c r="F1345">
        <v>1.0193620209276479E-5</v>
      </c>
      <c r="G1345">
        <v>-6.249911862104563E-8</v>
      </c>
      <c r="H1345" t="b">
        <v>1</v>
      </c>
    </row>
    <row r="1346" spans="1:8" x14ac:dyDescent="0.15">
      <c r="A1346">
        <v>146</v>
      </c>
      <c r="B1346">
        <v>11</v>
      </c>
      <c r="C1346">
        <v>3394580.078125</v>
      </c>
      <c r="D1346">
        <v>228105.26564760081</v>
      </c>
      <c r="E1346">
        <v>1.0197362755611779E-5</v>
      </c>
      <c r="F1346">
        <v>1.0193620209276479E-5</v>
      </c>
      <c r="G1346">
        <v>3.7425463353069158E-9</v>
      </c>
      <c r="H1346" t="b">
        <v>0</v>
      </c>
    </row>
    <row r="1347" spans="1:8" x14ac:dyDescent="0.15">
      <c r="A1347">
        <v>146</v>
      </c>
      <c r="B1347">
        <v>12</v>
      </c>
      <c r="C1347">
        <v>3397485.3515625</v>
      </c>
      <c r="D1347">
        <v>2270910.6914143371</v>
      </c>
      <c r="E1347">
        <v>1.023057168617279E-5</v>
      </c>
      <c r="F1347">
        <v>1.0193620209276479E-5</v>
      </c>
      <c r="G1347">
        <v>3.6951476896312878E-8</v>
      </c>
      <c r="H1347" t="b">
        <v>0</v>
      </c>
    </row>
    <row r="1348" spans="1:8" x14ac:dyDescent="0.15">
      <c r="A1348">
        <v>146</v>
      </c>
      <c r="B1348">
        <v>13</v>
      </c>
      <c r="C1348">
        <v>3398937.98828125</v>
      </c>
      <c r="D1348">
        <v>3306343.0997459101</v>
      </c>
      <c r="E1348">
        <v>1.0247198525675351E-5</v>
      </c>
      <c r="F1348">
        <v>1.0193620209276479E-5</v>
      </c>
      <c r="G1348">
        <v>5.3578316398873228E-8</v>
      </c>
      <c r="H1348" t="b">
        <v>0</v>
      </c>
    </row>
    <row r="1349" spans="1:8" x14ac:dyDescent="0.15">
      <c r="A1349">
        <v>146</v>
      </c>
      <c r="B1349">
        <v>14</v>
      </c>
      <c r="C1349">
        <v>3400137.98828125</v>
      </c>
      <c r="D1349">
        <v>4168709.3947396739</v>
      </c>
      <c r="E1349">
        <v>1.02609439750082E-5</v>
      </c>
      <c r="F1349">
        <v>1.0193620209276479E-5</v>
      </c>
      <c r="G1349">
        <v>6.7323765731717772E-8</v>
      </c>
      <c r="H1349" t="b">
        <v>0</v>
      </c>
    </row>
    <row r="1350" spans="1:8" x14ac:dyDescent="0.15">
      <c r="A1350">
        <v>146</v>
      </c>
      <c r="B1350">
        <v>15</v>
      </c>
      <c r="C1350">
        <v>3399537.98828125</v>
      </c>
      <c r="D1350">
        <v>3736714.181167847</v>
      </c>
      <c r="E1350">
        <v>1.0254069795083289E-5</v>
      </c>
      <c r="F1350">
        <v>1.0193620209276479E-5</v>
      </c>
      <c r="G1350">
        <v>6.0449585806809965E-8</v>
      </c>
      <c r="H1350" t="b">
        <v>0</v>
      </c>
    </row>
    <row r="1351" spans="1:8" x14ac:dyDescent="0.15">
      <c r="A1351">
        <v>146</v>
      </c>
      <c r="B1351">
        <v>16</v>
      </c>
      <c r="C1351">
        <v>3398817.98828125</v>
      </c>
      <c r="D1351">
        <v>3220429.4953471082</v>
      </c>
      <c r="E1351">
        <v>1.0245824074616069E-5</v>
      </c>
      <c r="F1351">
        <v>1.0193620209276479E-5</v>
      </c>
      <c r="G1351">
        <v>5.2203865339595039E-8</v>
      </c>
      <c r="H1351" t="b">
        <v>0</v>
      </c>
    </row>
    <row r="1352" spans="1:8" x14ac:dyDescent="0.15">
      <c r="A1352">
        <v>146</v>
      </c>
      <c r="B1352">
        <v>17</v>
      </c>
      <c r="C1352">
        <v>3399177.98828125</v>
      </c>
      <c r="D1352">
        <v>3478310.2236890988</v>
      </c>
      <c r="E1352">
        <v>1.0249946899569691E-5</v>
      </c>
      <c r="F1352">
        <v>1.0193620209276479E-5</v>
      </c>
      <c r="G1352">
        <v>5.6326690293216382E-8</v>
      </c>
      <c r="H1352" t="b">
        <v>0</v>
      </c>
    </row>
    <row r="1353" spans="1:8" x14ac:dyDescent="0.15">
      <c r="A1353">
        <v>146</v>
      </c>
      <c r="B1353">
        <v>18</v>
      </c>
      <c r="C1353">
        <v>3398997.98828125</v>
      </c>
      <c r="D1353">
        <v>3349310.9232866238</v>
      </c>
      <c r="E1353">
        <v>1.0247885581697591E-5</v>
      </c>
      <c r="F1353">
        <v>1.0193620209276479E-5</v>
      </c>
      <c r="G1353">
        <v>5.4265372421109857E-8</v>
      </c>
      <c r="H1353" t="b">
        <v>0</v>
      </c>
    </row>
    <row r="1354" spans="1:8" x14ac:dyDescent="0.15">
      <c r="A1354">
        <v>146</v>
      </c>
      <c r="B1354">
        <v>19</v>
      </c>
      <c r="C1354">
        <v>3399087.98828125</v>
      </c>
      <c r="D1354">
        <v>3413766.6910966979</v>
      </c>
      <c r="E1354">
        <v>1.0248915798472461E-5</v>
      </c>
      <c r="F1354">
        <v>1.0193620209276479E-5</v>
      </c>
      <c r="G1354">
        <v>5.5295589195984907E-8</v>
      </c>
      <c r="H1354" t="b">
        <v>0</v>
      </c>
    </row>
    <row r="1355" spans="1:8" x14ac:dyDescent="0.15">
      <c r="A1355">
        <v>147</v>
      </c>
      <c r="B1355">
        <v>1</v>
      </c>
      <c r="C1355">
        <v>6050000</v>
      </c>
      <c r="D1355">
        <v>5665387362.9442415</v>
      </c>
      <c r="E1355">
        <v>3.3966853650735691E-5</v>
      </c>
      <c r="F1355">
        <v>1.004897580911847E-5</v>
      </c>
      <c r="G1355">
        <v>2.3917877841617219E-5</v>
      </c>
      <c r="H1355" t="b">
        <v>0</v>
      </c>
    </row>
    <row r="1356" spans="1:8" x14ac:dyDescent="0.15">
      <c r="A1356">
        <v>147</v>
      </c>
      <c r="B1356">
        <v>2</v>
      </c>
      <c r="C1356">
        <v>3075000</v>
      </c>
      <c r="D1356">
        <v>-283169.13493380108</v>
      </c>
      <c r="E1356">
        <v>1.2197269332424739E-6</v>
      </c>
      <c r="F1356">
        <v>1.004897580911847E-5</v>
      </c>
      <c r="G1356">
        <v>-8.8292488758759977E-6</v>
      </c>
      <c r="H1356" t="b">
        <v>1</v>
      </c>
    </row>
    <row r="1357" spans="1:8" x14ac:dyDescent="0.15">
      <c r="A1357">
        <v>147</v>
      </c>
      <c r="B1357">
        <v>3</v>
      </c>
      <c r="C1357">
        <v>4562500</v>
      </c>
      <c r="D1357">
        <v>-48386485.643809319</v>
      </c>
      <c r="E1357">
        <v>7.1574606659681413E-6</v>
      </c>
      <c r="F1357">
        <v>1.004897580911847E-5</v>
      </c>
      <c r="G1357">
        <v>-2.8915151431503299E-6</v>
      </c>
      <c r="H1357" t="b">
        <v>1</v>
      </c>
    </row>
    <row r="1358" spans="1:8" x14ac:dyDescent="0.15">
      <c r="A1358">
        <v>147</v>
      </c>
      <c r="B1358">
        <v>4</v>
      </c>
      <c r="C1358">
        <v>5306250</v>
      </c>
      <c r="D1358">
        <v>468873237.4923833</v>
      </c>
      <c r="E1358">
        <v>1.395193080357839E-5</v>
      </c>
      <c r="F1358">
        <v>1.004897580911847E-5</v>
      </c>
      <c r="G1358">
        <v>3.9029549944599149E-6</v>
      </c>
      <c r="H1358" t="b">
        <v>0</v>
      </c>
    </row>
    <row r="1359" spans="1:8" x14ac:dyDescent="0.15">
      <c r="A1359">
        <v>147</v>
      </c>
      <c r="B1359">
        <v>5</v>
      </c>
      <c r="C1359">
        <v>4934375</v>
      </c>
      <c r="D1359">
        <v>-22870695.91738534</v>
      </c>
      <c r="E1359">
        <v>9.6330292574153592E-6</v>
      </c>
      <c r="F1359">
        <v>1.004897580911847E-5</v>
      </c>
      <c r="G1359">
        <v>-4.1594655170311241E-7</v>
      </c>
      <c r="H1359" t="b">
        <v>1</v>
      </c>
    </row>
    <row r="1360" spans="1:8" x14ac:dyDescent="0.15">
      <c r="A1360">
        <v>147</v>
      </c>
      <c r="B1360">
        <v>6</v>
      </c>
      <c r="C1360">
        <v>5120312.5</v>
      </c>
      <c r="D1360">
        <v>74140562.253834277</v>
      </c>
      <c r="E1360">
        <v>1.101660275535185E-5</v>
      </c>
      <c r="F1360">
        <v>1.004897580911847E-5</v>
      </c>
      <c r="G1360">
        <v>9.6762694623337534E-7</v>
      </c>
      <c r="H1360" t="b">
        <v>0</v>
      </c>
    </row>
    <row r="1361" spans="1:8" x14ac:dyDescent="0.15">
      <c r="A1361">
        <v>147</v>
      </c>
      <c r="B1361">
        <v>7</v>
      </c>
      <c r="C1361">
        <v>5027343.75</v>
      </c>
      <c r="D1361">
        <v>17342570.545288179</v>
      </c>
      <c r="E1361">
        <v>1.03129945875923E-5</v>
      </c>
      <c r="F1361">
        <v>1.004897580911847E-5</v>
      </c>
      <c r="G1361">
        <v>2.6401877847382649E-7</v>
      </c>
      <c r="H1361" t="b">
        <v>0</v>
      </c>
    </row>
    <row r="1362" spans="1:8" x14ac:dyDescent="0.15">
      <c r="A1362">
        <v>147</v>
      </c>
      <c r="B1362">
        <v>8</v>
      </c>
      <c r="C1362">
        <v>4980859.375</v>
      </c>
      <c r="D1362">
        <v>-4762058.7637229087</v>
      </c>
      <c r="E1362">
        <v>9.9700054646788509E-6</v>
      </c>
      <c r="F1362">
        <v>1.004897580911847E-5</v>
      </c>
      <c r="G1362">
        <v>-7.897034443962069E-8</v>
      </c>
      <c r="H1362" t="b">
        <v>1</v>
      </c>
    </row>
    <row r="1363" spans="1:8" x14ac:dyDescent="0.15">
      <c r="A1363">
        <v>147</v>
      </c>
      <c r="B1363">
        <v>9</v>
      </c>
      <c r="C1363">
        <v>5004101.5625</v>
      </c>
      <c r="D1363">
        <v>5780616.8297282523</v>
      </c>
      <c r="E1363">
        <v>1.014075128919483E-5</v>
      </c>
      <c r="F1363">
        <v>1.004897580911847E-5</v>
      </c>
      <c r="G1363">
        <v>9.1775480076361404E-8</v>
      </c>
      <c r="H1363" t="b">
        <v>0</v>
      </c>
    </row>
    <row r="1364" spans="1:8" x14ac:dyDescent="0.15">
      <c r="A1364">
        <v>147</v>
      </c>
      <c r="B1364">
        <v>10</v>
      </c>
      <c r="C1364">
        <v>4992480.46875</v>
      </c>
      <c r="D1364">
        <v>383096.64644379623</v>
      </c>
      <c r="E1364">
        <v>1.0055190658885201E-5</v>
      </c>
      <c r="F1364">
        <v>1.004897580911847E-5</v>
      </c>
      <c r="G1364">
        <v>6.2148497667274621E-9</v>
      </c>
      <c r="H1364" t="b">
        <v>0</v>
      </c>
    </row>
    <row r="1365" spans="1:8" x14ac:dyDescent="0.15">
      <c r="A1365">
        <v>147</v>
      </c>
      <c r="B1365">
        <v>11</v>
      </c>
      <c r="C1365">
        <v>4998291.015625</v>
      </c>
      <c r="D1365">
        <v>3050157.59564518</v>
      </c>
      <c r="E1365">
        <v>1.009792413941372E-5</v>
      </c>
      <c r="F1365">
        <v>1.004897580911847E-5</v>
      </c>
      <c r="G1365">
        <v>4.8948330295249687E-8</v>
      </c>
      <c r="H1365" t="b">
        <v>0</v>
      </c>
    </row>
    <row r="1366" spans="1:8" x14ac:dyDescent="0.15">
      <c r="A1366">
        <v>147</v>
      </c>
      <c r="B1366">
        <v>12</v>
      </c>
      <c r="C1366">
        <v>5001196.2890625</v>
      </c>
      <c r="D1366">
        <v>4407466.7723485203</v>
      </c>
      <c r="E1366">
        <v>1.011932638380047E-5</v>
      </c>
      <c r="F1366">
        <v>1.004897580911847E-5</v>
      </c>
      <c r="G1366">
        <v>7.0350574682000286E-8</v>
      </c>
      <c r="H1366" t="b">
        <v>0</v>
      </c>
    </row>
    <row r="1367" spans="1:8" x14ac:dyDescent="0.15">
      <c r="A1367">
        <v>147</v>
      </c>
      <c r="B1367">
        <v>13</v>
      </c>
      <c r="C1367">
        <v>5002648.92578125</v>
      </c>
      <c r="D1367">
        <v>5092065.3649431607</v>
      </c>
      <c r="E1367">
        <v>1.0130036098130479E-5</v>
      </c>
      <c r="F1367">
        <v>1.004897580911847E-5</v>
      </c>
      <c r="G1367">
        <v>8.1060289012012835E-8</v>
      </c>
      <c r="H1367" t="b">
        <v>0</v>
      </c>
    </row>
    <row r="1368" spans="1:8" x14ac:dyDescent="0.15">
      <c r="A1368">
        <v>147</v>
      </c>
      <c r="B1368">
        <v>14</v>
      </c>
      <c r="C1368">
        <v>5002148.92578125</v>
      </c>
      <c r="D1368">
        <v>4855952.9606549386</v>
      </c>
      <c r="E1368">
        <v>1.012634876391329E-5</v>
      </c>
      <c r="F1368">
        <v>1.004897580911847E-5</v>
      </c>
      <c r="G1368">
        <v>7.7372954794820386E-8</v>
      </c>
      <c r="H1368" t="b">
        <v>0</v>
      </c>
    </row>
    <row r="1369" spans="1:8" x14ac:dyDescent="0.15">
      <c r="A1369">
        <v>147</v>
      </c>
      <c r="B1369">
        <v>15</v>
      </c>
      <c r="C1369">
        <v>5002398.92578125</v>
      </c>
      <c r="D1369">
        <v>4973962.1873238906</v>
      </c>
      <c r="E1369">
        <v>1.012819253051503E-5</v>
      </c>
      <c r="F1369">
        <v>1.004897580911847E-5</v>
      </c>
      <c r="G1369">
        <v>7.921672139655627E-8</v>
      </c>
      <c r="H1369" t="b">
        <v>0</v>
      </c>
    </row>
    <row r="1370" spans="1:8" x14ac:dyDescent="0.15">
      <c r="A1370">
        <v>148</v>
      </c>
      <c r="B1370">
        <v>1</v>
      </c>
      <c r="C1370">
        <v>6050000</v>
      </c>
      <c r="D1370">
        <v>4681116062.5775881</v>
      </c>
      <c r="E1370">
        <v>3.0576412904179191E-5</v>
      </c>
      <c r="F1370">
        <v>9.977882239028309E-6</v>
      </c>
      <c r="G1370">
        <v>2.0598530665150879E-5</v>
      </c>
      <c r="H1370" t="b">
        <v>0</v>
      </c>
    </row>
    <row r="1371" spans="1:8" x14ac:dyDescent="0.15">
      <c r="A1371">
        <v>148</v>
      </c>
      <c r="B1371">
        <v>2</v>
      </c>
      <c r="C1371">
        <v>3075000</v>
      </c>
      <c r="D1371">
        <v>-264346.82179304463</v>
      </c>
      <c r="E1371">
        <v>1.082384767464498E-6</v>
      </c>
      <c r="F1371">
        <v>9.9778822390283107E-6</v>
      </c>
      <c r="G1371">
        <v>-8.8954974715638127E-6</v>
      </c>
      <c r="H1371" t="b">
        <v>1</v>
      </c>
    </row>
    <row r="1372" spans="1:8" x14ac:dyDescent="0.15">
      <c r="A1372">
        <v>148</v>
      </c>
      <c r="B1372">
        <v>3</v>
      </c>
      <c r="C1372">
        <v>4562500</v>
      </c>
      <c r="D1372">
        <v>-37555064.065695547</v>
      </c>
      <c r="E1372">
        <v>6.7138565461831123E-6</v>
      </c>
      <c r="F1372">
        <v>9.9778822390283107E-6</v>
      </c>
      <c r="G1372">
        <v>-3.2640256928451991E-6</v>
      </c>
      <c r="H1372" t="b">
        <v>1</v>
      </c>
    </row>
    <row r="1373" spans="1:8" x14ac:dyDescent="0.15">
      <c r="A1373">
        <v>148</v>
      </c>
      <c r="B1373">
        <v>4</v>
      </c>
      <c r="C1373">
        <v>5306250</v>
      </c>
      <c r="D1373">
        <v>243013021.65367919</v>
      </c>
      <c r="E1373">
        <v>1.2414986372885231E-5</v>
      </c>
      <c r="F1373">
        <v>9.9778822390283107E-6</v>
      </c>
      <c r="G1373">
        <v>2.4371041338569148E-6</v>
      </c>
      <c r="H1373" t="b">
        <v>0</v>
      </c>
    </row>
    <row r="1374" spans="1:8" x14ac:dyDescent="0.15">
      <c r="A1374">
        <v>148</v>
      </c>
      <c r="B1374">
        <v>5</v>
      </c>
      <c r="C1374">
        <v>4934375</v>
      </c>
      <c r="D1374">
        <v>-43175612.365709677</v>
      </c>
      <c r="E1374">
        <v>9.0633674426553458E-6</v>
      </c>
      <c r="F1374">
        <v>9.9778822390283107E-6</v>
      </c>
      <c r="G1374">
        <v>-9.1451479637296489E-7</v>
      </c>
      <c r="H1374" t="b">
        <v>1</v>
      </c>
    </row>
    <row r="1375" spans="1:8" x14ac:dyDescent="0.15">
      <c r="A1375">
        <v>148</v>
      </c>
      <c r="B1375">
        <v>6</v>
      </c>
      <c r="C1375">
        <v>5120312.5</v>
      </c>
      <c r="D1375">
        <v>27465722.047077071</v>
      </c>
      <c r="E1375">
        <v>1.038022011937651E-5</v>
      </c>
      <c r="F1375">
        <v>9.9778822390283107E-6</v>
      </c>
      <c r="G1375">
        <v>4.0233788034819722E-7</v>
      </c>
      <c r="H1375" t="b">
        <v>0</v>
      </c>
    </row>
    <row r="1376" spans="1:8" x14ac:dyDescent="0.15">
      <c r="A1376">
        <v>148</v>
      </c>
      <c r="B1376">
        <v>7</v>
      </c>
      <c r="C1376">
        <v>5027343.75</v>
      </c>
      <c r="D1376">
        <v>-15411009.9105729</v>
      </c>
      <c r="E1376">
        <v>9.7103042278811652E-6</v>
      </c>
      <c r="F1376">
        <v>9.9778822390283107E-6</v>
      </c>
      <c r="G1376">
        <v>-2.6757801114714551E-7</v>
      </c>
      <c r="H1376" t="b">
        <v>1</v>
      </c>
    </row>
    <row r="1377" spans="1:8" x14ac:dyDescent="0.15">
      <c r="A1377">
        <v>148</v>
      </c>
      <c r="B1377">
        <v>8</v>
      </c>
      <c r="C1377">
        <v>5073828.125</v>
      </c>
      <c r="D1377">
        <v>4056725.4041823582</v>
      </c>
      <c r="E1377">
        <v>1.004237861315348E-5</v>
      </c>
      <c r="F1377">
        <v>9.9778822390283107E-6</v>
      </c>
      <c r="G1377">
        <v>6.4496374125172574E-8</v>
      </c>
      <c r="H1377" t="b">
        <v>0</v>
      </c>
    </row>
    <row r="1378" spans="1:8" x14ac:dyDescent="0.15">
      <c r="A1378">
        <v>148</v>
      </c>
      <c r="B1378">
        <v>9</v>
      </c>
      <c r="C1378">
        <v>5097070.3125</v>
      </c>
      <c r="D1378">
        <v>15259175.599442551</v>
      </c>
      <c r="E1378">
        <v>1.0210581620615629E-5</v>
      </c>
      <c r="F1378">
        <v>9.9778822390283107E-6</v>
      </c>
      <c r="G1378">
        <v>2.3269938158731879E-7</v>
      </c>
      <c r="H1378" t="b">
        <v>0</v>
      </c>
    </row>
    <row r="1379" spans="1:8" x14ac:dyDescent="0.15">
      <c r="A1379">
        <v>148</v>
      </c>
      <c r="B1379">
        <v>10</v>
      </c>
      <c r="C1379">
        <v>5085449.21875</v>
      </c>
      <c r="D1379">
        <v>9533583.0539412107</v>
      </c>
      <c r="E1379">
        <v>1.012630024842015E-5</v>
      </c>
      <c r="F1379">
        <v>9.9778822390283107E-6</v>
      </c>
      <c r="G1379">
        <v>1.484180093918397E-7</v>
      </c>
      <c r="H1379" t="b">
        <v>0</v>
      </c>
    </row>
    <row r="1380" spans="1:8" x14ac:dyDescent="0.15">
      <c r="A1380">
        <v>148</v>
      </c>
      <c r="B1380">
        <v>11</v>
      </c>
      <c r="C1380">
        <v>5079638.671875</v>
      </c>
      <c r="D1380">
        <v>6764184.0180239892</v>
      </c>
      <c r="E1380">
        <v>1.008429404623397E-5</v>
      </c>
      <c r="F1380">
        <v>9.9778822390283107E-6</v>
      </c>
      <c r="G1380">
        <v>1.064118072056627E-7</v>
      </c>
      <c r="H1380" t="b">
        <v>0</v>
      </c>
    </row>
    <row r="1381" spans="1:8" x14ac:dyDescent="0.15">
      <c r="A1381">
        <v>148</v>
      </c>
      <c r="B1381">
        <v>12</v>
      </c>
      <c r="C1381">
        <v>5076733.3984375</v>
      </c>
      <c r="D1381">
        <v>5402748.6482517524</v>
      </c>
      <c r="E1381">
        <v>1.006332525530987E-5</v>
      </c>
      <c r="F1381">
        <v>9.9778822390283107E-6</v>
      </c>
      <c r="G1381">
        <v>8.5443016281562471E-8</v>
      </c>
      <c r="H1381" t="b">
        <v>0</v>
      </c>
    </row>
    <row r="1382" spans="1:8" x14ac:dyDescent="0.15">
      <c r="A1382">
        <v>148</v>
      </c>
      <c r="B1382">
        <v>13</v>
      </c>
      <c r="C1382">
        <v>5075280.76171875</v>
      </c>
      <c r="D1382">
        <v>4727786.1244979538</v>
      </c>
      <c r="E1382">
        <v>1.005284875025084E-5</v>
      </c>
      <c r="F1382">
        <v>9.9778822390283107E-6</v>
      </c>
      <c r="G1382">
        <v>7.4966511222531105E-8</v>
      </c>
      <c r="H1382" t="b">
        <v>0</v>
      </c>
    </row>
    <row r="1383" spans="1:8" x14ac:dyDescent="0.15">
      <c r="A1383">
        <v>148</v>
      </c>
      <c r="B1383">
        <v>14</v>
      </c>
      <c r="C1383">
        <v>5075780.76171875</v>
      </c>
      <c r="D1383">
        <v>4959665.8980423026</v>
      </c>
      <c r="E1383">
        <v>1.005645401846162E-5</v>
      </c>
      <c r="F1383">
        <v>9.9778822390283107E-6</v>
      </c>
      <c r="G1383">
        <v>7.8571779433309646E-8</v>
      </c>
      <c r="H1383" t="b">
        <v>0</v>
      </c>
    </row>
    <row r="1384" spans="1:8" x14ac:dyDescent="0.15">
      <c r="A1384">
        <v>148</v>
      </c>
      <c r="B1384">
        <v>15</v>
      </c>
      <c r="C1384">
        <v>5076380.76171875</v>
      </c>
      <c r="D1384">
        <v>5238548.4626927888</v>
      </c>
      <c r="E1384">
        <v>1.0060781589564489E-5</v>
      </c>
      <c r="F1384">
        <v>9.9778822390283107E-6</v>
      </c>
      <c r="G1384">
        <v>8.2899350536183773E-8</v>
      </c>
      <c r="H1384" t="b">
        <v>0</v>
      </c>
    </row>
    <row r="1385" spans="1:8" x14ac:dyDescent="0.15">
      <c r="A1385">
        <v>148</v>
      </c>
      <c r="B1385">
        <v>16</v>
      </c>
      <c r="C1385">
        <v>5076080.76171875</v>
      </c>
      <c r="D1385">
        <v>5099036.7873282405</v>
      </c>
      <c r="E1385">
        <v>1.005861786816685E-5</v>
      </c>
      <c r="F1385">
        <v>9.9778822390283107E-6</v>
      </c>
      <c r="G1385">
        <v>8.073562913854102E-8</v>
      </c>
      <c r="H1385" t="b">
        <v>0</v>
      </c>
    </row>
    <row r="1386" spans="1:8" x14ac:dyDescent="0.15">
      <c r="A1386">
        <v>149</v>
      </c>
      <c r="B1386">
        <v>1</v>
      </c>
      <c r="C1386">
        <v>6050000</v>
      </c>
      <c r="D1386">
        <v>-33455843.7432019</v>
      </c>
      <c r="E1386">
        <v>6.4813630329543368E-6</v>
      </c>
      <c r="F1386">
        <v>9.8380888363249638E-6</v>
      </c>
      <c r="G1386">
        <v>-3.356725803370627E-6</v>
      </c>
      <c r="H1386" t="b">
        <v>1</v>
      </c>
    </row>
    <row r="1387" spans="1:8" x14ac:dyDescent="0.15">
      <c r="A1387">
        <v>149</v>
      </c>
      <c r="B1387">
        <v>2</v>
      </c>
      <c r="C1387">
        <v>9025000</v>
      </c>
      <c r="D1387">
        <v>14318403896.46611</v>
      </c>
      <c r="E1387">
        <v>5.5989543352317982E-5</v>
      </c>
      <c r="F1387">
        <v>9.8380888363249638E-6</v>
      </c>
      <c r="G1387">
        <v>4.6151454515993018E-5</v>
      </c>
      <c r="H1387" t="b">
        <v>0</v>
      </c>
    </row>
    <row r="1388" spans="1:8" x14ac:dyDescent="0.15">
      <c r="A1388">
        <v>149</v>
      </c>
      <c r="B1388">
        <v>3</v>
      </c>
      <c r="C1388">
        <v>7537500</v>
      </c>
      <c r="D1388">
        <v>1478784476.1504779</v>
      </c>
      <c r="E1388">
        <v>1.8361087400457601E-5</v>
      </c>
      <c r="F1388">
        <v>9.8380888363249638E-6</v>
      </c>
      <c r="G1388">
        <v>8.5229985641326376E-6</v>
      </c>
      <c r="H1388" t="b">
        <v>0</v>
      </c>
    </row>
    <row r="1389" spans="1:8" x14ac:dyDescent="0.15">
      <c r="A1389">
        <v>149</v>
      </c>
      <c r="B1389">
        <v>4</v>
      </c>
      <c r="C1389">
        <v>6793750</v>
      </c>
      <c r="D1389">
        <v>8194887.4058921114</v>
      </c>
      <c r="E1389">
        <v>9.9649434586376235E-6</v>
      </c>
      <c r="F1389">
        <v>9.8380888363249638E-6</v>
      </c>
      <c r="G1389">
        <v>1.268546223126597E-7</v>
      </c>
      <c r="H1389" t="b">
        <v>0</v>
      </c>
    </row>
    <row r="1390" spans="1:8" x14ac:dyDescent="0.15">
      <c r="A1390">
        <v>149</v>
      </c>
      <c r="B1390">
        <v>5</v>
      </c>
      <c r="C1390">
        <v>6421875</v>
      </c>
      <c r="D1390">
        <v>-58809484.305724293</v>
      </c>
      <c r="E1390">
        <v>8.1246860429598851E-6</v>
      </c>
      <c r="F1390">
        <v>9.8380888363249638E-6</v>
      </c>
      <c r="G1390">
        <v>-1.7134027933650791E-6</v>
      </c>
      <c r="H1390" t="b">
        <v>1</v>
      </c>
    </row>
    <row r="1391" spans="1:8" x14ac:dyDescent="0.15">
      <c r="A1391">
        <v>149</v>
      </c>
      <c r="B1391">
        <v>6</v>
      </c>
      <c r="C1391">
        <v>6607812.5</v>
      </c>
      <c r="D1391">
        <v>-40089533.887373671</v>
      </c>
      <c r="E1391">
        <v>9.0208700023358203E-6</v>
      </c>
      <c r="F1391">
        <v>9.8380888363249638E-6</v>
      </c>
      <c r="G1391">
        <v>-8.1721883398914349E-7</v>
      </c>
      <c r="H1391" t="b">
        <v>1</v>
      </c>
    </row>
    <row r="1392" spans="1:8" x14ac:dyDescent="0.15">
      <c r="A1392">
        <v>149</v>
      </c>
      <c r="B1392">
        <v>7</v>
      </c>
      <c r="C1392">
        <v>6700781.25</v>
      </c>
      <c r="D1392">
        <v>-19925158.607940089</v>
      </c>
      <c r="E1392">
        <v>9.4869736005251739E-6</v>
      </c>
      <c r="F1392">
        <v>9.8380888363249638E-6</v>
      </c>
      <c r="G1392">
        <v>-3.5111523579978991E-7</v>
      </c>
      <c r="H1392" t="b">
        <v>1</v>
      </c>
    </row>
    <row r="1393" spans="1:8" x14ac:dyDescent="0.15">
      <c r="A1393">
        <v>149</v>
      </c>
      <c r="B1393">
        <v>8</v>
      </c>
      <c r="C1393">
        <v>6747265.625</v>
      </c>
      <c r="D1393">
        <v>-6890660.6505529862</v>
      </c>
      <c r="E1393">
        <v>9.7244876556924711E-6</v>
      </c>
      <c r="F1393">
        <v>9.8380888363249638E-6</v>
      </c>
      <c r="G1393">
        <v>-1.136011806324927E-7</v>
      </c>
      <c r="H1393" t="b">
        <v>1</v>
      </c>
    </row>
    <row r="1394" spans="1:8" x14ac:dyDescent="0.15">
      <c r="A1394">
        <v>149</v>
      </c>
      <c r="B1394">
        <v>9</v>
      </c>
      <c r="C1394">
        <v>6770507.8125</v>
      </c>
      <c r="D1394">
        <v>392324.7469256295</v>
      </c>
      <c r="E1394">
        <v>9.8443535558231825E-6</v>
      </c>
      <c r="F1394">
        <v>9.8380888363249638E-6</v>
      </c>
      <c r="G1394">
        <v>6.2647194982187146E-9</v>
      </c>
      <c r="H1394" t="b">
        <v>0</v>
      </c>
    </row>
    <row r="1395" spans="1:8" x14ac:dyDescent="0.15">
      <c r="A1395">
        <v>149</v>
      </c>
      <c r="B1395">
        <v>10</v>
      </c>
      <c r="C1395">
        <v>6782128.90625</v>
      </c>
      <c r="D1395">
        <v>4228458.3907680744</v>
      </c>
      <c r="E1395">
        <v>9.9045619042938991E-6</v>
      </c>
      <c r="F1395">
        <v>9.8380888363249638E-6</v>
      </c>
      <c r="G1395">
        <v>6.6473067968935329E-8</v>
      </c>
      <c r="H1395" t="b">
        <v>0</v>
      </c>
    </row>
    <row r="1396" spans="1:8" x14ac:dyDescent="0.15">
      <c r="A1396">
        <v>149</v>
      </c>
      <c r="B1396">
        <v>11</v>
      </c>
      <c r="C1396">
        <v>6787939.453125</v>
      </c>
      <c r="D1396">
        <v>6195598.3778574746</v>
      </c>
      <c r="E1396">
        <v>9.9347350729681266E-6</v>
      </c>
      <c r="F1396">
        <v>9.8380888363249638E-6</v>
      </c>
      <c r="G1396">
        <v>9.6646236643162771E-8</v>
      </c>
      <c r="H1396" t="b">
        <v>0</v>
      </c>
    </row>
    <row r="1397" spans="1:8" x14ac:dyDescent="0.15">
      <c r="A1397">
        <v>149</v>
      </c>
      <c r="B1397">
        <v>12</v>
      </c>
      <c r="C1397">
        <v>6790844.7265625</v>
      </c>
      <c r="D1397">
        <v>7191163.6877103848</v>
      </c>
      <c r="E1397">
        <v>9.9498340256066908E-6</v>
      </c>
      <c r="F1397">
        <v>9.8380888363249638E-6</v>
      </c>
      <c r="G1397">
        <v>1.1174518928172701E-7</v>
      </c>
      <c r="H1397" t="b">
        <v>0</v>
      </c>
    </row>
    <row r="1398" spans="1:8" x14ac:dyDescent="0.15">
      <c r="A1398">
        <v>149</v>
      </c>
      <c r="B1398">
        <v>13</v>
      </c>
      <c r="C1398">
        <v>6789392.08984375</v>
      </c>
      <c r="D1398">
        <v>6692397.2297963398</v>
      </c>
      <c r="E1398">
        <v>9.9422837731782199E-6</v>
      </c>
      <c r="F1398">
        <v>9.8380888363249638E-6</v>
      </c>
      <c r="G1398">
        <v>1.0419493685325611E-7</v>
      </c>
      <c r="H1398" t="b">
        <v>0</v>
      </c>
    </row>
    <row r="1399" spans="1:8" x14ac:dyDescent="0.15">
      <c r="A1399">
        <v>149</v>
      </c>
      <c r="B1399">
        <v>14</v>
      </c>
      <c r="C1399">
        <v>6789892.08984375</v>
      </c>
      <c r="D1399">
        <v>6863864.510518576</v>
      </c>
      <c r="E1399">
        <v>9.9448826065710976E-6</v>
      </c>
      <c r="F1399">
        <v>9.8380888363249638E-6</v>
      </c>
      <c r="G1399">
        <v>1.0679377024613379E-7</v>
      </c>
      <c r="H1399" t="b">
        <v>0</v>
      </c>
    </row>
    <row r="1400" spans="1:8" x14ac:dyDescent="0.15">
      <c r="A1400">
        <v>149</v>
      </c>
      <c r="B1400">
        <v>15</v>
      </c>
      <c r="C1400">
        <v>6789642.08984375</v>
      </c>
      <c r="D1400">
        <v>6778111.8795140097</v>
      </c>
      <c r="E1400">
        <v>9.9435833207945902E-6</v>
      </c>
      <c r="F1400">
        <v>9.8380888363249638E-6</v>
      </c>
      <c r="G1400">
        <v>1.0549448446962641E-7</v>
      </c>
      <c r="H1400" t="b">
        <v>0</v>
      </c>
    </row>
    <row r="1401" spans="1:8" x14ac:dyDescent="0.15">
      <c r="A1401">
        <v>150</v>
      </c>
      <c r="B1401">
        <v>1</v>
      </c>
      <c r="C1401">
        <v>6050000</v>
      </c>
      <c r="D1401">
        <v>-37999297.534266017</v>
      </c>
      <c r="E1401">
        <v>6.649099623713613E-6</v>
      </c>
      <c r="F1401">
        <v>9.8380888363249638E-6</v>
      </c>
      <c r="G1401">
        <v>-3.1889892126113508E-6</v>
      </c>
      <c r="H1401" t="b">
        <v>1</v>
      </c>
    </row>
    <row r="1402" spans="1:8" x14ac:dyDescent="0.15">
      <c r="A1402">
        <v>150</v>
      </c>
      <c r="B1402">
        <v>2</v>
      </c>
      <c r="C1402">
        <v>9025000</v>
      </c>
      <c r="D1402">
        <v>15265762923.0646</v>
      </c>
      <c r="E1402">
        <v>5.8216295322889678E-5</v>
      </c>
      <c r="F1402">
        <v>9.8380888363249638E-6</v>
      </c>
      <c r="G1402">
        <v>4.8378206486564721E-5</v>
      </c>
      <c r="H1402" t="b">
        <v>0</v>
      </c>
    </row>
    <row r="1403" spans="1:8" x14ac:dyDescent="0.15">
      <c r="A1403">
        <v>150</v>
      </c>
      <c r="B1403">
        <v>3</v>
      </c>
      <c r="C1403">
        <v>7537500</v>
      </c>
      <c r="D1403">
        <v>1673796087.7035389</v>
      </c>
      <c r="E1403">
        <v>1.9208860614997018E-5</v>
      </c>
      <c r="F1403">
        <v>9.8380888363249638E-6</v>
      </c>
      <c r="G1403">
        <v>9.370771778672058E-6</v>
      </c>
      <c r="H1403" t="b">
        <v>0</v>
      </c>
    </row>
    <row r="1404" spans="1:8" x14ac:dyDescent="0.15">
      <c r="A1404">
        <v>150</v>
      </c>
      <c r="B1404">
        <v>4</v>
      </c>
      <c r="C1404">
        <v>6793750</v>
      </c>
      <c r="D1404">
        <v>25000962.547095999</v>
      </c>
      <c r="E1404">
        <v>1.020311117413464E-5</v>
      </c>
      <c r="F1404">
        <v>9.8380888363249638E-6</v>
      </c>
      <c r="G1404">
        <v>3.6502233780967448E-7</v>
      </c>
      <c r="H1404" t="b">
        <v>0</v>
      </c>
    </row>
    <row r="1405" spans="1:8" x14ac:dyDescent="0.15">
      <c r="A1405">
        <v>150</v>
      </c>
      <c r="B1405">
        <v>5</v>
      </c>
      <c r="C1405">
        <v>6421875</v>
      </c>
      <c r="D1405">
        <v>-56859851.098304547</v>
      </c>
      <c r="E1405">
        <v>8.3267933297963138E-6</v>
      </c>
      <c r="F1405">
        <v>9.8380888363249638E-6</v>
      </c>
      <c r="G1405">
        <v>-1.51129550652865E-6</v>
      </c>
      <c r="H1405" t="b">
        <v>1</v>
      </c>
    </row>
    <row r="1406" spans="1:8" x14ac:dyDescent="0.15">
      <c r="A1406">
        <v>150</v>
      </c>
      <c r="B1406">
        <v>6</v>
      </c>
      <c r="C1406">
        <v>6607812.5</v>
      </c>
      <c r="D1406">
        <v>-31469002.498331059</v>
      </c>
      <c r="E1406">
        <v>9.2408199513695814E-6</v>
      </c>
      <c r="F1406">
        <v>9.8380888363249638E-6</v>
      </c>
      <c r="G1406">
        <v>-5.9726888495538241E-7</v>
      </c>
      <c r="H1406" t="b">
        <v>1</v>
      </c>
    </row>
    <row r="1407" spans="1:8" x14ac:dyDescent="0.15">
      <c r="A1407">
        <v>150</v>
      </c>
      <c r="B1407">
        <v>7</v>
      </c>
      <c r="C1407">
        <v>6700781.25</v>
      </c>
      <c r="D1407">
        <v>-7388651.617708981</v>
      </c>
      <c r="E1407">
        <v>9.715996812582085E-6</v>
      </c>
      <c r="F1407">
        <v>9.8380888363249638E-6</v>
      </c>
      <c r="G1407">
        <v>-1.2209202374287879E-7</v>
      </c>
      <c r="H1407" t="b">
        <v>1</v>
      </c>
    </row>
    <row r="1408" spans="1:8" x14ac:dyDescent="0.15">
      <c r="A1408">
        <v>150</v>
      </c>
      <c r="B1408">
        <v>8</v>
      </c>
      <c r="C1408">
        <v>6747265.625</v>
      </c>
      <c r="D1408">
        <v>7738872.1752282232</v>
      </c>
      <c r="E1408">
        <v>9.9580928199436751E-6</v>
      </c>
      <c r="F1408">
        <v>9.8380888363249638E-6</v>
      </c>
      <c r="G1408">
        <v>1.2000398361871131E-7</v>
      </c>
      <c r="H1408" t="b">
        <v>0</v>
      </c>
    </row>
    <row r="1409" spans="1:8" x14ac:dyDescent="0.15">
      <c r="A1409">
        <v>150</v>
      </c>
      <c r="B1409">
        <v>9</v>
      </c>
      <c r="C1409">
        <v>6724023.4375</v>
      </c>
      <c r="D1409">
        <v>-88591.627481311327</v>
      </c>
      <c r="E1409">
        <v>9.8366713352085582E-6</v>
      </c>
      <c r="F1409">
        <v>9.8380888363249638E-6</v>
      </c>
      <c r="G1409">
        <v>-1.417501116405577E-9</v>
      </c>
      <c r="H1409" t="b">
        <v>1</v>
      </c>
    </row>
    <row r="1410" spans="1:8" x14ac:dyDescent="0.15">
      <c r="A1410">
        <v>150</v>
      </c>
      <c r="B1410">
        <v>10</v>
      </c>
      <c r="C1410">
        <v>6735644.53125</v>
      </c>
      <c r="D1410">
        <v>3758778.730591944</v>
      </c>
      <c r="E1410">
        <v>9.8972892730594639E-6</v>
      </c>
      <c r="F1410">
        <v>9.8380888363249638E-6</v>
      </c>
      <c r="G1410">
        <v>5.9200436734500062E-8</v>
      </c>
      <c r="H1410" t="b">
        <v>0</v>
      </c>
    </row>
    <row r="1411" spans="1:8" x14ac:dyDescent="0.15">
      <c r="A1411">
        <v>150</v>
      </c>
      <c r="B1411">
        <v>11</v>
      </c>
      <c r="C1411">
        <v>6741455.078125</v>
      </c>
      <c r="D1411">
        <v>5732161.5017441716</v>
      </c>
      <c r="E1411">
        <v>9.9276676084817111E-6</v>
      </c>
      <c r="F1411">
        <v>9.8380888363249638E-6</v>
      </c>
      <c r="G1411">
        <v>8.9578772156747289E-8</v>
      </c>
      <c r="H1411" t="b">
        <v>0</v>
      </c>
    </row>
    <row r="1412" spans="1:8" x14ac:dyDescent="0.15">
      <c r="A1412">
        <v>150</v>
      </c>
      <c r="B1412">
        <v>12</v>
      </c>
      <c r="C1412">
        <v>6744360.3515625</v>
      </c>
      <c r="D1412">
        <v>6731346.5880342284</v>
      </c>
      <c r="E1412">
        <v>9.9428744009127979E-6</v>
      </c>
      <c r="F1412">
        <v>9.8380888363249638E-6</v>
      </c>
      <c r="G1412">
        <v>1.0478556458783411E-7</v>
      </c>
      <c r="H1412" t="b">
        <v>0</v>
      </c>
    </row>
    <row r="1413" spans="1:8" x14ac:dyDescent="0.15">
      <c r="A1413">
        <v>151</v>
      </c>
      <c r="B1413">
        <v>1</v>
      </c>
      <c r="C1413">
        <v>6050000</v>
      </c>
      <c r="D1413">
        <v>123024278940.418</v>
      </c>
      <c r="E1413">
        <v>1.746941495451558E-4</v>
      </c>
      <c r="F1413">
        <v>7.63395442096709E-6</v>
      </c>
      <c r="G1413">
        <v>1.6706019512418869E-4</v>
      </c>
      <c r="H1413" t="b">
        <v>0</v>
      </c>
    </row>
    <row r="1414" spans="1:8" x14ac:dyDescent="0.15">
      <c r="A1414">
        <v>151</v>
      </c>
      <c r="B1414">
        <v>2</v>
      </c>
      <c r="C1414">
        <v>3075000</v>
      </c>
      <c r="D1414">
        <v>-8008554.0569273271</v>
      </c>
      <c r="E1414">
        <v>3.9445179026438594E-6</v>
      </c>
      <c r="F1414">
        <v>7.6339544209671019E-6</v>
      </c>
      <c r="G1414">
        <v>-3.6894365183232421E-6</v>
      </c>
      <c r="H1414" t="b">
        <v>1</v>
      </c>
    </row>
    <row r="1415" spans="1:8" x14ac:dyDescent="0.15">
      <c r="A1415">
        <v>151</v>
      </c>
      <c r="B1415">
        <v>3</v>
      </c>
      <c r="C1415">
        <v>4562500</v>
      </c>
      <c r="D1415">
        <v>9525626091.9044418</v>
      </c>
      <c r="E1415">
        <v>3.2975155882836053E-5</v>
      </c>
      <c r="F1415">
        <v>7.6339544209671036E-6</v>
      </c>
      <c r="G1415">
        <v>2.534120146186894E-5</v>
      </c>
      <c r="H1415" t="b">
        <v>0</v>
      </c>
    </row>
    <row r="1416" spans="1:8" x14ac:dyDescent="0.15">
      <c r="A1416">
        <v>151</v>
      </c>
      <c r="B1416">
        <v>4</v>
      </c>
      <c r="C1416">
        <v>3818750</v>
      </c>
      <c r="D1416">
        <v>231786527.18128651</v>
      </c>
      <c r="E1416">
        <v>9.4928283793297818E-6</v>
      </c>
      <c r="F1416">
        <v>7.6339544209671019E-6</v>
      </c>
      <c r="G1416">
        <v>1.8588739583626799E-6</v>
      </c>
      <c r="H1416" t="b">
        <v>0</v>
      </c>
    </row>
    <row r="1417" spans="1:8" x14ac:dyDescent="0.15">
      <c r="A1417">
        <v>151</v>
      </c>
      <c r="B1417">
        <v>5</v>
      </c>
      <c r="C1417">
        <v>3446875</v>
      </c>
      <c r="D1417">
        <v>-51992909.756612487</v>
      </c>
      <c r="E1417">
        <v>6.3673879453746664E-6</v>
      </c>
      <c r="F1417">
        <v>7.6339544209671019E-6</v>
      </c>
      <c r="G1417">
        <v>-1.2665664755924359E-6</v>
      </c>
      <c r="H1417" t="b">
        <v>1</v>
      </c>
    </row>
    <row r="1418" spans="1:8" x14ac:dyDescent="0.15">
      <c r="A1418">
        <v>151</v>
      </c>
      <c r="B1418">
        <v>6</v>
      </c>
      <c r="C1418">
        <v>3632812.5</v>
      </c>
      <c r="D1418">
        <v>16955293.56776391</v>
      </c>
      <c r="E1418">
        <v>7.8439895270208603E-6</v>
      </c>
      <c r="F1418">
        <v>7.6339544209671019E-6</v>
      </c>
      <c r="G1418">
        <v>2.100351060537584E-7</v>
      </c>
      <c r="H1418" t="b">
        <v>0</v>
      </c>
    </row>
    <row r="1419" spans="1:8" x14ac:dyDescent="0.15">
      <c r="A1419">
        <v>151</v>
      </c>
      <c r="B1419">
        <v>7</v>
      </c>
      <c r="C1419">
        <v>3539843.75</v>
      </c>
      <c r="D1419">
        <v>-33089354.432542071</v>
      </c>
      <c r="E1419">
        <v>7.0838095058642319E-6</v>
      </c>
      <c r="F1419">
        <v>7.6339544209671019E-6</v>
      </c>
      <c r="G1419">
        <v>-5.5014491510287005E-7</v>
      </c>
      <c r="H1419" t="b">
        <v>1</v>
      </c>
    </row>
    <row r="1420" spans="1:8" x14ac:dyDescent="0.15">
      <c r="A1420">
        <v>151</v>
      </c>
      <c r="B1420">
        <v>8</v>
      </c>
      <c r="C1420">
        <v>3586328.125</v>
      </c>
      <c r="D1420">
        <v>-12335856.02405999</v>
      </c>
      <c r="E1420">
        <v>7.4584360299908157E-6</v>
      </c>
      <c r="F1420">
        <v>7.6339544209671019E-6</v>
      </c>
      <c r="G1420">
        <v>-1.7551839097628619E-7</v>
      </c>
      <c r="H1420" t="b">
        <v>1</v>
      </c>
    </row>
    <row r="1421" spans="1:8" x14ac:dyDescent="0.15">
      <c r="A1421">
        <v>151</v>
      </c>
      <c r="B1421">
        <v>9</v>
      </c>
      <c r="C1421">
        <v>3609570.3125</v>
      </c>
      <c r="D1421">
        <v>1199709.605012116</v>
      </c>
      <c r="E1421">
        <v>7.6498511378275634E-6</v>
      </c>
      <c r="F1421">
        <v>7.6339544209671019E-6</v>
      </c>
      <c r="G1421">
        <v>1.5896716860461469E-8</v>
      </c>
      <c r="H1421" t="b">
        <v>0</v>
      </c>
    </row>
    <row r="1422" spans="1:8" x14ac:dyDescent="0.15">
      <c r="A1422">
        <v>151</v>
      </c>
      <c r="B1422">
        <v>10</v>
      </c>
      <c r="C1422">
        <v>3621191.40625</v>
      </c>
      <c r="D1422">
        <v>8794834.3760870453</v>
      </c>
      <c r="E1422">
        <v>7.746580091067968E-6</v>
      </c>
      <c r="F1422">
        <v>7.6339544209671019E-6</v>
      </c>
      <c r="G1422">
        <v>1.126256701008661E-7</v>
      </c>
      <c r="H1422" t="b">
        <v>0</v>
      </c>
    </row>
    <row r="1423" spans="1:8" x14ac:dyDescent="0.15">
      <c r="A1423">
        <v>151</v>
      </c>
      <c r="B1423">
        <v>11</v>
      </c>
      <c r="C1423">
        <v>3615380.859375</v>
      </c>
      <c r="D1423">
        <v>4927233.1727287769</v>
      </c>
      <c r="E1423">
        <v>7.6981304135839726E-6</v>
      </c>
      <c r="F1423">
        <v>7.6339544209671019E-6</v>
      </c>
      <c r="G1423">
        <v>6.4175992616870699E-8</v>
      </c>
      <c r="H1423" t="b">
        <v>0</v>
      </c>
    </row>
    <row r="1424" spans="1:8" x14ac:dyDescent="0.15">
      <c r="A1424">
        <v>151</v>
      </c>
      <c r="B1424">
        <v>12</v>
      </c>
      <c r="C1424">
        <v>3612475.5859375</v>
      </c>
      <c r="D1424">
        <v>3046032.9939665212</v>
      </c>
      <c r="E1424">
        <v>7.6739693539603251E-6</v>
      </c>
      <c r="F1424">
        <v>7.6339544209671019E-6</v>
      </c>
      <c r="G1424">
        <v>4.0014932993223207E-8</v>
      </c>
      <c r="H1424" t="b">
        <v>0</v>
      </c>
    </row>
    <row r="1425" spans="1:8" x14ac:dyDescent="0.15">
      <c r="A1425">
        <v>151</v>
      </c>
      <c r="B1425">
        <v>13</v>
      </c>
      <c r="C1425">
        <v>3613928.22265625</v>
      </c>
      <c r="D1425">
        <v>3982266.3297802061</v>
      </c>
      <c r="E1425">
        <v>7.6860445671511515E-6</v>
      </c>
      <c r="F1425">
        <v>7.6339544209671019E-6</v>
      </c>
      <c r="G1425">
        <v>5.2090146184049598E-8</v>
      </c>
      <c r="H1425" t="b">
        <v>0</v>
      </c>
    </row>
    <row r="1426" spans="1:8" x14ac:dyDescent="0.15">
      <c r="A1426">
        <v>151</v>
      </c>
      <c r="B1426">
        <v>14</v>
      </c>
      <c r="C1426">
        <v>3613428.22265625</v>
      </c>
      <c r="D1426">
        <v>3659028.5604483299</v>
      </c>
      <c r="E1426">
        <v>7.6818870582702234E-6</v>
      </c>
      <c r="F1426">
        <v>7.6339544209671019E-6</v>
      </c>
      <c r="G1426">
        <v>4.793263730312145E-8</v>
      </c>
      <c r="H1426" t="b">
        <v>0</v>
      </c>
    </row>
    <row r="1427" spans="1:8" x14ac:dyDescent="0.15">
      <c r="A1427">
        <v>151</v>
      </c>
      <c r="B1427">
        <v>15</v>
      </c>
      <c r="C1427">
        <v>3612828.22265625</v>
      </c>
      <c r="D1427">
        <v>3272507.8931601271</v>
      </c>
      <c r="E1427">
        <v>7.676899710626946E-6</v>
      </c>
      <c r="F1427">
        <v>7.6339544209671019E-6</v>
      </c>
      <c r="G1427">
        <v>4.2945289659844067E-8</v>
      </c>
      <c r="H1427" t="b">
        <v>0</v>
      </c>
    </row>
    <row r="1428" spans="1:8" x14ac:dyDescent="0.15">
      <c r="A1428">
        <v>151</v>
      </c>
      <c r="B1428">
        <v>16</v>
      </c>
      <c r="C1428">
        <v>3613128.22265625</v>
      </c>
      <c r="D1428">
        <v>3465605.7728815358</v>
      </c>
      <c r="E1428">
        <v>7.6793934616277797E-6</v>
      </c>
      <c r="F1428">
        <v>7.6339544209671019E-6</v>
      </c>
      <c r="G1428">
        <v>4.5439040660677838E-8</v>
      </c>
      <c r="H1428" t="b">
        <v>0</v>
      </c>
    </row>
    <row r="1429" spans="1:8" x14ac:dyDescent="0.15">
      <c r="A1429">
        <v>151</v>
      </c>
      <c r="B1429">
        <v>17</v>
      </c>
      <c r="C1429">
        <v>3613488.22265625</v>
      </c>
      <c r="D1429">
        <v>3697762.487571273</v>
      </c>
      <c r="E1429">
        <v>7.6823858928174516E-6</v>
      </c>
      <c r="F1429">
        <v>7.6339544209671019E-6</v>
      </c>
      <c r="G1429">
        <v>4.843147185034967E-8</v>
      </c>
      <c r="H1429" t="b">
        <v>0</v>
      </c>
    </row>
    <row r="1430" spans="1:8" x14ac:dyDescent="0.15">
      <c r="A1430">
        <v>151</v>
      </c>
      <c r="B1430">
        <v>18</v>
      </c>
      <c r="C1430">
        <v>3613308.22265625</v>
      </c>
      <c r="D1430">
        <v>3581628.9560785829</v>
      </c>
      <c r="E1430">
        <v>7.6808897476370321E-6</v>
      </c>
      <c r="F1430">
        <v>7.6339544209671019E-6</v>
      </c>
      <c r="G1430">
        <v>4.6935326669930171E-8</v>
      </c>
      <c r="H1430" t="b">
        <v>0</v>
      </c>
    </row>
    <row r="1431" spans="1:8" x14ac:dyDescent="0.15">
      <c r="A1431">
        <v>152</v>
      </c>
      <c r="B1431">
        <v>1</v>
      </c>
      <c r="C1431">
        <v>6050000</v>
      </c>
      <c r="D1431">
        <v>49857688344.210564</v>
      </c>
      <c r="E1431">
        <v>8.7200264436696111E-5</v>
      </c>
      <c r="F1431">
        <v>7.2366488824017176E-6</v>
      </c>
      <c r="G1431">
        <v>7.9963615554294392E-5</v>
      </c>
      <c r="H1431" t="b">
        <v>0</v>
      </c>
    </row>
    <row r="1432" spans="1:8" x14ac:dyDescent="0.15">
      <c r="A1432">
        <v>152</v>
      </c>
      <c r="B1432">
        <v>2</v>
      </c>
      <c r="C1432">
        <v>3075000</v>
      </c>
      <c r="D1432">
        <v>-1244881.388911539</v>
      </c>
      <c r="E1432">
        <v>2.3269937396359978E-6</v>
      </c>
      <c r="F1432">
        <v>7.2366488824017142E-6</v>
      </c>
      <c r="G1432">
        <v>-4.909655142765716E-6</v>
      </c>
      <c r="H1432" t="b">
        <v>1</v>
      </c>
    </row>
    <row r="1433" spans="1:8" x14ac:dyDescent="0.15">
      <c r="A1433">
        <v>152</v>
      </c>
      <c r="B1433">
        <v>3</v>
      </c>
      <c r="C1433">
        <v>4562500</v>
      </c>
      <c r="D1433">
        <v>1791256792.864428</v>
      </c>
      <c r="E1433">
        <v>1.4157496293545811E-5</v>
      </c>
      <c r="F1433">
        <v>7.2366488824017142E-6</v>
      </c>
      <c r="G1433">
        <v>6.9208474111440947E-6</v>
      </c>
      <c r="H1433" t="b">
        <v>0</v>
      </c>
    </row>
    <row r="1434" spans="1:8" x14ac:dyDescent="0.15">
      <c r="A1434">
        <v>152</v>
      </c>
      <c r="B1434">
        <v>4</v>
      </c>
      <c r="C1434">
        <v>3818750</v>
      </c>
      <c r="D1434">
        <v>-51201967.305646352</v>
      </c>
      <c r="E1434">
        <v>5.8933269431998964E-6</v>
      </c>
      <c r="F1434">
        <v>7.2366488824017142E-6</v>
      </c>
      <c r="G1434">
        <v>-1.3433219392018189E-6</v>
      </c>
      <c r="H1434" t="b">
        <v>1</v>
      </c>
    </row>
    <row r="1435" spans="1:8" x14ac:dyDescent="0.15">
      <c r="A1435">
        <v>152</v>
      </c>
      <c r="B1435">
        <v>5</v>
      </c>
      <c r="C1435">
        <v>4190625</v>
      </c>
      <c r="D1435">
        <v>142027648.92743701</v>
      </c>
      <c r="E1435">
        <v>8.4733931889109953E-6</v>
      </c>
      <c r="F1435">
        <v>7.2366488824017142E-6</v>
      </c>
      <c r="G1435">
        <v>1.236744306509281E-6</v>
      </c>
      <c r="H1435" t="b">
        <v>0</v>
      </c>
    </row>
    <row r="1436" spans="1:8" x14ac:dyDescent="0.15">
      <c r="A1436">
        <v>152</v>
      </c>
      <c r="B1436">
        <v>6</v>
      </c>
      <c r="C1436">
        <v>4004687.5</v>
      </c>
      <c r="D1436">
        <v>-8796109.1961190868</v>
      </c>
      <c r="E1436">
        <v>7.1182686867603588E-6</v>
      </c>
      <c r="F1436">
        <v>7.2366488824017142E-6</v>
      </c>
      <c r="G1436">
        <v>-1.183801956413554E-7</v>
      </c>
      <c r="H1436" t="b">
        <v>1</v>
      </c>
    </row>
    <row r="1437" spans="1:8" x14ac:dyDescent="0.15">
      <c r="A1437">
        <v>152</v>
      </c>
      <c r="B1437">
        <v>7</v>
      </c>
      <c r="C1437">
        <v>4097656.25</v>
      </c>
      <c r="D1437">
        <v>51151648.431381486</v>
      </c>
      <c r="E1437">
        <v>7.7797625933163141E-6</v>
      </c>
      <c r="F1437">
        <v>7.2366488824017142E-6</v>
      </c>
      <c r="G1437">
        <v>5.4311371091459982E-7</v>
      </c>
      <c r="H1437" t="b">
        <v>0</v>
      </c>
    </row>
    <row r="1438" spans="1:8" x14ac:dyDescent="0.15">
      <c r="A1438">
        <v>152</v>
      </c>
      <c r="B1438">
        <v>8</v>
      </c>
      <c r="C1438">
        <v>4051171.875</v>
      </c>
      <c r="D1438">
        <v>17533668.472053912</v>
      </c>
      <c r="E1438">
        <v>7.4450527806976048E-6</v>
      </c>
      <c r="F1438">
        <v>7.2366488824017142E-6</v>
      </c>
      <c r="G1438">
        <v>2.084038982958906E-7</v>
      </c>
      <c r="H1438" t="b">
        <v>0</v>
      </c>
    </row>
    <row r="1439" spans="1:8" x14ac:dyDescent="0.15">
      <c r="A1439">
        <v>152</v>
      </c>
      <c r="B1439">
        <v>9</v>
      </c>
      <c r="C1439">
        <v>4027929.6875</v>
      </c>
      <c r="D1439">
        <v>3485355.9591396032</v>
      </c>
      <c r="E1439">
        <v>7.2806621719926003E-6</v>
      </c>
      <c r="F1439">
        <v>7.2366488824017142E-6</v>
      </c>
      <c r="G1439">
        <v>4.4013289590886109E-8</v>
      </c>
      <c r="H1439" t="b">
        <v>0</v>
      </c>
    </row>
    <row r="1440" spans="1:8" x14ac:dyDescent="0.15">
      <c r="A1440">
        <v>152</v>
      </c>
      <c r="B1440">
        <v>10</v>
      </c>
      <c r="C1440">
        <v>4039550.78125</v>
      </c>
      <c r="D1440">
        <v>10286550.90909487</v>
      </c>
      <c r="E1440">
        <v>7.3626257547499957E-6</v>
      </c>
      <c r="F1440">
        <v>7.2366488824017142E-6</v>
      </c>
      <c r="G1440">
        <v>1.259768723482814E-7</v>
      </c>
      <c r="H1440" t="b">
        <v>0</v>
      </c>
    </row>
    <row r="1441" spans="1:8" x14ac:dyDescent="0.15">
      <c r="A1441">
        <v>152</v>
      </c>
      <c r="B1441">
        <v>11</v>
      </c>
      <c r="C1441">
        <v>4033740.234375</v>
      </c>
      <c r="D1441">
        <v>6830125.9342326671</v>
      </c>
      <c r="E1441">
        <v>7.3215799662692141E-6</v>
      </c>
      <c r="F1441">
        <v>7.2366488824017142E-6</v>
      </c>
      <c r="G1441">
        <v>8.4931083867499822E-8</v>
      </c>
      <c r="H1441" t="b">
        <v>0</v>
      </c>
    </row>
    <row r="1442" spans="1:8" x14ac:dyDescent="0.15">
      <c r="A1442">
        <v>152</v>
      </c>
      <c r="B1442">
        <v>12</v>
      </c>
      <c r="C1442">
        <v>4030834.9609375</v>
      </c>
      <c r="D1442">
        <v>5143855.963719938</v>
      </c>
      <c r="E1442">
        <v>7.3011052387098721E-6</v>
      </c>
      <c r="F1442">
        <v>7.2366488824017142E-6</v>
      </c>
      <c r="G1442">
        <v>6.4456356308157838E-8</v>
      </c>
      <c r="H1442" t="b">
        <v>0</v>
      </c>
    </row>
    <row r="1443" spans="1:8" x14ac:dyDescent="0.15">
      <c r="A1443">
        <v>152</v>
      </c>
      <c r="B1443">
        <v>13</v>
      </c>
      <c r="C1443">
        <v>4029382.32421875</v>
      </c>
      <c r="D1443">
        <v>4311139.0224829139</v>
      </c>
      <c r="E1443">
        <v>7.2908797119476204E-6</v>
      </c>
      <c r="F1443">
        <v>7.2366488824017142E-6</v>
      </c>
      <c r="G1443">
        <v>5.4230829545905289E-8</v>
      </c>
      <c r="H1443" t="b">
        <v>0</v>
      </c>
    </row>
    <row r="1444" spans="1:8" x14ac:dyDescent="0.15">
      <c r="A1444">
        <v>152</v>
      </c>
      <c r="B1444">
        <v>14</v>
      </c>
      <c r="C1444">
        <v>4028182.32421875</v>
      </c>
      <c r="D1444">
        <v>3628452.9110929272</v>
      </c>
      <c r="E1444">
        <v>7.2824383130946139E-6</v>
      </c>
      <c r="F1444">
        <v>7.2366488824017142E-6</v>
      </c>
      <c r="G1444">
        <v>4.5789430692899671E-8</v>
      </c>
      <c r="H1444" t="b">
        <v>0</v>
      </c>
    </row>
    <row r="1445" spans="1:8" x14ac:dyDescent="0.15">
      <c r="A1445">
        <v>152</v>
      </c>
      <c r="B1445">
        <v>15</v>
      </c>
      <c r="C1445">
        <v>4028782.32421875</v>
      </c>
      <c r="D1445">
        <v>3969216.2273020959</v>
      </c>
      <c r="E1445">
        <v>7.2866584703973249E-6</v>
      </c>
      <c r="F1445">
        <v>7.2366488824017142E-6</v>
      </c>
      <c r="G1445">
        <v>5.0009587995610672E-8</v>
      </c>
      <c r="H1445" t="b">
        <v>0</v>
      </c>
    </row>
    <row r="1446" spans="1:8" x14ac:dyDescent="0.15">
      <c r="A1446">
        <v>152</v>
      </c>
      <c r="B1446">
        <v>16</v>
      </c>
      <c r="C1446">
        <v>4029502.32421875</v>
      </c>
      <c r="D1446">
        <v>4379642.8630845631</v>
      </c>
      <c r="E1446">
        <v>7.2917238448866467E-6</v>
      </c>
      <c r="F1446">
        <v>7.2366488824017142E-6</v>
      </c>
      <c r="G1446">
        <v>5.5074962484932427E-8</v>
      </c>
      <c r="H1446" t="b">
        <v>0</v>
      </c>
    </row>
    <row r="1447" spans="1:8" x14ac:dyDescent="0.15">
      <c r="A1447">
        <v>152</v>
      </c>
      <c r="B1447">
        <v>17</v>
      </c>
      <c r="C1447">
        <v>4029142.32421875</v>
      </c>
      <c r="D1447">
        <v>4174228.007981387</v>
      </c>
      <c r="E1447">
        <v>7.289191051812127E-6</v>
      </c>
      <c r="F1447">
        <v>7.2366488824017142E-6</v>
      </c>
      <c r="G1447">
        <v>5.2542169410412767E-8</v>
      </c>
      <c r="H1447" t="b">
        <v>0</v>
      </c>
    </row>
    <row r="1448" spans="1:8" x14ac:dyDescent="0.15">
      <c r="A1448">
        <v>152</v>
      </c>
      <c r="B1448">
        <v>18</v>
      </c>
      <c r="C1448">
        <v>4028710.32421875</v>
      </c>
      <c r="D1448">
        <v>3928242.413249034</v>
      </c>
      <c r="E1448">
        <v>7.2861517343653544E-6</v>
      </c>
      <c r="F1448">
        <v>7.2366488824017142E-6</v>
      </c>
      <c r="G1448">
        <v>4.950285196364014E-8</v>
      </c>
      <c r="H1448" t="b">
        <v>0</v>
      </c>
    </row>
    <row r="1449" spans="1:8" x14ac:dyDescent="0.15">
      <c r="A1449">
        <v>152</v>
      </c>
      <c r="B1449">
        <v>19</v>
      </c>
      <c r="C1449">
        <v>4028926.32421875</v>
      </c>
      <c r="D1449">
        <v>4051147.312438902</v>
      </c>
      <c r="E1449">
        <v>7.2876711654072331E-6</v>
      </c>
      <c r="F1449">
        <v>7.2366488824017142E-6</v>
      </c>
      <c r="G1449">
        <v>5.1022283005518909E-8</v>
      </c>
      <c r="H1449" t="b">
        <v>0</v>
      </c>
    </row>
    <row r="1450" spans="1:8" x14ac:dyDescent="0.15">
      <c r="A1450">
        <v>153</v>
      </c>
      <c r="B1450">
        <v>1</v>
      </c>
      <c r="C1450">
        <v>6050000</v>
      </c>
      <c r="D1450">
        <v>28110132165.495399</v>
      </c>
      <c r="E1450">
        <v>5.7697295941449122E-5</v>
      </c>
      <c r="F1450">
        <v>7.0299887495018664E-6</v>
      </c>
      <c r="G1450">
        <v>5.0667307191947262E-5</v>
      </c>
      <c r="H1450" t="b">
        <v>0</v>
      </c>
    </row>
    <row r="1451" spans="1:8" x14ac:dyDescent="0.15">
      <c r="A1451">
        <v>153</v>
      </c>
      <c r="B1451">
        <v>2</v>
      </c>
      <c r="C1451">
        <v>3075000</v>
      </c>
      <c r="D1451">
        <v>-698817.04108733521</v>
      </c>
      <c r="E1451">
        <v>1.722865355569163E-6</v>
      </c>
      <c r="F1451">
        <v>7.0299887495018664E-6</v>
      </c>
      <c r="G1451">
        <v>-5.3071233939327027E-6</v>
      </c>
      <c r="H1451" t="b">
        <v>1</v>
      </c>
    </row>
    <row r="1452" spans="1:8" x14ac:dyDescent="0.15">
      <c r="A1452">
        <v>153</v>
      </c>
      <c r="B1452">
        <v>3</v>
      </c>
      <c r="C1452">
        <v>4562500</v>
      </c>
      <c r="D1452">
        <v>272290280.19930822</v>
      </c>
      <c r="E1452">
        <v>8.969475898592806E-6</v>
      </c>
      <c r="F1452">
        <v>7.0299887495018664E-6</v>
      </c>
      <c r="G1452">
        <v>1.9394871490909409E-6</v>
      </c>
      <c r="H1452" t="b">
        <v>0</v>
      </c>
    </row>
    <row r="1453" spans="1:8" x14ac:dyDescent="0.15">
      <c r="A1453">
        <v>153</v>
      </c>
      <c r="B1453">
        <v>4</v>
      </c>
      <c r="C1453">
        <v>3818750</v>
      </c>
      <c r="D1453">
        <v>-21928679.57972597</v>
      </c>
      <c r="E1453">
        <v>4.4427772726695048E-6</v>
      </c>
      <c r="F1453">
        <v>7.0299887495018664E-6</v>
      </c>
      <c r="G1453">
        <v>-2.5872114768323612E-6</v>
      </c>
      <c r="H1453" t="b">
        <v>1</v>
      </c>
    </row>
    <row r="1454" spans="1:8" x14ac:dyDescent="0.15">
      <c r="A1454">
        <v>153</v>
      </c>
      <c r="B1454">
        <v>5</v>
      </c>
      <c r="C1454">
        <v>4190625</v>
      </c>
      <c r="D1454">
        <v>-33948236.090383857</v>
      </c>
      <c r="E1454">
        <v>6.4829994828316441E-6</v>
      </c>
      <c r="F1454">
        <v>7.0299887495018664E-6</v>
      </c>
      <c r="G1454">
        <v>-5.4698926667022142E-7</v>
      </c>
      <c r="H1454" t="b">
        <v>1</v>
      </c>
    </row>
    <row r="1455" spans="1:8" x14ac:dyDescent="0.15">
      <c r="A1455">
        <v>153</v>
      </c>
      <c r="B1455">
        <v>6</v>
      </c>
      <c r="C1455">
        <v>4376562.5</v>
      </c>
      <c r="D1455">
        <v>64066757.129931487</v>
      </c>
      <c r="E1455">
        <v>7.6717627682965958E-6</v>
      </c>
      <c r="F1455">
        <v>7.0299887495018664E-6</v>
      </c>
      <c r="G1455">
        <v>6.4177401879473028E-7</v>
      </c>
      <c r="H1455" t="b">
        <v>0</v>
      </c>
    </row>
    <row r="1456" spans="1:8" x14ac:dyDescent="0.15">
      <c r="A1456">
        <v>153</v>
      </c>
      <c r="B1456">
        <v>7</v>
      </c>
      <c r="C1456">
        <v>4283593.75</v>
      </c>
      <c r="D1456">
        <v>2699880.5095677478</v>
      </c>
      <c r="E1456">
        <v>7.0635314951051716E-6</v>
      </c>
      <c r="F1456">
        <v>7.0299887495018664E-6</v>
      </c>
      <c r="G1456">
        <v>3.3542745603306118E-8</v>
      </c>
      <c r="H1456" t="b">
        <v>0</v>
      </c>
    </row>
    <row r="1457" spans="1:8" x14ac:dyDescent="0.15">
      <c r="A1457">
        <v>153</v>
      </c>
      <c r="B1457">
        <v>8</v>
      </c>
      <c r="C1457">
        <v>4330078.125</v>
      </c>
      <c r="D1457">
        <v>30098319.444539089</v>
      </c>
      <c r="E1457">
        <v>7.3641902388181628E-6</v>
      </c>
      <c r="F1457">
        <v>7.0299887495018664E-6</v>
      </c>
      <c r="G1457">
        <v>3.3420148931629731E-7</v>
      </c>
      <c r="H1457" t="b">
        <v>0</v>
      </c>
    </row>
    <row r="1458" spans="1:8" x14ac:dyDescent="0.15">
      <c r="A1458">
        <v>153</v>
      </c>
      <c r="B1458">
        <v>9</v>
      </c>
      <c r="C1458">
        <v>4306835.9375</v>
      </c>
      <c r="D1458">
        <v>15601052.460799079</v>
      </c>
      <c r="E1458">
        <v>7.2129941199035561E-6</v>
      </c>
      <c r="F1458">
        <v>7.0299887495018664E-6</v>
      </c>
      <c r="G1458">
        <v>1.8300537040169051E-7</v>
      </c>
      <c r="H1458" t="b">
        <v>0</v>
      </c>
    </row>
    <row r="1459" spans="1:8" x14ac:dyDescent="0.15">
      <c r="A1459">
        <v>153</v>
      </c>
      <c r="B1459">
        <v>10</v>
      </c>
      <c r="C1459">
        <v>4295214.84375</v>
      </c>
      <c r="D1459">
        <v>8953939.4802990351</v>
      </c>
      <c r="E1459">
        <v>7.1380457558735003E-6</v>
      </c>
      <c r="F1459">
        <v>7.0299887495018664E-6</v>
      </c>
      <c r="G1459">
        <v>1.0805700637163401E-7</v>
      </c>
      <c r="H1459" t="b">
        <v>0</v>
      </c>
    </row>
    <row r="1460" spans="1:8" x14ac:dyDescent="0.15">
      <c r="A1460">
        <v>153</v>
      </c>
      <c r="B1460">
        <v>11</v>
      </c>
      <c r="C1460">
        <v>4289404.296875</v>
      </c>
      <c r="D1460">
        <v>5778157.7846299447</v>
      </c>
      <c r="E1460">
        <v>7.1007343223079374E-6</v>
      </c>
      <c r="F1460">
        <v>7.0299887495018664E-6</v>
      </c>
      <c r="G1460">
        <v>7.0745572806071863E-8</v>
      </c>
      <c r="H1460" t="b">
        <v>0</v>
      </c>
    </row>
    <row r="1461" spans="1:8" x14ac:dyDescent="0.15">
      <c r="A1461">
        <v>153</v>
      </c>
      <c r="B1461">
        <v>12</v>
      </c>
      <c r="C1461">
        <v>4286499.0234375</v>
      </c>
      <c r="D1461">
        <v>4226878.952289762</v>
      </c>
      <c r="E1461">
        <v>7.0821193279506444E-6</v>
      </c>
      <c r="F1461">
        <v>7.0299887495018664E-6</v>
      </c>
      <c r="G1461">
        <v>5.2130578448778017E-8</v>
      </c>
      <c r="H1461" t="b">
        <v>0</v>
      </c>
    </row>
    <row r="1462" spans="1:8" x14ac:dyDescent="0.15">
      <c r="A1462">
        <v>153</v>
      </c>
      <c r="B1462">
        <v>13</v>
      </c>
      <c r="C1462">
        <v>4287951.66015625</v>
      </c>
      <c r="D1462">
        <v>4999455.1384511515</v>
      </c>
      <c r="E1462">
        <v>7.091423164360782E-6</v>
      </c>
      <c r="F1462">
        <v>7.0299887495018664E-6</v>
      </c>
      <c r="G1462">
        <v>6.1434414858916461E-8</v>
      </c>
      <c r="H1462" t="b">
        <v>0</v>
      </c>
    </row>
    <row r="1463" spans="1:8" x14ac:dyDescent="0.15">
      <c r="A1463">
        <v>153</v>
      </c>
      <c r="B1463">
        <v>14</v>
      </c>
      <c r="C1463">
        <v>4287451.66015625</v>
      </c>
      <c r="D1463">
        <v>4732861.8242226047</v>
      </c>
      <c r="E1463">
        <v>7.0882201764936742E-6</v>
      </c>
      <c r="F1463">
        <v>7.0299887495018664E-6</v>
      </c>
      <c r="G1463">
        <v>5.8231426991808663E-8</v>
      </c>
      <c r="H1463" t="b">
        <v>0</v>
      </c>
    </row>
    <row r="1464" spans="1:8" x14ac:dyDescent="0.15">
      <c r="A1464">
        <v>153</v>
      </c>
      <c r="B1464">
        <v>15</v>
      </c>
      <c r="C1464">
        <v>4286851.66015625</v>
      </c>
      <c r="D1464">
        <v>4413851.6620911732</v>
      </c>
      <c r="E1464">
        <v>7.0843770675596917E-6</v>
      </c>
      <c r="F1464">
        <v>7.0299887495018664E-6</v>
      </c>
      <c r="G1464">
        <v>5.4388318057826978E-8</v>
      </c>
      <c r="H1464" t="b">
        <v>0</v>
      </c>
    </row>
    <row r="1465" spans="1:8" x14ac:dyDescent="0.15">
      <c r="A1465">
        <v>153</v>
      </c>
      <c r="B1465">
        <v>16</v>
      </c>
      <c r="C1465">
        <v>4286131.66015625</v>
      </c>
      <c r="D1465">
        <v>4032433.5577984918</v>
      </c>
      <c r="E1465">
        <v>7.0797671852041818E-6</v>
      </c>
      <c r="F1465">
        <v>7.0299887495018664E-6</v>
      </c>
      <c r="G1465">
        <v>4.9778435702316257E-8</v>
      </c>
      <c r="H1465" t="b">
        <v>0</v>
      </c>
    </row>
    <row r="1466" spans="1:8" x14ac:dyDescent="0.15">
      <c r="A1466">
        <v>153</v>
      </c>
      <c r="B1466">
        <v>17</v>
      </c>
      <c r="C1466">
        <v>4286491.66015625</v>
      </c>
      <c r="D1466">
        <v>4222956.2069472261</v>
      </c>
      <c r="E1466">
        <v>7.0820719178582883E-6</v>
      </c>
      <c r="F1466">
        <v>7.0299887495018664E-6</v>
      </c>
      <c r="G1466">
        <v>5.2083168356422813E-8</v>
      </c>
      <c r="H1466" t="b">
        <v>0</v>
      </c>
    </row>
    <row r="1467" spans="1:8" x14ac:dyDescent="0.15">
      <c r="A1467">
        <v>153</v>
      </c>
      <c r="B1467">
        <v>18</v>
      </c>
      <c r="C1467">
        <v>4286923.66015625</v>
      </c>
      <c r="D1467">
        <v>4452075.5059121661</v>
      </c>
      <c r="E1467">
        <v>7.0848381475439789E-6</v>
      </c>
      <c r="F1467">
        <v>7.0299887495018664E-6</v>
      </c>
      <c r="G1467">
        <v>5.4849398042113338E-8</v>
      </c>
      <c r="H1467" t="b">
        <v>0</v>
      </c>
    </row>
    <row r="1468" spans="1:8" x14ac:dyDescent="0.15">
      <c r="A1468">
        <v>153</v>
      </c>
      <c r="B1468">
        <v>19</v>
      </c>
      <c r="C1468">
        <v>4286707.66015625</v>
      </c>
      <c r="D1468">
        <v>4337448.7316148179</v>
      </c>
      <c r="E1468">
        <v>7.0834549576345624E-6</v>
      </c>
      <c r="F1468">
        <v>7.0299887495018664E-6</v>
      </c>
      <c r="G1468">
        <v>5.3466208132695987E-8</v>
      </c>
      <c r="H1468" t="b">
        <v>0</v>
      </c>
    </row>
    <row r="1469" spans="1:8" x14ac:dyDescent="0.15">
      <c r="A1469">
        <v>153</v>
      </c>
      <c r="B1469">
        <v>20</v>
      </c>
      <c r="C1469">
        <v>4286448.4601562498</v>
      </c>
      <c r="D1469">
        <v>4200073.8084869487</v>
      </c>
      <c r="E1469">
        <v>7.081795327919241E-6</v>
      </c>
      <c r="F1469">
        <v>7.0299887495018664E-6</v>
      </c>
      <c r="G1469">
        <v>5.1806578417375498E-8</v>
      </c>
      <c r="H1469" t="b">
        <v>0</v>
      </c>
    </row>
    <row r="1470" spans="1:8" x14ac:dyDescent="0.15">
      <c r="A1470">
        <v>153</v>
      </c>
      <c r="B1470">
        <v>21</v>
      </c>
      <c r="C1470">
        <v>4286578.0601562494</v>
      </c>
      <c r="D1470">
        <v>4268737.1093811151</v>
      </c>
      <c r="E1470">
        <v>7.0826251157525323E-6</v>
      </c>
      <c r="F1470">
        <v>7.0299887495018664E-6</v>
      </c>
      <c r="G1470">
        <v>5.263636625066598E-8</v>
      </c>
      <c r="H1470" t="b">
        <v>0</v>
      </c>
    </row>
    <row r="1471" spans="1:8" x14ac:dyDescent="0.15">
      <c r="A1471">
        <v>154</v>
      </c>
      <c r="B1471">
        <v>1</v>
      </c>
      <c r="C1471">
        <v>6050000</v>
      </c>
      <c r="D1471">
        <v>41158819155.383438</v>
      </c>
      <c r="E1471">
        <v>7.160649033618186E-5</v>
      </c>
      <c r="F1471">
        <v>6.8325890505261348E-6</v>
      </c>
      <c r="G1471">
        <v>6.4773901285655725E-5</v>
      </c>
      <c r="H1471" t="b">
        <v>0</v>
      </c>
    </row>
    <row r="1472" spans="1:8" x14ac:dyDescent="0.15">
      <c r="A1472">
        <v>154</v>
      </c>
      <c r="B1472">
        <v>2</v>
      </c>
      <c r="C1472">
        <v>3075000</v>
      </c>
      <c r="D1472">
        <v>-987212.59278022975</v>
      </c>
      <c r="E1472">
        <v>1.9883748310501712E-6</v>
      </c>
      <c r="F1472">
        <v>6.8325890505261281E-6</v>
      </c>
      <c r="G1472">
        <v>-4.8442142194759573E-6</v>
      </c>
      <c r="H1472" t="b">
        <v>1</v>
      </c>
    </row>
    <row r="1473" spans="1:8" x14ac:dyDescent="0.15">
      <c r="A1473">
        <v>154</v>
      </c>
      <c r="B1473">
        <v>3</v>
      </c>
      <c r="C1473">
        <v>4562500</v>
      </c>
      <c r="D1473">
        <v>935120804.69073069</v>
      </c>
      <c r="E1473">
        <v>1.1108815987784391E-5</v>
      </c>
      <c r="F1473">
        <v>6.8325890505261289E-6</v>
      </c>
      <c r="G1473">
        <v>4.276226937258265E-6</v>
      </c>
      <c r="H1473" t="b">
        <v>0</v>
      </c>
    </row>
    <row r="1474" spans="1:8" x14ac:dyDescent="0.15">
      <c r="A1474">
        <v>154</v>
      </c>
      <c r="B1474">
        <v>4</v>
      </c>
      <c r="C1474">
        <v>3818750</v>
      </c>
      <c r="D1474">
        <v>-43302899.370332167</v>
      </c>
      <c r="E1474">
        <v>5.0913543341993456E-6</v>
      </c>
      <c r="F1474">
        <v>6.8325890505261289E-6</v>
      </c>
      <c r="G1474">
        <v>-1.7412347163267831E-6</v>
      </c>
      <c r="H1474" t="b">
        <v>1</v>
      </c>
    </row>
    <row r="1475" spans="1:8" x14ac:dyDescent="0.15">
      <c r="A1475">
        <v>154</v>
      </c>
      <c r="B1475">
        <v>5</v>
      </c>
      <c r="C1475">
        <v>4190625</v>
      </c>
      <c r="D1475">
        <v>53776314.41800715</v>
      </c>
      <c r="E1475">
        <v>7.3746483007670942E-6</v>
      </c>
      <c r="F1475">
        <v>6.8325890505261289E-6</v>
      </c>
      <c r="G1475">
        <v>5.4205925024096526E-7</v>
      </c>
      <c r="H1475" t="b">
        <v>0</v>
      </c>
    </row>
    <row r="1476" spans="1:8" x14ac:dyDescent="0.15">
      <c r="A1476">
        <v>154</v>
      </c>
      <c r="B1476">
        <v>6</v>
      </c>
      <c r="C1476">
        <v>4004687.5</v>
      </c>
      <c r="D1476">
        <v>-38865201.468154773</v>
      </c>
      <c r="E1476">
        <v>6.1725620725197416E-6</v>
      </c>
      <c r="F1476">
        <v>6.8325890505261289E-6</v>
      </c>
      <c r="G1476">
        <v>-6.6002697800638648E-7</v>
      </c>
      <c r="H1476" t="b">
        <v>1</v>
      </c>
    </row>
    <row r="1477" spans="1:8" x14ac:dyDescent="0.15">
      <c r="A1477">
        <v>154</v>
      </c>
      <c r="B1477">
        <v>7</v>
      </c>
      <c r="C1477">
        <v>4097656.25</v>
      </c>
      <c r="D1477">
        <v>-5810761.9232357573</v>
      </c>
      <c r="E1477">
        <v>6.7585489645922682E-6</v>
      </c>
      <c r="F1477">
        <v>6.8325890505261289E-6</v>
      </c>
      <c r="G1477">
        <v>-7.404008593386069E-8</v>
      </c>
      <c r="H1477" t="b">
        <v>1</v>
      </c>
    </row>
    <row r="1478" spans="1:8" x14ac:dyDescent="0.15">
      <c r="A1478">
        <v>154</v>
      </c>
      <c r="B1478">
        <v>8</v>
      </c>
      <c r="C1478">
        <v>4144140.625</v>
      </c>
      <c r="D1478">
        <v>20429950.88939428</v>
      </c>
      <c r="E1478">
        <v>7.0628556907661343E-6</v>
      </c>
      <c r="F1478">
        <v>6.8325890505261289E-6</v>
      </c>
      <c r="G1478">
        <v>2.3026664024000541E-7</v>
      </c>
      <c r="H1478" t="b">
        <v>0</v>
      </c>
    </row>
    <row r="1479" spans="1:8" x14ac:dyDescent="0.15">
      <c r="A1479">
        <v>154</v>
      </c>
      <c r="B1479">
        <v>9</v>
      </c>
      <c r="C1479">
        <v>4120898.4375</v>
      </c>
      <c r="D1479">
        <v>6449472.2700979486</v>
      </c>
      <c r="E1479">
        <v>6.9097638976299597E-6</v>
      </c>
      <c r="F1479">
        <v>6.8325890505261289E-6</v>
      </c>
      <c r="G1479">
        <v>7.7174847103830783E-8</v>
      </c>
      <c r="H1479" t="b">
        <v>0</v>
      </c>
    </row>
    <row r="1480" spans="1:8" x14ac:dyDescent="0.15">
      <c r="A1480">
        <v>154</v>
      </c>
      <c r="B1480">
        <v>10</v>
      </c>
      <c r="C1480">
        <v>4109277.34375</v>
      </c>
      <c r="D1480">
        <v>107939.83278047761</v>
      </c>
      <c r="E1480">
        <v>6.8339213611150743E-6</v>
      </c>
      <c r="F1480">
        <v>6.8325890505261289E-6</v>
      </c>
      <c r="G1480">
        <v>1.3323105889453841E-9</v>
      </c>
      <c r="H1480" t="b">
        <v>0</v>
      </c>
    </row>
    <row r="1481" spans="1:8" x14ac:dyDescent="0.15">
      <c r="A1481">
        <v>154</v>
      </c>
      <c r="B1481">
        <v>11</v>
      </c>
      <c r="C1481">
        <v>4115087.890625</v>
      </c>
      <c r="D1481">
        <v>3225385.5395843382</v>
      </c>
      <c r="E1481">
        <v>6.8717838102482877E-6</v>
      </c>
      <c r="F1481">
        <v>6.8325890505261289E-6</v>
      </c>
      <c r="G1481">
        <v>3.9194759722158818E-8</v>
      </c>
      <c r="H1481" t="b">
        <v>0</v>
      </c>
    </row>
    <row r="1482" spans="1:8" x14ac:dyDescent="0.15">
      <c r="A1482">
        <v>154</v>
      </c>
      <c r="B1482">
        <v>12</v>
      </c>
      <c r="C1482">
        <v>4117993.1640625</v>
      </c>
      <c r="D1482">
        <v>4824056.544572005</v>
      </c>
      <c r="E1482">
        <v>6.8907593274233154E-6</v>
      </c>
      <c r="F1482">
        <v>6.8325890505261289E-6</v>
      </c>
      <c r="G1482">
        <v>5.8170276897185648E-8</v>
      </c>
      <c r="H1482" t="b">
        <v>0</v>
      </c>
    </row>
    <row r="1483" spans="1:8" x14ac:dyDescent="0.15">
      <c r="A1483">
        <v>154</v>
      </c>
      <c r="B1483">
        <v>13</v>
      </c>
      <c r="C1483">
        <v>4116540.52734375</v>
      </c>
      <c r="D1483">
        <v>4021392.9136764072</v>
      </c>
      <c r="E1483">
        <v>6.8812680310294541E-6</v>
      </c>
      <c r="F1483">
        <v>6.8325890505261289E-6</v>
      </c>
      <c r="G1483">
        <v>4.867898050332523E-8</v>
      </c>
      <c r="H1483" t="b">
        <v>0</v>
      </c>
    </row>
    <row r="1484" spans="1:8" x14ac:dyDescent="0.15">
      <c r="A1484">
        <v>154</v>
      </c>
      <c r="B1484">
        <v>14</v>
      </c>
      <c r="C1484">
        <v>4117040.52734375</v>
      </c>
      <c r="D1484">
        <v>4296894.5307869548</v>
      </c>
      <c r="E1484">
        <v>6.8845338619312566E-6</v>
      </c>
      <c r="F1484">
        <v>6.8325890505261289E-6</v>
      </c>
      <c r="G1484">
        <v>5.1944811405127708E-8</v>
      </c>
      <c r="H1484" t="b">
        <v>0</v>
      </c>
    </row>
    <row r="1485" spans="1:8" x14ac:dyDescent="0.15">
      <c r="A1485">
        <v>154</v>
      </c>
      <c r="B1485">
        <v>15</v>
      </c>
      <c r="C1485">
        <v>4116790.52734375</v>
      </c>
      <c r="D1485">
        <v>4159055.7870643139</v>
      </c>
      <c r="E1485">
        <v>6.8829009685026758E-6</v>
      </c>
      <c r="F1485">
        <v>6.8325890505261289E-6</v>
      </c>
      <c r="G1485">
        <v>5.0311917976546929E-8</v>
      </c>
      <c r="H1485" t="b">
        <v>0</v>
      </c>
    </row>
    <row r="1486" spans="1:8" x14ac:dyDescent="0.15">
      <c r="A1486">
        <v>154</v>
      </c>
      <c r="B1486">
        <v>16</v>
      </c>
      <c r="C1486">
        <v>4116490.52734375</v>
      </c>
      <c r="D1486">
        <v>3993862.097414217</v>
      </c>
      <c r="E1486">
        <v>6.8809412084507351E-6</v>
      </c>
      <c r="F1486">
        <v>6.8325890505261289E-6</v>
      </c>
      <c r="G1486">
        <v>4.8352157924606152E-8</v>
      </c>
      <c r="H1486" t="b">
        <v>0</v>
      </c>
    </row>
    <row r="1487" spans="1:8" x14ac:dyDescent="0.15">
      <c r="A1487">
        <v>154</v>
      </c>
      <c r="B1487">
        <v>17</v>
      </c>
      <c r="C1487">
        <v>4116640.52734375</v>
      </c>
      <c r="D1487">
        <v>4076412.2699819659</v>
      </c>
      <c r="E1487">
        <v>6.8819209187382773E-6</v>
      </c>
      <c r="F1487">
        <v>6.8325890505261289E-6</v>
      </c>
      <c r="G1487">
        <v>4.933186821214838E-8</v>
      </c>
      <c r="H1487" t="b">
        <v>0</v>
      </c>
    </row>
    <row r="1488" spans="1:8" x14ac:dyDescent="0.15">
      <c r="A1488">
        <v>155</v>
      </c>
      <c r="B1488">
        <v>1</v>
      </c>
      <c r="C1488">
        <v>6050000</v>
      </c>
      <c r="D1488">
        <v>301544060739361</v>
      </c>
      <c r="E1488">
        <v>0.24233362462927699</v>
      </c>
      <c r="F1488">
        <v>1.7286221546980451E-5</v>
      </c>
      <c r="G1488">
        <v>0.24231633840773009</v>
      </c>
      <c r="H1488" t="b">
        <v>0</v>
      </c>
    </row>
    <row r="1489" spans="1:8" x14ac:dyDescent="0.15">
      <c r="A1489">
        <v>155</v>
      </c>
      <c r="B1489">
        <v>2</v>
      </c>
      <c r="C1489">
        <v>3075000</v>
      </c>
      <c r="D1489">
        <v>-405392.6038077274</v>
      </c>
      <c r="E1489">
        <v>3.6307492825887989E-6</v>
      </c>
      <c r="F1489">
        <v>1.7286221546981492E-5</v>
      </c>
      <c r="G1489">
        <v>-1.36554722643927E-5</v>
      </c>
      <c r="H1489" t="b">
        <v>1</v>
      </c>
    </row>
    <row r="1490" spans="1:8" x14ac:dyDescent="0.15">
      <c r="A1490">
        <v>155</v>
      </c>
      <c r="B1490">
        <v>3</v>
      </c>
      <c r="C1490">
        <v>4562500</v>
      </c>
      <c r="D1490">
        <v>868845206673.83362</v>
      </c>
      <c r="E1490">
        <v>2.0921819993411201E-3</v>
      </c>
      <c r="F1490">
        <v>1.7286221546981319E-5</v>
      </c>
      <c r="G1490">
        <v>2.0748957777941379E-3</v>
      </c>
      <c r="H1490" t="b">
        <v>0</v>
      </c>
    </row>
    <row r="1491" spans="1:8" x14ac:dyDescent="0.15">
      <c r="A1491">
        <v>155</v>
      </c>
      <c r="B1491">
        <v>4</v>
      </c>
      <c r="C1491">
        <v>3818750</v>
      </c>
      <c r="D1491">
        <v>8215647020.3994045</v>
      </c>
      <c r="E1491">
        <v>7.7094917220470952E-5</v>
      </c>
      <c r="F1491">
        <v>1.7286221546981492E-5</v>
      </c>
      <c r="G1491">
        <v>5.9808695673489457E-5</v>
      </c>
      <c r="H1491" t="b">
        <v>0</v>
      </c>
    </row>
    <row r="1492" spans="1:8" x14ac:dyDescent="0.15">
      <c r="A1492">
        <v>155</v>
      </c>
      <c r="B1492">
        <v>5</v>
      </c>
      <c r="C1492">
        <v>3446875</v>
      </c>
      <c r="D1492">
        <v>-57335291.6131991</v>
      </c>
      <c r="E1492">
        <v>1.1810841834653009E-5</v>
      </c>
      <c r="F1492">
        <v>1.7286221546981492E-5</v>
      </c>
      <c r="G1492">
        <v>-5.4753797123284796E-6</v>
      </c>
      <c r="H1492" t="b">
        <v>1</v>
      </c>
    </row>
    <row r="1493" spans="1:8" x14ac:dyDescent="0.15">
      <c r="A1493">
        <v>155</v>
      </c>
      <c r="B1493">
        <v>6</v>
      </c>
      <c r="C1493">
        <v>3632812.5</v>
      </c>
      <c r="D1493">
        <v>869151693.94038105</v>
      </c>
      <c r="E1493">
        <v>2.8074694473242269E-5</v>
      </c>
      <c r="F1493">
        <v>1.7286221546981492E-5</v>
      </c>
      <c r="G1493">
        <v>1.078847292626077E-5</v>
      </c>
      <c r="H1493" t="b">
        <v>0</v>
      </c>
    </row>
    <row r="1494" spans="1:8" x14ac:dyDescent="0.15">
      <c r="A1494">
        <v>155</v>
      </c>
      <c r="B1494">
        <v>7</v>
      </c>
      <c r="C1494">
        <v>3539843.75</v>
      </c>
      <c r="D1494">
        <v>-33575825.119004197</v>
      </c>
      <c r="E1494">
        <v>1.633095186169653E-5</v>
      </c>
      <c r="F1494">
        <v>1.7286221546981492E-5</v>
      </c>
      <c r="G1494">
        <v>-9.5526968528496478E-7</v>
      </c>
      <c r="H1494" t="b">
        <v>1</v>
      </c>
    </row>
    <row r="1495" spans="1:8" x14ac:dyDescent="0.15">
      <c r="A1495">
        <v>155</v>
      </c>
      <c r="B1495">
        <v>8</v>
      </c>
      <c r="C1495">
        <v>3586328.125</v>
      </c>
      <c r="D1495">
        <v>256723018.8327907</v>
      </c>
      <c r="E1495">
        <v>2.1482511072215901E-5</v>
      </c>
      <c r="F1495">
        <v>1.7286221546981492E-5</v>
      </c>
      <c r="G1495">
        <v>4.1962895252344028E-6</v>
      </c>
      <c r="H1495" t="b">
        <v>0</v>
      </c>
    </row>
    <row r="1496" spans="1:8" x14ac:dyDescent="0.15">
      <c r="A1496">
        <v>155</v>
      </c>
      <c r="B1496">
        <v>9</v>
      </c>
      <c r="C1496">
        <v>3563085.9375</v>
      </c>
      <c r="D1496">
        <v>69690293.695505917</v>
      </c>
      <c r="E1496">
        <v>1.8746108636884051E-5</v>
      </c>
      <c r="F1496">
        <v>1.7286221546981492E-5</v>
      </c>
      <c r="G1496">
        <v>1.459887089902556E-6</v>
      </c>
      <c r="H1496" t="b">
        <v>0</v>
      </c>
    </row>
    <row r="1497" spans="1:8" x14ac:dyDescent="0.15">
      <c r="A1497">
        <v>155</v>
      </c>
      <c r="B1497">
        <v>10</v>
      </c>
      <c r="C1497">
        <v>3551464.84375</v>
      </c>
      <c r="D1497">
        <v>8859140.4031885192</v>
      </c>
      <c r="E1497">
        <v>1.7500576702289651E-5</v>
      </c>
      <c r="F1497">
        <v>1.7286221546981492E-5</v>
      </c>
      <c r="G1497">
        <v>2.1435515530815241E-7</v>
      </c>
      <c r="H1497" t="b">
        <v>0</v>
      </c>
    </row>
    <row r="1498" spans="1:8" x14ac:dyDescent="0.15">
      <c r="A1498">
        <v>155</v>
      </c>
      <c r="B1498">
        <v>11</v>
      </c>
      <c r="C1498">
        <v>3545654.296875</v>
      </c>
      <c r="D1498">
        <v>-14506845.921652621</v>
      </c>
      <c r="E1498">
        <v>1.6906554149881182E-5</v>
      </c>
      <c r="F1498">
        <v>1.7286221546981492E-5</v>
      </c>
      <c r="G1498">
        <v>-3.7966739710031342E-7</v>
      </c>
      <c r="H1498" t="b">
        <v>1</v>
      </c>
    </row>
    <row r="1499" spans="1:8" x14ac:dyDescent="0.15">
      <c r="A1499">
        <v>155</v>
      </c>
      <c r="B1499">
        <v>12</v>
      </c>
      <c r="C1499">
        <v>3548559.5703125</v>
      </c>
      <c r="D1499">
        <v>-3379572.8424445349</v>
      </c>
      <c r="E1499">
        <v>1.72012267562761E-5</v>
      </c>
      <c r="F1499">
        <v>1.7286221546981492E-5</v>
      </c>
      <c r="G1499">
        <v>-8.4994790705398855E-8</v>
      </c>
      <c r="H1499" t="b">
        <v>1</v>
      </c>
    </row>
    <row r="1500" spans="1:8" x14ac:dyDescent="0.15">
      <c r="A1500">
        <v>155</v>
      </c>
      <c r="B1500">
        <v>13</v>
      </c>
      <c r="C1500">
        <v>3550012.20703125</v>
      </c>
      <c r="D1500">
        <v>2598450.766309727</v>
      </c>
      <c r="E1500">
        <v>1.7350311352469131E-5</v>
      </c>
      <c r="F1500">
        <v>1.7286221546981492E-5</v>
      </c>
      <c r="G1500">
        <v>6.4089805487632759E-8</v>
      </c>
      <c r="H1500" t="b">
        <v>0</v>
      </c>
    </row>
    <row r="1501" spans="1:8" x14ac:dyDescent="0.15">
      <c r="A1501">
        <v>155</v>
      </c>
      <c r="B1501">
        <v>14</v>
      </c>
      <c r="C1501">
        <v>3550512.20703125</v>
      </c>
      <c r="D1501">
        <v>4721240.5454225438</v>
      </c>
      <c r="E1501">
        <v>1.740189904323425E-5</v>
      </c>
      <c r="F1501">
        <v>1.7286221546981492E-5</v>
      </c>
      <c r="G1501">
        <v>1.1567749625275469E-7</v>
      </c>
      <c r="H1501" t="b">
        <v>0</v>
      </c>
    </row>
    <row r="1502" spans="1:8" x14ac:dyDescent="0.15">
      <c r="A1502">
        <v>155</v>
      </c>
      <c r="B1502">
        <v>15</v>
      </c>
      <c r="C1502">
        <v>3550262.20703125</v>
      </c>
      <c r="D1502">
        <v>3655705.3284631702</v>
      </c>
      <c r="E1502">
        <v>1.7376089094179989E-5</v>
      </c>
      <c r="F1502">
        <v>1.7286221546981492E-5</v>
      </c>
      <c r="G1502">
        <v>8.9867547198496975E-8</v>
      </c>
      <c r="H1502" t="b">
        <v>0</v>
      </c>
    </row>
    <row r="1503" spans="1:8" x14ac:dyDescent="0.15">
      <c r="A1503">
        <v>155</v>
      </c>
      <c r="B1503">
        <v>16</v>
      </c>
      <c r="C1503">
        <v>3549962.20703125</v>
      </c>
      <c r="D1503">
        <v>2388019.1914347741</v>
      </c>
      <c r="E1503">
        <v>1.734516034129744E-5</v>
      </c>
      <c r="F1503">
        <v>1.7286221546981492E-5</v>
      </c>
      <c r="G1503">
        <v>5.8938794315948679E-8</v>
      </c>
      <c r="H1503" t="b">
        <v>0</v>
      </c>
    </row>
    <row r="1504" spans="1:8" x14ac:dyDescent="0.15">
      <c r="A1504">
        <v>155</v>
      </c>
      <c r="B1504">
        <v>17</v>
      </c>
      <c r="C1504">
        <v>3550112.20703125</v>
      </c>
      <c r="D1504">
        <v>3020384.3271675212</v>
      </c>
      <c r="E1504">
        <v>1.736061917204094E-5</v>
      </c>
      <c r="F1504">
        <v>1.7286221546981492E-5</v>
      </c>
      <c r="G1504">
        <v>7.4397625059447993E-8</v>
      </c>
      <c r="H1504" t="b">
        <v>0</v>
      </c>
    </row>
    <row r="1505" spans="1:8" x14ac:dyDescent="0.15">
      <c r="A1505">
        <v>155</v>
      </c>
      <c r="B1505">
        <v>18</v>
      </c>
      <c r="C1505">
        <v>3550292.20703125</v>
      </c>
      <c r="D1505">
        <v>3783075.595359318</v>
      </c>
      <c r="E1505">
        <v>1.737918321923595E-5</v>
      </c>
      <c r="F1505">
        <v>1.7286221546981492E-5</v>
      </c>
      <c r="G1505">
        <v>9.296167225445514E-8</v>
      </c>
      <c r="H1505" t="b">
        <v>0</v>
      </c>
    </row>
    <row r="1506" spans="1:8" x14ac:dyDescent="0.15">
      <c r="A1506">
        <v>155</v>
      </c>
      <c r="B1506">
        <v>19</v>
      </c>
      <c r="C1506">
        <v>3550202.20703125</v>
      </c>
      <c r="D1506">
        <v>3401155.6933983681</v>
      </c>
      <c r="E1506">
        <v>1.7369898182217179E-5</v>
      </c>
      <c r="F1506">
        <v>1.7286221546981492E-5</v>
      </c>
      <c r="G1506">
        <v>8.3676635235687541E-8</v>
      </c>
      <c r="H1506" t="b">
        <v>0</v>
      </c>
    </row>
    <row r="1507" spans="1:8" x14ac:dyDescent="0.15">
      <c r="A1507">
        <v>155</v>
      </c>
      <c r="B1507">
        <v>20</v>
      </c>
      <c r="C1507">
        <v>3550247.20703125</v>
      </c>
      <c r="D1507">
        <v>3592036.8857019418</v>
      </c>
      <c r="E1507">
        <v>1.7374541525007009E-5</v>
      </c>
      <c r="F1507">
        <v>1.7286221546981492E-5</v>
      </c>
      <c r="G1507">
        <v>8.8319978025510845E-8</v>
      </c>
      <c r="H1507" t="b">
        <v>0</v>
      </c>
    </row>
    <row r="1508" spans="1:8" x14ac:dyDescent="0.15">
      <c r="A1508">
        <v>155</v>
      </c>
      <c r="B1508">
        <v>21</v>
      </c>
      <c r="C1508">
        <v>3550224.70703125</v>
      </c>
      <c r="D1508">
        <v>3496590.861770527</v>
      </c>
      <c r="E1508">
        <v>1.7372220407032559E-5</v>
      </c>
      <c r="F1508">
        <v>1.7286221546981492E-5</v>
      </c>
      <c r="G1508">
        <v>8.5998860051064436E-8</v>
      </c>
      <c r="H1508" t="b">
        <v>0</v>
      </c>
    </row>
    <row r="1509" spans="1:8" x14ac:dyDescent="0.15">
      <c r="A1509">
        <v>155</v>
      </c>
      <c r="B1509">
        <v>22</v>
      </c>
      <c r="C1509">
        <v>3550235.95703125</v>
      </c>
      <c r="D1509">
        <v>3544248.218010731</v>
      </c>
      <c r="E1509">
        <v>1.7373379540586281E-5</v>
      </c>
      <c r="F1509">
        <v>1.7286221546981492E-5</v>
      </c>
      <c r="G1509">
        <v>8.7157993604785938E-8</v>
      </c>
      <c r="H1509" t="b">
        <v>0</v>
      </c>
    </row>
    <row r="1510" spans="1:8" x14ac:dyDescent="0.15">
      <c r="A1510">
        <v>156</v>
      </c>
      <c r="B1510">
        <v>1</v>
      </c>
      <c r="C1510">
        <v>6050000</v>
      </c>
      <c r="D1510">
        <v>113396858144012.2</v>
      </c>
      <c r="E1510">
        <v>9.7956492529021319E-2</v>
      </c>
      <c r="F1510">
        <v>1.6153509213842621E-5</v>
      </c>
      <c r="G1510">
        <v>9.7940339019807476E-2</v>
      </c>
      <c r="H1510" t="b">
        <v>0</v>
      </c>
    </row>
    <row r="1511" spans="1:8" x14ac:dyDescent="0.15">
      <c r="A1511">
        <v>156</v>
      </c>
      <c r="B1511">
        <v>2</v>
      </c>
      <c r="C1511">
        <v>3075000</v>
      </c>
      <c r="D1511">
        <v>-260808.31578454791</v>
      </c>
      <c r="E1511">
        <v>2.2529180572843361E-6</v>
      </c>
      <c r="F1511">
        <v>1.615350921384297E-5</v>
      </c>
      <c r="G1511">
        <v>-1.390059115655863E-5</v>
      </c>
      <c r="H1511" t="b">
        <v>1</v>
      </c>
    </row>
    <row r="1512" spans="1:8" x14ac:dyDescent="0.15">
      <c r="A1512">
        <v>156</v>
      </c>
      <c r="B1512">
        <v>3</v>
      </c>
      <c r="C1512">
        <v>4562500</v>
      </c>
      <c r="D1512">
        <v>306490286431.12872</v>
      </c>
      <c r="E1512">
        <v>8.625104862069519E-4</v>
      </c>
      <c r="F1512">
        <v>1.6153509213842949E-5</v>
      </c>
      <c r="G1512">
        <v>8.4635697699310896E-4</v>
      </c>
      <c r="H1512" t="b">
        <v>0</v>
      </c>
    </row>
    <row r="1513" spans="1:8" x14ac:dyDescent="0.15">
      <c r="A1513">
        <v>156</v>
      </c>
      <c r="B1513">
        <v>4</v>
      </c>
      <c r="C1513">
        <v>3818750</v>
      </c>
      <c r="D1513">
        <v>1214795485.768832</v>
      </c>
      <c r="E1513">
        <v>2.914266780183116E-5</v>
      </c>
      <c r="F1513">
        <v>1.615350921384297E-5</v>
      </c>
      <c r="G1513">
        <v>1.2989158587988189E-5</v>
      </c>
      <c r="H1513" t="b">
        <v>0</v>
      </c>
    </row>
    <row r="1514" spans="1:8" x14ac:dyDescent="0.15">
      <c r="A1514">
        <v>156</v>
      </c>
      <c r="B1514">
        <v>5</v>
      </c>
      <c r="C1514">
        <v>3446875</v>
      </c>
      <c r="D1514">
        <v>-3869073.8323172582</v>
      </c>
      <c r="E1514">
        <v>7.1137696702205486E-6</v>
      </c>
      <c r="F1514">
        <v>1.615350921384297E-5</v>
      </c>
      <c r="G1514">
        <v>-9.0397395436224159E-6</v>
      </c>
      <c r="H1514" t="b">
        <v>1</v>
      </c>
    </row>
    <row r="1515" spans="1:8" x14ac:dyDescent="0.15">
      <c r="A1515">
        <v>156</v>
      </c>
      <c r="B1515">
        <v>6</v>
      </c>
      <c r="C1515">
        <v>3632812.5</v>
      </c>
      <c r="D1515">
        <v>-70852834.618970513</v>
      </c>
      <c r="E1515">
        <v>1.2203165418605979E-5</v>
      </c>
      <c r="F1515">
        <v>1.615350921384297E-5</v>
      </c>
      <c r="G1515">
        <v>-3.9503437952369844E-6</v>
      </c>
      <c r="H1515" t="b">
        <v>1</v>
      </c>
    </row>
    <row r="1516" spans="1:8" x14ac:dyDescent="0.15">
      <c r="A1516">
        <v>156</v>
      </c>
      <c r="B1516">
        <v>7</v>
      </c>
      <c r="C1516">
        <v>3725781.25</v>
      </c>
      <c r="D1516">
        <v>68935500.705197319</v>
      </c>
      <c r="E1516">
        <v>1.7516377916426031E-5</v>
      </c>
      <c r="F1516">
        <v>1.615350921384297E-5</v>
      </c>
      <c r="G1516">
        <v>1.3628687025830609E-6</v>
      </c>
      <c r="H1516" t="b">
        <v>0</v>
      </c>
    </row>
    <row r="1517" spans="1:8" x14ac:dyDescent="0.15">
      <c r="A1517">
        <v>156</v>
      </c>
      <c r="B1517">
        <v>8</v>
      </c>
      <c r="C1517">
        <v>3679296.875</v>
      </c>
      <c r="D1517">
        <v>-64686021.1649924</v>
      </c>
      <c r="E1517">
        <v>1.388634311308203E-5</v>
      </c>
      <c r="F1517">
        <v>1.615350921384297E-5</v>
      </c>
      <c r="G1517">
        <v>-2.267166100760932E-6</v>
      </c>
      <c r="H1517" t="b">
        <v>1</v>
      </c>
    </row>
    <row r="1518" spans="1:8" x14ac:dyDescent="0.15">
      <c r="A1518">
        <v>156</v>
      </c>
      <c r="B1518">
        <v>9</v>
      </c>
      <c r="C1518">
        <v>3702539.0625</v>
      </c>
      <c r="D1518">
        <v>-29710242.90124679</v>
      </c>
      <c r="E1518">
        <v>1.5365701816882508E-5</v>
      </c>
      <c r="F1518">
        <v>1.615350921384297E-5</v>
      </c>
      <c r="G1518">
        <v>-7.8780739696045451E-7</v>
      </c>
      <c r="H1518" t="b">
        <v>1</v>
      </c>
    </row>
    <row r="1519" spans="1:8" x14ac:dyDescent="0.15">
      <c r="A1519">
        <v>156</v>
      </c>
      <c r="B1519">
        <v>10</v>
      </c>
      <c r="C1519">
        <v>3714160.15625</v>
      </c>
      <c r="D1519">
        <v>11249603.945283489</v>
      </c>
      <c r="E1519">
        <v>1.640899156499968E-5</v>
      </c>
      <c r="F1519">
        <v>1.615350921384297E-5</v>
      </c>
      <c r="G1519">
        <v>2.5548235115671418E-7</v>
      </c>
      <c r="H1519" t="b">
        <v>0</v>
      </c>
    </row>
    <row r="1520" spans="1:8" x14ac:dyDescent="0.15">
      <c r="A1520">
        <v>156</v>
      </c>
      <c r="B1520">
        <v>11</v>
      </c>
      <c r="C1520">
        <v>3708349.609375</v>
      </c>
      <c r="D1520">
        <v>-11189860.066355839</v>
      </c>
      <c r="E1520">
        <v>1.5879537225545111E-5</v>
      </c>
      <c r="F1520">
        <v>1.615350921384297E-5</v>
      </c>
      <c r="G1520">
        <v>-2.7397198829785138E-7</v>
      </c>
      <c r="H1520" t="b">
        <v>1</v>
      </c>
    </row>
    <row r="1521" spans="1:8" x14ac:dyDescent="0.15">
      <c r="A1521">
        <v>156</v>
      </c>
      <c r="B1521">
        <v>12</v>
      </c>
      <c r="C1521">
        <v>3711254.8828125</v>
      </c>
      <c r="D1521">
        <v>-476244.5352477124</v>
      </c>
      <c r="E1521">
        <v>1.6142285152472821E-5</v>
      </c>
      <c r="F1521">
        <v>1.615350921384297E-5</v>
      </c>
      <c r="G1521">
        <v>-1.12240613701457E-8</v>
      </c>
      <c r="H1521" t="b">
        <v>1</v>
      </c>
    </row>
    <row r="1522" spans="1:8" x14ac:dyDescent="0.15">
      <c r="A1522">
        <v>156</v>
      </c>
      <c r="B1522">
        <v>13</v>
      </c>
      <c r="C1522">
        <v>3712707.51953125</v>
      </c>
      <c r="D1522">
        <v>5258079.8058596142</v>
      </c>
      <c r="E1522">
        <v>1.6275139733268199E-5</v>
      </c>
      <c r="F1522">
        <v>1.615350921384297E-5</v>
      </c>
      <c r="G1522">
        <v>1.2163051942523599E-7</v>
      </c>
      <c r="H1522" t="b">
        <v>0</v>
      </c>
    </row>
    <row r="1523" spans="1:8" x14ac:dyDescent="0.15">
      <c r="A1523">
        <v>156</v>
      </c>
      <c r="B1523">
        <v>14</v>
      </c>
      <c r="C1523">
        <v>3711507.51953125</v>
      </c>
      <c r="D1523">
        <v>502809.03515731508</v>
      </c>
      <c r="E1523">
        <v>1.6165320718809019E-5</v>
      </c>
      <c r="F1523">
        <v>1.615350921384297E-5</v>
      </c>
      <c r="G1523">
        <v>1.181150496605616E-8</v>
      </c>
      <c r="H1523" t="b">
        <v>0</v>
      </c>
    </row>
    <row r="1524" spans="1:8" x14ac:dyDescent="0.15">
      <c r="A1524">
        <v>156</v>
      </c>
      <c r="B1524">
        <v>15</v>
      </c>
      <c r="C1524">
        <v>3712107.51953125</v>
      </c>
      <c r="D1524">
        <v>2858683.364105477</v>
      </c>
      <c r="E1524">
        <v>1.6220146152817331E-5</v>
      </c>
      <c r="F1524">
        <v>1.615350921384297E-5</v>
      </c>
      <c r="G1524">
        <v>6.6636938974360928E-8</v>
      </c>
      <c r="H1524" t="b">
        <v>0</v>
      </c>
    </row>
    <row r="1525" spans="1:8" x14ac:dyDescent="0.15">
      <c r="A1525">
        <v>156</v>
      </c>
      <c r="B1525">
        <v>16</v>
      </c>
      <c r="C1525">
        <v>3712827.51953125</v>
      </c>
      <c r="D1525">
        <v>5743282.3636059295</v>
      </c>
      <c r="E1525">
        <v>1.6286160377397319E-5</v>
      </c>
      <c r="F1525">
        <v>1.615350921384297E-5</v>
      </c>
      <c r="G1525">
        <v>1.326511635543496E-7</v>
      </c>
      <c r="H1525" t="b">
        <v>0</v>
      </c>
    </row>
    <row r="1526" spans="1:8" x14ac:dyDescent="0.15">
      <c r="A1526">
        <v>156</v>
      </c>
      <c r="B1526">
        <v>17</v>
      </c>
      <c r="C1526">
        <v>3712467.51953125</v>
      </c>
      <c r="D1526">
        <v>4293050.8801856656</v>
      </c>
      <c r="E1526">
        <v>1.6253121422116399E-5</v>
      </c>
      <c r="F1526">
        <v>1.615350921384297E-5</v>
      </c>
      <c r="G1526">
        <v>9.961220827342911E-8</v>
      </c>
      <c r="H1526" t="b">
        <v>0</v>
      </c>
    </row>
    <row r="1527" spans="1:8" x14ac:dyDescent="0.15">
      <c r="A1527">
        <v>156</v>
      </c>
      <c r="B1527">
        <v>18</v>
      </c>
      <c r="C1527">
        <v>3712035.51953125</v>
      </c>
      <c r="D1527">
        <v>2573627.4504457782</v>
      </c>
      <c r="E1527">
        <v>1.621355687421129E-5</v>
      </c>
      <c r="F1527">
        <v>1.615350921384297E-5</v>
      </c>
      <c r="G1527">
        <v>6.0047660368327136E-8</v>
      </c>
      <c r="H1527" t="b">
        <v>0</v>
      </c>
    </row>
    <row r="1528" spans="1:8" x14ac:dyDescent="0.15">
      <c r="A1528">
        <v>156</v>
      </c>
      <c r="B1528">
        <v>19</v>
      </c>
      <c r="C1528">
        <v>3712251.51953125</v>
      </c>
      <c r="D1528">
        <v>3430510.7469954179</v>
      </c>
      <c r="E1528">
        <v>1.623332816107007E-5</v>
      </c>
      <c r="F1528">
        <v>1.615350921384297E-5</v>
      </c>
      <c r="G1528">
        <v>7.9818947227103802E-8</v>
      </c>
      <c r="H1528" t="b">
        <v>0</v>
      </c>
    </row>
    <row r="1529" spans="1:8" x14ac:dyDescent="0.15">
      <c r="A1529">
        <v>156</v>
      </c>
      <c r="B1529">
        <v>20</v>
      </c>
      <c r="C1529">
        <v>3712510.7195312502</v>
      </c>
      <c r="D1529">
        <v>4466295.4843061818</v>
      </c>
      <c r="E1529">
        <v>1.6257084006322051E-5</v>
      </c>
      <c r="F1529">
        <v>1.615350921384297E-5</v>
      </c>
      <c r="G1529">
        <v>1.035747924790812E-7</v>
      </c>
      <c r="H1529" t="b">
        <v>0</v>
      </c>
    </row>
    <row r="1530" spans="1:8" x14ac:dyDescent="0.15">
      <c r="A1530">
        <v>156</v>
      </c>
      <c r="B1530">
        <v>21</v>
      </c>
      <c r="C1530">
        <v>3712381.1195312501</v>
      </c>
      <c r="D1530">
        <v>3947355.1418515691</v>
      </c>
      <c r="E1530">
        <v>1.624520147939166E-5</v>
      </c>
      <c r="F1530">
        <v>1.615350921384297E-5</v>
      </c>
      <c r="G1530">
        <v>9.169226554869408E-8</v>
      </c>
      <c r="H1530" t="b">
        <v>0</v>
      </c>
    </row>
    <row r="1531" spans="1:8" x14ac:dyDescent="0.15">
      <c r="A1531">
        <v>156</v>
      </c>
      <c r="B1531">
        <v>22</v>
      </c>
      <c r="C1531">
        <v>3712225.5995312501</v>
      </c>
      <c r="D1531">
        <v>3327442.3978890288</v>
      </c>
      <c r="E1531">
        <v>1.6230955737680189E-5</v>
      </c>
      <c r="F1531">
        <v>1.615350921384297E-5</v>
      </c>
      <c r="G1531">
        <v>7.7446523837222382E-8</v>
      </c>
      <c r="H1531" t="b">
        <v>0</v>
      </c>
    </row>
    <row r="1532" spans="1:8" x14ac:dyDescent="0.15">
      <c r="A1532">
        <v>156</v>
      </c>
      <c r="B1532">
        <v>23</v>
      </c>
      <c r="C1532">
        <v>3712303.3595312499</v>
      </c>
      <c r="D1532">
        <v>3637003.9662257261</v>
      </c>
      <c r="E1532">
        <v>1.6238076538848711E-5</v>
      </c>
      <c r="F1532">
        <v>1.615350921384297E-5</v>
      </c>
      <c r="G1532">
        <v>8.4567325005741143E-8</v>
      </c>
      <c r="H1532" t="b">
        <v>0</v>
      </c>
    </row>
    <row r="1533" spans="1:8" x14ac:dyDescent="0.15">
      <c r="A1533">
        <v>156</v>
      </c>
      <c r="B1533">
        <v>24</v>
      </c>
      <c r="C1533">
        <v>3712396.6715312498</v>
      </c>
      <c r="D1533">
        <v>4009513.4579962459</v>
      </c>
      <c r="E1533">
        <v>1.6246626809414841E-5</v>
      </c>
      <c r="F1533">
        <v>1.615350921384297E-5</v>
      </c>
      <c r="G1533">
        <v>9.3117595571871317E-8</v>
      </c>
      <c r="H1533" t="b">
        <v>0</v>
      </c>
    </row>
    <row r="1534" spans="1:8" x14ac:dyDescent="0.15">
      <c r="A1534">
        <v>156</v>
      </c>
      <c r="B1534">
        <v>25</v>
      </c>
      <c r="C1534">
        <v>3712350.0155312498</v>
      </c>
      <c r="D1534">
        <v>3823126.6057011541</v>
      </c>
      <c r="E1534">
        <v>1.6242351161284141E-5</v>
      </c>
      <c r="F1534">
        <v>1.615350921384297E-5</v>
      </c>
      <c r="G1534">
        <v>8.8841947441175114E-8</v>
      </c>
      <c r="H1534" t="b">
        <v>0</v>
      </c>
    </row>
    <row r="1535" spans="1:8" x14ac:dyDescent="0.15">
      <c r="A1535">
        <v>156</v>
      </c>
      <c r="B1535">
        <v>26</v>
      </c>
      <c r="C1535">
        <v>3712294.02833125</v>
      </c>
      <c r="D1535">
        <v>3599811.1318636891</v>
      </c>
      <c r="E1535">
        <v>1.623722173742512E-5</v>
      </c>
      <c r="F1535">
        <v>1.615350921384297E-5</v>
      </c>
      <c r="G1535">
        <v>8.3712523582150862E-8</v>
      </c>
      <c r="H1535" t="b">
        <v>0</v>
      </c>
    </row>
    <row r="1536" spans="1:8" x14ac:dyDescent="0.15">
      <c r="A1536">
        <v>156</v>
      </c>
      <c r="B1536">
        <v>27</v>
      </c>
      <c r="C1536">
        <v>3712322.0219312501</v>
      </c>
      <c r="D1536">
        <v>3711477.5575584872</v>
      </c>
      <c r="E1536">
        <v>1.6239787556377458E-5</v>
      </c>
      <c r="F1536">
        <v>1.615350921384297E-5</v>
      </c>
      <c r="G1536">
        <v>8.6278342534492106E-8</v>
      </c>
      <c r="H1536" t="b">
        <v>0</v>
      </c>
    </row>
    <row r="1537" spans="1:8" x14ac:dyDescent="0.15">
      <c r="A1537">
        <v>157</v>
      </c>
      <c r="B1537">
        <v>1</v>
      </c>
      <c r="C1537">
        <v>6050000</v>
      </c>
      <c r="D1537">
        <v>14444844225280.801</v>
      </c>
      <c r="E1537">
        <v>1.4432167857906981E-2</v>
      </c>
      <c r="F1537">
        <v>1.3614675770691481E-5</v>
      </c>
      <c r="G1537">
        <v>1.4418553182136281E-2</v>
      </c>
      <c r="H1537" t="b">
        <v>0</v>
      </c>
    </row>
    <row r="1538" spans="1:8" x14ac:dyDescent="0.15">
      <c r="A1538">
        <v>157</v>
      </c>
      <c r="B1538">
        <v>2</v>
      </c>
      <c r="C1538">
        <v>3075000</v>
      </c>
      <c r="D1538">
        <v>-131330.68116836841</v>
      </c>
      <c r="E1538">
        <v>-8.9826768206998924E-8</v>
      </c>
      <c r="F1538">
        <v>1.3614675770691891E-5</v>
      </c>
      <c r="G1538">
        <v>-1.3704502538898889E-5</v>
      </c>
      <c r="H1538" t="b">
        <v>1</v>
      </c>
    </row>
    <row r="1539" spans="1:8" x14ac:dyDescent="0.15">
      <c r="A1539">
        <v>157</v>
      </c>
      <c r="B1539">
        <v>3</v>
      </c>
      <c r="C1539">
        <v>4562500</v>
      </c>
      <c r="D1539">
        <v>24129018589.78883</v>
      </c>
      <c r="E1539">
        <v>1.137871623421388E-4</v>
      </c>
      <c r="F1539">
        <v>1.361467577069188E-5</v>
      </c>
      <c r="G1539">
        <v>1.001724865714469E-4</v>
      </c>
      <c r="H1539" t="b">
        <v>0</v>
      </c>
    </row>
    <row r="1540" spans="1:8" x14ac:dyDescent="0.15">
      <c r="A1540">
        <v>157</v>
      </c>
      <c r="B1540">
        <v>4</v>
      </c>
      <c r="C1540">
        <v>3818750</v>
      </c>
      <c r="D1540">
        <v>-6442104.5914300987</v>
      </c>
      <c r="E1540">
        <v>6.5875381335666313E-6</v>
      </c>
      <c r="F1540">
        <v>1.3614675770691891E-5</v>
      </c>
      <c r="G1540">
        <v>-7.0271376371252576E-6</v>
      </c>
      <c r="H1540" t="b">
        <v>1</v>
      </c>
    </row>
    <row r="1541" spans="1:8" x14ac:dyDescent="0.15">
      <c r="A1541">
        <v>157</v>
      </c>
      <c r="B1541">
        <v>5</v>
      </c>
      <c r="C1541">
        <v>4190625</v>
      </c>
      <c r="D1541">
        <v>847461371.0571959</v>
      </c>
      <c r="E1541">
        <v>2.164106798209305E-5</v>
      </c>
      <c r="F1541">
        <v>1.3614675770691891E-5</v>
      </c>
      <c r="G1541">
        <v>8.0263922114011613E-6</v>
      </c>
      <c r="H1541" t="b">
        <v>0</v>
      </c>
    </row>
    <row r="1542" spans="1:8" x14ac:dyDescent="0.15">
      <c r="A1542">
        <v>157</v>
      </c>
      <c r="B1542">
        <v>6</v>
      </c>
      <c r="C1542">
        <v>4004687.5</v>
      </c>
      <c r="D1542">
        <v>-67957902.370935753</v>
      </c>
      <c r="E1542">
        <v>1.0648540966088619E-5</v>
      </c>
      <c r="F1542">
        <v>1.3614675770691891E-5</v>
      </c>
      <c r="G1542">
        <v>-2.966134804603264E-6</v>
      </c>
      <c r="H1542" t="b">
        <v>1</v>
      </c>
    </row>
    <row r="1543" spans="1:8" x14ac:dyDescent="0.15">
      <c r="A1543">
        <v>157</v>
      </c>
      <c r="B1543">
        <v>7</v>
      </c>
      <c r="C1543">
        <v>4097656.25</v>
      </c>
      <c r="D1543">
        <v>3370088.5966927852</v>
      </c>
      <c r="E1543">
        <v>1.368299935227395E-5</v>
      </c>
      <c r="F1543">
        <v>1.3614675770691891E-5</v>
      </c>
      <c r="G1543">
        <v>6.8323581582062975E-8</v>
      </c>
      <c r="H1543" t="b">
        <v>0</v>
      </c>
    </row>
    <row r="1544" spans="1:8" x14ac:dyDescent="0.15">
      <c r="A1544">
        <v>157</v>
      </c>
      <c r="B1544">
        <v>8</v>
      </c>
      <c r="C1544">
        <v>4144140.625</v>
      </c>
      <c r="D1544">
        <v>285129663.2973752</v>
      </c>
      <c r="E1544">
        <v>1.7249497448586531E-5</v>
      </c>
      <c r="F1544">
        <v>1.3614675770691891E-5</v>
      </c>
      <c r="G1544">
        <v>3.6348216778946418E-6</v>
      </c>
      <c r="H1544" t="b">
        <v>0</v>
      </c>
    </row>
    <row r="1545" spans="1:8" x14ac:dyDescent="0.15">
      <c r="A1545">
        <v>157</v>
      </c>
      <c r="B1545">
        <v>9</v>
      </c>
      <c r="C1545">
        <v>4120898.4375</v>
      </c>
      <c r="D1545">
        <v>111523872.4566164</v>
      </c>
      <c r="E1545">
        <v>1.5372530547882629E-5</v>
      </c>
      <c r="F1545">
        <v>1.3614675770691891E-5</v>
      </c>
      <c r="G1545">
        <v>1.7578547771907441E-6</v>
      </c>
      <c r="H1545" t="b">
        <v>0</v>
      </c>
    </row>
    <row r="1546" spans="1:8" x14ac:dyDescent="0.15">
      <c r="A1546">
        <v>157</v>
      </c>
      <c r="B1546">
        <v>10</v>
      </c>
      <c r="C1546">
        <v>4109277.34375</v>
      </c>
      <c r="D1546">
        <v>50119860.446521297</v>
      </c>
      <c r="E1546">
        <v>1.4505401654763971E-5</v>
      </c>
      <c r="F1546">
        <v>1.3614675770691891E-5</v>
      </c>
      <c r="G1546">
        <v>8.9072588407208344E-7</v>
      </c>
      <c r="H1546" t="b">
        <v>0</v>
      </c>
    </row>
    <row r="1547" spans="1:8" x14ac:dyDescent="0.15">
      <c r="A1547">
        <v>157</v>
      </c>
      <c r="B1547">
        <v>11</v>
      </c>
      <c r="C1547">
        <v>4103466.796875</v>
      </c>
      <c r="D1547">
        <v>25015152.04485612</v>
      </c>
      <c r="E1547">
        <v>1.4088741642765711E-5</v>
      </c>
      <c r="F1547">
        <v>1.3614675770691891E-5</v>
      </c>
      <c r="G1547">
        <v>4.740658720738182E-7</v>
      </c>
      <c r="H1547" t="b">
        <v>0</v>
      </c>
    </row>
    <row r="1548" spans="1:8" x14ac:dyDescent="0.15">
      <c r="A1548">
        <v>157</v>
      </c>
      <c r="B1548">
        <v>12</v>
      </c>
      <c r="C1548">
        <v>4100561.5234375</v>
      </c>
      <c r="D1548">
        <v>13772622.250636039</v>
      </c>
      <c r="E1548">
        <v>1.3884521982840601E-5</v>
      </c>
      <c r="F1548">
        <v>1.3614675770691891E-5</v>
      </c>
      <c r="G1548">
        <v>2.6984621214871338E-7</v>
      </c>
      <c r="H1548" t="b">
        <v>0</v>
      </c>
    </row>
    <row r="1549" spans="1:8" x14ac:dyDescent="0.15">
      <c r="A1549">
        <v>157</v>
      </c>
      <c r="B1549">
        <v>13</v>
      </c>
      <c r="C1549">
        <v>4099108.88671875</v>
      </c>
      <c r="D1549">
        <v>8467840.7055062484</v>
      </c>
      <c r="E1549">
        <v>1.378342446415405E-5</v>
      </c>
      <c r="F1549">
        <v>1.3614675770691891E-5</v>
      </c>
      <c r="G1549">
        <v>1.687486934621574E-7</v>
      </c>
      <c r="H1549" t="b">
        <v>0</v>
      </c>
    </row>
    <row r="1550" spans="1:8" x14ac:dyDescent="0.15">
      <c r="A1550">
        <v>157</v>
      </c>
      <c r="B1550">
        <v>14</v>
      </c>
      <c r="C1550">
        <v>4097908.88671875</v>
      </c>
      <c r="D1550">
        <v>4241949.4426513063</v>
      </c>
      <c r="E1550">
        <v>1.3700417109456071E-5</v>
      </c>
      <c r="F1550">
        <v>1.3614675770691891E-5</v>
      </c>
      <c r="G1550">
        <v>8.5741338764176722E-8</v>
      </c>
      <c r="H1550" t="b">
        <v>0</v>
      </c>
    </row>
    <row r="1551" spans="1:8" x14ac:dyDescent="0.15">
      <c r="A1551">
        <v>157</v>
      </c>
      <c r="B1551">
        <v>15</v>
      </c>
      <c r="C1551">
        <v>4096468.88671875</v>
      </c>
      <c r="D1551">
        <v>-645279.75525372138</v>
      </c>
      <c r="E1551">
        <v>1.360140647950797E-5</v>
      </c>
      <c r="F1551">
        <v>1.3614675770691891E-5</v>
      </c>
      <c r="G1551">
        <v>-1.3269291183922231E-8</v>
      </c>
      <c r="H1551" t="b">
        <v>1</v>
      </c>
    </row>
    <row r="1552" spans="1:8" x14ac:dyDescent="0.15">
      <c r="A1552">
        <v>157</v>
      </c>
      <c r="B1552">
        <v>16</v>
      </c>
      <c r="C1552">
        <v>4097188.88671875</v>
      </c>
      <c r="D1552">
        <v>1773440.8607449119</v>
      </c>
      <c r="E1552">
        <v>1.3650830656724421E-5</v>
      </c>
      <c r="F1552">
        <v>1.3614675770691891E-5</v>
      </c>
      <c r="G1552">
        <v>3.6154886032531788E-8</v>
      </c>
      <c r="H1552" t="b">
        <v>0</v>
      </c>
    </row>
    <row r="1553" spans="1:8" x14ac:dyDescent="0.15">
      <c r="A1553">
        <v>157</v>
      </c>
      <c r="B1553">
        <v>17</v>
      </c>
      <c r="C1553">
        <v>4098052.88671875</v>
      </c>
      <c r="D1553">
        <v>4741612.2248404492</v>
      </c>
      <c r="E1553">
        <v>1.371035300450097E-5</v>
      </c>
      <c r="F1553">
        <v>1.3614675770691891E-5</v>
      </c>
      <c r="G1553">
        <v>9.5677233809076225E-8</v>
      </c>
      <c r="H1553" t="b">
        <v>0</v>
      </c>
    </row>
    <row r="1554" spans="1:8" x14ac:dyDescent="0.15">
      <c r="A1554">
        <v>157</v>
      </c>
      <c r="B1554">
        <v>18</v>
      </c>
      <c r="C1554">
        <v>4097620.88671875</v>
      </c>
      <c r="D1554">
        <v>3248487.2670454541</v>
      </c>
      <c r="E1554">
        <v>1.3680561808529751E-5</v>
      </c>
      <c r="F1554">
        <v>1.3614675770691891E-5</v>
      </c>
      <c r="G1554">
        <v>6.588603783786015E-8</v>
      </c>
      <c r="H1554" t="b">
        <v>0</v>
      </c>
    </row>
    <row r="1555" spans="1:8" x14ac:dyDescent="0.15">
      <c r="A1555">
        <v>157</v>
      </c>
      <c r="B1555">
        <v>19</v>
      </c>
      <c r="C1555">
        <v>4097836.88671875</v>
      </c>
      <c r="D1555">
        <v>3992844.3351868871</v>
      </c>
      <c r="E1555">
        <v>1.369545108220406E-5</v>
      </c>
      <c r="F1555">
        <v>1.3614675770691891E-5</v>
      </c>
      <c r="G1555">
        <v>8.0775311512166145E-8</v>
      </c>
      <c r="H1555" t="b">
        <v>0</v>
      </c>
    </row>
    <row r="1556" spans="1:8" x14ac:dyDescent="0.15">
      <c r="A1556">
        <v>157</v>
      </c>
      <c r="B1556">
        <v>20</v>
      </c>
      <c r="C1556">
        <v>4098096.0867187502</v>
      </c>
      <c r="D1556">
        <v>4891919.3766034264</v>
      </c>
      <c r="E1556">
        <v>1.37133353746333E-5</v>
      </c>
      <c r="F1556">
        <v>1.3614675770691891E-5</v>
      </c>
      <c r="G1556">
        <v>9.8659603941407347E-8</v>
      </c>
      <c r="H1556" t="b">
        <v>0</v>
      </c>
    </row>
    <row r="1557" spans="1:8" x14ac:dyDescent="0.15">
      <c r="A1557">
        <v>157</v>
      </c>
      <c r="B1557">
        <v>21</v>
      </c>
      <c r="C1557">
        <v>4097966.4867187501</v>
      </c>
      <c r="D1557">
        <v>4441595.0541644664</v>
      </c>
      <c r="E1557">
        <v>1.370439111124933E-5</v>
      </c>
      <c r="F1557">
        <v>1.3614675770691891E-5</v>
      </c>
      <c r="G1557">
        <v>8.9715340557437804E-8</v>
      </c>
      <c r="H1557" t="b">
        <v>0</v>
      </c>
    </row>
    <row r="1558" spans="1:8" x14ac:dyDescent="0.15">
      <c r="A1558">
        <v>157</v>
      </c>
      <c r="B1558">
        <v>22</v>
      </c>
      <c r="C1558">
        <v>4097810.9667187501</v>
      </c>
      <c r="D1558">
        <v>3903289.3498136532</v>
      </c>
      <c r="E1558">
        <v>1.369366371350835E-5</v>
      </c>
      <c r="F1558">
        <v>1.3614675770691891E-5</v>
      </c>
      <c r="G1558">
        <v>7.8987942816461087E-8</v>
      </c>
      <c r="H1558" t="b">
        <v>0</v>
      </c>
    </row>
    <row r="1559" spans="1:8" x14ac:dyDescent="0.15">
      <c r="A1559">
        <v>157</v>
      </c>
      <c r="B1559">
        <v>23</v>
      </c>
      <c r="C1559">
        <v>4097888.7267187499</v>
      </c>
      <c r="D1559">
        <v>4172149.41258376</v>
      </c>
      <c r="E1559">
        <v>1.369902645664635E-5</v>
      </c>
      <c r="F1559">
        <v>1.3614675770691891E-5</v>
      </c>
      <c r="G1559">
        <v>8.4350685954458888E-8</v>
      </c>
      <c r="H1559" t="b">
        <v>0</v>
      </c>
    </row>
    <row r="1560" spans="1:8" x14ac:dyDescent="0.15">
      <c r="A1560">
        <v>157</v>
      </c>
      <c r="B1560">
        <v>24</v>
      </c>
      <c r="C1560">
        <v>4097849.84671875</v>
      </c>
      <c r="D1560">
        <v>4037592.298015032</v>
      </c>
      <c r="E1560">
        <v>1.369634377077932E-5</v>
      </c>
      <c r="F1560">
        <v>1.3614675770691891E-5</v>
      </c>
      <c r="G1560">
        <v>8.1668000087429431E-8</v>
      </c>
      <c r="H1560" t="b">
        <v>0</v>
      </c>
    </row>
    <row r="1561" spans="1:8" x14ac:dyDescent="0.15">
      <c r="A1561">
        <v>157</v>
      </c>
      <c r="B1561">
        <v>25</v>
      </c>
      <c r="C1561">
        <v>4097869.2867187499</v>
      </c>
      <c r="D1561">
        <v>4104879.5169033199</v>
      </c>
      <c r="E1561">
        <v>1.3697685591680461E-5</v>
      </c>
      <c r="F1561">
        <v>1.3614675770691891E-5</v>
      </c>
      <c r="G1561">
        <v>8.3009820988573353E-8</v>
      </c>
      <c r="H1561" t="b">
        <v>0</v>
      </c>
    </row>
    <row r="1562" spans="1:8" x14ac:dyDescent="0.15">
      <c r="A1562">
        <v>158</v>
      </c>
      <c r="B1562">
        <v>1</v>
      </c>
      <c r="C1562">
        <v>6050000</v>
      </c>
      <c r="D1562">
        <v>11910752501777.789</v>
      </c>
      <c r="E1562">
        <v>1.1945518644042769E-2</v>
      </c>
      <c r="F1562">
        <v>1.327261125966782E-5</v>
      </c>
      <c r="G1562">
        <v>1.19322460327831E-2</v>
      </c>
      <c r="H1562" t="b">
        <v>0</v>
      </c>
    </row>
    <row r="1563" spans="1:8" x14ac:dyDescent="0.15">
      <c r="A1563">
        <v>158</v>
      </c>
      <c r="B1563">
        <v>2</v>
      </c>
      <c r="C1563">
        <v>3075000</v>
      </c>
      <c r="D1563">
        <v>-123739.44330992291</v>
      </c>
      <c r="E1563">
        <v>-3.0141772877076761E-7</v>
      </c>
      <c r="F1563">
        <v>1.3272611259668661E-5</v>
      </c>
      <c r="G1563">
        <v>-1.357402898843943E-5</v>
      </c>
      <c r="H1563" t="b">
        <v>1</v>
      </c>
    </row>
    <row r="1564" spans="1:8" x14ac:dyDescent="0.15">
      <c r="A1564">
        <v>158</v>
      </c>
      <c r="B1564">
        <v>3</v>
      </c>
      <c r="C1564">
        <v>4562500</v>
      </c>
      <c r="D1564">
        <v>18334323493.753059</v>
      </c>
      <c r="E1564">
        <v>9.2503489322626613E-5</v>
      </c>
      <c r="F1564">
        <v>1.3272611259668661E-5</v>
      </c>
      <c r="G1564">
        <v>7.9230878062957954E-5</v>
      </c>
      <c r="H1564" t="b">
        <v>0</v>
      </c>
    </row>
    <row r="1565" spans="1:8" x14ac:dyDescent="0.15">
      <c r="A1565">
        <v>158</v>
      </c>
      <c r="B1565">
        <v>4</v>
      </c>
      <c r="C1565">
        <v>3818750</v>
      </c>
      <c r="D1565">
        <v>-3967933.36736093</v>
      </c>
      <c r="E1565">
        <v>5.8840365563746028E-6</v>
      </c>
      <c r="F1565">
        <v>1.3272611259668661E-5</v>
      </c>
      <c r="G1565">
        <v>-7.3885747032940544E-6</v>
      </c>
      <c r="H1565" t="b">
        <v>1</v>
      </c>
    </row>
    <row r="1566" spans="1:8" x14ac:dyDescent="0.15">
      <c r="A1566">
        <v>158</v>
      </c>
      <c r="B1566">
        <v>5</v>
      </c>
      <c r="C1566">
        <v>4190625</v>
      </c>
      <c r="D1566">
        <v>352204872.39609092</v>
      </c>
      <c r="E1566">
        <v>1.7410943174833412E-5</v>
      </c>
      <c r="F1566">
        <v>1.3272611259668661E-5</v>
      </c>
      <c r="G1566">
        <v>4.1383319151647544E-6</v>
      </c>
      <c r="H1566" t="b">
        <v>0</v>
      </c>
    </row>
    <row r="1567" spans="1:8" x14ac:dyDescent="0.15">
      <c r="A1567">
        <v>158</v>
      </c>
      <c r="B1567">
        <v>6</v>
      </c>
      <c r="C1567">
        <v>4004687.5</v>
      </c>
      <c r="D1567">
        <v>-58125314.735970438</v>
      </c>
      <c r="E1567">
        <v>9.5111959260326653E-6</v>
      </c>
      <c r="F1567">
        <v>1.3272611259668661E-5</v>
      </c>
      <c r="G1567">
        <v>-3.7614153336359919E-6</v>
      </c>
      <c r="H1567" t="b">
        <v>1</v>
      </c>
    </row>
    <row r="1568" spans="1:8" x14ac:dyDescent="0.15">
      <c r="A1568">
        <v>158</v>
      </c>
      <c r="B1568">
        <v>7</v>
      </c>
      <c r="C1568">
        <v>4097656.25</v>
      </c>
      <c r="D1568">
        <v>-49480868.125329889</v>
      </c>
      <c r="E1568">
        <v>1.196484632195413E-5</v>
      </c>
      <c r="F1568">
        <v>1.3272611259668661E-5</v>
      </c>
      <c r="G1568">
        <v>-1.3077649377145301E-6</v>
      </c>
      <c r="H1568" t="b">
        <v>1</v>
      </c>
    </row>
    <row r="1569" spans="1:8" x14ac:dyDescent="0.15">
      <c r="A1569">
        <v>158</v>
      </c>
      <c r="B1569">
        <v>8</v>
      </c>
      <c r="C1569">
        <v>4144140.625</v>
      </c>
      <c r="D1569">
        <v>32117586.928523861</v>
      </c>
      <c r="E1569">
        <v>1.385711025204544E-5</v>
      </c>
      <c r="F1569">
        <v>1.3272611259668661E-5</v>
      </c>
      <c r="G1569">
        <v>5.8449899237678294E-7</v>
      </c>
      <c r="H1569" t="b">
        <v>0</v>
      </c>
    </row>
    <row r="1570" spans="1:8" x14ac:dyDescent="0.15">
      <c r="A1570">
        <v>158</v>
      </c>
      <c r="B1570">
        <v>9</v>
      </c>
      <c r="C1570">
        <v>4120898.4375</v>
      </c>
      <c r="D1570">
        <v>-27197929.378215838</v>
      </c>
      <c r="E1570">
        <v>1.265675230279379E-5</v>
      </c>
      <c r="F1570">
        <v>1.3272611259668661E-5</v>
      </c>
      <c r="G1570">
        <v>-6.158589568748623E-7</v>
      </c>
      <c r="H1570" t="b">
        <v>1</v>
      </c>
    </row>
    <row r="1571" spans="1:8" x14ac:dyDescent="0.15">
      <c r="A1571">
        <v>158</v>
      </c>
      <c r="B1571">
        <v>10</v>
      </c>
      <c r="C1571">
        <v>4132519.53125</v>
      </c>
      <c r="D1571">
        <v>-9316161.6318515539</v>
      </c>
      <c r="E1571">
        <v>1.307845357042114E-5</v>
      </c>
      <c r="F1571">
        <v>1.3272611259668661E-5</v>
      </c>
      <c r="G1571">
        <v>-1.941576892475207E-7</v>
      </c>
      <c r="H1571" t="b">
        <v>1</v>
      </c>
    </row>
    <row r="1572" spans="1:8" x14ac:dyDescent="0.15">
      <c r="A1572">
        <v>158</v>
      </c>
      <c r="B1572">
        <v>11</v>
      </c>
      <c r="C1572">
        <v>4138330.078125</v>
      </c>
      <c r="D1572">
        <v>9775521.6118770391</v>
      </c>
      <c r="E1572">
        <v>1.3462668020799539E-5</v>
      </c>
      <c r="F1572">
        <v>1.3272611259668661E-5</v>
      </c>
      <c r="G1572">
        <v>1.9005676113088549E-7</v>
      </c>
      <c r="H1572" t="b">
        <v>0</v>
      </c>
    </row>
    <row r="1573" spans="1:8" x14ac:dyDescent="0.15">
      <c r="A1573">
        <v>158</v>
      </c>
      <c r="B1573">
        <v>12</v>
      </c>
      <c r="C1573">
        <v>4135424.8046875</v>
      </c>
      <c r="D1573">
        <v>-164785.36013732589</v>
      </c>
      <c r="E1573">
        <v>1.3269295707221819E-5</v>
      </c>
      <c r="F1573">
        <v>1.3272611259668661E-5</v>
      </c>
      <c r="G1573">
        <v>-3.315552446837955E-9</v>
      </c>
      <c r="H1573" t="b">
        <v>1</v>
      </c>
    </row>
    <row r="1574" spans="1:8" x14ac:dyDescent="0.15">
      <c r="A1574">
        <v>158</v>
      </c>
      <c r="B1574">
        <v>13</v>
      </c>
      <c r="C1574">
        <v>4136877.44140625</v>
      </c>
      <c r="D1574">
        <v>4705216.6072358191</v>
      </c>
      <c r="E1574">
        <v>1.3365662668853061E-5</v>
      </c>
      <c r="F1574">
        <v>1.3272611259668661E-5</v>
      </c>
      <c r="G1574">
        <v>9.3051409184400163E-8</v>
      </c>
      <c r="H1574" t="b">
        <v>0</v>
      </c>
    </row>
    <row r="1575" spans="1:8" x14ac:dyDescent="0.15">
      <c r="A1575">
        <v>158</v>
      </c>
      <c r="B1575">
        <v>14</v>
      </c>
      <c r="C1575">
        <v>4135677.44140625</v>
      </c>
      <c r="D1575">
        <v>667944.1452285198</v>
      </c>
      <c r="E1575">
        <v>1.328601010041001E-5</v>
      </c>
      <c r="F1575">
        <v>1.3272611259668661E-5</v>
      </c>
      <c r="G1575">
        <v>1.3398840741354341E-8</v>
      </c>
      <c r="H1575" t="b">
        <v>0</v>
      </c>
    </row>
    <row r="1576" spans="1:8" x14ac:dyDescent="0.15">
      <c r="A1576">
        <v>158</v>
      </c>
      <c r="B1576">
        <v>15</v>
      </c>
      <c r="C1576">
        <v>4136277.44140625</v>
      </c>
      <c r="D1576">
        <v>2669635.1687079282</v>
      </c>
      <c r="E1576">
        <v>1.332578276604728E-5</v>
      </c>
      <c r="F1576">
        <v>1.3272611259668661E-5</v>
      </c>
      <c r="G1576">
        <v>5.3171506378624101E-8</v>
      </c>
      <c r="H1576" t="b">
        <v>0</v>
      </c>
    </row>
    <row r="1577" spans="1:8" x14ac:dyDescent="0.15">
      <c r="A1577">
        <v>158</v>
      </c>
      <c r="B1577">
        <v>16</v>
      </c>
      <c r="C1577">
        <v>4136997.44140625</v>
      </c>
      <c r="D1577">
        <v>5116438.6606871057</v>
      </c>
      <c r="E1577">
        <v>1.3373651942729171E-5</v>
      </c>
      <c r="F1577">
        <v>1.3272611259668661E-5</v>
      </c>
      <c r="G1577">
        <v>1.0104068306051019E-7</v>
      </c>
      <c r="H1577" t="b">
        <v>0</v>
      </c>
    </row>
    <row r="1578" spans="1:8" x14ac:dyDescent="0.15">
      <c r="A1578">
        <v>158</v>
      </c>
      <c r="B1578">
        <v>17</v>
      </c>
      <c r="C1578">
        <v>4136637.44140625</v>
      </c>
      <c r="D1578">
        <v>3886929.665396377</v>
      </c>
      <c r="E1578">
        <v>1.334969832568685E-5</v>
      </c>
      <c r="F1578">
        <v>1.3272611259668661E-5</v>
      </c>
      <c r="G1578">
        <v>7.7087066018195917E-8</v>
      </c>
      <c r="H1578" t="b">
        <v>0</v>
      </c>
    </row>
    <row r="1579" spans="1:8" x14ac:dyDescent="0.15">
      <c r="A1579">
        <v>158</v>
      </c>
      <c r="B1579">
        <v>18</v>
      </c>
      <c r="C1579">
        <v>4136817.44140625</v>
      </c>
      <c r="D1579">
        <v>4500119.7126072366</v>
      </c>
      <c r="E1579">
        <v>1.3361669693727969E-5</v>
      </c>
      <c r="F1579">
        <v>1.3272611259668661E-5</v>
      </c>
      <c r="G1579">
        <v>8.9058434059312121E-8</v>
      </c>
      <c r="H1579" t="b">
        <v>0</v>
      </c>
    </row>
    <row r="1580" spans="1:8" x14ac:dyDescent="0.15">
      <c r="A1580">
        <v>158</v>
      </c>
      <c r="B1580">
        <v>19</v>
      </c>
      <c r="C1580">
        <v>4136727.44140625</v>
      </c>
      <c r="D1580">
        <v>4193114.29137338</v>
      </c>
      <c r="E1580">
        <v>1.335568226575282E-5</v>
      </c>
      <c r="F1580">
        <v>1.3272611259668661E-5</v>
      </c>
      <c r="G1580">
        <v>8.3071006084161364E-8</v>
      </c>
      <c r="H1580" t="b">
        <v>0</v>
      </c>
    </row>
    <row r="1581" spans="1:8" x14ac:dyDescent="0.15">
      <c r="A1581">
        <v>158</v>
      </c>
      <c r="B1581">
        <v>20</v>
      </c>
      <c r="C1581">
        <v>4136619.44140625</v>
      </c>
      <c r="D1581">
        <v>3825774.0196500062</v>
      </c>
      <c r="E1581">
        <v>1.33485016209858E-5</v>
      </c>
      <c r="F1581">
        <v>1.3272611259668661E-5</v>
      </c>
      <c r="G1581">
        <v>7.5890361317141483E-8</v>
      </c>
      <c r="H1581" t="b">
        <v>0</v>
      </c>
    </row>
    <row r="1582" spans="1:8" x14ac:dyDescent="0.15">
      <c r="A1582">
        <v>158</v>
      </c>
      <c r="B1582">
        <v>21</v>
      </c>
      <c r="C1582">
        <v>4136673.44140625</v>
      </c>
      <c r="D1582">
        <v>4009279.3766475539</v>
      </c>
      <c r="E1582">
        <v>1.3352090980640639E-5</v>
      </c>
      <c r="F1582">
        <v>1.3272611259668661E-5</v>
      </c>
      <c r="G1582">
        <v>7.9479720971978735E-8</v>
      </c>
      <c r="H1582" t="b">
        <v>0</v>
      </c>
    </row>
    <row r="1583" spans="1:8" x14ac:dyDescent="0.15">
      <c r="A1583">
        <v>158</v>
      </c>
      <c r="B1583">
        <v>22</v>
      </c>
      <c r="C1583">
        <v>4136738.2414062498</v>
      </c>
      <c r="D1583">
        <v>4229968.0904232645</v>
      </c>
      <c r="E1583">
        <v>1.3356401675846741E-5</v>
      </c>
      <c r="F1583">
        <v>1.3272611259668661E-5</v>
      </c>
      <c r="G1583">
        <v>8.3790416178080112E-8</v>
      </c>
      <c r="H1583" t="b">
        <v>0</v>
      </c>
    </row>
    <row r="1584" spans="1:8" x14ac:dyDescent="0.15">
      <c r="A1584">
        <v>158</v>
      </c>
      <c r="B1584">
        <v>23</v>
      </c>
      <c r="C1584">
        <v>4136705.8414062499</v>
      </c>
      <c r="D1584">
        <v>4119600.8121533389</v>
      </c>
      <c r="E1584">
        <v>1.335424669371587E-5</v>
      </c>
      <c r="F1584">
        <v>1.3272611259668661E-5</v>
      </c>
      <c r="G1584">
        <v>8.1635434047215935E-8</v>
      </c>
      <c r="H1584" t="b">
        <v>0</v>
      </c>
    </row>
    <row r="1585" spans="1:8" x14ac:dyDescent="0.15">
      <c r="A1585">
        <v>159</v>
      </c>
      <c r="B1585">
        <v>1</v>
      </c>
      <c r="C1585">
        <v>6050000</v>
      </c>
      <c r="D1585">
        <v>211944966458.96509</v>
      </c>
      <c r="E1585">
        <v>3.4513072523577153E-4</v>
      </c>
      <c r="F1585">
        <v>9.6341998605827916E-6</v>
      </c>
      <c r="G1585">
        <v>3.3549652537518868E-4</v>
      </c>
      <c r="H1585" t="b">
        <v>0</v>
      </c>
    </row>
    <row r="1586" spans="1:8" x14ac:dyDescent="0.15">
      <c r="A1586">
        <v>159</v>
      </c>
      <c r="B1586">
        <v>2</v>
      </c>
      <c r="C1586">
        <v>3075000</v>
      </c>
      <c r="D1586">
        <v>-39039.025704725573</v>
      </c>
      <c r="E1586">
        <v>-4.1209403335967664E-6</v>
      </c>
      <c r="F1586">
        <v>9.6341998605827984E-6</v>
      </c>
      <c r="G1586">
        <v>-1.375514019417956E-5</v>
      </c>
      <c r="H1586" t="b">
        <v>1</v>
      </c>
    </row>
    <row r="1587" spans="1:8" x14ac:dyDescent="0.15">
      <c r="A1587">
        <v>159</v>
      </c>
      <c r="B1587">
        <v>3</v>
      </c>
      <c r="C1587">
        <v>4562500</v>
      </c>
      <c r="D1587">
        <v>-4151987.9420456882</v>
      </c>
      <c r="E1587">
        <v>4.3309649811070443E-6</v>
      </c>
      <c r="F1587">
        <v>9.6341998605828001E-6</v>
      </c>
      <c r="G1587">
        <v>-5.3032348794757559E-6</v>
      </c>
      <c r="H1587" t="b">
        <v>1</v>
      </c>
    </row>
    <row r="1588" spans="1:8" x14ac:dyDescent="0.15">
      <c r="A1588">
        <v>159</v>
      </c>
      <c r="B1588">
        <v>4</v>
      </c>
      <c r="C1588">
        <v>5306250</v>
      </c>
      <c r="D1588">
        <v>5661461559.5873194</v>
      </c>
      <c r="E1588">
        <v>3.2384853183728277E-5</v>
      </c>
      <c r="F1588">
        <v>9.6341998605827984E-6</v>
      </c>
      <c r="G1588">
        <v>2.2750653323145489E-5</v>
      </c>
      <c r="H1588" t="b">
        <v>0</v>
      </c>
    </row>
    <row r="1589" spans="1:8" x14ac:dyDescent="0.15">
      <c r="A1589">
        <v>159</v>
      </c>
      <c r="B1589">
        <v>5</v>
      </c>
      <c r="C1589">
        <v>4934375</v>
      </c>
      <c r="D1589">
        <v>-17821000.90880328</v>
      </c>
      <c r="E1589">
        <v>9.3282852155743768E-6</v>
      </c>
      <c r="F1589">
        <v>9.6341998605828001E-6</v>
      </c>
      <c r="G1589">
        <v>-3.059146450084233E-7</v>
      </c>
      <c r="H1589" t="b">
        <v>1</v>
      </c>
    </row>
    <row r="1590" spans="1:8" x14ac:dyDescent="0.15">
      <c r="A1590">
        <v>159</v>
      </c>
      <c r="B1590">
        <v>6</v>
      </c>
      <c r="C1590">
        <v>5120312.5</v>
      </c>
      <c r="D1590">
        <v>1099891132.977762</v>
      </c>
      <c r="E1590">
        <v>1.6251221593098049E-5</v>
      </c>
      <c r="F1590">
        <v>9.6341998605828001E-6</v>
      </c>
      <c r="G1590">
        <v>6.617021732515245E-6</v>
      </c>
      <c r="H1590" t="b">
        <v>0</v>
      </c>
    </row>
    <row r="1591" spans="1:8" x14ac:dyDescent="0.15">
      <c r="A1591">
        <v>159</v>
      </c>
      <c r="B1591">
        <v>7</v>
      </c>
      <c r="C1591">
        <v>5027343.75</v>
      </c>
      <c r="D1591">
        <v>153342902.4071795</v>
      </c>
      <c r="E1591">
        <v>1.130749829435901E-5</v>
      </c>
      <c r="F1591">
        <v>9.6341998605828001E-6</v>
      </c>
      <c r="G1591">
        <v>1.673298433776212E-6</v>
      </c>
      <c r="H1591" t="b">
        <v>0</v>
      </c>
    </row>
    <row r="1592" spans="1:8" x14ac:dyDescent="0.15">
      <c r="A1592">
        <v>159</v>
      </c>
      <c r="B1592">
        <v>8</v>
      </c>
      <c r="C1592">
        <v>4980859.375</v>
      </c>
      <c r="D1592">
        <v>42439218.120883398</v>
      </c>
      <c r="E1592">
        <v>1.0212818927600271E-5</v>
      </c>
      <c r="F1592">
        <v>9.6341998605828001E-6</v>
      </c>
      <c r="G1592">
        <v>5.7861906701747056E-7</v>
      </c>
      <c r="H1592" t="b">
        <v>0</v>
      </c>
    </row>
    <row r="1593" spans="1:8" x14ac:dyDescent="0.15">
      <c r="A1593">
        <v>159</v>
      </c>
      <c r="B1593">
        <v>9</v>
      </c>
      <c r="C1593">
        <v>4957617.1875</v>
      </c>
      <c r="D1593">
        <v>8397666.0855028406</v>
      </c>
      <c r="E1593">
        <v>9.7620533136270225E-6</v>
      </c>
      <c r="F1593">
        <v>9.6341998605828001E-6</v>
      </c>
      <c r="G1593">
        <v>1.278534530442224E-7</v>
      </c>
      <c r="H1593" t="b">
        <v>0</v>
      </c>
    </row>
    <row r="1594" spans="1:8" x14ac:dyDescent="0.15">
      <c r="A1594">
        <v>159</v>
      </c>
      <c r="B1594">
        <v>10</v>
      </c>
      <c r="C1594">
        <v>4945996.09375</v>
      </c>
      <c r="D1594">
        <v>-5644504.4169158582</v>
      </c>
      <c r="E1594">
        <v>9.5430678510071512E-6</v>
      </c>
      <c r="F1594">
        <v>9.6341998605828001E-6</v>
      </c>
      <c r="G1594">
        <v>-9.1132009575648916E-8</v>
      </c>
      <c r="H1594" t="b">
        <v>1</v>
      </c>
    </row>
    <row r="1595" spans="1:8" x14ac:dyDescent="0.15">
      <c r="A1595">
        <v>159</v>
      </c>
      <c r="B1595">
        <v>11</v>
      </c>
      <c r="C1595">
        <v>4951806.640625</v>
      </c>
      <c r="D1595">
        <v>1137676.0617923611</v>
      </c>
      <c r="E1595">
        <v>9.6520311397519946E-6</v>
      </c>
      <c r="F1595">
        <v>9.6341998605828001E-6</v>
      </c>
      <c r="G1595">
        <v>1.7831279169194539E-8</v>
      </c>
      <c r="H1595" t="b">
        <v>0</v>
      </c>
    </row>
    <row r="1596" spans="1:8" x14ac:dyDescent="0.15">
      <c r="A1596">
        <v>159</v>
      </c>
      <c r="B1596">
        <v>12</v>
      </c>
      <c r="C1596">
        <v>4954711.9140625</v>
      </c>
      <c r="D1596">
        <v>4707258.2789843762</v>
      </c>
      <c r="E1596">
        <v>9.7069097760274134E-6</v>
      </c>
      <c r="F1596">
        <v>9.6341998605828001E-6</v>
      </c>
      <c r="G1596">
        <v>7.2709915444613341E-8</v>
      </c>
      <c r="H1596" t="b">
        <v>0</v>
      </c>
    </row>
    <row r="1597" spans="1:8" x14ac:dyDescent="0.15">
      <c r="A1597">
        <v>159</v>
      </c>
      <c r="B1597">
        <v>13</v>
      </c>
      <c r="C1597">
        <v>4956164.55078125</v>
      </c>
      <c r="D1597">
        <v>6537252.6674133781</v>
      </c>
      <c r="E1597">
        <v>9.7344481120109839E-6</v>
      </c>
      <c r="F1597">
        <v>9.6341998605828001E-6</v>
      </c>
      <c r="G1597">
        <v>1.0024825142818381E-7</v>
      </c>
      <c r="H1597" t="b">
        <v>0</v>
      </c>
    </row>
    <row r="1598" spans="1:8" x14ac:dyDescent="0.15">
      <c r="A1598">
        <v>159</v>
      </c>
      <c r="B1598">
        <v>14</v>
      </c>
      <c r="C1598">
        <v>4955664.55078125</v>
      </c>
      <c r="D1598">
        <v>5903959.3665683595</v>
      </c>
      <c r="E1598">
        <v>9.7249620996581767E-6</v>
      </c>
      <c r="F1598">
        <v>9.6341998605828001E-6</v>
      </c>
      <c r="G1598">
        <v>9.0762239075376584E-8</v>
      </c>
      <c r="H1598" t="b">
        <v>0</v>
      </c>
    </row>
    <row r="1599" spans="1:8" x14ac:dyDescent="0.15">
      <c r="A1599">
        <v>159</v>
      </c>
      <c r="B1599">
        <v>15</v>
      </c>
      <c r="C1599">
        <v>4955064.55078125</v>
      </c>
      <c r="D1599">
        <v>5148722.40542538</v>
      </c>
      <c r="E1599">
        <v>9.7135888575569167E-6</v>
      </c>
      <c r="F1599">
        <v>9.6341998605828001E-6</v>
      </c>
      <c r="G1599">
        <v>7.9388996974116618E-8</v>
      </c>
      <c r="H1599" t="b">
        <v>0</v>
      </c>
    </row>
    <row r="1600" spans="1:8" x14ac:dyDescent="0.15">
      <c r="A1600">
        <v>159</v>
      </c>
      <c r="B1600">
        <v>16</v>
      </c>
      <c r="C1600">
        <v>4954344.55078125</v>
      </c>
      <c r="D1600">
        <v>4249228.9505854957</v>
      </c>
      <c r="E1600">
        <v>9.6999555804115925E-6</v>
      </c>
      <c r="F1600">
        <v>9.6341998605828001E-6</v>
      </c>
      <c r="G1600">
        <v>6.5755719828792367E-8</v>
      </c>
      <c r="H1600" t="b">
        <v>0</v>
      </c>
    </row>
    <row r="1601" spans="1:8" x14ac:dyDescent="0.15">
      <c r="A1601">
        <v>159</v>
      </c>
      <c r="B1601">
        <v>17</v>
      </c>
      <c r="C1601">
        <v>4954704.55078125</v>
      </c>
      <c r="D1601">
        <v>4698059.2131323237</v>
      </c>
      <c r="E1601">
        <v>9.70677035422548E-6</v>
      </c>
      <c r="F1601">
        <v>9.6341998605828001E-6</v>
      </c>
      <c r="G1601">
        <v>7.2570493642679852E-8</v>
      </c>
      <c r="H1601" t="b">
        <v>0</v>
      </c>
    </row>
    <row r="1602" spans="1:8" x14ac:dyDescent="0.15">
      <c r="A1602">
        <v>159</v>
      </c>
      <c r="B1602">
        <v>18</v>
      </c>
      <c r="C1602">
        <v>4955136.55078125</v>
      </c>
      <c r="D1602">
        <v>5239054.8454048876</v>
      </c>
      <c r="E1602">
        <v>9.7149526985265346E-6</v>
      </c>
      <c r="F1602">
        <v>9.6341998605828001E-6</v>
      </c>
      <c r="G1602">
        <v>8.0752837943734516E-8</v>
      </c>
      <c r="H1602" t="b">
        <v>0</v>
      </c>
    </row>
    <row r="1603" spans="1:8" x14ac:dyDescent="0.15">
      <c r="A1603">
        <v>159</v>
      </c>
      <c r="B1603">
        <v>19</v>
      </c>
      <c r="C1603">
        <v>4954920.55078125</v>
      </c>
      <c r="D1603">
        <v>4968234.2536733299</v>
      </c>
      <c r="E1603">
        <v>9.7108609667429814E-6</v>
      </c>
      <c r="F1603">
        <v>9.6341998605828001E-6</v>
      </c>
      <c r="G1603">
        <v>7.666110616018133E-8</v>
      </c>
      <c r="H1603" t="b">
        <v>0</v>
      </c>
    </row>
    <row r="1604" spans="1:8" x14ac:dyDescent="0.15">
      <c r="A1604">
        <v>160</v>
      </c>
      <c r="B1604">
        <v>1</v>
      </c>
      <c r="C1604">
        <v>6050000</v>
      </c>
      <c r="D1604">
        <v>97687508252.967209</v>
      </c>
      <c r="E1604">
        <v>1.8395497569030991E-4</v>
      </c>
      <c r="F1604">
        <v>9.1223563377912495E-6</v>
      </c>
      <c r="G1604">
        <v>1.7483261935251869E-4</v>
      </c>
      <c r="H1604" t="b">
        <v>0</v>
      </c>
    </row>
    <row r="1605" spans="1:8" x14ac:dyDescent="0.15">
      <c r="A1605">
        <v>160</v>
      </c>
      <c r="B1605">
        <v>2</v>
      </c>
      <c r="C1605">
        <v>3075000</v>
      </c>
      <c r="D1605">
        <v>-32538.82751165966</v>
      </c>
      <c r="E1605">
        <v>-4.7207204607698687E-6</v>
      </c>
      <c r="F1605">
        <v>9.1223563377912478E-6</v>
      </c>
      <c r="G1605">
        <v>-1.384307679856112E-5</v>
      </c>
      <c r="H1605" t="b">
        <v>1</v>
      </c>
    </row>
    <row r="1606" spans="1:8" x14ac:dyDescent="0.15">
      <c r="A1606">
        <v>160</v>
      </c>
      <c r="B1606">
        <v>3</v>
      </c>
      <c r="C1606">
        <v>4562500</v>
      </c>
      <c r="D1606">
        <v>-1325951.2266880821</v>
      </c>
      <c r="E1606">
        <v>3.0456449781495818E-6</v>
      </c>
      <c r="F1606">
        <v>9.1223563377912478E-6</v>
      </c>
      <c r="G1606">
        <v>-6.0767113596416656E-6</v>
      </c>
      <c r="H1606" t="b">
        <v>1</v>
      </c>
    </row>
    <row r="1607" spans="1:8" x14ac:dyDescent="0.15">
      <c r="A1607">
        <v>160</v>
      </c>
      <c r="B1607">
        <v>4</v>
      </c>
      <c r="C1607">
        <v>5306250</v>
      </c>
      <c r="D1607">
        <v>1339677028.040467</v>
      </c>
      <c r="E1607">
        <v>1.6362422763713801E-5</v>
      </c>
      <c r="F1607">
        <v>9.1223563377912478E-6</v>
      </c>
      <c r="G1607">
        <v>7.2400664259225527E-6</v>
      </c>
      <c r="H1607" t="b">
        <v>0</v>
      </c>
    </row>
    <row r="1608" spans="1:8" x14ac:dyDescent="0.15">
      <c r="A1608">
        <v>160</v>
      </c>
      <c r="B1608">
        <v>5</v>
      </c>
      <c r="C1608">
        <v>4934375</v>
      </c>
      <c r="D1608">
        <v>-46618171.329733163</v>
      </c>
      <c r="E1608">
        <v>6.545193268005029E-6</v>
      </c>
      <c r="F1608">
        <v>9.1223563377912478E-6</v>
      </c>
      <c r="G1608">
        <v>-2.5771630697862192E-6</v>
      </c>
      <c r="H1608" t="b">
        <v>1</v>
      </c>
    </row>
    <row r="1609" spans="1:8" x14ac:dyDescent="0.15">
      <c r="A1609">
        <v>160</v>
      </c>
      <c r="B1609">
        <v>6</v>
      </c>
      <c r="C1609">
        <v>5120312.5</v>
      </c>
      <c r="D1609">
        <v>17278952.08756724</v>
      </c>
      <c r="E1609">
        <v>9.366620075114066E-6</v>
      </c>
      <c r="F1609">
        <v>9.1223563377912478E-6</v>
      </c>
      <c r="G1609">
        <v>2.4426373732281817E-7</v>
      </c>
      <c r="H1609" t="b">
        <v>0</v>
      </c>
    </row>
    <row r="1610" spans="1:8" x14ac:dyDescent="0.15">
      <c r="A1610">
        <v>160</v>
      </c>
      <c r="B1610">
        <v>7</v>
      </c>
      <c r="C1610">
        <v>5027343.75</v>
      </c>
      <c r="D1610">
        <v>-53219360.763687827</v>
      </c>
      <c r="E1610">
        <v>7.847577148971948E-6</v>
      </c>
      <c r="F1610">
        <v>9.1223563377912478E-6</v>
      </c>
      <c r="G1610">
        <v>-1.2747791888193E-6</v>
      </c>
      <c r="H1610" t="b">
        <v>1</v>
      </c>
    </row>
    <row r="1611" spans="1:8" x14ac:dyDescent="0.15">
      <c r="A1611">
        <v>160</v>
      </c>
      <c r="B1611">
        <v>8</v>
      </c>
      <c r="C1611">
        <v>5073828.125</v>
      </c>
      <c r="D1611">
        <v>-30293980.63566979</v>
      </c>
      <c r="E1611">
        <v>8.5784358327359609E-6</v>
      </c>
      <c r="F1611">
        <v>9.1223563377912478E-6</v>
      </c>
      <c r="G1611">
        <v>-5.4392050505528684E-7</v>
      </c>
      <c r="H1611" t="b">
        <v>1</v>
      </c>
    </row>
    <row r="1612" spans="1:8" x14ac:dyDescent="0.15">
      <c r="A1612">
        <v>160</v>
      </c>
      <c r="B1612">
        <v>9</v>
      </c>
      <c r="C1612">
        <v>5097070.3125</v>
      </c>
      <c r="D1612">
        <v>-9918109.3759660125</v>
      </c>
      <c r="E1612">
        <v>8.965151638835816E-6</v>
      </c>
      <c r="F1612">
        <v>9.1223563377912478E-6</v>
      </c>
      <c r="G1612">
        <v>-1.572046989554318E-7</v>
      </c>
      <c r="H1612" t="b">
        <v>1</v>
      </c>
    </row>
    <row r="1613" spans="1:8" x14ac:dyDescent="0.15">
      <c r="A1613">
        <v>160</v>
      </c>
      <c r="B1613">
        <v>10</v>
      </c>
      <c r="C1613">
        <v>5108691.40625</v>
      </c>
      <c r="D1613">
        <v>2786085.3868583501</v>
      </c>
      <c r="E1613">
        <v>9.1640118459720444E-6</v>
      </c>
      <c r="F1613">
        <v>9.1223563377912478E-6</v>
      </c>
      <c r="G1613">
        <v>4.1655508180796557E-8</v>
      </c>
      <c r="H1613" t="b">
        <v>0</v>
      </c>
    </row>
    <row r="1614" spans="1:8" x14ac:dyDescent="0.15">
      <c r="A1614">
        <v>160</v>
      </c>
      <c r="B1614">
        <v>11</v>
      </c>
      <c r="C1614">
        <v>5114501.953125</v>
      </c>
      <c r="D1614">
        <v>9803720.0978365</v>
      </c>
      <c r="E1614">
        <v>9.2648442156115406E-6</v>
      </c>
      <c r="F1614">
        <v>9.1223563377912478E-6</v>
      </c>
      <c r="G1614">
        <v>1.4248787782029281E-7</v>
      </c>
      <c r="H1614" t="b">
        <v>0</v>
      </c>
    </row>
    <row r="1615" spans="1:8" x14ac:dyDescent="0.15">
      <c r="A1615">
        <v>160</v>
      </c>
      <c r="B1615">
        <v>12</v>
      </c>
      <c r="C1615">
        <v>5111596.6796875</v>
      </c>
      <c r="D1615">
        <v>6238379.531416785</v>
      </c>
      <c r="E1615">
        <v>9.2143108337688042E-6</v>
      </c>
      <c r="F1615">
        <v>9.1223563377912478E-6</v>
      </c>
      <c r="G1615">
        <v>9.195449597755641E-8</v>
      </c>
      <c r="H1615" t="b">
        <v>0</v>
      </c>
    </row>
    <row r="1616" spans="1:8" x14ac:dyDescent="0.15">
      <c r="A1616">
        <v>160</v>
      </c>
      <c r="B1616">
        <v>13</v>
      </c>
      <c r="C1616">
        <v>5110144.04296875</v>
      </c>
      <c r="D1616">
        <v>4498166.0923726689</v>
      </c>
      <c r="E1616">
        <v>9.1891318457870004E-6</v>
      </c>
      <c r="F1616">
        <v>9.1223563377912478E-6</v>
      </c>
      <c r="G1616">
        <v>6.6775507995752584E-8</v>
      </c>
      <c r="H1616" t="b">
        <v>0</v>
      </c>
    </row>
    <row r="1617" spans="1:8" x14ac:dyDescent="0.15">
      <c r="A1617">
        <v>160</v>
      </c>
      <c r="B1617">
        <v>14</v>
      </c>
      <c r="C1617">
        <v>5110644.04296875</v>
      </c>
      <c r="D1617">
        <v>5093984.3804122144</v>
      </c>
      <c r="E1617">
        <v>9.1977920845103017E-6</v>
      </c>
      <c r="F1617">
        <v>9.1223563377912478E-6</v>
      </c>
      <c r="G1617">
        <v>7.5435746719053912E-8</v>
      </c>
      <c r="H1617" t="b">
        <v>0</v>
      </c>
    </row>
    <row r="1618" spans="1:8" x14ac:dyDescent="0.15">
      <c r="A1618">
        <v>161</v>
      </c>
      <c r="B1618">
        <v>1</v>
      </c>
      <c r="C1618">
        <v>6050000</v>
      </c>
      <c r="D1618">
        <v>2001552038.047415</v>
      </c>
      <c r="E1618">
        <v>1.467002344776433E-5</v>
      </c>
      <c r="F1618">
        <v>7.1945474511830224E-6</v>
      </c>
      <c r="G1618">
        <v>7.4754759965813132E-6</v>
      </c>
      <c r="H1618" t="b">
        <v>0</v>
      </c>
    </row>
    <row r="1619" spans="1:8" x14ac:dyDescent="0.15">
      <c r="A1619">
        <v>161</v>
      </c>
      <c r="B1619">
        <v>2</v>
      </c>
      <c r="C1619">
        <v>3075000</v>
      </c>
      <c r="D1619">
        <v>-16787.659238711069</v>
      </c>
      <c r="E1619">
        <v>-6.769686719434214E-6</v>
      </c>
      <c r="F1619">
        <v>7.1945474511830224E-6</v>
      </c>
      <c r="G1619">
        <v>-1.3964234170617241E-5</v>
      </c>
      <c r="H1619" t="b">
        <v>1</v>
      </c>
    </row>
    <row r="1620" spans="1:8" x14ac:dyDescent="0.15">
      <c r="A1620">
        <v>161</v>
      </c>
      <c r="B1620">
        <v>3</v>
      </c>
      <c r="C1620">
        <v>4562500</v>
      </c>
      <c r="D1620">
        <v>-255608.29858042</v>
      </c>
      <c r="E1620">
        <v>5.5686858382486639E-7</v>
      </c>
      <c r="F1620">
        <v>7.1945474511830224E-6</v>
      </c>
      <c r="G1620">
        <v>-6.6376788673581548E-6</v>
      </c>
      <c r="H1620" t="b">
        <v>1</v>
      </c>
    </row>
    <row r="1621" spans="1:8" x14ac:dyDescent="0.15">
      <c r="A1621">
        <v>161</v>
      </c>
      <c r="B1621">
        <v>4</v>
      </c>
      <c r="C1621">
        <v>5306250</v>
      </c>
      <c r="D1621">
        <v>-4926778.4540597778</v>
      </c>
      <c r="E1621">
        <v>3.3787213475510508E-6</v>
      </c>
      <c r="F1621">
        <v>7.1945474511830224E-6</v>
      </c>
      <c r="G1621">
        <v>-3.8158261036319699E-6</v>
      </c>
      <c r="H1621" t="b">
        <v>1</v>
      </c>
    </row>
    <row r="1622" spans="1:8" x14ac:dyDescent="0.15">
      <c r="A1622">
        <v>161</v>
      </c>
      <c r="B1622">
        <v>5</v>
      </c>
      <c r="C1622">
        <v>5678125</v>
      </c>
      <c r="D1622">
        <v>-40777639.72725933</v>
      </c>
      <c r="E1622">
        <v>6.4688472272667096E-6</v>
      </c>
      <c r="F1622">
        <v>7.1945474511830224E-6</v>
      </c>
      <c r="G1622">
        <v>-7.2570022391631109E-7</v>
      </c>
      <c r="H1622" t="b">
        <v>1</v>
      </c>
    </row>
    <row r="1623" spans="1:8" x14ac:dyDescent="0.15">
      <c r="A1623">
        <v>161</v>
      </c>
      <c r="B1623">
        <v>6</v>
      </c>
      <c r="C1623">
        <v>5864062.5</v>
      </c>
      <c r="D1623">
        <v>199109676.95915699</v>
      </c>
      <c r="E1623">
        <v>8.7765053915240512E-6</v>
      </c>
      <c r="F1623">
        <v>7.1945474511830224E-6</v>
      </c>
      <c r="G1623">
        <v>1.58195794034103E-6</v>
      </c>
      <c r="H1623" t="b">
        <v>0</v>
      </c>
    </row>
    <row r="1624" spans="1:8" x14ac:dyDescent="0.15">
      <c r="A1624">
        <v>161</v>
      </c>
      <c r="B1624">
        <v>7</v>
      </c>
      <c r="C1624">
        <v>5771093.75</v>
      </c>
      <c r="D1624">
        <v>31433927.4150871</v>
      </c>
      <c r="E1624">
        <v>7.5480247094171376E-6</v>
      </c>
      <c r="F1624">
        <v>7.1945474511830224E-6</v>
      </c>
      <c r="G1624">
        <v>3.5347725823411611E-7</v>
      </c>
      <c r="H1624" t="b">
        <v>0</v>
      </c>
    </row>
    <row r="1625" spans="1:8" x14ac:dyDescent="0.15">
      <c r="A1625">
        <v>161</v>
      </c>
      <c r="B1625">
        <v>8</v>
      </c>
      <c r="C1625">
        <v>5724609.375</v>
      </c>
      <c r="D1625">
        <v>-14674654.95044063</v>
      </c>
      <c r="E1625">
        <v>6.9906638652742163E-6</v>
      </c>
      <c r="F1625">
        <v>7.1945474511830224E-6</v>
      </c>
      <c r="G1625">
        <v>-2.0388358590880529E-7</v>
      </c>
      <c r="H1625" t="b">
        <v>1</v>
      </c>
    </row>
    <row r="1626" spans="1:8" x14ac:dyDescent="0.15">
      <c r="A1626">
        <v>161</v>
      </c>
      <c r="B1626">
        <v>9</v>
      </c>
      <c r="C1626">
        <v>5747851.5625</v>
      </c>
      <c r="D1626">
        <v>5641776.2743153889</v>
      </c>
      <c r="E1626">
        <v>7.2647935118125182E-6</v>
      </c>
      <c r="F1626">
        <v>7.1945474511830224E-6</v>
      </c>
      <c r="G1626">
        <v>7.024606062949666E-8</v>
      </c>
      <c r="H1626" t="b">
        <v>0</v>
      </c>
    </row>
    <row r="1627" spans="1:8" x14ac:dyDescent="0.15">
      <c r="A1627">
        <v>161</v>
      </c>
      <c r="B1627">
        <v>10</v>
      </c>
      <c r="C1627">
        <v>5759472.65625</v>
      </c>
      <c r="D1627">
        <v>17823117.89871629</v>
      </c>
      <c r="E1627">
        <v>7.4052534229285521E-6</v>
      </c>
      <c r="F1627">
        <v>7.1945474511830224E-6</v>
      </c>
      <c r="G1627">
        <v>2.1070597174553059E-7</v>
      </c>
      <c r="H1627" t="b">
        <v>0</v>
      </c>
    </row>
    <row r="1628" spans="1:8" x14ac:dyDescent="0.15">
      <c r="A1628">
        <v>161</v>
      </c>
      <c r="B1628">
        <v>11</v>
      </c>
      <c r="C1628">
        <v>5753662.109375</v>
      </c>
      <c r="D1628">
        <v>11557554.900681339</v>
      </c>
      <c r="E1628">
        <v>7.3347365928036014E-6</v>
      </c>
      <c r="F1628">
        <v>7.1945474511830224E-6</v>
      </c>
      <c r="G1628">
        <v>1.4018914162057889E-7</v>
      </c>
      <c r="H1628" t="b">
        <v>0</v>
      </c>
    </row>
    <row r="1629" spans="1:8" x14ac:dyDescent="0.15">
      <c r="A1629">
        <v>161</v>
      </c>
      <c r="B1629">
        <v>12</v>
      </c>
      <c r="C1629">
        <v>5750756.8359375</v>
      </c>
      <c r="D1629">
        <v>8556416.3587604742</v>
      </c>
      <c r="E1629">
        <v>7.2996936119110614E-6</v>
      </c>
      <c r="F1629">
        <v>7.1945474511830224E-6</v>
      </c>
      <c r="G1629">
        <v>1.05146160728039E-7</v>
      </c>
      <c r="H1629" t="b">
        <v>0</v>
      </c>
    </row>
    <row r="1630" spans="1:8" x14ac:dyDescent="0.15">
      <c r="A1630">
        <v>161</v>
      </c>
      <c r="B1630">
        <v>13</v>
      </c>
      <c r="C1630">
        <v>5749304.19921875</v>
      </c>
      <c r="D1630">
        <v>7088329.4430843918</v>
      </c>
      <c r="E1630">
        <v>7.2822255728263479E-6</v>
      </c>
      <c r="F1630">
        <v>7.1945474511830224E-6</v>
      </c>
      <c r="G1630">
        <v>8.7678121643326356E-8</v>
      </c>
      <c r="H1630" t="b">
        <v>0</v>
      </c>
    </row>
    <row r="1631" spans="1:8" x14ac:dyDescent="0.15">
      <c r="A1631">
        <v>161</v>
      </c>
      <c r="B1631">
        <v>14</v>
      </c>
      <c r="C1631">
        <v>5748104.19921875</v>
      </c>
      <c r="D1631">
        <v>5891835.2962981965</v>
      </c>
      <c r="E1631">
        <v>7.2678229102356568E-6</v>
      </c>
      <c r="F1631">
        <v>7.1945474511830224E-6</v>
      </c>
      <c r="G1631">
        <v>7.3275459052635286E-8</v>
      </c>
      <c r="H1631" t="b">
        <v>0</v>
      </c>
    </row>
    <row r="1632" spans="1:8" x14ac:dyDescent="0.15">
      <c r="A1632">
        <v>161</v>
      </c>
      <c r="B1632">
        <v>15</v>
      </c>
      <c r="C1632">
        <v>5746664.19921875</v>
      </c>
      <c r="D1632">
        <v>4475302.7033217344</v>
      </c>
      <c r="E1632">
        <v>7.2505715557166033E-6</v>
      </c>
      <c r="F1632">
        <v>7.1945474511830224E-6</v>
      </c>
      <c r="G1632">
        <v>5.6024104533580953E-8</v>
      </c>
      <c r="H1632" t="b">
        <v>0</v>
      </c>
    </row>
    <row r="1633" spans="1:8" x14ac:dyDescent="0.15">
      <c r="A1633">
        <v>161</v>
      </c>
      <c r="B1633">
        <v>16</v>
      </c>
      <c r="C1633">
        <v>5747384.19921875</v>
      </c>
      <c r="D1633">
        <v>5180925.1086321007</v>
      </c>
      <c r="E1633">
        <v>7.2591926048013039E-6</v>
      </c>
      <c r="F1633">
        <v>7.1945474511830224E-6</v>
      </c>
      <c r="G1633">
        <v>6.4645153618282363E-8</v>
      </c>
      <c r="H1633" t="b">
        <v>0</v>
      </c>
    </row>
    <row r="1634" spans="1:8" x14ac:dyDescent="0.15">
      <c r="A1634">
        <v>161</v>
      </c>
      <c r="B1634">
        <v>17</v>
      </c>
      <c r="C1634">
        <v>5748248.19921875</v>
      </c>
      <c r="D1634">
        <v>6034644.1463950854</v>
      </c>
      <c r="E1634">
        <v>7.2695499733702114E-6</v>
      </c>
      <c r="F1634">
        <v>7.1945474511830224E-6</v>
      </c>
      <c r="G1634">
        <v>7.5002522187189795E-8</v>
      </c>
      <c r="H1634" t="b">
        <v>0</v>
      </c>
    </row>
    <row r="1635" spans="1:8" x14ac:dyDescent="0.15">
      <c r="A1635">
        <v>161</v>
      </c>
      <c r="B1635">
        <v>18</v>
      </c>
      <c r="C1635">
        <v>5747816.19921875</v>
      </c>
      <c r="D1635">
        <v>5606828.3354459936</v>
      </c>
      <c r="E1635">
        <v>7.2643695872145036E-6</v>
      </c>
      <c r="F1635">
        <v>7.1945474511830224E-6</v>
      </c>
      <c r="G1635">
        <v>6.9822136031482089E-8</v>
      </c>
      <c r="H1635" t="b">
        <v>0</v>
      </c>
    </row>
    <row r="1636" spans="1:8" x14ac:dyDescent="0.15">
      <c r="A1636">
        <v>161</v>
      </c>
      <c r="B1636">
        <v>19</v>
      </c>
      <c r="C1636">
        <v>5748032.19921875</v>
      </c>
      <c r="D1636">
        <v>5820509.7968350369</v>
      </c>
      <c r="E1636">
        <v>7.2669595101642684E-6</v>
      </c>
      <c r="F1636">
        <v>7.1945474511830224E-6</v>
      </c>
      <c r="G1636">
        <v>7.2412058981246852E-8</v>
      </c>
      <c r="H1636" t="b">
        <v>0</v>
      </c>
    </row>
    <row r="1637" spans="1:8" x14ac:dyDescent="0.15">
      <c r="A1637">
        <v>161</v>
      </c>
      <c r="B1637">
        <v>20</v>
      </c>
      <c r="C1637">
        <v>5747924.19921875</v>
      </c>
      <c r="D1637">
        <v>5713620.1645578686</v>
      </c>
      <c r="E1637">
        <v>7.2656645744083946E-6</v>
      </c>
      <c r="F1637">
        <v>7.1945474511830224E-6</v>
      </c>
      <c r="G1637">
        <v>7.1117123225373878E-8</v>
      </c>
      <c r="H1637" t="b">
        <v>0</v>
      </c>
    </row>
    <row r="1638" spans="1:8" x14ac:dyDescent="0.15">
      <c r="A1638">
        <v>162</v>
      </c>
      <c r="B1638">
        <v>1</v>
      </c>
      <c r="C1638">
        <v>6050000</v>
      </c>
      <c r="D1638">
        <v>861301549.90012753</v>
      </c>
      <c r="E1638">
        <v>1.1200045791596641E-5</v>
      </c>
      <c r="F1638">
        <v>7.0299887495018664E-6</v>
      </c>
      <c r="G1638">
        <v>4.1700570420947702E-6</v>
      </c>
      <c r="H1638" t="b">
        <v>0</v>
      </c>
    </row>
    <row r="1639" spans="1:8" x14ac:dyDescent="0.15">
      <c r="A1639">
        <v>162</v>
      </c>
      <c r="B1639">
        <v>2</v>
      </c>
      <c r="C1639">
        <v>3075000</v>
      </c>
      <c r="D1639">
        <v>-15729.45458009233</v>
      </c>
      <c r="E1639">
        <v>-6.9711349989958314E-6</v>
      </c>
      <c r="F1639">
        <v>7.0299887495018647E-6</v>
      </c>
      <c r="G1639">
        <v>-1.4001123748497699E-5</v>
      </c>
      <c r="H1639" t="b">
        <v>1</v>
      </c>
    </row>
    <row r="1640" spans="1:8" x14ac:dyDescent="0.15">
      <c r="A1640">
        <v>162</v>
      </c>
      <c r="B1640">
        <v>3</v>
      </c>
      <c r="C1640">
        <v>4562500</v>
      </c>
      <c r="D1640">
        <v>-226096.53309775339</v>
      </c>
      <c r="E1640">
        <v>3.544221917671808E-7</v>
      </c>
      <c r="F1640">
        <v>7.0299887495018664E-6</v>
      </c>
      <c r="G1640">
        <v>-6.6755665577346848E-6</v>
      </c>
      <c r="H1640" t="b">
        <v>1</v>
      </c>
    </row>
    <row r="1641" spans="1:8" x14ac:dyDescent="0.15">
      <c r="A1641">
        <v>162</v>
      </c>
      <c r="B1641">
        <v>4</v>
      </c>
      <c r="C1641">
        <v>5306250</v>
      </c>
      <c r="D1641">
        <v>-2983420.7932330039</v>
      </c>
      <c r="E1641">
        <v>2.943238375656185E-6</v>
      </c>
      <c r="F1641">
        <v>7.0299887495018664E-6</v>
      </c>
      <c r="G1641">
        <v>-4.0867503738456809E-6</v>
      </c>
      <c r="H1641" t="b">
        <v>1</v>
      </c>
    </row>
    <row r="1642" spans="1:8" x14ac:dyDescent="0.15">
      <c r="A1642">
        <v>162</v>
      </c>
      <c r="B1642">
        <v>5</v>
      </c>
      <c r="C1642">
        <v>5678125</v>
      </c>
      <c r="D1642">
        <v>-50142517.580188207</v>
      </c>
      <c r="E1642">
        <v>5.6300638602184543E-6</v>
      </c>
      <c r="F1642">
        <v>7.0299887495018664E-6</v>
      </c>
      <c r="G1642">
        <v>-1.399924889283411E-6</v>
      </c>
      <c r="H1642" t="b">
        <v>1</v>
      </c>
    </row>
    <row r="1643" spans="1:8" x14ac:dyDescent="0.15">
      <c r="A1643">
        <v>162</v>
      </c>
      <c r="B1643">
        <v>6</v>
      </c>
      <c r="C1643">
        <v>5864062.5</v>
      </c>
      <c r="D1643">
        <v>61013501.958438672</v>
      </c>
      <c r="E1643">
        <v>7.6461827243470558E-6</v>
      </c>
      <c r="F1643">
        <v>7.0299887495018664E-6</v>
      </c>
      <c r="G1643">
        <v>6.1619397484519031E-7</v>
      </c>
      <c r="H1643" t="b">
        <v>0</v>
      </c>
    </row>
    <row r="1644" spans="1:8" x14ac:dyDescent="0.15">
      <c r="A1644">
        <v>162</v>
      </c>
      <c r="B1644">
        <v>7</v>
      </c>
      <c r="C1644">
        <v>5771093.75</v>
      </c>
      <c r="D1644">
        <v>-29706427.745600492</v>
      </c>
      <c r="E1644">
        <v>6.5721195424376967E-6</v>
      </c>
      <c r="F1644">
        <v>7.0299887495018664E-6</v>
      </c>
      <c r="G1644">
        <v>-4.5786920706416883E-7</v>
      </c>
      <c r="H1644" t="b">
        <v>1</v>
      </c>
    </row>
    <row r="1645" spans="1:8" x14ac:dyDescent="0.15">
      <c r="A1645">
        <v>162</v>
      </c>
      <c r="B1645">
        <v>8</v>
      </c>
      <c r="C1645">
        <v>5817578.125</v>
      </c>
      <c r="D1645">
        <v>5034098.6491827387</v>
      </c>
      <c r="E1645">
        <v>7.0918388137944048E-6</v>
      </c>
      <c r="F1645">
        <v>7.0299887495018664E-6</v>
      </c>
      <c r="G1645">
        <v>6.1850064292539248E-8</v>
      </c>
      <c r="H1645" t="b">
        <v>0</v>
      </c>
    </row>
    <row r="1646" spans="1:8" x14ac:dyDescent="0.15">
      <c r="A1646">
        <v>162</v>
      </c>
      <c r="B1646">
        <v>9</v>
      </c>
      <c r="C1646">
        <v>5840820.3125</v>
      </c>
      <c r="D1646">
        <v>30136578.634048931</v>
      </c>
      <c r="E1646">
        <v>7.3645701632372921E-6</v>
      </c>
      <c r="F1646">
        <v>7.0299887495018664E-6</v>
      </c>
      <c r="G1646">
        <v>3.3458141373542658E-7</v>
      </c>
      <c r="H1646" t="b">
        <v>0</v>
      </c>
    </row>
    <row r="1647" spans="1:8" x14ac:dyDescent="0.15">
      <c r="A1647">
        <v>162</v>
      </c>
      <c r="B1647">
        <v>10</v>
      </c>
      <c r="C1647">
        <v>5829199.21875</v>
      </c>
      <c r="D1647">
        <v>16893152.027448799</v>
      </c>
      <c r="E1647">
        <v>7.2271117254624146E-6</v>
      </c>
      <c r="F1647">
        <v>7.0299887495018664E-6</v>
      </c>
      <c r="G1647">
        <v>1.9712297596055E-7</v>
      </c>
      <c r="H1647" t="b">
        <v>0</v>
      </c>
    </row>
    <row r="1648" spans="1:8" x14ac:dyDescent="0.15">
      <c r="A1648">
        <v>162</v>
      </c>
      <c r="B1648">
        <v>11</v>
      </c>
      <c r="C1648">
        <v>5823388.671875</v>
      </c>
      <c r="D1648">
        <v>10794556.504212201</v>
      </c>
      <c r="E1648">
        <v>7.1592078415229124E-6</v>
      </c>
      <c r="F1648">
        <v>7.0299887495018664E-6</v>
      </c>
      <c r="G1648">
        <v>1.2921909202104679E-7</v>
      </c>
      <c r="H1648" t="b">
        <v>0</v>
      </c>
    </row>
    <row r="1649" spans="1:8" x14ac:dyDescent="0.15">
      <c r="A1649">
        <v>162</v>
      </c>
      <c r="B1649">
        <v>12</v>
      </c>
      <c r="C1649">
        <v>5820483.3984375</v>
      </c>
      <c r="D1649">
        <v>7872497.3461784469</v>
      </c>
      <c r="E1649">
        <v>7.125456591027662E-6</v>
      </c>
      <c r="F1649">
        <v>7.0299887495018664E-6</v>
      </c>
      <c r="G1649">
        <v>9.546784152579644E-8</v>
      </c>
      <c r="H1649" t="b">
        <v>0</v>
      </c>
    </row>
    <row r="1650" spans="1:8" x14ac:dyDescent="0.15">
      <c r="A1650">
        <v>162</v>
      </c>
      <c r="B1650">
        <v>13</v>
      </c>
      <c r="C1650">
        <v>5819030.76171875</v>
      </c>
      <c r="D1650">
        <v>6442888.8486067094</v>
      </c>
      <c r="E1650">
        <v>7.1086309600534076E-6</v>
      </c>
      <c r="F1650">
        <v>7.0299887495018664E-6</v>
      </c>
      <c r="G1650">
        <v>7.8642210551542107E-8</v>
      </c>
      <c r="H1650" t="b">
        <v>0</v>
      </c>
    </row>
    <row r="1651" spans="1:8" x14ac:dyDescent="0.15">
      <c r="A1651">
        <v>162</v>
      </c>
      <c r="B1651">
        <v>14</v>
      </c>
      <c r="C1651">
        <v>5817830.76171875</v>
      </c>
      <c r="D1651">
        <v>5277612.731171851</v>
      </c>
      <c r="E1651">
        <v>7.0947567560277112E-6</v>
      </c>
      <c r="F1651">
        <v>7.0299887495018664E-6</v>
      </c>
      <c r="G1651">
        <v>6.476800652584566E-8</v>
      </c>
      <c r="H1651" t="b">
        <v>0</v>
      </c>
    </row>
    <row r="1652" spans="1:8" x14ac:dyDescent="0.15">
      <c r="A1652">
        <v>162</v>
      </c>
      <c r="B1652">
        <v>15</v>
      </c>
      <c r="C1652">
        <v>5818430.76171875</v>
      </c>
      <c r="D1652">
        <v>5858485.5475920308</v>
      </c>
      <c r="E1652">
        <v>7.1016910830762254E-6</v>
      </c>
      <c r="F1652">
        <v>7.0299887495018664E-6</v>
      </c>
      <c r="G1652">
        <v>7.1702333574359892E-8</v>
      </c>
      <c r="H1652" t="b">
        <v>0</v>
      </c>
    </row>
    <row r="1653" spans="1:8" x14ac:dyDescent="0.15">
      <c r="A1653">
        <v>163</v>
      </c>
      <c r="B1653">
        <v>1</v>
      </c>
      <c r="C1653">
        <v>6050000</v>
      </c>
      <c r="D1653">
        <v>90202034.456996158</v>
      </c>
      <c r="E1653">
        <v>7.45440265384997E-6</v>
      </c>
      <c r="F1653">
        <v>6.6438869072487262E-6</v>
      </c>
      <c r="G1653">
        <v>8.1051574660124374E-7</v>
      </c>
      <c r="H1653" t="b">
        <v>0</v>
      </c>
    </row>
    <row r="1654" spans="1:8" x14ac:dyDescent="0.15">
      <c r="A1654">
        <v>163</v>
      </c>
      <c r="B1654">
        <v>2</v>
      </c>
      <c r="C1654">
        <v>3075000</v>
      </c>
      <c r="D1654">
        <v>-13558.553237697581</v>
      </c>
      <c r="E1654">
        <v>-7.4130598621150251E-6</v>
      </c>
      <c r="F1654">
        <v>6.6438869072487262E-6</v>
      </c>
      <c r="G1654">
        <v>-1.405694676936375E-5</v>
      </c>
      <c r="H1654" t="b">
        <v>1</v>
      </c>
    </row>
    <row r="1655" spans="1:8" x14ac:dyDescent="0.15">
      <c r="A1655">
        <v>163</v>
      </c>
      <c r="B1655">
        <v>3</v>
      </c>
      <c r="C1655">
        <v>4562500</v>
      </c>
      <c r="D1655">
        <v>-172300.62230128251</v>
      </c>
      <c r="E1655">
        <v>-1.020212442822086E-7</v>
      </c>
      <c r="F1655">
        <v>6.6438869072487262E-6</v>
      </c>
      <c r="G1655">
        <v>-6.7459081515309352E-6</v>
      </c>
      <c r="H1655" t="b">
        <v>1</v>
      </c>
    </row>
    <row r="1656" spans="1:8" x14ac:dyDescent="0.15">
      <c r="A1656">
        <v>163</v>
      </c>
      <c r="B1656">
        <v>4</v>
      </c>
      <c r="C1656">
        <v>5306250</v>
      </c>
      <c r="D1656">
        <v>-1281751.052638558</v>
      </c>
      <c r="E1656">
        <v>2.1475433374360688E-6</v>
      </c>
      <c r="F1656">
        <v>6.6438869072487271E-6</v>
      </c>
      <c r="G1656">
        <v>-4.4963435698126574E-6</v>
      </c>
      <c r="H1656" t="b">
        <v>1</v>
      </c>
    </row>
    <row r="1657" spans="1:8" x14ac:dyDescent="0.15">
      <c r="A1657">
        <v>163</v>
      </c>
      <c r="B1657">
        <v>5</v>
      </c>
      <c r="C1657">
        <v>5678125</v>
      </c>
      <c r="D1657">
        <v>-18446518.869571019</v>
      </c>
      <c r="E1657">
        <v>4.0815119589841093E-6</v>
      </c>
      <c r="F1657">
        <v>6.6438869072487262E-6</v>
      </c>
      <c r="G1657">
        <v>-2.5623749482646169E-6</v>
      </c>
      <c r="H1657" t="b">
        <v>1</v>
      </c>
    </row>
    <row r="1658" spans="1:8" x14ac:dyDescent="0.15">
      <c r="A1658">
        <v>163</v>
      </c>
      <c r="B1658">
        <v>6</v>
      </c>
      <c r="C1658">
        <v>5864062.5</v>
      </c>
      <c r="D1658">
        <v>-48476060.089372769</v>
      </c>
      <c r="E1658">
        <v>5.5493754876546246E-6</v>
      </c>
      <c r="F1658">
        <v>6.6438869072487262E-6</v>
      </c>
      <c r="G1658">
        <v>-1.094511419594101E-6</v>
      </c>
      <c r="H1658" t="b">
        <v>1</v>
      </c>
    </row>
    <row r="1659" spans="1:8" x14ac:dyDescent="0.15">
      <c r="A1659">
        <v>163</v>
      </c>
      <c r="B1659">
        <v>7</v>
      </c>
      <c r="C1659">
        <v>5957031.25</v>
      </c>
      <c r="D1659">
        <v>-15221098.996613</v>
      </c>
      <c r="E1659">
        <v>6.4418588982653787E-6</v>
      </c>
      <c r="F1659">
        <v>6.6438869072487262E-6</v>
      </c>
      <c r="G1659">
        <v>-2.0202800898334751E-7</v>
      </c>
      <c r="H1659" t="b">
        <v>1</v>
      </c>
    </row>
    <row r="1660" spans="1:8" x14ac:dyDescent="0.15">
      <c r="A1660">
        <v>163</v>
      </c>
      <c r="B1660">
        <v>8</v>
      </c>
      <c r="C1660">
        <v>6003515.625</v>
      </c>
      <c r="D1660">
        <v>26766950.691818431</v>
      </c>
      <c r="E1660">
        <v>6.9324151118619274E-6</v>
      </c>
      <c r="F1660">
        <v>6.6438869072487262E-6</v>
      </c>
      <c r="G1660">
        <v>2.8852820461320108E-7</v>
      </c>
      <c r="H1660" t="b">
        <v>0</v>
      </c>
    </row>
    <row r="1661" spans="1:8" x14ac:dyDescent="0.15">
      <c r="A1661">
        <v>163</v>
      </c>
      <c r="B1661">
        <v>9</v>
      </c>
      <c r="C1661">
        <v>5980273.4375</v>
      </c>
      <c r="D1661">
        <v>3306208.2605401361</v>
      </c>
      <c r="E1661">
        <v>6.6832875814211674E-6</v>
      </c>
      <c r="F1661">
        <v>6.6438869072487262E-6</v>
      </c>
      <c r="G1661">
        <v>3.9400674172441203E-8</v>
      </c>
      <c r="H1661" t="b">
        <v>0</v>
      </c>
    </row>
    <row r="1662" spans="1:8" x14ac:dyDescent="0.15">
      <c r="A1662">
        <v>163</v>
      </c>
      <c r="B1662">
        <v>10</v>
      </c>
      <c r="C1662">
        <v>5991894.53125</v>
      </c>
      <c r="D1662">
        <v>14393131.35653419</v>
      </c>
      <c r="E1662">
        <v>6.8068773569887649E-6</v>
      </c>
      <c r="F1662">
        <v>6.6438869072487262E-6</v>
      </c>
      <c r="G1662">
        <v>1.629904497400387E-7</v>
      </c>
      <c r="H1662" t="b">
        <v>0</v>
      </c>
    </row>
    <row r="1663" spans="1:8" x14ac:dyDescent="0.15">
      <c r="A1663">
        <v>163</v>
      </c>
      <c r="B1663">
        <v>11</v>
      </c>
      <c r="C1663">
        <v>5986083.984375</v>
      </c>
      <c r="D1663">
        <v>8692161.7624998614</v>
      </c>
      <c r="E1663">
        <v>6.7448403692114021E-6</v>
      </c>
      <c r="F1663">
        <v>6.6438869072487262E-6</v>
      </c>
      <c r="G1663">
        <v>1.009534619626758E-7</v>
      </c>
      <c r="H1663" t="b">
        <v>0</v>
      </c>
    </row>
    <row r="1664" spans="1:8" x14ac:dyDescent="0.15">
      <c r="A1664">
        <v>163</v>
      </c>
      <c r="B1664">
        <v>12</v>
      </c>
      <c r="C1664">
        <v>5983178.7109375</v>
      </c>
      <c r="D1664">
        <v>5960206.6097891247</v>
      </c>
      <c r="E1664">
        <v>6.7140034023537437E-6</v>
      </c>
      <c r="F1664">
        <v>6.6438869072487262E-6</v>
      </c>
      <c r="G1664">
        <v>7.0116495105017461E-8</v>
      </c>
      <c r="H1664" t="b">
        <v>0</v>
      </c>
    </row>
    <row r="1665" spans="1:8" x14ac:dyDescent="0.15">
      <c r="A1665">
        <v>164</v>
      </c>
      <c r="B1665">
        <v>1</v>
      </c>
      <c r="C1665">
        <v>6050000</v>
      </c>
      <c r="D1665">
        <v>149909107914.6203</v>
      </c>
      <c r="E1665">
        <v>4.7838987094298713E-4</v>
      </c>
      <c r="F1665">
        <v>1.3386948195257661E-5</v>
      </c>
      <c r="G1665">
        <v>4.6500292274772952E-4</v>
      </c>
      <c r="H1665" t="b">
        <v>0</v>
      </c>
    </row>
    <row r="1666" spans="1:8" x14ac:dyDescent="0.15">
      <c r="A1666">
        <v>164</v>
      </c>
      <c r="B1666">
        <v>2</v>
      </c>
      <c r="C1666">
        <v>3075000</v>
      </c>
      <c r="D1666">
        <v>72930528.365509391</v>
      </c>
      <c r="E1666">
        <v>1.50741524631829E-5</v>
      </c>
      <c r="F1666">
        <v>1.3386948195257651E-5</v>
      </c>
      <c r="G1666">
        <v>1.687204267925251E-6</v>
      </c>
      <c r="H1666" t="b">
        <v>0</v>
      </c>
    </row>
    <row r="1667" spans="1:8" x14ac:dyDescent="0.15">
      <c r="A1667">
        <v>164</v>
      </c>
      <c r="B1667">
        <v>3</v>
      </c>
      <c r="C1667">
        <v>1587500</v>
      </c>
      <c r="D1667">
        <v>-248838.47580467371</v>
      </c>
      <c r="E1667">
        <v>1.032973664083915E-6</v>
      </c>
      <c r="F1667">
        <v>1.3386948195257651E-5</v>
      </c>
      <c r="G1667">
        <v>-1.2353974531173731E-5</v>
      </c>
      <c r="H1667" t="b">
        <v>1</v>
      </c>
    </row>
    <row r="1668" spans="1:8" x14ac:dyDescent="0.15">
      <c r="A1668">
        <v>164</v>
      </c>
      <c r="B1668">
        <v>4</v>
      </c>
      <c r="C1668">
        <v>2331250</v>
      </c>
      <c r="D1668">
        <v>-3303541.6439483929</v>
      </c>
      <c r="E1668">
        <v>5.8138708422182662E-6</v>
      </c>
      <c r="F1668">
        <v>1.3386948195257651E-5</v>
      </c>
      <c r="G1668">
        <v>-7.573077353039381E-6</v>
      </c>
      <c r="H1668" t="b">
        <v>1</v>
      </c>
    </row>
    <row r="1669" spans="1:8" x14ac:dyDescent="0.15">
      <c r="A1669">
        <v>164</v>
      </c>
      <c r="B1669">
        <v>5</v>
      </c>
      <c r="C1669">
        <v>2703125</v>
      </c>
      <c r="D1669">
        <v>-38362822.353201836</v>
      </c>
      <c r="E1669">
        <v>9.8496946863534638E-6</v>
      </c>
      <c r="F1669">
        <v>1.3386948195257651E-5</v>
      </c>
      <c r="G1669">
        <v>-3.537253508904183E-6</v>
      </c>
      <c r="H1669" t="b">
        <v>1</v>
      </c>
    </row>
    <row r="1670" spans="1:8" x14ac:dyDescent="0.15">
      <c r="A1670">
        <v>164</v>
      </c>
      <c r="B1670">
        <v>6</v>
      </c>
      <c r="C1670">
        <v>2889062.5</v>
      </c>
      <c r="D1670">
        <v>-27759274.828550059</v>
      </c>
      <c r="E1670">
        <v>1.232353864012833E-5</v>
      </c>
      <c r="F1670">
        <v>1.3386948195257651E-5</v>
      </c>
      <c r="G1670">
        <v>-1.063409555129317E-6</v>
      </c>
      <c r="H1670" t="b">
        <v>1</v>
      </c>
    </row>
    <row r="1671" spans="1:8" x14ac:dyDescent="0.15">
      <c r="A1671">
        <v>164</v>
      </c>
      <c r="B1671">
        <v>7</v>
      </c>
      <c r="C1671">
        <v>2982031.25</v>
      </c>
      <c r="D1671">
        <v>9622411.1196364202</v>
      </c>
      <c r="E1671">
        <v>1.366560191557951E-5</v>
      </c>
      <c r="F1671">
        <v>1.3386948195257651E-5</v>
      </c>
      <c r="G1671">
        <v>2.7865372032186597E-7</v>
      </c>
      <c r="H1671" t="b">
        <v>0</v>
      </c>
    </row>
    <row r="1672" spans="1:8" x14ac:dyDescent="0.15">
      <c r="A1672">
        <v>164</v>
      </c>
      <c r="B1672">
        <v>8</v>
      </c>
      <c r="C1672">
        <v>2935546.875</v>
      </c>
      <c r="D1672">
        <v>-12130231.767889179</v>
      </c>
      <c r="E1672">
        <v>1.298631007903593E-5</v>
      </c>
      <c r="F1672">
        <v>1.3386948195257651E-5</v>
      </c>
      <c r="G1672">
        <v>-4.0063811622171412E-7</v>
      </c>
      <c r="H1672" t="b">
        <v>1</v>
      </c>
    </row>
    <row r="1673" spans="1:8" x14ac:dyDescent="0.15">
      <c r="A1673">
        <v>164</v>
      </c>
      <c r="B1673">
        <v>9</v>
      </c>
      <c r="C1673">
        <v>2958789.0625</v>
      </c>
      <c r="D1673">
        <v>-2043727.6906807439</v>
      </c>
      <c r="E1673">
        <v>1.332386103361146E-5</v>
      </c>
      <c r="F1673">
        <v>1.3386948195257651E-5</v>
      </c>
      <c r="G1673">
        <v>-6.3087161646189355E-8</v>
      </c>
      <c r="H1673" t="b">
        <v>1</v>
      </c>
    </row>
    <row r="1674" spans="1:8" x14ac:dyDescent="0.15">
      <c r="A1674">
        <v>164</v>
      </c>
      <c r="B1674">
        <v>10</v>
      </c>
      <c r="C1674">
        <v>2970410.15625</v>
      </c>
      <c r="D1674">
        <v>3588897.5906674122</v>
      </c>
      <c r="E1674">
        <v>1.349420326246963E-5</v>
      </c>
      <c r="F1674">
        <v>1.3386948195257651E-5</v>
      </c>
      <c r="G1674">
        <v>1.0725506721198649E-7</v>
      </c>
      <c r="H1674" t="b">
        <v>0</v>
      </c>
    </row>
    <row r="1675" spans="1:8" x14ac:dyDescent="0.15">
      <c r="A1675">
        <v>164</v>
      </c>
      <c r="B1675">
        <v>11</v>
      </c>
      <c r="C1675">
        <v>2964599.609375</v>
      </c>
      <c r="D1675">
        <v>722827.72134532605</v>
      </c>
      <c r="E1675">
        <v>1.3408900126673081E-5</v>
      </c>
      <c r="F1675">
        <v>1.3386948195257651E-5</v>
      </c>
      <c r="G1675">
        <v>2.195193141543003E-8</v>
      </c>
      <c r="H1675" t="b">
        <v>0</v>
      </c>
    </row>
    <row r="1676" spans="1:8" x14ac:dyDescent="0.15">
      <c r="A1676">
        <v>164</v>
      </c>
      <c r="B1676">
        <v>12</v>
      </c>
      <c r="C1676">
        <v>2967504.8828125</v>
      </c>
      <c r="D1676">
        <v>2143367.804528126</v>
      </c>
      <c r="E1676">
        <v>1.345151835778045E-5</v>
      </c>
      <c r="F1676">
        <v>1.3386948195257651E-5</v>
      </c>
      <c r="G1676">
        <v>6.4570162522804148E-8</v>
      </c>
      <c r="H1676" t="b">
        <v>0</v>
      </c>
    </row>
    <row r="1677" spans="1:8" x14ac:dyDescent="0.15">
      <c r="A1677">
        <v>164</v>
      </c>
      <c r="B1677">
        <v>13</v>
      </c>
      <c r="C1677">
        <v>2968957.51953125</v>
      </c>
      <c r="D1677">
        <v>2863026.4204459079</v>
      </c>
      <c r="E1677">
        <v>1.347285315580223E-5</v>
      </c>
      <c r="F1677">
        <v>1.3386948195257651E-5</v>
      </c>
      <c r="G1677">
        <v>8.5904960544587645E-8</v>
      </c>
      <c r="H1677" t="b">
        <v>0</v>
      </c>
    </row>
    <row r="1678" spans="1:8" x14ac:dyDescent="0.15">
      <c r="A1678">
        <v>164</v>
      </c>
      <c r="B1678">
        <v>14</v>
      </c>
      <c r="C1678">
        <v>2970157.51953125</v>
      </c>
      <c r="D1678">
        <v>3462224.2947281292</v>
      </c>
      <c r="E1678">
        <v>1.349048944925976E-5</v>
      </c>
      <c r="F1678">
        <v>1.3386948195257651E-5</v>
      </c>
      <c r="G1678">
        <v>1.035412540021081E-7</v>
      </c>
      <c r="H1678" t="b">
        <v>0</v>
      </c>
    </row>
    <row r="1679" spans="1:8" x14ac:dyDescent="0.15">
      <c r="A1679">
        <v>164</v>
      </c>
      <c r="B1679">
        <v>15</v>
      </c>
      <c r="C1679">
        <v>2969557.51953125</v>
      </c>
      <c r="D1679">
        <v>3162071.169000057</v>
      </c>
      <c r="E1679">
        <v>1.3481669294134121E-5</v>
      </c>
      <c r="F1679">
        <v>1.3386948195257651E-5</v>
      </c>
      <c r="G1679">
        <v>9.4721098876470098E-8</v>
      </c>
      <c r="H1679" t="b">
        <v>0</v>
      </c>
    </row>
    <row r="1680" spans="1:8" x14ac:dyDescent="0.15">
      <c r="A1680">
        <v>164</v>
      </c>
      <c r="B1680">
        <v>16</v>
      </c>
      <c r="C1680">
        <v>2968837.51953125</v>
      </c>
      <c r="D1680">
        <v>2803321.1279866858</v>
      </c>
      <c r="E1680">
        <v>1.3471089546020371E-5</v>
      </c>
      <c r="F1680">
        <v>1.3386948195257651E-5</v>
      </c>
      <c r="G1680">
        <v>8.4141350762718478E-8</v>
      </c>
      <c r="H1680" t="b">
        <v>0</v>
      </c>
    </row>
    <row r="1681" spans="1:8" x14ac:dyDescent="0.15">
      <c r="A1681">
        <v>164</v>
      </c>
      <c r="B1681">
        <v>17</v>
      </c>
      <c r="C1681">
        <v>2969197.51953125</v>
      </c>
      <c r="D1681">
        <v>2982524.420880815</v>
      </c>
      <c r="E1681">
        <v>1.347637951341768E-5</v>
      </c>
      <c r="F1681">
        <v>1.3386948195257651E-5</v>
      </c>
      <c r="G1681">
        <v>8.9431318160036543E-8</v>
      </c>
      <c r="H1681" t="b">
        <v>0</v>
      </c>
    </row>
    <row r="1682" spans="1:8" x14ac:dyDescent="0.15">
      <c r="A1682">
        <v>165</v>
      </c>
      <c r="B1682">
        <v>1</v>
      </c>
      <c r="C1682">
        <v>6050000</v>
      </c>
      <c r="D1682">
        <v>116789060349.3244</v>
      </c>
      <c r="E1682">
        <v>3.9289659488077089E-4</v>
      </c>
      <c r="F1682">
        <v>1.32430247045165E-5</v>
      </c>
      <c r="G1682">
        <v>3.7965357017625439E-4</v>
      </c>
      <c r="H1682" t="b">
        <v>0</v>
      </c>
    </row>
    <row r="1683" spans="1:8" x14ac:dyDescent="0.15">
      <c r="A1683">
        <v>165</v>
      </c>
      <c r="B1683">
        <v>2</v>
      </c>
      <c r="C1683">
        <v>3075000</v>
      </c>
      <c r="D1683">
        <v>-3082538.936849901</v>
      </c>
      <c r="E1683">
        <v>1.314801015521899E-5</v>
      </c>
      <c r="F1683">
        <v>1.324302470451648E-5</v>
      </c>
      <c r="G1683">
        <v>-9.501454929749331E-8</v>
      </c>
      <c r="H1683" t="b">
        <v>1</v>
      </c>
    </row>
    <row r="1684" spans="1:8" x14ac:dyDescent="0.15">
      <c r="A1684">
        <v>165</v>
      </c>
      <c r="B1684">
        <v>3</v>
      </c>
      <c r="C1684">
        <v>4562500</v>
      </c>
      <c r="D1684">
        <v>18927432065.900398</v>
      </c>
      <c r="E1684">
        <v>1.106899809316588E-4</v>
      </c>
      <c r="F1684">
        <v>1.324302470451648E-5</v>
      </c>
      <c r="G1684">
        <v>9.7446956227142365E-5</v>
      </c>
      <c r="H1684" t="b">
        <v>0</v>
      </c>
    </row>
    <row r="1685" spans="1:8" x14ac:dyDescent="0.15">
      <c r="A1685">
        <v>165</v>
      </c>
      <c r="B1685">
        <v>4</v>
      </c>
      <c r="C1685">
        <v>3818750</v>
      </c>
      <c r="D1685">
        <v>3771921442.262701</v>
      </c>
      <c r="E1685">
        <v>4.2928395580332772E-5</v>
      </c>
      <c r="F1685">
        <v>1.324302470451648E-5</v>
      </c>
      <c r="G1685">
        <v>2.9685370875816289E-5</v>
      </c>
      <c r="H1685" t="b">
        <v>0</v>
      </c>
    </row>
    <row r="1686" spans="1:8" x14ac:dyDescent="0.15">
      <c r="A1686">
        <v>165</v>
      </c>
      <c r="B1686">
        <v>5</v>
      </c>
      <c r="C1686">
        <v>3446875</v>
      </c>
      <c r="D1686">
        <v>886465839.03718162</v>
      </c>
      <c r="E1686">
        <v>2.3206175226918188E-5</v>
      </c>
      <c r="F1686">
        <v>1.324302470451648E-5</v>
      </c>
      <c r="G1686">
        <v>9.9631505224017101E-6</v>
      </c>
      <c r="H1686" t="b">
        <v>0</v>
      </c>
    </row>
    <row r="1687" spans="1:8" x14ac:dyDescent="0.15">
      <c r="A1687">
        <v>165</v>
      </c>
      <c r="B1687">
        <v>6</v>
      </c>
      <c r="C1687">
        <v>3260937.5</v>
      </c>
      <c r="D1687">
        <v>154631683.11995581</v>
      </c>
      <c r="E1687">
        <v>1.6232368588078661E-5</v>
      </c>
      <c r="F1687">
        <v>1.324302470451648E-5</v>
      </c>
      <c r="G1687">
        <v>2.9893438835621829E-6</v>
      </c>
      <c r="H1687" t="b">
        <v>0</v>
      </c>
    </row>
    <row r="1688" spans="1:8" x14ac:dyDescent="0.15">
      <c r="A1688">
        <v>165</v>
      </c>
      <c r="B1688">
        <v>7</v>
      </c>
      <c r="C1688">
        <v>3167968.75</v>
      </c>
      <c r="D1688">
        <v>49833932.629862867</v>
      </c>
      <c r="E1688">
        <v>1.446446965163676E-5</v>
      </c>
      <c r="F1688">
        <v>1.324302470451648E-5</v>
      </c>
      <c r="G1688">
        <v>1.221444947120275E-6</v>
      </c>
      <c r="H1688" t="b">
        <v>0</v>
      </c>
    </row>
    <row r="1689" spans="1:8" x14ac:dyDescent="0.15">
      <c r="A1689">
        <v>165</v>
      </c>
      <c r="B1689">
        <v>8</v>
      </c>
      <c r="C1689">
        <v>3121484.375</v>
      </c>
      <c r="D1689">
        <v>20340298.615749989</v>
      </c>
      <c r="E1689">
        <v>1.379886530456412E-5</v>
      </c>
      <c r="F1689">
        <v>1.324302470451648E-5</v>
      </c>
      <c r="G1689">
        <v>5.5584060004764024E-7</v>
      </c>
      <c r="H1689" t="b">
        <v>0</v>
      </c>
    </row>
    <row r="1690" spans="1:8" x14ac:dyDescent="0.15">
      <c r="A1690">
        <v>165</v>
      </c>
      <c r="B1690">
        <v>9</v>
      </c>
      <c r="C1690">
        <v>3098242.1875</v>
      </c>
      <c r="D1690">
        <v>7886020.2288672728</v>
      </c>
      <c r="E1690">
        <v>1.347153630492213E-5</v>
      </c>
      <c r="F1690">
        <v>1.324302470451648E-5</v>
      </c>
      <c r="G1690">
        <v>2.2851160040564509E-7</v>
      </c>
      <c r="H1690" t="b">
        <v>0</v>
      </c>
    </row>
    <row r="1691" spans="1:8" x14ac:dyDescent="0.15">
      <c r="A1691">
        <v>165</v>
      </c>
      <c r="B1691">
        <v>10</v>
      </c>
      <c r="C1691">
        <v>3086621.09375</v>
      </c>
      <c r="D1691">
        <v>2218392.3461972089</v>
      </c>
      <c r="E1691">
        <v>1.330929582482894E-5</v>
      </c>
      <c r="F1691">
        <v>1.324302470451648E-5</v>
      </c>
      <c r="G1691">
        <v>6.6271120312461941E-8</v>
      </c>
      <c r="H1691" t="b">
        <v>0</v>
      </c>
    </row>
    <row r="1692" spans="1:8" x14ac:dyDescent="0.15">
      <c r="A1692">
        <v>165</v>
      </c>
      <c r="B1692">
        <v>11</v>
      </c>
      <c r="C1692">
        <v>3092431.640625</v>
      </c>
      <c r="D1692">
        <v>5006056.5294404356</v>
      </c>
      <c r="E1692">
        <v>1.33902966470225E-5</v>
      </c>
      <c r="F1692">
        <v>1.324302470451648E-5</v>
      </c>
      <c r="G1692">
        <v>1.4727194250602039E-7</v>
      </c>
      <c r="H1692" t="b">
        <v>0</v>
      </c>
    </row>
    <row r="1693" spans="1:8" x14ac:dyDescent="0.15">
      <c r="A1693">
        <v>165</v>
      </c>
      <c r="B1693">
        <v>12</v>
      </c>
      <c r="C1693">
        <v>3089526.3671875</v>
      </c>
      <c r="D1693">
        <v>3600736.9155277461</v>
      </c>
      <c r="E1693">
        <v>1.334976671193794E-5</v>
      </c>
      <c r="F1693">
        <v>1.324302470451648E-5</v>
      </c>
      <c r="G1693">
        <v>1.0674200742145539E-7</v>
      </c>
      <c r="H1693" t="b">
        <v>0</v>
      </c>
    </row>
    <row r="1694" spans="1:8" x14ac:dyDescent="0.15">
      <c r="A1694">
        <v>165</v>
      </c>
      <c r="B1694">
        <v>13</v>
      </c>
      <c r="C1694">
        <v>3088073.73046875</v>
      </c>
      <c r="D1694">
        <v>2906674.8175757541</v>
      </c>
      <c r="E1694">
        <v>1.332952322249146E-5</v>
      </c>
      <c r="F1694">
        <v>1.324302470451648E-5</v>
      </c>
      <c r="G1694">
        <v>8.6498517974978499E-8</v>
      </c>
      <c r="H1694" t="b">
        <v>0</v>
      </c>
    </row>
    <row r="1695" spans="1:8" x14ac:dyDescent="0.15">
      <c r="A1695">
        <v>165</v>
      </c>
      <c r="B1695">
        <v>14</v>
      </c>
      <c r="C1695">
        <v>3088573.73046875</v>
      </c>
      <c r="D1695">
        <v>3144916.9371481501</v>
      </c>
      <c r="E1695">
        <v>1.333648918002039E-5</v>
      </c>
      <c r="F1695">
        <v>1.324302470451648E-5</v>
      </c>
      <c r="G1695">
        <v>9.3464475503910089E-8</v>
      </c>
      <c r="H1695" t="b">
        <v>0</v>
      </c>
    </row>
    <row r="1696" spans="1:8" x14ac:dyDescent="0.15">
      <c r="A1696">
        <v>165</v>
      </c>
      <c r="B1696">
        <v>15</v>
      </c>
      <c r="C1696">
        <v>3088323.73046875</v>
      </c>
      <c r="D1696">
        <v>3025710.854244621</v>
      </c>
      <c r="E1696">
        <v>1.333300598034167E-5</v>
      </c>
      <c r="F1696">
        <v>1.324302470451648E-5</v>
      </c>
      <c r="G1696">
        <v>8.9981275825185355E-8</v>
      </c>
      <c r="H1696" t="b">
        <v>0</v>
      </c>
    </row>
    <row r="1697" spans="1:8" x14ac:dyDescent="0.15">
      <c r="A1697">
        <v>165</v>
      </c>
      <c r="B1697">
        <v>16</v>
      </c>
      <c r="C1697">
        <v>3088448.73046875</v>
      </c>
      <c r="D1697">
        <v>3085292.6369313099</v>
      </c>
      <c r="E1697">
        <v>1.333474752495543E-5</v>
      </c>
      <c r="F1697">
        <v>1.324302470451648E-5</v>
      </c>
      <c r="G1697">
        <v>9.1722820438951627E-8</v>
      </c>
      <c r="H1697" t="b">
        <v>0</v>
      </c>
    </row>
    <row r="1698" spans="1:8" x14ac:dyDescent="0.15">
      <c r="A1698">
        <v>166</v>
      </c>
      <c r="B1698">
        <v>1</v>
      </c>
      <c r="C1698">
        <v>6050000</v>
      </c>
      <c r="D1698">
        <v>36076462815.682899</v>
      </c>
      <c r="E1698">
        <v>1.6200482125961071E-4</v>
      </c>
      <c r="F1698">
        <v>1.2691425606134029E-5</v>
      </c>
      <c r="G1698">
        <v>1.4931339565347671E-4</v>
      </c>
      <c r="H1698" t="b">
        <v>0</v>
      </c>
    </row>
    <row r="1699" spans="1:8" x14ac:dyDescent="0.15">
      <c r="A1699">
        <v>166</v>
      </c>
      <c r="B1699">
        <v>2</v>
      </c>
      <c r="C1699">
        <v>3075000</v>
      </c>
      <c r="D1699">
        <v>-9552224.6507085878</v>
      </c>
      <c r="E1699">
        <v>6.9266808704805044E-6</v>
      </c>
      <c r="F1699">
        <v>1.2691425606134009E-5</v>
      </c>
      <c r="G1699">
        <v>-5.7647447356535082E-6</v>
      </c>
      <c r="H1699" t="b">
        <v>1</v>
      </c>
    </row>
    <row r="1700" spans="1:8" x14ac:dyDescent="0.15">
      <c r="A1700">
        <v>166</v>
      </c>
      <c r="B1700">
        <v>3</v>
      </c>
      <c r="C1700">
        <v>4562500</v>
      </c>
      <c r="D1700">
        <v>3497363435.5249619</v>
      </c>
      <c r="E1700">
        <v>3.940132700135616E-5</v>
      </c>
      <c r="F1700">
        <v>1.2691425606134009E-5</v>
      </c>
      <c r="G1700">
        <v>2.670990139522215E-5</v>
      </c>
      <c r="H1700" t="b">
        <v>0</v>
      </c>
    </row>
    <row r="1701" spans="1:8" x14ac:dyDescent="0.15">
      <c r="A1701">
        <v>166</v>
      </c>
      <c r="B1701">
        <v>4</v>
      </c>
      <c r="C1701">
        <v>3818750</v>
      </c>
      <c r="D1701">
        <v>69485998.845816806</v>
      </c>
      <c r="E1701">
        <v>1.424320459285938E-5</v>
      </c>
      <c r="F1701">
        <v>1.2691425606134009E-5</v>
      </c>
      <c r="G1701">
        <v>1.5517789867253661E-6</v>
      </c>
      <c r="H1701" t="b">
        <v>0</v>
      </c>
    </row>
    <row r="1702" spans="1:8" x14ac:dyDescent="0.15">
      <c r="A1702">
        <v>166</v>
      </c>
      <c r="B1702">
        <v>5</v>
      </c>
      <c r="C1702">
        <v>3446875</v>
      </c>
      <c r="D1702">
        <v>-41789682.407241657</v>
      </c>
      <c r="E1702">
        <v>1.0247744534471849E-5</v>
      </c>
      <c r="F1702">
        <v>1.2691425606134009E-5</v>
      </c>
      <c r="G1702">
        <v>-2.443681071662163E-6</v>
      </c>
      <c r="H1702" t="b">
        <v>1</v>
      </c>
    </row>
    <row r="1703" spans="1:8" x14ac:dyDescent="0.15">
      <c r="A1703">
        <v>166</v>
      </c>
      <c r="B1703">
        <v>6</v>
      </c>
      <c r="C1703">
        <v>3632812.5</v>
      </c>
      <c r="D1703">
        <v>-15962475.813701689</v>
      </c>
      <c r="E1703">
        <v>1.216688984207691E-5</v>
      </c>
      <c r="F1703">
        <v>1.2691425606134009E-5</v>
      </c>
      <c r="G1703">
        <v>-5.2453576405710563E-7</v>
      </c>
      <c r="H1703" t="b">
        <v>1</v>
      </c>
    </row>
    <row r="1704" spans="1:8" x14ac:dyDescent="0.15">
      <c r="A1704">
        <v>166</v>
      </c>
      <c r="B1704">
        <v>7</v>
      </c>
      <c r="C1704">
        <v>3725781.25</v>
      </c>
      <c r="D1704">
        <v>18564423.265803419</v>
      </c>
      <c r="E1704">
        <v>1.318617104969038E-5</v>
      </c>
      <c r="F1704">
        <v>1.2691425606134009E-5</v>
      </c>
      <c r="G1704">
        <v>4.9474544355637051E-7</v>
      </c>
      <c r="H1704" t="b">
        <v>0</v>
      </c>
    </row>
    <row r="1705" spans="1:8" x14ac:dyDescent="0.15">
      <c r="A1705">
        <v>166</v>
      </c>
      <c r="B1705">
        <v>8</v>
      </c>
      <c r="C1705">
        <v>3679296.875</v>
      </c>
      <c r="D1705">
        <v>-666847.02159164939</v>
      </c>
      <c r="E1705">
        <v>1.2671785342902249E-5</v>
      </c>
      <c r="F1705">
        <v>1.2691425606134009E-5</v>
      </c>
      <c r="G1705">
        <v>-1.964026323176498E-8</v>
      </c>
      <c r="H1705" t="b">
        <v>1</v>
      </c>
    </row>
    <row r="1706" spans="1:8" x14ac:dyDescent="0.15">
      <c r="A1706">
        <v>166</v>
      </c>
      <c r="B1706">
        <v>9</v>
      </c>
      <c r="C1706">
        <v>3702539.0625</v>
      </c>
      <c r="D1706">
        <v>8447544.9930121917</v>
      </c>
      <c r="E1706">
        <v>1.2927833977410749E-5</v>
      </c>
      <c r="F1706">
        <v>1.2691425606134009E-5</v>
      </c>
      <c r="G1706">
        <v>2.364083712767366E-7</v>
      </c>
      <c r="H1706" t="b">
        <v>0</v>
      </c>
    </row>
    <row r="1707" spans="1:8" x14ac:dyDescent="0.15">
      <c r="A1707">
        <v>166</v>
      </c>
      <c r="B1707">
        <v>10</v>
      </c>
      <c r="C1707">
        <v>3690917.96875</v>
      </c>
      <c r="D1707">
        <v>3766970.3849697639</v>
      </c>
      <c r="E1707">
        <v>1.2799542309318311E-5</v>
      </c>
      <c r="F1707">
        <v>1.2691425606134009E-5</v>
      </c>
      <c r="G1707">
        <v>1.081167031843017E-7</v>
      </c>
      <c r="H1707" t="b">
        <v>0</v>
      </c>
    </row>
    <row r="1708" spans="1:8" x14ac:dyDescent="0.15">
      <c r="A1708">
        <v>166</v>
      </c>
      <c r="B1708">
        <v>11</v>
      </c>
      <c r="C1708">
        <v>3685107.421875</v>
      </c>
      <c r="D1708">
        <v>1519053.813737005</v>
      </c>
      <c r="E1708">
        <v>1.273558799854781E-5</v>
      </c>
      <c r="F1708">
        <v>1.2691425606134009E-5</v>
      </c>
      <c r="G1708">
        <v>4.4162392413801311E-8</v>
      </c>
      <c r="H1708" t="b">
        <v>0</v>
      </c>
    </row>
    <row r="1709" spans="1:8" x14ac:dyDescent="0.15">
      <c r="A1709">
        <v>166</v>
      </c>
      <c r="B1709">
        <v>12</v>
      </c>
      <c r="C1709">
        <v>3688012.6953125</v>
      </c>
      <c r="D1709">
        <v>2635218.1089873589</v>
      </c>
      <c r="E1709">
        <v>1.2767545619594341E-5</v>
      </c>
      <c r="F1709">
        <v>1.2691425606134009E-5</v>
      </c>
      <c r="G1709">
        <v>7.6120013460324784E-8</v>
      </c>
      <c r="H1709" t="b">
        <v>0</v>
      </c>
    </row>
    <row r="1710" spans="1:8" x14ac:dyDescent="0.15">
      <c r="A1710">
        <v>166</v>
      </c>
      <c r="B1710">
        <v>13</v>
      </c>
      <c r="C1710">
        <v>3689465.33203125</v>
      </c>
      <c r="D1710">
        <v>3199138.2981764362</v>
      </c>
      <c r="E1710">
        <v>1.2783538949383631E-5</v>
      </c>
      <c r="F1710">
        <v>1.2691425606134009E-5</v>
      </c>
      <c r="G1710">
        <v>9.2113343249618226E-8</v>
      </c>
      <c r="H1710" t="b">
        <v>0</v>
      </c>
    </row>
    <row r="1711" spans="1:8" x14ac:dyDescent="0.15">
      <c r="A1711">
        <v>166</v>
      </c>
      <c r="B1711">
        <v>14</v>
      </c>
      <c r="C1711">
        <v>3690665.33203125</v>
      </c>
      <c r="D1711">
        <v>3667919.7037318558</v>
      </c>
      <c r="E1711">
        <v>1.279675794529488E-5</v>
      </c>
      <c r="F1711">
        <v>1.2691425606134009E-5</v>
      </c>
      <c r="G1711">
        <v>1.0533233916086361E-7</v>
      </c>
      <c r="H1711" t="b">
        <v>0</v>
      </c>
    </row>
    <row r="1712" spans="1:8" x14ac:dyDescent="0.15">
      <c r="A1712">
        <v>167</v>
      </c>
      <c r="B1712">
        <v>1</v>
      </c>
      <c r="C1712">
        <v>6050000</v>
      </c>
      <c r="D1712">
        <v>38654994531.129311</v>
      </c>
      <c r="E1712">
        <v>1.6987269230062929E-4</v>
      </c>
      <c r="F1712">
        <v>1.2691425606134029E-5</v>
      </c>
      <c r="G1712">
        <v>1.5718126669449529E-4</v>
      </c>
      <c r="H1712" t="b">
        <v>0</v>
      </c>
    </row>
    <row r="1713" spans="1:8" x14ac:dyDescent="0.15">
      <c r="A1713">
        <v>167</v>
      </c>
      <c r="B1713">
        <v>2</v>
      </c>
      <c r="C1713">
        <v>3075000</v>
      </c>
      <c r="D1713">
        <v>-11351056.75211855</v>
      </c>
      <c r="E1713">
        <v>7.166996200631131E-6</v>
      </c>
      <c r="F1713">
        <v>1.2691425606134009E-5</v>
      </c>
      <c r="G1713">
        <v>-5.5244294055028816E-6</v>
      </c>
      <c r="H1713" t="b">
        <v>1</v>
      </c>
    </row>
    <row r="1714" spans="1:8" x14ac:dyDescent="0.15">
      <c r="A1714">
        <v>167</v>
      </c>
      <c r="B1714">
        <v>3</v>
      </c>
      <c r="C1714">
        <v>4562500</v>
      </c>
      <c r="D1714">
        <v>3912688736.8257928</v>
      </c>
      <c r="E1714">
        <v>4.1710747952724067E-5</v>
      </c>
      <c r="F1714">
        <v>1.2691425606134009E-5</v>
      </c>
      <c r="G1714">
        <v>2.9019322346590061E-5</v>
      </c>
      <c r="H1714" t="b">
        <v>0</v>
      </c>
    </row>
    <row r="1715" spans="1:8" x14ac:dyDescent="0.15">
      <c r="A1715">
        <v>167</v>
      </c>
      <c r="B1715">
        <v>4</v>
      </c>
      <c r="C1715">
        <v>3818750</v>
      </c>
      <c r="D1715">
        <v>95304993.022294164</v>
      </c>
      <c r="E1715">
        <v>1.468611874860168E-5</v>
      </c>
      <c r="F1715">
        <v>1.2691425606134009E-5</v>
      </c>
      <c r="G1715">
        <v>1.994693142467666E-6</v>
      </c>
      <c r="H1715" t="b">
        <v>0</v>
      </c>
    </row>
    <row r="1716" spans="1:8" x14ac:dyDescent="0.15">
      <c r="A1716">
        <v>167</v>
      </c>
      <c r="B1716">
        <v>5</v>
      </c>
      <c r="C1716">
        <v>3446875</v>
      </c>
      <c r="D1716">
        <v>-40884376.907895237</v>
      </c>
      <c r="E1716">
        <v>1.058566926379516E-5</v>
      </c>
      <c r="F1716">
        <v>1.2691425606134009E-5</v>
      </c>
      <c r="G1716">
        <v>-2.1057563423388509E-6</v>
      </c>
      <c r="H1716" t="b">
        <v>1</v>
      </c>
    </row>
    <row r="1717" spans="1:8" x14ac:dyDescent="0.15">
      <c r="A1717">
        <v>167</v>
      </c>
      <c r="B1717">
        <v>6</v>
      </c>
      <c r="C1717">
        <v>3632812.5</v>
      </c>
      <c r="D1717">
        <v>-4468522.0098623605</v>
      </c>
      <c r="E1717">
        <v>1.25566332098293E-5</v>
      </c>
      <c r="F1717">
        <v>1.2691425606134009E-5</v>
      </c>
      <c r="G1717">
        <v>-1.3479239630471239E-7</v>
      </c>
      <c r="H1717" t="b">
        <v>1</v>
      </c>
    </row>
    <row r="1718" spans="1:8" x14ac:dyDescent="0.15">
      <c r="A1718">
        <v>167</v>
      </c>
      <c r="B1718">
        <v>7</v>
      </c>
      <c r="C1718">
        <v>3725781.25</v>
      </c>
      <c r="D1718">
        <v>36792711.796648927</v>
      </c>
      <c r="E1718">
        <v>1.3602278657477911E-5</v>
      </c>
      <c r="F1718">
        <v>1.2691425606134009E-5</v>
      </c>
      <c r="G1718">
        <v>9.1085305134389292E-7</v>
      </c>
      <c r="H1718" t="b">
        <v>0</v>
      </c>
    </row>
    <row r="1719" spans="1:8" x14ac:dyDescent="0.15">
      <c r="A1719">
        <v>167</v>
      </c>
      <c r="B1719">
        <v>8</v>
      </c>
      <c r="C1719">
        <v>3679296.875</v>
      </c>
      <c r="D1719">
        <v>14086800.9162418</v>
      </c>
      <c r="E1719">
        <v>1.30747238379997E-5</v>
      </c>
      <c r="F1719">
        <v>1.2691425606134009E-5</v>
      </c>
      <c r="G1719">
        <v>3.832982318656891E-7</v>
      </c>
      <c r="H1719" t="b">
        <v>0</v>
      </c>
    </row>
    <row r="1720" spans="1:8" x14ac:dyDescent="0.15">
      <c r="A1720">
        <v>167</v>
      </c>
      <c r="B1720">
        <v>9</v>
      </c>
      <c r="C1720">
        <v>3656054.6875</v>
      </c>
      <c r="D1720">
        <v>4299231.5094383508</v>
      </c>
      <c r="E1720">
        <v>1.2814452913202441E-5</v>
      </c>
      <c r="F1720">
        <v>1.2691425606134009E-5</v>
      </c>
      <c r="G1720">
        <v>1.2302730706842799E-7</v>
      </c>
      <c r="H1720" t="b">
        <v>0</v>
      </c>
    </row>
    <row r="1721" spans="1:8" x14ac:dyDescent="0.15">
      <c r="A1721">
        <v>167</v>
      </c>
      <c r="B1721">
        <v>10</v>
      </c>
      <c r="C1721">
        <v>3644433.59375</v>
      </c>
      <c r="D1721">
        <v>-210892.02807815431</v>
      </c>
      <c r="E1721">
        <v>1.2685231396539091E-5</v>
      </c>
      <c r="F1721">
        <v>1.2691425606134009E-5</v>
      </c>
      <c r="G1721">
        <v>-6.1942095949183546E-9</v>
      </c>
      <c r="H1721" t="b">
        <v>1</v>
      </c>
    </row>
    <row r="1722" spans="1:8" x14ac:dyDescent="0.15">
      <c r="A1722">
        <v>167</v>
      </c>
      <c r="B1722">
        <v>11</v>
      </c>
      <c r="C1722">
        <v>3650244.140625</v>
      </c>
      <c r="D1722">
        <v>2012418.6745946121</v>
      </c>
      <c r="E1722">
        <v>1.274976402497958E-5</v>
      </c>
      <c r="F1722">
        <v>1.2691425606134009E-5</v>
      </c>
      <c r="G1722">
        <v>5.8338418845571137E-8</v>
      </c>
      <c r="H1722" t="b">
        <v>0</v>
      </c>
    </row>
    <row r="1723" spans="1:8" x14ac:dyDescent="0.15">
      <c r="A1723">
        <v>167</v>
      </c>
      <c r="B1723">
        <v>12</v>
      </c>
      <c r="C1723">
        <v>3653149.4140625</v>
      </c>
      <c r="D1723">
        <v>3147886.8270551302</v>
      </c>
      <c r="E1723">
        <v>1.278208956215877E-5</v>
      </c>
      <c r="F1723">
        <v>1.2691425606134009E-5</v>
      </c>
      <c r="G1723">
        <v>9.0663956024762105E-8</v>
      </c>
      <c r="H1723" t="b">
        <v>0</v>
      </c>
    </row>
    <row r="1724" spans="1:8" x14ac:dyDescent="0.15">
      <c r="A1724">
        <v>167</v>
      </c>
      <c r="B1724">
        <v>13</v>
      </c>
      <c r="C1724">
        <v>3654602.05078125</v>
      </c>
      <c r="D1724">
        <v>3721557.6950696609</v>
      </c>
      <c r="E1724">
        <v>1.2798266111849519E-5</v>
      </c>
      <c r="F1724">
        <v>1.2691425606134009E-5</v>
      </c>
      <c r="G1724">
        <v>1.068405057155034E-7</v>
      </c>
      <c r="H1724" t="b">
        <v>0</v>
      </c>
    </row>
    <row r="1725" spans="1:8" x14ac:dyDescent="0.15">
      <c r="A1725">
        <v>167</v>
      </c>
      <c r="B1725">
        <v>14</v>
      </c>
      <c r="C1725">
        <v>3654102.05078125</v>
      </c>
      <c r="D1725">
        <v>3523662.3674037838</v>
      </c>
      <c r="E1725">
        <v>1.279269737149109E-5</v>
      </c>
      <c r="F1725">
        <v>1.2691425606134009E-5</v>
      </c>
      <c r="G1725">
        <v>1.0127176535707961E-7</v>
      </c>
      <c r="H1725" t="b">
        <v>0</v>
      </c>
    </row>
    <row r="1726" spans="1:8" x14ac:dyDescent="0.15">
      <c r="A1726">
        <v>167</v>
      </c>
      <c r="B1726">
        <v>15</v>
      </c>
      <c r="C1726">
        <v>3654352.05078125</v>
      </c>
      <c r="D1726">
        <v>3622560.5939705251</v>
      </c>
      <c r="E1726">
        <v>1.279548186620126E-5</v>
      </c>
      <c r="F1726">
        <v>1.2691425606134009E-5</v>
      </c>
      <c r="G1726">
        <v>1.0405626006724401E-7</v>
      </c>
      <c r="H1726" t="b">
        <v>0</v>
      </c>
    </row>
    <row r="1727" spans="1:8" x14ac:dyDescent="0.15">
      <c r="A1727">
        <v>168</v>
      </c>
      <c r="B1727">
        <v>1</v>
      </c>
      <c r="C1727">
        <v>6050000</v>
      </c>
      <c r="D1727">
        <v>646841186.61816645</v>
      </c>
      <c r="E1727">
        <v>1.7927235550638812E-5</v>
      </c>
      <c r="F1727">
        <v>1.1131149322071771E-5</v>
      </c>
      <c r="G1727">
        <v>6.7960862285670374E-6</v>
      </c>
      <c r="H1727" t="b">
        <v>0</v>
      </c>
    </row>
    <row r="1728" spans="1:8" x14ac:dyDescent="0.15">
      <c r="A1728">
        <v>168</v>
      </c>
      <c r="B1728">
        <v>2</v>
      </c>
      <c r="C1728">
        <v>3075000</v>
      </c>
      <c r="D1728">
        <v>-357261.7176848019</v>
      </c>
      <c r="E1728">
        <v>1.48189170846354E-6</v>
      </c>
      <c r="F1728">
        <v>1.1131149322071771E-5</v>
      </c>
      <c r="G1728">
        <v>-9.6492576136082344E-6</v>
      </c>
      <c r="H1728" t="b">
        <v>1</v>
      </c>
    </row>
    <row r="1729" spans="1:8" x14ac:dyDescent="0.15">
      <c r="A1729">
        <v>168</v>
      </c>
      <c r="B1729">
        <v>3</v>
      </c>
      <c r="C1729">
        <v>4562500</v>
      </c>
      <c r="D1729">
        <v>-12463632.764975449</v>
      </c>
      <c r="E1729">
        <v>6.4822627028038768E-6</v>
      </c>
      <c r="F1729">
        <v>1.1131149322071771E-5</v>
      </c>
      <c r="G1729">
        <v>-4.6488866192678974E-6</v>
      </c>
      <c r="H1729" t="b">
        <v>1</v>
      </c>
    </row>
    <row r="1730" spans="1:8" x14ac:dyDescent="0.15">
      <c r="A1730">
        <v>168</v>
      </c>
      <c r="B1730">
        <v>4</v>
      </c>
      <c r="C1730">
        <v>5306250</v>
      </c>
      <c r="D1730">
        <v>-15053272.58060847</v>
      </c>
      <c r="E1730">
        <v>1.067990497241327E-5</v>
      </c>
      <c r="F1730">
        <v>1.1131149322071771E-5</v>
      </c>
      <c r="G1730">
        <v>-4.5124434965850777E-7</v>
      </c>
      <c r="H1730" t="b">
        <v>1</v>
      </c>
    </row>
    <row r="1731" spans="1:8" x14ac:dyDescent="0.15">
      <c r="A1731">
        <v>168</v>
      </c>
      <c r="B1731">
        <v>5</v>
      </c>
      <c r="C1731">
        <v>5678125</v>
      </c>
      <c r="D1731">
        <v>112517490.446835</v>
      </c>
      <c r="E1731">
        <v>1.315869406128518E-5</v>
      </c>
      <c r="F1731">
        <v>1.1131149322071771E-5</v>
      </c>
      <c r="G1731">
        <v>2.0275447392134089E-6</v>
      </c>
      <c r="H1731" t="b">
        <v>0</v>
      </c>
    </row>
    <row r="1732" spans="1:8" x14ac:dyDescent="0.15">
      <c r="A1732">
        <v>168</v>
      </c>
      <c r="B1732">
        <v>6</v>
      </c>
      <c r="C1732">
        <v>5492187.5</v>
      </c>
      <c r="D1732">
        <v>33610922.168042049</v>
      </c>
      <c r="E1732">
        <v>1.189062730538655E-5</v>
      </c>
      <c r="F1732">
        <v>1.1131149322071771E-5</v>
      </c>
      <c r="G1732">
        <v>7.5947798331478069E-7</v>
      </c>
      <c r="H1732" t="b">
        <v>0</v>
      </c>
    </row>
    <row r="1733" spans="1:8" x14ac:dyDescent="0.15">
      <c r="A1733">
        <v>168</v>
      </c>
      <c r="B1733">
        <v>7</v>
      </c>
      <c r="C1733">
        <v>5399218.75</v>
      </c>
      <c r="D1733">
        <v>5685689.271842706</v>
      </c>
      <c r="E1733">
        <v>1.12778684257453E-5</v>
      </c>
      <c r="F1733">
        <v>1.1131149322071771E-5</v>
      </c>
      <c r="G1733">
        <v>1.4671910367352601E-7</v>
      </c>
      <c r="H1733" t="b">
        <v>0</v>
      </c>
    </row>
    <row r="1734" spans="1:8" x14ac:dyDescent="0.15">
      <c r="A1734">
        <v>168</v>
      </c>
      <c r="B1734">
        <v>8</v>
      </c>
      <c r="C1734">
        <v>5352734.375</v>
      </c>
      <c r="D1734">
        <v>-5554114.36666587</v>
      </c>
      <c r="E1734">
        <v>1.0977041731717671E-5</v>
      </c>
      <c r="F1734">
        <v>1.1131149322071771E-5</v>
      </c>
      <c r="G1734">
        <v>-1.5410759035410349E-7</v>
      </c>
      <c r="H1734" t="b">
        <v>1</v>
      </c>
    </row>
    <row r="1735" spans="1:8" x14ac:dyDescent="0.15">
      <c r="A1735">
        <v>168</v>
      </c>
      <c r="B1735">
        <v>9</v>
      </c>
      <c r="C1735">
        <v>5375976.5625</v>
      </c>
      <c r="D1735">
        <v>-155217.48462462329</v>
      </c>
      <c r="E1735">
        <v>1.112699831995553E-5</v>
      </c>
      <c r="F1735">
        <v>1.1131149322071771E-5</v>
      </c>
      <c r="G1735">
        <v>-4.1510021162457719E-9</v>
      </c>
      <c r="H1735" t="b">
        <v>1</v>
      </c>
    </row>
    <row r="1736" spans="1:8" x14ac:dyDescent="0.15">
      <c r="A1736">
        <v>168</v>
      </c>
      <c r="B1736">
        <v>10</v>
      </c>
      <c r="C1736">
        <v>5387597.65625</v>
      </c>
      <c r="D1736">
        <v>2709423.0099471812</v>
      </c>
      <c r="E1736">
        <v>1.12023158505867E-5</v>
      </c>
      <c r="F1736">
        <v>1.1131149322071771E-5</v>
      </c>
      <c r="G1736">
        <v>7.1166528514930784E-8</v>
      </c>
      <c r="H1736" t="b">
        <v>0</v>
      </c>
    </row>
    <row r="1737" spans="1:8" x14ac:dyDescent="0.15">
      <c r="A1737">
        <v>168</v>
      </c>
      <c r="B1737">
        <v>11</v>
      </c>
      <c r="C1737">
        <v>5393408.203125</v>
      </c>
      <c r="D1737">
        <v>4183543.620424442</v>
      </c>
      <c r="E1737">
        <v>1.124006265072325E-5</v>
      </c>
      <c r="F1737">
        <v>1.1131149322071771E-5</v>
      </c>
      <c r="G1737">
        <v>1.0891332865147761E-7</v>
      </c>
      <c r="H1737" t="b">
        <v>0</v>
      </c>
    </row>
    <row r="1738" spans="1:8" x14ac:dyDescent="0.15">
      <c r="A1738">
        <v>168</v>
      </c>
      <c r="B1738">
        <v>12</v>
      </c>
      <c r="C1738">
        <v>5396313.4765625</v>
      </c>
      <c r="D1738">
        <v>4931100.2828807402</v>
      </c>
      <c r="E1738">
        <v>1.1258958011309791E-5</v>
      </c>
      <c r="F1738">
        <v>1.1131149322071771E-5</v>
      </c>
      <c r="G1738">
        <v>1.2780868923801831E-7</v>
      </c>
      <c r="H1738" t="b">
        <v>0</v>
      </c>
    </row>
    <row r="1739" spans="1:8" x14ac:dyDescent="0.15">
      <c r="A1739">
        <v>168</v>
      </c>
      <c r="B1739">
        <v>13</v>
      </c>
      <c r="C1739">
        <v>5397766.11328125</v>
      </c>
      <c r="D1739">
        <v>5307508.4375575641</v>
      </c>
      <c r="E1739">
        <v>1.126841117583867E-5</v>
      </c>
      <c r="F1739">
        <v>1.1131149322071771E-5</v>
      </c>
      <c r="G1739">
        <v>1.3726185376689601E-7</v>
      </c>
      <c r="H1739" t="b">
        <v>0</v>
      </c>
    </row>
    <row r="1740" spans="1:8" x14ac:dyDescent="0.15">
      <c r="A1740">
        <v>168</v>
      </c>
      <c r="B1740">
        <v>14</v>
      </c>
      <c r="C1740">
        <v>5398966.11328125</v>
      </c>
      <c r="D1740">
        <v>5619794.4088070244</v>
      </c>
      <c r="E1740">
        <v>1.127622347154186E-5</v>
      </c>
      <c r="F1740">
        <v>1.1131149322071771E-5</v>
      </c>
      <c r="G1740">
        <v>1.450741494700836E-7</v>
      </c>
      <c r="H1740" t="b">
        <v>0</v>
      </c>
    </row>
    <row r="1741" spans="1:8" x14ac:dyDescent="0.15">
      <c r="A1741">
        <v>168</v>
      </c>
      <c r="B1741">
        <v>15</v>
      </c>
      <c r="C1741">
        <v>5398366.11328125</v>
      </c>
      <c r="D1741">
        <v>5463492.9907295071</v>
      </c>
      <c r="E1741">
        <v>1.1272316796371909E-5</v>
      </c>
      <c r="F1741">
        <v>1.1131149322071771E-5</v>
      </c>
      <c r="G1741">
        <v>1.411674743001334E-7</v>
      </c>
      <c r="H1741" t="b">
        <v>0</v>
      </c>
    </row>
    <row r="1742" spans="1:8" x14ac:dyDescent="0.15">
      <c r="A1742">
        <v>168</v>
      </c>
      <c r="B1742">
        <v>16</v>
      </c>
      <c r="C1742">
        <v>5397646.11328125</v>
      </c>
      <c r="D1742">
        <v>5276364.6582675204</v>
      </c>
      <c r="E1742">
        <v>1.126763055748981E-5</v>
      </c>
      <c r="F1742">
        <v>1.1131149322071771E-5</v>
      </c>
      <c r="G1742">
        <v>1.364812354180363E-7</v>
      </c>
      <c r="H1742" t="b">
        <v>0</v>
      </c>
    </row>
    <row r="1743" spans="1:8" x14ac:dyDescent="0.15">
      <c r="A1743">
        <v>168</v>
      </c>
      <c r="B1743">
        <v>17</v>
      </c>
      <c r="C1743">
        <v>5398006.11328125</v>
      </c>
      <c r="D1743">
        <v>5369883.5286894282</v>
      </c>
      <c r="E1743">
        <v>1.126997378032779E-5</v>
      </c>
      <c r="F1743">
        <v>1.1131149322071771E-5</v>
      </c>
      <c r="G1743">
        <v>1.388244582560138E-7</v>
      </c>
      <c r="H1743" t="b">
        <v>0</v>
      </c>
    </row>
    <row r="1744" spans="1:8" x14ac:dyDescent="0.15">
      <c r="A1744">
        <v>169</v>
      </c>
      <c r="B1744">
        <v>1</v>
      </c>
      <c r="C1744">
        <v>6050000</v>
      </c>
      <c r="D1744">
        <v>838952094.20915556</v>
      </c>
      <c r="E1744">
        <v>1.9147567622394002E-5</v>
      </c>
      <c r="F1744">
        <v>1.1131149322071771E-5</v>
      </c>
      <c r="G1744">
        <v>8.0164183003222307E-6</v>
      </c>
      <c r="H1744" t="b">
        <v>0</v>
      </c>
    </row>
    <row r="1745" spans="1:8" x14ac:dyDescent="0.15">
      <c r="A1745">
        <v>169</v>
      </c>
      <c r="B1745">
        <v>2</v>
      </c>
      <c r="C1745">
        <v>3075000</v>
      </c>
      <c r="D1745">
        <v>-373730.03266117378</v>
      </c>
      <c r="E1745">
        <v>1.5730448454354659E-6</v>
      </c>
      <c r="F1745">
        <v>1.1131149322071779E-5</v>
      </c>
      <c r="G1745">
        <v>-9.5581044766363087E-6</v>
      </c>
      <c r="H1745" t="b">
        <v>1</v>
      </c>
    </row>
    <row r="1746" spans="1:8" x14ac:dyDescent="0.15">
      <c r="A1746">
        <v>169</v>
      </c>
      <c r="B1746">
        <v>3</v>
      </c>
      <c r="C1746">
        <v>4562500</v>
      </c>
      <c r="D1746">
        <v>-14880772.931411721</v>
      </c>
      <c r="E1746">
        <v>6.7242057460884516E-6</v>
      </c>
      <c r="F1746">
        <v>1.1131149322071771E-5</v>
      </c>
      <c r="G1746">
        <v>-4.4069435759833217E-6</v>
      </c>
      <c r="H1746" t="b">
        <v>1</v>
      </c>
    </row>
    <row r="1747" spans="1:8" x14ac:dyDescent="0.15">
      <c r="A1747">
        <v>169</v>
      </c>
      <c r="B1747">
        <v>4</v>
      </c>
      <c r="C1747">
        <v>5306250</v>
      </c>
      <c r="D1747">
        <v>-3036385.3038271749</v>
      </c>
      <c r="E1747">
        <v>1.104837771380966E-5</v>
      </c>
      <c r="F1747">
        <v>1.1131149322071771E-5</v>
      </c>
      <c r="G1747">
        <v>-8.2771608262112442E-8</v>
      </c>
      <c r="H1747" t="b">
        <v>1</v>
      </c>
    </row>
    <row r="1748" spans="1:8" x14ac:dyDescent="0.15">
      <c r="A1748">
        <v>169</v>
      </c>
      <c r="B1748">
        <v>5</v>
      </c>
      <c r="C1748">
        <v>5678125</v>
      </c>
      <c r="D1748">
        <v>145971706.48245299</v>
      </c>
      <c r="E1748">
        <v>1.359326576066204E-5</v>
      </c>
      <c r="F1748">
        <v>1.1131149322071771E-5</v>
      </c>
      <c r="G1748">
        <v>2.4621164385902649E-6</v>
      </c>
      <c r="H1748" t="b">
        <v>0</v>
      </c>
    </row>
    <row r="1749" spans="1:8" x14ac:dyDescent="0.15">
      <c r="A1749">
        <v>169</v>
      </c>
      <c r="B1749">
        <v>6</v>
      </c>
      <c r="C1749">
        <v>5492187.5</v>
      </c>
      <c r="D1749">
        <v>55533001.255268008</v>
      </c>
      <c r="E1749">
        <v>1.2292008160890101E-5</v>
      </c>
      <c r="F1749">
        <v>1.1131149322071771E-5</v>
      </c>
      <c r="G1749">
        <v>1.1608588388183299E-6</v>
      </c>
      <c r="H1749" t="b">
        <v>0</v>
      </c>
    </row>
    <row r="1750" spans="1:8" x14ac:dyDescent="0.15">
      <c r="A1750">
        <v>169</v>
      </c>
      <c r="B1750">
        <v>7</v>
      </c>
      <c r="C1750">
        <v>5399218.75</v>
      </c>
      <c r="D1750">
        <v>22443145.80905031</v>
      </c>
      <c r="E1750">
        <v>1.1662808522908951E-5</v>
      </c>
      <c r="F1750">
        <v>1.1131149322071771E-5</v>
      </c>
      <c r="G1750">
        <v>5.3165920083717491E-7</v>
      </c>
      <c r="H1750" t="b">
        <v>0</v>
      </c>
    </row>
    <row r="1751" spans="1:8" x14ac:dyDescent="0.15">
      <c r="A1751">
        <v>169</v>
      </c>
      <c r="B1751">
        <v>8</v>
      </c>
      <c r="C1751">
        <v>5352734.375</v>
      </c>
      <c r="D1751">
        <v>8775802.8652868252</v>
      </c>
      <c r="E1751">
        <v>1.1353688495136711E-5</v>
      </c>
      <c r="F1751">
        <v>1.1131149322071771E-5</v>
      </c>
      <c r="G1751">
        <v>2.2253917306494E-7</v>
      </c>
      <c r="H1751" t="b">
        <v>0</v>
      </c>
    </row>
    <row r="1752" spans="1:8" x14ac:dyDescent="0.15">
      <c r="A1752">
        <v>169</v>
      </c>
      <c r="B1752">
        <v>9</v>
      </c>
      <c r="C1752">
        <v>5329492.1875</v>
      </c>
      <c r="D1752">
        <v>2641170.4175352571</v>
      </c>
      <c r="E1752">
        <v>1.1200552079383621E-5</v>
      </c>
      <c r="F1752">
        <v>1.1131149322071771E-5</v>
      </c>
      <c r="G1752">
        <v>6.9402757311843089E-8</v>
      </c>
      <c r="H1752" t="b">
        <v>0</v>
      </c>
    </row>
    <row r="1753" spans="1:8" x14ac:dyDescent="0.15">
      <c r="A1753">
        <v>169</v>
      </c>
      <c r="B1753">
        <v>10</v>
      </c>
      <c r="C1753">
        <v>5341113.28125</v>
      </c>
      <c r="D1753">
        <v>5650894.7718422096</v>
      </c>
      <c r="E1753">
        <v>1.127699999122614E-5</v>
      </c>
      <c r="F1753">
        <v>1.1131149322071771E-5</v>
      </c>
      <c r="G1753">
        <v>1.4585066915436441E-7</v>
      </c>
      <c r="H1753" t="b">
        <v>0</v>
      </c>
    </row>
    <row r="1754" spans="1:8" x14ac:dyDescent="0.15">
      <c r="A1754">
        <v>169</v>
      </c>
      <c r="B1754">
        <v>11</v>
      </c>
      <c r="C1754">
        <v>5335302.734375</v>
      </c>
      <c r="D1754">
        <v>4131701.686292937</v>
      </c>
      <c r="E1754">
        <v>1.1238746229867849E-5</v>
      </c>
      <c r="F1754">
        <v>1.1131149322071771E-5</v>
      </c>
      <c r="G1754">
        <v>1.07596907796075E-7</v>
      </c>
      <c r="H1754" t="b">
        <v>0</v>
      </c>
    </row>
    <row r="1755" spans="1:8" x14ac:dyDescent="0.15">
      <c r="A1755">
        <v>169</v>
      </c>
      <c r="B1755">
        <v>12</v>
      </c>
      <c r="C1755">
        <v>5338208.0078125</v>
      </c>
      <c r="D1755">
        <v>4887698.0648711491</v>
      </c>
      <c r="E1755">
        <v>1.1257865396923549E-5</v>
      </c>
      <c r="F1755">
        <v>1.1131149322071771E-5</v>
      </c>
      <c r="G1755">
        <v>1.2671607485178021E-7</v>
      </c>
      <c r="H1755" t="b">
        <v>0</v>
      </c>
    </row>
    <row r="1756" spans="1:8" x14ac:dyDescent="0.15">
      <c r="A1756">
        <v>169</v>
      </c>
      <c r="B1756">
        <v>13</v>
      </c>
      <c r="C1756">
        <v>5339660.64453125</v>
      </c>
      <c r="D1756">
        <v>5268397.6487563653</v>
      </c>
      <c r="E1756">
        <v>1.1267430820333979E-5</v>
      </c>
      <c r="F1756">
        <v>1.1131149322071771E-5</v>
      </c>
      <c r="G1756">
        <v>1.3628149826220189E-7</v>
      </c>
      <c r="H1756" t="b">
        <v>0</v>
      </c>
    </row>
    <row r="1757" spans="1:8" x14ac:dyDescent="0.15">
      <c r="A1757">
        <v>169</v>
      </c>
      <c r="B1757">
        <v>14</v>
      </c>
      <c r="C1757">
        <v>5340860.64453125</v>
      </c>
      <c r="D1757">
        <v>5584243.2156843552</v>
      </c>
      <c r="E1757">
        <v>1.1275335490500081E-5</v>
      </c>
      <c r="F1757">
        <v>1.1131149322071771E-5</v>
      </c>
      <c r="G1757">
        <v>1.441861684283048E-7</v>
      </c>
      <c r="H1757" t="b">
        <v>0</v>
      </c>
    </row>
    <row r="1758" spans="1:8" x14ac:dyDescent="0.15">
      <c r="A1758">
        <v>169</v>
      </c>
      <c r="B1758">
        <v>15</v>
      </c>
      <c r="C1758">
        <v>5340260.64453125</v>
      </c>
      <c r="D1758">
        <v>5426184.3002566015</v>
      </c>
      <c r="E1758">
        <v>1.127138326780213E-5</v>
      </c>
      <c r="F1758">
        <v>1.1131149322071771E-5</v>
      </c>
      <c r="G1758">
        <v>1.40233945730359E-7</v>
      </c>
      <c r="H1758" t="b">
        <v>0</v>
      </c>
    </row>
    <row r="1759" spans="1:8" x14ac:dyDescent="0.15">
      <c r="A1759">
        <v>169</v>
      </c>
      <c r="B1759">
        <v>16</v>
      </c>
      <c r="C1759">
        <v>5339540.64453125</v>
      </c>
      <c r="D1759">
        <v>5236897.7891820306</v>
      </c>
      <c r="E1759">
        <v>1.126664092570957E-5</v>
      </c>
      <c r="F1759">
        <v>1.1131149322071771E-5</v>
      </c>
      <c r="G1759">
        <v>1.3549160363779881E-7</v>
      </c>
      <c r="H1759" t="b">
        <v>0</v>
      </c>
    </row>
    <row r="1760" spans="1:8" x14ac:dyDescent="0.15">
      <c r="A1760">
        <v>169</v>
      </c>
      <c r="B1760">
        <v>17</v>
      </c>
      <c r="C1760">
        <v>5339900.64453125</v>
      </c>
      <c r="D1760">
        <v>5331485.8360990304</v>
      </c>
      <c r="E1760">
        <v>1.1269011981684499E-5</v>
      </c>
      <c r="F1760">
        <v>1.1131149322071771E-5</v>
      </c>
      <c r="G1760">
        <v>1.378626596127285E-7</v>
      </c>
      <c r="H1760" t="b">
        <v>0</v>
      </c>
    </row>
    <row r="1761" spans="1:8" x14ac:dyDescent="0.15">
      <c r="A1761">
        <v>170</v>
      </c>
      <c r="B1761">
        <v>1</v>
      </c>
      <c r="C1761">
        <v>6050000</v>
      </c>
      <c r="D1761">
        <v>7308544346.9597406</v>
      </c>
      <c r="E1761">
        <v>5.0508340742002368E-5</v>
      </c>
      <c r="F1761">
        <v>1.1131149322071779E-5</v>
      </c>
      <c r="G1761">
        <v>3.9377191419930592E-5</v>
      </c>
      <c r="H1761" t="b">
        <v>0</v>
      </c>
    </row>
    <row r="1762" spans="1:8" x14ac:dyDescent="0.15">
      <c r="A1762">
        <v>170</v>
      </c>
      <c r="B1762">
        <v>2</v>
      </c>
      <c r="C1762">
        <v>3075000</v>
      </c>
      <c r="D1762">
        <v>-837299.51967038203</v>
      </c>
      <c r="E1762">
        <v>2.9968665412076841E-6</v>
      </c>
      <c r="F1762">
        <v>1.1131149322071771E-5</v>
      </c>
      <c r="G1762">
        <v>-8.1342827808640905E-6</v>
      </c>
      <c r="H1762" t="b">
        <v>1</v>
      </c>
    </row>
    <row r="1763" spans="1:8" x14ac:dyDescent="0.15">
      <c r="A1763">
        <v>170</v>
      </c>
      <c r="B1763">
        <v>3</v>
      </c>
      <c r="C1763">
        <v>4562500</v>
      </c>
      <c r="D1763">
        <v>24567421.279125098</v>
      </c>
      <c r="E1763">
        <v>1.170763780243494E-5</v>
      </c>
      <c r="F1763">
        <v>1.1131149322071771E-5</v>
      </c>
      <c r="G1763">
        <v>5.7648848036316965E-7</v>
      </c>
      <c r="H1763" t="b">
        <v>0</v>
      </c>
    </row>
    <row r="1764" spans="1:8" x14ac:dyDescent="0.15">
      <c r="A1764">
        <v>170</v>
      </c>
      <c r="B1764">
        <v>4</v>
      </c>
      <c r="C1764">
        <v>3818750</v>
      </c>
      <c r="D1764">
        <v>-12451814.308620989</v>
      </c>
      <c r="E1764">
        <v>6.4809982566382553E-6</v>
      </c>
      <c r="F1764">
        <v>1.1131149322071771E-5</v>
      </c>
      <c r="G1764">
        <v>-4.6501510654335189E-6</v>
      </c>
      <c r="H1764" t="b">
        <v>1</v>
      </c>
    </row>
    <row r="1765" spans="1:8" x14ac:dyDescent="0.15">
      <c r="A1765">
        <v>170</v>
      </c>
      <c r="B1765">
        <v>5</v>
      </c>
      <c r="C1765">
        <v>4190625</v>
      </c>
      <c r="D1765">
        <v>-39109130.675571673</v>
      </c>
      <c r="E1765">
        <v>8.8944048365008092E-6</v>
      </c>
      <c r="F1765">
        <v>1.1131149322071771E-5</v>
      </c>
      <c r="G1765">
        <v>-2.236744485570965E-6</v>
      </c>
      <c r="H1765" t="b">
        <v>1</v>
      </c>
    </row>
    <row r="1766" spans="1:8" x14ac:dyDescent="0.15">
      <c r="A1766">
        <v>170</v>
      </c>
      <c r="B1766">
        <v>6</v>
      </c>
      <c r="C1766">
        <v>4376562.5</v>
      </c>
      <c r="D1766">
        <v>-25895080.011231929</v>
      </c>
      <c r="E1766">
        <v>1.025391567909836E-5</v>
      </c>
      <c r="F1766">
        <v>1.1131149322071771E-5</v>
      </c>
      <c r="G1766">
        <v>-8.772336429734108E-7</v>
      </c>
      <c r="H1766" t="b">
        <v>1</v>
      </c>
    </row>
    <row r="1767" spans="1:8" x14ac:dyDescent="0.15">
      <c r="A1767">
        <v>170</v>
      </c>
      <c r="B1767">
        <v>7</v>
      </c>
      <c r="C1767">
        <v>4469531.25</v>
      </c>
      <c r="D1767">
        <v>-5821086.4923212035</v>
      </c>
      <c r="E1767">
        <v>1.096932147213511E-5</v>
      </c>
      <c r="F1767">
        <v>1.1131149322071771E-5</v>
      </c>
      <c r="G1767">
        <v>-1.6182784993666221E-7</v>
      </c>
      <c r="H1767" t="b">
        <v>1</v>
      </c>
    </row>
    <row r="1768" spans="1:8" x14ac:dyDescent="0.15">
      <c r="A1768">
        <v>170</v>
      </c>
      <c r="B1768">
        <v>8</v>
      </c>
      <c r="C1768">
        <v>4516015.625</v>
      </c>
      <c r="D1768">
        <v>8031700.4297133395</v>
      </c>
      <c r="E1768">
        <v>1.1335660932268121E-5</v>
      </c>
      <c r="F1768">
        <v>1.1131149322071771E-5</v>
      </c>
      <c r="G1768">
        <v>2.0451161019634969E-7</v>
      </c>
      <c r="H1768" t="b">
        <v>0</v>
      </c>
    </row>
    <row r="1769" spans="1:8" x14ac:dyDescent="0.15">
      <c r="A1769">
        <v>170</v>
      </c>
      <c r="B1769">
        <v>9</v>
      </c>
      <c r="C1769">
        <v>4492773.4375</v>
      </c>
      <c r="D1769">
        <v>775889.19273773069</v>
      </c>
      <c r="E1769">
        <v>1.115177583007389E-5</v>
      </c>
      <c r="F1769">
        <v>1.1131149322071771E-5</v>
      </c>
      <c r="G1769">
        <v>2.062650800211195E-8</v>
      </c>
      <c r="H1769" t="b">
        <v>0</v>
      </c>
    </row>
    <row r="1770" spans="1:8" x14ac:dyDescent="0.15">
      <c r="A1770">
        <v>170</v>
      </c>
      <c r="B1770">
        <v>10</v>
      </c>
      <c r="C1770">
        <v>4504394.53125</v>
      </c>
      <c r="D1770">
        <v>4320658.2516039917</v>
      </c>
      <c r="E1770">
        <v>1.1243540585977109E-5</v>
      </c>
      <c r="F1770">
        <v>1.1131149322071771E-5</v>
      </c>
      <c r="G1770">
        <v>1.123912639053386E-7</v>
      </c>
      <c r="H1770" t="b">
        <v>0</v>
      </c>
    </row>
    <row r="1771" spans="1:8" x14ac:dyDescent="0.15">
      <c r="A1771">
        <v>170</v>
      </c>
      <c r="B1771">
        <v>11</v>
      </c>
      <c r="C1771">
        <v>4510205.078125</v>
      </c>
      <c r="D1771">
        <v>6155295.7674127389</v>
      </c>
      <c r="E1771">
        <v>1.12895563448815E-5</v>
      </c>
      <c r="F1771">
        <v>1.1131149322071771E-5</v>
      </c>
      <c r="G1771">
        <v>1.5840702280972231E-7</v>
      </c>
      <c r="H1771" t="b">
        <v>0</v>
      </c>
    </row>
    <row r="1772" spans="1:8" x14ac:dyDescent="0.15">
      <c r="A1772">
        <v>170</v>
      </c>
      <c r="B1772">
        <v>12</v>
      </c>
      <c r="C1772">
        <v>4507299.8046875</v>
      </c>
      <c r="D1772">
        <v>5232750.385867984</v>
      </c>
      <c r="E1772">
        <v>1.1266536903886351E-5</v>
      </c>
      <c r="F1772">
        <v>1.1131149322071771E-5</v>
      </c>
      <c r="G1772">
        <v>1.353875818145714E-7</v>
      </c>
      <c r="H1772" t="b">
        <v>0</v>
      </c>
    </row>
    <row r="1773" spans="1:8" x14ac:dyDescent="0.15">
      <c r="A1773">
        <v>170</v>
      </c>
      <c r="B1773">
        <v>13</v>
      </c>
      <c r="C1773">
        <v>4505847.16796875</v>
      </c>
      <c r="D1773">
        <v>4775412.5399499265</v>
      </c>
      <c r="E1773">
        <v>1.125503618822057E-5</v>
      </c>
      <c r="F1773">
        <v>1.1131149322071771E-5</v>
      </c>
      <c r="G1773">
        <v>1.2388686614879261E-7</v>
      </c>
      <c r="H1773" t="b">
        <v>0</v>
      </c>
    </row>
    <row r="1774" spans="1:8" x14ac:dyDescent="0.15">
      <c r="A1774">
        <v>170</v>
      </c>
      <c r="B1774">
        <v>14</v>
      </c>
      <c r="C1774">
        <v>4504647.16796875</v>
      </c>
      <c r="D1774">
        <v>4399542.9465232044</v>
      </c>
      <c r="E1774">
        <v>1.124553900951447E-5</v>
      </c>
      <c r="F1774">
        <v>1.1131149322071771E-5</v>
      </c>
      <c r="G1774">
        <v>1.143896874427006E-7</v>
      </c>
      <c r="H1774" t="b">
        <v>0</v>
      </c>
    </row>
    <row r="1775" spans="1:8" x14ac:dyDescent="0.15">
      <c r="A1775">
        <v>170</v>
      </c>
      <c r="B1775">
        <v>15</v>
      </c>
      <c r="C1775">
        <v>4505247.16796875</v>
      </c>
      <c r="D1775">
        <v>4587264.749405792</v>
      </c>
      <c r="E1775">
        <v>1.125028734732397E-5</v>
      </c>
      <c r="F1775">
        <v>1.1131149322071771E-5</v>
      </c>
      <c r="G1775">
        <v>1.19138025252191E-7</v>
      </c>
      <c r="H1775" t="b">
        <v>0</v>
      </c>
    </row>
    <row r="1776" spans="1:8" x14ac:dyDescent="0.15">
      <c r="A1776">
        <v>170</v>
      </c>
      <c r="B1776">
        <v>16</v>
      </c>
      <c r="C1776">
        <v>4504947.16796875</v>
      </c>
      <c r="D1776">
        <v>4493339.5882711941</v>
      </c>
      <c r="E1776">
        <v>1.1247912836838169E-5</v>
      </c>
      <c r="F1776">
        <v>1.1131149322071771E-5</v>
      </c>
      <c r="G1776">
        <v>1.16763514766397E-7</v>
      </c>
      <c r="H1776" t="b">
        <v>0</v>
      </c>
    </row>
    <row r="1777" spans="1:8" x14ac:dyDescent="0.15">
      <c r="A1777">
        <v>171</v>
      </c>
      <c r="B1777">
        <v>1</v>
      </c>
      <c r="C1777">
        <v>6050000</v>
      </c>
      <c r="D1777">
        <v>24920931226.345428</v>
      </c>
      <c r="E1777">
        <v>1.0681783940030551E-4</v>
      </c>
      <c r="F1777">
        <v>1.1023984021569311E-5</v>
      </c>
      <c r="G1777">
        <v>9.5793855378736208E-5</v>
      </c>
      <c r="H1777" t="b">
        <v>0</v>
      </c>
    </row>
    <row r="1778" spans="1:8" x14ac:dyDescent="0.15">
      <c r="A1778">
        <v>171</v>
      </c>
      <c r="B1778">
        <v>2</v>
      </c>
      <c r="C1778">
        <v>3075000</v>
      </c>
      <c r="D1778">
        <v>-3737879.928712632</v>
      </c>
      <c r="E1778">
        <v>4.9517957276776162E-6</v>
      </c>
      <c r="F1778">
        <v>1.1023984021569311E-5</v>
      </c>
      <c r="G1778">
        <v>-6.0721882938916926E-6</v>
      </c>
      <c r="H1778" t="b">
        <v>1</v>
      </c>
    </row>
    <row r="1779" spans="1:8" x14ac:dyDescent="0.15">
      <c r="A1779">
        <v>171</v>
      </c>
      <c r="B1779">
        <v>3</v>
      </c>
      <c r="C1779">
        <v>4562500</v>
      </c>
      <c r="D1779">
        <v>1614854380.72824</v>
      </c>
      <c r="E1779">
        <v>2.3777985216103981E-5</v>
      </c>
      <c r="F1779">
        <v>1.1023984021569311E-5</v>
      </c>
      <c r="G1779">
        <v>1.275400119453467E-5</v>
      </c>
      <c r="H1779" t="b">
        <v>0</v>
      </c>
    </row>
    <row r="1780" spans="1:8" x14ac:dyDescent="0.15">
      <c r="A1780">
        <v>171</v>
      </c>
      <c r="B1780">
        <v>4</v>
      </c>
      <c r="C1780">
        <v>3818750</v>
      </c>
      <c r="D1780">
        <v>-17812350.243054029</v>
      </c>
      <c r="E1780">
        <v>1.047880894137968E-5</v>
      </c>
      <c r="F1780">
        <v>1.1023984021569311E-5</v>
      </c>
      <c r="G1780">
        <v>-5.4517508018963173E-7</v>
      </c>
      <c r="H1780" t="b">
        <v>1</v>
      </c>
    </row>
    <row r="1781" spans="1:8" x14ac:dyDescent="0.15">
      <c r="A1781">
        <v>171</v>
      </c>
      <c r="B1781">
        <v>5</v>
      </c>
      <c r="C1781">
        <v>4190625</v>
      </c>
      <c r="D1781">
        <v>196902712.43387881</v>
      </c>
      <c r="E1781">
        <v>1.405457365154328E-5</v>
      </c>
      <c r="F1781">
        <v>1.1023984021569311E-5</v>
      </c>
      <c r="G1781">
        <v>3.0305896299739708E-6</v>
      </c>
      <c r="H1781" t="b">
        <v>0</v>
      </c>
    </row>
    <row r="1782" spans="1:8" x14ac:dyDescent="0.15">
      <c r="A1782">
        <v>171</v>
      </c>
      <c r="B1782">
        <v>6</v>
      </c>
      <c r="C1782">
        <v>4004687.5</v>
      </c>
      <c r="D1782">
        <v>57320558.727854349</v>
      </c>
      <c r="E1782">
        <v>1.2206167322664099E-5</v>
      </c>
      <c r="F1782">
        <v>1.1023984021569311E-5</v>
      </c>
      <c r="G1782">
        <v>1.182183301094787E-6</v>
      </c>
      <c r="H1782" t="b">
        <v>0</v>
      </c>
    </row>
    <row r="1783" spans="1:8" x14ac:dyDescent="0.15">
      <c r="A1783">
        <v>171</v>
      </c>
      <c r="B1783">
        <v>7</v>
      </c>
      <c r="C1783">
        <v>3911718.75</v>
      </c>
      <c r="D1783">
        <v>12249069.75682199</v>
      </c>
      <c r="E1783">
        <v>1.1326705287193029E-5</v>
      </c>
      <c r="F1783">
        <v>1.1023984021569311E-5</v>
      </c>
      <c r="G1783">
        <v>3.0272126562372212E-7</v>
      </c>
      <c r="H1783" t="b">
        <v>0</v>
      </c>
    </row>
    <row r="1784" spans="1:8" x14ac:dyDescent="0.15">
      <c r="A1784">
        <v>171</v>
      </c>
      <c r="B1784">
        <v>8</v>
      </c>
      <c r="C1784">
        <v>3865234.375</v>
      </c>
      <c r="D1784">
        <v>-4576462.1087531317</v>
      </c>
      <c r="E1784">
        <v>1.089871610899684E-5</v>
      </c>
      <c r="F1784">
        <v>1.1023984021569311E-5</v>
      </c>
      <c r="G1784">
        <v>-1.2526791257247061E-7</v>
      </c>
      <c r="H1784" t="b">
        <v>1</v>
      </c>
    </row>
    <row r="1785" spans="1:8" x14ac:dyDescent="0.15">
      <c r="A1785">
        <v>171</v>
      </c>
      <c r="B1785">
        <v>9</v>
      </c>
      <c r="C1785">
        <v>3888476.5625</v>
      </c>
      <c r="D1785">
        <v>3376554.4265161208</v>
      </c>
      <c r="E1785">
        <v>1.111170869697079E-5</v>
      </c>
      <c r="F1785">
        <v>1.1023984021569311E-5</v>
      </c>
      <c r="G1785">
        <v>8.7724675401479918E-8</v>
      </c>
      <c r="H1785" t="b">
        <v>0</v>
      </c>
    </row>
    <row r="1786" spans="1:8" x14ac:dyDescent="0.15">
      <c r="A1786">
        <v>171</v>
      </c>
      <c r="B1786">
        <v>10</v>
      </c>
      <c r="C1786">
        <v>3900097.65625</v>
      </c>
      <c r="D1786">
        <v>7696563.1946358588</v>
      </c>
      <c r="E1786">
        <v>1.1218957724959859E-5</v>
      </c>
      <c r="F1786">
        <v>1.1023984021569311E-5</v>
      </c>
      <c r="G1786">
        <v>1.9497370339054719E-7</v>
      </c>
      <c r="H1786" t="b">
        <v>0</v>
      </c>
    </row>
    <row r="1787" spans="1:8" x14ac:dyDescent="0.15">
      <c r="A1787">
        <v>171</v>
      </c>
      <c r="B1787">
        <v>11</v>
      </c>
      <c r="C1787">
        <v>3894287.109375</v>
      </c>
      <c r="D1787">
        <v>5507637.7806384331</v>
      </c>
      <c r="E1787">
        <v>1.11652702415882E-5</v>
      </c>
      <c r="F1787">
        <v>1.1023984021569311E-5</v>
      </c>
      <c r="G1787">
        <v>1.4128622001889499E-7</v>
      </c>
      <c r="H1787" t="b">
        <v>0</v>
      </c>
    </row>
    <row r="1788" spans="1:8" x14ac:dyDescent="0.15">
      <c r="A1788">
        <v>171</v>
      </c>
      <c r="B1788">
        <v>12</v>
      </c>
      <c r="C1788">
        <v>3891381.8359375</v>
      </c>
      <c r="D1788">
        <v>4434882.2915312136</v>
      </c>
      <c r="E1788">
        <v>1.1138473603981261E-5</v>
      </c>
      <c r="F1788">
        <v>1.1023984021569311E-5</v>
      </c>
      <c r="G1788">
        <v>1.1448958241195201E-7</v>
      </c>
      <c r="H1788" t="b">
        <v>0</v>
      </c>
    </row>
    <row r="1789" spans="1:8" x14ac:dyDescent="0.15">
      <c r="A1789">
        <v>171</v>
      </c>
      <c r="B1789">
        <v>13</v>
      </c>
      <c r="C1789">
        <v>3889929.19921875</v>
      </c>
      <c r="D1789">
        <v>3903910.70561335</v>
      </c>
      <c r="E1789">
        <v>1.1125087009633061E-5</v>
      </c>
      <c r="F1789">
        <v>1.1023984021569311E-5</v>
      </c>
      <c r="G1789">
        <v>1.0110298806375031E-7</v>
      </c>
      <c r="H1789" t="b">
        <v>0</v>
      </c>
    </row>
    <row r="1790" spans="1:8" x14ac:dyDescent="0.15">
      <c r="A1790">
        <v>172</v>
      </c>
      <c r="B1790">
        <v>1</v>
      </c>
      <c r="C1790">
        <v>6050000</v>
      </c>
      <c r="D1790">
        <v>8969638996.308939</v>
      </c>
      <c r="E1790">
        <v>5.5637479029422922E-5</v>
      </c>
      <c r="F1790">
        <v>1.091846144392627E-5</v>
      </c>
      <c r="G1790">
        <v>4.4719017585496647E-5</v>
      </c>
      <c r="H1790" t="b">
        <v>0</v>
      </c>
    </row>
    <row r="1791" spans="1:8" x14ac:dyDescent="0.15">
      <c r="A1791">
        <v>172</v>
      </c>
      <c r="B1791">
        <v>2</v>
      </c>
      <c r="C1791">
        <v>3075000</v>
      </c>
      <c r="D1791">
        <v>-980614.30597477325</v>
      </c>
      <c r="E1791">
        <v>3.1702802685238991E-6</v>
      </c>
      <c r="F1791">
        <v>1.091846144392627E-5</v>
      </c>
      <c r="G1791">
        <v>-7.7481811754023709E-6</v>
      </c>
      <c r="H1791" t="b">
        <v>1</v>
      </c>
    </row>
    <row r="1792" spans="1:8" x14ac:dyDescent="0.15">
      <c r="A1792">
        <v>172</v>
      </c>
      <c r="B1792">
        <v>3</v>
      </c>
      <c r="C1792">
        <v>4562500</v>
      </c>
      <c r="D1792">
        <v>71697166.065042526</v>
      </c>
      <c r="E1792">
        <v>1.232401093890466E-5</v>
      </c>
      <c r="F1792">
        <v>1.091846144392627E-5</v>
      </c>
      <c r="G1792">
        <v>1.405549494978388E-6</v>
      </c>
      <c r="H1792" t="b">
        <v>0</v>
      </c>
    </row>
    <row r="1793" spans="1:8" x14ac:dyDescent="0.15">
      <c r="A1793">
        <v>172</v>
      </c>
      <c r="B1793">
        <v>4</v>
      </c>
      <c r="C1793">
        <v>3818750</v>
      </c>
      <c r="D1793">
        <v>-17708011.905795049</v>
      </c>
      <c r="E1793">
        <v>6.8579478866766E-6</v>
      </c>
      <c r="F1793">
        <v>1.091846144392627E-5</v>
      </c>
      <c r="G1793">
        <v>-4.06051355724967E-6</v>
      </c>
      <c r="H1793" t="b">
        <v>1</v>
      </c>
    </row>
    <row r="1794" spans="1:8" x14ac:dyDescent="0.15">
      <c r="A1794">
        <v>172</v>
      </c>
      <c r="B1794">
        <v>5</v>
      </c>
      <c r="C1794">
        <v>4190625</v>
      </c>
      <c r="D1794">
        <v>-36208050.570478171</v>
      </c>
      <c r="E1794">
        <v>9.388639910978187E-6</v>
      </c>
      <c r="F1794">
        <v>1.091846144392627E-5</v>
      </c>
      <c r="G1794">
        <v>-1.529821532948083E-6</v>
      </c>
      <c r="H1794" t="b">
        <v>1</v>
      </c>
    </row>
    <row r="1795" spans="1:8" x14ac:dyDescent="0.15">
      <c r="A1795">
        <v>172</v>
      </c>
      <c r="B1795">
        <v>6</v>
      </c>
      <c r="C1795">
        <v>4376562.5</v>
      </c>
      <c r="D1795">
        <v>-4048204.2449772158</v>
      </c>
      <c r="E1795">
        <v>1.080878836928488E-5</v>
      </c>
      <c r="F1795">
        <v>1.091846144392627E-5</v>
      </c>
      <c r="G1795">
        <v>-1.0967307464138641E-7</v>
      </c>
      <c r="H1795" t="b">
        <v>1</v>
      </c>
    </row>
    <row r="1796" spans="1:8" x14ac:dyDescent="0.15">
      <c r="A1796">
        <v>172</v>
      </c>
      <c r="B1796">
        <v>7</v>
      </c>
      <c r="C1796">
        <v>4469531.25</v>
      </c>
      <c r="D1796">
        <v>27934697.997305099</v>
      </c>
      <c r="E1796">
        <v>1.155500772329445E-5</v>
      </c>
      <c r="F1796">
        <v>1.091846144392627E-5</v>
      </c>
      <c r="G1796">
        <v>6.3654627936818364E-7</v>
      </c>
      <c r="H1796" t="b">
        <v>0</v>
      </c>
    </row>
    <row r="1797" spans="1:8" x14ac:dyDescent="0.15">
      <c r="A1797">
        <v>172</v>
      </c>
      <c r="B1797">
        <v>8</v>
      </c>
      <c r="C1797">
        <v>4423046.875</v>
      </c>
      <c r="D1797">
        <v>10517029.73452642</v>
      </c>
      <c r="E1797">
        <v>1.1178941728981701E-5</v>
      </c>
      <c r="F1797">
        <v>1.091846144392627E-5</v>
      </c>
      <c r="G1797">
        <v>2.6048028505543051E-7</v>
      </c>
      <c r="H1797" t="b">
        <v>0</v>
      </c>
    </row>
    <row r="1798" spans="1:8" x14ac:dyDescent="0.15">
      <c r="A1798">
        <v>172</v>
      </c>
      <c r="B1798">
        <v>9</v>
      </c>
      <c r="C1798">
        <v>4399804.6875</v>
      </c>
      <c r="D1798">
        <v>2884615.4524758351</v>
      </c>
      <c r="E1798">
        <v>1.099311997597833E-5</v>
      </c>
      <c r="F1798">
        <v>1.091846144392627E-5</v>
      </c>
      <c r="G1798">
        <v>7.4658532052063122E-8</v>
      </c>
      <c r="H1798" t="b">
        <v>0</v>
      </c>
    </row>
    <row r="1799" spans="1:8" x14ac:dyDescent="0.15">
      <c r="A1799">
        <v>172</v>
      </c>
      <c r="B1799">
        <v>10</v>
      </c>
      <c r="C1799">
        <v>4411425.78125</v>
      </c>
      <c r="D1799">
        <v>6612504.7037589829</v>
      </c>
      <c r="E1799">
        <v>1.108584533584561E-5</v>
      </c>
      <c r="F1799">
        <v>1.091846144392627E-5</v>
      </c>
      <c r="G1799">
        <v>1.673838919193403E-7</v>
      </c>
      <c r="H1799" t="b">
        <v>0</v>
      </c>
    </row>
    <row r="1800" spans="1:8" x14ac:dyDescent="0.15">
      <c r="A1800">
        <v>172</v>
      </c>
      <c r="B1800">
        <v>11</v>
      </c>
      <c r="C1800">
        <v>4405615.234375</v>
      </c>
      <c r="D1800">
        <v>4726587.5533967949</v>
      </c>
      <c r="E1800">
        <v>1.103943618080283E-5</v>
      </c>
      <c r="F1800">
        <v>1.091846144392627E-5</v>
      </c>
      <c r="G1800">
        <v>1.2097473687656139E-7</v>
      </c>
      <c r="H1800" t="b">
        <v>0</v>
      </c>
    </row>
    <row r="1801" spans="1:8" x14ac:dyDescent="0.15">
      <c r="A1801">
        <v>172</v>
      </c>
      <c r="B1801">
        <v>12</v>
      </c>
      <c r="C1801">
        <v>4402709.9609375</v>
      </c>
      <c r="D1801">
        <v>3800139.5611006538</v>
      </c>
      <c r="E1801">
        <v>1.101626689239928E-5</v>
      </c>
      <c r="F1801">
        <v>1.091846144392627E-5</v>
      </c>
      <c r="G1801">
        <v>9.7805448473006496E-8</v>
      </c>
      <c r="H1801" t="b">
        <v>0</v>
      </c>
    </row>
    <row r="1802" spans="1:8" x14ac:dyDescent="0.15">
      <c r="A1802">
        <v>172</v>
      </c>
      <c r="B1802">
        <v>13</v>
      </c>
      <c r="C1802">
        <v>4404162.59765625</v>
      </c>
      <c r="D1802">
        <v>4261983.1080494402</v>
      </c>
      <c r="E1802">
        <v>1.102784840792707E-5</v>
      </c>
      <c r="F1802">
        <v>1.091846144392627E-5</v>
      </c>
      <c r="G1802">
        <v>1.0938696400079701E-7</v>
      </c>
      <c r="H1802" t="b">
        <v>0</v>
      </c>
    </row>
    <row r="1803" spans="1:8" x14ac:dyDescent="0.15">
      <c r="A1803">
        <v>172</v>
      </c>
      <c r="B1803">
        <v>14</v>
      </c>
      <c r="C1803">
        <v>4405362.59765625</v>
      </c>
      <c r="D1803">
        <v>4645588.2181421285</v>
      </c>
      <c r="E1803">
        <v>1.103742046469586E-5</v>
      </c>
      <c r="F1803">
        <v>1.091846144392627E-5</v>
      </c>
      <c r="G1803">
        <v>1.189590207695879E-7</v>
      </c>
      <c r="H1803" t="b">
        <v>0</v>
      </c>
    </row>
    <row r="1804" spans="1:8" x14ac:dyDescent="0.15">
      <c r="A1804">
        <v>172</v>
      </c>
      <c r="B1804">
        <v>15</v>
      </c>
      <c r="C1804">
        <v>4404762.59765625</v>
      </c>
      <c r="D1804">
        <v>4453569.1354252212</v>
      </c>
      <c r="E1804">
        <v>1.1032634379572911E-5</v>
      </c>
      <c r="F1804">
        <v>1.091846144392627E-5</v>
      </c>
      <c r="G1804">
        <v>1.141729356466405E-7</v>
      </c>
      <c r="H1804" t="b">
        <v>0</v>
      </c>
    </row>
    <row r="1805" spans="1:8" x14ac:dyDescent="0.15">
      <c r="A1805">
        <v>172</v>
      </c>
      <c r="B1805">
        <v>16</v>
      </c>
      <c r="C1805">
        <v>4404042.59765625</v>
      </c>
      <c r="D1805">
        <v>4223743.1206147792</v>
      </c>
      <c r="E1805">
        <v>1.1026891859027699E-5</v>
      </c>
      <c r="F1805">
        <v>1.091846144392627E-5</v>
      </c>
      <c r="G1805">
        <v>1.084304151014258E-7</v>
      </c>
      <c r="H1805" t="b">
        <v>0</v>
      </c>
    </row>
    <row r="1806" spans="1:8" x14ac:dyDescent="0.15">
      <c r="A1806">
        <v>172</v>
      </c>
      <c r="B1806">
        <v>17</v>
      </c>
      <c r="C1806">
        <v>4404402.59765625</v>
      </c>
      <c r="D1806">
        <v>4338571.8709657788</v>
      </c>
      <c r="E1806">
        <v>1.102976294083036E-5</v>
      </c>
      <c r="F1806">
        <v>1.091846144392627E-5</v>
      </c>
      <c r="G1806">
        <v>1.113014969040921E-7</v>
      </c>
      <c r="H1806" t="b">
        <v>0</v>
      </c>
    </row>
    <row r="1807" spans="1:8" x14ac:dyDescent="0.15">
      <c r="A1807">
        <v>172</v>
      </c>
      <c r="B1807">
        <v>18</v>
      </c>
      <c r="C1807">
        <v>4404834.59765625</v>
      </c>
      <c r="D1807">
        <v>4476571.2175215548</v>
      </c>
      <c r="E1807">
        <v>1.1033208271171481E-5</v>
      </c>
      <c r="F1807">
        <v>1.091846144392627E-5</v>
      </c>
      <c r="G1807">
        <v>1.1474682724521059E-7</v>
      </c>
      <c r="H1807" t="b">
        <v>0</v>
      </c>
    </row>
    <row r="1808" spans="1:8" x14ac:dyDescent="0.15">
      <c r="A1808">
        <v>172</v>
      </c>
      <c r="B1808">
        <v>19</v>
      </c>
      <c r="C1808">
        <v>4404618.59765625</v>
      </c>
      <c r="D1808">
        <v>4407532.4253068827</v>
      </c>
      <c r="E1808">
        <v>1.103148532235502E-5</v>
      </c>
      <c r="F1808">
        <v>1.091846144392627E-5</v>
      </c>
      <c r="G1808">
        <v>1.130238784287452E-7</v>
      </c>
      <c r="H1808" t="b">
        <v>0</v>
      </c>
    </row>
    <row r="1809" spans="1:8" x14ac:dyDescent="0.15">
      <c r="A1809">
        <v>173</v>
      </c>
      <c r="B1809">
        <v>1</v>
      </c>
      <c r="C1809">
        <v>6050000</v>
      </c>
      <c r="D1809">
        <v>24325438615.79295</v>
      </c>
      <c r="E1809">
        <v>1.039376163665161E-4</v>
      </c>
      <c r="F1809">
        <v>1.091846144392628E-5</v>
      </c>
      <c r="G1809">
        <v>9.3019154922589837E-5</v>
      </c>
      <c r="H1809" t="b">
        <v>0</v>
      </c>
    </row>
    <row r="1810" spans="1:8" x14ac:dyDescent="0.15">
      <c r="A1810">
        <v>173</v>
      </c>
      <c r="B1810">
        <v>2</v>
      </c>
      <c r="C1810">
        <v>3075000</v>
      </c>
      <c r="D1810">
        <v>-3550363.396661073</v>
      </c>
      <c r="E1810">
        <v>4.8443592366191613E-6</v>
      </c>
      <c r="F1810">
        <v>1.091846144392627E-5</v>
      </c>
      <c r="G1810">
        <v>-6.0741022073071088E-6</v>
      </c>
      <c r="H1810" t="b">
        <v>1</v>
      </c>
    </row>
    <row r="1811" spans="1:8" x14ac:dyDescent="0.15">
      <c r="A1811">
        <v>173</v>
      </c>
      <c r="B1811">
        <v>3</v>
      </c>
      <c r="C1811">
        <v>4562500</v>
      </c>
      <c r="D1811">
        <v>1524408561.7384601</v>
      </c>
      <c r="E1811">
        <v>2.299587069208693E-5</v>
      </c>
      <c r="F1811">
        <v>1.091846144392627E-5</v>
      </c>
      <c r="G1811">
        <v>1.207740924816066E-5</v>
      </c>
      <c r="H1811" t="b">
        <v>0</v>
      </c>
    </row>
    <row r="1812" spans="1:8" x14ac:dyDescent="0.15">
      <c r="A1812">
        <v>173</v>
      </c>
      <c r="B1812">
        <v>4</v>
      </c>
      <c r="C1812">
        <v>3818750</v>
      </c>
      <c r="D1812">
        <v>-20707812.738252349</v>
      </c>
      <c r="E1812">
        <v>1.026826972521896E-5</v>
      </c>
      <c r="F1812">
        <v>1.091846144392627E-5</v>
      </c>
      <c r="G1812">
        <v>-6.5019171870730635E-7</v>
      </c>
      <c r="H1812" t="b">
        <v>1</v>
      </c>
    </row>
    <row r="1813" spans="1:8" x14ac:dyDescent="0.15">
      <c r="A1813">
        <v>173</v>
      </c>
      <c r="B1813">
        <v>5</v>
      </c>
      <c r="C1813">
        <v>4190625</v>
      </c>
      <c r="D1813">
        <v>184336762.74734271</v>
      </c>
      <c r="E1813">
        <v>1.378563546991553E-5</v>
      </c>
      <c r="F1813">
        <v>1.091846144392627E-5</v>
      </c>
      <c r="G1813">
        <v>2.8671740259892591E-6</v>
      </c>
      <c r="H1813" t="b">
        <v>0</v>
      </c>
    </row>
    <row r="1814" spans="1:8" x14ac:dyDescent="0.15">
      <c r="A1814">
        <v>173</v>
      </c>
      <c r="B1814">
        <v>6</v>
      </c>
      <c r="C1814">
        <v>4004687.5</v>
      </c>
      <c r="D1814">
        <v>50023083.492932029</v>
      </c>
      <c r="E1814">
        <v>1.1966917603741721E-5</v>
      </c>
      <c r="F1814">
        <v>1.091846144392627E-5</v>
      </c>
      <c r="G1814">
        <v>1.048456159815447E-6</v>
      </c>
      <c r="H1814" t="b">
        <v>0</v>
      </c>
    </row>
    <row r="1815" spans="1:8" x14ac:dyDescent="0.15">
      <c r="A1815">
        <v>173</v>
      </c>
      <c r="B1815">
        <v>7</v>
      </c>
      <c r="C1815">
        <v>3911718.75</v>
      </c>
      <c r="D1815">
        <v>7275078.1517767645</v>
      </c>
      <c r="E1815">
        <v>1.1101919048510249E-5</v>
      </c>
      <c r="F1815">
        <v>1.091846144392627E-5</v>
      </c>
      <c r="G1815">
        <v>1.8345760458397749E-7</v>
      </c>
      <c r="H1815" t="b">
        <v>0</v>
      </c>
    </row>
    <row r="1816" spans="1:8" x14ac:dyDescent="0.15">
      <c r="A1816">
        <v>173</v>
      </c>
      <c r="B1816">
        <v>8</v>
      </c>
      <c r="C1816">
        <v>3865234.375</v>
      </c>
      <c r="D1816">
        <v>-8475404.4317900036</v>
      </c>
      <c r="E1816">
        <v>1.068116142787392E-5</v>
      </c>
      <c r="F1816">
        <v>1.091846144392627E-5</v>
      </c>
      <c r="G1816">
        <v>-2.37300016052352E-7</v>
      </c>
      <c r="H1816" t="b">
        <v>1</v>
      </c>
    </row>
    <row r="1817" spans="1:8" x14ac:dyDescent="0.15">
      <c r="A1817">
        <v>173</v>
      </c>
      <c r="B1817">
        <v>9</v>
      </c>
      <c r="C1817">
        <v>3888476.5625</v>
      </c>
      <c r="D1817">
        <v>-1051774.85237079</v>
      </c>
      <c r="E1817">
        <v>1.089054604011148E-5</v>
      </c>
      <c r="F1817">
        <v>1.091846144392627E-5</v>
      </c>
      <c r="G1817">
        <v>-2.7915403814791751E-8</v>
      </c>
      <c r="H1817" t="b">
        <v>1</v>
      </c>
    </row>
    <row r="1818" spans="1:8" x14ac:dyDescent="0.15">
      <c r="A1818">
        <v>173</v>
      </c>
      <c r="B1818">
        <v>10</v>
      </c>
      <c r="C1818">
        <v>3900097.65625</v>
      </c>
      <c r="D1818">
        <v>2997399.6864670329</v>
      </c>
      <c r="E1818">
        <v>1.0995985211774651E-5</v>
      </c>
      <c r="F1818">
        <v>1.091846144392627E-5</v>
      </c>
      <c r="G1818">
        <v>7.7523767848377217E-8</v>
      </c>
      <c r="H1818" t="b">
        <v>0</v>
      </c>
    </row>
    <row r="1819" spans="1:8" x14ac:dyDescent="0.15">
      <c r="A1819">
        <v>173</v>
      </c>
      <c r="B1819">
        <v>11</v>
      </c>
      <c r="C1819">
        <v>3905908.203125</v>
      </c>
      <c r="D1819">
        <v>5107516.8910556259</v>
      </c>
      <c r="E1819">
        <v>1.104889059147623E-5</v>
      </c>
      <c r="F1819">
        <v>1.091846144392627E-5</v>
      </c>
      <c r="G1819">
        <v>1.3042914754996371E-7</v>
      </c>
      <c r="H1819" t="b">
        <v>0</v>
      </c>
    </row>
    <row r="1820" spans="1:8" x14ac:dyDescent="0.15">
      <c r="A1820">
        <v>173</v>
      </c>
      <c r="B1820">
        <v>12</v>
      </c>
      <c r="C1820">
        <v>3903002.9296875</v>
      </c>
      <c r="D1820">
        <v>4045295.860893982</v>
      </c>
      <c r="E1820">
        <v>1.102242244016238E-5</v>
      </c>
      <c r="F1820">
        <v>1.091846144392627E-5</v>
      </c>
      <c r="G1820">
        <v>1.0396099623610679E-7</v>
      </c>
      <c r="H1820" t="b">
        <v>0</v>
      </c>
    </row>
    <row r="1821" spans="1:8" x14ac:dyDescent="0.15">
      <c r="A1821">
        <v>173</v>
      </c>
      <c r="B1821">
        <v>13</v>
      </c>
      <c r="C1821">
        <v>3901550.29296875</v>
      </c>
      <c r="D1821">
        <v>3519559.7659285869</v>
      </c>
      <c r="E1821">
        <v>1.1009199958915331E-5</v>
      </c>
      <c r="F1821">
        <v>1.091846144392627E-5</v>
      </c>
      <c r="G1821">
        <v>9.0738514989060454E-8</v>
      </c>
      <c r="H1821" t="b">
        <v>0</v>
      </c>
    </row>
    <row r="1822" spans="1:8" x14ac:dyDescent="0.15">
      <c r="A1822">
        <v>173</v>
      </c>
      <c r="B1822">
        <v>14</v>
      </c>
      <c r="C1822">
        <v>3902050.29296875</v>
      </c>
      <c r="D1822">
        <v>3700115.2905242848</v>
      </c>
      <c r="E1822">
        <v>1.101375029002941E-5</v>
      </c>
      <c r="F1822">
        <v>1.091846144392627E-5</v>
      </c>
      <c r="G1822">
        <v>9.5288846103138276E-8</v>
      </c>
      <c r="H1822" t="b">
        <v>0</v>
      </c>
    </row>
    <row r="1823" spans="1:8" x14ac:dyDescent="0.15">
      <c r="A1823">
        <v>173</v>
      </c>
      <c r="B1823">
        <v>15</v>
      </c>
      <c r="C1823">
        <v>3902650.29296875</v>
      </c>
      <c r="D1823">
        <v>3917341.452524879</v>
      </c>
      <c r="E1823">
        <v>1.10192118964619E-5</v>
      </c>
      <c r="F1823">
        <v>1.091846144392627E-5</v>
      </c>
      <c r="G1823">
        <v>1.007504525356283E-7</v>
      </c>
      <c r="H1823" t="b">
        <v>0</v>
      </c>
    </row>
    <row r="1824" spans="1:8" x14ac:dyDescent="0.15">
      <c r="A1824">
        <v>174</v>
      </c>
      <c r="B1824">
        <v>1</v>
      </c>
      <c r="C1824">
        <v>6050000</v>
      </c>
      <c r="D1824">
        <v>6132930356.7098475</v>
      </c>
      <c r="E1824">
        <v>3.003820637597372E-5</v>
      </c>
      <c r="F1824">
        <v>7.6704769287397052E-6</v>
      </c>
      <c r="G1824">
        <v>2.2367729447234022E-5</v>
      </c>
      <c r="H1824" t="b">
        <v>0</v>
      </c>
    </row>
    <row r="1825" spans="1:8" x14ac:dyDescent="0.15">
      <c r="A1825">
        <v>174</v>
      </c>
      <c r="B1825">
        <v>2</v>
      </c>
      <c r="C1825">
        <v>3075000</v>
      </c>
      <c r="D1825">
        <v>-827455.35258651047</v>
      </c>
      <c r="E1825">
        <v>1.9528521817998638E-6</v>
      </c>
      <c r="F1825">
        <v>7.6704769287397069E-6</v>
      </c>
      <c r="G1825">
        <v>-5.7176247469398431E-6</v>
      </c>
      <c r="H1825" t="b">
        <v>1</v>
      </c>
    </row>
    <row r="1826" spans="1:8" x14ac:dyDescent="0.15">
      <c r="A1826">
        <v>174</v>
      </c>
      <c r="B1826">
        <v>3</v>
      </c>
      <c r="C1826">
        <v>4562500</v>
      </c>
      <c r="D1826">
        <v>9827495.7720942721</v>
      </c>
      <c r="E1826">
        <v>7.8613158858676086E-6</v>
      </c>
      <c r="F1826">
        <v>7.6704769287397069E-6</v>
      </c>
      <c r="G1826">
        <v>1.9083895712790169E-7</v>
      </c>
      <c r="H1826" t="b">
        <v>0</v>
      </c>
    </row>
    <row r="1827" spans="1:8" x14ac:dyDescent="0.15">
      <c r="A1827">
        <v>174</v>
      </c>
      <c r="B1827">
        <v>4</v>
      </c>
      <c r="C1827">
        <v>3818750</v>
      </c>
      <c r="D1827">
        <v>-8283848.451274408</v>
      </c>
      <c r="E1827">
        <v>4.2305742645453211E-6</v>
      </c>
      <c r="F1827">
        <v>7.6704769287397069E-6</v>
      </c>
      <c r="G1827">
        <v>-3.4399026641943858E-6</v>
      </c>
      <c r="H1827" t="b">
        <v>1</v>
      </c>
    </row>
    <row r="1828" spans="1:8" x14ac:dyDescent="0.15">
      <c r="A1828">
        <v>174</v>
      </c>
      <c r="B1828">
        <v>5</v>
      </c>
      <c r="C1828">
        <v>4190625</v>
      </c>
      <c r="D1828">
        <v>-29511870.128482409</v>
      </c>
      <c r="E1828">
        <v>5.8843247343350844E-6</v>
      </c>
      <c r="F1828">
        <v>7.6704769287397069E-6</v>
      </c>
      <c r="G1828">
        <v>-1.7861521944046229E-6</v>
      </c>
      <c r="H1828" t="b">
        <v>1</v>
      </c>
    </row>
    <row r="1829" spans="1:8" x14ac:dyDescent="0.15">
      <c r="A1829">
        <v>174</v>
      </c>
      <c r="B1829">
        <v>6</v>
      </c>
      <c r="C1829">
        <v>4376562.5</v>
      </c>
      <c r="D1829">
        <v>-27307567.656399552</v>
      </c>
      <c r="E1829">
        <v>6.834034834080724E-6</v>
      </c>
      <c r="F1829">
        <v>7.6704769287397069E-6</v>
      </c>
      <c r="G1829">
        <v>-8.3644209465898291E-7</v>
      </c>
      <c r="H1829" t="b">
        <v>1</v>
      </c>
    </row>
    <row r="1830" spans="1:8" x14ac:dyDescent="0.15">
      <c r="A1830">
        <v>174</v>
      </c>
      <c r="B1830">
        <v>7</v>
      </c>
      <c r="C1830">
        <v>4469531.25</v>
      </c>
      <c r="D1830">
        <v>-13893193.510642679</v>
      </c>
      <c r="E1830">
        <v>7.3381788836781084E-6</v>
      </c>
      <c r="F1830">
        <v>7.6704769287397069E-6</v>
      </c>
      <c r="G1830">
        <v>-3.3229804506159849E-7</v>
      </c>
      <c r="H1830" t="b">
        <v>1</v>
      </c>
    </row>
    <row r="1831" spans="1:8" x14ac:dyDescent="0.15">
      <c r="A1831">
        <v>174</v>
      </c>
      <c r="B1831">
        <v>8</v>
      </c>
      <c r="C1831">
        <v>4516015.625</v>
      </c>
      <c r="D1831">
        <v>-3405458.2693113098</v>
      </c>
      <c r="E1831">
        <v>7.5973900055987866E-6</v>
      </c>
      <c r="F1831">
        <v>7.6704769287397069E-6</v>
      </c>
      <c r="G1831">
        <v>-7.3086923140919478E-8</v>
      </c>
      <c r="H1831" t="b">
        <v>1</v>
      </c>
    </row>
    <row r="1832" spans="1:8" x14ac:dyDescent="0.15">
      <c r="A1832">
        <v>174</v>
      </c>
      <c r="B1832">
        <v>9</v>
      </c>
      <c r="C1832">
        <v>4539257.8125</v>
      </c>
      <c r="D1832">
        <v>2858066.0919188722</v>
      </c>
      <c r="E1832">
        <v>7.7287670548611121E-6</v>
      </c>
      <c r="F1832">
        <v>7.6704769287397069E-6</v>
      </c>
      <c r="G1832">
        <v>5.8290126121405128E-8</v>
      </c>
      <c r="H1832" t="b">
        <v>0</v>
      </c>
    </row>
    <row r="1833" spans="1:8" x14ac:dyDescent="0.15">
      <c r="A1833">
        <v>174</v>
      </c>
      <c r="B1833">
        <v>10</v>
      </c>
      <c r="C1833">
        <v>4550878.90625</v>
      </c>
      <c r="D1833">
        <v>6253360.91917565</v>
      </c>
      <c r="E1833">
        <v>7.7948954864667664E-6</v>
      </c>
      <c r="F1833">
        <v>7.6704769287397069E-6</v>
      </c>
      <c r="G1833">
        <v>1.244185577270595E-7</v>
      </c>
      <c r="H1833" t="b">
        <v>0</v>
      </c>
    </row>
    <row r="1834" spans="1:8" x14ac:dyDescent="0.15">
      <c r="A1834">
        <v>174</v>
      </c>
      <c r="B1834">
        <v>11</v>
      </c>
      <c r="C1834">
        <v>4545068.359375</v>
      </c>
      <c r="D1834">
        <v>4533504.668405964</v>
      </c>
      <c r="E1834">
        <v>7.7617947172481563E-6</v>
      </c>
      <c r="F1834">
        <v>7.6704769287397069E-6</v>
      </c>
      <c r="G1834">
        <v>9.1317788508449337E-8</v>
      </c>
      <c r="H1834" t="b">
        <v>0</v>
      </c>
    </row>
    <row r="1835" spans="1:8" x14ac:dyDescent="0.15">
      <c r="A1835">
        <v>175</v>
      </c>
      <c r="B1835">
        <v>1</v>
      </c>
      <c r="C1835">
        <v>6050000</v>
      </c>
      <c r="D1835">
        <v>74070993461.743454</v>
      </c>
      <c r="E1835">
        <v>1.4059197472772111E-4</v>
      </c>
      <c r="F1835">
        <v>7.4380277893052729E-6</v>
      </c>
      <c r="G1835">
        <v>1.3315394693841589E-4</v>
      </c>
      <c r="H1835" t="b">
        <v>0</v>
      </c>
    </row>
    <row r="1836" spans="1:8" x14ac:dyDescent="0.15">
      <c r="A1836">
        <v>175</v>
      </c>
      <c r="B1836">
        <v>2</v>
      </c>
      <c r="C1836">
        <v>3075000</v>
      </c>
      <c r="D1836">
        <v>-24188225.331021842</v>
      </c>
      <c r="E1836">
        <v>5.3665024118882527E-6</v>
      </c>
      <c r="F1836">
        <v>7.4380277893052763E-6</v>
      </c>
      <c r="G1836">
        <v>-2.071525377417024E-6</v>
      </c>
      <c r="H1836" t="b">
        <v>1</v>
      </c>
    </row>
    <row r="1837" spans="1:8" x14ac:dyDescent="0.15">
      <c r="A1837">
        <v>175</v>
      </c>
      <c r="B1837">
        <v>3</v>
      </c>
      <c r="C1837">
        <v>4562500</v>
      </c>
      <c r="D1837">
        <v>7768849314.4748259</v>
      </c>
      <c r="E1837">
        <v>3.305096222971943E-5</v>
      </c>
      <c r="F1837">
        <v>7.4380277893052763E-6</v>
      </c>
      <c r="G1837">
        <v>2.561293444041415E-5</v>
      </c>
      <c r="H1837" t="b">
        <v>0</v>
      </c>
    </row>
    <row r="1838" spans="1:8" x14ac:dyDescent="0.15">
      <c r="A1838">
        <v>175</v>
      </c>
      <c r="B1838">
        <v>4</v>
      </c>
      <c r="C1838">
        <v>3818750</v>
      </c>
      <c r="D1838">
        <v>467652877.61632651</v>
      </c>
      <c r="E1838">
        <v>1.1242156964255329E-5</v>
      </c>
      <c r="F1838">
        <v>7.4380277893052763E-6</v>
      </c>
      <c r="G1838">
        <v>3.8041291749500549E-6</v>
      </c>
      <c r="H1838" t="b">
        <v>0</v>
      </c>
    </row>
    <row r="1839" spans="1:8" x14ac:dyDescent="0.15">
      <c r="A1839">
        <v>175</v>
      </c>
      <c r="B1839">
        <v>5</v>
      </c>
      <c r="C1839">
        <v>3446875</v>
      </c>
      <c r="D1839">
        <v>35123700.906491511</v>
      </c>
      <c r="E1839">
        <v>8.0197740376934807E-6</v>
      </c>
      <c r="F1839">
        <v>7.4380277893052763E-6</v>
      </c>
      <c r="G1839">
        <v>5.8174624838820444E-7</v>
      </c>
      <c r="H1839" t="b">
        <v>0</v>
      </c>
    </row>
    <row r="1840" spans="1:8" x14ac:dyDescent="0.15">
      <c r="A1840">
        <v>175</v>
      </c>
      <c r="B1840">
        <v>6</v>
      </c>
      <c r="C1840">
        <v>3260937.5</v>
      </c>
      <c r="D1840">
        <v>-27056464.264328878</v>
      </c>
      <c r="E1840">
        <v>6.617898308468161E-6</v>
      </c>
      <c r="F1840">
        <v>7.4380277893052763E-6</v>
      </c>
      <c r="G1840">
        <v>-8.2012948083711524E-7</v>
      </c>
      <c r="H1840" t="b">
        <v>1</v>
      </c>
    </row>
    <row r="1841" spans="1:8" x14ac:dyDescent="0.15">
      <c r="A1841">
        <v>175</v>
      </c>
      <c r="B1841">
        <v>7</v>
      </c>
      <c r="C1841">
        <v>3353906.25</v>
      </c>
      <c r="D1841">
        <v>-6342822.9944252586</v>
      </c>
      <c r="E1841">
        <v>7.3006791638282281E-6</v>
      </c>
      <c r="F1841">
        <v>7.4380277893052763E-6</v>
      </c>
      <c r="G1841">
        <v>-1.3734862547704809E-7</v>
      </c>
      <c r="H1841" t="b">
        <v>1</v>
      </c>
    </row>
    <row r="1842" spans="1:8" x14ac:dyDescent="0.15">
      <c r="A1842">
        <v>175</v>
      </c>
      <c r="B1842">
        <v>8</v>
      </c>
      <c r="C1842">
        <v>3400390.625</v>
      </c>
      <c r="D1842">
        <v>11571910.814965639</v>
      </c>
      <c r="E1842">
        <v>7.6556683422558776E-6</v>
      </c>
      <c r="F1842">
        <v>7.4380277893052763E-6</v>
      </c>
      <c r="G1842">
        <v>2.1764055295060131E-7</v>
      </c>
      <c r="H1842" t="b">
        <v>0</v>
      </c>
    </row>
    <row r="1843" spans="1:8" x14ac:dyDescent="0.15">
      <c r="A1843">
        <v>175</v>
      </c>
      <c r="B1843">
        <v>9</v>
      </c>
      <c r="C1843">
        <v>3377148.4375</v>
      </c>
      <c r="D1843">
        <v>1936336.8208429459</v>
      </c>
      <c r="E1843">
        <v>7.4770306634054159E-6</v>
      </c>
      <c r="F1843">
        <v>7.4380277893052763E-6</v>
      </c>
      <c r="G1843">
        <v>3.9002874100139638E-8</v>
      </c>
      <c r="H1843" t="b">
        <v>0</v>
      </c>
    </row>
    <row r="1844" spans="1:8" x14ac:dyDescent="0.15">
      <c r="A1844">
        <v>175</v>
      </c>
      <c r="B1844">
        <v>10</v>
      </c>
      <c r="C1844">
        <v>3388769.53125</v>
      </c>
      <c r="D1844">
        <v>6581148.3491927842</v>
      </c>
      <c r="E1844">
        <v>7.5660635003163359E-6</v>
      </c>
      <c r="F1844">
        <v>7.4380277893052763E-6</v>
      </c>
      <c r="G1844">
        <v>1.2803571101105961E-7</v>
      </c>
      <c r="H1844" t="b">
        <v>0</v>
      </c>
    </row>
    <row r="1845" spans="1:8" x14ac:dyDescent="0.15">
      <c r="A1845">
        <v>175</v>
      </c>
      <c r="B1845">
        <v>11</v>
      </c>
      <c r="C1845">
        <v>3382958.984375</v>
      </c>
      <c r="D1845">
        <v>4215896.5049833246</v>
      </c>
      <c r="E1845">
        <v>7.521475123038875E-6</v>
      </c>
      <c r="F1845">
        <v>7.4380277893052763E-6</v>
      </c>
      <c r="G1845">
        <v>8.3447333733598702E-8</v>
      </c>
      <c r="H1845" t="b">
        <v>0</v>
      </c>
    </row>
    <row r="1846" spans="1:8" x14ac:dyDescent="0.15">
      <c r="A1846">
        <v>175</v>
      </c>
      <c r="B1846">
        <v>12</v>
      </c>
      <c r="C1846">
        <v>3380053.7109375</v>
      </c>
      <c r="D1846">
        <v>3065452.482169481</v>
      </c>
      <c r="E1846">
        <v>7.4992347855005791E-6</v>
      </c>
      <c r="F1846">
        <v>7.4380277893052763E-6</v>
      </c>
      <c r="G1846">
        <v>6.1206996195302834E-8</v>
      </c>
      <c r="H1846" t="b">
        <v>0</v>
      </c>
    </row>
    <row r="1847" spans="1:8" x14ac:dyDescent="0.15">
      <c r="A1847">
        <v>175</v>
      </c>
      <c r="B1847">
        <v>13</v>
      </c>
      <c r="C1847">
        <v>3381506.34765625</v>
      </c>
      <c r="D1847">
        <v>3638020.9344779439</v>
      </c>
      <c r="E1847">
        <v>7.510350799495394E-6</v>
      </c>
      <c r="F1847">
        <v>7.4380277893052763E-6</v>
      </c>
      <c r="G1847">
        <v>7.2323010190117778E-8</v>
      </c>
      <c r="H1847" t="b">
        <v>0</v>
      </c>
    </row>
    <row r="1848" spans="1:8" x14ac:dyDescent="0.15">
      <c r="A1848">
        <v>175</v>
      </c>
      <c r="B1848">
        <v>14</v>
      </c>
      <c r="C1848">
        <v>3381006.34765625</v>
      </c>
      <c r="D1848">
        <v>3440329.1746334801</v>
      </c>
      <c r="E1848">
        <v>7.5065234318410123E-6</v>
      </c>
      <c r="F1848">
        <v>7.4380277893052763E-6</v>
      </c>
      <c r="G1848">
        <v>6.8495642535735983E-8</v>
      </c>
      <c r="H1848" t="b">
        <v>0</v>
      </c>
    </row>
    <row r="1849" spans="1:8" x14ac:dyDescent="0.15">
      <c r="A1849">
        <v>175</v>
      </c>
      <c r="B1849">
        <v>15</v>
      </c>
      <c r="C1849">
        <v>3380406.34765625</v>
      </c>
      <c r="D1849">
        <v>3203953.3244898161</v>
      </c>
      <c r="E1849">
        <v>7.5019323749266134E-6</v>
      </c>
      <c r="F1849">
        <v>7.4380277893052763E-6</v>
      </c>
      <c r="G1849">
        <v>6.3904585621336299E-8</v>
      </c>
      <c r="H1849" t="b">
        <v>0</v>
      </c>
    </row>
    <row r="1850" spans="1:8" x14ac:dyDescent="0.15">
      <c r="A1850">
        <v>175</v>
      </c>
      <c r="B1850">
        <v>16</v>
      </c>
      <c r="C1850">
        <v>3380706.34765625</v>
      </c>
      <c r="D1850">
        <v>3322027.512988538</v>
      </c>
      <c r="E1850">
        <v>7.5042277122981376E-6</v>
      </c>
      <c r="F1850">
        <v>7.4380277893052763E-6</v>
      </c>
      <c r="G1850">
        <v>6.6199922992862195E-8</v>
      </c>
      <c r="H1850" t="b">
        <v>0</v>
      </c>
    </row>
    <row r="1851" spans="1:8" x14ac:dyDescent="0.15">
      <c r="A1851">
        <v>175</v>
      </c>
      <c r="B1851">
        <v>17</v>
      </c>
      <c r="C1851">
        <v>3381066.34765625</v>
      </c>
      <c r="D1851">
        <v>3464016.813955667</v>
      </c>
      <c r="E1851">
        <v>7.5069826216076672E-6</v>
      </c>
      <c r="F1851">
        <v>7.4380277893052763E-6</v>
      </c>
      <c r="G1851">
        <v>6.8954832302390918E-8</v>
      </c>
      <c r="H1851" t="b">
        <v>0</v>
      </c>
    </row>
    <row r="1852" spans="1:8" x14ac:dyDescent="0.15">
      <c r="A1852">
        <v>175</v>
      </c>
      <c r="B1852">
        <v>18</v>
      </c>
      <c r="C1852">
        <v>3380886.34765625</v>
      </c>
      <c r="D1852">
        <v>3392981.2057726062</v>
      </c>
      <c r="E1852">
        <v>7.5056050981652022E-6</v>
      </c>
      <c r="F1852">
        <v>7.4380277893052763E-6</v>
      </c>
      <c r="G1852">
        <v>6.7577308859925903E-8</v>
      </c>
      <c r="H1852" t="b">
        <v>0</v>
      </c>
    </row>
    <row r="1853" spans="1:8" x14ac:dyDescent="0.15">
      <c r="A1853">
        <v>176</v>
      </c>
      <c r="B1853">
        <v>1</v>
      </c>
      <c r="C1853">
        <v>6050000</v>
      </c>
      <c r="D1853">
        <v>-25493051.52224436</v>
      </c>
      <c r="E1853">
        <v>6.5901591091727022E-6</v>
      </c>
      <c r="F1853">
        <v>7.3259874902453786E-6</v>
      </c>
      <c r="G1853">
        <v>-7.3582838107267643E-7</v>
      </c>
      <c r="H1853" t="b">
        <v>1</v>
      </c>
    </row>
    <row r="1854" spans="1:8" x14ac:dyDescent="0.15">
      <c r="A1854">
        <v>176</v>
      </c>
      <c r="B1854">
        <v>2</v>
      </c>
      <c r="C1854">
        <v>9025000</v>
      </c>
      <c r="D1854">
        <v>11537771055.67345</v>
      </c>
      <c r="E1854">
        <v>4.084012435438807E-5</v>
      </c>
      <c r="F1854">
        <v>7.3259874902453786E-6</v>
      </c>
      <c r="G1854">
        <v>3.3514136864142691E-5</v>
      </c>
      <c r="H1854" t="b">
        <v>0</v>
      </c>
    </row>
    <row r="1855" spans="1:8" x14ac:dyDescent="0.15">
      <c r="A1855">
        <v>176</v>
      </c>
      <c r="B1855">
        <v>3</v>
      </c>
      <c r="C1855">
        <v>7537500</v>
      </c>
      <c r="D1855">
        <v>1505023138.9650569</v>
      </c>
      <c r="E1855">
        <v>1.4990080654086241E-5</v>
      </c>
      <c r="F1855">
        <v>7.3259874902453786E-6</v>
      </c>
      <c r="G1855">
        <v>7.6640931638408571E-6</v>
      </c>
      <c r="H1855" t="b">
        <v>0</v>
      </c>
    </row>
    <row r="1856" spans="1:8" x14ac:dyDescent="0.15">
      <c r="A1856">
        <v>176</v>
      </c>
      <c r="B1856">
        <v>4</v>
      </c>
      <c r="C1856">
        <v>6793750</v>
      </c>
      <c r="D1856">
        <v>213434647.02220941</v>
      </c>
      <c r="E1856">
        <v>9.5731797945375647E-6</v>
      </c>
      <c r="F1856">
        <v>7.3259874902453786E-6</v>
      </c>
      <c r="G1856">
        <v>2.247192304292186E-6</v>
      </c>
      <c r="H1856" t="b">
        <v>0</v>
      </c>
    </row>
    <row r="1857" spans="1:8" x14ac:dyDescent="0.15">
      <c r="A1857">
        <v>176</v>
      </c>
      <c r="B1857">
        <v>5</v>
      </c>
      <c r="C1857">
        <v>6421875</v>
      </c>
      <c r="D1857">
        <v>43602526.504831277</v>
      </c>
      <c r="E1857">
        <v>8.0142342664843036E-6</v>
      </c>
      <c r="F1857">
        <v>7.3259874902453786E-6</v>
      </c>
      <c r="G1857">
        <v>6.8824677623892501E-7</v>
      </c>
      <c r="H1857" t="b">
        <v>0</v>
      </c>
    </row>
    <row r="1858" spans="1:8" x14ac:dyDescent="0.15">
      <c r="A1858">
        <v>176</v>
      </c>
      <c r="B1858">
        <v>6</v>
      </c>
      <c r="C1858">
        <v>6235937.5</v>
      </c>
      <c r="D1858">
        <v>-2009000.2643947061</v>
      </c>
      <c r="E1858">
        <v>7.2845652635597596E-6</v>
      </c>
      <c r="F1858">
        <v>7.3259874902453786E-6</v>
      </c>
      <c r="G1858">
        <v>-4.1422226685618198E-8</v>
      </c>
      <c r="H1858" t="b">
        <v>1</v>
      </c>
    </row>
    <row r="1859" spans="1:8" x14ac:dyDescent="0.15">
      <c r="A1859">
        <v>176</v>
      </c>
      <c r="B1859">
        <v>7</v>
      </c>
      <c r="C1859">
        <v>6328906.25</v>
      </c>
      <c r="D1859">
        <v>17810996.654699869</v>
      </c>
      <c r="E1859">
        <v>7.645056073693837E-6</v>
      </c>
      <c r="F1859">
        <v>7.3259874902453786E-6</v>
      </c>
      <c r="G1859">
        <v>3.1906858344845832E-7</v>
      </c>
      <c r="H1859" t="b">
        <v>0</v>
      </c>
    </row>
    <row r="1860" spans="1:8" x14ac:dyDescent="0.15">
      <c r="A1860">
        <v>176</v>
      </c>
      <c r="B1860">
        <v>8</v>
      </c>
      <c r="C1860">
        <v>6282421.875</v>
      </c>
      <c r="D1860">
        <v>7179959.1773057999</v>
      </c>
      <c r="E1860">
        <v>7.4637122084027468E-6</v>
      </c>
      <c r="F1860">
        <v>7.3259874902453786E-6</v>
      </c>
      <c r="G1860">
        <v>1.3772471815736819E-7</v>
      </c>
      <c r="H1860" t="b">
        <v>0</v>
      </c>
    </row>
    <row r="1861" spans="1:8" x14ac:dyDescent="0.15">
      <c r="A1861">
        <v>176</v>
      </c>
      <c r="B1861">
        <v>9</v>
      </c>
      <c r="C1861">
        <v>6259179.6875</v>
      </c>
      <c r="D1861">
        <v>2408560.5734218629</v>
      </c>
      <c r="E1861">
        <v>7.3738626611656964E-6</v>
      </c>
      <c r="F1861">
        <v>7.3259874902453786E-6</v>
      </c>
      <c r="G1861">
        <v>4.787517092031774E-8</v>
      </c>
      <c r="H1861" t="b">
        <v>0</v>
      </c>
    </row>
    <row r="1862" spans="1:8" x14ac:dyDescent="0.15">
      <c r="A1862">
        <v>176</v>
      </c>
      <c r="B1862">
        <v>10</v>
      </c>
      <c r="C1862">
        <v>6270800.78125</v>
      </c>
      <c r="D1862">
        <v>4749590.1673816266</v>
      </c>
      <c r="E1862">
        <v>7.4187183171127596E-6</v>
      </c>
      <c r="F1862">
        <v>7.3259874902453786E-6</v>
      </c>
      <c r="G1862">
        <v>9.2730826867381844E-8</v>
      </c>
      <c r="H1862" t="b">
        <v>0</v>
      </c>
    </row>
    <row r="1863" spans="1:8" x14ac:dyDescent="0.15">
      <c r="A1863">
        <v>176</v>
      </c>
      <c r="B1863">
        <v>11</v>
      </c>
      <c r="C1863">
        <v>6276611.328125</v>
      </c>
      <c r="D1863">
        <v>5953565.481468291</v>
      </c>
      <c r="E1863">
        <v>7.4411982078588363E-6</v>
      </c>
      <c r="F1863">
        <v>7.3259874902453786E-6</v>
      </c>
      <c r="G1863">
        <v>1.152107176134577E-7</v>
      </c>
      <c r="H1863" t="b">
        <v>0</v>
      </c>
    </row>
    <row r="1864" spans="1:8" x14ac:dyDescent="0.15">
      <c r="A1864">
        <v>176</v>
      </c>
      <c r="B1864">
        <v>12</v>
      </c>
      <c r="C1864">
        <v>6279516.6015625</v>
      </c>
      <c r="D1864">
        <v>6563951.7507408028</v>
      </c>
      <c r="E1864">
        <v>7.4524509140613699E-6</v>
      </c>
      <c r="F1864">
        <v>7.3259874902453786E-6</v>
      </c>
      <c r="G1864">
        <v>1.2646342381599129E-7</v>
      </c>
      <c r="H1864" t="b">
        <v>0</v>
      </c>
    </row>
    <row r="1865" spans="1:8" x14ac:dyDescent="0.15">
      <c r="A1865">
        <v>176</v>
      </c>
      <c r="B1865">
        <v>13</v>
      </c>
      <c r="C1865">
        <v>6278063.96484375</v>
      </c>
      <c r="D1865">
        <v>6258042.3378953803</v>
      </c>
      <c r="E1865">
        <v>7.4468232207589724E-6</v>
      </c>
      <c r="F1865">
        <v>7.3259874902453786E-6</v>
      </c>
      <c r="G1865">
        <v>1.2083573051359291E-7</v>
      </c>
      <c r="H1865" t="b">
        <v>0</v>
      </c>
    </row>
    <row r="1866" spans="1:8" x14ac:dyDescent="0.15">
      <c r="A1866">
        <v>177</v>
      </c>
      <c r="B1866">
        <v>1</v>
      </c>
      <c r="C1866">
        <v>6050000</v>
      </c>
      <c r="D1866">
        <v>74694941997.806595</v>
      </c>
      <c r="E1866">
        <v>1.388580358973305E-4</v>
      </c>
      <c r="F1866">
        <v>7.3259874902453922E-6</v>
      </c>
      <c r="G1866">
        <v>1.3153204840708521E-4</v>
      </c>
      <c r="H1866" t="b">
        <v>0</v>
      </c>
    </row>
    <row r="1867" spans="1:8" x14ac:dyDescent="0.15">
      <c r="A1867">
        <v>177</v>
      </c>
      <c r="B1867">
        <v>2</v>
      </c>
      <c r="C1867">
        <v>3075000</v>
      </c>
      <c r="D1867">
        <v>-24064844.46472406</v>
      </c>
      <c r="E1867">
        <v>5.2946200458020316E-6</v>
      </c>
      <c r="F1867">
        <v>7.3259874902453786E-6</v>
      </c>
      <c r="G1867">
        <v>-2.031367444443347E-6</v>
      </c>
      <c r="H1867" t="b">
        <v>1</v>
      </c>
    </row>
    <row r="1868" spans="1:8" x14ac:dyDescent="0.15">
      <c r="A1868">
        <v>177</v>
      </c>
      <c r="B1868">
        <v>3</v>
      </c>
      <c r="C1868">
        <v>4562500</v>
      </c>
      <c r="D1868">
        <v>7795863113.561717</v>
      </c>
      <c r="E1868">
        <v>3.2549600882790048E-5</v>
      </c>
      <c r="F1868">
        <v>7.3259874902453786E-6</v>
      </c>
      <c r="G1868">
        <v>2.5223613392544679E-5</v>
      </c>
      <c r="H1868" t="b">
        <v>0</v>
      </c>
    </row>
    <row r="1869" spans="1:8" x14ac:dyDescent="0.15">
      <c r="A1869">
        <v>177</v>
      </c>
      <c r="B1869">
        <v>4</v>
      </c>
      <c r="C1869">
        <v>3818750</v>
      </c>
      <c r="D1869">
        <v>472912837.49020737</v>
      </c>
      <c r="E1869">
        <v>1.1104766183175199E-5</v>
      </c>
      <c r="F1869">
        <v>7.3259874902453786E-6</v>
      </c>
      <c r="G1869">
        <v>3.7787786929298261E-6</v>
      </c>
      <c r="H1869" t="b">
        <v>0</v>
      </c>
    </row>
    <row r="1870" spans="1:8" x14ac:dyDescent="0.15">
      <c r="A1870">
        <v>177</v>
      </c>
      <c r="B1870">
        <v>5</v>
      </c>
      <c r="C1870">
        <v>3446875</v>
      </c>
      <c r="D1870">
        <v>36275409.747534811</v>
      </c>
      <c r="E1870">
        <v>7.9170836561807026E-6</v>
      </c>
      <c r="F1870">
        <v>7.3259874902453786E-6</v>
      </c>
      <c r="G1870">
        <v>5.9109616593532396E-7</v>
      </c>
      <c r="H1870" t="b">
        <v>0</v>
      </c>
    </row>
    <row r="1871" spans="1:8" x14ac:dyDescent="0.15">
      <c r="A1871">
        <v>177</v>
      </c>
      <c r="B1871">
        <v>6</v>
      </c>
      <c r="C1871">
        <v>3260937.5</v>
      </c>
      <c r="D1871">
        <v>-26621498.049310692</v>
      </c>
      <c r="E1871">
        <v>6.5311709276795266E-6</v>
      </c>
      <c r="F1871">
        <v>7.3259874902453786E-6</v>
      </c>
      <c r="G1871">
        <v>-7.9481656256585119E-7</v>
      </c>
      <c r="H1871" t="b">
        <v>1</v>
      </c>
    </row>
    <row r="1872" spans="1:8" x14ac:dyDescent="0.15">
      <c r="A1872">
        <v>177</v>
      </c>
      <c r="B1872">
        <v>7</v>
      </c>
      <c r="C1872">
        <v>3353906.25</v>
      </c>
      <c r="D1872">
        <v>-5635955.8128337031</v>
      </c>
      <c r="E1872">
        <v>7.2058425054342594E-6</v>
      </c>
      <c r="F1872">
        <v>7.3259874902453786E-6</v>
      </c>
      <c r="G1872">
        <v>-1.2014498481111919E-7</v>
      </c>
      <c r="H1872" t="b">
        <v>1</v>
      </c>
    </row>
    <row r="1873" spans="1:8" x14ac:dyDescent="0.15">
      <c r="A1873">
        <v>177</v>
      </c>
      <c r="B1873">
        <v>8</v>
      </c>
      <c r="C1873">
        <v>3400390.625</v>
      </c>
      <c r="D1873">
        <v>12477221.7739431</v>
      </c>
      <c r="E1873">
        <v>7.5569284496880853E-6</v>
      </c>
      <c r="F1873">
        <v>7.3259874902453786E-6</v>
      </c>
      <c r="G1873">
        <v>2.3094095944270671E-7</v>
      </c>
      <c r="H1873" t="b">
        <v>0</v>
      </c>
    </row>
    <row r="1874" spans="1:8" x14ac:dyDescent="0.15">
      <c r="A1874">
        <v>177</v>
      </c>
      <c r="B1874">
        <v>9</v>
      </c>
      <c r="C1874">
        <v>3377148.4375</v>
      </c>
      <c r="D1874">
        <v>2736626.2484471919</v>
      </c>
      <c r="E1874">
        <v>7.380244100950894E-6</v>
      </c>
      <c r="F1874">
        <v>7.3259874902453786E-6</v>
      </c>
      <c r="G1874">
        <v>5.4256610705515343E-8</v>
      </c>
      <c r="H1874" t="b">
        <v>0</v>
      </c>
    </row>
    <row r="1875" spans="1:8" x14ac:dyDescent="0.15">
      <c r="A1875">
        <v>177</v>
      </c>
      <c r="B1875">
        <v>10</v>
      </c>
      <c r="C1875">
        <v>3388769.53125</v>
      </c>
      <c r="D1875">
        <v>7432491.5633121245</v>
      </c>
      <c r="E1875">
        <v>7.4683017305276137E-6</v>
      </c>
      <c r="F1875">
        <v>7.3259874902453786E-6</v>
      </c>
      <c r="G1875">
        <v>1.4231424028223509E-7</v>
      </c>
      <c r="H1875" t="b">
        <v>0</v>
      </c>
    </row>
    <row r="1876" spans="1:8" x14ac:dyDescent="0.15">
      <c r="A1876">
        <v>177</v>
      </c>
      <c r="B1876">
        <v>11</v>
      </c>
      <c r="C1876">
        <v>3382958.984375</v>
      </c>
      <c r="D1876">
        <v>5041374.4201549105</v>
      </c>
      <c r="E1876">
        <v>7.4242016940694546E-6</v>
      </c>
      <c r="F1876">
        <v>7.3259874902453786E-6</v>
      </c>
      <c r="G1876">
        <v>9.8214203824075949E-8</v>
      </c>
      <c r="H1876" t="b">
        <v>0</v>
      </c>
    </row>
    <row r="1877" spans="1:8" x14ac:dyDescent="0.15">
      <c r="A1877">
        <v>177</v>
      </c>
      <c r="B1877">
        <v>12</v>
      </c>
      <c r="C1877">
        <v>3380053.7109375</v>
      </c>
      <c r="D1877">
        <v>3878273.4658593321</v>
      </c>
      <c r="E1877">
        <v>7.4022053827454003E-6</v>
      </c>
      <c r="F1877">
        <v>7.3259874902453786E-6</v>
      </c>
      <c r="G1877">
        <v>7.6217892500021661E-8</v>
      </c>
      <c r="H1877" t="b">
        <v>0</v>
      </c>
    </row>
    <row r="1878" spans="1:8" x14ac:dyDescent="0.15">
      <c r="A1878">
        <v>177</v>
      </c>
      <c r="B1878">
        <v>13</v>
      </c>
      <c r="C1878">
        <v>3378601.07421875</v>
      </c>
      <c r="D1878">
        <v>3304761.9496298982</v>
      </c>
      <c r="E1878">
        <v>7.391220115553441E-6</v>
      </c>
      <c r="F1878">
        <v>7.3259874902453786E-6</v>
      </c>
      <c r="G1878">
        <v>6.5232625308062391E-8</v>
      </c>
      <c r="H1878" t="b">
        <v>0</v>
      </c>
    </row>
    <row r="1879" spans="1:8" x14ac:dyDescent="0.15">
      <c r="A1879">
        <v>177</v>
      </c>
      <c r="B1879">
        <v>14</v>
      </c>
      <c r="C1879">
        <v>3379101.07421875</v>
      </c>
      <c r="D1879">
        <v>3501554.4999761321</v>
      </c>
      <c r="E1879">
        <v>7.3950001489971387E-6</v>
      </c>
      <c r="F1879">
        <v>7.3259874902453786E-6</v>
      </c>
      <c r="G1879">
        <v>6.9012658751760019E-8</v>
      </c>
      <c r="H1879" t="b">
        <v>0</v>
      </c>
    </row>
    <row r="1880" spans="1:8" x14ac:dyDescent="0.15">
      <c r="A1880">
        <v>177</v>
      </c>
      <c r="B1880">
        <v>15</v>
      </c>
      <c r="C1880">
        <v>3378851.07421875</v>
      </c>
      <c r="D1880">
        <v>3403078.842527444</v>
      </c>
      <c r="E1880">
        <v>7.3931100003053836E-6</v>
      </c>
      <c r="F1880">
        <v>7.3259874902453786E-6</v>
      </c>
      <c r="G1880">
        <v>6.712251006000496E-8</v>
      </c>
      <c r="H1880" t="b">
        <v>0</v>
      </c>
    </row>
    <row r="1881" spans="1:8" x14ac:dyDescent="0.15">
      <c r="A1881">
        <v>178</v>
      </c>
      <c r="B1881">
        <v>1</v>
      </c>
      <c r="C1881">
        <v>6050000</v>
      </c>
      <c r="D1881">
        <v>1790083854.9580669</v>
      </c>
      <c r="E1881">
        <v>1.567424682766052E-5</v>
      </c>
      <c r="F1881">
        <v>7.2166145598045183E-6</v>
      </c>
      <c r="G1881">
        <v>8.4576322678560051E-6</v>
      </c>
      <c r="H1881" t="b">
        <v>0</v>
      </c>
    </row>
    <row r="1882" spans="1:8" x14ac:dyDescent="0.15">
      <c r="A1882">
        <v>178</v>
      </c>
      <c r="B1882">
        <v>2</v>
      </c>
      <c r="C1882">
        <v>3075000</v>
      </c>
      <c r="D1882">
        <v>-495986.00290592457</v>
      </c>
      <c r="E1882">
        <v>1.201485783100441E-6</v>
      </c>
      <c r="F1882">
        <v>7.2166145598045191E-6</v>
      </c>
      <c r="G1882">
        <v>-6.0151287767040779E-6</v>
      </c>
      <c r="H1882" t="b">
        <v>1</v>
      </c>
    </row>
    <row r="1883" spans="1:8" x14ac:dyDescent="0.15">
      <c r="A1883">
        <v>178</v>
      </c>
      <c r="B1883">
        <v>3</v>
      </c>
      <c r="C1883">
        <v>4562500</v>
      </c>
      <c r="D1883">
        <v>-25800472.9337199</v>
      </c>
      <c r="E1883">
        <v>5.3528003739346054E-6</v>
      </c>
      <c r="F1883">
        <v>7.2166145598045191E-6</v>
      </c>
      <c r="G1883">
        <v>-1.8638141858699151E-6</v>
      </c>
      <c r="H1883" t="b">
        <v>1</v>
      </c>
    </row>
    <row r="1884" spans="1:8" x14ac:dyDescent="0.15">
      <c r="A1884">
        <v>178</v>
      </c>
      <c r="B1884">
        <v>4</v>
      </c>
      <c r="C1884">
        <v>5306250</v>
      </c>
      <c r="D1884">
        <v>141793160.88043591</v>
      </c>
      <c r="E1884">
        <v>8.8878534538958861E-6</v>
      </c>
      <c r="F1884">
        <v>7.2166145598045191E-6</v>
      </c>
      <c r="G1884">
        <v>1.6712388940913669E-6</v>
      </c>
      <c r="H1884" t="b">
        <v>0</v>
      </c>
    </row>
    <row r="1885" spans="1:8" x14ac:dyDescent="0.15">
      <c r="A1885">
        <v>178</v>
      </c>
      <c r="B1885">
        <v>5</v>
      </c>
      <c r="C1885">
        <v>4934375</v>
      </c>
      <c r="D1885">
        <v>-9702640.7538553029</v>
      </c>
      <c r="E1885">
        <v>7.0026791626492053E-6</v>
      </c>
      <c r="F1885">
        <v>7.2166145598045191E-6</v>
      </c>
      <c r="G1885">
        <v>-2.1393539715531379E-7</v>
      </c>
      <c r="H1885" t="b">
        <v>1</v>
      </c>
    </row>
    <row r="1886" spans="1:8" x14ac:dyDescent="0.15">
      <c r="A1886">
        <v>178</v>
      </c>
      <c r="B1886">
        <v>6</v>
      </c>
      <c r="C1886">
        <v>5120312.5</v>
      </c>
      <c r="D1886">
        <v>45179524.775194511</v>
      </c>
      <c r="E1886">
        <v>7.9172369460320536E-6</v>
      </c>
      <c r="F1886">
        <v>7.2166145598045191E-6</v>
      </c>
      <c r="G1886">
        <v>7.0062238622753445E-7</v>
      </c>
      <c r="H1886" t="b">
        <v>0</v>
      </c>
    </row>
    <row r="1887" spans="1:8" x14ac:dyDescent="0.15">
      <c r="A1887">
        <v>178</v>
      </c>
      <c r="B1887">
        <v>7</v>
      </c>
      <c r="C1887">
        <v>5027343.75</v>
      </c>
      <c r="D1887">
        <v>12925564.180876691</v>
      </c>
      <c r="E1887">
        <v>7.4527740141946939E-6</v>
      </c>
      <c r="F1887">
        <v>7.2166145598045191E-6</v>
      </c>
      <c r="G1887">
        <v>2.3615945439017479E-7</v>
      </c>
      <c r="H1887" t="b">
        <v>0</v>
      </c>
    </row>
    <row r="1888" spans="1:8" x14ac:dyDescent="0.15">
      <c r="A1888">
        <v>178</v>
      </c>
      <c r="B1888">
        <v>8</v>
      </c>
      <c r="C1888">
        <v>4980859.375</v>
      </c>
      <c r="D1888">
        <v>463844.38850086927</v>
      </c>
      <c r="E1888">
        <v>7.2258931594506291E-6</v>
      </c>
      <c r="F1888">
        <v>7.2166145598045191E-6</v>
      </c>
      <c r="G1888">
        <v>9.2785996461099967E-9</v>
      </c>
      <c r="H1888" t="b">
        <v>0</v>
      </c>
    </row>
    <row r="1889" spans="1:8" x14ac:dyDescent="0.15">
      <c r="A1889">
        <v>178</v>
      </c>
      <c r="B1889">
        <v>9</v>
      </c>
      <c r="C1889">
        <v>5004101.5625</v>
      </c>
      <c r="D1889">
        <v>6400404.7150016883</v>
      </c>
      <c r="E1889">
        <v>7.3388781122568216E-6</v>
      </c>
      <c r="F1889">
        <v>7.2166145598045191E-6</v>
      </c>
      <c r="G1889">
        <v>1.222635524523025E-7</v>
      </c>
      <c r="H1889" t="b">
        <v>0</v>
      </c>
    </row>
    <row r="1890" spans="1:8" x14ac:dyDescent="0.15">
      <c r="A1890">
        <v>178</v>
      </c>
      <c r="B1890">
        <v>10</v>
      </c>
      <c r="C1890">
        <v>4992480.46875</v>
      </c>
      <c r="D1890">
        <v>3359444.7204025881</v>
      </c>
      <c r="E1890">
        <v>7.282271231092679E-6</v>
      </c>
      <c r="F1890">
        <v>7.2166145598045191E-6</v>
      </c>
      <c r="G1890">
        <v>6.5656671288159882E-8</v>
      </c>
      <c r="H1890" t="b">
        <v>0</v>
      </c>
    </row>
    <row r="1891" spans="1:8" x14ac:dyDescent="0.15">
      <c r="A1891">
        <v>178</v>
      </c>
      <c r="B1891">
        <v>11</v>
      </c>
      <c r="C1891">
        <v>4998291.015625</v>
      </c>
      <c r="D1891">
        <v>4861649.3160897829</v>
      </c>
      <c r="E1891">
        <v>7.3105462825174267E-6</v>
      </c>
      <c r="F1891">
        <v>7.2166145598045191E-6</v>
      </c>
      <c r="G1891">
        <v>9.3931722712907551E-8</v>
      </c>
      <c r="H1891" t="b">
        <v>0</v>
      </c>
    </row>
    <row r="1892" spans="1:8" x14ac:dyDescent="0.15">
      <c r="A1892">
        <v>178</v>
      </c>
      <c r="B1892">
        <v>12</v>
      </c>
      <c r="C1892">
        <v>5001196.2890625</v>
      </c>
      <c r="D1892">
        <v>5626427.2094279258</v>
      </c>
      <c r="E1892">
        <v>7.3247047957433604E-6</v>
      </c>
      <c r="F1892">
        <v>7.2166145598045191E-6</v>
      </c>
      <c r="G1892">
        <v>1.080902359388404E-7</v>
      </c>
      <c r="H1892" t="b">
        <v>0</v>
      </c>
    </row>
    <row r="1893" spans="1:8" x14ac:dyDescent="0.15">
      <c r="A1893">
        <v>178</v>
      </c>
      <c r="B1893">
        <v>13</v>
      </c>
      <c r="C1893">
        <v>4999743.65234375</v>
      </c>
      <c r="D1893">
        <v>5242886.4446092295</v>
      </c>
      <c r="E1893">
        <v>7.3176236195961446E-6</v>
      </c>
      <c r="F1893">
        <v>7.2166145598045191E-6</v>
      </c>
      <c r="G1893">
        <v>1.010090597916263E-7</v>
      </c>
      <c r="H1893" t="b">
        <v>0</v>
      </c>
    </row>
    <row r="1894" spans="1:8" x14ac:dyDescent="0.15">
      <c r="A1894">
        <v>178</v>
      </c>
      <c r="B1894">
        <v>14</v>
      </c>
      <c r="C1894">
        <v>4998543.65234375</v>
      </c>
      <c r="D1894">
        <v>4927790.8570511863</v>
      </c>
      <c r="E1894">
        <v>7.3117769361516123E-6</v>
      </c>
      <c r="F1894">
        <v>7.2166145598045191E-6</v>
      </c>
      <c r="G1894">
        <v>9.5162376347093193E-8</v>
      </c>
      <c r="H1894" t="b">
        <v>0</v>
      </c>
    </row>
    <row r="1895" spans="1:8" x14ac:dyDescent="0.15">
      <c r="A1895">
        <v>178</v>
      </c>
      <c r="B1895">
        <v>15</v>
      </c>
      <c r="C1895">
        <v>4999143.65234375</v>
      </c>
      <c r="D1895">
        <v>5085136.1447449364</v>
      </c>
      <c r="E1895">
        <v>7.3146998364310816E-6</v>
      </c>
      <c r="F1895">
        <v>7.2166145598045191E-6</v>
      </c>
      <c r="G1895">
        <v>9.8085276626563311E-8</v>
      </c>
      <c r="H1895" t="b">
        <v>0</v>
      </c>
    </row>
    <row r="1896" spans="1:8" x14ac:dyDescent="0.15">
      <c r="A1896">
        <v>178</v>
      </c>
      <c r="B1896">
        <v>16</v>
      </c>
      <c r="C1896">
        <v>4998843.65234375</v>
      </c>
      <c r="D1896">
        <v>5006422.1420711856</v>
      </c>
      <c r="E1896">
        <v>7.3132384476773629E-6</v>
      </c>
      <c r="F1896">
        <v>7.2166145598045191E-6</v>
      </c>
      <c r="G1896">
        <v>9.6623887872843728E-8</v>
      </c>
      <c r="H1896" t="b">
        <v>0</v>
      </c>
    </row>
    <row r="1897" spans="1:8" x14ac:dyDescent="0.15">
      <c r="A1897">
        <v>179</v>
      </c>
      <c r="B1897">
        <v>1</v>
      </c>
      <c r="C1897">
        <v>6050000</v>
      </c>
      <c r="D1897">
        <v>-26955866.57708725</v>
      </c>
      <c r="E1897">
        <v>6.3493074954587261E-6</v>
      </c>
      <c r="F1897">
        <v>7.1629011260640252E-6</v>
      </c>
      <c r="G1897">
        <v>-8.1359363060529917E-7</v>
      </c>
      <c r="H1897" t="b">
        <v>1</v>
      </c>
    </row>
    <row r="1898" spans="1:8" x14ac:dyDescent="0.15">
      <c r="A1898">
        <v>179</v>
      </c>
      <c r="B1898">
        <v>2</v>
      </c>
      <c r="C1898">
        <v>9025000</v>
      </c>
      <c r="D1898">
        <v>11080232901.141569</v>
      </c>
      <c r="E1898">
        <v>3.8853736847223403E-5</v>
      </c>
      <c r="F1898">
        <v>7.1629011260640244E-6</v>
      </c>
      <c r="G1898">
        <v>3.169083572115938E-5</v>
      </c>
      <c r="H1898" t="b">
        <v>0</v>
      </c>
    </row>
    <row r="1899" spans="1:8" x14ac:dyDescent="0.15">
      <c r="A1899">
        <v>179</v>
      </c>
      <c r="B1899">
        <v>3</v>
      </c>
      <c r="C1899">
        <v>7537500</v>
      </c>
      <c r="D1899">
        <v>1336616660.2938919</v>
      </c>
      <c r="E1899">
        <v>1.4150080163737021E-5</v>
      </c>
      <c r="F1899">
        <v>7.1629011260640252E-6</v>
      </c>
      <c r="G1899">
        <v>6.9871790376729946E-6</v>
      </c>
      <c r="H1899" t="b">
        <v>0</v>
      </c>
    </row>
    <row r="1900" spans="1:8" x14ac:dyDescent="0.15">
      <c r="A1900">
        <v>179</v>
      </c>
      <c r="B1900">
        <v>4</v>
      </c>
      <c r="C1900">
        <v>6793750</v>
      </c>
      <c r="D1900">
        <v>195903744.46129611</v>
      </c>
      <c r="E1900">
        <v>9.2424514008963497E-6</v>
      </c>
      <c r="F1900">
        <v>7.1629011260640252E-6</v>
      </c>
      <c r="G1900">
        <v>2.079550274832324E-6</v>
      </c>
      <c r="H1900" t="b">
        <v>0</v>
      </c>
    </row>
    <row r="1901" spans="1:8" x14ac:dyDescent="0.15">
      <c r="A1901">
        <v>179</v>
      </c>
      <c r="B1901">
        <v>5</v>
      </c>
      <c r="C1901">
        <v>6421875</v>
      </c>
      <c r="D1901">
        <v>35153087.934014507</v>
      </c>
      <c r="E1901">
        <v>7.7293059186967603E-6</v>
      </c>
      <c r="F1901">
        <v>7.1629011260640252E-6</v>
      </c>
      <c r="G1901">
        <v>5.664047926327351E-7</v>
      </c>
      <c r="H1901" t="b">
        <v>0</v>
      </c>
    </row>
    <row r="1902" spans="1:8" x14ac:dyDescent="0.15">
      <c r="A1902">
        <v>179</v>
      </c>
      <c r="B1902">
        <v>6</v>
      </c>
      <c r="C1902">
        <v>6235937.5</v>
      </c>
      <c r="D1902">
        <v>-6633185.8882944249</v>
      </c>
      <c r="E1902">
        <v>7.0219250406050566E-6</v>
      </c>
      <c r="F1902">
        <v>7.1629011260640252E-6</v>
      </c>
      <c r="G1902">
        <v>-1.4097608545896771E-7</v>
      </c>
      <c r="H1902" t="b">
        <v>1</v>
      </c>
    </row>
    <row r="1903" spans="1:8" x14ac:dyDescent="0.15">
      <c r="A1903">
        <v>179</v>
      </c>
      <c r="B1903">
        <v>7</v>
      </c>
      <c r="C1903">
        <v>6328906.25</v>
      </c>
      <c r="D1903">
        <v>11348211.186998179</v>
      </c>
      <c r="E1903">
        <v>7.3713436874305026E-6</v>
      </c>
      <c r="F1903">
        <v>7.1629011260640252E-6</v>
      </c>
      <c r="G1903">
        <v>2.0844256136647741E-7</v>
      </c>
      <c r="H1903" t="b">
        <v>0</v>
      </c>
    </row>
    <row r="1904" spans="1:8" x14ac:dyDescent="0.15">
      <c r="A1904">
        <v>179</v>
      </c>
      <c r="B1904">
        <v>8</v>
      </c>
      <c r="C1904">
        <v>6282421.875</v>
      </c>
      <c r="D1904">
        <v>1655892.7031387051</v>
      </c>
      <c r="E1904">
        <v>7.1955513405329288E-6</v>
      </c>
      <c r="F1904">
        <v>7.1629011260640252E-6</v>
      </c>
      <c r="G1904">
        <v>3.2650214468903622E-8</v>
      </c>
      <c r="H1904" t="b">
        <v>0</v>
      </c>
    </row>
    <row r="1905" spans="1:8" x14ac:dyDescent="0.15">
      <c r="A1905">
        <v>179</v>
      </c>
      <c r="B1905">
        <v>9</v>
      </c>
      <c r="C1905">
        <v>6305664.0625</v>
      </c>
      <c r="D1905">
        <v>6323188.33376987</v>
      </c>
      <c r="E1905">
        <v>7.2831778316785646E-6</v>
      </c>
      <c r="F1905">
        <v>7.1629011260640252E-6</v>
      </c>
      <c r="G1905">
        <v>1.2027670561454019E-7</v>
      </c>
      <c r="H1905" t="b">
        <v>0</v>
      </c>
    </row>
    <row r="1906" spans="1:8" x14ac:dyDescent="0.15">
      <c r="A1906">
        <v>180</v>
      </c>
      <c r="B1906">
        <v>1</v>
      </c>
      <c r="C1906">
        <v>6050000</v>
      </c>
      <c r="D1906">
        <v>1711707282.2809329</v>
      </c>
      <c r="E1906">
        <v>1.5273649051242369E-5</v>
      </c>
      <c r="F1906">
        <v>7.1629011260640252E-6</v>
      </c>
      <c r="G1906">
        <v>8.1107479251783439E-6</v>
      </c>
      <c r="H1906" t="b">
        <v>0</v>
      </c>
    </row>
    <row r="1907" spans="1:8" x14ac:dyDescent="0.15">
      <c r="A1907">
        <v>180</v>
      </c>
      <c r="B1907">
        <v>2</v>
      </c>
      <c r="C1907">
        <v>3075000</v>
      </c>
      <c r="D1907">
        <v>-488989.94963185728</v>
      </c>
      <c r="E1907">
        <v>1.171008777670083E-6</v>
      </c>
      <c r="F1907">
        <v>7.1629011260640252E-6</v>
      </c>
      <c r="G1907">
        <v>-5.9918923483939423E-6</v>
      </c>
      <c r="H1907" t="b">
        <v>1</v>
      </c>
    </row>
    <row r="1908" spans="1:8" x14ac:dyDescent="0.15">
      <c r="A1908">
        <v>180</v>
      </c>
      <c r="B1908">
        <v>3</v>
      </c>
      <c r="C1908">
        <v>4562500</v>
      </c>
      <c r="D1908">
        <v>-24986188.0918574</v>
      </c>
      <c r="E1908">
        <v>5.2656702159644312E-6</v>
      </c>
      <c r="F1908">
        <v>7.1629011260640252E-6</v>
      </c>
      <c r="G1908">
        <v>-1.897230910099594E-6</v>
      </c>
      <c r="H1908" t="b">
        <v>1</v>
      </c>
    </row>
    <row r="1909" spans="1:8" x14ac:dyDescent="0.15">
      <c r="A1909">
        <v>180</v>
      </c>
      <c r="B1909">
        <v>4</v>
      </c>
      <c r="C1909">
        <v>5306250</v>
      </c>
      <c r="D1909">
        <v>133333936.47307371</v>
      </c>
      <c r="E1909">
        <v>8.7528021636847031E-6</v>
      </c>
      <c r="F1909">
        <v>7.1629011260640252E-6</v>
      </c>
      <c r="G1909">
        <v>1.5899010376206781E-6</v>
      </c>
      <c r="H1909" t="b">
        <v>0</v>
      </c>
    </row>
    <row r="1910" spans="1:8" x14ac:dyDescent="0.15">
      <c r="A1910">
        <v>180</v>
      </c>
      <c r="B1910">
        <v>5</v>
      </c>
      <c r="C1910">
        <v>4934375</v>
      </c>
      <c r="D1910">
        <v>-11994554.337053699</v>
      </c>
      <c r="E1910">
        <v>6.8923328312403747E-6</v>
      </c>
      <c r="F1910">
        <v>7.1629011260640252E-6</v>
      </c>
      <c r="G1910">
        <v>-2.7056829482365058E-7</v>
      </c>
      <c r="H1910" t="b">
        <v>1</v>
      </c>
    </row>
    <row r="1911" spans="1:8" x14ac:dyDescent="0.15">
      <c r="A1911">
        <v>180</v>
      </c>
      <c r="B1911">
        <v>6</v>
      </c>
      <c r="C1911">
        <v>5120312.5</v>
      </c>
      <c r="D1911">
        <v>40092507.990508333</v>
      </c>
      <c r="E1911">
        <v>7.7946951929419807E-6</v>
      </c>
      <c r="F1911">
        <v>7.1629011260640252E-6</v>
      </c>
      <c r="G1911">
        <v>6.3179406687795547E-7</v>
      </c>
      <c r="H1911" t="b">
        <v>0</v>
      </c>
    </row>
    <row r="1912" spans="1:8" x14ac:dyDescent="0.15">
      <c r="A1912">
        <v>180</v>
      </c>
      <c r="B1912">
        <v>7</v>
      </c>
      <c r="C1912">
        <v>5027343.75</v>
      </c>
      <c r="D1912">
        <v>9313615.2651654445</v>
      </c>
      <c r="E1912">
        <v>7.3363399568528403E-6</v>
      </c>
      <c r="F1912">
        <v>7.1629011260640252E-6</v>
      </c>
      <c r="G1912">
        <v>1.7343883078881501E-7</v>
      </c>
      <c r="H1912" t="b">
        <v>0</v>
      </c>
    </row>
    <row r="1913" spans="1:8" x14ac:dyDescent="0.15">
      <c r="A1913">
        <v>180</v>
      </c>
      <c r="B1913">
        <v>8</v>
      </c>
      <c r="C1913">
        <v>4980859.375</v>
      </c>
      <c r="D1913">
        <v>-2466984.171411233</v>
      </c>
      <c r="E1913">
        <v>7.1125147301755306E-6</v>
      </c>
      <c r="F1913">
        <v>7.1629011260640252E-6</v>
      </c>
      <c r="G1913">
        <v>-5.0386395888493803E-8</v>
      </c>
      <c r="H1913" t="b">
        <v>1</v>
      </c>
    </row>
    <row r="1914" spans="1:8" x14ac:dyDescent="0.15">
      <c r="A1914">
        <v>180</v>
      </c>
      <c r="B1914">
        <v>9</v>
      </c>
      <c r="C1914">
        <v>5004101.5625</v>
      </c>
      <c r="D1914">
        <v>3134129.467682682</v>
      </c>
      <c r="E1914">
        <v>7.2239742084072782E-6</v>
      </c>
      <c r="F1914">
        <v>7.1629011260640252E-6</v>
      </c>
      <c r="G1914">
        <v>6.1073082343253021E-8</v>
      </c>
      <c r="H1914" t="b">
        <v>0</v>
      </c>
    </row>
    <row r="1915" spans="1:8" x14ac:dyDescent="0.15">
      <c r="A1915">
        <v>180</v>
      </c>
      <c r="B1915">
        <v>10</v>
      </c>
      <c r="C1915">
        <v>5015722.65625</v>
      </c>
      <c r="D1915">
        <v>6150656.601052789</v>
      </c>
      <c r="E1915">
        <v>7.2800440499448023E-6</v>
      </c>
      <c r="F1915">
        <v>7.1629011260640252E-6</v>
      </c>
      <c r="G1915">
        <v>1.171429238807771E-7</v>
      </c>
      <c r="H1915" t="b">
        <v>0</v>
      </c>
    </row>
    <row r="1916" spans="1:8" x14ac:dyDescent="0.15">
      <c r="A1916">
        <v>180</v>
      </c>
      <c r="B1916">
        <v>11</v>
      </c>
      <c r="C1916">
        <v>5009912.109375</v>
      </c>
      <c r="D1916">
        <v>4624204.2260801038</v>
      </c>
      <c r="E1916">
        <v>7.2519808651790201E-6</v>
      </c>
      <c r="F1916">
        <v>7.1629011260640252E-6</v>
      </c>
      <c r="G1916">
        <v>8.9079739114994894E-8</v>
      </c>
      <c r="H1916" t="b">
        <v>0</v>
      </c>
    </row>
    <row r="1917" spans="1:8" x14ac:dyDescent="0.15">
      <c r="A1917">
        <v>180</v>
      </c>
      <c r="B1917">
        <v>12</v>
      </c>
      <c r="C1917">
        <v>5012817.3828125</v>
      </c>
      <c r="D1917">
        <v>5382868.9931241274</v>
      </c>
      <c r="E1917">
        <v>7.2660053965979071E-6</v>
      </c>
      <c r="F1917">
        <v>7.1629011260640252E-6</v>
      </c>
      <c r="G1917">
        <v>1.031042705338818E-7</v>
      </c>
      <c r="H1917" t="b">
        <v>0</v>
      </c>
    </row>
    <row r="1918" spans="1:8" x14ac:dyDescent="0.15">
      <c r="A1918">
        <v>180</v>
      </c>
      <c r="B1918">
        <v>13</v>
      </c>
      <c r="C1918">
        <v>5011364.74609375</v>
      </c>
      <c r="D1918">
        <v>5002412.7631623624</v>
      </c>
      <c r="E1918">
        <v>7.2589916374258428E-6</v>
      </c>
      <c r="F1918">
        <v>7.1629011260640252E-6</v>
      </c>
      <c r="G1918">
        <v>9.6090511361817544E-8</v>
      </c>
      <c r="H1918" t="b">
        <v>0</v>
      </c>
    </row>
    <row r="1919" spans="1:8" x14ac:dyDescent="0.15">
      <c r="A1919">
        <v>181</v>
      </c>
      <c r="B1919">
        <v>1</v>
      </c>
      <c r="C1919">
        <v>6050000</v>
      </c>
      <c r="D1919">
        <v>46514230825.292</v>
      </c>
      <c r="E1919">
        <v>6.9688155354613005E-5</v>
      </c>
      <c r="F1919">
        <v>5.408805722959895E-6</v>
      </c>
      <c r="G1919">
        <v>6.427934963165311E-5</v>
      </c>
      <c r="H1919" t="b">
        <v>0</v>
      </c>
    </row>
    <row r="1920" spans="1:8" x14ac:dyDescent="0.15">
      <c r="A1920">
        <v>181</v>
      </c>
      <c r="B1920">
        <v>2</v>
      </c>
      <c r="C1920">
        <v>3075000</v>
      </c>
      <c r="D1920">
        <v>-7119818.5081032543</v>
      </c>
      <c r="E1920">
        <v>2.9674195602060382E-6</v>
      </c>
      <c r="F1920">
        <v>5.4088057229598891E-6</v>
      </c>
      <c r="G1920">
        <v>-2.4413861627538509E-6</v>
      </c>
      <c r="H1920" t="b">
        <v>1</v>
      </c>
    </row>
    <row r="1921" spans="1:8" x14ac:dyDescent="0.15">
      <c r="A1921">
        <v>181</v>
      </c>
      <c r="B1921">
        <v>3</v>
      </c>
      <c r="C1921">
        <v>4562500</v>
      </c>
      <c r="D1921">
        <v>2859767290.5266318</v>
      </c>
      <c r="E1921">
        <v>1.397485629579203E-5</v>
      </c>
      <c r="F1921">
        <v>5.4088057229598882E-6</v>
      </c>
      <c r="G1921">
        <v>8.566050572832142E-6</v>
      </c>
      <c r="H1921" t="b">
        <v>0</v>
      </c>
    </row>
    <row r="1922" spans="1:8" x14ac:dyDescent="0.15">
      <c r="A1922">
        <v>181</v>
      </c>
      <c r="B1922">
        <v>4</v>
      </c>
      <c r="C1922">
        <v>3818750</v>
      </c>
      <c r="D1922">
        <v>110617351.3258228</v>
      </c>
      <c r="E1922">
        <v>6.5201256058167126E-6</v>
      </c>
      <c r="F1922">
        <v>5.4088057229598891E-6</v>
      </c>
      <c r="G1922">
        <v>1.111319882856824E-6</v>
      </c>
      <c r="H1922" t="b">
        <v>0</v>
      </c>
    </row>
    <row r="1923" spans="1:8" x14ac:dyDescent="0.15">
      <c r="A1923">
        <v>181</v>
      </c>
      <c r="B1923">
        <v>5</v>
      </c>
      <c r="C1923">
        <v>3446875</v>
      </c>
      <c r="D1923">
        <v>-25452667.135805499</v>
      </c>
      <c r="E1923">
        <v>4.5289508773863518E-6</v>
      </c>
      <c r="F1923">
        <v>5.4088057229598891E-6</v>
      </c>
      <c r="G1923">
        <v>-8.7985484557353726E-7</v>
      </c>
      <c r="H1923" t="b">
        <v>1</v>
      </c>
    </row>
    <row r="1924" spans="1:8" x14ac:dyDescent="0.15">
      <c r="A1924">
        <v>181</v>
      </c>
      <c r="B1924">
        <v>6</v>
      </c>
      <c r="C1924">
        <v>3632812.5</v>
      </c>
      <c r="D1924">
        <v>3890441.7143266122</v>
      </c>
      <c r="E1924">
        <v>5.4724615643810746E-6</v>
      </c>
      <c r="F1924">
        <v>5.4088057229598891E-6</v>
      </c>
      <c r="G1924">
        <v>6.3655841421186422E-8</v>
      </c>
      <c r="H1924" t="b">
        <v>0</v>
      </c>
    </row>
    <row r="1925" spans="1:8" x14ac:dyDescent="0.15">
      <c r="A1925">
        <v>181</v>
      </c>
      <c r="B1925">
        <v>7</v>
      </c>
      <c r="C1925">
        <v>3539843.75</v>
      </c>
      <c r="D1925">
        <v>-18552230.787322409</v>
      </c>
      <c r="E1925">
        <v>4.987573997923215E-6</v>
      </c>
      <c r="F1925">
        <v>5.4088057229598891E-6</v>
      </c>
      <c r="G1925">
        <v>-4.2123172503667412E-7</v>
      </c>
      <c r="H1925" t="b">
        <v>1</v>
      </c>
    </row>
    <row r="1926" spans="1:8" x14ac:dyDescent="0.15">
      <c r="A1926">
        <v>181</v>
      </c>
      <c r="B1926">
        <v>8</v>
      </c>
      <c r="C1926">
        <v>3586328.125</v>
      </c>
      <c r="D1926">
        <v>-9535183.0318617132</v>
      </c>
      <c r="E1926">
        <v>5.2267097096942594E-6</v>
      </c>
      <c r="F1926">
        <v>5.4088057229598891E-6</v>
      </c>
      <c r="G1926">
        <v>-1.820960132656306E-7</v>
      </c>
      <c r="H1926" t="b">
        <v>1</v>
      </c>
    </row>
    <row r="1927" spans="1:8" x14ac:dyDescent="0.15">
      <c r="A1927">
        <v>181</v>
      </c>
      <c r="B1927">
        <v>9</v>
      </c>
      <c r="C1927">
        <v>3609570.3125</v>
      </c>
      <c r="D1927">
        <v>-3403825.3939691498</v>
      </c>
      <c r="E1927">
        <v>5.3487622797256053E-6</v>
      </c>
      <c r="F1927">
        <v>5.4088057229598891E-6</v>
      </c>
      <c r="G1927">
        <v>-6.0043443234283804E-8</v>
      </c>
      <c r="H1927" t="b">
        <v>1</v>
      </c>
    </row>
    <row r="1928" spans="1:8" x14ac:dyDescent="0.15">
      <c r="A1928">
        <v>181</v>
      </c>
      <c r="B1928">
        <v>10</v>
      </c>
      <c r="C1928">
        <v>3621191.40625</v>
      </c>
      <c r="D1928">
        <v>94288.30045833523</v>
      </c>
      <c r="E1928">
        <v>5.410406793222576E-6</v>
      </c>
      <c r="F1928">
        <v>5.4088057229598891E-6</v>
      </c>
      <c r="G1928">
        <v>1.601070262686918E-9</v>
      </c>
      <c r="H1928" t="b">
        <v>0</v>
      </c>
    </row>
    <row r="1929" spans="1:8" x14ac:dyDescent="0.15">
      <c r="A1929">
        <v>181</v>
      </c>
      <c r="B1929">
        <v>11</v>
      </c>
      <c r="C1929">
        <v>3627001.953125</v>
      </c>
      <c r="D1929">
        <v>1954662.880696628</v>
      </c>
      <c r="E1929">
        <v>5.4413830166126821E-6</v>
      </c>
      <c r="F1929">
        <v>5.4088057229598891E-6</v>
      </c>
      <c r="G1929">
        <v>3.2577293652793058E-8</v>
      </c>
      <c r="H1929" t="b">
        <v>0</v>
      </c>
    </row>
    <row r="1930" spans="1:8" x14ac:dyDescent="0.15">
      <c r="A1930">
        <v>181</v>
      </c>
      <c r="B1930">
        <v>12</v>
      </c>
      <c r="C1930">
        <v>3629907.2265625</v>
      </c>
      <c r="D1930">
        <v>2913076.7355462341</v>
      </c>
      <c r="E1930">
        <v>5.4569096008536926E-6</v>
      </c>
      <c r="F1930">
        <v>5.4088057229598891E-6</v>
      </c>
      <c r="G1930">
        <v>4.8103877893804408E-8</v>
      </c>
      <c r="H1930" t="b">
        <v>0</v>
      </c>
    </row>
    <row r="1931" spans="1:8" x14ac:dyDescent="0.15">
      <c r="A1931">
        <v>181</v>
      </c>
      <c r="B1931">
        <v>13</v>
      </c>
      <c r="C1931">
        <v>3631359.86328125</v>
      </c>
      <c r="D1931">
        <v>3399373.1327894558</v>
      </c>
      <c r="E1931">
        <v>5.464682247440043E-6</v>
      </c>
      <c r="F1931">
        <v>5.4088057229598891E-6</v>
      </c>
      <c r="G1931">
        <v>5.5876524480153899E-8</v>
      </c>
      <c r="H1931" t="b">
        <v>0</v>
      </c>
    </row>
    <row r="1932" spans="1:8" x14ac:dyDescent="0.15">
      <c r="A1932">
        <v>181</v>
      </c>
      <c r="B1932">
        <v>14</v>
      </c>
      <c r="C1932">
        <v>3632559.86328125</v>
      </c>
      <c r="D1932">
        <v>3804709.156561865</v>
      </c>
      <c r="E1932">
        <v>5.4711083834155133E-6</v>
      </c>
      <c r="F1932">
        <v>5.4088057229598891E-6</v>
      </c>
      <c r="G1932">
        <v>6.2302660455624246E-8</v>
      </c>
      <c r="H1932" t="b">
        <v>0</v>
      </c>
    </row>
    <row r="1933" spans="1:8" x14ac:dyDescent="0.15">
      <c r="A1933">
        <v>181</v>
      </c>
      <c r="B1933">
        <v>15</v>
      </c>
      <c r="C1933">
        <v>3631959.86328125</v>
      </c>
      <c r="D1933">
        <v>3601642.096391499</v>
      </c>
      <c r="E1933">
        <v>5.4678948822404113E-6</v>
      </c>
      <c r="F1933">
        <v>5.4088057229598891E-6</v>
      </c>
      <c r="G1933">
        <v>5.9089159280522233E-8</v>
      </c>
      <c r="H1933" t="b">
        <v>0</v>
      </c>
    </row>
    <row r="1934" spans="1:8" x14ac:dyDescent="0.15">
      <c r="A1934">
        <v>182</v>
      </c>
      <c r="B1934">
        <v>1</v>
      </c>
      <c r="C1934">
        <v>6050000</v>
      </c>
      <c r="D1934">
        <v>12316987542.89982</v>
      </c>
      <c r="E1934">
        <v>2.7910144925007371E-5</v>
      </c>
      <c r="F1934">
        <v>5.0837688903806506E-6</v>
      </c>
      <c r="G1934">
        <v>2.282637603462672E-5</v>
      </c>
      <c r="H1934" t="b">
        <v>0</v>
      </c>
    </row>
    <row r="1935" spans="1:8" x14ac:dyDescent="0.15">
      <c r="A1935">
        <v>182</v>
      </c>
      <c r="B1935">
        <v>2</v>
      </c>
      <c r="C1935">
        <v>3075000</v>
      </c>
      <c r="D1935">
        <v>-1373018.251317055</v>
      </c>
      <c r="E1935">
        <v>1.6293489805548941E-6</v>
      </c>
      <c r="F1935">
        <v>5.0837688903806489E-6</v>
      </c>
      <c r="G1935">
        <v>-3.4544199098257551E-6</v>
      </c>
      <c r="H1935" t="b">
        <v>1</v>
      </c>
    </row>
    <row r="1936" spans="1:8" x14ac:dyDescent="0.15">
      <c r="A1936">
        <v>182</v>
      </c>
      <c r="B1936">
        <v>3</v>
      </c>
      <c r="C1936">
        <v>4562500</v>
      </c>
      <c r="D1936">
        <v>213594627.79955429</v>
      </c>
      <c r="E1936">
        <v>6.7362431224078874E-6</v>
      </c>
      <c r="F1936">
        <v>5.0837688903806489E-6</v>
      </c>
      <c r="G1936">
        <v>1.652474232027238E-6</v>
      </c>
      <c r="H1936" t="b">
        <v>0</v>
      </c>
    </row>
    <row r="1937" spans="1:8" x14ac:dyDescent="0.15">
      <c r="A1937">
        <v>182</v>
      </c>
      <c r="B1937">
        <v>4</v>
      </c>
      <c r="C1937">
        <v>3818750</v>
      </c>
      <c r="D1937">
        <v>-17422238.293886811</v>
      </c>
      <c r="E1937">
        <v>3.5875530974132862E-6</v>
      </c>
      <c r="F1937">
        <v>5.0837688903806489E-6</v>
      </c>
      <c r="G1937">
        <v>-1.4962157929673629E-6</v>
      </c>
      <c r="H1937" t="b">
        <v>1</v>
      </c>
    </row>
    <row r="1938" spans="1:8" x14ac:dyDescent="0.15">
      <c r="A1938">
        <v>182</v>
      </c>
      <c r="B1938">
        <v>5</v>
      </c>
      <c r="C1938">
        <v>4190625</v>
      </c>
      <c r="D1938">
        <v>-3785540.828377482</v>
      </c>
      <c r="E1938">
        <v>5.0187342439747559E-6</v>
      </c>
      <c r="F1938">
        <v>5.0837688903806489E-6</v>
      </c>
      <c r="G1938">
        <v>-6.5034646405893013E-8</v>
      </c>
      <c r="H1938" t="b">
        <v>1</v>
      </c>
    </row>
    <row r="1939" spans="1:8" x14ac:dyDescent="0.15">
      <c r="A1939">
        <v>182</v>
      </c>
      <c r="B1939">
        <v>6</v>
      </c>
      <c r="C1939">
        <v>4376562.5</v>
      </c>
      <c r="D1939">
        <v>69829356.413155824</v>
      </c>
      <c r="E1939">
        <v>5.8430712216930598E-6</v>
      </c>
      <c r="F1939">
        <v>5.0837688903806489E-6</v>
      </c>
      <c r="G1939">
        <v>7.5930233131241091E-7</v>
      </c>
      <c r="H1939" t="b">
        <v>0</v>
      </c>
    </row>
    <row r="1940" spans="1:8" x14ac:dyDescent="0.15">
      <c r="A1940">
        <v>182</v>
      </c>
      <c r="B1940">
        <v>7</v>
      </c>
      <c r="C1940">
        <v>4283593.75</v>
      </c>
      <c r="D1940">
        <v>25222531.13872828</v>
      </c>
      <c r="E1940">
        <v>5.4220945434992246E-6</v>
      </c>
      <c r="F1940">
        <v>5.0837688903806489E-6</v>
      </c>
      <c r="G1940">
        <v>3.3832565311857661E-7</v>
      </c>
      <c r="H1940" t="b">
        <v>0</v>
      </c>
    </row>
    <row r="1941" spans="1:8" x14ac:dyDescent="0.15">
      <c r="A1941">
        <v>182</v>
      </c>
      <c r="B1941">
        <v>8</v>
      </c>
      <c r="C1941">
        <v>4237109.375</v>
      </c>
      <c r="D1941">
        <v>8902059.4339892771</v>
      </c>
      <c r="E1941">
        <v>5.2181778182886494E-6</v>
      </c>
      <c r="F1941">
        <v>5.0837688903806489E-6</v>
      </c>
      <c r="G1941">
        <v>1.344089279079996E-7</v>
      </c>
      <c r="H1941" t="b">
        <v>0</v>
      </c>
    </row>
    <row r="1942" spans="1:8" x14ac:dyDescent="0.15">
      <c r="A1942">
        <v>182</v>
      </c>
      <c r="B1942">
        <v>9</v>
      </c>
      <c r="C1942">
        <v>4213867.1875</v>
      </c>
      <c r="D1942">
        <v>2121957.236913682</v>
      </c>
      <c r="E1942">
        <v>5.1178946022333883E-6</v>
      </c>
      <c r="F1942">
        <v>5.0837688903806489E-6</v>
      </c>
      <c r="G1942">
        <v>3.4125711852739423E-8</v>
      </c>
      <c r="H1942" t="b">
        <v>0</v>
      </c>
    </row>
    <row r="1943" spans="1:8" x14ac:dyDescent="0.15">
      <c r="A1943">
        <v>182</v>
      </c>
      <c r="B1943">
        <v>10</v>
      </c>
      <c r="C1943">
        <v>4225488.28125</v>
      </c>
      <c r="D1943">
        <v>5400671.1464099456</v>
      </c>
      <c r="E1943">
        <v>5.1678962374599159E-6</v>
      </c>
      <c r="F1943">
        <v>5.0837688903806489E-6</v>
      </c>
      <c r="G1943">
        <v>8.4127347079266995E-8</v>
      </c>
      <c r="H1943" t="b">
        <v>0</v>
      </c>
    </row>
    <row r="1944" spans="1:8" x14ac:dyDescent="0.15">
      <c r="A1944">
        <v>182</v>
      </c>
      <c r="B1944">
        <v>11</v>
      </c>
      <c r="C1944">
        <v>4219677.734375</v>
      </c>
      <c r="D1944">
        <v>3733745.3321019928</v>
      </c>
      <c r="E1944">
        <v>5.1428601590147929E-6</v>
      </c>
      <c r="F1944">
        <v>5.0837688903806489E-6</v>
      </c>
      <c r="G1944">
        <v>5.9091268634144003E-8</v>
      </c>
      <c r="H1944" t="b">
        <v>0</v>
      </c>
    </row>
    <row r="1945" spans="1:8" x14ac:dyDescent="0.15">
      <c r="A1945">
        <v>182</v>
      </c>
      <c r="B1945">
        <v>12</v>
      </c>
      <c r="C1945">
        <v>4222583.0078125</v>
      </c>
      <c r="D1945">
        <v>4560290.6208922435</v>
      </c>
      <c r="E1945">
        <v>5.155369538018257E-6</v>
      </c>
      <c r="F1945">
        <v>5.0837688903806489E-6</v>
      </c>
      <c r="G1945">
        <v>7.1600647637608071E-8</v>
      </c>
      <c r="H1945" t="b">
        <v>0</v>
      </c>
    </row>
    <row r="1946" spans="1:8" x14ac:dyDescent="0.15">
      <c r="A1946">
        <v>182</v>
      </c>
      <c r="B1946">
        <v>13</v>
      </c>
      <c r="C1946">
        <v>4221130.37109375</v>
      </c>
      <c r="D1946">
        <v>4145297.8945116112</v>
      </c>
      <c r="E1946">
        <v>5.1491127580037958E-6</v>
      </c>
      <c r="F1946">
        <v>5.0837688903806489E-6</v>
      </c>
      <c r="G1946">
        <v>6.5343867623146919E-8</v>
      </c>
      <c r="H1946" t="b">
        <v>0</v>
      </c>
    </row>
    <row r="1947" spans="1:8" x14ac:dyDescent="0.15">
      <c r="A1947">
        <v>182</v>
      </c>
      <c r="B1947">
        <v>14</v>
      </c>
      <c r="C1947">
        <v>4221630.37109375</v>
      </c>
      <c r="D1947">
        <v>4287748.8917478696</v>
      </c>
      <c r="E1947">
        <v>5.1512658577623274E-6</v>
      </c>
      <c r="F1947">
        <v>5.0837688903806489E-6</v>
      </c>
      <c r="G1947">
        <v>6.7496967381677597E-8</v>
      </c>
      <c r="H1947" t="b">
        <v>0</v>
      </c>
    </row>
    <row r="1948" spans="1:8" x14ac:dyDescent="0.15">
      <c r="A1948">
        <v>182</v>
      </c>
      <c r="B1948">
        <v>15</v>
      </c>
      <c r="C1948">
        <v>4221380.37109375</v>
      </c>
      <c r="D1948">
        <v>4216458.9490733128</v>
      </c>
      <c r="E1948">
        <v>5.1501890422709151E-6</v>
      </c>
      <c r="F1948">
        <v>5.0837688903806489E-6</v>
      </c>
      <c r="G1948">
        <v>6.6420151890266197E-8</v>
      </c>
      <c r="H1948" t="b">
        <v>0</v>
      </c>
    </row>
    <row r="1949" spans="1:8" x14ac:dyDescent="0.15">
      <c r="A1949">
        <v>183</v>
      </c>
      <c r="B1949">
        <v>1</v>
      </c>
      <c r="C1949">
        <v>6050000</v>
      </c>
      <c r="D1949">
        <v>15800769648.826969</v>
      </c>
      <c r="E1949">
        <v>3.1936755711020617E-5</v>
      </c>
      <c r="F1949">
        <v>5.0224850177624711E-6</v>
      </c>
      <c r="G1949">
        <v>2.691427069325815E-5</v>
      </c>
      <c r="H1949" t="b">
        <v>0</v>
      </c>
    </row>
    <row r="1950" spans="1:8" x14ac:dyDescent="0.15">
      <c r="A1950">
        <v>183</v>
      </c>
      <c r="B1950">
        <v>2</v>
      </c>
      <c r="C1950">
        <v>3075000</v>
      </c>
      <c r="D1950">
        <v>-1669036.419119311</v>
      </c>
      <c r="E1950">
        <v>1.754707601436885E-6</v>
      </c>
      <c r="F1950">
        <v>5.0224850177624702E-6</v>
      </c>
      <c r="G1950">
        <v>-3.267777416325586E-6</v>
      </c>
      <c r="H1950" t="b">
        <v>1</v>
      </c>
    </row>
    <row r="1951" spans="1:8" x14ac:dyDescent="0.15">
      <c r="A1951">
        <v>183</v>
      </c>
      <c r="B1951">
        <v>3</v>
      </c>
      <c r="C1951">
        <v>4562500</v>
      </c>
      <c r="D1951">
        <v>348184820.92969489</v>
      </c>
      <c r="E1951">
        <v>7.2552219109720064E-6</v>
      </c>
      <c r="F1951">
        <v>5.0224850177624702E-6</v>
      </c>
      <c r="G1951">
        <v>2.2327368932095349E-6</v>
      </c>
      <c r="H1951" t="b">
        <v>0</v>
      </c>
    </row>
    <row r="1952" spans="1:8" x14ac:dyDescent="0.15">
      <c r="A1952">
        <v>183</v>
      </c>
      <c r="B1952">
        <v>4</v>
      </c>
      <c r="C1952">
        <v>3818750</v>
      </c>
      <c r="D1952">
        <v>-22008909.167864271</v>
      </c>
      <c r="E1952">
        <v>3.8851373906890272E-6</v>
      </c>
      <c r="F1952">
        <v>5.0224850177624702E-6</v>
      </c>
      <c r="G1952">
        <v>-1.137347627073443E-6</v>
      </c>
      <c r="H1952" t="b">
        <v>1</v>
      </c>
    </row>
    <row r="1953" spans="1:8" x14ac:dyDescent="0.15">
      <c r="A1953">
        <v>183</v>
      </c>
      <c r="B1953">
        <v>5</v>
      </c>
      <c r="C1953">
        <v>4190625</v>
      </c>
      <c r="D1953">
        <v>31163073.884240739</v>
      </c>
      <c r="E1953">
        <v>5.422743559104412E-6</v>
      </c>
      <c r="F1953">
        <v>5.0224850177624702E-6</v>
      </c>
      <c r="G1953">
        <v>4.0025854134194181E-7</v>
      </c>
      <c r="H1953" t="b">
        <v>0</v>
      </c>
    </row>
    <row r="1954" spans="1:8" x14ac:dyDescent="0.15">
      <c r="A1954">
        <v>183</v>
      </c>
      <c r="B1954">
        <v>6</v>
      </c>
      <c r="C1954">
        <v>4004687.5</v>
      </c>
      <c r="D1954">
        <v>-18260041.98191512</v>
      </c>
      <c r="E1954">
        <v>4.6156227686039598E-6</v>
      </c>
      <c r="F1954">
        <v>5.0224850177624702E-6</v>
      </c>
      <c r="G1954">
        <v>-4.0686224915851039E-7</v>
      </c>
      <c r="H1954" t="b">
        <v>1</v>
      </c>
    </row>
    <row r="1955" spans="1:8" x14ac:dyDescent="0.15">
      <c r="A1955">
        <v>183</v>
      </c>
      <c r="B1955">
        <v>7</v>
      </c>
      <c r="C1955">
        <v>4097656.25</v>
      </c>
      <c r="D1955">
        <v>-773147.72914265248</v>
      </c>
      <c r="E1955">
        <v>5.0097423451236518E-6</v>
      </c>
      <c r="F1955">
        <v>5.0224850177624702E-6</v>
      </c>
      <c r="G1955">
        <v>-1.274267263881838E-8</v>
      </c>
      <c r="H1955" t="b">
        <v>1</v>
      </c>
    </row>
    <row r="1956" spans="1:8" x14ac:dyDescent="0.15">
      <c r="A1956">
        <v>183</v>
      </c>
      <c r="B1956">
        <v>8</v>
      </c>
      <c r="C1956">
        <v>4144140.625</v>
      </c>
      <c r="D1956">
        <v>13231271.2457914</v>
      </c>
      <c r="E1956">
        <v>5.2139345103860567E-6</v>
      </c>
      <c r="F1956">
        <v>5.0224850177624702E-6</v>
      </c>
      <c r="G1956">
        <v>1.9144949262358729E-7</v>
      </c>
      <c r="H1956" t="b">
        <v>0</v>
      </c>
    </row>
    <row r="1957" spans="1:8" x14ac:dyDescent="0.15">
      <c r="A1957">
        <v>183</v>
      </c>
      <c r="B1957">
        <v>9</v>
      </c>
      <c r="C1957">
        <v>4120898.4375</v>
      </c>
      <c r="D1957">
        <v>5756422.0122528691</v>
      </c>
      <c r="E1957">
        <v>5.1112483838487907E-6</v>
      </c>
      <c r="F1957">
        <v>5.0224850177624702E-6</v>
      </c>
      <c r="G1957">
        <v>8.8763366086320482E-8</v>
      </c>
      <c r="H1957" t="b">
        <v>0</v>
      </c>
    </row>
    <row r="1958" spans="1:8" x14ac:dyDescent="0.15">
      <c r="A1958">
        <v>183</v>
      </c>
      <c r="B1958">
        <v>10</v>
      </c>
      <c r="C1958">
        <v>4109277.34375</v>
      </c>
      <c r="D1958">
        <v>2375941.7393720741</v>
      </c>
      <c r="E1958">
        <v>5.0603473913758879E-6</v>
      </c>
      <c r="F1958">
        <v>5.0224850177624702E-6</v>
      </c>
      <c r="G1958">
        <v>3.7862373613417742E-8</v>
      </c>
      <c r="H1958" t="b">
        <v>0</v>
      </c>
    </row>
    <row r="1959" spans="1:8" x14ac:dyDescent="0.15">
      <c r="A1959">
        <v>183</v>
      </c>
      <c r="B1959">
        <v>11</v>
      </c>
      <c r="C1959">
        <v>4115087.890625</v>
      </c>
      <c r="D1959">
        <v>4036953.5853829309</v>
      </c>
      <c r="E1959">
        <v>5.0857610553586782E-6</v>
      </c>
      <c r="F1959">
        <v>5.0224850177624702E-6</v>
      </c>
      <c r="G1959">
        <v>6.3276037596207955E-8</v>
      </c>
      <c r="H1959" t="b">
        <v>0</v>
      </c>
    </row>
    <row r="1960" spans="1:8" x14ac:dyDescent="0.15">
      <c r="A1960">
        <v>183</v>
      </c>
      <c r="B1960">
        <v>12</v>
      </c>
      <c r="C1960">
        <v>4117993.1640625</v>
      </c>
      <c r="D1960">
        <v>4889326.8059921153</v>
      </c>
      <c r="E1960">
        <v>5.0984952908429376E-6</v>
      </c>
      <c r="F1960">
        <v>5.0224850177624702E-6</v>
      </c>
      <c r="G1960">
        <v>7.6010273080467377E-8</v>
      </c>
      <c r="H1960" t="b">
        <v>0</v>
      </c>
    </row>
    <row r="1961" spans="1:8" x14ac:dyDescent="0.15">
      <c r="A1961">
        <v>183</v>
      </c>
      <c r="B1961">
        <v>13</v>
      </c>
      <c r="C1961">
        <v>4116540.52734375</v>
      </c>
      <c r="D1961">
        <v>4461314.9398304289</v>
      </c>
      <c r="E1961">
        <v>5.0921259658532976E-6</v>
      </c>
      <c r="F1961">
        <v>5.0224850177624702E-6</v>
      </c>
      <c r="G1961">
        <v>6.9640948090827374E-8</v>
      </c>
      <c r="H1961" t="b">
        <v>0</v>
      </c>
    </row>
    <row r="1962" spans="1:8" x14ac:dyDescent="0.15">
      <c r="A1962">
        <v>183</v>
      </c>
      <c r="B1962">
        <v>14</v>
      </c>
      <c r="C1962">
        <v>4115340.52734375</v>
      </c>
      <c r="D1962">
        <v>4110480.7085094359</v>
      </c>
      <c r="E1962">
        <v>5.0868674831858452E-6</v>
      </c>
      <c r="F1962">
        <v>5.0224850177624702E-6</v>
      </c>
      <c r="G1962">
        <v>6.4382465423375012E-8</v>
      </c>
      <c r="H1962" t="b">
        <v>0</v>
      </c>
    </row>
    <row r="1963" spans="1:8" x14ac:dyDescent="0.15">
      <c r="A1963">
        <v>184</v>
      </c>
      <c r="B1963">
        <v>1</v>
      </c>
      <c r="C1963">
        <v>6050000</v>
      </c>
      <c r="D1963">
        <v>32326281555.1884</v>
      </c>
      <c r="E1963">
        <v>4.9794292973258227E-5</v>
      </c>
      <c r="F1963">
        <v>4.9922820455158096E-6</v>
      </c>
      <c r="G1963">
        <v>4.4802010927742417E-5</v>
      </c>
      <c r="H1963" t="b">
        <v>0</v>
      </c>
    </row>
    <row r="1964" spans="1:8" x14ac:dyDescent="0.15">
      <c r="A1964">
        <v>184</v>
      </c>
      <c r="B1964">
        <v>2</v>
      </c>
      <c r="C1964">
        <v>3075000</v>
      </c>
      <c r="D1964">
        <v>-3739848.125467943</v>
      </c>
      <c r="E1964">
        <v>2.309411519621606E-6</v>
      </c>
      <c r="F1964">
        <v>4.992282045515813E-6</v>
      </c>
      <c r="G1964">
        <v>-2.6828705258942071E-6</v>
      </c>
      <c r="H1964" t="b">
        <v>1</v>
      </c>
    </row>
    <row r="1965" spans="1:8" x14ac:dyDescent="0.15">
      <c r="A1965">
        <v>184</v>
      </c>
      <c r="B1965">
        <v>3</v>
      </c>
      <c r="C1965">
        <v>4562500</v>
      </c>
      <c r="D1965">
        <v>1079231398.00809</v>
      </c>
      <c r="E1965">
        <v>9.3700443226074977E-6</v>
      </c>
      <c r="F1965">
        <v>4.992282045515813E-6</v>
      </c>
      <c r="G1965">
        <v>4.3777622770916846E-6</v>
      </c>
      <c r="H1965" t="b">
        <v>0</v>
      </c>
    </row>
    <row r="1966" spans="1:8" x14ac:dyDescent="0.15">
      <c r="A1966">
        <v>184</v>
      </c>
      <c r="B1966">
        <v>4</v>
      </c>
      <c r="C1966">
        <v>3818750</v>
      </c>
      <c r="D1966">
        <v>9426129.7740205303</v>
      </c>
      <c r="E1966">
        <v>5.1324726558593539E-6</v>
      </c>
      <c r="F1966">
        <v>4.992282045515813E-6</v>
      </c>
      <c r="G1966">
        <v>1.401906103435409E-7</v>
      </c>
      <c r="H1966" t="b">
        <v>0</v>
      </c>
    </row>
    <row r="1967" spans="1:8" x14ac:dyDescent="0.15">
      <c r="A1967">
        <v>184</v>
      </c>
      <c r="B1967">
        <v>5</v>
      </c>
      <c r="C1967">
        <v>3446875</v>
      </c>
      <c r="D1967">
        <v>-17372306.548788831</v>
      </c>
      <c r="E1967">
        <v>3.5332341420965328E-6</v>
      </c>
      <c r="F1967">
        <v>4.992282045515813E-6</v>
      </c>
      <c r="G1967">
        <v>-1.45904790341928E-6</v>
      </c>
      <c r="H1967" t="b">
        <v>1</v>
      </c>
    </row>
    <row r="1968" spans="1:8" x14ac:dyDescent="0.15">
      <c r="A1968">
        <v>184</v>
      </c>
      <c r="B1968">
        <v>6</v>
      </c>
      <c r="C1968">
        <v>3632812.5</v>
      </c>
      <c r="D1968">
        <v>-23620431.250277311</v>
      </c>
      <c r="E1968">
        <v>4.286711580587104E-6</v>
      </c>
      <c r="F1968">
        <v>4.992282045515813E-6</v>
      </c>
      <c r="G1968">
        <v>-7.0557046492870903E-7</v>
      </c>
      <c r="H1968" t="b">
        <v>1</v>
      </c>
    </row>
    <row r="1969" spans="1:8" x14ac:dyDescent="0.15">
      <c r="A1969">
        <v>184</v>
      </c>
      <c r="B1969">
        <v>7</v>
      </c>
      <c r="C1969">
        <v>3725781.25</v>
      </c>
      <c r="D1969">
        <v>-14524195.192598499</v>
      </c>
      <c r="E1969">
        <v>4.6981389750693953E-6</v>
      </c>
      <c r="F1969">
        <v>4.992282045515813E-6</v>
      </c>
      <c r="G1969">
        <v>-2.9414307044641768E-7</v>
      </c>
      <c r="H1969" t="b">
        <v>1</v>
      </c>
    </row>
    <row r="1970" spans="1:8" x14ac:dyDescent="0.15">
      <c r="A1970">
        <v>184</v>
      </c>
      <c r="B1970">
        <v>8</v>
      </c>
      <c r="C1970">
        <v>3772265.625</v>
      </c>
      <c r="D1970">
        <v>-4636656.1479489077</v>
      </c>
      <c r="E1970">
        <v>4.9124643469619288E-6</v>
      </c>
      <c r="F1970">
        <v>4.992282045515813E-6</v>
      </c>
      <c r="G1970">
        <v>-7.9817698553884264E-8</v>
      </c>
      <c r="H1970" t="b">
        <v>1</v>
      </c>
    </row>
    <row r="1971" spans="1:8" x14ac:dyDescent="0.15">
      <c r="A1971">
        <v>184</v>
      </c>
      <c r="B1971">
        <v>9</v>
      </c>
      <c r="C1971">
        <v>3795507.8125</v>
      </c>
      <c r="D1971">
        <v>1845754.211996512</v>
      </c>
      <c r="E1971">
        <v>5.0217608378318457E-6</v>
      </c>
      <c r="F1971">
        <v>4.992282045515813E-6</v>
      </c>
      <c r="G1971">
        <v>2.947879231603269E-8</v>
      </c>
      <c r="H1971" t="b">
        <v>0</v>
      </c>
    </row>
    <row r="1972" spans="1:8" x14ac:dyDescent="0.15">
      <c r="A1972">
        <v>184</v>
      </c>
      <c r="B1972">
        <v>10</v>
      </c>
      <c r="C1972">
        <v>3807128.90625</v>
      </c>
      <c r="D1972">
        <v>5495431.4498187723</v>
      </c>
      <c r="E1972">
        <v>5.0769404642056976E-6</v>
      </c>
      <c r="F1972">
        <v>4.992282045515813E-6</v>
      </c>
      <c r="G1972">
        <v>8.465841868988541E-8</v>
      </c>
      <c r="H1972" t="b">
        <v>0</v>
      </c>
    </row>
    <row r="1973" spans="1:8" x14ac:dyDescent="0.15">
      <c r="A1973">
        <v>184</v>
      </c>
      <c r="B1973">
        <v>11</v>
      </c>
      <c r="C1973">
        <v>3801318.359375</v>
      </c>
      <c r="D1973">
        <v>3635875.0187313752</v>
      </c>
      <c r="E1973">
        <v>5.0493065975504607E-6</v>
      </c>
      <c r="F1973">
        <v>4.992282045515813E-6</v>
      </c>
      <c r="G1973">
        <v>5.702455203464763E-8</v>
      </c>
      <c r="H1973" t="b">
        <v>0</v>
      </c>
    </row>
    <row r="1974" spans="1:8" x14ac:dyDescent="0.15">
      <c r="A1974">
        <v>184</v>
      </c>
      <c r="B1974">
        <v>12</v>
      </c>
      <c r="C1974">
        <v>3804223.6328125</v>
      </c>
      <c r="D1974">
        <v>4556907.0065215388</v>
      </c>
      <c r="E1974">
        <v>5.0631122875500378E-6</v>
      </c>
      <c r="F1974">
        <v>4.992282045515813E-6</v>
      </c>
      <c r="G1974">
        <v>7.0830242034224827E-8</v>
      </c>
      <c r="H1974" t="b">
        <v>0</v>
      </c>
    </row>
    <row r="1975" spans="1:8" x14ac:dyDescent="0.15">
      <c r="A1975">
        <v>184</v>
      </c>
      <c r="B1975">
        <v>13</v>
      </c>
      <c r="C1975">
        <v>3802770.99609375</v>
      </c>
      <c r="D1975">
        <v>4094221.2018493619</v>
      </c>
      <c r="E1975">
        <v>5.05620678533741E-6</v>
      </c>
      <c r="F1975">
        <v>4.992282045515813E-6</v>
      </c>
      <c r="G1975">
        <v>6.3924739821596963E-8</v>
      </c>
      <c r="H1975" t="b">
        <v>0</v>
      </c>
    </row>
    <row r="1976" spans="1:8" x14ac:dyDescent="0.15">
      <c r="A1976">
        <v>184</v>
      </c>
      <c r="B1976">
        <v>14</v>
      </c>
      <c r="C1976">
        <v>3801570.99609375</v>
      </c>
      <c r="D1976">
        <v>3715262.9786847509</v>
      </c>
      <c r="E1976">
        <v>5.0505060486451419E-6</v>
      </c>
      <c r="F1976">
        <v>4.992282045515813E-6</v>
      </c>
      <c r="G1976">
        <v>5.8224003129328872E-8</v>
      </c>
      <c r="H1976" t="b">
        <v>0</v>
      </c>
    </row>
    <row r="1977" spans="1:8" x14ac:dyDescent="0.15">
      <c r="A1977">
        <v>184</v>
      </c>
      <c r="B1977">
        <v>15</v>
      </c>
      <c r="C1977">
        <v>3802170.99609375</v>
      </c>
      <c r="D1977">
        <v>3904364.3278859342</v>
      </c>
      <c r="E1977">
        <v>5.0533558433430083E-6</v>
      </c>
      <c r="F1977">
        <v>4.992282045515813E-6</v>
      </c>
      <c r="G1977">
        <v>6.107379782719529E-8</v>
      </c>
      <c r="H1977" t="b">
        <v>0</v>
      </c>
    </row>
    <row r="1978" spans="1:8" x14ac:dyDescent="0.15">
      <c r="A1978">
        <v>184</v>
      </c>
      <c r="B1978">
        <v>16</v>
      </c>
      <c r="C1978">
        <v>3801870.99609375</v>
      </c>
      <c r="D1978">
        <v>3809720.9819438099</v>
      </c>
      <c r="E1978">
        <v>5.05193082825389E-6</v>
      </c>
      <c r="F1978">
        <v>4.992282045515813E-6</v>
      </c>
      <c r="G1978">
        <v>5.9648782738076939E-8</v>
      </c>
      <c r="H1978" t="b">
        <v>0</v>
      </c>
    </row>
    <row r="1979" spans="1:8" x14ac:dyDescent="0.15">
      <c r="A1979">
        <v>185</v>
      </c>
      <c r="B1979">
        <v>1</v>
      </c>
      <c r="C1979">
        <v>6050000</v>
      </c>
      <c r="D1979">
        <v>1299973057316.4399</v>
      </c>
      <c r="E1979">
        <v>2.147402631705043E-3</v>
      </c>
      <c r="F1979">
        <v>1.1930418629880601E-5</v>
      </c>
      <c r="G1979">
        <v>2.1354722130751628E-3</v>
      </c>
      <c r="H1979" t="b">
        <v>0</v>
      </c>
    </row>
    <row r="1980" spans="1:8" x14ac:dyDescent="0.15">
      <c r="A1980">
        <v>185</v>
      </c>
      <c r="B1980">
        <v>2</v>
      </c>
      <c r="C1980">
        <v>3075000</v>
      </c>
      <c r="D1980">
        <v>-232007.4534256203</v>
      </c>
      <c r="E1980">
        <v>6.3724870200222777E-7</v>
      </c>
      <c r="F1980">
        <v>1.1930418629880719E-5</v>
      </c>
      <c r="G1980">
        <v>-1.1293169927878501E-5</v>
      </c>
      <c r="H1980" t="b">
        <v>1</v>
      </c>
    </row>
    <row r="1981" spans="1:8" x14ac:dyDescent="0.15">
      <c r="A1981">
        <v>185</v>
      </c>
      <c r="B1981">
        <v>3</v>
      </c>
      <c r="C1981">
        <v>4562500</v>
      </c>
      <c r="D1981">
        <v>3466340606.0138302</v>
      </c>
      <c r="E1981">
        <v>3.6616963828794089E-5</v>
      </c>
      <c r="F1981">
        <v>1.1930418629880719E-5</v>
      </c>
      <c r="G1981">
        <v>2.468654519891337E-5</v>
      </c>
      <c r="H1981" t="b">
        <v>0</v>
      </c>
    </row>
    <row r="1982" spans="1:8" x14ac:dyDescent="0.15">
      <c r="A1982">
        <v>185</v>
      </c>
      <c r="B1982">
        <v>4</v>
      </c>
      <c r="C1982">
        <v>3818750</v>
      </c>
      <c r="D1982">
        <v>-4338144.132507002</v>
      </c>
      <c r="E1982">
        <v>5.5361968398250479E-6</v>
      </c>
      <c r="F1982">
        <v>1.1930418629880719E-5</v>
      </c>
      <c r="G1982">
        <v>-6.3942217900556773E-6</v>
      </c>
      <c r="H1982" t="b">
        <v>1</v>
      </c>
    </row>
    <row r="1983" spans="1:8" x14ac:dyDescent="0.15">
      <c r="A1983">
        <v>185</v>
      </c>
      <c r="B1983">
        <v>5</v>
      </c>
      <c r="C1983">
        <v>4190625</v>
      </c>
      <c r="D1983">
        <v>-10043029.992060561</v>
      </c>
      <c r="E1983">
        <v>1.162848105477785E-5</v>
      </c>
      <c r="F1983">
        <v>1.1930418629880719E-5</v>
      </c>
      <c r="G1983">
        <v>-3.0193757510287142E-7</v>
      </c>
      <c r="H1983" t="b">
        <v>1</v>
      </c>
    </row>
    <row r="1984" spans="1:8" x14ac:dyDescent="0.15">
      <c r="A1984">
        <v>185</v>
      </c>
      <c r="B1984">
        <v>6</v>
      </c>
      <c r="C1984">
        <v>4376562.5</v>
      </c>
      <c r="D1984">
        <v>560540952.4797852</v>
      </c>
      <c r="E1984">
        <v>1.854663876608458E-5</v>
      </c>
      <c r="F1984">
        <v>1.1930418629880719E-5</v>
      </c>
      <c r="G1984">
        <v>6.6162201362038559E-6</v>
      </c>
      <c r="H1984" t="b">
        <v>0</v>
      </c>
    </row>
    <row r="1985" spans="1:8" x14ac:dyDescent="0.15">
      <c r="A1985">
        <v>185</v>
      </c>
      <c r="B1985">
        <v>7</v>
      </c>
      <c r="C1985">
        <v>4283593.75</v>
      </c>
      <c r="D1985">
        <v>96830575.475253865</v>
      </c>
      <c r="E1985">
        <v>1.3846845884690689E-5</v>
      </c>
      <c r="F1985">
        <v>1.1930418629880719E-5</v>
      </c>
      <c r="G1985">
        <v>1.916427254809965E-6</v>
      </c>
      <c r="H1985" t="b">
        <v>0</v>
      </c>
    </row>
    <row r="1986" spans="1:8" x14ac:dyDescent="0.15">
      <c r="A1986">
        <v>185</v>
      </c>
      <c r="B1986">
        <v>8</v>
      </c>
      <c r="C1986">
        <v>4237109.375</v>
      </c>
      <c r="D1986">
        <v>31929202.996345989</v>
      </c>
      <c r="E1986">
        <v>1.2697125386379191E-5</v>
      </c>
      <c r="F1986">
        <v>1.1930418629880719E-5</v>
      </c>
      <c r="G1986">
        <v>7.6670675649846126E-7</v>
      </c>
      <c r="H1986" t="b">
        <v>0</v>
      </c>
    </row>
    <row r="1987" spans="1:8" x14ac:dyDescent="0.15">
      <c r="A1987">
        <v>185</v>
      </c>
      <c r="B1987">
        <v>9</v>
      </c>
      <c r="C1987">
        <v>4213867.1875</v>
      </c>
      <c r="D1987">
        <v>8319320.820421855</v>
      </c>
      <c r="E1987">
        <v>1.2152937634456769E-5</v>
      </c>
      <c r="F1987">
        <v>1.1930418629880719E-5</v>
      </c>
      <c r="G1987">
        <v>2.22519004576045E-7</v>
      </c>
      <c r="H1987" t="b">
        <v>0</v>
      </c>
    </row>
    <row r="1988" spans="1:8" x14ac:dyDescent="0.15">
      <c r="A1988">
        <v>185</v>
      </c>
      <c r="B1988">
        <v>10</v>
      </c>
      <c r="C1988">
        <v>4202246.09375</v>
      </c>
      <c r="D1988">
        <v>-1488478.2867881269</v>
      </c>
      <c r="E1988">
        <v>1.188826075120938E-5</v>
      </c>
      <c r="F1988">
        <v>1.1930418629880719E-5</v>
      </c>
      <c r="G1988">
        <v>-4.2157878671347389E-8</v>
      </c>
      <c r="H1988" t="b">
        <v>1</v>
      </c>
    </row>
    <row r="1989" spans="1:8" x14ac:dyDescent="0.15">
      <c r="A1989">
        <v>185</v>
      </c>
      <c r="B1989">
        <v>11</v>
      </c>
      <c r="C1989">
        <v>4208056.640625</v>
      </c>
      <c r="D1989">
        <v>3255020.2602021438</v>
      </c>
      <c r="E1989">
        <v>1.2019982790184571E-5</v>
      </c>
      <c r="F1989">
        <v>1.1930418629880719E-5</v>
      </c>
      <c r="G1989">
        <v>8.9564160303846354E-8</v>
      </c>
      <c r="H1989" t="b">
        <v>0</v>
      </c>
    </row>
    <row r="1990" spans="1:8" x14ac:dyDescent="0.15">
      <c r="A1990">
        <v>185</v>
      </c>
      <c r="B1990">
        <v>12</v>
      </c>
      <c r="C1990">
        <v>4210961.9140625</v>
      </c>
      <c r="D1990">
        <v>5746604.3538325028</v>
      </c>
      <c r="E1990">
        <v>1.2086305671524221E-5</v>
      </c>
      <c r="F1990">
        <v>1.1930418629880719E-5</v>
      </c>
      <c r="G1990">
        <v>1.558870416434964E-7</v>
      </c>
      <c r="H1990" t="b">
        <v>0</v>
      </c>
    </row>
    <row r="1991" spans="1:8" x14ac:dyDescent="0.15">
      <c r="A1991">
        <v>185</v>
      </c>
      <c r="B1991">
        <v>13</v>
      </c>
      <c r="C1991">
        <v>4209509.27734375</v>
      </c>
      <c r="D1991">
        <v>4490729.164306446</v>
      </c>
      <c r="E1991">
        <v>1.205310565411486E-5</v>
      </c>
      <c r="F1991">
        <v>1.1930418629880719E-5</v>
      </c>
      <c r="G1991">
        <v>1.2268702423413859E-7</v>
      </c>
      <c r="H1991" t="b">
        <v>0</v>
      </c>
    </row>
    <row r="1992" spans="1:8" x14ac:dyDescent="0.15">
      <c r="A1992">
        <v>185</v>
      </c>
      <c r="B1992">
        <v>14</v>
      </c>
      <c r="C1992">
        <v>4208309.27734375</v>
      </c>
      <c r="D1992">
        <v>3468486.4370581312</v>
      </c>
      <c r="E1992">
        <v>1.2025737853311971E-5</v>
      </c>
      <c r="F1992">
        <v>1.1930418629880719E-5</v>
      </c>
      <c r="G1992">
        <v>9.5319223431244507E-8</v>
      </c>
      <c r="H1992" t="b">
        <v>0</v>
      </c>
    </row>
    <row r="1993" spans="1:8" x14ac:dyDescent="0.15">
      <c r="A1993">
        <v>185</v>
      </c>
      <c r="B1993">
        <v>15</v>
      </c>
      <c r="C1993">
        <v>4208909.27734375</v>
      </c>
      <c r="D1993">
        <v>3977909.2498782701</v>
      </c>
      <c r="E1993">
        <v>1.2039415646527949E-5</v>
      </c>
      <c r="F1993">
        <v>1.1930418629880719E-5</v>
      </c>
      <c r="G1993">
        <v>1.089970166472301E-7</v>
      </c>
      <c r="H1993" t="b">
        <v>0</v>
      </c>
    </row>
    <row r="1994" spans="1:8" x14ac:dyDescent="0.15">
      <c r="A1994">
        <v>185</v>
      </c>
      <c r="B1994">
        <v>16</v>
      </c>
      <c r="C1994">
        <v>4209629.27734375</v>
      </c>
      <c r="D1994">
        <v>4593727.1771274116</v>
      </c>
      <c r="E1994">
        <v>1.205584580560334E-5</v>
      </c>
      <c r="F1994">
        <v>1.1930418629880719E-5</v>
      </c>
      <c r="G1994">
        <v>1.254271757226153E-7</v>
      </c>
      <c r="H1994" t="b">
        <v>0</v>
      </c>
    </row>
    <row r="1995" spans="1:8" x14ac:dyDescent="0.15">
      <c r="A1995">
        <v>185</v>
      </c>
      <c r="B1995">
        <v>17</v>
      </c>
      <c r="C1995">
        <v>4209269.27734375</v>
      </c>
      <c r="D1995">
        <v>4285181.7165201912</v>
      </c>
      <c r="E1995">
        <v>1.204762788221634E-5</v>
      </c>
      <c r="F1995">
        <v>1.1930418629880719E-5</v>
      </c>
      <c r="G1995">
        <v>1.172092523356135E-7</v>
      </c>
      <c r="H1995" t="b">
        <v>0</v>
      </c>
    </row>
    <row r="1996" spans="1:8" x14ac:dyDescent="0.15">
      <c r="A1996">
        <v>185</v>
      </c>
      <c r="B1996">
        <v>18</v>
      </c>
      <c r="C1996">
        <v>4208837.27734375</v>
      </c>
      <c r="D1996">
        <v>3916600.1995026851</v>
      </c>
      <c r="E1996">
        <v>1.203777369080286E-5</v>
      </c>
      <c r="F1996">
        <v>1.1930418629880719E-5</v>
      </c>
      <c r="G1996">
        <v>1.0735506092213859E-7</v>
      </c>
      <c r="H1996" t="b">
        <v>0</v>
      </c>
    </row>
    <row r="1997" spans="1:8" x14ac:dyDescent="0.15">
      <c r="A1997">
        <v>185</v>
      </c>
      <c r="B1997">
        <v>19</v>
      </c>
      <c r="C1997">
        <v>4209053.27734375</v>
      </c>
      <c r="D1997">
        <v>4100676.9969855389</v>
      </c>
      <c r="E1997">
        <v>1.204270016270883E-5</v>
      </c>
      <c r="F1997">
        <v>1.1930418629880719E-5</v>
      </c>
      <c r="G1997">
        <v>1.122815328281053E-7</v>
      </c>
      <c r="H1997" t="b">
        <v>0</v>
      </c>
    </row>
    <row r="1998" spans="1:8" x14ac:dyDescent="0.15">
      <c r="A1998">
        <v>185</v>
      </c>
      <c r="B1998">
        <v>20</v>
      </c>
      <c r="C1998">
        <v>4209312.4773437502</v>
      </c>
      <c r="D1998">
        <v>4322157.4874981008</v>
      </c>
      <c r="E1998">
        <v>1.204861420131069E-5</v>
      </c>
      <c r="F1998">
        <v>1.1930418629880719E-5</v>
      </c>
      <c r="G1998">
        <v>1.181955714299693E-7</v>
      </c>
      <c r="H1998" t="b">
        <v>0</v>
      </c>
    </row>
    <row r="1999" spans="1:8" x14ac:dyDescent="0.15">
      <c r="A1999">
        <v>185</v>
      </c>
      <c r="B1999">
        <v>21</v>
      </c>
      <c r="C1999">
        <v>4209182.8773437506</v>
      </c>
      <c r="D1999">
        <v>4211319.286635262</v>
      </c>
      <c r="E1999">
        <v>1.2045656399718649E-5</v>
      </c>
      <c r="F1999">
        <v>1.1930418629880719E-5</v>
      </c>
      <c r="G1999">
        <v>1.1523776983792851E-7</v>
      </c>
      <c r="H1999" t="b">
        <v>0</v>
      </c>
    </row>
    <row r="2000" spans="1:8" x14ac:dyDescent="0.15">
      <c r="A2000">
        <v>186</v>
      </c>
      <c r="B2000">
        <v>1</v>
      </c>
      <c r="C2000">
        <v>6050000</v>
      </c>
      <c r="D2000">
        <v>1502156548071.9709</v>
      </c>
      <c r="E2000">
        <v>2.4040997538054281E-3</v>
      </c>
      <c r="F2000">
        <v>1.1930418629880601E-5</v>
      </c>
      <c r="G2000">
        <v>2.392169335175547E-3</v>
      </c>
      <c r="H2000" t="b">
        <v>0</v>
      </c>
    </row>
    <row r="2001" spans="1:8" x14ac:dyDescent="0.15">
      <c r="A2001">
        <v>186</v>
      </c>
      <c r="B2001">
        <v>2</v>
      </c>
      <c r="C2001">
        <v>3075000</v>
      </c>
      <c r="D2001">
        <v>-245912.10861540481</v>
      </c>
      <c r="E2001">
        <v>7.8224880845407798E-7</v>
      </c>
      <c r="F2001">
        <v>1.1930418629880719E-5</v>
      </c>
      <c r="G2001">
        <v>-1.114816982142665E-5</v>
      </c>
      <c r="H2001" t="b">
        <v>1</v>
      </c>
    </row>
    <row r="2002" spans="1:8" x14ac:dyDescent="0.15">
      <c r="A2002">
        <v>186</v>
      </c>
      <c r="B2002">
        <v>3</v>
      </c>
      <c r="C2002">
        <v>4562500</v>
      </c>
      <c r="D2002">
        <v>4485244106.0553551</v>
      </c>
      <c r="E2002">
        <v>4.1782575864236451E-5</v>
      </c>
      <c r="F2002">
        <v>1.1930418629880719E-5</v>
      </c>
      <c r="G2002">
        <v>2.9852157234355728E-5</v>
      </c>
      <c r="H2002" t="b">
        <v>0</v>
      </c>
    </row>
    <row r="2003" spans="1:8" x14ac:dyDescent="0.15">
      <c r="A2003">
        <v>186</v>
      </c>
      <c r="B2003">
        <v>4</v>
      </c>
      <c r="C2003">
        <v>3818750</v>
      </c>
      <c r="D2003">
        <v>-5813478.5165516417</v>
      </c>
      <c r="E2003">
        <v>5.904643794694487E-6</v>
      </c>
      <c r="F2003">
        <v>1.1930418629880719E-5</v>
      </c>
      <c r="G2003">
        <v>-6.0257748351862374E-6</v>
      </c>
      <c r="H2003" t="b">
        <v>1</v>
      </c>
    </row>
    <row r="2004" spans="1:8" x14ac:dyDescent="0.15">
      <c r="A2004">
        <v>186</v>
      </c>
      <c r="B2004">
        <v>5</v>
      </c>
      <c r="C2004">
        <v>4190625</v>
      </c>
      <c r="D2004">
        <v>19039836.474783089</v>
      </c>
      <c r="E2004">
        <v>1.24133234929194E-5</v>
      </c>
      <c r="F2004">
        <v>1.1930418629880719E-5</v>
      </c>
      <c r="G2004">
        <v>4.8290486303867089E-7</v>
      </c>
      <c r="H2004" t="b">
        <v>0</v>
      </c>
    </row>
    <row r="2005" spans="1:8" x14ac:dyDescent="0.15">
      <c r="A2005">
        <v>186</v>
      </c>
      <c r="B2005">
        <v>6</v>
      </c>
      <c r="C2005">
        <v>4004687.5</v>
      </c>
      <c r="D2005">
        <v>-34051239.819191508</v>
      </c>
      <c r="E2005">
        <v>8.6326860749132655E-6</v>
      </c>
      <c r="F2005">
        <v>1.1930418629880719E-5</v>
      </c>
      <c r="G2005">
        <v>-3.2977325549674589E-6</v>
      </c>
      <c r="H2005" t="b">
        <v>1</v>
      </c>
    </row>
    <row r="2006" spans="1:8" x14ac:dyDescent="0.15">
      <c r="A2006">
        <v>186</v>
      </c>
      <c r="B2006">
        <v>7</v>
      </c>
      <c r="C2006">
        <v>4097656.25</v>
      </c>
      <c r="D2006">
        <v>-36380089.00028342</v>
      </c>
      <c r="E2006">
        <v>1.037623812861067E-5</v>
      </c>
      <c r="F2006">
        <v>1.1930418629880719E-5</v>
      </c>
      <c r="G2006">
        <v>-1.554180501270051E-6</v>
      </c>
      <c r="H2006" t="b">
        <v>1</v>
      </c>
    </row>
    <row r="2007" spans="1:8" x14ac:dyDescent="0.15">
      <c r="A2007">
        <v>186</v>
      </c>
      <c r="B2007">
        <v>8</v>
      </c>
      <c r="C2007">
        <v>4144140.625</v>
      </c>
      <c r="D2007">
        <v>-17870256.279032011</v>
      </c>
      <c r="E2007">
        <v>1.1356085208635089E-5</v>
      </c>
      <c r="F2007">
        <v>1.1930418629880719E-5</v>
      </c>
      <c r="G2007">
        <v>-5.7433342124563167E-7</v>
      </c>
      <c r="H2007" t="b">
        <v>1</v>
      </c>
    </row>
    <row r="2008" spans="1:8" x14ac:dyDescent="0.15">
      <c r="A2008">
        <v>186</v>
      </c>
      <c r="B2008">
        <v>9</v>
      </c>
      <c r="C2008">
        <v>4167382.8125</v>
      </c>
      <c r="D2008">
        <v>-1958785.053933237</v>
      </c>
      <c r="E2008">
        <v>1.1874773118322679E-5</v>
      </c>
      <c r="F2008">
        <v>1.1930418629880719E-5</v>
      </c>
      <c r="G2008">
        <v>-5.5645511558046872E-8</v>
      </c>
      <c r="H2008" t="b">
        <v>1</v>
      </c>
    </row>
    <row r="2009" spans="1:8" x14ac:dyDescent="0.15">
      <c r="A2009">
        <v>186</v>
      </c>
      <c r="B2009">
        <v>10</v>
      </c>
      <c r="C2009">
        <v>4179003.90625</v>
      </c>
      <c r="D2009">
        <v>7873767.0604874594</v>
      </c>
      <c r="E2009">
        <v>1.2141526030460071E-5</v>
      </c>
      <c r="F2009">
        <v>1.1930418629880719E-5</v>
      </c>
      <c r="G2009">
        <v>2.11107400579341E-7</v>
      </c>
      <c r="H2009" t="b">
        <v>0</v>
      </c>
    </row>
    <row r="2010" spans="1:8" x14ac:dyDescent="0.15">
      <c r="A2010">
        <v>186</v>
      </c>
      <c r="B2010">
        <v>11</v>
      </c>
      <c r="C2010">
        <v>4173193.359375</v>
      </c>
      <c r="D2010">
        <v>2794651.8598550311</v>
      </c>
      <c r="E2010">
        <v>1.2007523164942861E-5</v>
      </c>
      <c r="F2010">
        <v>1.1930418629880719E-5</v>
      </c>
      <c r="G2010">
        <v>7.7104535062136334E-8</v>
      </c>
      <c r="H2010" t="b">
        <v>0</v>
      </c>
    </row>
    <row r="2011" spans="1:8" x14ac:dyDescent="0.15">
      <c r="A2011">
        <v>186</v>
      </c>
      <c r="B2011">
        <v>12</v>
      </c>
      <c r="C2011">
        <v>4176098.6328125</v>
      </c>
      <c r="D2011">
        <v>5293006.2226187056</v>
      </c>
      <c r="E2011">
        <v>1.207436712955311E-5</v>
      </c>
      <c r="F2011">
        <v>1.1930418629880719E-5</v>
      </c>
      <c r="G2011">
        <v>1.4394849967238441E-7</v>
      </c>
      <c r="H2011" t="b">
        <v>0</v>
      </c>
    </row>
    <row r="2012" spans="1:8" x14ac:dyDescent="0.15">
      <c r="A2012">
        <v>186</v>
      </c>
      <c r="B2012">
        <v>13</v>
      </c>
      <c r="C2012">
        <v>4174645.99609375</v>
      </c>
      <c r="D2012">
        <v>4033599.5354199652</v>
      </c>
      <c r="E2012">
        <v>1.20409061407012E-5</v>
      </c>
      <c r="F2012">
        <v>1.1930418629880719E-5</v>
      </c>
      <c r="G2012">
        <v>1.104875108204792E-7</v>
      </c>
      <c r="H2012" t="b">
        <v>0</v>
      </c>
    </row>
    <row r="2013" spans="1:8" x14ac:dyDescent="0.15">
      <c r="A2013">
        <v>186</v>
      </c>
      <c r="B2013">
        <v>14</v>
      </c>
      <c r="C2013">
        <v>4175145.99609375</v>
      </c>
      <c r="D2013">
        <v>4464760.5860572122</v>
      </c>
      <c r="E2013">
        <v>1.2052414292451069E-5</v>
      </c>
      <c r="F2013">
        <v>1.1930418629880719E-5</v>
      </c>
      <c r="G2013">
        <v>1.2199566257034841E-7</v>
      </c>
      <c r="H2013" t="b">
        <v>0</v>
      </c>
    </row>
    <row r="2014" spans="1:8" x14ac:dyDescent="0.15">
      <c r="A2014">
        <v>186</v>
      </c>
      <c r="B2014">
        <v>15</v>
      </c>
      <c r="C2014">
        <v>4174895.99609375</v>
      </c>
      <c r="D2014">
        <v>4248885.4498843746</v>
      </c>
      <c r="E2014">
        <v>1.204665929213296E-5</v>
      </c>
      <c r="F2014">
        <v>1.1930418629880719E-5</v>
      </c>
      <c r="G2014">
        <v>1.1624066225223561E-7</v>
      </c>
      <c r="H2014" t="b">
        <v>0</v>
      </c>
    </row>
    <row r="2015" spans="1:8" x14ac:dyDescent="0.15">
      <c r="A2015">
        <v>186</v>
      </c>
      <c r="B2015">
        <v>16</v>
      </c>
      <c r="C2015">
        <v>4174595.99609375</v>
      </c>
      <c r="D2015">
        <v>3990597.3780533802</v>
      </c>
      <c r="E2015">
        <v>1.203975531360269E-5</v>
      </c>
      <c r="F2015">
        <v>1.1930418629880719E-5</v>
      </c>
      <c r="G2015">
        <v>1.093366837219619E-7</v>
      </c>
      <c r="H2015" t="b">
        <v>0</v>
      </c>
    </row>
    <row r="2016" spans="1:8" x14ac:dyDescent="0.15">
      <c r="A2016">
        <v>186</v>
      </c>
      <c r="B2016">
        <v>17</v>
      </c>
      <c r="C2016">
        <v>4174745.99609375</v>
      </c>
      <c r="D2016">
        <v>4119623.2796102189</v>
      </c>
      <c r="E2016">
        <v>1.204320664629939E-5</v>
      </c>
      <c r="F2016">
        <v>1.1930418629880719E-5</v>
      </c>
      <c r="G2016">
        <v>1.1278801641866519E-7</v>
      </c>
      <c r="H2016" t="b">
        <v>0</v>
      </c>
    </row>
    <row r="2017" spans="1:8" x14ac:dyDescent="0.15">
      <c r="A2017">
        <v>186</v>
      </c>
      <c r="B2017">
        <v>18</v>
      </c>
      <c r="C2017">
        <v>4174925.99609375</v>
      </c>
      <c r="D2017">
        <v>4274760.5457050297</v>
      </c>
      <c r="E2017">
        <v>1.2047349826554819E-5</v>
      </c>
      <c r="F2017">
        <v>1.1930418629880719E-5</v>
      </c>
      <c r="G2017">
        <v>1.169311966740948E-7</v>
      </c>
      <c r="H2017" t="b">
        <v>0</v>
      </c>
    </row>
    <row r="2018" spans="1:8" x14ac:dyDescent="0.15">
      <c r="A2018">
        <v>186</v>
      </c>
      <c r="B2018">
        <v>19</v>
      </c>
      <c r="C2018">
        <v>4174835.99609375</v>
      </c>
      <c r="D2018">
        <v>4197143.6581179844</v>
      </c>
      <c r="E2018">
        <v>1.204527784765983E-5</v>
      </c>
      <c r="F2018">
        <v>1.1930418629880719E-5</v>
      </c>
      <c r="G2018">
        <v>1.148592177791019E-7</v>
      </c>
      <c r="H2018" t="b">
        <v>0</v>
      </c>
    </row>
    <row r="2019" spans="1:8" x14ac:dyDescent="0.15">
      <c r="A2019">
        <v>187</v>
      </c>
      <c r="B2019">
        <v>1</v>
      </c>
      <c r="C2019">
        <v>6050000</v>
      </c>
      <c r="D2019">
        <v>685904386082.67834</v>
      </c>
      <c r="E2019">
        <v>1.184658696206501E-3</v>
      </c>
      <c r="F2019">
        <v>1.102398402156929E-5</v>
      </c>
      <c r="G2019">
        <v>1.1736347121849319E-3</v>
      </c>
      <c r="H2019" t="b">
        <v>0</v>
      </c>
    </row>
    <row r="2020" spans="1:8" x14ac:dyDescent="0.15">
      <c r="A2020">
        <v>187</v>
      </c>
      <c r="B2020">
        <v>2</v>
      </c>
      <c r="C2020">
        <v>3075000</v>
      </c>
      <c r="D2020">
        <v>-185012.46428831469</v>
      </c>
      <c r="E2020">
        <v>-4.5228515728676923E-8</v>
      </c>
      <c r="F2020">
        <v>1.1023984021569311E-5</v>
      </c>
      <c r="G2020">
        <v>-1.1069212537297989E-5</v>
      </c>
      <c r="H2020" t="b">
        <v>1</v>
      </c>
    </row>
    <row r="2021" spans="1:8" x14ac:dyDescent="0.15">
      <c r="A2021">
        <v>187</v>
      </c>
      <c r="B2021">
        <v>3</v>
      </c>
      <c r="C2021">
        <v>4562500</v>
      </c>
      <c r="D2021">
        <v>753498878.53383183</v>
      </c>
      <c r="E2021">
        <v>1.8445258558314831E-5</v>
      </c>
      <c r="F2021">
        <v>1.1023984021569311E-5</v>
      </c>
      <c r="G2021">
        <v>7.421274536745519E-6</v>
      </c>
      <c r="H2021" t="b">
        <v>0</v>
      </c>
    </row>
    <row r="2022" spans="1:8" x14ac:dyDescent="0.15">
      <c r="A2022">
        <v>187</v>
      </c>
      <c r="B2022">
        <v>4</v>
      </c>
      <c r="C2022">
        <v>3818750</v>
      </c>
      <c r="D2022">
        <v>-1668668.1170195951</v>
      </c>
      <c r="E2022">
        <v>3.9464506294155762E-6</v>
      </c>
      <c r="F2022">
        <v>1.1023984021569311E-5</v>
      </c>
      <c r="G2022">
        <v>-7.0775333921537327E-6</v>
      </c>
      <c r="H2022" t="b">
        <v>1</v>
      </c>
    </row>
    <row r="2023" spans="1:8" x14ac:dyDescent="0.15">
      <c r="A2023">
        <v>187</v>
      </c>
      <c r="B2023">
        <v>5</v>
      </c>
      <c r="C2023">
        <v>4190625</v>
      </c>
      <c r="D2023">
        <v>-34775214.202325471</v>
      </c>
      <c r="E2023">
        <v>8.1793919712869754E-6</v>
      </c>
      <c r="F2023">
        <v>1.1023984021569311E-5</v>
      </c>
      <c r="G2023">
        <v>-2.844592050282333E-6</v>
      </c>
      <c r="H2023" t="b">
        <v>1</v>
      </c>
    </row>
    <row r="2024" spans="1:8" x14ac:dyDescent="0.15">
      <c r="A2024">
        <v>187</v>
      </c>
      <c r="B2024">
        <v>6</v>
      </c>
      <c r="C2024">
        <v>4376562.5</v>
      </c>
      <c r="D2024">
        <v>22450794.73323264</v>
      </c>
      <c r="E2024">
        <v>1.1551916359660339E-5</v>
      </c>
      <c r="F2024">
        <v>1.1023984021569311E-5</v>
      </c>
      <c r="G2024">
        <v>5.2793233809103386E-7</v>
      </c>
      <c r="H2024" t="b">
        <v>0</v>
      </c>
    </row>
    <row r="2025" spans="1:8" x14ac:dyDescent="0.15">
      <c r="A2025">
        <v>187</v>
      </c>
      <c r="B2025">
        <v>7</v>
      </c>
      <c r="C2025">
        <v>4283593.75</v>
      </c>
      <c r="D2025">
        <v>-33245919.317763511</v>
      </c>
      <c r="E2025">
        <v>9.7411105784775765E-6</v>
      </c>
      <c r="F2025">
        <v>1.1023984021569311E-5</v>
      </c>
      <c r="G2025">
        <v>-1.2828734430917319E-6</v>
      </c>
      <c r="H2025" t="b">
        <v>1</v>
      </c>
    </row>
    <row r="2026" spans="1:8" x14ac:dyDescent="0.15">
      <c r="A2026">
        <v>187</v>
      </c>
      <c r="B2026">
        <v>8</v>
      </c>
      <c r="C2026">
        <v>4330078.125</v>
      </c>
      <c r="D2026">
        <v>-13911438.188617921</v>
      </c>
      <c r="E2026">
        <v>1.0613781515935E-5</v>
      </c>
      <c r="F2026">
        <v>1.1023984021569311E-5</v>
      </c>
      <c r="G2026">
        <v>-4.10202505634304E-7</v>
      </c>
      <c r="H2026" t="b">
        <v>1</v>
      </c>
    </row>
    <row r="2027" spans="1:8" x14ac:dyDescent="0.15">
      <c r="A2027">
        <v>187</v>
      </c>
      <c r="B2027">
        <v>9</v>
      </c>
      <c r="C2027">
        <v>4353320.3125</v>
      </c>
      <c r="D2027">
        <v>1925907.4264618999</v>
      </c>
      <c r="E2027">
        <v>1.107446870427036E-5</v>
      </c>
      <c r="F2027">
        <v>1.1023984021569311E-5</v>
      </c>
      <c r="G2027">
        <v>5.0484682701050951E-8</v>
      </c>
      <c r="H2027" t="b">
        <v>0</v>
      </c>
    </row>
    <row r="2028" spans="1:8" x14ac:dyDescent="0.15">
      <c r="A2028">
        <v>187</v>
      </c>
      <c r="B2028">
        <v>10</v>
      </c>
      <c r="C2028">
        <v>4364941.40625</v>
      </c>
      <c r="D2028">
        <v>11575220.08927807</v>
      </c>
      <c r="E2028">
        <v>1.131106909693734E-5</v>
      </c>
      <c r="F2028">
        <v>1.1023984021569311E-5</v>
      </c>
      <c r="G2028">
        <v>2.8708507536803448E-7</v>
      </c>
      <c r="H2028" t="b">
        <v>0</v>
      </c>
    </row>
    <row r="2029" spans="1:8" x14ac:dyDescent="0.15">
      <c r="A2029">
        <v>187</v>
      </c>
      <c r="B2029">
        <v>11</v>
      </c>
      <c r="C2029">
        <v>4359130.859375</v>
      </c>
      <c r="D2029">
        <v>6600935.2950728834</v>
      </c>
      <c r="E2029">
        <v>1.119224751609703E-5</v>
      </c>
      <c r="F2029">
        <v>1.1023984021569311E-5</v>
      </c>
      <c r="G2029">
        <v>1.6826349452772151E-7</v>
      </c>
      <c r="H2029" t="b">
        <v>0</v>
      </c>
    </row>
    <row r="2030" spans="1:8" x14ac:dyDescent="0.15">
      <c r="A2030">
        <v>187</v>
      </c>
      <c r="B2030">
        <v>12</v>
      </c>
      <c r="C2030">
        <v>4356225.5859375</v>
      </c>
      <c r="D2030">
        <v>4226530.2722856496</v>
      </c>
      <c r="E2030">
        <v>1.113323061573883E-5</v>
      </c>
      <c r="F2030">
        <v>1.1023984021569311E-5</v>
      </c>
      <c r="G2030">
        <v>1.092465941695243E-7</v>
      </c>
      <c r="H2030" t="b">
        <v>0</v>
      </c>
    </row>
    <row r="2031" spans="1:8" x14ac:dyDescent="0.15">
      <c r="A2031">
        <v>187</v>
      </c>
      <c r="B2031">
        <v>13</v>
      </c>
      <c r="C2031">
        <v>4357678.22265625</v>
      </c>
      <c r="D2031">
        <v>5404505.5048796739</v>
      </c>
      <c r="E2031">
        <v>1.1162708305471049E-5</v>
      </c>
      <c r="F2031">
        <v>1.1023984021569311E-5</v>
      </c>
      <c r="G2031">
        <v>1.387242839017421E-7</v>
      </c>
      <c r="H2031" t="b">
        <v>0</v>
      </c>
    </row>
    <row r="2032" spans="1:8" x14ac:dyDescent="0.15">
      <c r="A2032">
        <v>187</v>
      </c>
      <c r="B2032">
        <v>14</v>
      </c>
      <c r="C2032">
        <v>4357178.22265625</v>
      </c>
      <c r="D2032">
        <v>4996985.5484190639</v>
      </c>
      <c r="E2032">
        <v>1.115255556977179E-5</v>
      </c>
      <c r="F2032">
        <v>1.1023984021569311E-5</v>
      </c>
      <c r="G2032">
        <v>1.2857154820248121E-7</v>
      </c>
      <c r="H2032" t="b">
        <v>0</v>
      </c>
    </row>
    <row r="2033" spans="1:8" x14ac:dyDescent="0.15">
      <c r="A2033">
        <v>187</v>
      </c>
      <c r="B2033">
        <v>15</v>
      </c>
      <c r="C2033">
        <v>4356578.22265625</v>
      </c>
      <c r="D2033">
        <v>4510787.7672880786</v>
      </c>
      <c r="E2033">
        <v>1.1140380546919091E-5</v>
      </c>
      <c r="F2033">
        <v>1.1023984021569311E-5</v>
      </c>
      <c r="G2033">
        <v>1.163965253497834E-7</v>
      </c>
      <c r="H2033" t="b">
        <v>0</v>
      </c>
    </row>
    <row r="2034" spans="1:8" x14ac:dyDescent="0.15">
      <c r="A2034">
        <v>187</v>
      </c>
      <c r="B2034">
        <v>16</v>
      </c>
      <c r="C2034">
        <v>4355858.22265625</v>
      </c>
      <c r="D2034">
        <v>3931545.6089131478</v>
      </c>
      <c r="E2034">
        <v>1.1125785778889911E-5</v>
      </c>
      <c r="F2034">
        <v>1.1023984021569311E-5</v>
      </c>
      <c r="G2034">
        <v>1.018017573205985E-7</v>
      </c>
      <c r="H2034" t="b">
        <v>0</v>
      </c>
    </row>
    <row r="2035" spans="1:8" x14ac:dyDescent="0.15">
      <c r="A2035">
        <v>187</v>
      </c>
      <c r="B2035">
        <v>17</v>
      </c>
      <c r="C2035">
        <v>4356218.22265625</v>
      </c>
      <c r="D2035">
        <v>4220588.8582844082</v>
      </c>
      <c r="E2035">
        <v>1.1133080919031931E-5</v>
      </c>
      <c r="F2035">
        <v>1.1023984021569311E-5</v>
      </c>
      <c r="G2035">
        <v>1.090968974626202E-7</v>
      </c>
      <c r="H2035" t="b">
        <v>0</v>
      </c>
    </row>
    <row r="2036" spans="1:8" x14ac:dyDescent="0.15">
      <c r="A2036">
        <v>187</v>
      </c>
      <c r="B2036">
        <v>18</v>
      </c>
      <c r="C2036">
        <v>4356650.22265625</v>
      </c>
      <c r="D2036">
        <v>4568964.312729002</v>
      </c>
      <c r="E2036">
        <v>1.114184095913369E-5</v>
      </c>
      <c r="F2036">
        <v>1.1023984021569311E-5</v>
      </c>
      <c r="G2036">
        <v>1.178569375643782E-7</v>
      </c>
      <c r="H2036" t="b">
        <v>0</v>
      </c>
    </row>
    <row r="2037" spans="1:8" x14ac:dyDescent="0.15">
      <c r="A2037">
        <v>187</v>
      </c>
      <c r="B2037">
        <v>19</v>
      </c>
      <c r="C2037">
        <v>4356434.22265625</v>
      </c>
      <c r="D2037">
        <v>4394571.4788969224</v>
      </c>
      <c r="E2037">
        <v>1.1137460209164249E-5</v>
      </c>
      <c r="F2037">
        <v>1.1023984021569311E-5</v>
      </c>
      <c r="G2037">
        <v>1.134761875949407E-7</v>
      </c>
      <c r="H2037" t="b">
        <v>0</v>
      </c>
    </row>
    <row r="2038" spans="1:8" x14ac:dyDescent="0.15">
      <c r="A2038">
        <v>188</v>
      </c>
      <c r="B2038">
        <v>1</v>
      </c>
      <c r="C2038">
        <v>6050000</v>
      </c>
      <c r="D2038">
        <v>147597172525.87741</v>
      </c>
      <c r="E2038">
        <v>3.1091496474856752E-4</v>
      </c>
      <c r="F2038">
        <v>9.511253242064767E-6</v>
      </c>
      <c r="G2038">
        <v>3.014037115065028E-4</v>
      </c>
      <c r="H2038" t="b">
        <v>0</v>
      </c>
    </row>
    <row r="2039" spans="1:8" x14ac:dyDescent="0.15">
      <c r="A2039">
        <v>188</v>
      </c>
      <c r="B2039">
        <v>2</v>
      </c>
      <c r="C2039">
        <v>3075000</v>
      </c>
      <c r="D2039">
        <v>-110428.4208349875</v>
      </c>
      <c r="E2039">
        <v>-1.501802467793325E-6</v>
      </c>
      <c r="F2039">
        <v>9.511253242064767E-6</v>
      </c>
      <c r="G2039">
        <v>-1.1013055709858091E-5</v>
      </c>
      <c r="H2039" t="b">
        <v>1</v>
      </c>
    </row>
    <row r="2040" spans="1:8" x14ac:dyDescent="0.15">
      <c r="A2040">
        <v>188</v>
      </c>
      <c r="B2040">
        <v>3</v>
      </c>
      <c r="C2040">
        <v>4562500</v>
      </c>
      <c r="D2040">
        <v>-34989411.038369007</v>
      </c>
      <c r="E2040">
        <v>7.4097010592507244E-6</v>
      </c>
      <c r="F2040">
        <v>9.511253242064767E-6</v>
      </c>
      <c r="G2040">
        <v>-2.101552182814043E-6</v>
      </c>
      <c r="H2040" t="b">
        <v>1</v>
      </c>
    </row>
    <row r="2041" spans="1:8" x14ac:dyDescent="0.15">
      <c r="A2041">
        <v>188</v>
      </c>
      <c r="B2041">
        <v>4</v>
      </c>
      <c r="C2041">
        <v>5306250</v>
      </c>
      <c r="D2041">
        <v>8359691374.0639439</v>
      </c>
      <c r="E2041">
        <v>4.5597668795675657E-5</v>
      </c>
      <c r="F2041">
        <v>9.511253242064767E-6</v>
      </c>
      <c r="G2041">
        <v>3.608641555361089E-5</v>
      </c>
      <c r="H2041" t="b">
        <v>0</v>
      </c>
    </row>
    <row r="2042" spans="1:8" x14ac:dyDescent="0.15">
      <c r="A2042">
        <v>188</v>
      </c>
      <c r="B2042">
        <v>5</v>
      </c>
      <c r="C2042">
        <v>4934375</v>
      </c>
      <c r="D2042">
        <v>475882688.985255</v>
      </c>
      <c r="E2042">
        <v>1.432780871735098E-5</v>
      </c>
      <c r="F2042">
        <v>9.511253242064767E-6</v>
      </c>
      <c r="G2042">
        <v>4.8165554752862117E-6</v>
      </c>
      <c r="H2042" t="b">
        <v>0</v>
      </c>
    </row>
    <row r="2043" spans="1:8" x14ac:dyDescent="0.15">
      <c r="A2043">
        <v>188</v>
      </c>
      <c r="B2043">
        <v>6</v>
      </c>
      <c r="C2043">
        <v>4748437.5</v>
      </c>
      <c r="D2043">
        <v>31244163.951726411</v>
      </c>
      <c r="E2043">
        <v>1.0143208696655869E-5</v>
      </c>
      <c r="F2043">
        <v>9.511253242064767E-6</v>
      </c>
      <c r="G2043">
        <v>6.3195545459110409E-7</v>
      </c>
      <c r="H2043" t="b">
        <v>0</v>
      </c>
    </row>
    <row r="2044" spans="1:8" x14ac:dyDescent="0.15">
      <c r="A2044">
        <v>188</v>
      </c>
      <c r="B2044">
        <v>7</v>
      </c>
      <c r="C2044">
        <v>4655468.75</v>
      </c>
      <c r="D2044">
        <v>-26127783.077570621</v>
      </c>
      <c r="E2044">
        <v>8.6845051052508842E-6</v>
      </c>
      <c r="F2044">
        <v>9.511253242064767E-6</v>
      </c>
      <c r="G2044">
        <v>-8.2674813681388281E-7</v>
      </c>
      <c r="H2044" t="b">
        <v>1</v>
      </c>
    </row>
    <row r="2045" spans="1:8" x14ac:dyDescent="0.15">
      <c r="A2045">
        <v>188</v>
      </c>
      <c r="B2045">
        <v>8</v>
      </c>
      <c r="C2045">
        <v>4701953.125</v>
      </c>
      <c r="D2045">
        <v>-4883492.1533734007</v>
      </c>
      <c r="E2045">
        <v>9.389800546824985E-6</v>
      </c>
      <c r="F2045">
        <v>9.511253242064767E-6</v>
      </c>
      <c r="G2045">
        <v>-1.2145269523978201E-7</v>
      </c>
      <c r="H2045" t="b">
        <v>1</v>
      </c>
    </row>
    <row r="2046" spans="1:8" x14ac:dyDescent="0.15">
      <c r="A2046">
        <v>188</v>
      </c>
      <c r="B2046">
        <v>9</v>
      </c>
      <c r="C2046">
        <v>4725195.3125</v>
      </c>
      <c r="D2046">
        <v>11147767.07141996</v>
      </c>
      <c r="E2046">
        <v>9.7603588320440037E-6</v>
      </c>
      <c r="F2046">
        <v>9.511253242064767E-6</v>
      </c>
      <c r="G2046">
        <v>2.4910558997923671E-7</v>
      </c>
      <c r="H2046" t="b">
        <v>0</v>
      </c>
    </row>
    <row r="2047" spans="1:8" x14ac:dyDescent="0.15">
      <c r="A2047">
        <v>188</v>
      </c>
      <c r="B2047">
        <v>10</v>
      </c>
      <c r="C2047">
        <v>4713574.21875</v>
      </c>
      <c r="D2047">
        <v>2645878.67817755</v>
      </c>
      <c r="E2047">
        <v>9.5735660333122757E-6</v>
      </c>
      <c r="F2047">
        <v>9.511253242064767E-6</v>
      </c>
      <c r="G2047">
        <v>6.2312791247508685E-8</v>
      </c>
      <c r="H2047" t="b">
        <v>0</v>
      </c>
    </row>
    <row r="2048" spans="1:8" x14ac:dyDescent="0.15">
      <c r="A2048">
        <v>188</v>
      </c>
      <c r="B2048">
        <v>11</v>
      </c>
      <c r="C2048">
        <v>4719384.765625</v>
      </c>
      <c r="D2048">
        <v>6772766.9266552813</v>
      </c>
      <c r="E2048">
        <v>9.6665861660227114E-6</v>
      </c>
      <c r="F2048">
        <v>9.511253242064767E-6</v>
      </c>
      <c r="G2048">
        <v>1.5533292395794441E-7</v>
      </c>
      <c r="H2048" t="b">
        <v>0</v>
      </c>
    </row>
    <row r="2049" spans="1:8" x14ac:dyDescent="0.15">
      <c r="A2049">
        <v>188</v>
      </c>
      <c r="B2049">
        <v>12</v>
      </c>
      <c r="C2049">
        <v>4716479.4921875</v>
      </c>
      <c r="D2049">
        <v>4678658.3321262579</v>
      </c>
      <c r="E2049">
        <v>9.6199826835191831E-6</v>
      </c>
      <c r="F2049">
        <v>9.511253242064767E-6</v>
      </c>
      <c r="G2049">
        <v>1.087294414544161E-7</v>
      </c>
      <c r="H2049" t="b">
        <v>0</v>
      </c>
    </row>
    <row r="2050" spans="1:8" x14ac:dyDescent="0.15">
      <c r="A2050">
        <v>189</v>
      </c>
      <c r="B2050">
        <v>1</v>
      </c>
      <c r="C2050">
        <v>6050000</v>
      </c>
      <c r="D2050">
        <v>1855002214.51071</v>
      </c>
      <c r="E2050">
        <v>1.492061736893566E-5</v>
      </c>
      <c r="F2050">
        <v>6.8041134902182196E-6</v>
      </c>
      <c r="G2050">
        <v>8.116503878717442E-6</v>
      </c>
      <c r="H2050" t="b">
        <v>0</v>
      </c>
    </row>
    <row r="2051" spans="1:8" x14ac:dyDescent="0.15">
      <c r="A2051">
        <v>189</v>
      </c>
      <c r="B2051">
        <v>2</v>
      </c>
      <c r="C2051">
        <v>3075000</v>
      </c>
      <c r="D2051">
        <v>-39726.610747074621</v>
      </c>
      <c r="E2051">
        <v>-4.2249006390203731E-6</v>
      </c>
      <c r="F2051">
        <v>6.8041134902182188E-6</v>
      </c>
      <c r="G2051">
        <v>-1.102901412923859E-5</v>
      </c>
      <c r="H2051" t="b">
        <v>1</v>
      </c>
    </row>
    <row r="2052" spans="1:8" x14ac:dyDescent="0.15">
      <c r="A2052">
        <v>189</v>
      </c>
      <c r="B2052">
        <v>3</v>
      </c>
      <c r="C2052">
        <v>4562500</v>
      </c>
      <c r="D2052">
        <v>-750538.97251412633</v>
      </c>
      <c r="E2052">
        <v>1.596727607031938E-6</v>
      </c>
      <c r="F2052">
        <v>6.8041134902182188E-6</v>
      </c>
      <c r="G2052">
        <v>-5.2073858831862804E-6</v>
      </c>
      <c r="H2052" t="b">
        <v>1</v>
      </c>
    </row>
    <row r="2053" spans="1:8" x14ac:dyDescent="0.15">
      <c r="A2053">
        <v>189</v>
      </c>
      <c r="B2053">
        <v>4</v>
      </c>
      <c r="C2053">
        <v>5306250</v>
      </c>
      <c r="D2053">
        <v>-19505015.821701709</v>
      </c>
      <c r="E2053">
        <v>4.6928537173511546E-6</v>
      </c>
      <c r="F2053">
        <v>6.8041134902182188E-6</v>
      </c>
      <c r="G2053">
        <v>-2.1112597728670629E-6</v>
      </c>
      <c r="H2053" t="b">
        <v>1</v>
      </c>
    </row>
    <row r="2054" spans="1:8" x14ac:dyDescent="0.15">
      <c r="A2054">
        <v>189</v>
      </c>
      <c r="B2054">
        <v>5</v>
      </c>
      <c r="C2054">
        <v>5678125</v>
      </c>
      <c r="D2054">
        <v>83770017.983351439</v>
      </c>
      <c r="E2054">
        <v>7.8899542965009286E-6</v>
      </c>
      <c r="F2054">
        <v>6.8041134902182188E-6</v>
      </c>
      <c r="G2054">
        <v>1.08584080628271E-6</v>
      </c>
      <c r="H2054" t="b">
        <v>0</v>
      </c>
    </row>
    <row r="2055" spans="1:8" x14ac:dyDescent="0.15">
      <c r="A2055">
        <v>189</v>
      </c>
      <c r="B2055">
        <v>6</v>
      </c>
      <c r="C2055">
        <v>5492187.5</v>
      </c>
      <c r="D2055">
        <v>-24773463.130238939</v>
      </c>
      <c r="E2055">
        <v>6.1106606491945326E-6</v>
      </c>
      <c r="F2055">
        <v>6.8041134902182188E-6</v>
      </c>
      <c r="G2055">
        <v>-6.9345284102368615E-7</v>
      </c>
      <c r="H2055" t="b">
        <v>1</v>
      </c>
    </row>
    <row r="2056" spans="1:8" x14ac:dyDescent="0.15">
      <c r="A2056">
        <v>189</v>
      </c>
      <c r="B2056">
        <v>7</v>
      </c>
      <c r="C2056">
        <v>5585156.25</v>
      </c>
      <c r="D2056">
        <v>8120317.2418046659</v>
      </c>
      <c r="E2056">
        <v>6.951618234178106E-6</v>
      </c>
      <c r="F2056">
        <v>6.8041134902182188E-6</v>
      </c>
      <c r="G2056">
        <v>1.4750474395988719E-7</v>
      </c>
      <c r="H2056" t="b">
        <v>0</v>
      </c>
    </row>
    <row r="2057" spans="1:8" x14ac:dyDescent="0.15">
      <c r="A2057">
        <v>189</v>
      </c>
      <c r="B2057">
        <v>8</v>
      </c>
      <c r="C2057">
        <v>5538671.875</v>
      </c>
      <c r="D2057">
        <v>-12814319.772697801</v>
      </c>
      <c r="E2057">
        <v>6.5194137798570566E-6</v>
      </c>
      <c r="F2057">
        <v>6.8041134902182188E-6</v>
      </c>
      <c r="G2057">
        <v>-2.846997103611622E-7</v>
      </c>
      <c r="H2057" t="b">
        <v>1</v>
      </c>
    </row>
    <row r="2058" spans="1:8" x14ac:dyDescent="0.15">
      <c r="A2058">
        <v>189</v>
      </c>
      <c r="B2058">
        <v>9</v>
      </c>
      <c r="C2058">
        <v>5561914.0625</v>
      </c>
      <c r="D2058">
        <v>-3575109.434485388</v>
      </c>
      <c r="E2058">
        <v>6.7325260645530236E-6</v>
      </c>
      <c r="F2058">
        <v>6.8041134902182188E-6</v>
      </c>
      <c r="G2058">
        <v>-7.1587425665194347E-8</v>
      </c>
      <c r="H2058" t="b">
        <v>1</v>
      </c>
    </row>
    <row r="2059" spans="1:8" x14ac:dyDescent="0.15">
      <c r="A2059">
        <v>189</v>
      </c>
      <c r="B2059">
        <v>10</v>
      </c>
      <c r="C2059">
        <v>5573535.15625</v>
      </c>
      <c r="D2059">
        <v>1952628.9458010879</v>
      </c>
      <c r="E2059">
        <v>6.8413248549029513E-6</v>
      </c>
      <c r="F2059">
        <v>6.8041134902182188E-6</v>
      </c>
      <c r="G2059">
        <v>3.7211364684732513E-8</v>
      </c>
      <c r="H2059" t="b">
        <v>0</v>
      </c>
    </row>
    <row r="2060" spans="1:8" x14ac:dyDescent="0.15">
      <c r="A2060">
        <v>189</v>
      </c>
      <c r="B2060">
        <v>11</v>
      </c>
      <c r="C2060">
        <v>5579345.703125</v>
      </c>
      <c r="D2060">
        <v>4954863.2390539898</v>
      </c>
      <c r="E2060">
        <v>6.8962845986341378E-6</v>
      </c>
      <c r="F2060">
        <v>6.8041134902182188E-6</v>
      </c>
      <c r="G2060">
        <v>9.2171108415918965E-8</v>
      </c>
      <c r="H2060" t="b">
        <v>0</v>
      </c>
    </row>
    <row r="2061" spans="1:8" x14ac:dyDescent="0.15">
      <c r="A2061">
        <v>189</v>
      </c>
      <c r="B2061">
        <v>12</v>
      </c>
      <c r="C2061">
        <v>5582250.9765625</v>
      </c>
      <c r="D2061">
        <v>6516936.5592195764</v>
      </c>
      <c r="E2061">
        <v>6.9239037976790104E-6</v>
      </c>
      <c r="F2061">
        <v>6.8041134902182188E-6</v>
      </c>
      <c r="G2061">
        <v>1.1979030746079161E-7</v>
      </c>
      <c r="H2061" t="b">
        <v>0</v>
      </c>
    </row>
    <row r="2062" spans="1:8" x14ac:dyDescent="0.15">
      <c r="A2062">
        <v>189</v>
      </c>
      <c r="B2062">
        <v>13</v>
      </c>
      <c r="C2062">
        <v>5580798.33984375</v>
      </c>
      <c r="D2062">
        <v>5730776.5454549417</v>
      </c>
      <c r="E2062">
        <v>6.910082552013857E-6</v>
      </c>
      <c r="F2062">
        <v>6.8041134902182188E-6</v>
      </c>
      <c r="G2062">
        <v>1.059690617956382E-7</v>
      </c>
      <c r="H2062" t="b">
        <v>0</v>
      </c>
    </row>
    <row r="2063" spans="1:8" x14ac:dyDescent="0.15">
      <c r="A2063">
        <v>189</v>
      </c>
      <c r="B2063">
        <v>14</v>
      </c>
      <c r="C2063">
        <v>5579598.33984375</v>
      </c>
      <c r="D2063">
        <v>5089082.456664904</v>
      </c>
      <c r="E2063">
        <v>6.8986827788432989E-6</v>
      </c>
      <c r="F2063">
        <v>6.8041134902182188E-6</v>
      </c>
      <c r="G2063">
        <v>9.456928862508013E-8</v>
      </c>
      <c r="H2063" t="b">
        <v>0</v>
      </c>
    </row>
    <row r="2064" spans="1:8" x14ac:dyDescent="0.15">
      <c r="A2064">
        <v>189</v>
      </c>
      <c r="B2064">
        <v>15</v>
      </c>
      <c r="C2064">
        <v>5580198.33984375</v>
      </c>
      <c r="D2064">
        <v>5409054.9170891354</v>
      </c>
      <c r="E2064">
        <v>6.9043806374413688E-6</v>
      </c>
      <c r="F2064">
        <v>6.8041134902182188E-6</v>
      </c>
      <c r="G2064">
        <v>1.0026714722314999E-7</v>
      </c>
      <c r="H2064" t="b">
        <v>0</v>
      </c>
    </row>
    <row r="2065" spans="1:8" x14ac:dyDescent="0.15">
      <c r="A2065">
        <v>189</v>
      </c>
      <c r="B2065">
        <v>16</v>
      </c>
      <c r="C2065">
        <v>5580918.33984375</v>
      </c>
      <c r="D2065">
        <v>5795331.0969027607</v>
      </c>
      <c r="E2065">
        <v>6.9112234218169948E-6</v>
      </c>
      <c r="F2065">
        <v>6.8041134902182188E-6</v>
      </c>
      <c r="G2065">
        <v>1.0710993159877601E-7</v>
      </c>
      <c r="H2065" t="b">
        <v>0</v>
      </c>
    </row>
    <row r="2066" spans="1:8" x14ac:dyDescent="0.15">
      <c r="A2066">
        <v>189</v>
      </c>
      <c r="B2066">
        <v>17</v>
      </c>
      <c r="C2066">
        <v>5580558.33984375</v>
      </c>
      <c r="D2066">
        <v>5601863.8372603841</v>
      </c>
      <c r="E2066">
        <v>6.9078010527555756E-6</v>
      </c>
      <c r="F2066">
        <v>6.8041134902182188E-6</v>
      </c>
      <c r="G2066">
        <v>1.036875625373576E-7</v>
      </c>
      <c r="H2066" t="b">
        <v>0</v>
      </c>
    </row>
    <row r="2067" spans="1:8" x14ac:dyDescent="0.15">
      <c r="A2067">
        <v>190</v>
      </c>
      <c r="B2067">
        <v>1</v>
      </c>
      <c r="C2067">
        <v>6050000</v>
      </c>
      <c r="D2067">
        <v>622904971.84359109</v>
      </c>
      <c r="E2067">
        <v>1.0624100302453491E-5</v>
      </c>
      <c r="F2067">
        <v>6.5650387724955883E-6</v>
      </c>
      <c r="G2067">
        <v>4.0590615299579006E-6</v>
      </c>
      <c r="H2067" t="b">
        <v>0</v>
      </c>
    </row>
    <row r="2068" spans="1:8" x14ac:dyDescent="0.15">
      <c r="A2068">
        <v>190</v>
      </c>
      <c r="B2068">
        <v>2</v>
      </c>
      <c r="C2068">
        <v>3075000</v>
      </c>
      <c r="D2068">
        <v>-35540.231221228263</v>
      </c>
      <c r="E2068">
        <v>-4.5177868027086603E-6</v>
      </c>
      <c r="F2068">
        <v>6.5650387724955883E-6</v>
      </c>
      <c r="G2068">
        <v>-1.108282557520425E-5</v>
      </c>
      <c r="H2068" t="b">
        <v>1</v>
      </c>
    </row>
    <row r="2069" spans="1:8" x14ac:dyDescent="0.15">
      <c r="A2069">
        <v>190</v>
      </c>
      <c r="B2069">
        <v>3</v>
      </c>
      <c r="C2069">
        <v>4562500</v>
      </c>
      <c r="D2069">
        <v>-615833.47715483163</v>
      </c>
      <c r="E2069">
        <v>1.3125046289234719E-6</v>
      </c>
      <c r="F2069">
        <v>6.5650387724955883E-6</v>
      </c>
      <c r="G2069">
        <v>-5.2525341435721174E-6</v>
      </c>
      <c r="H2069" t="b">
        <v>1</v>
      </c>
    </row>
    <row r="2070" spans="1:8" x14ac:dyDescent="0.15">
      <c r="A2070">
        <v>190</v>
      </c>
      <c r="B2070">
        <v>4</v>
      </c>
      <c r="C2070">
        <v>5306250</v>
      </c>
      <c r="D2070">
        <v>-10730031.37119054</v>
      </c>
      <c r="E2070">
        <v>3.909341073977555E-6</v>
      </c>
      <c r="F2070">
        <v>6.5650387724955883E-6</v>
      </c>
      <c r="G2070">
        <v>-2.6556976985180328E-6</v>
      </c>
      <c r="H2070" t="b">
        <v>1</v>
      </c>
    </row>
    <row r="2071" spans="1:8" x14ac:dyDescent="0.15">
      <c r="A2071">
        <v>190</v>
      </c>
      <c r="B2071">
        <v>5</v>
      </c>
      <c r="C2071">
        <v>5678125</v>
      </c>
      <c r="D2071">
        <v>-590625.17569661397</v>
      </c>
      <c r="E2071">
        <v>6.5537750486800192E-6</v>
      </c>
      <c r="F2071">
        <v>6.5650387724955883E-6</v>
      </c>
      <c r="G2071">
        <v>-1.126372381556908E-8</v>
      </c>
      <c r="H2071" t="b">
        <v>1</v>
      </c>
    </row>
    <row r="2072" spans="1:8" x14ac:dyDescent="0.15">
      <c r="A2072">
        <v>190</v>
      </c>
      <c r="B2072">
        <v>6</v>
      </c>
      <c r="C2072">
        <v>5864062.5</v>
      </c>
      <c r="D2072">
        <v>179387693.03969279</v>
      </c>
      <c r="E2072">
        <v>8.3845152317434864E-6</v>
      </c>
      <c r="F2072">
        <v>6.5650387724955883E-6</v>
      </c>
      <c r="G2072">
        <v>1.8194764592478979E-6</v>
      </c>
      <c r="H2072" t="b">
        <v>0</v>
      </c>
    </row>
    <row r="2073" spans="1:8" x14ac:dyDescent="0.15">
      <c r="A2073">
        <v>190</v>
      </c>
      <c r="B2073">
        <v>7</v>
      </c>
      <c r="C2073">
        <v>5771093.75</v>
      </c>
      <c r="D2073">
        <v>63615047.496772178</v>
      </c>
      <c r="E2073">
        <v>7.4214294585962923E-6</v>
      </c>
      <c r="F2073">
        <v>6.5650387724955883E-6</v>
      </c>
      <c r="G2073">
        <v>8.5639068610070402E-7</v>
      </c>
      <c r="H2073" t="b">
        <v>0</v>
      </c>
    </row>
    <row r="2074" spans="1:8" x14ac:dyDescent="0.15">
      <c r="A2074">
        <v>190</v>
      </c>
      <c r="B2074">
        <v>8</v>
      </c>
      <c r="C2074">
        <v>5724609.375</v>
      </c>
      <c r="D2074">
        <v>25907671.05039883</v>
      </c>
      <c r="E2074">
        <v>6.9760872660193269E-6</v>
      </c>
      <c r="F2074">
        <v>6.5650387724955883E-6</v>
      </c>
      <c r="G2074">
        <v>4.1104849352373869E-7</v>
      </c>
      <c r="H2074" t="b">
        <v>0</v>
      </c>
    </row>
    <row r="2075" spans="1:8" x14ac:dyDescent="0.15">
      <c r="A2075">
        <v>190</v>
      </c>
      <c r="B2075">
        <v>9</v>
      </c>
      <c r="C2075">
        <v>5701367.1875</v>
      </c>
      <c r="D2075">
        <v>11359534.907050069</v>
      </c>
      <c r="E2075">
        <v>6.7620961378952773E-6</v>
      </c>
      <c r="F2075">
        <v>6.5650387724955883E-6</v>
      </c>
      <c r="G2075">
        <v>1.97057365399689E-7</v>
      </c>
      <c r="H2075" t="b">
        <v>0</v>
      </c>
    </row>
    <row r="2076" spans="1:8" x14ac:dyDescent="0.15">
      <c r="A2076">
        <v>190</v>
      </c>
      <c r="B2076">
        <v>10</v>
      </c>
      <c r="C2076">
        <v>5689746.09375</v>
      </c>
      <c r="D2076">
        <v>5072639.3137148404</v>
      </c>
      <c r="E2076">
        <v>6.6572367420351612E-6</v>
      </c>
      <c r="F2076">
        <v>6.5650387724955883E-6</v>
      </c>
      <c r="G2076">
        <v>9.2197969539572993E-8</v>
      </c>
      <c r="H2076" t="b">
        <v>0</v>
      </c>
    </row>
    <row r="2077" spans="1:8" x14ac:dyDescent="0.15">
      <c r="A2077">
        <v>190</v>
      </c>
      <c r="B2077">
        <v>11</v>
      </c>
      <c r="C2077">
        <v>5695556.640625</v>
      </c>
      <c r="D2077">
        <v>8136483.8236854579</v>
      </c>
      <c r="E2077">
        <v>6.7094897602331407E-6</v>
      </c>
      <c r="F2077">
        <v>6.5650387724955883E-6</v>
      </c>
      <c r="G2077">
        <v>1.4445098773755249E-7</v>
      </c>
      <c r="H2077" t="b">
        <v>0</v>
      </c>
    </row>
    <row r="2078" spans="1:8" x14ac:dyDescent="0.15">
      <c r="A2078">
        <v>190</v>
      </c>
      <c r="B2078">
        <v>12</v>
      </c>
      <c r="C2078">
        <v>5692651.3671875</v>
      </c>
      <c r="D2078">
        <v>6584859.1202813284</v>
      </c>
      <c r="E2078">
        <v>6.6833191726583654E-6</v>
      </c>
      <c r="F2078">
        <v>6.5650387724955883E-6</v>
      </c>
      <c r="G2078">
        <v>1.1828040016277709E-7</v>
      </c>
      <c r="H2078" t="b">
        <v>0</v>
      </c>
    </row>
    <row r="2079" spans="1:8" x14ac:dyDescent="0.15">
      <c r="A2079">
        <v>190</v>
      </c>
      <c r="B2079">
        <v>13</v>
      </c>
      <c r="C2079">
        <v>5691198.73046875</v>
      </c>
      <c r="D2079">
        <v>5823847.9121133545</v>
      </c>
      <c r="E2079">
        <v>6.6702669411234777E-6</v>
      </c>
      <c r="F2079">
        <v>6.5650387724955883E-6</v>
      </c>
      <c r="G2079">
        <v>1.0522816862789021E-7</v>
      </c>
      <c r="H2079" t="b">
        <v>0</v>
      </c>
    </row>
    <row r="2080" spans="1:8" x14ac:dyDescent="0.15">
      <c r="A2080">
        <v>190</v>
      </c>
      <c r="B2080">
        <v>14</v>
      </c>
      <c r="C2080">
        <v>5689998.73046875</v>
      </c>
      <c r="D2080">
        <v>5202598.3542620502</v>
      </c>
      <c r="E2080">
        <v>6.6595015615029389E-6</v>
      </c>
      <c r="F2080">
        <v>6.5650387724955883E-6</v>
      </c>
      <c r="G2080">
        <v>9.4462789007350677E-8</v>
      </c>
      <c r="H2080" t="b">
        <v>0</v>
      </c>
    </row>
    <row r="2081" spans="1:8" x14ac:dyDescent="0.15">
      <c r="A2081">
        <v>190</v>
      </c>
      <c r="B2081">
        <v>15</v>
      </c>
      <c r="C2081">
        <v>5690598.73046875</v>
      </c>
      <c r="D2081">
        <v>5512381.3584728101</v>
      </c>
      <c r="E2081">
        <v>6.6648822449534142E-6</v>
      </c>
      <c r="F2081">
        <v>6.5650387724955883E-6</v>
      </c>
      <c r="G2081">
        <v>9.9843472457825988E-8</v>
      </c>
      <c r="H2081" t="b">
        <v>0</v>
      </c>
    </row>
    <row r="2082" spans="1:8" x14ac:dyDescent="0.15">
      <c r="A2082">
        <v>190</v>
      </c>
      <c r="B2082">
        <v>16</v>
      </c>
      <c r="C2082">
        <v>5691318.73046875</v>
      </c>
      <c r="D2082">
        <v>5886355.4886626694</v>
      </c>
      <c r="E2082">
        <v>6.6713445673337077E-6</v>
      </c>
      <c r="F2082">
        <v>6.5650387724955883E-6</v>
      </c>
      <c r="G2082">
        <v>1.0630579483812019E-7</v>
      </c>
      <c r="H2082" t="b">
        <v>0</v>
      </c>
    </row>
    <row r="2083" spans="1:8" x14ac:dyDescent="0.15">
      <c r="A2083">
        <v>190</v>
      </c>
      <c r="B2083">
        <v>17</v>
      </c>
      <c r="C2083">
        <v>5690958.73046875</v>
      </c>
      <c r="D2083">
        <v>5699074.5076450799</v>
      </c>
      <c r="E2083">
        <v>6.6681128485160114E-6</v>
      </c>
      <c r="F2083">
        <v>6.5650387724955883E-6</v>
      </c>
      <c r="G2083">
        <v>1.0307407602042231E-7</v>
      </c>
      <c r="H2083" t="b">
        <v>0</v>
      </c>
    </row>
    <row r="2084" spans="1:8" x14ac:dyDescent="0.15">
      <c r="A2084">
        <v>191</v>
      </c>
      <c r="B2084">
        <v>1</v>
      </c>
      <c r="C2084">
        <v>6050000</v>
      </c>
      <c r="D2084">
        <v>-11398362.708702881</v>
      </c>
      <c r="E2084">
        <v>3.1422920823961931E-6</v>
      </c>
      <c r="F2084">
        <v>5.0224850177624702E-6</v>
      </c>
      <c r="G2084">
        <v>-1.8801929353662771E-6</v>
      </c>
      <c r="H2084" t="b">
        <v>1</v>
      </c>
    </row>
    <row r="2085" spans="1:8" x14ac:dyDescent="0.15">
      <c r="A2085">
        <v>191</v>
      </c>
      <c r="B2085">
        <v>2</v>
      </c>
      <c r="C2085">
        <v>9025000</v>
      </c>
      <c r="D2085">
        <v>473680540459.16522</v>
      </c>
      <c r="E2085">
        <v>3.353068977666316E-4</v>
      </c>
      <c r="F2085">
        <v>5.0224850177624778E-6</v>
      </c>
      <c r="G2085">
        <v>3.3028441274886912E-4</v>
      </c>
      <c r="H2085" t="b">
        <v>0</v>
      </c>
    </row>
    <row r="2086" spans="1:8" x14ac:dyDescent="0.15">
      <c r="A2086">
        <v>191</v>
      </c>
      <c r="B2086">
        <v>3</v>
      </c>
      <c r="C2086">
        <v>7537500</v>
      </c>
      <c r="D2086">
        <v>12954104032.95628</v>
      </c>
      <c r="E2086">
        <v>2.8355211083377979E-5</v>
      </c>
      <c r="F2086">
        <v>5.0224850177624711E-6</v>
      </c>
      <c r="G2086">
        <v>2.3332726065615501E-5</v>
      </c>
      <c r="H2086" t="b">
        <v>0</v>
      </c>
    </row>
    <row r="2087" spans="1:8" x14ac:dyDescent="0.15">
      <c r="A2087">
        <v>191</v>
      </c>
      <c r="B2087">
        <v>4</v>
      </c>
      <c r="C2087">
        <v>6793750</v>
      </c>
      <c r="D2087">
        <v>410068892.23615909</v>
      </c>
      <c r="E2087">
        <v>7.4930522507022078E-6</v>
      </c>
      <c r="F2087">
        <v>5.0224850177624702E-6</v>
      </c>
      <c r="G2087">
        <v>2.470567232939738E-6</v>
      </c>
      <c r="H2087" t="b">
        <v>0</v>
      </c>
    </row>
    <row r="2088" spans="1:8" x14ac:dyDescent="0.15">
      <c r="A2088">
        <v>191</v>
      </c>
      <c r="B2088">
        <v>5</v>
      </c>
      <c r="C2088">
        <v>6421875</v>
      </c>
      <c r="D2088">
        <v>-6521804.6171824653</v>
      </c>
      <c r="E2088">
        <v>4.9070263288986914E-6</v>
      </c>
      <c r="F2088">
        <v>5.0224850177624702E-6</v>
      </c>
      <c r="G2088">
        <v>-1.154586888637797E-7</v>
      </c>
      <c r="H2088" t="b">
        <v>1</v>
      </c>
    </row>
    <row r="2089" spans="1:8" x14ac:dyDescent="0.15">
      <c r="A2089">
        <v>191</v>
      </c>
      <c r="B2089">
        <v>6</v>
      </c>
      <c r="C2089">
        <v>6607812.5</v>
      </c>
      <c r="D2089">
        <v>112519617.39518289</v>
      </c>
      <c r="E2089">
        <v>6.084096088435475E-6</v>
      </c>
      <c r="F2089">
        <v>5.0224850177624702E-6</v>
      </c>
      <c r="G2089">
        <v>1.061611070673005E-6</v>
      </c>
      <c r="H2089" t="b">
        <v>0</v>
      </c>
    </row>
    <row r="2090" spans="1:8" x14ac:dyDescent="0.15">
      <c r="A2090">
        <v>191</v>
      </c>
      <c r="B2090">
        <v>7</v>
      </c>
      <c r="C2090">
        <v>6514843.75</v>
      </c>
      <c r="D2090">
        <v>35564287.776182607</v>
      </c>
      <c r="E2090">
        <v>5.4682809190497824E-6</v>
      </c>
      <c r="F2090">
        <v>5.0224850177624702E-6</v>
      </c>
      <c r="G2090">
        <v>4.4579590128731219E-7</v>
      </c>
      <c r="H2090" t="b">
        <v>0</v>
      </c>
    </row>
    <row r="2091" spans="1:8" x14ac:dyDescent="0.15">
      <c r="A2091">
        <v>191</v>
      </c>
      <c r="B2091">
        <v>8</v>
      </c>
      <c r="C2091">
        <v>6468359.375</v>
      </c>
      <c r="D2091">
        <v>10741254.88172188</v>
      </c>
      <c r="E2091">
        <v>5.1810433507747623E-6</v>
      </c>
      <c r="F2091">
        <v>5.0224850177624702E-6</v>
      </c>
      <c r="G2091">
        <v>1.5855833301229209E-7</v>
      </c>
      <c r="H2091" t="b">
        <v>0</v>
      </c>
    </row>
    <row r="2092" spans="1:8" x14ac:dyDescent="0.15">
      <c r="A2092">
        <v>191</v>
      </c>
      <c r="B2092">
        <v>9</v>
      </c>
      <c r="C2092">
        <v>6445117.1875</v>
      </c>
      <c r="D2092">
        <v>1235485.6070068721</v>
      </c>
      <c r="E2092">
        <v>5.0424076142258216E-6</v>
      </c>
      <c r="F2092">
        <v>5.0224850177624702E-6</v>
      </c>
      <c r="G2092">
        <v>1.9922596463352251E-8</v>
      </c>
      <c r="H2092" t="b">
        <v>0</v>
      </c>
    </row>
    <row r="2093" spans="1:8" x14ac:dyDescent="0.15">
      <c r="A2093">
        <v>191</v>
      </c>
      <c r="B2093">
        <v>10</v>
      </c>
      <c r="C2093">
        <v>6456738.28125</v>
      </c>
      <c r="D2093">
        <v>5760913.6537301959</v>
      </c>
      <c r="E2093">
        <v>5.1113139339216287E-6</v>
      </c>
      <c r="F2093">
        <v>5.0224850177624702E-6</v>
      </c>
      <c r="G2093">
        <v>8.8828916159158517E-8</v>
      </c>
      <c r="H2093" t="b">
        <v>0</v>
      </c>
    </row>
    <row r="2094" spans="1:8" x14ac:dyDescent="0.15">
      <c r="A2094">
        <v>191</v>
      </c>
      <c r="B2094">
        <v>11</v>
      </c>
      <c r="C2094">
        <v>6462548.828125</v>
      </c>
      <c r="D2094">
        <v>8193112.397845773</v>
      </c>
      <c r="E2094">
        <v>5.1460753437000098E-6</v>
      </c>
      <c r="F2094">
        <v>5.0224850177624702E-6</v>
      </c>
      <c r="G2094">
        <v>1.2359032593753961E-7</v>
      </c>
      <c r="H2094" t="b">
        <v>0</v>
      </c>
    </row>
    <row r="2095" spans="1:8" x14ac:dyDescent="0.15">
      <c r="A2095">
        <v>191</v>
      </c>
      <c r="B2095">
        <v>12</v>
      </c>
      <c r="C2095">
        <v>6459643.5546875</v>
      </c>
      <c r="D2095">
        <v>6962658.7593100751</v>
      </c>
      <c r="E2095">
        <v>5.1286688656121174E-6</v>
      </c>
      <c r="F2095">
        <v>5.0224850177624702E-6</v>
      </c>
      <c r="G2095">
        <v>1.061838478496464E-7</v>
      </c>
      <c r="H2095" t="b">
        <v>0</v>
      </c>
    </row>
    <row r="2096" spans="1:8" x14ac:dyDescent="0.15">
      <c r="A2096">
        <v>191</v>
      </c>
      <c r="B2096">
        <v>13</v>
      </c>
      <c r="C2096">
        <v>6458190.91796875</v>
      </c>
      <c r="D2096">
        <v>6358214.9565679794</v>
      </c>
      <c r="E2096">
        <v>5.1199849628974428E-6</v>
      </c>
      <c r="F2096">
        <v>5.0224850177624702E-6</v>
      </c>
      <c r="G2096">
        <v>9.7499945134972614E-8</v>
      </c>
      <c r="H2096" t="b">
        <v>0</v>
      </c>
    </row>
    <row r="2097" spans="1:8" x14ac:dyDescent="0.15">
      <c r="A2097">
        <v>191</v>
      </c>
      <c r="B2097">
        <v>14</v>
      </c>
      <c r="C2097">
        <v>6458690.91796875</v>
      </c>
      <c r="D2097">
        <v>6565457.6515932111</v>
      </c>
      <c r="E2097">
        <v>5.1229725231818693E-6</v>
      </c>
      <c r="F2097">
        <v>5.0224850177624702E-6</v>
      </c>
      <c r="G2097">
        <v>1.004875054193991E-7</v>
      </c>
      <c r="H2097" t="b">
        <v>0</v>
      </c>
    </row>
    <row r="2098" spans="1:8" x14ac:dyDescent="0.15">
      <c r="A2098">
        <v>191</v>
      </c>
      <c r="B2098">
        <v>15</v>
      </c>
      <c r="C2098">
        <v>6458440.91796875</v>
      </c>
      <c r="D2098">
        <v>6461742.3901083581</v>
      </c>
      <c r="E2098">
        <v>5.1214787246236224E-6</v>
      </c>
      <c r="F2098">
        <v>5.0224850177624702E-6</v>
      </c>
      <c r="G2098">
        <v>9.8993706861151357E-8</v>
      </c>
      <c r="H2098" t="b">
        <v>0</v>
      </c>
    </row>
    <row r="2099" spans="1:8" x14ac:dyDescent="0.15">
      <c r="A2099">
        <v>192</v>
      </c>
      <c r="B2099">
        <v>1</v>
      </c>
      <c r="C2099">
        <v>6050000</v>
      </c>
      <c r="D2099">
        <v>-6790664.4868442127</v>
      </c>
      <c r="E2099">
        <v>2.6961658739301509E-6</v>
      </c>
      <c r="F2099">
        <v>4.9327349369830426E-6</v>
      </c>
      <c r="G2099">
        <v>-2.2365690630528921E-6</v>
      </c>
      <c r="H2099" t="b">
        <v>1</v>
      </c>
    </row>
    <row r="2100" spans="1:8" x14ac:dyDescent="0.15">
      <c r="A2100">
        <v>192</v>
      </c>
      <c r="B2100">
        <v>2</v>
      </c>
      <c r="C2100">
        <v>9025000</v>
      </c>
      <c r="D2100">
        <v>338061617733.83551</v>
      </c>
      <c r="E2100">
        <v>2.5515165979772721E-4</v>
      </c>
      <c r="F2100">
        <v>4.9327349369830426E-6</v>
      </c>
      <c r="G2100">
        <v>2.5021892486074411E-4</v>
      </c>
      <c r="H2100" t="b">
        <v>0</v>
      </c>
    </row>
    <row r="2101" spans="1:8" x14ac:dyDescent="0.15">
      <c r="A2101">
        <v>192</v>
      </c>
      <c r="B2101">
        <v>3</v>
      </c>
      <c r="C2101">
        <v>7537500</v>
      </c>
      <c r="D2101">
        <v>7815846182.3220911</v>
      </c>
      <c r="E2101">
        <v>2.0829207501382891E-5</v>
      </c>
      <c r="F2101">
        <v>4.9327349369830426E-6</v>
      </c>
      <c r="G2101">
        <v>1.5896472564399851E-5</v>
      </c>
      <c r="H2101" t="b">
        <v>0</v>
      </c>
    </row>
    <row r="2102" spans="1:8" x14ac:dyDescent="0.15">
      <c r="A2102">
        <v>192</v>
      </c>
      <c r="B2102">
        <v>4</v>
      </c>
      <c r="C2102">
        <v>6793750</v>
      </c>
      <c r="D2102">
        <v>184381108.74433649</v>
      </c>
      <c r="E2102">
        <v>6.396460760758532E-6</v>
      </c>
      <c r="F2102">
        <v>4.9327349369830426E-6</v>
      </c>
      <c r="G2102">
        <v>1.463725823775489E-6</v>
      </c>
      <c r="H2102" t="b">
        <v>0</v>
      </c>
    </row>
    <row r="2103" spans="1:8" x14ac:dyDescent="0.15">
      <c r="A2103">
        <v>192</v>
      </c>
      <c r="B2103">
        <v>5</v>
      </c>
      <c r="C2103">
        <v>6421875</v>
      </c>
      <c r="D2103">
        <v>-23692942.600928329</v>
      </c>
      <c r="E2103">
        <v>4.1897298605329881E-6</v>
      </c>
      <c r="F2103">
        <v>4.9327349369830426E-6</v>
      </c>
      <c r="G2103">
        <v>-7.4300507645005456E-7</v>
      </c>
      <c r="H2103" t="b">
        <v>1</v>
      </c>
    </row>
    <row r="2104" spans="1:8" x14ac:dyDescent="0.15">
      <c r="A2104">
        <v>192</v>
      </c>
      <c r="B2104">
        <v>6</v>
      </c>
      <c r="C2104">
        <v>6607812.5</v>
      </c>
      <c r="D2104">
        <v>18900475.654069971</v>
      </c>
      <c r="E2104">
        <v>5.1920572338610996E-6</v>
      </c>
      <c r="F2104">
        <v>4.9327349369830426E-6</v>
      </c>
      <c r="G2104">
        <v>2.59322296878057E-7</v>
      </c>
      <c r="H2104" t="b">
        <v>0</v>
      </c>
    </row>
    <row r="2105" spans="1:8" x14ac:dyDescent="0.15">
      <c r="A2105">
        <v>192</v>
      </c>
      <c r="B2105">
        <v>7</v>
      </c>
      <c r="C2105">
        <v>6514843.75</v>
      </c>
      <c r="D2105">
        <v>-13456714.55279664</v>
      </c>
      <c r="E2105">
        <v>4.6671731356063913E-6</v>
      </c>
      <c r="F2105">
        <v>4.9327349369830426E-6</v>
      </c>
      <c r="G2105">
        <v>-2.6556180137665128E-7</v>
      </c>
      <c r="H2105" t="b">
        <v>1</v>
      </c>
    </row>
    <row r="2106" spans="1:8" x14ac:dyDescent="0.15">
      <c r="A2106">
        <v>192</v>
      </c>
      <c r="B2106">
        <v>8</v>
      </c>
      <c r="C2106">
        <v>6561328.125</v>
      </c>
      <c r="D2106">
        <v>-567206.6058245732</v>
      </c>
      <c r="E2106">
        <v>4.9234939642835969E-6</v>
      </c>
      <c r="F2106">
        <v>4.9327349369830426E-6</v>
      </c>
      <c r="G2106">
        <v>-9.2409726994457421E-9</v>
      </c>
      <c r="H2106" t="b">
        <v>1</v>
      </c>
    </row>
    <row r="2107" spans="1:8" x14ac:dyDescent="0.15">
      <c r="A2107">
        <v>192</v>
      </c>
      <c r="B2107">
        <v>9</v>
      </c>
      <c r="C2107">
        <v>6584570.3125</v>
      </c>
      <c r="D2107">
        <v>8278280.8627971634</v>
      </c>
      <c r="E2107">
        <v>5.0562257840011108E-6</v>
      </c>
      <c r="F2107">
        <v>4.9327349369830426E-6</v>
      </c>
      <c r="G2107">
        <v>1.234908470180682E-7</v>
      </c>
      <c r="H2107" t="b">
        <v>0</v>
      </c>
    </row>
    <row r="2108" spans="1:8" x14ac:dyDescent="0.15">
      <c r="A2108">
        <v>192</v>
      </c>
      <c r="B2108">
        <v>10</v>
      </c>
      <c r="C2108">
        <v>6572949.21875</v>
      </c>
      <c r="D2108">
        <v>3641956.78151744</v>
      </c>
      <c r="E2108">
        <v>4.9894780687292758E-6</v>
      </c>
      <c r="F2108">
        <v>4.9327349369830426E-6</v>
      </c>
      <c r="G2108">
        <v>5.6743131746233161E-8</v>
      </c>
      <c r="H2108" t="b">
        <v>0</v>
      </c>
    </row>
    <row r="2109" spans="1:8" x14ac:dyDescent="0.15">
      <c r="A2109">
        <v>192</v>
      </c>
      <c r="B2109">
        <v>11</v>
      </c>
      <c r="C2109">
        <v>6578759.765625</v>
      </c>
      <c r="D2109">
        <v>5905778.0592014268</v>
      </c>
      <c r="E2109">
        <v>5.0227573500219806E-6</v>
      </c>
      <c r="F2109">
        <v>4.9327349369830426E-6</v>
      </c>
      <c r="G2109">
        <v>9.0022413038938819E-8</v>
      </c>
      <c r="H2109" t="b">
        <v>0</v>
      </c>
    </row>
    <row r="2110" spans="1:8" x14ac:dyDescent="0.15">
      <c r="A2110">
        <v>192</v>
      </c>
      <c r="B2110">
        <v>12</v>
      </c>
      <c r="C2110">
        <v>6581665.0390625</v>
      </c>
      <c r="D2110">
        <v>7078260.3253755365</v>
      </c>
      <c r="E2110">
        <v>5.039467086614436E-6</v>
      </c>
      <c r="F2110">
        <v>4.9327349369830426E-6</v>
      </c>
      <c r="G2110">
        <v>1.067321496313934E-7</v>
      </c>
      <c r="H2110" t="b">
        <v>0</v>
      </c>
    </row>
    <row r="2111" spans="1:8" x14ac:dyDescent="0.15">
      <c r="A2111">
        <v>192</v>
      </c>
      <c r="B2111">
        <v>13</v>
      </c>
      <c r="C2111">
        <v>6580212.40234375</v>
      </c>
      <c r="D2111">
        <v>6488591.3865077579</v>
      </c>
      <c r="E2111">
        <v>5.0311060761928504E-6</v>
      </c>
      <c r="F2111">
        <v>4.9327349369830426E-6</v>
      </c>
      <c r="G2111">
        <v>9.8371139209806887E-8</v>
      </c>
      <c r="H2111" t="b">
        <v>0</v>
      </c>
    </row>
    <row r="2112" spans="1:8" x14ac:dyDescent="0.15">
      <c r="A2112">
        <v>192</v>
      </c>
      <c r="B2112">
        <v>14</v>
      </c>
      <c r="C2112">
        <v>6580712.40234375</v>
      </c>
      <c r="D2112">
        <v>6690782.0521209249</v>
      </c>
      <c r="E2112">
        <v>5.0339825777845941E-6</v>
      </c>
      <c r="F2112">
        <v>4.9327349369830426E-6</v>
      </c>
      <c r="G2112">
        <v>1.012476408015515E-7</v>
      </c>
      <c r="H2112" t="b">
        <v>0</v>
      </c>
    </row>
    <row r="2113" spans="1:8" x14ac:dyDescent="0.15">
      <c r="A2113">
        <v>192</v>
      </c>
      <c r="B2113">
        <v>15</v>
      </c>
      <c r="C2113">
        <v>6580462.40234375</v>
      </c>
      <c r="D2113">
        <v>6589585.2436905932</v>
      </c>
      <c r="E2113">
        <v>5.0325441469783717E-6</v>
      </c>
      <c r="F2113">
        <v>4.9327349369830426E-6</v>
      </c>
      <c r="G2113">
        <v>9.9809209995329075E-8</v>
      </c>
      <c r="H2113" t="b">
        <v>0</v>
      </c>
    </row>
    <row r="2114" spans="1:8" x14ac:dyDescent="0.15">
      <c r="A2114">
        <v>193</v>
      </c>
      <c r="B2114">
        <v>1</v>
      </c>
      <c r="C2114">
        <v>6050000</v>
      </c>
      <c r="D2114">
        <v>-7503665.1324052559</v>
      </c>
      <c r="E2114">
        <v>2.7537002275072089E-6</v>
      </c>
      <c r="F2114">
        <v>4.9033833539040116E-6</v>
      </c>
      <c r="G2114">
        <v>-2.1496831263968031E-6</v>
      </c>
      <c r="H2114" t="b">
        <v>1</v>
      </c>
    </row>
    <row r="2115" spans="1:8" x14ac:dyDescent="0.15">
      <c r="A2115">
        <v>193</v>
      </c>
      <c r="B2115">
        <v>2</v>
      </c>
      <c r="C2115">
        <v>9025000</v>
      </c>
      <c r="D2115">
        <v>360586795270.57343</v>
      </c>
      <c r="E2115">
        <v>2.6566845432479349E-4</v>
      </c>
      <c r="F2115">
        <v>4.9033833539040184E-6</v>
      </c>
      <c r="G2115">
        <v>2.6076507097088953E-4</v>
      </c>
      <c r="H2115" t="b">
        <v>0</v>
      </c>
    </row>
    <row r="2116" spans="1:8" x14ac:dyDescent="0.15">
      <c r="A2116">
        <v>193</v>
      </c>
      <c r="B2116">
        <v>3</v>
      </c>
      <c r="C2116">
        <v>7537500</v>
      </c>
      <c r="D2116">
        <v>8611954898.9397621</v>
      </c>
      <c r="E2116">
        <v>2.1826576700003281E-5</v>
      </c>
      <c r="F2116">
        <v>4.9033833539040141E-6</v>
      </c>
      <c r="G2116">
        <v>1.692319334609927E-5</v>
      </c>
      <c r="H2116" t="b">
        <v>0</v>
      </c>
    </row>
    <row r="2117" spans="1:8" x14ac:dyDescent="0.15">
      <c r="A2117">
        <v>193</v>
      </c>
      <c r="B2117">
        <v>4</v>
      </c>
      <c r="C2117">
        <v>6793750</v>
      </c>
      <c r="D2117">
        <v>219972968.53728479</v>
      </c>
      <c r="E2117">
        <v>6.5380984291438256E-6</v>
      </c>
      <c r="F2117">
        <v>4.9033833539040116E-6</v>
      </c>
      <c r="G2117">
        <v>1.634715075239813E-6</v>
      </c>
      <c r="H2117" t="b">
        <v>0</v>
      </c>
    </row>
    <row r="2118" spans="1:8" x14ac:dyDescent="0.15">
      <c r="A2118">
        <v>193</v>
      </c>
      <c r="B2118">
        <v>5</v>
      </c>
      <c r="C2118">
        <v>6421875</v>
      </c>
      <c r="D2118">
        <v>-22621094.17131196</v>
      </c>
      <c r="E2118">
        <v>4.282608277067349E-6</v>
      </c>
      <c r="F2118">
        <v>4.9033833539040116E-6</v>
      </c>
      <c r="G2118">
        <v>-6.2077507683666342E-7</v>
      </c>
      <c r="H2118" t="b">
        <v>1</v>
      </c>
    </row>
    <row r="2119" spans="1:8" x14ac:dyDescent="0.15">
      <c r="A2119">
        <v>193</v>
      </c>
      <c r="B2119">
        <v>6</v>
      </c>
      <c r="C2119">
        <v>6607812.5</v>
      </c>
      <c r="D2119">
        <v>32148713.691310842</v>
      </c>
      <c r="E2119">
        <v>5.3074786687491546E-6</v>
      </c>
      <c r="F2119">
        <v>4.9033833539040116E-6</v>
      </c>
      <c r="G2119">
        <v>4.0409531484514303E-7</v>
      </c>
      <c r="H2119" t="b">
        <v>0</v>
      </c>
    </row>
    <row r="2120" spans="1:8" x14ac:dyDescent="0.15">
      <c r="A2120">
        <v>193</v>
      </c>
      <c r="B2120">
        <v>7</v>
      </c>
      <c r="C2120">
        <v>6514843.75</v>
      </c>
      <c r="D2120">
        <v>-7462759.2654214371</v>
      </c>
      <c r="E2120">
        <v>4.7708772806810942E-6</v>
      </c>
      <c r="F2120">
        <v>4.9033833539040116E-6</v>
      </c>
      <c r="G2120">
        <v>-1.325060732229182E-7</v>
      </c>
      <c r="H2120" t="b">
        <v>1</v>
      </c>
    </row>
    <row r="2121" spans="1:8" x14ac:dyDescent="0.15">
      <c r="A2121">
        <v>193</v>
      </c>
      <c r="B2121">
        <v>8</v>
      </c>
      <c r="C2121">
        <v>6561328.125</v>
      </c>
      <c r="D2121">
        <v>8751466.7957908008</v>
      </c>
      <c r="E2121">
        <v>5.0329443408650443E-6</v>
      </c>
      <c r="F2121">
        <v>4.9033833539040116E-6</v>
      </c>
      <c r="G2121">
        <v>1.2956098696103189E-7</v>
      </c>
      <c r="H2121" t="b">
        <v>0</v>
      </c>
    </row>
    <row r="2122" spans="1:8" x14ac:dyDescent="0.15">
      <c r="A2122">
        <v>193</v>
      </c>
      <c r="B2122">
        <v>9</v>
      </c>
      <c r="C2122">
        <v>6538085.9375</v>
      </c>
      <c r="D2122">
        <v>-185622.98222990599</v>
      </c>
      <c r="E2122">
        <v>4.9003813340930677E-6</v>
      </c>
      <c r="F2122">
        <v>4.9033833539040116E-6</v>
      </c>
      <c r="G2122">
        <v>-3.0020198109447169E-9</v>
      </c>
      <c r="H2122" t="b">
        <v>1</v>
      </c>
    </row>
    <row r="2123" spans="1:8" x14ac:dyDescent="0.15">
      <c r="A2123">
        <v>193</v>
      </c>
      <c r="B2123">
        <v>10</v>
      </c>
      <c r="C2123">
        <v>6549707.03125</v>
      </c>
      <c r="D2123">
        <v>4066862.796350887</v>
      </c>
      <c r="E2123">
        <v>4.9662746436076536E-6</v>
      </c>
      <c r="F2123">
        <v>4.9033833539040116E-6</v>
      </c>
      <c r="G2123">
        <v>6.2891289703642042E-8</v>
      </c>
      <c r="H2123" t="b">
        <v>0</v>
      </c>
    </row>
    <row r="2124" spans="1:8" x14ac:dyDescent="0.15">
      <c r="A2124">
        <v>193</v>
      </c>
      <c r="B2124">
        <v>11</v>
      </c>
      <c r="C2124">
        <v>6555517.578125</v>
      </c>
      <c r="D2124">
        <v>6354106.1948479665</v>
      </c>
      <c r="E2124">
        <v>4.9995122604476393E-6</v>
      </c>
      <c r="F2124">
        <v>4.9033833539040116E-6</v>
      </c>
      <c r="G2124">
        <v>9.612890654362686E-8</v>
      </c>
      <c r="H2124" t="b">
        <v>0</v>
      </c>
    </row>
    <row r="2125" spans="1:8" x14ac:dyDescent="0.15">
      <c r="A2125">
        <v>193</v>
      </c>
      <c r="B2125">
        <v>12</v>
      </c>
      <c r="C2125">
        <v>6558422.8515625</v>
      </c>
      <c r="D2125">
        <v>7538890.2087850329</v>
      </c>
      <c r="E2125">
        <v>5.016203954436123E-6</v>
      </c>
      <c r="F2125">
        <v>4.9033833539040116E-6</v>
      </c>
      <c r="G2125">
        <v>1.128206005321105E-7</v>
      </c>
      <c r="H2125" t="b">
        <v>0</v>
      </c>
    </row>
    <row r="2126" spans="1:8" x14ac:dyDescent="0.15">
      <c r="A2126">
        <v>193</v>
      </c>
      <c r="B2126">
        <v>13</v>
      </c>
      <c r="C2126">
        <v>6556970.21484375</v>
      </c>
      <c r="D2126">
        <v>6943027.5130145233</v>
      </c>
      <c r="E2126">
        <v>5.0078518413748384E-6</v>
      </c>
      <c r="F2126">
        <v>4.9033833539040116E-6</v>
      </c>
      <c r="G2126">
        <v>1.044684874708251E-7</v>
      </c>
      <c r="H2126" t="b">
        <v>0</v>
      </c>
    </row>
    <row r="2127" spans="1:8" x14ac:dyDescent="0.15">
      <c r="A2127">
        <v>193</v>
      </c>
      <c r="B2127">
        <v>14</v>
      </c>
      <c r="C2127">
        <v>6555770.21484375</v>
      </c>
      <c r="D2127">
        <v>6456033.1416903697</v>
      </c>
      <c r="E2127">
        <v>5.0009617651389212E-6</v>
      </c>
      <c r="F2127">
        <v>4.9033833539040116E-6</v>
      </c>
      <c r="G2127">
        <v>9.757841123490877E-8</v>
      </c>
      <c r="H2127" t="b">
        <v>0</v>
      </c>
    </row>
    <row r="2128" spans="1:8" x14ac:dyDescent="0.15">
      <c r="A2128">
        <v>193</v>
      </c>
      <c r="B2128">
        <v>15</v>
      </c>
      <c r="C2128">
        <v>6556370.21484375</v>
      </c>
      <c r="D2128">
        <v>6698951.1817637226</v>
      </c>
      <c r="E2128">
        <v>5.0044059011898438E-6</v>
      </c>
      <c r="F2128">
        <v>4.9033833539040116E-6</v>
      </c>
      <c r="G2128">
        <v>1.010225472858314E-7</v>
      </c>
      <c r="H2128" t="b">
        <v>0</v>
      </c>
    </row>
    <row r="2129" spans="1:8" x14ac:dyDescent="0.15">
      <c r="A2129">
        <v>193</v>
      </c>
      <c r="B2129">
        <v>16</v>
      </c>
      <c r="C2129">
        <v>6556070.21484375</v>
      </c>
      <c r="D2129">
        <v>6577334.6594031435</v>
      </c>
      <c r="E2129">
        <v>5.0026834255610364E-6</v>
      </c>
      <c r="F2129">
        <v>4.9033833539040116E-6</v>
      </c>
      <c r="G2129">
        <v>9.9300071657023964E-8</v>
      </c>
      <c r="H2129" t="b">
        <v>0</v>
      </c>
    </row>
    <row r="2130" spans="1:8" x14ac:dyDescent="0.15">
      <c r="A2130">
        <v>194</v>
      </c>
      <c r="B2130">
        <v>1</v>
      </c>
      <c r="C2130">
        <v>6050000</v>
      </c>
      <c r="D2130">
        <v>1825504903420.415</v>
      </c>
      <c r="E2130">
        <v>1.4867598790336901E-3</v>
      </c>
      <c r="F2130">
        <v>6.4253756212537261E-6</v>
      </c>
      <c r="G2130">
        <v>1.480334503412437E-3</v>
      </c>
      <c r="H2130" t="b">
        <v>0</v>
      </c>
    </row>
    <row r="2131" spans="1:8" x14ac:dyDescent="0.15">
      <c r="A2131">
        <v>194</v>
      </c>
      <c r="B2131">
        <v>2</v>
      </c>
      <c r="C2131">
        <v>3075000</v>
      </c>
      <c r="D2131">
        <v>281406696512.52118</v>
      </c>
      <c r="E2131">
        <v>3.5837374060109428E-4</v>
      </c>
      <c r="F2131">
        <v>6.4253756212537803E-6</v>
      </c>
      <c r="G2131">
        <v>3.519483649798405E-4</v>
      </c>
      <c r="H2131" t="b">
        <v>0</v>
      </c>
    </row>
    <row r="2132" spans="1:8" x14ac:dyDescent="0.15">
      <c r="A2132">
        <v>194</v>
      </c>
      <c r="B2132">
        <v>3</v>
      </c>
      <c r="C2132">
        <v>1587500</v>
      </c>
      <c r="D2132">
        <v>4630044564.5138683</v>
      </c>
      <c r="E2132">
        <v>2.3818355477557049E-5</v>
      </c>
      <c r="F2132">
        <v>6.425375621253804E-6</v>
      </c>
      <c r="G2132">
        <v>1.7392979856303239E-5</v>
      </c>
      <c r="H2132" t="b">
        <v>0</v>
      </c>
    </row>
    <row r="2133" spans="1:8" x14ac:dyDescent="0.15">
      <c r="A2133">
        <v>194</v>
      </c>
      <c r="B2133">
        <v>4</v>
      </c>
      <c r="C2133">
        <v>843750</v>
      </c>
      <c r="D2133">
        <v>-1781695.06378939</v>
      </c>
      <c r="E2133">
        <v>2.3398083456630122E-6</v>
      </c>
      <c r="F2133">
        <v>6.425375621253804E-6</v>
      </c>
      <c r="G2133">
        <v>-4.0855672755907922E-6</v>
      </c>
      <c r="H2133" t="b">
        <v>1</v>
      </c>
    </row>
    <row r="2134" spans="1:8" x14ac:dyDescent="0.15">
      <c r="A2134">
        <v>194</v>
      </c>
      <c r="B2134">
        <v>5</v>
      </c>
      <c r="C2134">
        <v>1215625</v>
      </c>
      <c r="D2134">
        <v>77776635.293863043</v>
      </c>
      <c r="E2134">
        <v>7.696000767992463E-6</v>
      </c>
      <c r="F2134">
        <v>6.425375621253804E-6</v>
      </c>
      <c r="G2134">
        <v>1.270625146738659E-6</v>
      </c>
      <c r="H2134" t="b">
        <v>0</v>
      </c>
    </row>
    <row r="2135" spans="1:8" x14ac:dyDescent="0.15">
      <c r="A2135">
        <v>194</v>
      </c>
      <c r="B2135">
        <v>6</v>
      </c>
      <c r="C2135">
        <v>1029687.5</v>
      </c>
      <c r="D2135">
        <v>-13239433.004535099</v>
      </c>
      <c r="E2135">
        <v>4.4611566714134942E-6</v>
      </c>
      <c r="F2135">
        <v>6.425375621253804E-6</v>
      </c>
      <c r="G2135">
        <v>-1.9642189498403098E-6</v>
      </c>
      <c r="H2135" t="b">
        <v>1</v>
      </c>
    </row>
    <row r="2136" spans="1:8" x14ac:dyDescent="0.15">
      <c r="A2136">
        <v>194</v>
      </c>
      <c r="B2136">
        <v>7</v>
      </c>
      <c r="C2136">
        <v>1122656.25</v>
      </c>
      <c r="D2136">
        <v>-13247300.187892299</v>
      </c>
      <c r="E2136">
        <v>5.9471280086332276E-6</v>
      </c>
      <c r="F2136">
        <v>6.425375621253804E-6</v>
      </c>
      <c r="G2136">
        <v>-4.7824761262057642E-7</v>
      </c>
      <c r="H2136" t="b">
        <v>1</v>
      </c>
    </row>
    <row r="2137" spans="1:8" x14ac:dyDescent="0.15">
      <c r="A2137">
        <v>194</v>
      </c>
      <c r="B2137">
        <v>8</v>
      </c>
      <c r="C2137">
        <v>1169140.625</v>
      </c>
      <c r="D2137">
        <v>15879006.205556661</v>
      </c>
      <c r="E2137">
        <v>6.79018135168638E-6</v>
      </c>
      <c r="F2137">
        <v>6.425375621253804E-6</v>
      </c>
      <c r="G2137">
        <v>3.6480573043257599E-7</v>
      </c>
      <c r="H2137" t="b">
        <v>0</v>
      </c>
    </row>
    <row r="2138" spans="1:8" x14ac:dyDescent="0.15">
      <c r="A2138">
        <v>194</v>
      </c>
      <c r="B2138">
        <v>9</v>
      </c>
      <c r="C2138">
        <v>1145898.4375</v>
      </c>
      <c r="D2138">
        <v>-2288755.8881902969</v>
      </c>
      <c r="E2138">
        <v>6.3606086108073904E-6</v>
      </c>
      <c r="F2138">
        <v>6.425375621253804E-6</v>
      </c>
      <c r="G2138">
        <v>-6.476701044641365E-8</v>
      </c>
      <c r="H2138" t="b">
        <v>1</v>
      </c>
    </row>
    <row r="2139" spans="1:8" x14ac:dyDescent="0.15">
      <c r="A2139">
        <v>194</v>
      </c>
      <c r="B2139">
        <v>10</v>
      </c>
      <c r="C2139">
        <v>1157519.53125</v>
      </c>
      <c r="D2139">
        <v>5828023.9549668971</v>
      </c>
      <c r="E2139">
        <v>6.5734076377864007E-6</v>
      </c>
      <c r="F2139">
        <v>6.425375621253804E-6</v>
      </c>
      <c r="G2139">
        <v>1.4803201653259671E-7</v>
      </c>
      <c r="H2139" t="b">
        <v>0</v>
      </c>
    </row>
    <row r="2140" spans="1:8" x14ac:dyDescent="0.15">
      <c r="A2140">
        <v>194</v>
      </c>
      <c r="B2140">
        <v>11</v>
      </c>
      <c r="C2140">
        <v>1151708.984375</v>
      </c>
      <c r="D2140">
        <v>1535797.862754035</v>
      </c>
      <c r="E2140">
        <v>6.4665081880078286E-6</v>
      </c>
      <c r="F2140">
        <v>6.425375621253804E-6</v>
      </c>
      <c r="G2140">
        <v>4.1132566754025443E-8</v>
      </c>
      <c r="H2140" t="b">
        <v>0</v>
      </c>
    </row>
    <row r="2141" spans="1:8" x14ac:dyDescent="0.15">
      <c r="A2141">
        <v>194</v>
      </c>
      <c r="B2141">
        <v>12</v>
      </c>
      <c r="C2141">
        <v>1148803.7109375</v>
      </c>
      <c r="D2141">
        <v>-433939.38540009898</v>
      </c>
      <c r="E2141">
        <v>6.413432497155372E-6</v>
      </c>
      <c r="F2141">
        <v>6.425375621253804E-6</v>
      </c>
      <c r="G2141">
        <v>-1.1943124098431989E-8</v>
      </c>
      <c r="H2141" t="b">
        <v>1</v>
      </c>
    </row>
    <row r="2142" spans="1:8" x14ac:dyDescent="0.15">
      <c r="A2142">
        <v>194</v>
      </c>
      <c r="B2142">
        <v>13</v>
      </c>
      <c r="C2142">
        <v>1150256.34765625</v>
      </c>
      <c r="D2142">
        <v>536430.351693223</v>
      </c>
      <c r="E2142">
        <v>6.4399387808475984E-6</v>
      </c>
      <c r="F2142">
        <v>6.425375621253804E-6</v>
      </c>
      <c r="G2142">
        <v>1.4563159593793511E-8</v>
      </c>
      <c r="H2142" t="b">
        <v>0</v>
      </c>
    </row>
    <row r="2143" spans="1:8" x14ac:dyDescent="0.15">
      <c r="A2143">
        <v>194</v>
      </c>
      <c r="B2143">
        <v>14</v>
      </c>
      <c r="C2143">
        <v>1150756.34765625</v>
      </c>
      <c r="D2143">
        <v>877122.9654625965</v>
      </c>
      <c r="E2143">
        <v>6.4490767468721034E-6</v>
      </c>
      <c r="F2143">
        <v>6.425375621253804E-6</v>
      </c>
      <c r="G2143">
        <v>2.3701125618298511E-8</v>
      </c>
      <c r="H2143" t="b">
        <v>0</v>
      </c>
    </row>
    <row r="2144" spans="1:8" x14ac:dyDescent="0.15">
      <c r="A2144">
        <v>194</v>
      </c>
      <c r="B2144">
        <v>15</v>
      </c>
      <c r="C2144">
        <v>1151356.34765625</v>
      </c>
      <c r="D2144">
        <v>1290522.656475825</v>
      </c>
      <c r="E2144">
        <v>6.4600526756619594E-6</v>
      </c>
      <c r="F2144">
        <v>6.425375621253804E-6</v>
      </c>
      <c r="G2144">
        <v>3.4677054408154523E-8</v>
      </c>
      <c r="H2144" t="b">
        <v>0</v>
      </c>
    </row>
    <row r="2145" spans="1:8" x14ac:dyDescent="0.15">
      <c r="A2145">
        <v>194</v>
      </c>
      <c r="B2145">
        <v>16</v>
      </c>
      <c r="C2145">
        <v>1151056.34765625</v>
      </c>
      <c r="D2145">
        <v>1083191.4396467609</v>
      </c>
      <c r="E2145">
        <v>6.4545631025898782E-6</v>
      </c>
      <c r="F2145">
        <v>6.425375621253804E-6</v>
      </c>
      <c r="G2145">
        <v>2.9187481336074169E-8</v>
      </c>
      <c r="H2145" t="b">
        <v>0</v>
      </c>
    </row>
    <row r="2146" spans="1:8" x14ac:dyDescent="0.15">
      <c r="A2146">
        <v>194</v>
      </c>
      <c r="B2146">
        <v>17</v>
      </c>
      <c r="C2146">
        <v>1151206.34765625</v>
      </c>
      <c r="D2146">
        <v>1186712.028009326</v>
      </c>
      <c r="E2146">
        <v>6.4573078307981081E-6</v>
      </c>
      <c r="F2146">
        <v>6.425375621253804E-6</v>
      </c>
      <c r="G2146">
        <v>3.1932209544304128E-8</v>
      </c>
      <c r="H2146" t="b">
        <v>0</v>
      </c>
    </row>
    <row r="2147" spans="1:8" x14ac:dyDescent="0.15">
      <c r="A2147">
        <v>194</v>
      </c>
      <c r="B2147">
        <v>18</v>
      </c>
      <c r="C2147">
        <v>1151131.34765625</v>
      </c>
      <c r="D2147">
        <v>1134902.516744161</v>
      </c>
      <c r="E2147">
        <v>6.4559351082517299E-6</v>
      </c>
      <c r="F2147">
        <v>6.425375621253804E-6</v>
      </c>
      <c r="G2147">
        <v>3.0559486997925903E-8</v>
      </c>
      <c r="H2147" t="b">
        <v>0</v>
      </c>
    </row>
    <row r="2148" spans="1:8" x14ac:dyDescent="0.15">
      <c r="A2148">
        <v>194</v>
      </c>
      <c r="B2148">
        <v>19</v>
      </c>
      <c r="C2148">
        <v>1151168.84765625</v>
      </c>
      <c r="D2148">
        <v>1160807.9371140189</v>
      </c>
      <c r="E2148">
        <v>6.4566217237366081E-6</v>
      </c>
      <c r="F2148">
        <v>6.425375621253804E-6</v>
      </c>
      <c r="G2148">
        <v>3.1246102482804082E-8</v>
      </c>
      <c r="H2148" t="b">
        <v>0</v>
      </c>
    </row>
    <row r="2149" spans="1:8" x14ac:dyDescent="0.15">
      <c r="A2149">
        <v>195</v>
      </c>
      <c r="B2149">
        <v>1</v>
      </c>
      <c r="C2149">
        <v>6050000</v>
      </c>
      <c r="D2149">
        <v>1830047175738.4221</v>
      </c>
      <c r="E2149">
        <v>1.4746510135060431E-3</v>
      </c>
      <c r="F2149">
        <v>6.3742875031969938E-6</v>
      </c>
      <c r="G2149">
        <v>1.4682767260028461E-3</v>
      </c>
      <c r="H2149" t="b">
        <v>0</v>
      </c>
    </row>
    <row r="2150" spans="1:8" x14ac:dyDescent="0.15">
      <c r="A2150">
        <v>195</v>
      </c>
      <c r="B2150">
        <v>2</v>
      </c>
      <c r="C2150">
        <v>3075000</v>
      </c>
      <c r="D2150">
        <v>279890251772.07233</v>
      </c>
      <c r="E2150">
        <v>3.5343816210542969E-4</v>
      </c>
      <c r="F2150">
        <v>6.3742875031969938E-6</v>
      </c>
      <c r="G2150">
        <v>3.470638746022327E-4</v>
      </c>
      <c r="H2150" t="b">
        <v>0</v>
      </c>
    </row>
    <row r="2151" spans="1:8" x14ac:dyDescent="0.15">
      <c r="A2151">
        <v>195</v>
      </c>
      <c r="B2151">
        <v>3</v>
      </c>
      <c r="C2151">
        <v>1587500</v>
      </c>
      <c r="D2151">
        <v>4492513726.1418257</v>
      </c>
      <c r="E2151">
        <v>2.3237000842147361E-5</v>
      </c>
      <c r="F2151">
        <v>6.3742875031969726E-6</v>
      </c>
      <c r="G2151">
        <v>1.6862713338950391E-5</v>
      </c>
      <c r="H2151" t="b">
        <v>0</v>
      </c>
    </row>
    <row r="2152" spans="1:8" x14ac:dyDescent="0.15">
      <c r="A2152">
        <v>195</v>
      </c>
      <c r="B2152">
        <v>4</v>
      </c>
      <c r="C2152">
        <v>843750</v>
      </c>
      <c r="D2152">
        <v>-1751155.9906624621</v>
      </c>
      <c r="E2152">
        <v>2.303881663314473E-6</v>
      </c>
      <c r="F2152">
        <v>6.3742875031969726E-6</v>
      </c>
      <c r="G2152">
        <v>-4.0704058398824996E-6</v>
      </c>
      <c r="H2152" t="b">
        <v>1</v>
      </c>
    </row>
    <row r="2153" spans="1:8" x14ac:dyDescent="0.15">
      <c r="A2153">
        <v>195</v>
      </c>
      <c r="B2153">
        <v>5</v>
      </c>
      <c r="C2153">
        <v>1215625</v>
      </c>
      <c r="D2153">
        <v>72381220.871679366</v>
      </c>
      <c r="E2153">
        <v>7.5741078192559866E-6</v>
      </c>
      <c r="F2153">
        <v>6.3742875031969726E-6</v>
      </c>
      <c r="G2153">
        <v>1.199820316059014E-6</v>
      </c>
      <c r="H2153" t="b">
        <v>0</v>
      </c>
    </row>
    <row r="2154" spans="1:8" x14ac:dyDescent="0.15">
      <c r="A2154">
        <v>195</v>
      </c>
      <c r="B2154">
        <v>6</v>
      </c>
      <c r="C2154">
        <v>1029687.5</v>
      </c>
      <c r="D2154">
        <v>-12838271.81615961</v>
      </c>
      <c r="E2154">
        <v>4.3873108455204668E-6</v>
      </c>
      <c r="F2154">
        <v>6.3742875031969726E-6</v>
      </c>
      <c r="G2154">
        <v>-1.9869766576765059E-6</v>
      </c>
      <c r="H2154" t="b">
        <v>1</v>
      </c>
    </row>
    <row r="2155" spans="1:8" x14ac:dyDescent="0.15">
      <c r="A2155">
        <v>195</v>
      </c>
      <c r="B2155">
        <v>7</v>
      </c>
      <c r="C2155">
        <v>1122656.25</v>
      </c>
      <c r="D2155">
        <v>-14091591.107990529</v>
      </c>
      <c r="E2155">
        <v>5.8501752038136051E-6</v>
      </c>
      <c r="F2155">
        <v>6.3742875031969726E-6</v>
      </c>
      <c r="G2155">
        <v>-5.2411229938336756E-7</v>
      </c>
      <c r="H2155" t="b">
        <v>1</v>
      </c>
    </row>
    <row r="2156" spans="1:8" x14ac:dyDescent="0.15">
      <c r="A2156">
        <v>195</v>
      </c>
      <c r="B2156">
        <v>8</v>
      </c>
      <c r="C2156">
        <v>1169140.625</v>
      </c>
      <c r="D2156">
        <v>13077905.59140463</v>
      </c>
      <c r="E2156">
        <v>6.68094514887052E-6</v>
      </c>
      <c r="F2156">
        <v>6.3742875031969726E-6</v>
      </c>
      <c r="G2156">
        <v>3.0665764567354742E-7</v>
      </c>
      <c r="H2156" t="b">
        <v>0</v>
      </c>
    </row>
    <row r="2157" spans="1:8" x14ac:dyDescent="0.15">
      <c r="A2157">
        <v>195</v>
      </c>
      <c r="B2157">
        <v>9</v>
      </c>
      <c r="C2157">
        <v>1145898.4375</v>
      </c>
      <c r="D2157">
        <v>-4024847.3830507081</v>
      </c>
      <c r="E2157">
        <v>6.2575651535656682E-6</v>
      </c>
      <c r="F2157">
        <v>6.3742875031969726E-6</v>
      </c>
      <c r="G2157">
        <v>-1.167223496313044E-7</v>
      </c>
      <c r="H2157" t="b">
        <v>1</v>
      </c>
    </row>
    <row r="2158" spans="1:8" x14ac:dyDescent="0.15">
      <c r="A2158">
        <v>195</v>
      </c>
      <c r="B2158">
        <v>10</v>
      </c>
      <c r="C2158">
        <v>1157519.53125</v>
      </c>
      <c r="D2158">
        <v>3580160.033804595</v>
      </c>
      <c r="E2158">
        <v>6.4672798438083749E-6</v>
      </c>
      <c r="F2158">
        <v>6.3742875031969726E-6</v>
      </c>
      <c r="G2158">
        <v>9.299234061140231E-8</v>
      </c>
      <c r="H2158" t="b">
        <v>0</v>
      </c>
    </row>
    <row r="2159" spans="1:8" x14ac:dyDescent="0.15">
      <c r="A2159">
        <v>195</v>
      </c>
      <c r="B2159">
        <v>11</v>
      </c>
      <c r="C2159">
        <v>1151708.984375</v>
      </c>
      <c r="D2159">
        <v>-450881.21988545143</v>
      </c>
      <c r="E2159">
        <v>6.3619257612852669E-6</v>
      </c>
      <c r="F2159">
        <v>6.3742875031969726E-6</v>
      </c>
      <c r="G2159">
        <v>-1.236174191170571E-8</v>
      </c>
      <c r="H2159" t="b">
        <v>1</v>
      </c>
    </row>
    <row r="2160" spans="1:8" x14ac:dyDescent="0.15">
      <c r="A2160">
        <v>195</v>
      </c>
      <c r="B2160">
        <v>12</v>
      </c>
      <c r="C2160">
        <v>1154614.2578125</v>
      </c>
      <c r="D2160">
        <v>1506480.402397224</v>
      </c>
      <c r="E2160">
        <v>6.4144789898499976E-6</v>
      </c>
      <c r="F2160">
        <v>6.3742875031969726E-6</v>
      </c>
      <c r="G2160">
        <v>4.0191486653025863E-8</v>
      </c>
      <c r="H2160" t="b">
        <v>0</v>
      </c>
    </row>
    <row r="2161" spans="1:8" x14ac:dyDescent="0.15">
      <c r="A2161">
        <v>195</v>
      </c>
      <c r="B2161">
        <v>13</v>
      </c>
      <c r="C2161">
        <v>1153161.62109375</v>
      </c>
      <c r="D2161">
        <v>513386.6756358922</v>
      </c>
      <c r="E2161">
        <v>6.3881713738023074E-6</v>
      </c>
      <c r="F2161">
        <v>6.3742875031969726E-6</v>
      </c>
      <c r="G2161">
        <v>1.388387060533477E-8</v>
      </c>
      <c r="H2161" t="b">
        <v>0</v>
      </c>
    </row>
    <row r="2162" spans="1:8" x14ac:dyDescent="0.15">
      <c r="A2162">
        <v>195</v>
      </c>
      <c r="B2162">
        <v>14</v>
      </c>
      <c r="C2162">
        <v>1153661.62109375</v>
      </c>
      <c r="D2162">
        <v>851965.40774423699</v>
      </c>
      <c r="E2162">
        <v>6.3972200511257093E-6</v>
      </c>
      <c r="F2162">
        <v>6.3742875031969726E-6</v>
      </c>
      <c r="G2162">
        <v>2.2932547928735871E-8</v>
      </c>
      <c r="H2162" t="b">
        <v>0</v>
      </c>
    </row>
    <row r="2163" spans="1:8" x14ac:dyDescent="0.15">
      <c r="A2163">
        <v>195</v>
      </c>
      <c r="B2163">
        <v>15</v>
      </c>
      <c r="C2163">
        <v>1154261.62109375</v>
      </c>
      <c r="D2163">
        <v>1262737.456800875</v>
      </c>
      <c r="E2163">
        <v>6.4080869563670213E-6</v>
      </c>
      <c r="F2163">
        <v>6.3742875031969726E-6</v>
      </c>
      <c r="G2163">
        <v>3.3799453170048673E-8</v>
      </c>
      <c r="H2163" t="b">
        <v>0</v>
      </c>
    </row>
    <row r="2164" spans="1:8" x14ac:dyDescent="0.15">
      <c r="A2164">
        <v>195</v>
      </c>
      <c r="B2164">
        <v>16</v>
      </c>
      <c r="C2164">
        <v>1153961.62109375</v>
      </c>
      <c r="D2164">
        <v>1056723.472604224</v>
      </c>
      <c r="E2164">
        <v>6.4026519101574871E-6</v>
      </c>
      <c r="F2164">
        <v>6.3742875031969726E-6</v>
      </c>
      <c r="G2164">
        <v>2.836440696051447E-8</v>
      </c>
      <c r="H2164" t="b">
        <v>0</v>
      </c>
    </row>
    <row r="2165" spans="1:8" x14ac:dyDescent="0.15">
      <c r="A2165">
        <v>195</v>
      </c>
      <c r="B2165">
        <v>17</v>
      </c>
      <c r="C2165">
        <v>1154111.62109375</v>
      </c>
      <c r="D2165">
        <v>1159596.5773033621</v>
      </c>
      <c r="E2165">
        <v>6.4053696486596969E-6</v>
      </c>
      <c r="F2165">
        <v>6.3742875031969726E-6</v>
      </c>
      <c r="G2165">
        <v>3.1082145462724289E-8</v>
      </c>
      <c r="H2165" t="b">
        <v>0</v>
      </c>
    </row>
    <row r="2166" spans="1:8" x14ac:dyDescent="0.15">
      <c r="A2166">
        <v>196</v>
      </c>
      <c r="B2166">
        <v>1</v>
      </c>
      <c r="C2166">
        <v>6050000</v>
      </c>
      <c r="D2166">
        <v>71225954891.775604</v>
      </c>
      <c r="E2166">
        <v>2.126605241802403E-4</v>
      </c>
      <c r="F2166">
        <v>8.446030926099389E-6</v>
      </c>
      <c r="G2166">
        <v>2.0421449325414091E-4</v>
      </c>
      <c r="H2166" t="b">
        <v>0</v>
      </c>
    </row>
    <row r="2167" spans="1:8" x14ac:dyDescent="0.15">
      <c r="A2167">
        <v>196</v>
      </c>
      <c r="B2167">
        <v>2</v>
      </c>
      <c r="C2167">
        <v>3075000</v>
      </c>
      <c r="D2167">
        <v>356196509.09307188</v>
      </c>
      <c r="E2167">
        <v>1.3730489807653561E-5</v>
      </c>
      <c r="F2167">
        <v>8.4460309260993839E-6</v>
      </c>
      <c r="G2167">
        <v>5.2844588815541766E-6</v>
      </c>
      <c r="H2167" t="b">
        <v>0</v>
      </c>
    </row>
    <row r="2168" spans="1:8" x14ac:dyDescent="0.15">
      <c r="A2168">
        <v>196</v>
      </c>
      <c r="B2168">
        <v>3</v>
      </c>
      <c r="C2168">
        <v>1587500</v>
      </c>
      <c r="D2168">
        <v>-995573.74481803575</v>
      </c>
      <c r="E2168">
        <v>2.2205290160659889E-6</v>
      </c>
      <c r="F2168">
        <v>8.4460309260993839E-6</v>
      </c>
      <c r="G2168">
        <v>-6.2255019100333946E-6</v>
      </c>
      <c r="H2168" t="b">
        <v>1</v>
      </c>
    </row>
    <row r="2169" spans="1:8" x14ac:dyDescent="0.15">
      <c r="A2169">
        <v>196</v>
      </c>
      <c r="B2169">
        <v>4</v>
      </c>
      <c r="C2169">
        <v>2331250</v>
      </c>
      <c r="D2169">
        <v>-13655683.97103416</v>
      </c>
      <c r="E2169">
        <v>6.360469550972649E-6</v>
      </c>
      <c r="F2169">
        <v>8.4460309260993839E-6</v>
      </c>
      <c r="G2169">
        <v>-2.0855613751267349E-6</v>
      </c>
      <c r="H2169" t="b">
        <v>1</v>
      </c>
    </row>
    <row r="2170" spans="1:8" x14ac:dyDescent="0.15">
      <c r="A2170">
        <v>196</v>
      </c>
      <c r="B2170">
        <v>5</v>
      </c>
      <c r="C2170">
        <v>2703125</v>
      </c>
      <c r="D2170">
        <v>41669808.793495193</v>
      </c>
      <c r="E2170">
        <v>9.7110785343591787E-6</v>
      </c>
      <c r="F2170">
        <v>8.4460309260993839E-6</v>
      </c>
      <c r="G2170">
        <v>1.265047608259795E-6</v>
      </c>
      <c r="H2170" t="b">
        <v>0</v>
      </c>
    </row>
    <row r="2171" spans="1:8" x14ac:dyDescent="0.15">
      <c r="A2171">
        <v>196</v>
      </c>
      <c r="B2171">
        <v>6</v>
      </c>
      <c r="C2171">
        <v>2517187.5</v>
      </c>
      <c r="D2171">
        <v>-9047657.0084734857</v>
      </c>
      <c r="E2171">
        <v>7.9406081224525547E-6</v>
      </c>
      <c r="F2171">
        <v>8.4460309260993839E-6</v>
      </c>
      <c r="G2171">
        <v>-5.0542280364682918E-7</v>
      </c>
      <c r="H2171" t="b">
        <v>1</v>
      </c>
    </row>
    <row r="2172" spans="1:8" x14ac:dyDescent="0.15">
      <c r="A2172">
        <v>196</v>
      </c>
      <c r="B2172">
        <v>7</v>
      </c>
      <c r="C2172">
        <v>2610156.25</v>
      </c>
      <c r="D2172">
        <v>8975098.8736758996</v>
      </c>
      <c r="E2172">
        <v>8.8032963753638991E-6</v>
      </c>
      <c r="F2172">
        <v>8.4460309260993839E-6</v>
      </c>
      <c r="G2172">
        <v>3.5726544926451508E-7</v>
      </c>
      <c r="H2172" t="b">
        <v>0</v>
      </c>
    </row>
    <row r="2173" spans="1:8" x14ac:dyDescent="0.15">
      <c r="A2173">
        <v>196</v>
      </c>
      <c r="B2173">
        <v>8</v>
      </c>
      <c r="C2173">
        <v>2563671.875</v>
      </c>
      <c r="D2173">
        <v>-1711991.015676586</v>
      </c>
      <c r="E2173">
        <v>8.3661223174575704E-6</v>
      </c>
      <c r="F2173">
        <v>8.4460309260993839E-6</v>
      </c>
      <c r="G2173">
        <v>-7.9908608641813552E-8</v>
      </c>
      <c r="H2173" t="b">
        <v>1</v>
      </c>
    </row>
    <row r="2174" spans="1:8" x14ac:dyDescent="0.15">
      <c r="A2174">
        <v>196</v>
      </c>
      <c r="B2174">
        <v>9</v>
      </c>
      <c r="C2174">
        <v>2586914.0625</v>
      </c>
      <c r="D2174">
        <v>3191292.5129173538</v>
      </c>
      <c r="E2174">
        <v>8.5832735549397501E-6</v>
      </c>
      <c r="F2174">
        <v>8.4460309260993839E-6</v>
      </c>
      <c r="G2174">
        <v>1.3724262884036609E-7</v>
      </c>
      <c r="H2174" t="b">
        <v>0</v>
      </c>
    </row>
    <row r="2175" spans="1:8" x14ac:dyDescent="0.15">
      <c r="A2175">
        <v>196</v>
      </c>
      <c r="B2175">
        <v>10</v>
      </c>
      <c r="C2175">
        <v>2575292.96875</v>
      </c>
      <c r="D2175">
        <v>632164.89492060023</v>
      </c>
      <c r="E2175">
        <v>8.4743366980894249E-6</v>
      </c>
      <c r="F2175">
        <v>8.4460309260993839E-6</v>
      </c>
      <c r="G2175">
        <v>2.8305771990040989E-8</v>
      </c>
      <c r="H2175" t="b">
        <v>0</v>
      </c>
    </row>
    <row r="2176" spans="1:8" x14ac:dyDescent="0.15">
      <c r="A2176">
        <v>196</v>
      </c>
      <c r="B2176">
        <v>11</v>
      </c>
      <c r="C2176">
        <v>2581103.515625</v>
      </c>
      <c r="D2176">
        <v>1884532.7061909901</v>
      </c>
      <c r="E2176">
        <v>8.5287152512262024E-6</v>
      </c>
      <c r="F2176">
        <v>8.4460309260993839E-6</v>
      </c>
      <c r="G2176">
        <v>8.2684325126818476E-8</v>
      </c>
      <c r="H2176" t="b">
        <v>0</v>
      </c>
    </row>
    <row r="2177" spans="1:8" x14ac:dyDescent="0.15">
      <c r="A2177">
        <v>196</v>
      </c>
      <c r="B2177">
        <v>12</v>
      </c>
      <c r="C2177">
        <v>2584008.7890625</v>
      </c>
      <c r="D2177">
        <v>2531067.477005241</v>
      </c>
      <c r="E2177">
        <v>8.5559717331074713E-6</v>
      </c>
      <c r="F2177">
        <v>8.4460309260993839E-6</v>
      </c>
      <c r="G2177">
        <v>1.099408070080874E-7</v>
      </c>
      <c r="H2177" t="b">
        <v>0</v>
      </c>
    </row>
    <row r="2178" spans="1:8" x14ac:dyDescent="0.15">
      <c r="A2178">
        <v>196</v>
      </c>
      <c r="B2178">
        <v>13</v>
      </c>
      <c r="C2178">
        <v>2585461.42578125</v>
      </c>
      <c r="D2178">
        <v>2859464.876259916</v>
      </c>
      <c r="E2178">
        <v>8.5696170309834029E-6</v>
      </c>
      <c r="F2178">
        <v>8.4460309260993839E-6</v>
      </c>
      <c r="G2178">
        <v>1.23586104884019E-7</v>
      </c>
      <c r="H2178" t="b">
        <v>0</v>
      </c>
    </row>
    <row r="2179" spans="1:8" x14ac:dyDescent="0.15">
      <c r="A2179">
        <v>196</v>
      </c>
      <c r="B2179">
        <v>14</v>
      </c>
      <c r="C2179">
        <v>2584961.42578125</v>
      </c>
      <c r="D2179">
        <v>2746052.8294838201</v>
      </c>
      <c r="E2179">
        <v>8.5649194240938624E-6</v>
      </c>
      <c r="F2179">
        <v>8.4460309260993839E-6</v>
      </c>
      <c r="G2179">
        <v>1.188884979944784E-7</v>
      </c>
      <c r="H2179" t="b">
        <v>0</v>
      </c>
    </row>
    <row r="2180" spans="1:8" x14ac:dyDescent="0.15">
      <c r="A2180">
        <v>196</v>
      </c>
      <c r="B2180">
        <v>15</v>
      </c>
      <c r="C2180">
        <v>2584361.42578125</v>
      </c>
      <c r="D2180">
        <v>2610473.260582264</v>
      </c>
      <c r="E2180">
        <v>8.559283182770621E-6</v>
      </c>
      <c r="F2180">
        <v>8.4460309260993839E-6</v>
      </c>
      <c r="G2180">
        <v>1.1325225667123701E-7</v>
      </c>
      <c r="H2180" t="b">
        <v>0</v>
      </c>
    </row>
    <row r="2181" spans="1:8" x14ac:dyDescent="0.15">
      <c r="A2181">
        <v>196</v>
      </c>
      <c r="B2181">
        <v>16</v>
      </c>
      <c r="C2181">
        <v>2583641.42578125</v>
      </c>
      <c r="D2181">
        <v>2448559.9640509118</v>
      </c>
      <c r="E2181">
        <v>8.5525226973009223E-6</v>
      </c>
      <c r="F2181">
        <v>8.4460309260993839E-6</v>
      </c>
      <c r="G2181">
        <v>1.064917712015384E-7</v>
      </c>
      <c r="H2181" t="b">
        <v>0</v>
      </c>
    </row>
    <row r="2182" spans="1:8" x14ac:dyDescent="0.15">
      <c r="A2182">
        <v>196</v>
      </c>
      <c r="B2182">
        <v>17</v>
      </c>
      <c r="C2182">
        <v>2584001.42578125</v>
      </c>
      <c r="D2182">
        <v>2529421.0320617799</v>
      </c>
      <c r="E2182">
        <v>8.5559029895436345E-6</v>
      </c>
      <c r="F2182">
        <v>8.4460309260993839E-6</v>
      </c>
      <c r="G2182">
        <v>1.0987206344425061E-7</v>
      </c>
      <c r="H2182" t="b">
        <v>0</v>
      </c>
    </row>
    <row r="2183" spans="1:8" x14ac:dyDescent="0.15">
      <c r="A2183">
        <v>196</v>
      </c>
      <c r="B2183">
        <v>18</v>
      </c>
      <c r="C2183">
        <v>2584433.42578125</v>
      </c>
      <c r="D2183">
        <v>2626720.3001470012</v>
      </c>
      <c r="E2183">
        <v>8.5599597779566148E-6</v>
      </c>
      <c r="F2183">
        <v>8.4460309260993839E-6</v>
      </c>
      <c r="G2183">
        <v>1.139288518572308E-7</v>
      </c>
      <c r="H2183" t="b">
        <v>0</v>
      </c>
    </row>
    <row r="2184" spans="1:8" x14ac:dyDescent="0.15">
      <c r="A2184">
        <v>196</v>
      </c>
      <c r="B2184">
        <v>19</v>
      </c>
      <c r="C2184">
        <v>2584217.42578125</v>
      </c>
      <c r="D2184">
        <v>2578023.372101312</v>
      </c>
      <c r="E2184">
        <v>8.557930864843843E-6</v>
      </c>
      <c r="F2184">
        <v>8.4460309260993839E-6</v>
      </c>
      <c r="G2184">
        <v>1.118999387444591E-7</v>
      </c>
      <c r="H2184" t="b">
        <v>0</v>
      </c>
    </row>
    <row r="2185" spans="1:8" x14ac:dyDescent="0.15">
      <c r="A2185">
        <v>197</v>
      </c>
      <c r="B2185">
        <v>1</v>
      </c>
      <c r="C2185">
        <v>6050000</v>
      </c>
      <c r="D2185">
        <v>62030107958.257874</v>
      </c>
      <c r="E2185">
        <v>1.9007305345326191E-4</v>
      </c>
      <c r="F2185">
        <v>8.3485965985073674E-6</v>
      </c>
      <c r="G2185">
        <v>1.8172445685475449E-4</v>
      </c>
      <c r="H2185" t="b">
        <v>0</v>
      </c>
    </row>
    <row r="2186" spans="1:8" x14ac:dyDescent="0.15">
      <c r="A2186">
        <v>197</v>
      </c>
      <c r="B2186">
        <v>2</v>
      </c>
      <c r="C2186">
        <v>3075000</v>
      </c>
      <c r="D2186">
        <v>258647492.36388019</v>
      </c>
      <c r="E2186">
        <v>1.2650793161263261E-5</v>
      </c>
      <c r="F2186">
        <v>8.3485965985073589E-6</v>
      </c>
      <c r="G2186">
        <v>4.3021965627559033E-6</v>
      </c>
      <c r="H2186" t="b">
        <v>0</v>
      </c>
    </row>
    <row r="2187" spans="1:8" x14ac:dyDescent="0.15">
      <c r="A2187">
        <v>197</v>
      </c>
      <c r="B2187">
        <v>3</v>
      </c>
      <c r="C2187">
        <v>1587500</v>
      </c>
      <c r="D2187">
        <v>-889194.61557905562</v>
      </c>
      <c r="E2187">
        <v>2.0162227353533379E-6</v>
      </c>
      <c r="F2187">
        <v>8.3485965985073589E-6</v>
      </c>
      <c r="G2187">
        <v>-6.3323738631540214E-6</v>
      </c>
      <c r="H2187" t="b">
        <v>1</v>
      </c>
    </row>
    <row r="2188" spans="1:8" x14ac:dyDescent="0.15">
      <c r="A2188">
        <v>197</v>
      </c>
      <c r="B2188">
        <v>4</v>
      </c>
      <c r="C2188">
        <v>2331250</v>
      </c>
      <c r="D2188">
        <v>-11294629.643671211</v>
      </c>
      <c r="E2188">
        <v>5.817777794317607E-6</v>
      </c>
      <c r="F2188">
        <v>8.3485965985073589E-6</v>
      </c>
      <c r="G2188">
        <v>-2.5308188041897519E-6</v>
      </c>
      <c r="H2188" t="b">
        <v>1</v>
      </c>
    </row>
    <row r="2189" spans="1:8" x14ac:dyDescent="0.15">
      <c r="A2189">
        <v>197</v>
      </c>
      <c r="B2189">
        <v>5</v>
      </c>
      <c r="C2189">
        <v>2703125</v>
      </c>
      <c r="D2189">
        <v>15063679.272925761</v>
      </c>
      <c r="E2189">
        <v>8.9051661006171712E-6</v>
      </c>
      <c r="F2189">
        <v>8.3485965985073589E-6</v>
      </c>
      <c r="G2189">
        <v>5.5656950210981232E-7</v>
      </c>
      <c r="H2189" t="b">
        <v>0</v>
      </c>
    </row>
    <row r="2190" spans="1:8" x14ac:dyDescent="0.15">
      <c r="A2190">
        <v>197</v>
      </c>
      <c r="B2190">
        <v>6</v>
      </c>
      <c r="C2190">
        <v>2517187.5</v>
      </c>
      <c r="D2190">
        <v>-14346239.972016711</v>
      </c>
      <c r="E2190">
        <v>7.2686933329392582E-6</v>
      </c>
      <c r="F2190">
        <v>8.3485965985073589E-6</v>
      </c>
      <c r="G2190">
        <v>-1.0799032655681011E-6</v>
      </c>
      <c r="H2190" t="b">
        <v>1</v>
      </c>
    </row>
    <row r="2191" spans="1:8" x14ac:dyDescent="0.15">
      <c r="A2191">
        <v>197</v>
      </c>
      <c r="B2191">
        <v>7</v>
      </c>
      <c r="C2191">
        <v>2610156.25</v>
      </c>
      <c r="D2191">
        <v>-5618465.5760983238</v>
      </c>
      <c r="E2191">
        <v>8.0650120072530933E-6</v>
      </c>
      <c r="F2191">
        <v>8.3485965985073589E-6</v>
      </c>
      <c r="G2191">
        <v>-2.8358459125426561E-7</v>
      </c>
      <c r="H2191" t="b">
        <v>1</v>
      </c>
    </row>
    <row r="2192" spans="1:8" x14ac:dyDescent="0.15">
      <c r="A2192">
        <v>197</v>
      </c>
      <c r="B2192">
        <v>8</v>
      </c>
      <c r="C2192">
        <v>2656640.625</v>
      </c>
      <c r="D2192">
        <v>3063167.9446517201</v>
      </c>
      <c r="E2192">
        <v>8.4797194543849053E-6</v>
      </c>
      <c r="F2192">
        <v>8.3485965985073589E-6</v>
      </c>
      <c r="G2192">
        <v>1.3112285587754639E-7</v>
      </c>
      <c r="H2192" t="b">
        <v>0</v>
      </c>
    </row>
    <row r="2193" spans="1:8" x14ac:dyDescent="0.15">
      <c r="A2193">
        <v>197</v>
      </c>
      <c r="B2193">
        <v>9</v>
      </c>
      <c r="C2193">
        <v>2633398.4375</v>
      </c>
      <c r="D2193">
        <v>-1673365.7117601349</v>
      </c>
      <c r="E2193">
        <v>8.2710028849682916E-6</v>
      </c>
      <c r="F2193">
        <v>8.3485965985073589E-6</v>
      </c>
      <c r="G2193">
        <v>-7.7593713539067296E-8</v>
      </c>
      <c r="H2193" t="b">
        <v>1</v>
      </c>
    </row>
    <row r="2194" spans="1:8" x14ac:dyDescent="0.15">
      <c r="A2194">
        <v>197</v>
      </c>
      <c r="B2194">
        <v>10</v>
      </c>
      <c r="C2194">
        <v>2645019.53125</v>
      </c>
      <c r="D2194">
        <v>593490.26065454201</v>
      </c>
      <c r="E2194">
        <v>8.375022853408292E-6</v>
      </c>
      <c r="F2194">
        <v>8.3485965985073589E-6</v>
      </c>
      <c r="G2194">
        <v>2.6426254900933061E-8</v>
      </c>
      <c r="H2194" t="b">
        <v>0</v>
      </c>
    </row>
    <row r="2195" spans="1:8" x14ac:dyDescent="0.15">
      <c r="A2195">
        <v>197</v>
      </c>
      <c r="B2195">
        <v>11</v>
      </c>
      <c r="C2195">
        <v>2650830.078125</v>
      </c>
      <c r="D2195">
        <v>1802670.4158804449</v>
      </c>
      <c r="E2195">
        <v>8.4272867339848823E-6</v>
      </c>
      <c r="F2195">
        <v>8.3485965985073589E-6</v>
      </c>
      <c r="G2195">
        <v>7.8690135477523386E-8</v>
      </c>
      <c r="H2195" t="b">
        <v>0</v>
      </c>
    </row>
    <row r="2196" spans="1:8" x14ac:dyDescent="0.15">
      <c r="A2196">
        <v>197</v>
      </c>
      <c r="B2196">
        <v>12</v>
      </c>
      <c r="C2196">
        <v>2653735.3515625</v>
      </c>
      <c r="D2196">
        <v>2426472.9903008682</v>
      </c>
      <c r="E2196">
        <v>8.4534822713799733E-6</v>
      </c>
      <c r="F2196">
        <v>8.3485965985073589E-6</v>
      </c>
      <c r="G2196">
        <v>1.0488567287261441E-7</v>
      </c>
      <c r="H2196" t="b">
        <v>0</v>
      </c>
    </row>
    <row r="2197" spans="1:8" x14ac:dyDescent="0.15">
      <c r="A2197">
        <v>197</v>
      </c>
      <c r="B2197">
        <v>13</v>
      </c>
      <c r="C2197">
        <v>2655187.98828125</v>
      </c>
      <c r="D2197">
        <v>2743193.7641706928</v>
      </c>
      <c r="E2197">
        <v>8.4665952277038769E-6</v>
      </c>
      <c r="F2197">
        <v>8.3485965985073589E-6</v>
      </c>
      <c r="G2197">
        <v>1.17998629196518E-7</v>
      </c>
      <c r="H2197" t="b">
        <v>0</v>
      </c>
    </row>
    <row r="2198" spans="1:8" x14ac:dyDescent="0.15">
      <c r="A2198">
        <v>197</v>
      </c>
      <c r="B2198">
        <v>14</v>
      </c>
      <c r="C2198">
        <v>2654687.98828125</v>
      </c>
      <c r="D2198">
        <v>2633810.1469452712</v>
      </c>
      <c r="E2198">
        <v>8.4620804080939452E-6</v>
      </c>
      <c r="F2198">
        <v>8.3485965985073589E-6</v>
      </c>
      <c r="G2198">
        <v>1.134838095865863E-7</v>
      </c>
      <c r="H2198" t="b">
        <v>0</v>
      </c>
    </row>
    <row r="2199" spans="1:8" x14ac:dyDescent="0.15">
      <c r="A2199">
        <v>198</v>
      </c>
      <c r="B2199">
        <v>1</v>
      </c>
      <c r="C2199">
        <v>6050000</v>
      </c>
      <c r="D2199">
        <v>23568847731.917179</v>
      </c>
      <c r="E2199">
        <v>9.6262735758420695E-5</v>
      </c>
      <c r="F2199">
        <v>8.2529416135113126E-6</v>
      </c>
      <c r="G2199">
        <v>8.8009794144909383E-5</v>
      </c>
      <c r="H2199" t="b">
        <v>0</v>
      </c>
    </row>
    <row r="2200" spans="1:8" x14ac:dyDescent="0.15">
      <c r="A2200">
        <v>198</v>
      </c>
      <c r="B2200">
        <v>2</v>
      </c>
      <c r="C2200">
        <v>3075000</v>
      </c>
      <c r="D2200">
        <v>-8537805.750154838</v>
      </c>
      <c r="E2200">
        <v>7.787228107089778E-6</v>
      </c>
      <c r="F2200">
        <v>8.252941613511316E-6</v>
      </c>
      <c r="G2200">
        <v>-4.6571350642153788E-7</v>
      </c>
      <c r="H2200" t="b">
        <v>1</v>
      </c>
    </row>
    <row r="2201" spans="1:8" x14ac:dyDescent="0.15">
      <c r="A2201">
        <v>198</v>
      </c>
      <c r="B2201">
        <v>3</v>
      </c>
      <c r="C2201">
        <v>4562500</v>
      </c>
      <c r="D2201">
        <v>3320906793.2665629</v>
      </c>
      <c r="E2201">
        <v>2.9612134808944569E-5</v>
      </c>
      <c r="F2201">
        <v>8.252941613511316E-6</v>
      </c>
      <c r="G2201">
        <v>2.135919319543326E-5</v>
      </c>
      <c r="H2201" t="b">
        <v>0</v>
      </c>
    </row>
    <row r="2202" spans="1:8" x14ac:dyDescent="0.15">
      <c r="A2202">
        <v>198</v>
      </c>
      <c r="B2202">
        <v>4</v>
      </c>
      <c r="C2202">
        <v>3818750</v>
      </c>
      <c r="D2202">
        <v>413499891.56318939</v>
      </c>
      <c r="E2202">
        <v>1.3914281484411689E-5</v>
      </c>
      <c r="F2202">
        <v>8.252941613511316E-6</v>
      </c>
      <c r="G2202">
        <v>5.6613398709003752E-6</v>
      </c>
      <c r="H2202" t="b">
        <v>0</v>
      </c>
    </row>
    <row r="2203" spans="1:8" x14ac:dyDescent="0.15">
      <c r="A2203">
        <v>198</v>
      </c>
      <c r="B2203">
        <v>5</v>
      </c>
      <c r="C2203">
        <v>3446875</v>
      </c>
      <c r="D2203">
        <v>106296016.5643186</v>
      </c>
      <c r="E2203">
        <v>1.0663224432950741E-5</v>
      </c>
      <c r="F2203">
        <v>8.252941613511316E-6</v>
      </c>
      <c r="G2203">
        <v>2.4102828194394251E-6</v>
      </c>
      <c r="H2203" t="b">
        <v>0</v>
      </c>
    </row>
    <row r="2204" spans="1:8" x14ac:dyDescent="0.15">
      <c r="A2204">
        <v>198</v>
      </c>
      <c r="B2204">
        <v>6</v>
      </c>
      <c r="C2204">
        <v>3260937.5</v>
      </c>
      <c r="D2204">
        <v>28095607.401004199</v>
      </c>
      <c r="E2204">
        <v>9.1721035825740904E-6</v>
      </c>
      <c r="F2204">
        <v>8.252941613511316E-6</v>
      </c>
      <c r="G2204">
        <v>9.1916196906277449E-7</v>
      </c>
      <c r="H2204" t="b">
        <v>0</v>
      </c>
    </row>
    <row r="2205" spans="1:8" x14ac:dyDescent="0.15">
      <c r="A2205">
        <v>198</v>
      </c>
      <c r="B2205">
        <v>7</v>
      </c>
      <c r="C2205">
        <v>3167968.75</v>
      </c>
      <c r="D2205">
        <v>5153187.6785910251</v>
      </c>
      <c r="E2205">
        <v>8.4655260693670957E-6</v>
      </c>
      <c r="F2205">
        <v>8.252941613511316E-6</v>
      </c>
      <c r="G2205">
        <v>2.1258445585577981E-7</v>
      </c>
      <c r="H2205" t="b">
        <v>0</v>
      </c>
    </row>
    <row r="2206" spans="1:8" x14ac:dyDescent="0.15">
      <c r="A2206">
        <v>198</v>
      </c>
      <c r="B2206">
        <v>8</v>
      </c>
      <c r="C2206">
        <v>3121484.375</v>
      </c>
      <c r="D2206">
        <v>-2762715.4756994541</v>
      </c>
      <c r="E2206">
        <v>8.1227961236483385E-6</v>
      </c>
      <c r="F2206">
        <v>8.252941613511316E-6</v>
      </c>
      <c r="G2206">
        <v>-1.301454898629775E-7</v>
      </c>
      <c r="H2206" t="b">
        <v>1</v>
      </c>
    </row>
    <row r="2207" spans="1:8" x14ac:dyDescent="0.15">
      <c r="A2207">
        <v>198</v>
      </c>
      <c r="B2207">
        <v>9</v>
      </c>
      <c r="C2207">
        <v>3144726.5625</v>
      </c>
      <c r="D2207">
        <v>916068.93475754955</v>
      </c>
      <c r="E2207">
        <v>8.2932608796954013E-6</v>
      </c>
      <c r="F2207">
        <v>8.252941613511316E-6</v>
      </c>
      <c r="G2207">
        <v>4.0319266184085317E-8</v>
      </c>
      <c r="H2207" t="b">
        <v>0</v>
      </c>
    </row>
    <row r="2208" spans="1:8" x14ac:dyDescent="0.15">
      <c r="A2208">
        <v>198</v>
      </c>
      <c r="B2208">
        <v>10</v>
      </c>
      <c r="C2208">
        <v>3156347.65625</v>
      </c>
      <c r="D2208">
        <v>2963491.6100182468</v>
      </c>
      <c r="E2208">
        <v>8.3791703326802578E-6</v>
      </c>
      <c r="F2208">
        <v>8.252941613511316E-6</v>
      </c>
      <c r="G2208">
        <v>1.262287191689418E-7</v>
      </c>
      <c r="H2208" t="b">
        <v>0</v>
      </c>
    </row>
    <row r="2209" spans="1:8" x14ac:dyDescent="0.15">
      <c r="A2209">
        <v>198</v>
      </c>
      <c r="B2209">
        <v>11</v>
      </c>
      <c r="C2209">
        <v>3162158.203125</v>
      </c>
      <c r="D2209">
        <v>4040392.0948895421</v>
      </c>
      <c r="E2209">
        <v>8.4222926884116457E-6</v>
      </c>
      <c r="F2209">
        <v>8.252941613511316E-6</v>
      </c>
      <c r="G2209">
        <v>1.6935107490032971E-7</v>
      </c>
      <c r="H2209" t="b">
        <v>0</v>
      </c>
    </row>
    <row r="2210" spans="1:8" x14ac:dyDescent="0.15">
      <c r="A2210">
        <v>198</v>
      </c>
      <c r="B2210">
        <v>12</v>
      </c>
      <c r="C2210">
        <v>3159252.9296875</v>
      </c>
      <c r="D2210">
        <v>3497474.118363142</v>
      </c>
      <c r="E2210">
        <v>8.400717555422252E-6</v>
      </c>
      <c r="F2210">
        <v>8.252941613511316E-6</v>
      </c>
      <c r="G2210">
        <v>1.4777594191093601E-7</v>
      </c>
      <c r="H2210" t="b">
        <v>0</v>
      </c>
    </row>
    <row r="2211" spans="1:8" x14ac:dyDescent="0.15">
      <c r="A2211">
        <v>198</v>
      </c>
      <c r="B2211">
        <v>13</v>
      </c>
      <c r="C2211">
        <v>3157800.29296875</v>
      </c>
      <c r="D2211">
        <v>3229359.8115757569</v>
      </c>
      <c r="E2211">
        <v>8.3899401015829539E-6</v>
      </c>
      <c r="F2211">
        <v>8.252941613511316E-6</v>
      </c>
      <c r="G2211">
        <v>1.3699848807163799E-7</v>
      </c>
      <c r="H2211" t="b">
        <v>0</v>
      </c>
    </row>
    <row r="2212" spans="1:8" x14ac:dyDescent="0.15">
      <c r="A2212">
        <v>198</v>
      </c>
      <c r="B2212">
        <v>14</v>
      </c>
      <c r="C2212">
        <v>3156600.29296875</v>
      </c>
      <c r="D2212">
        <v>3009572.0011767531</v>
      </c>
      <c r="E2212">
        <v>8.3810429285919911E-6</v>
      </c>
      <c r="F2212">
        <v>8.252941613511316E-6</v>
      </c>
      <c r="G2212">
        <v>1.2810131508067509E-7</v>
      </c>
      <c r="H2212" t="b">
        <v>0</v>
      </c>
    </row>
    <row r="2213" spans="1:8" x14ac:dyDescent="0.15">
      <c r="A2213">
        <v>198</v>
      </c>
      <c r="B2213">
        <v>15</v>
      </c>
      <c r="C2213">
        <v>3157200.29296875</v>
      </c>
      <c r="D2213">
        <v>3119271.5547225191</v>
      </c>
      <c r="E2213">
        <v>8.3854907395743264E-6</v>
      </c>
      <c r="F2213">
        <v>8.252941613511316E-6</v>
      </c>
      <c r="G2213">
        <v>1.325491260630105E-7</v>
      </c>
      <c r="H2213" t="b">
        <v>0</v>
      </c>
    </row>
    <row r="2214" spans="1:8" x14ac:dyDescent="0.15">
      <c r="A2214">
        <v>198</v>
      </c>
      <c r="B2214">
        <v>16</v>
      </c>
      <c r="C2214">
        <v>3157920.29296875</v>
      </c>
      <c r="D2214">
        <v>3251432.0178800141</v>
      </c>
      <c r="E2214">
        <v>8.390830477476792E-6</v>
      </c>
      <c r="F2214">
        <v>8.252941613511316E-6</v>
      </c>
      <c r="G2214">
        <v>1.37888863965476E-7</v>
      </c>
      <c r="H2214" t="b">
        <v>0</v>
      </c>
    </row>
    <row r="2215" spans="1:8" x14ac:dyDescent="0.15">
      <c r="A2215">
        <v>198</v>
      </c>
      <c r="B2215">
        <v>17</v>
      </c>
      <c r="C2215">
        <v>3157560.29296875</v>
      </c>
      <c r="D2215">
        <v>3185278.9049469251</v>
      </c>
      <c r="E2215">
        <v>8.3881602138876922E-6</v>
      </c>
      <c r="F2215">
        <v>8.252941613511316E-6</v>
      </c>
      <c r="G2215">
        <v>1.352186003763763E-7</v>
      </c>
      <c r="H2215" t="b">
        <v>0</v>
      </c>
    </row>
    <row r="2216" spans="1:8" x14ac:dyDescent="0.15">
      <c r="A2216">
        <v>199</v>
      </c>
      <c r="B2216">
        <v>1</v>
      </c>
      <c r="C2216">
        <v>6050000</v>
      </c>
      <c r="D2216">
        <v>21820594338.311878</v>
      </c>
      <c r="E2216">
        <v>9.0230525305849988E-5</v>
      </c>
      <c r="F2216">
        <v>8.1590216640322363E-6</v>
      </c>
      <c r="G2216">
        <v>8.2071503641817752E-5</v>
      </c>
      <c r="H2216" t="b">
        <v>0</v>
      </c>
    </row>
    <row r="2217" spans="1:8" x14ac:dyDescent="0.15">
      <c r="A2217">
        <v>199</v>
      </c>
      <c r="B2217">
        <v>2</v>
      </c>
      <c r="C2217">
        <v>3075000</v>
      </c>
      <c r="D2217">
        <v>-11898947.129151721</v>
      </c>
      <c r="E2217">
        <v>7.4148099620131443E-6</v>
      </c>
      <c r="F2217">
        <v>8.1590216640322346E-6</v>
      </c>
      <c r="G2217">
        <v>-7.4421170201909032E-7</v>
      </c>
      <c r="H2217" t="b">
        <v>1</v>
      </c>
    </row>
    <row r="2218" spans="1:8" x14ac:dyDescent="0.15">
      <c r="A2218">
        <v>199</v>
      </c>
      <c r="B2218">
        <v>3</v>
      </c>
      <c r="C2218">
        <v>4562500</v>
      </c>
      <c r="D2218">
        <v>2912740541.8447151</v>
      </c>
      <c r="E2218">
        <v>2.733422158163389E-5</v>
      </c>
      <c r="F2218">
        <v>8.1590216640322363E-6</v>
      </c>
      <c r="G2218">
        <v>1.917519991760166E-5</v>
      </c>
      <c r="H2218" t="b">
        <v>0</v>
      </c>
    </row>
    <row r="2219" spans="1:8" x14ac:dyDescent="0.15">
      <c r="A2219">
        <v>199</v>
      </c>
      <c r="B2219">
        <v>4</v>
      </c>
      <c r="C2219">
        <v>3818750</v>
      </c>
      <c r="D2219">
        <v>358888141.31579989</v>
      </c>
      <c r="E2219">
        <v>1.330576939927368E-5</v>
      </c>
      <c r="F2219">
        <v>8.1590216640322346E-6</v>
      </c>
      <c r="G2219">
        <v>5.1467477352414487E-6</v>
      </c>
      <c r="H2219" t="b">
        <v>0</v>
      </c>
    </row>
    <row r="2220" spans="1:8" x14ac:dyDescent="0.15">
      <c r="A2220">
        <v>199</v>
      </c>
      <c r="B2220">
        <v>5</v>
      </c>
      <c r="C2220">
        <v>3446875</v>
      </c>
      <c r="D2220">
        <v>82656593.538373977</v>
      </c>
      <c r="E2220">
        <v>1.017317206547152E-5</v>
      </c>
      <c r="F2220">
        <v>8.1590216640322346E-6</v>
      </c>
      <c r="G2220">
        <v>2.0141504014392879E-6</v>
      </c>
      <c r="H2220" t="b">
        <v>0</v>
      </c>
    </row>
    <row r="2221" spans="1:8" x14ac:dyDescent="0.15">
      <c r="A2221">
        <v>199</v>
      </c>
      <c r="B2221">
        <v>6</v>
      </c>
      <c r="C2221">
        <v>3260937.5</v>
      </c>
      <c r="D2221">
        <v>16174337.76703674</v>
      </c>
      <c r="E2221">
        <v>8.7412329642185895E-6</v>
      </c>
      <c r="F2221">
        <v>8.1590216640322346E-6</v>
      </c>
      <c r="G2221">
        <v>5.822113001863549E-7</v>
      </c>
      <c r="H2221" t="b">
        <v>0</v>
      </c>
    </row>
    <row r="2222" spans="1:8" x14ac:dyDescent="0.15">
      <c r="A2222">
        <v>199</v>
      </c>
      <c r="B2222">
        <v>7</v>
      </c>
      <c r="C2222">
        <v>3167968.75</v>
      </c>
      <c r="D2222">
        <v>-2054052.1479731491</v>
      </c>
      <c r="E2222">
        <v>8.0641565363939725E-6</v>
      </c>
      <c r="F2222">
        <v>8.1590216640322346E-6</v>
      </c>
      <c r="G2222">
        <v>-9.486512763826215E-8</v>
      </c>
      <c r="H2222" t="b">
        <v>1</v>
      </c>
    </row>
    <row r="2223" spans="1:8" x14ac:dyDescent="0.15">
      <c r="A2223">
        <v>199</v>
      </c>
      <c r="B2223">
        <v>8</v>
      </c>
      <c r="C2223">
        <v>3214453.125</v>
      </c>
      <c r="D2223">
        <v>5925848.5677289581</v>
      </c>
      <c r="E2223">
        <v>8.3992724422490726E-6</v>
      </c>
      <c r="F2223">
        <v>8.1590216640322346E-6</v>
      </c>
      <c r="G2223">
        <v>2.4025077821683791E-7</v>
      </c>
      <c r="H2223" t="b">
        <v>0</v>
      </c>
    </row>
    <row r="2224" spans="1:8" x14ac:dyDescent="0.15">
      <c r="A2224">
        <v>199</v>
      </c>
      <c r="B2224">
        <v>9</v>
      </c>
      <c r="C2224">
        <v>3191210.9375</v>
      </c>
      <c r="D2224">
        <v>1662419.0432534721</v>
      </c>
      <c r="E2224">
        <v>8.2308475011150028E-6</v>
      </c>
      <c r="F2224">
        <v>8.1590216640322346E-6</v>
      </c>
      <c r="G2224">
        <v>7.1825837082768157E-8</v>
      </c>
      <c r="H2224" t="b">
        <v>0</v>
      </c>
    </row>
    <row r="2225" spans="1:8" x14ac:dyDescent="0.15">
      <c r="A2225">
        <v>199</v>
      </c>
      <c r="B2225">
        <v>10</v>
      </c>
      <c r="C2225">
        <v>3202832.03125</v>
      </c>
      <c r="D2225">
        <v>3724454.640615196</v>
      </c>
      <c r="E2225">
        <v>8.3148442669849433E-6</v>
      </c>
      <c r="F2225">
        <v>8.1590216640322346E-6</v>
      </c>
      <c r="G2225">
        <v>1.5582260295270869E-7</v>
      </c>
      <c r="H2225" t="b">
        <v>0</v>
      </c>
    </row>
    <row r="2226" spans="1:8" x14ac:dyDescent="0.15">
      <c r="A2226">
        <v>199</v>
      </c>
      <c r="B2226">
        <v>11</v>
      </c>
      <c r="C2226">
        <v>3197021.484375</v>
      </c>
      <c r="D2226">
        <v>2676183.7413291018</v>
      </c>
      <c r="E2226">
        <v>8.2727920431620898E-6</v>
      </c>
      <c r="F2226">
        <v>8.1590216640322346E-6</v>
      </c>
      <c r="G2226">
        <v>1.137703791298551E-7</v>
      </c>
      <c r="H2226" t="b">
        <v>0</v>
      </c>
    </row>
    <row r="2227" spans="1:8" x14ac:dyDescent="0.15">
      <c r="A2227">
        <v>199</v>
      </c>
      <c r="B2227">
        <v>12</v>
      </c>
      <c r="C2227">
        <v>3199926.7578125</v>
      </c>
      <c r="D2227">
        <v>3195989.1440479988</v>
      </c>
      <c r="E2227">
        <v>8.2938048507331152E-6</v>
      </c>
      <c r="F2227">
        <v>8.1590216640322346E-6</v>
      </c>
      <c r="G2227">
        <v>1.3478318670088049E-7</v>
      </c>
      <c r="H2227" t="b">
        <v>0</v>
      </c>
    </row>
    <row r="2228" spans="1:8" x14ac:dyDescent="0.15">
      <c r="A2228">
        <v>200</v>
      </c>
      <c r="B2228">
        <v>1</v>
      </c>
      <c r="C2228">
        <v>6050000</v>
      </c>
      <c r="D2228">
        <v>846784899.8542918</v>
      </c>
      <c r="E2228">
        <v>1.4852913241792419E-5</v>
      </c>
      <c r="F2228">
        <v>7.2289880152804128E-6</v>
      </c>
      <c r="G2228">
        <v>7.6239252265120066E-6</v>
      </c>
      <c r="H2228" t="b">
        <v>0</v>
      </c>
    </row>
    <row r="2229" spans="1:8" x14ac:dyDescent="0.15">
      <c r="A2229">
        <v>200</v>
      </c>
      <c r="B2229">
        <v>2</v>
      </c>
      <c r="C2229">
        <v>3075000</v>
      </c>
      <c r="D2229">
        <v>-1560988.2442730931</v>
      </c>
      <c r="E2229">
        <v>2.4647504106810348E-6</v>
      </c>
      <c r="F2229">
        <v>7.2289880152804128E-6</v>
      </c>
      <c r="G2229">
        <v>-4.764237604599378E-6</v>
      </c>
      <c r="H2229" t="b">
        <v>1</v>
      </c>
    </row>
    <row r="2230" spans="1:8" x14ac:dyDescent="0.15">
      <c r="A2230">
        <v>200</v>
      </c>
      <c r="B2230">
        <v>3</v>
      </c>
      <c r="C2230">
        <v>4562500</v>
      </c>
      <c r="D2230">
        <v>-1524456.4793719079</v>
      </c>
      <c r="E2230">
        <v>7.1632297354706778E-6</v>
      </c>
      <c r="F2230">
        <v>7.2289880152804128E-6</v>
      </c>
      <c r="G2230">
        <v>-6.5758279809734942E-8</v>
      </c>
      <c r="H2230" t="b">
        <v>1</v>
      </c>
    </row>
    <row r="2231" spans="1:8" x14ac:dyDescent="0.15">
      <c r="A2231">
        <v>200</v>
      </c>
      <c r="B2231">
        <v>4</v>
      </c>
      <c r="C2231">
        <v>5306250</v>
      </c>
      <c r="D2231">
        <v>227998488.49542019</v>
      </c>
      <c r="E2231">
        <v>1.074315438810701E-5</v>
      </c>
      <c r="F2231">
        <v>7.2289880152804128E-6</v>
      </c>
      <c r="G2231">
        <v>3.514166372826595E-6</v>
      </c>
      <c r="H2231" t="b">
        <v>0</v>
      </c>
    </row>
    <row r="2232" spans="1:8" x14ac:dyDescent="0.15">
      <c r="A2232">
        <v>200</v>
      </c>
      <c r="B2232">
        <v>5</v>
      </c>
      <c r="C2232">
        <v>4934375</v>
      </c>
      <c r="D2232">
        <v>70564768.875577062</v>
      </c>
      <c r="E2232">
        <v>8.8731640219151122E-6</v>
      </c>
      <c r="F2232">
        <v>7.2289880152804128E-6</v>
      </c>
      <c r="G2232">
        <v>1.644176006634699E-6</v>
      </c>
      <c r="H2232" t="b">
        <v>0</v>
      </c>
    </row>
    <row r="2233" spans="1:8" x14ac:dyDescent="0.15">
      <c r="A2233">
        <v>200</v>
      </c>
      <c r="B2233">
        <v>6</v>
      </c>
      <c r="C2233">
        <v>4748437.5</v>
      </c>
      <c r="D2233">
        <v>25066907.956138171</v>
      </c>
      <c r="E2233">
        <v>7.9963748524065691E-6</v>
      </c>
      <c r="F2233">
        <v>7.2289880152804128E-6</v>
      </c>
      <c r="G2233">
        <v>7.673868371261563E-7</v>
      </c>
      <c r="H2233" t="b">
        <v>0</v>
      </c>
    </row>
    <row r="2234" spans="1:8" x14ac:dyDescent="0.15">
      <c r="A2234">
        <v>200</v>
      </c>
      <c r="B2234">
        <v>7</v>
      </c>
      <c r="C2234">
        <v>4655468.75</v>
      </c>
      <c r="D2234">
        <v>9599508.377387099</v>
      </c>
      <c r="E2234">
        <v>7.574156233697304E-6</v>
      </c>
      <c r="F2234">
        <v>7.2289880152804128E-6</v>
      </c>
      <c r="G2234">
        <v>3.451682184168912E-7</v>
      </c>
      <c r="H2234" t="b">
        <v>0</v>
      </c>
    </row>
    <row r="2235" spans="1:8" x14ac:dyDescent="0.15">
      <c r="A2235">
        <v>200</v>
      </c>
      <c r="B2235">
        <v>8</v>
      </c>
      <c r="C2235">
        <v>4608984.375</v>
      </c>
      <c r="D2235">
        <v>3520576.2676721429</v>
      </c>
      <c r="E2235">
        <v>7.3672339417914699E-6</v>
      </c>
      <c r="F2235">
        <v>7.2289880152804128E-6</v>
      </c>
      <c r="G2235">
        <v>1.3824592651105709E-7</v>
      </c>
      <c r="H2235" t="b">
        <v>0</v>
      </c>
    </row>
    <row r="2236" spans="1:8" x14ac:dyDescent="0.15">
      <c r="A2236">
        <v>200</v>
      </c>
      <c r="B2236">
        <v>9</v>
      </c>
      <c r="C2236">
        <v>4632226.5625</v>
      </c>
      <c r="D2236">
        <v>6427320.0555366576</v>
      </c>
      <c r="E2236">
        <v>7.4703337882066392E-6</v>
      </c>
      <c r="F2236">
        <v>7.2289880152804128E-6</v>
      </c>
      <c r="G2236">
        <v>2.4134577292622639E-7</v>
      </c>
      <c r="H2236" t="b">
        <v>0</v>
      </c>
    </row>
    <row r="2237" spans="1:8" x14ac:dyDescent="0.15">
      <c r="A2237">
        <v>200</v>
      </c>
      <c r="B2237">
        <v>10</v>
      </c>
      <c r="C2237">
        <v>4620605.46875</v>
      </c>
      <c r="D2237">
        <v>4941186.4588813558</v>
      </c>
      <c r="E2237">
        <v>7.4186928202582261E-6</v>
      </c>
      <c r="F2237">
        <v>7.2289880152804128E-6</v>
      </c>
      <c r="G2237">
        <v>1.8970480497781329E-7</v>
      </c>
      <c r="H2237" t="b">
        <v>0</v>
      </c>
    </row>
    <row r="2238" spans="1:8" x14ac:dyDescent="0.15">
      <c r="A2238">
        <v>200</v>
      </c>
      <c r="B2238">
        <v>11</v>
      </c>
      <c r="C2238">
        <v>4614794.921875</v>
      </c>
      <c r="D2238">
        <v>4222751.0318773147</v>
      </c>
      <c r="E2238">
        <v>7.3929407782209599E-6</v>
      </c>
      <c r="F2238">
        <v>7.2289880152804128E-6</v>
      </c>
      <c r="G2238">
        <v>1.639527629405471E-7</v>
      </c>
      <c r="H2238" t="b">
        <v>0</v>
      </c>
    </row>
    <row r="2239" spans="1:8" x14ac:dyDescent="0.15">
      <c r="A2239">
        <v>200</v>
      </c>
      <c r="B2239">
        <v>12</v>
      </c>
      <c r="C2239">
        <v>4617700.1953125</v>
      </c>
      <c r="D2239">
        <v>4579924.4434871571</v>
      </c>
      <c r="E2239">
        <v>7.4058109777987824E-6</v>
      </c>
      <c r="F2239">
        <v>7.2289880152804128E-6</v>
      </c>
      <c r="G2239">
        <v>1.7682296251836869E-7</v>
      </c>
      <c r="H2239" t="b">
        <v>0</v>
      </c>
    </row>
    <row r="2240" spans="1:8" x14ac:dyDescent="0.15">
      <c r="A2240">
        <v>201</v>
      </c>
      <c r="B2240">
        <v>1</v>
      </c>
      <c r="C2240">
        <v>6050000</v>
      </c>
      <c r="D2240">
        <v>5630467961.8697281</v>
      </c>
      <c r="E2240">
        <v>3.3992160307499313E-5</v>
      </c>
      <c r="F2240">
        <v>7.2289880152804119E-6</v>
      </c>
      <c r="G2240">
        <v>2.6763172292218901E-5</v>
      </c>
      <c r="H2240" t="b">
        <v>0</v>
      </c>
    </row>
    <row r="2241" spans="1:8" x14ac:dyDescent="0.15">
      <c r="A2241">
        <v>201</v>
      </c>
      <c r="B2241">
        <v>2</v>
      </c>
      <c r="C2241">
        <v>3075000</v>
      </c>
      <c r="D2241">
        <v>-4447765.696182142</v>
      </c>
      <c r="E2241">
        <v>3.7683433825930942E-6</v>
      </c>
      <c r="F2241">
        <v>7.2289880152804128E-6</v>
      </c>
      <c r="G2241">
        <v>-3.460644632687319E-6</v>
      </c>
      <c r="H2241" t="b">
        <v>1</v>
      </c>
    </row>
    <row r="2242" spans="1:8" x14ac:dyDescent="0.15">
      <c r="A2242">
        <v>201</v>
      </c>
      <c r="B2242">
        <v>3</v>
      </c>
      <c r="C2242">
        <v>4562500</v>
      </c>
      <c r="D2242">
        <v>287059459.14057279</v>
      </c>
      <c r="E2242">
        <v>1.127137158884631E-5</v>
      </c>
      <c r="F2242">
        <v>7.2289880152804128E-6</v>
      </c>
      <c r="G2242">
        <v>4.0423835735658968E-6</v>
      </c>
      <c r="H2242" t="b">
        <v>0</v>
      </c>
    </row>
    <row r="2243" spans="1:8" x14ac:dyDescent="0.15">
      <c r="A2243">
        <v>201</v>
      </c>
      <c r="B2243">
        <v>4</v>
      </c>
      <c r="C2243">
        <v>3818750</v>
      </c>
      <c r="D2243">
        <v>-5558580.0124122938</v>
      </c>
      <c r="E2243">
        <v>6.9641388183236157E-6</v>
      </c>
      <c r="F2243">
        <v>7.2289880152804128E-6</v>
      </c>
      <c r="G2243">
        <v>-2.6484919695679708E-7</v>
      </c>
      <c r="H2243" t="b">
        <v>1</v>
      </c>
    </row>
    <row r="2244" spans="1:8" x14ac:dyDescent="0.15">
      <c r="A2244">
        <v>201</v>
      </c>
      <c r="B2244">
        <v>5</v>
      </c>
      <c r="C2244">
        <v>4190625</v>
      </c>
      <c r="D2244">
        <v>78791555.363401994</v>
      </c>
      <c r="E2244">
        <v>9.0021409823059614E-6</v>
      </c>
      <c r="F2244">
        <v>7.2289880152804128E-6</v>
      </c>
      <c r="G2244">
        <v>1.773152967025549E-6</v>
      </c>
      <c r="H2244" t="b">
        <v>0</v>
      </c>
    </row>
    <row r="2245" spans="1:8" x14ac:dyDescent="0.15">
      <c r="A2245">
        <v>201</v>
      </c>
      <c r="B2245">
        <v>6</v>
      </c>
      <c r="C2245">
        <v>4004687.5</v>
      </c>
      <c r="D2245">
        <v>23215587.03221472</v>
      </c>
      <c r="E2245">
        <v>7.9512498235970619E-6</v>
      </c>
      <c r="F2245">
        <v>7.2289880152804128E-6</v>
      </c>
      <c r="G2245">
        <v>7.2226180831664908E-7</v>
      </c>
      <c r="H2245" t="b">
        <v>0</v>
      </c>
    </row>
    <row r="2246" spans="1:8" x14ac:dyDescent="0.15">
      <c r="A2246">
        <v>201</v>
      </c>
      <c r="B2246">
        <v>7</v>
      </c>
      <c r="C2246">
        <v>3911718.75</v>
      </c>
      <c r="D2246">
        <v>5817520.653747566</v>
      </c>
      <c r="E2246">
        <v>7.4493985180569682E-6</v>
      </c>
      <c r="F2246">
        <v>7.2289880152804128E-6</v>
      </c>
      <c r="G2246">
        <v>2.2041050277655541E-7</v>
      </c>
      <c r="H2246" t="b">
        <v>0</v>
      </c>
    </row>
    <row r="2247" spans="1:8" x14ac:dyDescent="0.15">
      <c r="A2247">
        <v>201</v>
      </c>
      <c r="B2247">
        <v>8</v>
      </c>
      <c r="C2247">
        <v>3865234.375</v>
      </c>
      <c r="D2247">
        <v>-576153.15662846027</v>
      </c>
      <c r="E2247">
        <v>7.204619557665098E-6</v>
      </c>
      <c r="F2247">
        <v>7.2289880152804128E-6</v>
      </c>
      <c r="G2247">
        <v>-2.436845761531476E-8</v>
      </c>
      <c r="H2247" t="b">
        <v>1</v>
      </c>
    </row>
    <row r="2248" spans="1:8" x14ac:dyDescent="0.15">
      <c r="A2248">
        <v>201</v>
      </c>
      <c r="B2248">
        <v>9</v>
      </c>
      <c r="C2248">
        <v>3888476.5625</v>
      </c>
      <c r="D2248">
        <v>2437956.4262796361</v>
      </c>
      <c r="E2248">
        <v>7.3264773617173916E-6</v>
      </c>
      <c r="F2248">
        <v>7.2289880152804128E-6</v>
      </c>
      <c r="G2248">
        <v>9.748934643697881E-8</v>
      </c>
      <c r="H2248" t="b">
        <v>0</v>
      </c>
    </row>
    <row r="2249" spans="1:8" x14ac:dyDescent="0.15">
      <c r="A2249">
        <v>201</v>
      </c>
      <c r="B2249">
        <v>10</v>
      </c>
      <c r="C2249">
        <v>3900097.65625</v>
      </c>
      <c r="D2249">
        <v>4081297.1051240382</v>
      </c>
      <c r="E2249">
        <v>7.3878059188908316E-6</v>
      </c>
      <c r="F2249">
        <v>7.2289880152804128E-6</v>
      </c>
      <c r="G2249">
        <v>1.588179036104197E-7</v>
      </c>
      <c r="H2249" t="b">
        <v>0</v>
      </c>
    </row>
    <row r="2250" spans="1:8" x14ac:dyDescent="0.15">
      <c r="A2250">
        <v>201</v>
      </c>
      <c r="B2250">
        <v>11</v>
      </c>
      <c r="C2250">
        <v>3894287.109375</v>
      </c>
      <c r="D2250">
        <v>3248113.676146552</v>
      </c>
      <c r="E2250">
        <v>7.3571086535586532E-6</v>
      </c>
      <c r="F2250">
        <v>7.2289880152804128E-6</v>
      </c>
      <c r="G2250">
        <v>1.2812063827824039E-7</v>
      </c>
      <c r="H2250" t="b">
        <v>0</v>
      </c>
    </row>
    <row r="2251" spans="1:8" x14ac:dyDescent="0.15">
      <c r="A2251">
        <v>201</v>
      </c>
      <c r="B2251">
        <v>12</v>
      </c>
      <c r="C2251">
        <v>3897192.3828125</v>
      </c>
      <c r="D2251">
        <v>3661806.295388327</v>
      </c>
      <c r="E2251">
        <v>7.3724487196921057E-6</v>
      </c>
      <c r="F2251">
        <v>7.2289880152804128E-6</v>
      </c>
      <c r="G2251">
        <v>1.434607044116929E-7</v>
      </c>
      <c r="H2251" t="b">
        <v>0</v>
      </c>
    </row>
    <row r="2252" spans="1:8" x14ac:dyDescent="0.15">
      <c r="A2252">
        <v>201</v>
      </c>
      <c r="B2252">
        <v>13</v>
      </c>
      <c r="C2252">
        <v>3898645.01953125</v>
      </c>
      <c r="D2252">
        <v>3870831.4433764918</v>
      </c>
      <c r="E2252">
        <v>7.3801253999512326E-6</v>
      </c>
      <c r="F2252">
        <v>7.2289880152804128E-6</v>
      </c>
      <c r="G2252">
        <v>1.5113738467081979E-7</v>
      </c>
      <c r="H2252" t="b">
        <v>0</v>
      </c>
    </row>
    <row r="2253" spans="1:8" x14ac:dyDescent="0.15">
      <c r="A2253">
        <v>202</v>
      </c>
      <c r="B2253">
        <v>1</v>
      </c>
      <c r="C2253">
        <v>6050000</v>
      </c>
      <c r="D2253">
        <v>828670558.35965014</v>
      </c>
      <c r="E2253">
        <v>1.460847794005031E-5</v>
      </c>
      <c r="F2253">
        <v>7.1528795247520293E-6</v>
      </c>
      <c r="G2253">
        <v>7.4555984152982811E-6</v>
      </c>
      <c r="H2253" t="b">
        <v>0</v>
      </c>
    </row>
    <row r="2254" spans="1:8" x14ac:dyDescent="0.15">
      <c r="A2254">
        <v>202</v>
      </c>
      <c r="B2254">
        <v>2</v>
      </c>
      <c r="C2254">
        <v>3075000</v>
      </c>
      <c r="D2254">
        <v>-1542295.7113967009</v>
      </c>
      <c r="E2254">
        <v>2.4230461976844768E-6</v>
      </c>
      <c r="F2254">
        <v>7.1528795247520293E-6</v>
      </c>
      <c r="G2254">
        <v>-4.729833327067552E-6</v>
      </c>
      <c r="H2254" t="b">
        <v>1</v>
      </c>
    </row>
    <row r="2255" spans="1:8" x14ac:dyDescent="0.15">
      <c r="A2255">
        <v>202</v>
      </c>
      <c r="B2255">
        <v>3</v>
      </c>
      <c r="C2255">
        <v>4562500</v>
      </c>
      <c r="D2255">
        <v>-2801345.4485950451</v>
      </c>
      <c r="E2255">
        <v>7.029125368947474E-6</v>
      </c>
      <c r="F2255">
        <v>7.1528795247520293E-6</v>
      </c>
      <c r="G2255">
        <v>-1.2375415580455529E-7</v>
      </c>
      <c r="H2255" t="b">
        <v>1</v>
      </c>
    </row>
    <row r="2256" spans="1:8" x14ac:dyDescent="0.15">
      <c r="A2256">
        <v>202</v>
      </c>
      <c r="B2256">
        <v>4</v>
      </c>
      <c r="C2256">
        <v>5306250</v>
      </c>
      <c r="D2256">
        <v>219359871.5298174</v>
      </c>
      <c r="E2256">
        <v>1.055379453600381E-5</v>
      </c>
      <c r="F2256">
        <v>7.1528795247520293E-6</v>
      </c>
      <c r="G2256">
        <v>3.4009150112517808E-6</v>
      </c>
      <c r="H2256" t="b">
        <v>0</v>
      </c>
    </row>
    <row r="2257" spans="1:8" x14ac:dyDescent="0.15">
      <c r="A2257">
        <v>202</v>
      </c>
      <c r="B2257">
        <v>5</v>
      </c>
      <c r="C2257">
        <v>4934375</v>
      </c>
      <c r="D2257">
        <v>66090519.729645781</v>
      </c>
      <c r="E2257">
        <v>8.7116021523110541E-6</v>
      </c>
      <c r="F2257">
        <v>7.1528795247520293E-6</v>
      </c>
      <c r="G2257">
        <v>1.558722627559025E-6</v>
      </c>
      <c r="H2257" t="b">
        <v>0</v>
      </c>
    </row>
    <row r="2258" spans="1:8" x14ac:dyDescent="0.15">
      <c r="A2258">
        <v>202</v>
      </c>
      <c r="B2258">
        <v>6</v>
      </c>
      <c r="C2258">
        <v>4748437.5</v>
      </c>
      <c r="D2258">
        <v>22344433.205759861</v>
      </c>
      <c r="E2258">
        <v>7.8486151094935697E-6</v>
      </c>
      <c r="F2258">
        <v>7.1528795247520293E-6</v>
      </c>
      <c r="G2258">
        <v>6.9573558474154037E-7</v>
      </c>
      <c r="H2258" t="b">
        <v>0</v>
      </c>
    </row>
    <row r="2259" spans="1:8" x14ac:dyDescent="0.15">
      <c r="A2259">
        <v>202</v>
      </c>
      <c r="B2259">
        <v>7</v>
      </c>
      <c r="C2259">
        <v>4655468.75</v>
      </c>
      <c r="D2259">
        <v>7641594.6185333449</v>
      </c>
      <c r="E2259">
        <v>7.4332194064041166E-6</v>
      </c>
      <c r="F2259">
        <v>7.1528795247520293E-6</v>
      </c>
      <c r="G2259">
        <v>2.8033988165208728E-7</v>
      </c>
      <c r="H2259" t="b">
        <v>0</v>
      </c>
    </row>
    <row r="2260" spans="1:8" x14ac:dyDescent="0.15">
      <c r="A2260">
        <v>202</v>
      </c>
      <c r="B2260">
        <v>8</v>
      </c>
      <c r="C2260">
        <v>4608984.375</v>
      </c>
      <c r="D2260">
        <v>1914504.343061249</v>
      </c>
      <c r="E2260">
        <v>7.2297203092255719E-6</v>
      </c>
      <c r="F2260">
        <v>7.1528795247520293E-6</v>
      </c>
      <c r="G2260">
        <v>7.684078447354264E-8</v>
      </c>
      <c r="H2260" t="b">
        <v>0</v>
      </c>
    </row>
    <row r="2261" spans="1:8" x14ac:dyDescent="0.15">
      <c r="A2261">
        <v>202</v>
      </c>
      <c r="B2261">
        <v>9</v>
      </c>
      <c r="C2261">
        <v>4632226.5625</v>
      </c>
      <c r="D2261">
        <v>4648092.7033490594</v>
      </c>
      <c r="E2261">
        <v>7.3311103597214086E-6</v>
      </c>
      <c r="F2261">
        <v>7.1528795247520293E-6</v>
      </c>
      <c r="G2261">
        <v>1.782308349693793E-7</v>
      </c>
      <c r="H2261" t="b">
        <v>0</v>
      </c>
    </row>
    <row r="2262" spans="1:8" x14ac:dyDescent="0.15">
      <c r="A2262">
        <v>203</v>
      </c>
      <c r="B2262">
        <v>1</v>
      </c>
      <c r="C2262">
        <v>6050000</v>
      </c>
      <c r="D2262">
        <v>5858004290.8621397</v>
      </c>
      <c r="E2262">
        <v>3.4349256252959437E-5</v>
      </c>
      <c r="F2262">
        <v>7.1528795247520276E-6</v>
      </c>
      <c r="G2262">
        <v>2.7196376728207408E-5</v>
      </c>
      <c r="H2262" t="b">
        <v>0</v>
      </c>
    </row>
    <row r="2263" spans="1:8" x14ac:dyDescent="0.15">
      <c r="A2263">
        <v>203</v>
      </c>
      <c r="B2263">
        <v>2</v>
      </c>
      <c r="C2263">
        <v>3075000</v>
      </c>
      <c r="D2263">
        <v>-4610318.4331139382</v>
      </c>
      <c r="E2263">
        <v>3.7782870495889439E-6</v>
      </c>
      <c r="F2263">
        <v>7.1528795247520293E-6</v>
      </c>
      <c r="G2263">
        <v>-3.3745924751630849E-6</v>
      </c>
      <c r="H2263" t="b">
        <v>1</v>
      </c>
    </row>
    <row r="2264" spans="1:8" x14ac:dyDescent="0.15">
      <c r="A2264">
        <v>203</v>
      </c>
      <c r="B2264">
        <v>3</v>
      </c>
      <c r="C2264">
        <v>4562500</v>
      </c>
      <c r="D2264">
        <v>304706022.48842669</v>
      </c>
      <c r="E2264">
        <v>1.130435024294477E-5</v>
      </c>
      <c r="F2264">
        <v>7.1528795247520293E-6</v>
      </c>
      <c r="G2264">
        <v>4.1514707181927388E-6</v>
      </c>
      <c r="H2264" t="b">
        <v>0</v>
      </c>
    </row>
    <row r="2265" spans="1:8" x14ac:dyDescent="0.15">
      <c r="A2265">
        <v>203</v>
      </c>
      <c r="B2265">
        <v>4</v>
      </c>
      <c r="C2265">
        <v>3818750</v>
      </c>
      <c r="D2265">
        <v>-3687740.6011394821</v>
      </c>
      <c r="E2265">
        <v>6.9864346928225111E-6</v>
      </c>
      <c r="F2265">
        <v>7.1528795247520293E-6</v>
      </c>
      <c r="G2265">
        <v>-1.6644483192951821E-7</v>
      </c>
      <c r="H2265" t="b">
        <v>1</v>
      </c>
    </row>
    <row r="2266" spans="1:8" x14ac:dyDescent="0.15">
      <c r="A2266">
        <v>203</v>
      </c>
      <c r="B2266">
        <v>5</v>
      </c>
      <c r="C2266">
        <v>4190625</v>
      </c>
      <c r="D2266">
        <v>86777568.923526525</v>
      </c>
      <c r="E2266">
        <v>9.0300983596822916E-6</v>
      </c>
      <c r="F2266">
        <v>7.1528795247520293E-6</v>
      </c>
      <c r="G2266">
        <v>1.8772188349302619E-6</v>
      </c>
      <c r="H2266" t="b">
        <v>0</v>
      </c>
    </row>
    <row r="2267" spans="1:8" x14ac:dyDescent="0.15">
      <c r="A2267">
        <v>203</v>
      </c>
      <c r="B2267">
        <v>6</v>
      </c>
      <c r="C2267">
        <v>4004687.5</v>
      </c>
      <c r="D2267">
        <v>27693969.583797421</v>
      </c>
      <c r="E2267">
        <v>7.9764472139795915E-6</v>
      </c>
      <c r="F2267">
        <v>7.1528795247520293E-6</v>
      </c>
      <c r="G2267">
        <v>8.2356768922756222E-7</v>
      </c>
      <c r="H2267" t="b">
        <v>0</v>
      </c>
    </row>
    <row r="2268" spans="1:8" x14ac:dyDescent="0.15">
      <c r="A2268">
        <v>203</v>
      </c>
      <c r="B2268">
        <v>7</v>
      </c>
      <c r="C2268">
        <v>3911718.75</v>
      </c>
      <c r="D2268">
        <v>8878469.3720739856</v>
      </c>
      <c r="E2268">
        <v>7.4731550971091206E-6</v>
      </c>
      <c r="F2268">
        <v>7.1528795247520293E-6</v>
      </c>
      <c r="G2268">
        <v>3.2027557235709219E-7</v>
      </c>
      <c r="H2268" t="b">
        <v>0</v>
      </c>
    </row>
    <row r="2269" spans="1:8" x14ac:dyDescent="0.15">
      <c r="A2269">
        <v>203</v>
      </c>
      <c r="B2269">
        <v>8</v>
      </c>
      <c r="C2269">
        <v>3865234.375</v>
      </c>
      <c r="D2269">
        <v>1861142.7518667071</v>
      </c>
      <c r="E2269">
        <v>7.2276496745909186E-6</v>
      </c>
      <c r="F2269">
        <v>7.1528795247520293E-6</v>
      </c>
      <c r="G2269">
        <v>7.477014983889014E-8</v>
      </c>
      <c r="H2269" t="b">
        <v>0</v>
      </c>
    </row>
    <row r="2270" spans="1:8" x14ac:dyDescent="0.15">
      <c r="A2270">
        <v>203</v>
      </c>
      <c r="B2270">
        <v>9</v>
      </c>
      <c r="C2270">
        <v>3888476.5625</v>
      </c>
      <c r="D2270">
        <v>5179947.093526138</v>
      </c>
      <c r="E2270">
        <v>7.3498715231280026E-6</v>
      </c>
      <c r="F2270">
        <v>7.1528795247520293E-6</v>
      </c>
      <c r="G2270">
        <v>1.969919983759733E-7</v>
      </c>
      <c r="H2270" t="b">
        <v>0</v>
      </c>
    </row>
    <row r="2271" spans="1:8" x14ac:dyDescent="0.15">
      <c r="A2271">
        <v>203</v>
      </c>
      <c r="B2271">
        <v>10</v>
      </c>
      <c r="C2271">
        <v>3876855.46875</v>
      </c>
      <c r="D2271">
        <v>3473847.7960773949</v>
      </c>
      <c r="E2271">
        <v>7.2886271062238291E-6</v>
      </c>
      <c r="F2271">
        <v>7.1528795247520293E-6</v>
      </c>
      <c r="G2271">
        <v>1.3574758147179981E-7</v>
      </c>
      <c r="H2271" t="b">
        <v>0</v>
      </c>
    </row>
    <row r="2272" spans="1:8" x14ac:dyDescent="0.15">
      <c r="A2272">
        <v>203</v>
      </c>
      <c r="B2272">
        <v>11</v>
      </c>
      <c r="C2272">
        <v>3882666.015625</v>
      </c>
      <c r="D2272">
        <v>4315126.7970892601</v>
      </c>
      <c r="E2272">
        <v>7.3192160632582126E-6</v>
      </c>
      <c r="F2272">
        <v>7.1528795247520293E-6</v>
      </c>
      <c r="G2272">
        <v>1.6633653850618409E-7</v>
      </c>
      <c r="H2272" t="b">
        <v>0</v>
      </c>
    </row>
    <row r="2273" spans="1:8" x14ac:dyDescent="0.15">
      <c r="A2273">
        <v>203</v>
      </c>
      <c r="B2273">
        <v>12</v>
      </c>
      <c r="C2273">
        <v>3879760.7421875</v>
      </c>
      <c r="D2273">
        <v>3891564.7387400931</v>
      </c>
      <c r="E2273">
        <v>7.3039135526401753E-6</v>
      </c>
      <c r="F2273">
        <v>7.1528795247520293E-6</v>
      </c>
      <c r="G2273">
        <v>1.5103402788814599E-7</v>
      </c>
      <c r="H2273" t="b">
        <v>0</v>
      </c>
    </row>
    <row r="2274" spans="1:8" x14ac:dyDescent="0.15">
      <c r="A2274">
        <v>204</v>
      </c>
      <c r="B2274">
        <v>1</v>
      </c>
      <c r="C2274">
        <v>6050000</v>
      </c>
      <c r="D2274">
        <v>14486811609.48547</v>
      </c>
      <c r="E2274">
        <v>5.8572401287192028E-5</v>
      </c>
      <c r="F2274">
        <v>7.0780382335173812E-6</v>
      </c>
      <c r="G2274">
        <v>5.1494363053674653E-5</v>
      </c>
      <c r="H2274" t="b">
        <v>0</v>
      </c>
    </row>
    <row r="2275" spans="1:8" x14ac:dyDescent="0.15">
      <c r="A2275">
        <v>204</v>
      </c>
      <c r="B2275">
        <v>2</v>
      </c>
      <c r="C2275">
        <v>3075000</v>
      </c>
      <c r="D2275">
        <v>-11899211.64822335</v>
      </c>
      <c r="E2275">
        <v>5.2737338978833339E-6</v>
      </c>
      <c r="F2275">
        <v>7.0780382335173812E-6</v>
      </c>
      <c r="G2275">
        <v>-1.8043043356340469E-6</v>
      </c>
      <c r="H2275" t="b">
        <v>1</v>
      </c>
    </row>
    <row r="2276" spans="1:8" x14ac:dyDescent="0.15">
      <c r="A2276">
        <v>204</v>
      </c>
      <c r="B2276">
        <v>3</v>
      </c>
      <c r="C2276">
        <v>4562500</v>
      </c>
      <c r="D2276">
        <v>1136618314.182513</v>
      </c>
      <c r="E2276">
        <v>1.5923646809995741E-5</v>
      </c>
      <c r="F2276">
        <v>7.0780382335173812E-6</v>
      </c>
      <c r="G2276">
        <v>8.845608576478363E-6</v>
      </c>
      <c r="H2276" t="b">
        <v>0</v>
      </c>
    </row>
    <row r="2277" spans="1:8" x14ac:dyDescent="0.15">
      <c r="A2277">
        <v>204</v>
      </c>
      <c r="B2277">
        <v>4</v>
      </c>
      <c r="C2277">
        <v>3818750</v>
      </c>
      <c r="D2277">
        <v>146492409.44308731</v>
      </c>
      <c r="E2277">
        <v>9.6980521493282425E-6</v>
      </c>
      <c r="F2277">
        <v>7.0780382335173812E-6</v>
      </c>
      <c r="G2277">
        <v>2.6200139158108609E-6</v>
      </c>
      <c r="H2277" t="b">
        <v>0</v>
      </c>
    </row>
    <row r="2278" spans="1:8" x14ac:dyDescent="0.15">
      <c r="A2278">
        <v>204</v>
      </c>
      <c r="B2278">
        <v>5</v>
      </c>
      <c r="C2278">
        <v>3446875</v>
      </c>
      <c r="D2278">
        <v>6226110.3136845035</v>
      </c>
      <c r="E2278">
        <v>7.3097552607406606E-6</v>
      </c>
      <c r="F2278">
        <v>7.0780382335173812E-6</v>
      </c>
      <c r="G2278">
        <v>2.317170272232794E-7</v>
      </c>
      <c r="H2278" t="b">
        <v>0</v>
      </c>
    </row>
    <row r="2279" spans="1:8" x14ac:dyDescent="0.15">
      <c r="A2279">
        <v>204</v>
      </c>
      <c r="B2279">
        <v>6</v>
      </c>
      <c r="C2279">
        <v>3260937.5</v>
      </c>
      <c r="D2279">
        <v>-12411494.09414902</v>
      </c>
      <c r="E2279">
        <v>6.2435360651295286E-6</v>
      </c>
      <c r="F2279">
        <v>7.0780382335173812E-6</v>
      </c>
      <c r="G2279">
        <v>-8.3450216838785262E-7</v>
      </c>
      <c r="H2279" t="b">
        <v>1</v>
      </c>
    </row>
    <row r="2280" spans="1:8" x14ac:dyDescent="0.15">
      <c r="A2280">
        <v>204</v>
      </c>
      <c r="B2280">
        <v>7</v>
      </c>
      <c r="C2280">
        <v>3353906.25</v>
      </c>
      <c r="D2280">
        <v>-6439433.7912460444</v>
      </c>
      <c r="E2280">
        <v>6.7650956454238968E-6</v>
      </c>
      <c r="F2280">
        <v>7.0780382335173812E-6</v>
      </c>
      <c r="G2280">
        <v>-3.1294258809348439E-7</v>
      </c>
      <c r="H2280" t="b">
        <v>1</v>
      </c>
    </row>
    <row r="2281" spans="1:8" x14ac:dyDescent="0.15">
      <c r="A2281">
        <v>204</v>
      </c>
      <c r="B2281">
        <v>8</v>
      </c>
      <c r="C2281">
        <v>3400390.625</v>
      </c>
      <c r="D2281">
        <v>-1028004.909845134</v>
      </c>
      <c r="E2281">
        <v>7.0345841354878877E-6</v>
      </c>
      <c r="F2281">
        <v>7.0780382335173812E-6</v>
      </c>
      <c r="G2281">
        <v>-4.34540980294935E-8</v>
      </c>
      <c r="H2281" t="b">
        <v>1</v>
      </c>
    </row>
    <row r="2282" spans="1:8" x14ac:dyDescent="0.15">
      <c r="A2282">
        <v>204</v>
      </c>
      <c r="B2282">
        <v>9</v>
      </c>
      <c r="C2282">
        <v>3423632.8125</v>
      </c>
      <c r="D2282">
        <v>2358866.267627548</v>
      </c>
      <c r="E2282">
        <v>7.1714670523099152E-6</v>
      </c>
      <c r="F2282">
        <v>7.0780382335173812E-6</v>
      </c>
      <c r="G2282">
        <v>9.3428818792533958E-8</v>
      </c>
      <c r="H2282" t="b">
        <v>0</v>
      </c>
    </row>
    <row r="2283" spans="1:8" x14ac:dyDescent="0.15">
      <c r="A2283">
        <v>204</v>
      </c>
      <c r="B2283">
        <v>10</v>
      </c>
      <c r="C2283">
        <v>3435253.90625</v>
      </c>
      <c r="D2283">
        <v>4231259.9090228369</v>
      </c>
      <c r="E2283">
        <v>7.2404367195567616E-6</v>
      </c>
      <c r="F2283">
        <v>7.0780382335173812E-6</v>
      </c>
      <c r="G2283">
        <v>1.6239848603938119E-7</v>
      </c>
      <c r="H2283" t="b">
        <v>0</v>
      </c>
    </row>
    <row r="2284" spans="1:8" x14ac:dyDescent="0.15">
      <c r="A2284">
        <v>204</v>
      </c>
      <c r="B2284">
        <v>11</v>
      </c>
      <c r="C2284">
        <v>3429443.359375</v>
      </c>
      <c r="D2284">
        <v>3279905.5339756138</v>
      </c>
      <c r="E2284">
        <v>7.2059082632356191E-6</v>
      </c>
      <c r="F2284">
        <v>7.0780382335173812E-6</v>
      </c>
      <c r="G2284">
        <v>1.278700297182379E-7</v>
      </c>
      <c r="H2284" t="b">
        <v>0</v>
      </c>
    </row>
    <row r="2285" spans="1:8" x14ac:dyDescent="0.15">
      <c r="A2285">
        <v>204</v>
      </c>
      <c r="B2285">
        <v>12</v>
      </c>
      <c r="C2285">
        <v>3432348.6328125</v>
      </c>
      <c r="D2285">
        <v>3751765.6881447202</v>
      </c>
      <c r="E2285">
        <v>7.2231612656676612E-6</v>
      </c>
      <c r="F2285">
        <v>7.0780382335173812E-6</v>
      </c>
      <c r="G2285">
        <v>1.4512303215028001E-7</v>
      </c>
      <c r="H2285" t="b">
        <v>0</v>
      </c>
    </row>
    <row r="2286" spans="1:8" x14ac:dyDescent="0.15">
      <c r="A2286">
        <v>204</v>
      </c>
      <c r="B2286">
        <v>13</v>
      </c>
      <c r="C2286">
        <v>3430895.99609375</v>
      </c>
      <c r="D2286">
        <v>3514889.8250778252</v>
      </c>
      <c r="E2286">
        <v>7.2145321801645696E-6</v>
      </c>
      <c r="F2286">
        <v>7.0780382335173812E-6</v>
      </c>
      <c r="G2286">
        <v>1.3649394664718841E-7</v>
      </c>
      <c r="H2286" t="b">
        <v>0</v>
      </c>
    </row>
    <row r="2287" spans="1:8" x14ac:dyDescent="0.15">
      <c r="A2287">
        <v>204</v>
      </c>
      <c r="B2287">
        <v>14</v>
      </c>
      <c r="C2287">
        <v>3429695.99609375</v>
      </c>
      <c r="D2287">
        <v>3320636.783702197</v>
      </c>
      <c r="E2287">
        <v>7.2074077071622626E-6</v>
      </c>
      <c r="F2287">
        <v>7.0780382335173812E-6</v>
      </c>
      <c r="G2287">
        <v>1.2936947364488141E-7</v>
      </c>
      <c r="H2287" t="b">
        <v>0</v>
      </c>
    </row>
    <row r="2288" spans="1:8" x14ac:dyDescent="0.15">
      <c r="A2288">
        <v>204</v>
      </c>
      <c r="B2288">
        <v>15</v>
      </c>
      <c r="C2288">
        <v>3430295.99609375</v>
      </c>
      <c r="D2288">
        <v>3417593.2813150189</v>
      </c>
      <c r="E2288">
        <v>7.2109691790268723E-6</v>
      </c>
      <c r="F2288">
        <v>7.0780382335173812E-6</v>
      </c>
      <c r="G2288">
        <v>1.3293094550949111E-7</v>
      </c>
      <c r="H2288" t="b">
        <v>0</v>
      </c>
    </row>
    <row r="2289" spans="1:8" x14ac:dyDescent="0.15">
      <c r="A2289">
        <v>205</v>
      </c>
      <c r="B2289">
        <v>1</v>
      </c>
      <c r="C2289">
        <v>6050000</v>
      </c>
      <c r="D2289">
        <v>17687459436.15387</v>
      </c>
      <c r="E2289">
        <v>6.5751393432034958E-5</v>
      </c>
      <c r="F2289">
        <v>7.0044354320592813E-6</v>
      </c>
      <c r="G2289">
        <v>5.8746957999975677E-5</v>
      </c>
      <c r="H2289" t="b">
        <v>0</v>
      </c>
    </row>
    <row r="2290" spans="1:8" x14ac:dyDescent="0.15">
      <c r="A2290">
        <v>205</v>
      </c>
      <c r="B2290">
        <v>2</v>
      </c>
      <c r="C2290">
        <v>3075000</v>
      </c>
      <c r="D2290">
        <v>-13244489.83037037</v>
      </c>
      <c r="E2290">
        <v>5.6806069019869236E-6</v>
      </c>
      <c r="F2290">
        <v>7.0044354320592796E-6</v>
      </c>
      <c r="G2290">
        <v>-1.3238285300723549E-6</v>
      </c>
      <c r="H2290" t="b">
        <v>1</v>
      </c>
    </row>
    <row r="2291" spans="1:8" x14ac:dyDescent="0.15">
      <c r="A2291">
        <v>205</v>
      </c>
      <c r="B2291">
        <v>3</v>
      </c>
      <c r="C2291">
        <v>4562500</v>
      </c>
      <c r="D2291">
        <v>1807932351.6891129</v>
      </c>
      <c r="E2291">
        <v>1.840152759325363E-5</v>
      </c>
      <c r="F2291">
        <v>7.0044354320592796E-6</v>
      </c>
      <c r="G2291">
        <v>1.139709216119435E-5</v>
      </c>
      <c r="H2291" t="b">
        <v>0</v>
      </c>
    </row>
    <row r="2292" spans="1:8" x14ac:dyDescent="0.15">
      <c r="A2292">
        <v>205</v>
      </c>
      <c r="B2292">
        <v>4</v>
      </c>
      <c r="C2292">
        <v>3818750</v>
      </c>
      <c r="D2292">
        <v>225653808.4754723</v>
      </c>
      <c r="E2292">
        <v>1.0403366047105281E-5</v>
      </c>
      <c r="F2292">
        <v>7.0044354320592796E-6</v>
      </c>
      <c r="G2292">
        <v>3.3989306150460011E-6</v>
      </c>
      <c r="H2292" t="b">
        <v>0</v>
      </c>
    </row>
    <row r="2293" spans="1:8" x14ac:dyDescent="0.15">
      <c r="A2293">
        <v>205</v>
      </c>
      <c r="B2293">
        <v>5</v>
      </c>
      <c r="C2293">
        <v>3446875</v>
      </c>
      <c r="D2293">
        <v>29830979.860207669</v>
      </c>
      <c r="E2293">
        <v>7.8641775726102156E-6</v>
      </c>
      <c r="F2293">
        <v>7.0044354320592796E-6</v>
      </c>
      <c r="G2293">
        <v>8.5974214055093604E-7</v>
      </c>
      <c r="H2293" t="b">
        <v>0</v>
      </c>
    </row>
    <row r="2294" spans="1:8" x14ac:dyDescent="0.15">
      <c r="A2294">
        <v>205</v>
      </c>
      <c r="B2294">
        <v>6</v>
      </c>
      <c r="C2294">
        <v>3260937.5</v>
      </c>
      <c r="D2294">
        <v>-5902060.2286373451</v>
      </c>
      <c r="E2294">
        <v>6.7233641485022184E-6</v>
      </c>
      <c r="F2294">
        <v>7.0044354320592796E-6</v>
      </c>
      <c r="G2294">
        <v>-2.8107128355706208E-7</v>
      </c>
      <c r="H2294" t="b">
        <v>1</v>
      </c>
    </row>
    <row r="2295" spans="1:8" x14ac:dyDescent="0.15">
      <c r="A2295">
        <v>205</v>
      </c>
      <c r="B2295">
        <v>7</v>
      </c>
      <c r="C2295">
        <v>3353906.25</v>
      </c>
      <c r="D2295">
        <v>7664694.137654176</v>
      </c>
      <c r="E2295">
        <v>7.2821819631047494E-6</v>
      </c>
      <c r="F2295">
        <v>7.0044354320592796E-6</v>
      </c>
      <c r="G2295">
        <v>2.7774653104546902E-7</v>
      </c>
      <c r="H2295" t="b">
        <v>0</v>
      </c>
    </row>
    <row r="2296" spans="1:8" x14ac:dyDescent="0.15">
      <c r="A2296">
        <v>205</v>
      </c>
      <c r="B2296">
        <v>8</v>
      </c>
      <c r="C2296">
        <v>3307421.875</v>
      </c>
      <c r="D2296">
        <v>-113134.3687031288</v>
      </c>
      <c r="E2296">
        <v>6.9997655649849336E-6</v>
      </c>
      <c r="F2296">
        <v>7.0044354320592796E-6</v>
      </c>
      <c r="G2296">
        <v>-4.6698670743459831E-9</v>
      </c>
      <c r="H2296" t="b">
        <v>1</v>
      </c>
    </row>
    <row r="2297" spans="1:8" x14ac:dyDescent="0.15">
      <c r="A2297">
        <v>205</v>
      </c>
      <c r="B2297">
        <v>9</v>
      </c>
      <c r="C2297">
        <v>3330664.0625</v>
      </c>
      <c r="D2297">
        <v>3516574.7635546839</v>
      </c>
      <c r="E2297">
        <v>7.140238781471006E-6</v>
      </c>
      <c r="F2297">
        <v>7.0044354320592796E-6</v>
      </c>
      <c r="G2297">
        <v>1.3580334941172639E-7</v>
      </c>
      <c r="H2297" t="b">
        <v>0</v>
      </c>
    </row>
    <row r="2298" spans="1:8" x14ac:dyDescent="0.15">
      <c r="A2298">
        <v>205</v>
      </c>
      <c r="B2298">
        <v>10</v>
      </c>
      <c r="C2298">
        <v>3319042.96875</v>
      </c>
      <c r="D2298">
        <v>1638154.6240914951</v>
      </c>
      <c r="E2298">
        <v>7.0698145639059687E-6</v>
      </c>
      <c r="F2298">
        <v>7.0044354320592796E-6</v>
      </c>
      <c r="G2298">
        <v>6.5379131846689096E-8</v>
      </c>
      <c r="H2298" t="b">
        <v>0</v>
      </c>
    </row>
    <row r="2299" spans="1:8" x14ac:dyDescent="0.15">
      <c r="A2299">
        <v>205</v>
      </c>
      <c r="B2299">
        <v>11</v>
      </c>
      <c r="C2299">
        <v>3324853.515625</v>
      </c>
      <c r="D2299">
        <v>2561298.1789200511</v>
      </c>
      <c r="E2299">
        <v>7.1049796129453276E-6</v>
      </c>
      <c r="F2299">
        <v>7.0044354320592796E-6</v>
      </c>
      <c r="G2299">
        <v>1.0054418088604799E-7</v>
      </c>
      <c r="H2299" t="b">
        <v>0</v>
      </c>
    </row>
    <row r="2300" spans="1:8" x14ac:dyDescent="0.15">
      <c r="A2300">
        <v>205</v>
      </c>
      <c r="B2300">
        <v>12</v>
      </c>
      <c r="C2300">
        <v>3327758.7890625</v>
      </c>
      <c r="D2300">
        <v>3034905.0317483991</v>
      </c>
      <c r="E2300">
        <v>7.1225976710606847E-6</v>
      </c>
      <c r="F2300">
        <v>7.0044354320592796E-6</v>
      </c>
      <c r="G2300">
        <v>1.181622390014051E-7</v>
      </c>
      <c r="H2300" t="b">
        <v>0</v>
      </c>
    </row>
    <row r="2301" spans="1:8" x14ac:dyDescent="0.15">
      <c r="A2301">
        <v>205</v>
      </c>
      <c r="B2301">
        <v>13</v>
      </c>
      <c r="C2301">
        <v>3329211.42578125</v>
      </c>
      <c r="D2301">
        <v>3274720.3553098692</v>
      </c>
      <c r="E2301">
        <v>7.131415012593482E-6</v>
      </c>
      <c r="F2301">
        <v>7.0044354320592796E-6</v>
      </c>
      <c r="G2301">
        <v>1.2697958053420229E-7</v>
      </c>
      <c r="H2301" t="b">
        <v>0</v>
      </c>
    </row>
    <row r="2302" spans="1:8" x14ac:dyDescent="0.15">
      <c r="A2302">
        <v>205</v>
      </c>
      <c r="B2302">
        <v>14</v>
      </c>
      <c r="C2302">
        <v>3330411.42578125</v>
      </c>
      <c r="D2302">
        <v>3474368.2964060581</v>
      </c>
      <c r="E2302">
        <v>7.1387038200729827E-6</v>
      </c>
      <c r="F2302">
        <v>7.0044354320592796E-6</v>
      </c>
      <c r="G2302">
        <v>1.3426838801370309E-7</v>
      </c>
      <c r="H2302" t="b">
        <v>0</v>
      </c>
    </row>
    <row r="2303" spans="1:8" x14ac:dyDescent="0.15">
      <c r="A2303">
        <v>205</v>
      </c>
      <c r="B2303">
        <v>15</v>
      </c>
      <c r="C2303">
        <v>3329811.42578125</v>
      </c>
      <c r="D2303">
        <v>3374375.650059761</v>
      </c>
      <c r="E2303">
        <v>7.1350590675795352E-6</v>
      </c>
      <c r="F2303">
        <v>7.0044354320592796E-6</v>
      </c>
      <c r="G2303">
        <v>1.306236355202556E-7</v>
      </c>
      <c r="H2303" t="b">
        <v>0</v>
      </c>
    </row>
    <row r="2304" spans="1:8" x14ac:dyDescent="0.15">
      <c r="A2304">
        <v>205</v>
      </c>
      <c r="B2304">
        <v>16</v>
      </c>
      <c r="C2304">
        <v>3329091.42578125</v>
      </c>
      <c r="D2304">
        <v>3254840.4611138948</v>
      </c>
      <c r="E2304">
        <v>7.1306866777413834E-6</v>
      </c>
      <c r="F2304">
        <v>7.0044354320592796E-6</v>
      </c>
      <c r="G2304">
        <v>1.262512456821038E-7</v>
      </c>
      <c r="H2304" t="b">
        <v>0</v>
      </c>
    </row>
    <row r="2305" spans="1:8" x14ac:dyDescent="0.15">
      <c r="A2305">
        <v>205</v>
      </c>
      <c r="B2305">
        <v>17</v>
      </c>
      <c r="C2305">
        <v>3329451.42578125</v>
      </c>
      <c r="D2305">
        <v>3314537.7806892451</v>
      </c>
      <c r="E2305">
        <v>7.1328723961948813E-6</v>
      </c>
      <c r="F2305">
        <v>7.0044354320592796E-6</v>
      </c>
      <c r="G2305">
        <v>1.2843696413560169E-7</v>
      </c>
      <c r="H2305" t="b">
        <v>0</v>
      </c>
    </row>
    <row r="2306" spans="1:8" x14ac:dyDescent="0.15">
      <c r="A2306">
        <v>206</v>
      </c>
      <c r="B2306">
        <v>1</v>
      </c>
      <c r="C2306">
        <v>6050000</v>
      </c>
      <c r="D2306">
        <v>38980233713.949303</v>
      </c>
      <c r="E2306">
        <v>6.8071569072999775E-5</v>
      </c>
      <c r="F2306">
        <v>4.6295021533103334E-6</v>
      </c>
      <c r="G2306">
        <v>6.3442066919689442E-5</v>
      </c>
      <c r="H2306" t="b">
        <v>0</v>
      </c>
    </row>
    <row r="2307" spans="1:8" x14ac:dyDescent="0.15">
      <c r="A2307">
        <v>206</v>
      </c>
      <c r="B2307">
        <v>2</v>
      </c>
      <c r="C2307">
        <v>3075000</v>
      </c>
      <c r="D2307">
        <v>17705795.91389766</v>
      </c>
      <c r="E2307">
        <v>5.0725091499299924E-6</v>
      </c>
      <c r="F2307">
        <v>4.6295021533103351E-6</v>
      </c>
      <c r="G2307">
        <v>4.4300699661965728E-7</v>
      </c>
      <c r="H2307" t="b">
        <v>0</v>
      </c>
    </row>
    <row r="2308" spans="1:8" x14ac:dyDescent="0.15">
      <c r="A2308">
        <v>206</v>
      </c>
      <c r="B2308">
        <v>3</v>
      </c>
      <c r="C2308">
        <v>1587500</v>
      </c>
      <c r="D2308">
        <v>-409421.60510925163</v>
      </c>
      <c r="E2308">
        <v>1.521921275108942E-7</v>
      </c>
      <c r="F2308">
        <v>4.6295021533103351E-6</v>
      </c>
      <c r="G2308">
        <v>-4.4773100257994396E-6</v>
      </c>
      <c r="H2308" t="b">
        <v>1</v>
      </c>
    </row>
    <row r="2309" spans="1:8" x14ac:dyDescent="0.15">
      <c r="A2309">
        <v>206</v>
      </c>
      <c r="B2309">
        <v>4</v>
      </c>
      <c r="C2309">
        <v>2331250</v>
      </c>
      <c r="D2309">
        <v>-3420823.713402282</v>
      </c>
      <c r="E2309">
        <v>2.287130639258921E-6</v>
      </c>
      <c r="F2309">
        <v>4.6295021533103351E-6</v>
      </c>
      <c r="G2309">
        <v>-2.3423715140514141E-6</v>
      </c>
      <c r="H2309" t="b">
        <v>1</v>
      </c>
    </row>
    <row r="2310" spans="1:8" x14ac:dyDescent="0.15">
      <c r="A2310">
        <v>206</v>
      </c>
      <c r="B2310">
        <v>5</v>
      </c>
      <c r="C2310">
        <v>2703125</v>
      </c>
      <c r="D2310">
        <v>-9140855.4819630142</v>
      </c>
      <c r="E2310">
        <v>3.462345734387158E-6</v>
      </c>
      <c r="F2310">
        <v>4.6295021533103351E-6</v>
      </c>
      <c r="G2310">
        <v>-1.1671564189231779E-6</v>
      </c>
      <c r="H2310" t="b">
        <v>1</v>
      </c>
    </row>
    <row r="2311" spans="1:8" x14ac:dyDescent="0.15">
      <c r="A2311">
        <v>206</v>
      </c>
      <c r="B2311">
        <v>6</v>
      </c>
      <c r="C2311">
        <v>2889062.5</v>
      </c>
      <c r="D2311">
        <v>-7964466.7175502963</v>
      </c>
      <c r="E2311">
        <v>4.2154403474606812E-6</v>
      </c>
      <c r="F2311">
        <v>4.6295021533103351E-6</v>
      </c>
      <c r="G2311">
        <v>-4.1406180584965391E-7</v>
      </c>
      <c r="H2311" t="b">
        <v>1</v>
      </c>
    </row>
    <row r="2312" spans="1:8" x14ac:dyDescent="0.15">
      <c r="A2312">
        <v>206</v>
      </c>
      <c r="B2312">
        <v>7</v>
      </c>
      <c r="C2312">
        <v>2982031.25</v>
      </c>
      <c r="D2312">
        <v>51032.664145548333</v>
      </c>
      <c r="E2312">
        <v>4.6312736586177911E-6</v>
      </c>
      <c r="F2312">
        <v>4.6295021533103351E-6</v>
      </c>
      <c r="G2312">
        <v>1.7715053074560209E-9</v>
      </c>
      <c r="H2312" t="b">
        <v>0</v>
      </c>
    </row>
    <row r="2313" spans="1:8" x14ac:dyDescent="0.15">
      <c r="A2313">
        <v>206</v>
      </c>
      <c r="B2313">
        <v>8</v>
      </c>
      <c r="C2313">
        <v>3028515.625</v>
      </c>
      <c r="D2313">
        <v>7501869.7634040257</v>
      </c>
      <c r="E2313">
        <v>4.8487680519278817E-6</v>
      </c>
      <c r="F2313">
        <v>4.6295021533103351E-6</v>
      </c>
      <c r="G2313">
        <v>2.1926589861754671E-7</v>
      </c>
      <c r="H2313" t="b">
        <v>0</v>
      </c>
    </row>
    <row r="2314" spans="1:8" x14ac:dyDescent="0.15">
      <c r="A2314">
        <v>206</v>
      </c>
      <c r="B2314">
        <v>9</v>
      </c>
      <c r="C2314">
        <v>3005273.4375</v>
      </c>
      <c r="D2314">
        <v>3452699.8020062111</v>
      </c>
      <c r="E2314">
        <v>4.7392333253082996E-6</v>
      </c>
      <c r="F2314">
        <v>4.6295021533103351E-6</v>
      </c>
      <c r="G2314">
        <v>1.097311719979646E-7</v>
      </c>
      <c r="H2314" t="b">
        <v>0</v>
      </c>
    </row>
    <row r="2315" spans="1:8" x14ac:dyDescent="0.15">
      <c r="A2315">
        <v>206</v>
      </c>
      <c r="B2315">
        <v>10</v>
      </c>
      <c r="C2315">
        <v>2993652.34375</v>
      </c>
      <c r="D2315">
        <v>1673541.6067284669</v>
      </c>
      <c r="E2315">
        <v>4.6850559998270053E-6</v>
      </c>
      <c r="F2315">
        <v>4.6295021533103351E-6</v>
      </c>
      <c r="G2315">
        <v>5.5553846516670212E-8</v>
      </c>
      <c r="H2315" t="b">
        <v>0</v>
      </c>
    </row>
    <row r="2316" spans="1:8" x14ac:dyDescent="0.15">
      <c r="A2316">
        <v>206</v>
      </c>
      <c r="B2316">
        <v>11</v>
      </c>
      <c r="C2316">
        <v>2999462.890625</v>
      </c>
      <c r="D2316">
        <v>2543205.7737103361</v>
      </c>
      <c r="E2316">
        <v>4.7120952223429382E-6</v>
      </c>
      <c r="F2316">
        <v>4.6295021533103351E-6</v>
      </c>
      <c r="G2316">
        <v>8.2593069032603161E-8</v>
      </c>
      <c r="H2316" t="b">
        <v>0</v>
      </c>
    </row>
    <row r="2317" spans="1:8" x14ac:dyDescent="0.15">
      <c r="A2317">
        <v>206</v>
      </c>
      <c r="B2317">
        <v>12</v>
      </c>
      <c r="C2317">
        <v>3002368.1640625</v>
      </c>
      <c r="D2317">
        <v>2992934.1739844312</v>
      </c>
      <c r="E2317">
        <v>4.7256519565741301E-6</v>
      </c>
      <c r="F2317">
        <v>4.6295021533103351E-6</v>
      </c>
      <c r="G2317">
        <v>9.6149803263795015E-8</v>
      </c>
      <c r="H2317" t="b">
        <v>0</v>
      </c>
    </row>
    <row r="2318" spans="1:8" x14ac:dyDescent="0.15">
      <c r="A2318">
        <v>207</v>
      </c>
      <c r="B2318">
        <v>1</v>
      </c>
      <c r="C2318">
        <v>6050000</v>
      </c>
      <c r="D2318">
        <v>2708594265.0987649</v>
      </c>
      <c r="E2318">
        <v>1.407747309687919E-5</v>
      </c>
      <c r="F2318">
        <v>4.5919242072455094E-6</v>
      </c>
      <c r="G2318">
        <v>9.4855488896336771E-6</v>
      </c>
      <c r="H2318" t="b">
        <v>0</v>
      </c>
    </row>
    <row r="2319" spans="1:8" x14ac:dyDescent="0.15">
      <c r="A2319">
        <v>207</v>
      </c>
      <c r="B2319">
        <v>2</v>
      </c>
      <c r="C2319">
        <v>3075000</v>
      </c>
      <c r="D2319">
        <v>-2634823.841542562</v>
      </c>
      <c r="E2319">
        <v>2.0316743162889869E-6</v>
      </c>
      <c r="F2319">
        <v>4.5919242072455094E-6</v>
      </c>
      <c r="G2319">
        <v>-2.5602498909565208E-6</v>
      </c>
      <c r="H2319" t="b">
        <v>1</v>
      </c>
    </row>
    <row r="2320" spans="1:8" x14ac:dyDescent="0.15">
      <c r="A2320">
        <v>207</v>
      </c>
      <c r="B2320">
        <v>3</v>
      </c>
      <c r="C2320">
        <v>4562500</v>
      </c>
      <c r="D2320">
        <v>105859755.3066107</v>
      </c>
      <c r="E2320">
        <v>6.1074577330557062E-6</v>
      </c>
      <c r="F2320">
        <v>4.5919242072455094E-6</v>
      </c>
      <c r="G2320">
        <v>1.5155335258101979E-6</v>
      </c>
      <c r="H2320" t="b">
        <v>0</v>
      </c>
    </row>
    <row r="2321" spans="1:8" x14ac:dyDescent="0.15">
      <c r="A2321">
        <v>207</v>
      </c>
      <c r="B2321">
        <v>4</v>
      </c>
      <c r="C2321">
        <v>3818750</v>
      </c>
      <c r="D2321">
        <v>-9753628.6875153724</v>
      </c>
      <c r="E2321">
        <v>3.6522849803916069E-6</v>
      </c>
      <c r="F2321">
        <v>4.5919242072455094E-6</v>
      </c>
      <c r="G2321">
        <v>-9.3963922685390118E-7</v>
      </c>
      <c r="H2321" t="b">
        <v>1</v>
      </c>
    </row>
    <row r="2322" spans="1:8" x14ac:dyDescent="0.15">
      <c r="A2322">
        <v>207</v>
      </c>
      <c r="B2322">
        <v>5</v>
      </c>
      <c r="C2322">
        <v>4190625</v>
      </c>
      <c r="D2322">
        <v>6477135.9129521511</v>
      </c>
      <c r="E2322">
        <v>4.7842454450409001E-6</v>
      </c>
      <c r="F2322">
        <v>4.5919242072455094E-6</v>
      </c>
      <c r="G2322">
        <v>1.923212377953916E-7</v>
      </c>
      <c r="H2322" t="b">
        <v>0</v>
      </c>
    </row>
    <row r="2323" spans="1:8" x14ac:dyDescent="0.15">
      <c r="A2323">
        <v>207</v>
      </c>
      <c r="B2323">
        <v>6</v>
      </c>
      <c r="C2323">
        <v>4004687.5</v>
      </c>
      <c r="D2323">
        <v>-7787945.7295983247</v>
      </c>
      <c r="E2323">
        <v>4.192963214058353E-6</v>
      </c>
      <c r="F2323">
        <v>4.5919242072455094E-6</v>
      </c>
      <c r="G2323">
        <v>-3.989609931871555E-7</v>
      </c>
      <c r="H2323" t="b">
        <v>1</v>
      </c>
    </row>
    <row r="2324" spans="1:8" x14ac:dyDescent="0.15">
      <c r="A2324">
        <v>207</v>
      </c>
      <c r="B2324">
        <v>7</v>
      </c>
      <c r="C2324">
        <v>4097656.25</v>
      </c>
      <c r="D2324">
        <v>-2865364.0564581309</v>
      </c>
      <c r="E2324">
        <v>4.4824384551314908E-6</v>
      </c>
      <c r="F2324">
        <v>4.5919242072455094E-6</v>
      </c>
      <c r="G2324">
        <v>-1.094857521140178E-7</v>
      </c>
      <c r="H2324" t="b">
        <v>1</v>
      </c>
    </row>
    <row r="2325" spans="1:8" x14ac:dyDescent="0.15">
      <c r="A2325">
        <v>207</v>
      </c>
      <c r="B2325">
        <v>8</v>
      </c>
      <c r="C2325">
        <v>4144140.625</v>
      </c>
      <c r="D2325">
        <v>1190711.413293581</v>
      </c>
      <c r="E2325">
        <v>4.6318380500508389E-6</v>
      </c>
      <c r="F2325">
        <v>4.5919242072455094E-6</v>
      </c>
      <c r="G2325">
        <v>3.9913842805330397E-8</v>
      </c>
      <c r="H2325" t="b">
        <v>0</v>
      </c>
    </row>
    <row r="2326" spans="1:8" x14ac:dyDescent="0.15">
      <c r="A2326">
        <v>207</v>
      </c>
      <c r="B2326">
        <v>9</v>
      </c>
      <c r="C2326">
        <v>4167382.8125</v>
      </c>
      <c r="D2326">
        <v>3673296.134148702</v>
      </c>
      <c r="E2326">
        <v>4.7076797460067956E-6</v>
      </c>
      <c r="F2326">
        <v>4.5919242072455094E-6</v>
      </c>
      <c r="G2326">
        <v>1.1575553876128699E-7</v>
      </c>
      <c r="H2326" t="b">
        <v>0</v>
      </c>
    </row>
    <row r="2327" spans="1:8" x14ac:dyDescent="0.15">
      <c r="A2327">
        <v>207</v>
      </c>
      <c r="B2327">
        <v>10</v>
      </c>
      <c r="C2327">
        <v>4179003.90625</v>
      </c>
      <c r="D2327">
        <v>5034031.2367038801</v>
      </c>
      <c r="E2327">
        <v>4.7458681281701496E-6</v>
      </c>
      <c r="F2327">
        <v>4.5919242072455094E-6</v>
      </c>
      <c r="G2327">
        <v>1.5394392092464191E-7</v>
      </c>
      <c r="H2327" t="b">
        <v>0</v>
      </c>
    </row>
    <row r="2328" spans="1:8" x14ac:dyDescent="0.15">
      <c r="A2328">
        <v>207</v>
      </c>
      <c r="B2328">
        <v>11</v>
      </c>
      <c r="C2328">
        <v>4173193.359375</v>
      </c>
      <c r="D2328">
        <v>4343483.4308154006</v>
      </c>
      <c r="E2328">
        <v>4.7267504111392327E-6</v>
      </c>
      <c r="F2328">
        <v>4.5919242072455094E-6</v>
      </c>
      <c r="G2328">
        <v>1.348262038937242E-7</v>
      </c>
      <c r="H2328" t="b">
        <v>0</v>
      </c>
    </row>
    <row r="2329" spans="1:8" x14ac:dyDescent="0.15">
      <c r="A2329">
        <v>207</v>
      </c>
      <c r="B2329">
        <v>12</v>
      </c>
      <c r="C2329">
        <v>4170288.0859375</v>
      </c>
      <c r="D2329">
        <v>4005851.7071443601</v>
      </c>
      <c r="E2329">
        <v>4.7172089947728487E-6</v>
      </c>
      <c r="F2329">
        <v>4.5919242072455094E-6</v>
      </c>
      <c r="G2329">
        <v>1.252847875273401E-7</v>
      </c>
      <c r="H2329" t="b">
        <v>0</v>
      </c>
    </row>
    <row r="2330" spans="1:8" x14ac:dyDescent="0.15">
      <c r="A2330">
        <v>207</v>
      </c>
      <c r="B2330">
        <v>13</v>
      </c>
      <c r="C2330">
        <v>4171740.72265625</v>
      </c>
      <c r="D2330">
        <v>4174029.7140213391</v>
      </c>
      <c r="E2330">
        <v>4.7219781386298901E-6</v>
      </c>
      <c r="F2330">
        <v>4.5919242072455094E-6</v>
      </c>
      <c r="G2330">
        <v>1.3005393138438151E-7</v>
      </c>
      <c r="H2330" t="b">
        <v>0</v>
      </c>
    </row>
    <row r="2331" spans="1:8" x14ac:dyDescent="0.15">
      <c r="A2331">
        <v>208</v>
      </c>
      <c r="B2331">
        <v>1</v>
      </c>
      <c r="C2331">
        <v>6050000</v>
      </c>
      <c r="D2331">
        <v>86511789.646049425</v>
      </c>
      <c r="E2331">
        <v>5.8380593997584027E-6</v>
      </c>
      <c r="F2331">
        <v>4.518202920192045E-6</v>
      </c>
      <c r="G2331">
        <v>1.319856479566358E-6</v>
      </c>
      <c r="H2331" t="b">
        <v>0</v>
      </c>
    </row>
    <row r="2332" spans="1:8" x14ac:dyDescent="0.15">
      <c r="A2332">
        <v>208</v>
      </c>
      <c r="B2332">
        <v>2</v>
      </c>
      <c r="C2332">
        <v>3075000</v>
      </c>
      <c r="D2332">
        <v>-551706.28833853721</v>
      </c>
      <c r="E2332">
        <v>4.9135065497096181E-7</v>
      </c>
      <c r="F2332">
        <v>4.518202920192045E-6</v>
      </c>
      <c r="G2332">
        <v>-4.0268522652210844E-6</v>
      </c>
      <c r="H2332" t="b">
        <v>1</v>
      </c>
    </row>
    <row r="2333" spans="1:8" x14ac:dyDescent="0.15">
      <c r="A2333">
        <v>208</v>
      </c>
      <c r="B2333">
        <v>3</v>
      </c>
      <c r="C2333">
        <v>4562500</v>
      </c>
      <c r="D2333">
        <v>-5121577.4147456633</v>
      </c>
      <c r="E2333">
        <v>2.6263054416674199E-6</v>
      </c>
      <c r="F2333">
        <v>4.518202920192045E-6</v>
      </c>
      <c r="G2333">
        <v>-1.8918974785246249E-6</v>
      </c>
      <c r="H2333" t="b">
        <v>1</v>
      </c>
    </row>
    <row r="2334" spans="1:8" x14ac:dyDescent="0.15">
      <c r="A2334">
        <v>208</v>
      </c>
      <c r="B2334">
        <v>4</v>
      </c>
      <c r="C2334">
        <v>5306250</v>
      </c>
      <c r="D2334">
        <v>-8698891.5878094994</v>
      </c>
      <c r="E2334">
        <v>4.0162385581725246E-6</v>
      </c>
      <c r="F2334">
        <v>4.518202920192045E-6</v>
      </c>
      <c r="G2334">
        <v>-5.0196436201951958E-7</v>
      </c>
      <c r="H2334" t="b">
        <v>1</v>
      </c>
    </row>
    <row r="2335" spans="1:8" x14ac:dyDescent="0.15">
      <c r="A2335">
        <v>208</v>
      </c>
      <c r="B2335">
        <v>5</v>
      </c>
      <c r="C2335">
        <v>5678125</v>
      </c>
      <c r="D2335">
        <v>13800560.86676033</v>
      </c>
      <c r="E2335">
        <v>4.8774225321617647E-6</v>
      </c>
      <c r="F2335">
        <v>4.518202920192045E-6</v>
      </c>
      <c r="G2335">
        <v>3.5921961196971972E-7</v>
      </c>
      <c r="H2335" t="b">
        <v>0</v>
      </c>
    </row>
    <row r="2336" spans="1:8" x14ac:dyDescent="0.15">
      <c r="A2336">
        <v>208</v>
      </c>
      <c r="B2336">
        <v>6</v>
      </c>
      <c r="C2336">
        <v>5492187.5</v>
      </c>
      <c r="D2336">
        <v>-2268131.9409671328</v>
      </c>
      <c r="E2336">
        <v>4.4338070247824499E-6</v>
      </c>
      <c r="F2336">
        <v>4.518202920192045E-6</v>
      </c>
      <c r="G2336">
        <v>-8.439589540959509E-8</v>
      </c>
      <c r="H2336" t="b">
        <v>1</v>
      </c>
    </row>
    <row r="2337" spans="1:8" x14ac:dyDescent="0.15">
      <c r="A2337">
        <v>208</v>
      </c>
      <c r="B2337">
        <v>7</v>
      </c>
      <c r="C2337">
        <v>5585156.25</v>
      </c>
      <c r="D2337">
        <v>4355767.4619983193</v>
      </c>
      <c r="E2337">
        <v>4.6524388790006071E-6</v>
      </c>
      <c r="F2337">
        <v>4.518202920192045E-6</v>
      </c>
      <c r="G2337">
        <v>1.3423595880856211E-7</v>
      </c>
      <c r="H2337" t="b">
        <v>0</v>
      </c>
    </row>
    <row r="2338" spans="1:8" x14ac:dyDescent="0.15">
      <c r="A2338">
        <v>208</v>
      </c>
      <c r="B2338">
        <v>8</v>
      </c>
      <c r="C2338">
        <v>5631640.625</v>
      </c>
      <c r="D2338">
        <v>8702813.6821099855</v>
      </c>
      <c r="E2338">
        <v>4.7641409643256551E-6</v>
      </c>
      <c r="F2338">
        <v>4.518202920192045E-6</v>
      </c>
      <c r="G2338">
        <v>2.4593804413361012E-7</v>
      </c>
      <c r="H2338" t="b">
        <v>0</v>
      </c>
    </row>
    <row r="2339" spans="1:8" x14ac:dyDescent="0.15">
      <c r="A2339">
        <v>208</v>
      </c>
      <c r="B2339">
        <v>9</v>
      </c>
      <c r="C2339">
        <v>5608398.4375</v>
      </c>
      <c r="D2339">
        <v>6438221.5453238711</v>
      </c>
      <c r="E2339">
        <v>4.7080912564657956E-6</v>
      </c>
      <c r="F2339">
        <v>4.518202920192045E-6</v>
      </c>
      <c r="G2339">
        <v>1.8988833627375061E-7</v>
      </c>
      <c r="H2339" t="b">
        <v>0</v>
      </c>
    </row>
    <row r="2340" spans="1:8" x14ac:dyDescent="0.15">
      <c r="A2340">
        <v>208</v>
      </c>
      <c r="B2340">
        <v>10</v>
      </c>
      <c r="C2340">
        <v>5596777.34375</v>
      </c>
      <c r="D2340">
        <v>5374583.2602204224</v>
      </c>
      <c r="E2340">
        <v>4.6802153803227543E-6</v>
      </c>
      <c r="F2340">
        <v>4.518202920192045E-6</v>
      </c>
      <c r="G2340">
        <v>1.6201246013070921E-7</v>
      </c>
      <c r="H2340" t="b">
        <v>0</v>
      </c>
    </row>
    <row r="2341" spans="1:8" x14ac:dyDescent="0.15">
      <c r="A2341">
        <v>208</v>
      </c>
      <c r="B2341">
        <v>11</v>
      </c>
      <c r="C2341">
        <v>5602587.890625</v>
      </c>
      <c r="D2341">
        <v>5900758.2906662039</v>
      </c>
      <c r="E2341">
        <v>4.6941409859895102E-6</v>
      </c>
      <c r="F2341">
        <v>4.518202920192045E-6</v>
      </c>
      <c r="G2341">
        <v>1.7593806579746521E-7</v>
      </c>
      <c r="H2341" t="b">
        <v>0</v>
      </c>
    </row>
    <row r="2342" spans="1:8" x14ac:dyDescent="0.15">
      <c r="A2342">
        <v>208</v>
      </c>
      <c r="B2342">
        <v>12</v>
      </c>
      <c r="C2342">
        <v>5599682.6171875</v>
      </c>
      <c r="D2342">
        <v>5636258.2334838547</v>
      </c>
      <c r="E2342">
        <v>4.6871749131914986E-6</v>
      </c>
      <c r="F2342">
        <v>4.518202920192045E-6</v>
      </c>
      <c r="G2342">
        <v>1.689719929994536E-7</v>
      </c>
      <c r="H2342" t="b">
        <v>0</v>
      </c>
    </row>
    <row r="2343" spans="1:8" x14ac:dyDescent="0.15">
      <c r="A2343">
        <v>209</v>
      </c>
      <c r="B2343">
        <v>1</v>
      </c>
      <c r="C2343">
        <v>6050000</v>
      </c>
      <c r="D2343">
        <v>92174631.248621121</v>
      </c>
      <c r="E2343">
        <v>5.8917059707563794E-6</v>
      </c>
      <c r="F2343">
        <v>4.518202920192045E-6</v>
      </c>
      <c r="G2343">
        <v>1.3735030505643339E-6</v>
      </c>
      <c r="H2343" t="b">
        <v>0</v>
      </c>
    </row>
    <row r="2344" spans="1:8" x14ac:dyDescent="0.15">
      <c r="A2344">
        <v>209</v>
      </c>
      <c r="B2344">
        <v>2</v>
      </c>
      <c r="C2344">
        <v>3075000</v>
      </c>
      <c r="D2344">
        <v>-561229.49883673259</v>
      </c>
      <c r="E2344">
        <v>5.1060232109237136E-7</v>
      </c>
      <c r="F2344">
        <v>4.518202920192045E-6</v>
      </c>
      <c r="G2344">
        <v>-4.0076005990996726E-6</v>
      </c>
      <c r="H2344" t="b">
        <v>1</v>
      </c>
    </row>
    <row r="2345" spans="1:8" x14ac:dyDescent="0.15">
      <c r="A2345">
        <v>209</v>
      </c>
      <c r="B2345">
        <v>3</v>
      </c>
      <c r="C2345">
        <v>4562500</v>
      </c>
      <c r="D2345">
        <v>-5236978.2623633817</v>
      </c>
      <c r="E2345">
        <v>2.6493346204733089E-6</v>
      </c>
      <c r="F2345">
        <v>4.518202920192045E-6</v>
      </c>
      <c r="G2345">
        <v>-1.8688682997187359E-6</v>
      </c>
      <c r="H2345" t="b">
        <v>1</v>
      </c>
    </row>
    <row r="2346" spans="1:8" x14ac:dyDescent="0.15">
      <c r="A2346">
        <v>209</v>
      </c>
      <c r="B2346">
        <v>4</v>
      </c>
      <c r="C2346">
        <v>5306250</v>
      </c>
      <c r="D2346">
        <v>-8397470.4912279043</v>
      </c>
      <c r="E2346">
        <v>4.0538365917461017E-6</v>
      </c>
      <c r="F2346">
        <v>4.518202920192045E-6</v>
      </c>
      <c r="G2346">
        <v>-4.6436632844594341E-7</v>
      </c>
      <c r="H2346" t="b">
        <v>1</v>
      </c>
    </row>
    <row r="2347" spans="1:8" x14ac:dyDescent="0.15">
      <c r="A2347">
        <v>209</v>
      </c>
      <c r="B2347">
        <v>5</v>
      </c>
      <c r="C2347">
        <v>5678125</v>
      </c>
      <c r="D2347">
        <v>16049481.214221871</v>
      </c>
      <c r="E2347">
        <v>4.922972683674911E-6</v>
      </c>
      <c r="F2347">
        <v>4.518202920192045E-6</v>
      </c>
      <c r="G2347">
        <v>4.0476976348286599E-7</v>
      </c>
      <c r="H2347" t="b">
        <v>0</v>
      </c>
    </row>
    <row r="2348" spans="1:8" x14ac:dyDescent="0.15">
      <c r="A2348">
        <v>209</v>
      </c>
      <c r="B2348">
        <v>6</v>
      </c>
      <c r="C2348">
        <v>5492187.5</v>
      </c>
      <c r="D2348">
        <v>-1196656.0253383419</v>
      </c>
      <c r="E2348">
        <v>4.4753330527857944E-6</v>
      </c>
      <c r="F2348">
        <v>4.518202920192045E-6</v>
      </c>
      <c r="G2348">
        <v>-4.2869867406251507E-8</v>
      </c>
      <c r="H2348" t="b">
        <v>1</v>
      </c>
    </row>
    <row r="2349" spans="1:8" x14ac:dyDescent="0.15">
      <c r="A2349">
        <v>209</v>
      </c>
      <c r="B2349">
        <v>7</v>
      </c>
      <c r="C2349">
        <v>5585156.25</v>
      </c>
      <c r="D2349">
        <v>5970042.6517219013</v>
      </c>
      <c r="E2349">
        <v>4.6959545478135074E-6</v>
      </c>
      <c r="F2349">
        <v>4.518202920192045E-6</v>
      </c>
      <c r="G2349">
        <v>1.7775162762146149E-7</v>
      </c>
      <c r="H2349" t="b">
        <v>0</v>
      </c>
    </row>
    <row r="2350" spans="1:8" x14ac:dyDescent="0.15">
      <c r="A2350">
        <v>209</v>
      </c>
      <c r="B2350">
        <v>8</v>
      </c>
      <c r="C2350">
        <v>5538671.875</v>
      </c>
      <c r="D2350">
        <v>2045466.48370897</v>
      </c>
      <c r="E2350">
        <v>4.5848335626207338E-6</v>
      </c>
      <c r="F2350">
        <v>4.518202920192045E-6</v>
      </c>
      <c r="G2350">
        <v>6.6630642428688782E-8</v>
      </c>
      <c r="H2350" t="b">
        <v>0</v>
      </c>
    </row>
    <row r="2351" spans="1:8" x14ac:dyDescent="0.15">
      <c r="A2351">
        <v>209</v>
      </c>
      <c r="B2351">
        <v>9</v>
      </c>
      <c r="C2351">
        <v>5561914.0625</v>
      </c>
      <c r="D2351">
        <v>3919523.924007467</v>
      </c>
      <c r="E2351">
        <v>4.64019262990536E-6</v>
      </c>
      <c r="F2351">
        <v>4.518202920192045E-6</v>
      </c>
      <c r="G2351">
        <v>1.219897097133149E-7</v>
      </c>
      <c r="H2351" t="b">
        <v>0</v>
      </c>
    </row>
    <row r="2352" spans="1:8" x14ac:dyDescent="0.15">
      <c r="A2352">
        <v>209</v>
      </c>
      <c r="B2352">
        <v>10</v>
      </c>
      <c r="C2352">
        <v>5573535.15625</v>
      </c>
      <c r="D2352">
        <v>4922359.1816359442</v>
      </c>
      <c r="E2352">
        <v>4.6680232154227822E-6</v>
      </c>
      <c r="F2352">
        <v>4.518202920192045E-6</v>
      </c>
      <c r="G2352">
        <v>1.4982029523073711E-7</v>
      </c>
      <c r="H2352" t="b">
        <v>0</v>
      </c>
    </row>
    <row r="2353" spans="1:8" x14ac:dyDescent="0.15">
      <c r="A2353">
        <v>209</v>
      </c>
      <c r="B2353">
        <v>11</v>
      </c>
      <c r="C2353">
        <v>5579345.703125</v>
      </c>
      <c r="D2353">
        <v>5440554.5365737304</v>
      </c>
      <c r="E2353">
        <v>4.6819764260902158E-6</v>
      </c>
      <c r="F2353">
        <v>4.518202920192045E-6</v>
      </c>
      <c r="G2353">
        <v>1.6377350589817079E-7</v>
      </c>
      <c r="H2353" t="b">
        <v>0</v>
      </c>
    </row>
    <row r="2354" spans="1:8" x14ac:dyDescent="0.15">
      <c r="A2354">
        <v>209</v>
      </c>
      <c r="B2354">
        <v>12</v>
      </c>
      <c r="C2354">
        <v>5582250.9765625</v>
      </c>
      <c r="D2354">
        <v>5703874.5909690643</v>
      </c>
      <c r="E2354">
        <v>4.6889621943636416E-6</v>
      </c>
      <c r="F2354">
        <v>4.518202920192045E-6</v>
      </c>
      <c r="G2354">
        <v>1.707592741715974E-7</v>
      </c>
      <c r="H2354" t="b">
        <v>0</v>
      </c>
    </row>
    <row r="2355" spans="1:8" x14ac:dyDescent="0.15">
      <c r="A2355">
        <v>209</v>
      </c>
      <c r="B2355">
        <v>13</v>
      </c>
      <c r="C2355">
        <v>5580798.33984375</v>
      </c>
      <c r="D2355">
        <v>5571857.7715575173</v>
      </c>
      <c r="E2355">
        <v>4.6854684467396084E-6</v>
      </c>
      <c r="F2355">
        <v>4.518202920192045E-6</v>
      </c>
      <c r="G2355">
        <v>1.672655265475633E-7</v>
      </c>
      <c r="H2355" t="b">
        <v>0</v>
      </c>
    </row>
    <row r="2356" spans="1:8" x14ac:dyDescent="0.15">
      <c r="A2356">
        <v>210</v>
      </c>
      <c r="B2356">
        <v>1</v>
      </c>
      <c r="C2356">
        <v>6050000</v>
      </c>
      <c r="D2356">
        <v>33257903309.81234</v>
      </c>
      <c r="E2356">
        <v>5.9460583521916052E-5</v>
      </c>
      <c r="F2356">
        <v>4.5182029201920416E-6</v>
      </c>
      <c r="G2356">
        <v>5.4942380601724003E-5</v>
      </c>
      <c r="H2356" t="b">
        <v>0</v>
      </c>
    </row>
    <row r="2357" spans="1:8" x14ac:dyDescent="0.15">
      <c r="A2357">
        <v>210</v>
      </c>
      <c r="B2357">
        <v>2</v>
      </c>
      <c r="C2357">
        <v>3075000</v>
      </c>
      <c r="D2357">
        <v>2240874.90016681</v>
      </c>
      <c r="E2357">
        <v>4.590833629434168E-6</v>
      </c>
      <c r="F2357">
        <v>4.518202920192045E-6</v>
      </c>
      <c r="G2357">
        <v>7.2630709242122952E-8</v>
      </c>
      <c r="H2357" t="b">
        <v>0</v>
      </c>
    </row>
    <row r="2358" spans="1:8" x14ac:dyDescent="0.15">
      <c r="A2358">
        <v>210</v>
      </c>
      <c r="B2358">
        <v>3</v>
      </c>
      <c r="C2358">
        <v>4562500</v>
      </c>
      <c r="D2358">
        <v>3712004786.0042291</v>
      </c>
      <c r="E2358">
        <v>1.6054317107784061E-5</v>
      </c>
      <c r="F2358">
        <v>4.5182029201920459E-6</v>
      </c>
      <c r="G2358">
        <v>1.153611418759201E-5</v>
      </c>
      <c r="H2358" t="b">
        <v>0</v>
      </c>
    </row>
    <row r="2359" spans="1:8" x14ac:dyDescent="0.15">
      <c r="A2359">
        <v>210</v>
      </c>
      <c r="B2359">
        <v>4</v>
      </c>
      <c r="C2359">
        <v>3818750</v>
      </c>
      <c r="D2359">
        <v>589033708.19183612</v>
      </c>
      <c r="E2359">
        <v>8.5608675408811464E-6</v>
      </c>
      <c r="F2359">
        <v>4.518202920192045E-6</v>
      </c>
      <c r="G2359">
        <v>4.0426646206891014E-6</v>
      </c>
      <c r="H2359" t="b">
        <v>0</v>
      </c>
    </row>
    <row r="2360" spans="1:8" x14ac:dyDescent="0.15">
      <c r="A2360">
        <v>210</v>
      </c>
      <c r="B2360">
        <v>5</v>
      </c>
      <c r="C2360">
        <v>3446875</v>
      </c>
      <c r="D2360">
        <v>156675516.05378881</v>
      </c>
      <c r="E2360">
        <v>6.4166442064507106E-6</v>
      </c>
      <c r="F2360">
        <v>4.518202920192045E-6</v>
      </c>
      <c r="G2360">
        <v>1.898441286258666E-6</v>
      </c>
      <c r="H2360" t="b">
        <v>0</v>
      </c>
    </row>
    <row r="2361" spans="1:8" x14ac:dyDescent="0.15">
      <c r="A2361">
        <v>210</v>
      </c>
      <c r="B2361">
        <v>6</v>
      </c>
      <c r="C2361">
        <v>3260937.5</v>
      </c>
      <c r="D2361">
        <v>51475208.676299743</v>
      </c>
      <c r="E2361">
        <v>5.4601719800220977E-6</v>
      </c>
      <c r="F2361">
        <v>4.518202920192045E-6</v>
      </c>
      <c r="G2361">
        <v>9.4196905983005262E-7</v>
      </c>
      <c r="H2361" t="b">
        <v>0</v>
      </c>
    </row>
    <row r="2362" spans="1:8" x14ac:dyDescent="0.15">
      <c r="A2362">
        <v>210</v>
      </c>
      <c r="B2362">
        <v>7</v>
      </c>
      <c r="C2362">
        <v>3167968.75</v>
      </c>
      <c r="D2362">
        <v>20902884.748728398</v>
      </c>
      <c r="E2362">
        <v>5.0142183035650661E-6</v>
      </c>
      <c r="F2362">
        <v>4.518202920192045E-6</v>
      </c>
      <c r="G2362">
        <v>4.9601538337302103E-7</v>
      </c>
      <c r="H2362" t="b">
        <v>0</v>
      </c>
    </row>
    <row r="2363" spans="1:8" x14ac:dyDescent="0.15">
      <c r="A2363">
        <v>210</v>
      </c>
      <c r="B2363">
        <v>8</v>
      </c>
      <c r="C2363">
        <v>3121484.375</v>
      </c>
      <c r="D2363">
        <v>10228525.04970458</v>
      </c>
      <c r="E2363">
        <v>4.799723454107185E-6</v>
      </c>
      <c r="F2363">
        <v>4.518202920192045E-6</v>
      </c>
      <c r="G2363">
        <v>2.8152053391513993E-7</v>
      </c>
      <c r="H2363" t="b">
        <v>0</v>
      </c>
    </row>
    <row r="2364" spans="1:8" x14ac:dyDescent="0.15">
      <c r="A2364">
        <v>210</v>
      </c>
      <c r="B2364">
        <v>9</v>
      </c>
      <c r="C2364">
        <v>3098242.1875</v>
      </c>
      <c r="D2364">
        <v>5916551.8316660551</v>
      </c>
      <c r="E2364">
        <v>4.694554795733652E-6</v>
      </c>
      <c r="F2364">
        <v>4.518202920192045E-6</v>
      </c>
      <c r="G2364">
        <v>1.7635187554160699E-7</v>
      </c>
      <c r="H2364" t="b">
        <v>0</v>
      </c>
    </row>
    <row r="2365" spans="1:8" x14ac:dyDescent="0.15">
      <c r="A2365">
        <v>210</v>
      </c>
      <c r="B2365">
        <v>10</v>
      </c>
      <c r="C2365">
        <v>3086621.09375</v>
      </c>
      <c r="D2365">
        <v>4001483.516912655</v>
      </c>
      <c r="E2365">
        <v>4.6425104007815476E-6</v>
      </c>
      <c r="F2365">
        <v>4.518202920192045E-6</v>
      </c>
      <c r="G2365">
        <v>1.2430748058950261E-7</v>
      </c>
      <c r="H2365" t="b">
        <v>0</v>
      </c>
    </row>
    <row r="2366" spans="1:8" x14ac:dyDescent="0.15">
      <c r="A2366">
        <v>210</v>
      </c>
      <c r="B2366">
        <v>11</v>
      </c>
      <c r="C2366">
        <v>3080810.546875</v>
      </c>
      <c r="D2366">
        <v>3102173.4337624079</v>
      </c>
      <c r="E2366">
        <v>4.6166259228747248E-6</v>
      </c>
      <c r="F2366">
        <v>4.518202920192045E-6</v>
      </c>
      <c r="G2366">
        <v>9.8423002682679744E-8</v>
      </c>
      <c r="H2366" t="b">
        <v>0</v>
      </c>
    </row>
    <row r="2367" spans="1:8" x14ac:dyDescent="0.15">
      <c r="A2367">
        <v>211</v>
      </c>
      <c r="B2367">
        <v>1</v>
      </c>
      <c r="C2367">
        <v>6050000</v>
      </c>
      <c r="D2367">
        <v>1178726342.557137</v>
      </c>
      <c r="E2367">
        <v>1.035747257707847E-5</v>
      </c>
      <c r="F2367">
        <v>4.4820429169196447E-6</v>
      </c>
      <c r="G2367">
        <v>5.875429660158829E-6</v>
      </c>
      <c r="H2367" t="b">
        <v>0</v>
      </c>
    </row>
    <row r="2368" spans="1:8" x14ac:dyDescent="0.15">
      <c r="A2368">
        <v>211</v>
      </c>
      <c r="B2368">
        <v>2</v>
      </c>
      <c r="C2368">
        <v>3075000</v>
      </c>
      <c r="D2368">
        <v>-1762558.2728778031</v>
      </c>
      <c r="E2368">
        <v>1.6284828467509389E-6</v>
      </c>
      <c r="F2368">
        <v>4.4820429169196447E-6</v>
      </c>
      <c r="G2368">
        <v>-2.853560070168706E-6</v>
      </c>
      <c r="H2368" t="b">
        <v>1</v>
      </c>
    </row>
    <row r="2369" spans="1:8" x14ac:dyDescent="0.15">
      <c r="A2369">
        <v>211</v>
      </c>
      <c r="B2369">
        <v>3</v>
      </c>
      <c r="C2369">
        <v>4562500</v>
      </c>
      <c r="D2369">
        <v>11221201.440295961</v>
      </c>
      <c r="E2369">
        <v>4.7846382789179424E-6</v>
      </c>
      <c r="F2369">
        <v>4.4820429169196447E-6</v>
      </c>
      <c r="G2369">
        <v>3.0259536199829681E-7</v>
      </c>
      <c r="H2369" t="b">
        <v>0</v>
      </c>
    </row>
    <row r="2370" spans="1:8" x14ac:dyDescent="0.15">
      <c r="A2370">
        <v>211</v>
      </c>
      <c r="B2370">
        <v>4</v>
      </c>
      <c r="C2370">
        <v>3818750</v>
      </c>
      <c r="D2370">
        <v>-6498100.407064653</v>
      </c>
      <c r="E2370">
        <v>2.8691967960061709E-6</v>
      </c>
      <c r="F2370">
        <v>4.4820429169196447E-6</v>
      </c>
      <c r="G2370">
        <v>-1.612846120913473E-6</v>
      </c>
      <c r="H2370" t="b">
        <v>1</v>
      </c>
    </row>
    <row r="2371" spans="1:8" x14ac:dyDescent="0.15">
      <c r="A2371">
        <v>211</v>
      </c>
      <c r="B2371">
        <v>5</v>
      </c>
      <c r="C2371">
        <v>4190625</v>
      </c>
      <c r="D2371">
        <v>-9655692.5276617184</v>
      </c>
      <c r="E2371">
        <v>3.7398505362039479E-6</v>
      </c>
      <c r="F2371">
        <v>4.4820429169196447E-6</v>
      </c>
      <c r="G2371">
        <v>-7.4219238071569642E-7</v>
      </c>
      <c r="H2371" t="b">
        <v>1</v>
      </c>
    </row>
    <row r="2372" spans="1:8" x14ac:dyDescent="0.15">
      <c r="A2372">
        <v>211</v>
      </c>
      <c r="B2372">
        <v>6</v>
      </c>
      <c r="C2372">
        <v>4376562.5</v>
      </c>
      <c r="D2372">
        <v>-5549279.9697721414</v>
      </c>
      <c r="E2372">
        <v>4.2413932806369111E-6</v>
      </c>
      <c r="F2372">
        <v>4.4820429169196447E-6</v>
      </c>
      <c r="G2372">
        <v>-2.4064963628273359E-7</v>
      </c>
      <c r="H2372" t="b">
        <v>1</v>
      </c>
    </row>
    <row r="2373" spans="1:8" x14ac:dyDescent="0.15">
      <c r="A2373">
        <v>211</v>
      </c>
      <c r="B2373">
        <v>7</v>
      </c>
      <c r="C2373">
        <v>4469531.25</v>
      </c>
      <c r="D2373">
        <v>769126.60964696854</v>
      </c>
      <c r="E2373">
        <v>4.5079056682801319E-6</v>
      </c>
      <c r="F2373">
        <v>4.4820429169196447E-6</v>
      </c>
      <c r="G2373">
        <v>2.5862751360487188E-8</v>
      </c>
      <c r="H2373" t="b">
        <v>0</v>
      </c>
    </row>
    <row r="2374" spans="1:8" x14ac:dyDescent="0.15">
      <c r="A2374">
        <v>211</v>
      </c>
      <c r="B2374">
        <v>8</v>
      </c>
      <c r="C2374">
        <v>4516015.625</v>
      </c>
      <c r="D2374">
        <v>5432165.6389016863</v>
      </c>
      <c r="E2374">
        <v>4.6450108266774956E-6</v>
      </c>
      <c r="F2374">
        <v>4.4820429169196447E-6</v>
      </c>
      <c r="G2374">
        <v>1.629679097578517E-7</v>
      </c>
      <c r="H2374" t="b">
        <v>0</v>
      </c>
    </row>
    <row r="2375" spans="1:8" x14ac:dyDescent="0.15">
      <c r="A2375">
        <v>211</v>
      </c>
      <c r="B2375">
        <v>9</v>
      </c>
      <c r="C2375">
        <v>4492773.4375</v>
      </c>
      <c r="D2375">
        <v>2965554.1577841719</v>
      </c>
      <c r="E2375">
        <v>4.5761409063919307E-6</v>
      </c>
      <c r="F2375">
        <v>4.4820429169196447E-6</v>
      </c>
      <c r="G2375">
        <v>9.409798947228597E-8</v>
      </c>
      <c r="H2375" t="b">
        <v>0</v>
      </c>
    </row>
    <row r="2376" spans="1:8" x14ac:dyDescent="0.15">
      <c r="A2376">
        <v>211</v>
      </c>
      <c r="B2376">
        <v>10</v>
      </c>
      <c r="C2376">
        <v>4504394.53125</v>
      </c>
      <c r="D2376">
        <v>4164377.413078716</v>
      </c>
      <c r="E2376">
        <v>4.6104969487462628E-6</v>
      </c>
      <c r="F2376">
        <v>4.4820429169196447E-6</v>
      </c>
      <c r="G2376">
        <v>1.284540318266181E-7</v>
      </c>
      <c r="H2376" t="b">
        <v>0</v>
      </c>
    </row>
    <row r="2377" spans="1:8" x14ac:dyDescent="0.15">
      <c r="A2377">
        <v>211</v>
      </c>
      <c r="B2377">
        <v>11</v>
      </c>
      <c r="C2377">
        <v>4510205.078125</v>
      </c>
      <c r="D2377">
        <v>4789557.7318672389</v>
      </c>
      <c r="E2377">
        <v>4.6277340656156837E-6</v>
      </c>
      <c r="F2377">
        <v>4.4820429169196447E-6</v>
      </c>
      <c r="G2377">
        <v>1.4569114869603901E-7</v>
      </c>
      <c r="H2377" t="b">
        <v>0</v>
      </c>
    </row>
    <row r="2378" spans="1:8" x14ac:dyDescent="0.15">
      <c r="A2378">
        <v>211</v>
      </c>
      <c r="B2378">
        <v>12</v>
      </c>
      <c r="C2378">
        <v>4507299.8046875</v>
      </c>
      <c r="D2378">
        <v>4474804.0003333641</v>
      </c>
      <c r="E2378">
        <v>4.619110652165609E-6</v>
      </c>
      <c r="F2378">
        <v>4.4820429169196447E-6</v>
      </c>
      <c r="G2378">
        <v>1.370677352459643E-7</v>
      </c>
      <c r="H2378" t="b">
        <v>0</v>
      </c>
    </row>
    <row r="2379" spans="1:8" x14ac:dyDescent="0.15">
      <c r="A2379">
        <v>212</v>
      </c>
      <c r="B2379">
        <v>1</v>
      </c>
      <c r="C2379">
        <v>6050000</v>
      </c>
      <c r="D2379">
        <v>1137856624.744467</v>
      </c>
      <c r="E2379">
        <v>1.0089546581573291E-5</v>
      </c>
      <c r="F2379">
        <v>4.411083909332042E-6</v>
      </c>
      <c r="G2379">
        <v>5.6784626722412427E-6</v>
      </c>
      <c r="H2379" t="b">
        <v>0</v>
      </c>
    </row>
    <row r="2380" spans="1:8" x14ac:dyDescent="0.15">
      <c r="A2380">
        <v>212</v>
      </c>
      <c r="B2380">
        <v>2</v>
      </c>
      <c r="C2380">
        <v>3075000</v>
      </c>
      <c r="D2380">
        <v>-1714606.389574348</v>
      </c>
      <c r="E2380">
        <v>1.57858863056653E-6</v>
      </c>
      <c r="F2380">
        <v>4.411083909332042E-6</v>
      </c>
      <c r="G2380">
        <v>-2.832495278765512E-6</v>
      </c>
      <c r="H2380" t="b">
        <v>1</v>
      </c>
    </row>
    <row r="2381" spans="1:8" x14ac:dyDescent="0.15">
      <c r="A2381">
        <v>212</v>
      </c>
      <c r="B2381">
        <v>3</v>
      </c>
      <c r="C2381">
        <v>4562500</v>
      </c>
      <c r="D2381">
        <v>8374365.2578357439</v>
      </c>
      <c r="E2381">
        <v>4.6464050856626862E-6</v>
      </c>
      <c r="F2381">
        <v>4.411083909332042E-6</v>
      </c>
      <c r="G2381">
        <v>2.353211763306442E-7</v>
      </c>
      <c r="H2381" t="b">
        <v>0</v>
      </c>
    </row>
    <row r="2382" spans="1:8" x14ac:dyDescent="0.15">
      <c r="A2382">
        <v>212</v>
      </c>
      <c r="B2382">
        <v>4</v>
      </c>
      <c r="C2382">
        <v>3818750</v>
      </c>
      <c r="D2382">
        <v>-6251797.0271707559</v>
      </c>
      <c r="E2382">
        <v>2.7877995967973138E-6</v>
      </c>
      <c r="F2382">
        <v>4.411083909332042E-6</v>
      </c>
      <c r="G2382">
        <v>-1.6232843125347279E-6</v>
      </c>
      <c r="H2382" t="b">
        <v>1</v>
      </c>
    </row>
    <row r="2383" spans="1:8" x14ac:dyDescent="0.15">
      <c r="A2383">
        <v>212</v>
      </c>
      <c r="B2383">
        <v>5</v>
      </c>
      <c r="C2383">
        <v>4190625</v>
      </c>
      <c r="D2383">
        <v>-9586200.1556877494</v>
      </c>
      <c r="E2383">
        <v>3.6313390596405951E-6</v>
      </c>
      <c r="F2383">
        <v>4.411083909332042E-6</v>
      </c>
      <c r="G2383">
        <v>-7.7974484969144727E-7</v>
      </c>
      <c r="H2383" t="b">
        <v>1</v>
      </c>
    </row>
    <row r="2384" spans="1:8" x14ac:dyDescent="0.15">
      <c r="A2384">
        <v>212</v>
      </c>
      <c r="B2384">
        <v>6</v>
      </c>
      <c r="C2384">
        <v>4376562.5</v>
      </c>
      <c r="D2384">
        <v>-6382872.4359767567</v>
      </c>
      <c r="E2384">
        <v>4.1182943078965943E-6</v>
      </c>
      <c r="F2384">
        <v>4.411083909332042E-6</v>
      </c>
      <c r="G2384">
        <v>-2.9278960143544852E-7</v>
      </c>
      <c r="H2384" t="b">
        <v>1</v>
      </c>
    </row>
    <row r="2385" spans="1:8" x14ac:dyDescent="0.15">
      <c r="A2385">
        <v>212</v>
      </c>
      <c r="B2385">
        <v>7</v>
      </c>
      <c r="C2385">
        <v>4469531.25</v>
      </c>
      <c r="D2385">
        <v>-956798.59138617199</v>
      </c>
      <c r="E2385">
        <v>4.3773123497176548E-6</v>
      </c>
      <c r="F2385">
        <v>4.411083909332042E-6</v>
      </c>
      <c r="G2385">
        <v>-3.3771559614387151E-8</v>
      </c>
      <c r="H2385" t="b">
        <v>1</v>
      </c>
    </row>
    <row r="2386" spans="1:8" x14ac:dyDescent="0.15">
      <c r="A2386">
        <v>212</v>
      </c>
      <c r="B2386">
        <v>8</v>
      </c>
      <c r="C2386">
        <v>4516015.625</v>
      </c>
      <c r="D2386">
        <v>3172714.0351429768</v>
      </c>
      <c r="E2386">
        <v>4.5106124941335206E-6</v>
      </c>
      <c r="F2386">
        <v>4.411083909332042E-6</v>
      </c>
      <c r="G2386">
        <v>9.9528584801479506E-8</v>
      </c>
      <c r="H2386" t="b">
        <v>0</v>
      </c>
    </row>
    <row r="2387" spans="1:8" x14ac:dyDescent="0.15">
      <c r="A2387">
        <v>212</v>
      </c>
      <c r="B2387">
        <v>9</v>
      </c>
      <c r="C2387">
        <v>4539257.8125</v>
      </c>
      <c r="D2387">
        <v>5633849.8338905238</v>
      </c>
      <c r="E2387">
        <v>4.5781992764945554E-6</v>
      </c>
      <c r="F2387">
        <v>4.411083909332042E-6</v>
      </c>
      <c r="G2387">
        <v>1.6711536716251339E-7</v>
      </c>
      <c r="H2387" t="b">
        <v>0</v>
      </c>
    </row>
    <row r="2388" spans="1:8" x14ac:dyDescent="0.15">
      <c r="A2388">
        <v>212</v>
      </c>
      <c r="B2388">
        <v>10</v>
      </c>
      <c r="C2388">
        <v>4527636.71875</v>
      </c>
      <c r="D2388">
        <v>4369054.2264056699</v>
      </c>
      <c r="E2388">
        <v>4.5443280740189048E-6</v>
      </c>
      <c r="F2388">
        <v>4.411083909332042E-6</v>
      </c>
      <c r="G2388">
        <v>1.3324416468686281E-7</v>
      </c>
      <c r="H2388" t="b">
        <v>0</v>
      </c>
    </row>
    <row r="2389" spans="1:8" x14ac:dyDescent="0.15">
      <c r="A2389">
        <v>212</v>
      </c>
      <c r="B2389">
        <v>11</v>
      </c>
      <c r="C2389">
        <v>4533447.265625</v>
      </c>
      <c r="D2389">
        <v>4992811.3741359757</v>
      </c>
      <c r="E2389">
        <v>4.5612443759304464E-6</v>
      </c>
      <c r="F2389">
        <v>4.411083909332042E-6</v>
      </c>
      <c r="G2389">
        <v>1.5016046659840359E-7</v>
      </c>
      <c r="H2389" t="b">
        <v>0</v>
      </c>
    </row>
    <row r="2390" spans="1:8" x14ac:dyDescent="0.15">
      <c r="A2390">
        <v>212</v>
      </c>
      <c r="B2390">
        <v>12</v>
      </c>
      <c r="C2390">
        <v>4530541.9921875</v>
      </c>
      <c r="D2390">
        <v>4678779.8134450577</v>
      </c>
      <c r="E2390">
        <v>4.5527812935474582E-6</v>
      </c>
      <c r="F2390">
        <v>4.411083909332042E-6</v>
      </c>
      <c r="G2390">
        <v>1.4169738421541619E-7</v>
      </c>
      <c r="H2390" t="b">
        <v>0</v>
      </c>
    </row>
    <row r="2391" spans="1:8" x14ac:dyDescent="0.15">
      <c r="A2391">
        <v>212</v>
      </c>
      <c r="B2391">
        <v>13</v>
      </c>
      <c r="C2391">
        <v>4529089.35546875</v>
      </c>
      <c r="D2391">
        <v>4523380.9181830743</v>
      </c>
      <c r="E2391">
        <v>4.5485534710139848E-6</v>
      </c>
      <c r="F2391">
        <v>4.411083909332042E-6</v>
      </c>
      <c r="G2391">
        <v>1.3746956168194281E-7</v>
      </c>
      <c r="H2391" t="b">
        <v>0</v>
      </c>
    </row>
    <row r="2392" spans="1:8" x14ac:dyDescent="0.15">
      <c r="A2392">
        <v>213</v>
      </c>
      <c r="B2392">
        <v>1</v>
      </c>
      <c r="C2392">
        <v>6050000</v>
      </c>
      <c r="D2392">
        <v>15062411299.74534</v>
      </c>
      <c r="E2392">
        <v>2.384968857735104E-5</v>
      </c>
      <c r="F2392">
        <v>3.188142521260751E-6</v>
      </c>
      <c r="G2392">
        <v>2.0661546056090289E-5</v>
      </c>
      <c r="H2392" t="b">
        <v>0</v>
      </c>
    </row>
    <row r="2393" spans="1:8" x14ac:dyDescent="0.15">
      <c r="A2393">
        <v>213</v>
      </c>
      <c r="B2393">
        <v>2</v>
      </c>
      <c r="C2393">
        <v>3075000</v>
      </c>
      <c r="D2393">
        <v>-6945150.4120986136</v>
      </c>
      <c r="E2393">
        <v>2.3045885963059632E-6</v>
      </c>
      <c r="F2393">
        <v>3.188142521260751E-6</v>
      </c>
      <c r="G2393">
        <v>-8.8355392495478744E-7</v>
      </c>
      <c r="H2393" t="b">
        <v>1</v>
      </c>
    </row>
    <row r="2394" spans="1:8" x14ac:dyDescent="0.15">
      <c r="A2394">
        <v>213</v>
      </c>
      <c r="B2394">
        <v>3</v>
      </c>
      <c r="C2394">
        <v>4562500</v>
      </c>
      <c r="D2394">
        <v>1092385517.373347</v>
      </c>
      <c r="E2394">
        <v>7.3125455488883888E-6</v>
      </c>
      <c r="F2394">
        <v>3.1881425212607502E-6</v>
      </c>
      <c r="G2394">
        <v>4.1244030276276386E-6</v>
      </c>
      <c r="H2394" t="b">
        <v>0</v>
      </c>
    </row>
    <row r="2395" spans="1:8" x14ac:dyDescent="0.15">
      <c r="A2395">
        <v>213</v>
      </c>
      <c r="B2395">
        <v>4</v>
      </c>
      <c r="C2395">
        <v>3818750</v>
      </c>
      <c r="D2395">
        <v>111369131.67304049</v>
      </c>
      <c r="E2395">
        <v>4.3764300313875086E-6</v>
      </c>
      <c r="F2395">
        <v>3.188142521260751E-6</v>
      </c>
      <c r="G2395">
        <v>1.188287510126759E-6</v>
      </c>
      <c r="H2395" t="b">
        <v>0</v>
      </c>
    </row>
    <row r="2396" spans="1:8" x14ac:dyDescent="0.15">
      <c r="A2396">
        <v>213</v>
      </c>
      <c r="B2396">
        <v>5</v>
      </c>
      <c r="C2396">
        <v>3446875</v>
      </c>
      <c r="D2396">
        <v>1060770.160484524</v>
      </c>
      <c r="E2396">
        <v>3.2201661355021878E-6</v>
      </c>
      <c r="F2396">
        <v>3.188142521260751E-6</v>
      </c>
      <c r="G2396">
        <v>3.2023614241437178E-8</v>
      </c>
      <c r="H2396" t="b">
        <v>0</v>
      </c>
    </row>
    <row r="2397" spans="1:8" x14ac:dyDescent="0.15">
      <c r="A2397">
        <v>213</v>
      </c>
      <c r="B2397">
        <v>6</v>
      </c>
      <c r="C2397">
        <v>3632812.5</v>
      </c>
      <c r="D2397">
        <v>35040122.40386755</v>
      </c>
      <c r="E2397">
        <v>3.7694828253203601E-6</v>
      </c>
      <c r="F2397">
        <v>3.188142521260751E-6</v>
      </c>
      <c r="G2397">
        <v>5.8134030405960945E-7</v>
      </c>
      <c r="H2397" t="b">
        <v>0</v>
      </c>
    </row>
    <row r="2398" spans="1:8" x14ac:dyDescent="0.15">
      <c r="A2398">
        <v>213</v>
      </c>
      <c r="B2398">
        <v>7</v>
      </c>
      <c r="C2398">
        <v>3539843.75</v>
      </c>
      <c r="D2398">
        <v>13708487.941174621</v>
      </c>
      <c r="E2398">
        <v>3.4874752267938369E-6</v>
      </c>
      <c r="F2398">
        <v>3.188142521260751E-6</v>
      </c>
      <c r="G2398">
        <v>2.9933270553308668E-7</v>
      </c>
      <c r="H2398" t="b">
        <v>0</v>
      </c>
    </row>
    <row r="2399" spans="1:8" x14ac:dyDescent="0.15">
      <c r="A2399">
        <v>213</v>
      </c>
      <c r="B2399">
        <v>8</v>
      </c>
      <c r="C2399">
        <v>3493359.375</v>
      </c>
      <c r="D2399">
        <v>6421463.9591443464</v>
      </c>
      <c r="E2399">
        <v>3.3519427906443702E-6</v>
      </c>
      <c r="F2399">
        <v>3.188142521260751E-6</v>
      </c>
      <c r="G2399">
        <v>1.638002693836192E-7</v>
      </c>
      <c r="H2399" t="b">
        <v>0</v>
      </c>
    </row>
    <row r="2400" spans="1:8" x14ac:dyDescent="0.15">
      <c r="A2400">
        <v>213</v>
      </c>
      <c r="B2400">
        <v>9</v>
      </c>
      <c r="C2400">
        <v>3470117.1875</v>
      </c>
      <c r="D2400">
        <v>3515615.9642374078</v>
      </c>
      <c r="E2400">
        <v>3.285582662514032E-6</v>
      </c>
      <c r="F2400">
        <v>3.188142521260751E-6</v>
      </c>
      <c r="G2400">
        <v>9.7440141253281419E-8</v>
      </c>
      <c r="H2400" t="b">
        <v>0</v>
      </c>
    </row>
    <row r="2401" spans="1:8" x14ac:dyDescent="0.15">
      <c r="A2401">
        <v>213</v>
      </c>
      <c r="B2401">
        <v>10</v>
      </c>
      <c r="C2401">
        <v>3458496.09375</v>
      </c>
      <c r="D2401">
        <v>2233238.4360806858</v>
      </c>
      <c r="E2401">
        <v>3.2527561789124871E-6</v>
      </c>
      <c r="F2401">
        <v>3.188142521260751E-6</v>
      </c>
      <c r="G2401">
        <v>6.4613657651736027E-8</v>
      </c>
      <c r="H2401" t="b">
        <v>0</v>
      </c>
    </row>
    <row r="2402" spans="1:8" x14ac:dyDescent="0.15">
      <c r="A2402">
        <v>213</v>
      </c>
      <c r="B2402">
        <v>11</v>
      </c>
      <c r="C2402">
        <v>3464306.640625</v>
      </c>
      <c r="D2402">
        <v>2860625.6349287941</v>
      </c>
      <c r="E2402">
        <v>3.2691397705229359E-6</v>
      </c>
      <c r="F2402">
        <v>3.188142521260751E-6</v>
      </c>
      <c r="G2402">
        <v>8.0997249262185308E-8</v>
      </c>
      <c r="H2402" t="b">
        <v>0</v>
      </c>
    </row>
    <row r="2403" spans="1:8" x14ac:dyDescent="0.15">
      <c r="A2403">
        <v>213</v>
      </c>
      <c r="B2403">
        <v>12</v>
      </c>
      <c r="C2403">
        <v>3467211.9140625</v>
      </c>
      <c r="D2403">
        <v>3184637.84204217</v>
      </c>
      <c r="E2403">
        <v>3.2773537766940332E-6</v>
      </c>
      <c r="F2403">
        <v>3.188142521260751E-6</v>
      </c>
      <c r="G2403">
        <v>8.9211255433282117E-8</v>
      </c>
      <c r="H2403" t="b">
        <v>0</v>
      </c>
    </row>
    <row r="2404" spans="1:8" x14ac:dyDescent="0.15">
      <c r="A2404">
        <v>213</v>
      </c>
      <c r="B2404">
        <v>13</v>
      </c>
      <c r="C2404">
        <v>3468664.55078125</v>
      </c>
      <c r="D2404">
        <v>3349255.4007137981</v>
      </c>
      <c r="E2404">
        <v>3.281466438674219E-6</v>
      </c>
      <c r="F2404">
        <v>3.188142521260751E-6</v>
      </c>
      <c r="G2404">
        <v>9.3323917413468399E-8</v>
      </c>
      <c r="H2404" t="b">
        <v>0</v>
      </c>
    </row>
    <row r="2405" spans="1:8" x14ac:dyDescent="0.15">
      <c r="A2405">
        <v>213</v>
      </c>
      <c r="B2405">
        <v>14</v>
      </c>
      <c r="C2405">
        <v>3469864.55078125</v>
      </c>
      <c r="D2405">
        <v>3486557.298055551</v>
      </c>
      <c r="E2405">
        <v>3.2848665206392089E-6</v>
      </c>
      <c r="F2405">
        <v>3.188142521260751E-6</v>
      </c>
      <c r="G2405">
        <v>9.6723999378458327E-8</v>
      </c>
      <c r="H2405" t="b">
        <v>0</v>
      </c>
    </row>
    <row r="2406" spans="1:8" x14ac:dyDescent="0.15">
      <c r="A2406">
        <v>214</v>
      </c>
      <c r="B2406">
        <v>1</v>
      </c>
      <c r="C2406">
        <v>6050000</v>
      </c>
      <c r="D2406">
        <v>8701115093.1882248</v>
      </c>
      <c r="E2406">
        <v>1.6490040228847031E-5</v>
      </c>
      <c r="F2406">
        <v>3.066163864476319E-6</v>
      </c>
      <c r="G2406">
        <v>1.3423876364370721E-5</v>
      </c>
      <c r="H2406" t="b">
        <v>0</v>
      </c>
    </row>
    <row r="2407" spans="1:8" x14ac:dyDescent="0.15">
      <c r="A2407">
        <v>214</v>
      </c>
      <c r="B2407">
        <v>2</v>
      </c>
      <c r="C2407">
        <v>3075000</v>
      </c>
      <c r="D2407">
        <v>-4923188.8498672908</v>
      </c>
      <c r="E2407">
        <v>1.873041726464273E-6</v>
      </c>
      <c r="F2407">
        <v>3.0661638644763181E-6</v>
      </c>
      <c r="G2407">
        <v>-1.1931221380120449E-6</v>
      </c>
      <c r="H2407" t="b">
        <v>1</v>
      </c>
    </row>
    <row r="2408" spans="1:8" x14ac:dyDescent="0.15">
      <c r="A2408">
        <v>214</v>
      </c>
      <c r="B2408">
        <v>3</v>
      </c>
      <c r="C2408">
        <v>4562500</v>
      </c>
      <c r="D2408">
        <v>573042164.36229575</v>
      </c>
      <c r="E2408">
        <v>5.8993297801009693E-6</v>
      </c>
      <c r="F2408">
        <v>3.0661638644763181E-6</v>
      </c>
      <c r="G2408">
        <v>2.8331659156246512E-6</v>
      </c>
      <c r="H2408" t="b">
        <v>0</v>
      </c>
    </row>
    <row r="2409" spans="1:8" x14ac:dyDescent="0.15">
      <c r="A2409">
        <v>214</v>
      </c>
      <c r="B2409">
        <v>4</v>
      </c>
      <c r="C2409">
        <v>3818750</v>
      </c>
      <c r="D2409">
        <v>22910066.93558928</v>
      </c>
      <c r="E2409">
        <v>3.4920914979290189E-6</v>
      </c>
      <c r="F2409">
        <v>3.0661638644763181E-6</v>
      </c>
      <c r="G2409">
        <v>4.259276334527012E-7</v>
      </c>
      <c r="H2409" t="b">
        <v>0</v>
      </c>
    </row>
    <row r="2410" spans="1:8" x14ac:dyDescent="0.15">
      <c r="A2410">
        <v>214</v>
      </c>
      <c r="B2410">
        <v>5</v>
      </c>
      <c r="C2410">
        <v>3446875</v>
      </c>
      <c r="D2410">
        <v>-7376955.7699932083</v>
      </c>
      <c r="E2410">
        <v>2.576594403751409E-6</v>
      </c>
      <c r="F2410">
        <v>3.0661638644763181E-6</v>
      </c>
      <c r="G2410">
        <v>-4.8956946072490955E-7</v>
      </c>
      <c r="H2410" t="b">
        <v>1</v>
      </c>
    </row>
    <row r="2411" spans="1:8" x14ac:dyDescent="0.15">
      <c r="A2411">
        <v>214</v>
      </c>
      <c r="B2411">
        <v>6</v>
      </c>
      <c r="C2411">
        <v>3632812.5</v>
      </c>
      <c r="D2411">
        <v>-1698253.6052460549</v>
      </c>
      <c r="E2411">
        <v>3.0084916445355978E-6</v>
      </c>
      <c r="F2411">
        <v>3.0661638644763181E-6</v>
      </c>
      <c r="G2411">
        <v>-5.7672219940719889E-8</v>
      </c>
      <c r="H2411" t="b">
        <v>1</v>
      </c>
    </row>
    <row r="2412" spans="1:8" x14ac:dyDescent="0.15">
      <c r="A2412">
        <v>214</v>
      </c>
      <c r="B2412">
        <v>7</v>
      </c>
      <c r="C2412">
        <v>3725781.25</v>
      </c>
      <c r="D2412">
        <v>7217428.4991143635</v>
      </c>
      <c r="E2412">
        <v>3.2439183461183871E-6</v>
      </c>
      <c r="F2412">
        <v>3.0661638644763181E-6</v>
      </c>
      <c r="G2412">
        <v>1.7775448164206891E-7</v>
      </c>
      <c r="H2412" t="b">
        <v>0</v>
      </c>
    </row>
    <row r="2413" spans="1:8" x14ac:dyDescent="0.15">
      <c r="A2413">
        <v>214</v>
      </c>
      <c r="B2413">
        <v>8</v>
      </c>
      <c r="C2413">
        <v>3679296.875</v>
      </c>
      <c r="D2413">
        <v>2027798.2481158541</v>
      </c>
      <c r="E2413">
        <v>3.1246079925033319E-6</v>
      </c>
      <c r="F2413">
        <v>3.0661638644763181E-6</v>
      </c>
      <c r="G2413">
        <v>5.8444128027014142E-8</v>
      </c>
      <c r="H2413" t="b">
        <v>0</v>
      </c>
    </row>
    <row r="2414" spans="1:8" x14ac:dyDescent="0.15">
      <c r="A2414">
        <v>214</v>
      </c>
      <c r="B2414">
        <v>9</v>
      </c>
      <c r="C2414">
        <v>3702539.0625</v>
      </c>
      <c r="D2414">
        <v>4421737.241989132</v>
      </c>
      <c r="E2414">
        <v>3.183861977455327E-6</v>
      </c>
      <c r="F2414">
        <v>3.0661638644763181E-6</v>
      </c>
      <c r="G2414">
        <v>1.1769811297900841E-7</v>
      </c>
      <c r="H2414" t="b">
        <v>0</v>
      </c>
    </row>
    <row r="2415" spans="1:8" x14ac:dyDescent="0.15">
      <c r="A2415">
        <v>214</v>
      </c>
      <c r="B2415">
        <v>10</v>
      </c>
      <c r="C2415">
        <v>3690917.96875</v>
      </c>
      <c r="D2415">
        <v>3175046.5141371768</v>
      </c>
      <c r="E2415">
        <v>3.1541345658749608E-6</v>
      </c>
      <c r="F2415">
        <v>3.0661638644763181E-6</v>
      </c>
      <c r="G2415">
        <v>8.7970701398643101E-8</v>
      </c>
      <c r="H2415" t="b">
        <v>0</v>
      </c>
    </row>
    <row r="2416" spans="1:8" x14ac:dyDescent="0.15">
      <c r="A2416">
        <v>214</v>
      </c>
      <c r="B2416">
        <v>11</v>
      </c>
      <c r="C2416">
        <v>3696728.515625</v>
      </c>
      <c r="D2416">
        <v>3786142.2840647972</v>
      </c>
      <c r="E2416">
        <v>3.1689732300365191E-6</v>
      </c>
      <c r="F2416">
        <v>3.0661638644763181E-6</v>
      </c>
      <c r="G2416">
        <v>1.028093655602006E-7</v>
      </c>
      <c r="H2416" t="b">
        <v>0</v>
      </c>
    </row>
    <row r="2417" spans="1:8" x14ac:dyDescent="0.15">
      <c r="A2417">
        <v>214</v>
      </c>
      <c r="B2417">
        <v>12</v>
      </c>
      <c r="C2417">
        <v>3693823.2421875</v>
      </c>
      <c r="D2417">
        <v>3477557.1835770002</v>
      </c>
      <c r="E2417">
        <v>3.1615476192601249E-6</v>
      </c>
      <c r="F2417">
        <v>3.0661638644763181E-6</v>
      </c>
      <c r="G2417">
        <v>9.5383754783806712E-8</v>
      </c>
      <c r="H2417" t="b">
        <v>0</v>
      </c>
    </row>
    <row r="2418" spans="1:8" x14ac:dyDescent="0.15">
      <c r="A2418">
        <v>214</v>
      </c>
      <c r="B2418">
        <v>13</v>
      </c>
      <c r="C2418">
        <v>3695275.87890625</v>
      </c>
      <c r="D2418">
        <v>3631087.2002618131</v>
      </c>
      <c r="E2418">
        <v>3.1652588554094862E-6</v>
      </c>
      <c r="F2418">
        <v>3.0661638644763181E-6</v>
      </c>
      <c r="G2418">
        <v>9.9094990933168011E-8</v>
      </c>
      <c r="H2418" t="b">
        <v>0</v>
      </c>
    </row>
    <row r="2419" spans="1:8" x14ac:dyDescent="0.15">
      <c r="A2419">
        <v>214</v>
      </c>
      <c r="B2419">
        <v>14</v>
      </c>
      <c r="C2419">
        <v>3696475.87890625</v>
      </c>
      <c r="D2419">
        <v>3759065.8943899991</v>
      </c>
      <c r="E2419">
        <v>3.1683270155705538E-6</v>
      </c>
      <c r="F2419">
        <v>3.0661638644763181E-6</v>
      </c>
      <c r="G2419">
        <v>1.021631510942357E-7</v>
      </c>
      <c r="H2419" t="b">
        <v>0</v>
      </c>
    </row>
    <row r="2420" spans="1:8" x14ac:dyDescent="0.15">
      <c r="A2420">
        <v>214</v>
      </c>
      <c r="B2420">
        <v>15</v>
      </c>
      <c r="C2420">
        <v>3695875.87890625</v>
      </c>
      <c r="D2420">
        <v>3694946.2287502289</v>
      </c>
      <c r="E2420">
        <v>3.1667926678027158E-6</v>
      </c>
      <c r="F2420">
        <v>3.0661638644763181E-6</v>
      </c>
      <c r="G2420">
        <v>1.0062880332639811E-7</v>
      </c>
      <c r="H2420" t="b">
        <v>0</v>
      </c>
    </row>
    <row r="2421" spans="1:8" x14ac:dyDescent="0.15">
      <c r="A2421">
        <v>215</v>
      </c>
      <c r="B2421">
        <v>1</v>
      </c>
      <c r="C2421">
        <v>6050000</v>
      </c>
      <c r="D2421">
        <v>7514135386.2061853</v>
      </c>
      <c r="E2421">
        <v>1.4962273016253039E-5</v>
      </c>
      <c r="F2421">
        <v>3.027135379741642E-6</v>
      </c>
      <c r="G2421">
        <v>1.19351376365114E-5</v>
      </c>
      <c r="H2421" t="b">
        <v>0</v>
      </c>
    </row>
    <row r="2422" spans="1:8" x14ac:dyDescent="0.15">
      <c r="A2422">
        <v>215</v>
      </c>
      <c r="B2422">
        <v>2</v>
      </c>
      <c r="C2422">
        <v>3075000</v>
      </c>
      <c r="D2422">
        <v>-4503424.1984235207</v>
      </c>
      <c r="E2422">
        <v>1.779087250524329E-6</v>
      </c>
      <c r="F2422">
        <v>3.0271353797416429E-6</v>
      </c>
      <c r="G2422">
        <v>-1.248048129217313E-6</v>
      </c>
      <c r="H2422" t="b">
        <v>1</v>
      </c>
    </row>
    <row r="2423" spans="1:8" x14ac:dyDescent="0.15">
      <c r="A2423">
        <v>215</v>
      </c>
      <c r="B2423">
        <v>3</v>
      </c>
      <c r="C2423">
        <v>4562500</v>
      </c>
      <c r="D2423">
        <v>479041368.19193619</v>
      </c>
      <c r="E2423">
        <v>5.5753488062347306E-6</v>
      </c>
      <c r="F2423">
        <v>3.0271353797416429E-6</v>
      </c>
      <c r="G2423">
        <v>2.5482134264930882E-6</v>
      </c>
      <c r="H2423" t="b">
        <v>0</v>
      </c>
    </row>
    <row r="2424" spans="1:8" x14ac:dyDescent="0.15">
      <c r="A2424">
        <v>215</v>
      </c>
      <c r="B2424">
        <v>4</v>
      </c>
      <c r="C2424">
        <v>3818750</v>
      </c>
      <c r="D2424">
        <v>12157049.53684346</v>
      </c>
      <c r="E2424">
        <v>3.2939296944605592E-6</v>
      </c>
      <c r="F2424">
        <v>3.0271353797416429E-6</v>
      </c>
      <c r="G2424">
        <v>2.6679431471891588E-7</v>
      </c>
      <c r="H2424" t="b">
        <v>0</v>
      </c>
    </row>
    <row r="2425" spans="1:8" x14ac:dyDescent="0.15">
      <c r="A2425">
        <v>215</v>
      </c>
      <c r="B2425">
        <v>5</v>
      </c>
      <c r="C2425">
        <v>3446875</v>
      </c>
      <c r="D2425">
        <v>-7435572.2004708098</v>
      </c>
      <c r="E2425">
        <v>2.4343776145000191E-6</v>
      </c>
      <c r="F2425">
        <v>3.0271353797416429E-6</v>
      </c>
      <c r="G2425">
        <v>-5.9275776524162342E-7</v>
      </c>
      <c r="H2425" t="b">
        <v>1</v>
      </c>
    </row>
    <row r="2426" spans="1:8" x14ac:dyDescent="0.15">
      <c r="A2426">
        <v>215</v>
      </c>
      <c r="B2426">
        <v>6</v>
      </c>
      <c r="C2426">
        <v>3632812.5</v>
      </c>
      <c r="D2426">
        <v>-4568078.7789833955</v>
      </c>
      <c r="E2426">
        <v>2.8390389958051912E-6</v>
      </c>
      <c r="F2426">
        <v>3.0271353797416429E-6</v>
      </c>
      <c r="G2426">
        <v>-1.8809638393645171E-7</v>
      </c>
      <c r="H2426" t="b">
        <v>1</v>
      </c>
    </row>
    <row r="2427" spans="1:8" x14ac:dyDescent="0.15">
      <c r="A2427">
        <v>215</v>
      </c>
      <c r="B2427">
        <v>7</v>
      </c>
      <c r="C2427">
        <v>3725781.25</v>
      </c>
      <c r="D2427">
        <v>1116351.1288248261</v>
      </c>
      <c r="E2427">
        <v>3.0603528685512758E-6</v>
      </c>
      <c r="F2427">
        <v>3.0271353797416429E-6</v>
      </c>
      <c r="G2427">
        <v>3.3217488809633341E-8</v>
      </c>
      <c r="H2427" t="b">
        <v>0</v>
      </c>
    </row>
    <row r="2428" spans="1:8" x14ac:dyDescent="0.15">
      <c r="A2428">
        <v>215</v>
      </c>
      <c r="B2428">
        <v>8</v>
      </c>
      <c r="C2428">
        <v>3772265.625</v>
      </c>
      <c r="D2428">
        <v>5838954.7194420965</v>
      </c>
      <c r="E2428">
        <v>3.175612088115445E-6</v>
      </c>
      <c r="F2428">
        <v>3.0271353797416429E-6</v>
      </c>
      <c r="G2428">
        <v>1.4847670837380169E-7</v>
      </c>
      <c r="H2428" t="b">
        <v>0</v>
      </c>
    </row>
    <row r="2429" spans="1:8" x14ac:dyDescent="0.15">
      <c r="A2429">
        <v>215</v>
      </c>
      <c r="B2429">
        <v>9</v>
      </c>
      <c r="C2429">
        <v>3749023.4375</v>
      </c>
      <c r="D2429">
        <v>3293950.071948091</v>
      </c>
      <c r="E2429">
        <v>3.11760416402837E-6</v>
      </c>
      <c r="F2429">
        <v>3.0271353797416429E-6</v>
      </c>
      <c r="G2429">
        <v>9.0468784286727507E-8</v>
      </c>
      <c r="H2429" t="b">
        <v>0</v>
      </c>
    </row>
    <row r="2430" spans="1:8" x14ac:dyDescent="0.15">
      <c r="A2430">
        <v>215</v>
      </c>
      <c r="B2430">
        <v>10</v>
      </c>
      <c r="C2430">
        <v>3760644.53125</v>
      </c>
      <c r="D2430">
        <v>4516189.2155961515</v>
      </c>
      <c r="E2430">
        <v>3.146511960770205E-6</v>
      </c>
      <c r="F2430">
        <v>3.0271353797416429E-6</v>
      </c>
      <c r="G2430">
        <v>1.193765810285617E-7</v>
      </c>
      <c r="H2430" t="b">
        <v>0</v>
      </c>
    </row>
    <row r="2431" spans="1:8" x14ac:dyDescent="0.15">
      <c r="A2431">
        <v>215</v>
      </c>
      <c r="B2431">
        <v>11</v>
      </c>
      <c r="C2431">
        <v>3754833.984375</v>
      </c>
      <c r="D2431">
        <v>3891152.322626268</v>
      </c>
      <c r="E2431">
        <v>3.1320339266915832E-6</v>
      </c>
      <c r="F2431">
        <v>3.0271353797416429E-6</v>
      </c>
      <c r="G2431">
        <v>1.048985469499403E-7</v>
      </c>
      <c r="H2431" t="b">
        <v>0</v>
      </c>
    </row>
    <row r="2432" spans="1:8" x14ac:dyDescent="0.15">
      <c r="A2432">
        <v>215</v>
      </c>
      <c r="B2432">
        <v>12</v>
      </c>
      <c r="C2432">
        <v>3751928.7109375</v>
      </c>
      <c r="D2432">
        <v>3587555.9599372009</v>
      </c>
      <c r="E2432">
        <v>3.124813133986609E-6</v>
      </c>
      <c r="F2432">
        <v>3.0271353797416429E-6</v>
      </c>
      <c r="G2432">
        <v>9.7677754244965651E-8</v>
      </c>
      <c r="H2432" t="b">
        <v>0</v>
      </c>
    </row>
    <row r="2433" spans="1:8" x14ac:dyDescent="0.15">
      <c r="A2433">
        <v>215</v>
      </c>
      <c r="B2433">
        <v>13</v>
      </c>
      <c r="C2433">
        <v>3753381.34765625</v>
      </c>
      <c r="D2433">
        <v>3738613.9456288088</v>
      </c>
      <c r="E2433">
        <v>3.128421966787275E-6</v>
      </c>
      <c r="F2433">
        <v>3.0271353797416429E-6</v>
      </c>
      <c r="G2433">
        <v>1.012865870456317E-7</v>
      </c>
      <c r="H2433" t="b">
        <v>0</v>
      </c>
    </row>
    <row r="2434" spans="1:8" x14ac:dyDescent="0.15">
      <c r="A2434">
        <v>216</v>
      </c>
      <c r="B2434">
        <v>1</v>
      </c>
      <c r="C2434">
        <v>6050000</v>
      </c>
      <c r="D2434">
        <v>6329055954.422534</v>
      </c>
      <c r="E2434">
        <v>1.3515277215589011E-5</v>
      </c>
      <c r="F2434">
        <v>3.007914367342506E-6</v>
      </c>
      <c r="G2434">
        <v>1.05073628482465E-5</v>
      </c>
      <c r="H2434" t="b">
        <v>0</v>
      </c>
    </row>
    <row r="2435" spans="1:8" x14ac:dyDescent="0.15">
      <c r="A2435">
        <v>216</v>
      </c>
      <c r="B2435">
        <v>2</v>
      </c>
      <c r="C2435">
        <v>3075000</v>
      </c>
      <c r="D2435">
        <v>-4090442.543770358</v>
      </c>
      <c r="E2435">
        <v>1.6936061228053129E-6</v>
      </c>
      <c r="F2435">
        <v>3.0079143673425051E-6</v>
      </c>
      <c r="G2435">
        <v>-1.314308244537192E-6</v>
      </c>
      <c r="H2435" t="b">
        <v>1</v>
      </c>
    </row>
    <row r="2436" spans="1:8" x14ac:dyDescent="0.15">
      <c r="A2436">
        <v>216</v>
      </c>
      <c r="B2436">
        <v>3</v>
      </c>
      <c r="C2436">
        <v>4562500</v>
      </c>
      <c r="D2436">
        <v>386446880.96403462</v>
      </c>
      <c r="E2436">
        <v>5.2686066055915178E-6</v>
      </c>
      <c r="F2436">
        <v>3.0079143673425051E-6</v>
      </c>
      <c r="G2436">
        <v>2.2606922382490131E-6</v>
      </c>
      <c r="H2436" t="b">
        <v>0</v>
      </c>
    </row>
    <row r="2437" spans="1:8" x14ac:dyDescent="0.15">
      <c r="A2437">
        <v>216</v>
      </c>
      <c r="B2437">
        <v>4</v>
      </c>
      <c r="C2437">
        <v>3818750</v>
      </c>
      <c r="D2437">
        <v>3722255.1154791089</v>
      </c>
      <c r="E2437">
        <v>3.1086223681507071E-6</v>
      </c>
      <c r="F2437">
        <v>3.0079143673425051E-6</v>
      </c>
      <c r="G2437">
        <v>1.007080008082019E-7</v>
      </c>
      <c r="H2437" t="b">
        <v>0</v>
      </c>
    </row>
    <row r="2438" spans="1:8" x14ac:dyDescent="0.15">
      <c r="A2438">
        <v>216</v>
      </c>
      <c r="B2438">
        <v>5</v>
      </c>
      <c r="C2438">
        <v>4190625</v>
      </c>
      <c r="D2438">
        <v>104062394.95511439</v>
      </c>
      <c r="E2438">
        <v>4.1026873395275419E-6</v>
      </c>
      <c r="F2438">
        <v>3.0079143673425051E-6</v>
      </c>
      <c r="G2438">
        <v>1.094772972185037E-6</v>
      </c>
      <c r="H2438" t="b">
        <v>0</v>
      </c>
    </row>
    <row r="2439" spans="1:8" x14ac:dyDescent="0.15">
      <c r="A2439">
        <v>216</v>
      </c>
      <c r="B2439">
        <v>6</v>
      </c>
      <c r="C2439">
        <v>4004687.5</v>
      </c>
      <c r="D2439">
        <v>36370737.574969977</v>
      </c>
      <c r="E2439">
        <v>3.5830495637383681E-6</v>
      </c>
      <c r="F2439">
        <v>3.0079143673425051E-6</v>
      </c>
      <c r="G2439">
        <v>5.7513519639586253E-7</v>
      </c>
      <c r="H2439" t="b">
        <v>0</v>
      </c>
    </row>
    <row r="2440" spans="1:8" x14ac:dyDescent="0.15">
      <c r="A2440">
        <v>216</v>
      </c>
      <c r="B2440">
        <v>7</v>
      </c>
      <c r="C2440">
        <v>3911718.75</v>
      </c>
      <c r="D2440">
        <v>16385736.450407481</v>
      </c>
      <c r="E2440">
        <v>3.3400693365224552E-6</v>
      </c>
      <c r="F2440">
        <v>3.0079143673425051E-6</v>
      </c>
      <c r="G2440">
        <v>3.3215496917995002E-7</v>
      </c>
      <c r="H2440" t="b">
        <v>0</v>
      </c>
    </row>
    <row r="2441" spans="1:8" x14ac:dyDescent="0.15">
      <c r="A2441">
        <v>216</v>
      </c>
      <c r="B2441">
        <v>8</v>
      </c>
      <c r="C2441">
        <v>3865234.375</v>
      </c>
      <c r="D2441">
        <v>9231326.5197154358</v>
      </c>
      <c r="E2441">
        <v>3.2228779093509138E-6</v>
      </c>
      <c r="F2441">
        <v>3.0079143673425051E-6</v>
      </c>
      <c r="G2441">
        <v>2.149635420084091E-7</v>
      </c>
      <c r="H2441" t="b">
        <v>0</v>
      </c>
    </row>
    <row r="2442" spans="1:8" x14ac:dyDescent="0.15">
      <c r="A2442">
        <v>216</v>
      </c>
      <c r="B2442">
        <v>9</v>
      </c>
      <c r="C2442">
        <v>3841992.1875</v>
      </c>
      <c r="D2442">
        <v>6283003.592849765</v>
      </c>
      <c r="E2442">
        <v>3.165381496734896E-6</v>
      </c>
      <c r="F2442">
        <v>3.0079143673425051E-6</v>
      </c>
      <c r="G2442">
        <v>1.574671293923908E-7</v>
      </c>
      <c r="H2442" t="b">
        <v>0</v>
      </c>
    </row>
    <row r="2443" spans="1:8" x14ac:dyDescent="0.15">
      <c r="A2443">
        <v>216</v>
      </c>
      <c r="B2443">
        <v>10</v>
      </c>
      <c r="C2443">
        <v>3830371.09375</v>
      </c>
      <c r="D2443">
        <v>4955671.8298760112</v>
      </c>
      <c r="E2443">
        <v>3.1369094755989041E-6</v>
      </c>
      <c r="F2443">
        <v>3.0079143673425051E-6</v>
      </c>
      <c r="G2443">
        <v>1.2899510825639861E-7</v>
      </c>
      <c r="H2443" t="b">
        <v>0</v>
      </c>
    </row>
    <row r="2444" spans="1:8" x14ac:dyDescent="0.15">
      <c r="A2444">
        <v>216</v>
      </c>
      <c r="B2444">
        <v>11</v>
      </c>
      <c r="C2444">
        <v>3824560.546875</v>
      </c>
      <c r="D2444">
        <v>4327412.9908673298</v>
      </c>
      <c r="E2444">
        <v>3.1227428197683789E-6</v>
      </c>
      <c r="F2444">
        <v>3.0079143673425051E-6</v>
      </c>
      <c r="G2444">
        <v>1.1482845242587381E-7</v>
      </c>
      <c r="H2444" t="b">
        <v>0</v>
      </c>
    </row>
    <row r="2445" spans="1:8" x14ac:dyDescent="0.15">
      <c r="A2445">
        <v>216</v>
      </c>
      <c r="B2445">
        <v>12</v>
      </c>
      <c r="C2445">
        <v>3821655.2734375</v>
      </c>
      <c r="D2445">
        <v>4021974.5418786192</v>
      </c>
      <c r="E2445">
        <v>3.1156769248544091E-6</v>
      </c>
      <c r="F2445">
        <v>3.0079143673425051E-6</v>
      </c>
      <c r="G2445">
        <v>1.077625575119036E-7</v>
      </c>
      <c r="H2445" t="b">
        <v>0</v>
      </c>
    </row>
    <row r="2446" spans="1:8" x14ac:dyDescent="0.15">
      <c r="A2446">
        <v>216</v>
      </c>
      <c r="B2446">
        <v>13</v>
      </c>
      <c r="C2446">
        <v>3820202.63671875</v>
      </c>
      <c r="D2446">
        <v>3871404.0481555699</v>
      </c>
      <c r="E2446">
        <v>3.1121482570640271E-6</v>
      </c>
      <c r="F2446">
        <v>3.0079143673425051E-6</v>
      </c>
      <c r="G2446">
        <v>1.042338897215215E-7</v>
      </c>
      <c r="H2446" t="b">
        <v>0</v>
      </c>
    </row>
    <row r="2447" spans="1:8" x14ac:dyDescent="0.15">
      <c r="A2447">
        <v>216</v>
      </c>
      <c r="B2447">
        <v>14</v>
      </c>
      <c r="C2447">
        <v>3819002.63671875</v>
      </c>
      <c r="D2447">
        <v>3748091.4538626522</v>
      </c>
      <c r="E2447">
        <v>3.109235348997226E-6</v>
      </c>
      <c r="F2447">
        <v>3.0079143673425051E-6</v>
      </c>
      <c r="G2447">
        <v>1.013209816547209E-7</v>
      </c>
      <c r="H2447" t="b">
        <v>0</v>
      </c>
    </row>
    <row r="2448" spans="1:8" x14ac:dyDescent="0.15">
      <c r="A2448">
        <v>216</v>
      </c>
      <c r="B2448">
        <v>15</v>
      </c>
      <c r="C2448">
        <v>3819602.63671875</v>
      </c>
      <c r="D2448">
        <v>3809628.678919585</v>
      </c>
      <c r="E2448">
        <v>3.1106916129621949E-6</v>
      </c>
      <c r="F2448">
        <v>3.0079143673425051E-6</v>
      </c>
      <c r="G2448">
        <v>1.027772456196898E-7</v>
      </c>
      <c r="H2448" t="b">
        <v>0</v>
      </c>
    </row>
    <row r="2449" spans="1:8" x14ac:dyDescent="0.15">
      <c r="A2449">
        <v>217</v>
      </c>
      <c r="B2449">
        <v>1</v>
      </c>
      <c r="C2449">
        <v>6050000</v>
      </c>
      <c r="D2449">
        <v>13490268696.248051</v>
      </c>
      <c r="E2449">
        <v>6.2678940066316889E-5</v>
      </c>
      <c r="F2449">
        <v>7.7998488366138227E-6</v>
      </c>
      <c r="G2449">
        <v>5.4879091229703067E-5</v>
      </c>
      <c r="H2449" t="b">
        <v>0</v>
      </c>
    </row>
    <row r="2450" spans="1:8" x14ac:dyDescent="0.15">
      <c r="A2450">
        <v>217</v>
      </c>
      <c r="B2450">
        <v>2</v>
      </c>
      <c r="C2450">
        <v>3075000</v>
      </c>
      <c r="D2450">
        <v>-347325.73900582257</v>
      </c>
      <c r="E2450">
        <v>2.577481570899121E-7</v>
      </c>
      <c r="F2450">
        <v>7.799848836613821E-6</v>
      </c>
      <c r="G2450">
        <v>-7.5421006795239091E-6</v>
      </c>
      <c r="H2450" t="b">
        <v>1</v>
      </c>
    </row>
    <row r="2451" spans="1:8" x14ac:dyDescent="0.15">
      <c r="A2451">
        <v>217</v>
      </c>
      <c r="B2451">
        <v>3</v>
      </c>
      <c r="C2451">
        <v>4562500</v>
      </c>
      <c r="D2451">
        <v>-14323451.104518451</v>
      </c>
      <c r="E2451">
        <v>6.3323692301366994E-6</v>
      </c>
      <c r="F2451">
        <v>7.799848836613821E-6</v>
      </c>
      <c r="G2451">
        <v>-1.4674796064771221E-6</v>
      </c>
      <c r="H2451" t="b">
        <v>1</v>
      </c>
    </row>
    <row r="2452" spans="1:8" x14ac:dyDescent="0.15">
      <c r="A2452">
        <v>217</v>
      </c>
      <c r="B2452">
        <v>4</v>
      </c>
      <c r="C2452">
        <v>5306250</v>
      </c>
      <c r="D2452">
        <v>631130239.88080871</v>
      </c>
      <c r="E2452">
        <v>1.470161003852932E-5</v>
      </c>
      <c r="F2452">
        <v>7.799848836613821E-6</v>
      </c>
      <c r="G2452">
        <v>6.9017612019155011E-6</v>
      </c>
      <c r="H2452" t="b">
        <v>0</v>
      </c>
    </row>
    <row r="2453" spans="1:8" x14ac:dyDescent="0.15">
      <c r="A2453">
        <v>217</v>
      </c>
      <c r="B2453">
        <v>5</v>
      </c>
      <c r="C2453">
        <v>4934375</v>
      </c>
      <c r="D2453">
        <v>86243695.731496945</v>
      </c>
      <c r="E2453">
        <v>9.8009017907278643E-6</v>
      </c>
      <c r="F2453">
        <v>7.799848836613821E-6</v>
      </c>
      <c r="G2453">
        <v>2.0010529541140428E-6</v>
      </c>
      <c r="H2453" t="b">
        <v>0</v>
      </c>
    </row>
    <row r="2454" spans="1:8" x14ac:dyDescent="0.15">
      <c r="A2454">
        <v>217</v>
      </c>
      <c r="B2454">
        <v>6</v>
      </c>
      <c r="C2454">
        <v>4748437.5</v>
      </c>
      <c r="D2454">
        <v>2485193.2207551948</v>
      </c>
      <c r="E2454">
        <v>7.9032411591490591E-6</v>
      </c>
      <c r="F2454">
        <v>7.799848836613821E-6</v>
      </c>
      <c r="G2454">
        <v>1.03392322535238E-7</v>
      </c>
      <c r="H2454" t="b">
        <v>0</v>
      </c>
    </row>
    <row r="2455" spans="1:8" x14ac:dyDescent="0.15">
      <c r="A2455">
        <v>217</v>
      </c>
      <c r="B2455">
        <v>7</v>
      </c>
      <c r="C2455">
        <v>4841406.25</v>
      </c>
      <c r="D2455">
        <v>33363697.282704812</v>
      </c>
      <c r="E2455">
        <v>8.8092155766088219E-6</v>
      </c>
      <c r="F2455">
        <v>7.799848836613821E-6</v>
      </c>
      <c r="G2455">
        <v>1.0093667399950011E-6</v>
      </c>
      <c r="H2455" t="b">
        <v>0</v>
      </c>
    </row>
    <row r="2456" spans="1:8" x14ac:dyDescent="0.15">
      <c r="A2456">
        <v>217</v>
      </c>
      <c r="B2456">
        <v>8</v>
      </c>
      <c r="C2456">
        <v>4794921.875</v>
      </c>
      <c r="D2456">
        <v>15508508.27814435</v>
      </c>
      <c r="E2456">
        <v>8.345762673336119E-6</v>
      </c>
      <c r="F2456">
        <v>7.799848836613821E-6</v>
      </c>
      <c r="G2456">
        <v>5.4591383672229796E-7</v>
      </c>
      <c r="H2456" t="b">
        <v>0</v>
      </c>
    </row>
    <row r="2457" spans="1:8" x14ac:dyDescent="0.15">
      <c r="A2457">
        <v>217</v>
      </c>
      <c r="B2457">
        <v>9</v>
      </c>
      <c r="C2457">
        <v>4771679.6875</v>
      </c>
      <c r="D2457">
        <v>8434277.7581879739</v>
      </c>
      <c r="E2457">
        <v>8.1219261835618809E-6</v>
      </c>
      <c r="F2457">
        <v>7.799848836613821E-6</v>
      </c>
      <c r="G2457">
        <v>3.2207734694805988E-7</v>
      </c>
      <c r="H2457" t="b">
        <v>0</v>
      </c>
    </row>
    <row r="2458" spans="1:8" x14ac:dyDescent="0.15">
      <c r="A2458">
        <v>217</v>
      </c>
      <c r="B2458">
        <v>10</v>
      </c>
      <c r="C2458">
        <v>4760058.59375</v>
      </c>
      <c r="D2458">
        <v>5324012.1724723848</v>
      </c>
      <c r="E2458">
        <v>8.0119373795312706E-6</v>
      </c>
      <c r="F2458">
        <v>7.799848836613821E-6</v>
      </c>
      <c r="G2458">
        <v>2.1208854291744949E-7</v>
      </c>
      <c r="H2458" t="b">
        <v>0</v>
      </c>
    </row>
    <row r="2459" spans="1:8" x14ac:dyDescent="0.15">
      <c r="A2459">
        <v>217</v>
      </c>
      <c r="B2459">
        <v>11</v>
      </c>
      <c r="C2459">
        <v>4754248.046875</v>
      </c>
      <c r="D2459">
        <v>3871312.6464110948</v>
      </c>
      <c r="E2459">
        <v>7.9574282403398383E-6</v>
      </c>
      <c r="F2459">
        <v>7.799848836613821E-6</v>
      </c>
      <c r="G2459">
        <v>1.5757940372601729E-7</v>
      </c>
      <c r="H2459" t="b">
        <v>0</v>
      </c>
    </row>
    <row r="2460" spans="1:8" x14ac:dyDescent="0.15">
      <c r="A2460">
        <v>217</v>
      </c>
      <c r="B2460">
        <v>12</v>
      </c>
      <c r="C2460">
        <v>4757153.3203125</v>
      </c>
      <c r="D2460">
        <v>4589260.0484304884</v>
      </c>
      <c r="E2460">
        <v>7.9846424897493286E-6</v>
      </c>
      <c r="F2460">
        <v>7.799848836613821E-6</v>
      </c>
      <c r="G2460">
        <v>1.8479365313550761E-7</v>
      </c>
      <c r="H2460" t="b">
        <v>0</v>
      </c>
    </row>
    <row r="2461" spans="1:8" x14ac:dyDescent="0.15">
      <c r="A2461">
        <v>217</v>
      </c>
      <c r="B2461">
        <v>13</v>
      </c>
      <c r="C2461">
        <v>4758605.95703125</v>
      </c>
      <c r="D2461">
        <v>4954533.4600340566</v>
      </c>
      <c r="E2461">
        <v>7.9982801413090933E-6</v>
      </c>
      <c r="F2461">
        <v>7.799848836613821E-6</v>
      </c>
      <c r="G2461">
        <v>1.9843130469527231E-7</v>
      </c>
      <c r="H2461" t="b">
        <v>0</v>
      </c>
    </row>
    <row r="2462" spans="1:8" x14ac:dyDescent="0.15">
      <c r="A2462">
        <v>217</v>
      </c>
      <c r="B2462">
        <v>14</v>
      </c>
      <c r="C2462">
        <v>4758105.95703125</v>
      </c>
      <c r="D2462">
        <v>4828333.2053866377</v>
      </c>
      <c r="E2462">
        <v>7.993583870113522E-6</v>
      </c>
      <c r="F2462">
        <v>7.799848836613821E-6</v>
      </c>
      <c r="G2462">
        <v>1.9373503349970099E-7</v>
      </c>
      <c r="H2462" t="b">
        <v>0</v>
      </c>
    </row>
    <row r="2463" spans="1:8" x14ac:dyDescent="0.15">
      <c r="A2463">
        <v>217</v>
      </c>
      <c r="B2463">
        <v>15</v>
      </c>
      <c r="C2463">
        <v>4757505.95703125</v>
      </c>
      <c r="D2463">
        <v>4677551.7198908906</v>
      </c>
      <c r="E2463">
        <v>7.9879514928580243E-6</v>
      </c>
      <c r="F2463">
        <v>7.799848836613821E-6</v>
      </c>
      <c r="G2463">
        <v>1.881026562442032E-7</v>
      </c>
      <c r="H2463" t="b">
        <v>0</v>
      </c>
    </row>
    <row r="2464" spans="1:8" x14ac:dyDescent="0.15">
      <c r="A2464">
        <v>217</v>
      </c>
      <c r="B2464">
        <v>16</v>
      </c>
      <c r="C2464">
        <v>4757805.95703125</v>
      </c>
      <c r="D2464">
        <v>4752852.6740098223</v>
      </c>
      <c r="E2464">
        <v>7.9907672512179862E-6</v>
      </c>
      <c r="F2464">
        <v>7.799848836613821E-6</v>
      </c>
      <c r="G2464">
        <v>1.9091841460416511E-7</v>
      </c>
      <c r="H2464" t="b">
        <v>0</v>
      </c>
    </row>
    <row r="2465" spans="1:8" x14ac:dyDescent="0.15">
      <c r="A2465">
        <v>218</v>
      </c>
      <c r="B2465">
        <v>1</v>
      </c>
      <c r="C2465">
        <v>6050000</v>
      </c>
      <c r="D2465">
        <v>8722414501.3349228</v>
      </c>
      <c r="E2465">
        <v>4.6088934023512528E-5</v>
      </c>
      <c r="F2465">
        <v>7.5467037009651258E-6</v>
      </c>
      <c r="G2465">
        <v>3.8542230322547409E-5</v>
      </c>
      <c r="H2465" t="b">
        <v>0</v>
      </c>
    </row>
    <row r="2466" spans="1:8" x14ac:dyDescent="0.15">
      <c r="A2466">
        <v>218</v>
      </c>
      <c r="B2466">
        <v>2</v>
      </c>
      <c r="C2466">
        <v>3075000</v>
      </c>
      <c r="D2466">
        <v>-300611.99819904863</v>
      </c>
      <c r="E2466">
        <v>-5.6694029795996139E-8</v>
      </c>
      <c r="F2466">
        <v>7.5467037009651267E-6</v>
      </c>
      <c r="G2466">
        <v>-7.6033977307611234E-6</v>
      </c>
      <c r="H2466" t="b">
        <v>1</v>
      </c>
    </row>
    <row r="2467" spans="1:8" x14ac:dyDescent="0.15">
      <c r="A2467">
        <v>218</v>
      </c>
      <c r="B2467">
        <v>3</v>
      </c>
      <c r="C2467">
        <v>4562500</v>
      </c>
      <c r="D2467">
        <v>-11404926.544599939</v>
      </c>
      <c r="E2467">
        <v>5.4104699652451808E-6</v>
      </c>
      <c r="F2467">
        <v>7.5467037009651267E-6</v>
      </c>
      <c r="G2467">
        <v>-2.1362337357199459E-6</v>
      </c>
      <c r="H2467" t="b">
        <v>1</v>
      </c>
    </row>
    <row r="2468" spans="1:8" x14ac:dyDescent="0.15">
      <c r="A2468">
        <v>218</v>
      </c>
      <c r="B2468">
        <v>4</v>
      </c>
      <c r="C2468">
        <v>5306250</v>
      </c>
      <c r="D2468">
        <v>379111410.77487302</v>
      </c>
      <c r="E2468">
        <v>1.2507025737420051E-5</v>
      </c>
      <c r="F2468">
        <v>7.5467037009651267E-6</v>
      </c>
      <c r="G2468">
        <v>4.9603220364549207E-6</v>
      </c>
      <c r="H2468" t="b">
        <v>0</v>
      </c>
    </row>
    <row r="2469" spans="1:8" x14ac:dyDescent="0.15">
      <c r="A2469">
        <v>218</v>
      </c>
      <c r="B2469">
        <v>5</v>
      </c>
      <c r="C2469">
        <v>4934375</v>
      </c>
      <c r="D2469">
        <v>24923955.24489633</v>
      </c>
      <c r="E2469">
        <v>8.3331138463881303E-6</v>
      </c>
      <c r="F2469">
        <v>7.5467037009651267E-6</v>
      </c>
      <c r="G2469">
        <v>7.8641014542300366E-7</v>
      </c>
      <c r="H2469" t="b">
        <v>0</v>
      </c>
    </row>
    <row r="2470" spans="1:8" x14ac:dyDescent="0.15">
      <c r="A2470">
        <v>218</v>
      </c>
      <c r="B2470">
        <v>6</v>
      </c>
      <c r="C2470">
        <v>4748437.5</v>
      </c>
      <c r="D2470">
        <v>-12461151.94410993</v>
      </c>
      <c r="E2470">
        <v>6.7298089941099446E-6</v>
      </c>
      <c r="F2470">
        <v>7.5467037009651267E-6</v>
      </c>
      <c r="G2470">
        <v>-8.1689470685518207E-7</v>
      </c>
      <c r="H2470" t="b">
        <v>1</v>
      </c>
    </row>
    <row r="2471" spans="1:8" x14ac:dyDescent="0.15">
      <c r="A2471">
        <v>218</v>
      </c>
      <c r="B2471">
        <v>7</v>
      </c>
      <c r="C2471">
        <v>4841406.25</v>
      </c>
      <c r="D2471">
        <v>-1202673.5612353941</v>
      </c>
      <c r="E2471">
        <v>7.4941195581309919E-6</v>
      </c>
      <c r="F2471">
        <v>7.5467037009651267E-6</v>
      </c>
      <c r="G2471">
        <v>-5.2584142834134748E-8</v>
      </c>
      <c r="H2471" t="b">
        <v>1</v>
      </c>
    </row>
    <row r="2472" spans="1:8" x14ac:dyDescent="0.15">
      <c r="A2472">
        <v>218</v>
      </c>
      <c r="B2472">
        <v>8</v>
      </c>
      <c r="C2472">
        <v>4887890.625</v>
      </c>
      <c r="D2472">
        <v>9699139.1862054188</v>
      </c>
      <c r="E2472">
        <v>7.9040539828186823E-6</v>
      </c>
      <c r="F2472">
        <v>7.5467037009651267E-6</v>
      </c>
      <c r="G2472">
        <v>3.573502818535557E-7</v>
      </c>
      <c r="H2472" t="b">
        <v>0</v>
      </c>
    </row>
    <row r="2473" spans="1:8" x14ac:dyDescent="0.15">
      <c r="A2473">
        <v>218</v>
      </c>
      <c r="B2473">
        <v>9</v>
      </c>
      <c r="C2473">
        <v>4864648.4375</v>
      </c>
      <c r="D2473">
        <v>3746368.4416551599</v>
      </c>
      <c r="E2473">
        <v>7.6967358998769216E-6</v>
      </c>
      <c r="F2473">
        <v>7.5467037009651267E-6</v>
      </c>
      <c r="G2473">
        <v>1.500321989117949E-7</v>
      </c>
      <c r="H2473" t="b">
        <v>0</v>
      </c>
    </row>
    <row r="2474" spans="1:8" x14ac:dyDescent="0.15">
      <c r="A2474">
        <v>218</v>
      </c>
      <c r="B2474">
        <v>10</v>
      </c>
      <c r="C2474">
        <v>4876269.53125</v>
      </c>
      <c r="D2474">
        <v>6592365.9093886968</v>
      </c>
      <c r="E2474">
        <v>7.7997971240356283E-6</v>
      </c>
      <c r="F2474">
        <v>7.5467037009651267E-6</v>
      </c>
      <c r="G2474">
        <v>2.530934230705017E-7</v>
      </c>
      <c r="H2474" t="b">
        <v>0</v>
      </c>
    </row>
    <row r="2475" spans="1:8" x14ac:dyDescent="0.15">
      <c r="A2475">
        <v>218</v>
      </c>
      <c r="B2475">
        <v>11</v>
      </c>
      <c r="C2475">
        <v>4870458.984375</v>
      </c>
      <c r="D2475">
        <v>5137367.1694258982</v>
      </c>
      <c r="E2475">
        <v>7.7481174495099186E-6</v>
      </c>
      <c r="F2475">
        <v>7.5467037009651267E-6</v>
      </c>
      <c r="G2475">
        <v>2.0141374854479189E-7</v>
      </c>
      <c r="H2475" t="b">
        <v>0</v>
      </c>
    </row>
    <row r="2476" spans="1:8" x14ac:dyDescent="0.15">
      <c r="A2476">
        <v>218</v>
      </c>
      <c r="B2476">
        <v>12</v>
      </c>
      <c r="C2476">
        <v>4867553.7109375</v>
      </c>
      <c r="D2476">
        <v>4433947.7430317579</v>
      </c>
      <c r="E2476">
        <v>7.7223896583733657E-6</v>
      </c>
      <c r="F2476">
        <v>7.5467037009651267E-6</v>
      </c>
      <c r="G2476">
        <v>1.75685957408239E-7</v>
      </c>
      <c r="H2476" t="b">
        <v>0</v>
      </c>
    </row>
    <row r="2477" spans="1:8" x14ac:dyDescent="0.15">
      <c r="A2477">
        <v>218</v>
      </c>
      <c r="B2477">
        <v>13</v>
      </c>
      <c r="C2477">
        <v>4869006.34765625</v>
      </c>
      <c r="D2477">
        <v>4783663.0718886582</v>
      </c>
      <c r="E2477">
        <v>7.7352441072267364E-6</v>
      </c>
      <c r="F2477">
        <v>7.5467037009651267E-6</v>
      </c>
      <c r="G2477">
        <v>1.8854040626160971E-7</v>
      </c>
      <c r="H2477" t="b">
        <v>0</v>
      </c>
    </row>
    <row r="2478" spans="1:8" x14ac:dyDescent="0.15">
      <c r="A2478">
        <v>218</v>
      </c>
      <c r="B2478">
        <v>14</v>
      </c>
      <c r="C2478">
        <v>4870206.34765625</v>
      </c>
      <c r="D2478">
        <v>5075565.5982089536</v>
      </c>
      <c r="E2478">
        <v>7.7458772328497251E-6</v>
      </c>
      <c r="F2478">
        <v>7.5467037009651267E-6</v>
      </c>
      <c r="G2478">
        <v>1.9917353188459841E-7</v>
      </c>
      <c r="H2478" t="b">
        <v>0</v>
      </c>
    </row>
    <row r="2479" spans="1:8" x14ac:dyDescent="0.15">
      <c r="A2479">
        <v>218</v>
      </c>
      <c r="B2479">
        <v>15</v>
      </c>
      <c r="C2479">
        <v>4869606.34765625</v>
      </c>
      <c r="D2479">
        <v>4929274.100802999</v>
      </c>
      <c r="E2479">
        <v>7.740559082743548E-6</v>
      </c>
      <c r="F2479">
        <v>7.5467037009651267E-6</v>
      </c>
      <c r="G2479">
        <v>1.9385538177842139E-7</v>
      </c>
      <c r="H2479" t="b">
        <v>0</v>
      </c>
    </row>
    <row r="2480" spans="1:8" x14ac:dyDescent="0.15">
      <c r="A2480">
        <v>218</v>
      </c>
      <c r="B2480">
        <v>16</v>
      </c>
      <c r="C2480">
        <v>4868886.34765625</v>
      </c>
      <c r="D2480">
        <v>4754622.4065640951</v>
      </c>
      <c r="E2480">
        <v>7.7341814929857598E-6</v>
      </c>
      <c r="F2480">
        <v>7.5467037009651267E-6</v>
      </c>
      <c r="G2480">
        <v>1.8747779202063311E-7</v>
      </c>
      <c r="H2480" t="b">
        <v>0</v>
      </c>
    </row>
    <row r="2481" spans="1:8" x14ac:dyDescent="0.15">
      <c r="A2481">
        <v>218</v>
      </c>
      <c r="B2481">
        <v>17</v>
      </c>
      <c r="C2481">
        <v>4869246.34765625</v>
      </c>
      <c r="D2481">
        <v>4841825.9114256492</v>
      </c>
      <c r="E2481">
        <v>7.7373697165469102E-6</v>
      </c>
      <c r="F2481">
        <v>7.5467037009651267E-6</v>
      </c>
      <c r="G2481">
        <v>1.9066601558178349E-7</v>
      </c>
      <c r="H2481" t="b">
        <v>0</v>
      </c>
    </row>
    <row r="2482" spans="1:8" x14ac:dyDescent="0.15">
      <c r="A2482">
        <v>219</v>
      </c>
      <c r="B2482">
        <v>1</v>
      </c>
      <c r="C2482">
        <v>6050000</v>
      </c>
      <c r="D2482">
        <v>1724487438.9090509</v>
      </c>
      <c r="E2482">
        <v>1.671869168373797E-5</v>
      </c>
      <c r="F2482">
        <v>6.4569900462768678E-6</v>
      </c>
      <c r="G2482">
        <v>1.02617016374611E-5</v>
      </c>
      <c r="H2482" t="b">
        <v>0</v>
      </c>
    </row>
    <row r="2483" spans="1:8" x14ac:dyDescent="0.15">
      <c r="A2483">
        <v>219</v>
      </c>
      <c r="B2483">
        <v>2</v>
      </c>
      <c r="C2483">
        <v>3075000</v>
      </c>
      <c r="D2483">
        <v>-196391.1672306156</v>
      </c>
      <c r="E2483">
        <v>-9.7262005220535521E-7</v>
      </c>
      <c r="F2483">
        <v>6.4569900462768678E-6</v>
      </c>
      <c r="G2483">
        <v>-7.4296100984822226E-6</v>
      </c>
      <c r="H2483" t="b">
        <v>1</v>
      </c>
    </row>
    <row r="2484" spans="1:8" x14ac:dyDescent="0.15">
      <c r="A2484">
        <v>219</v>
      </c>
      <c r="B2484">
        <v>3</v>
      </c>
      <c r="C2484">
        <v>4562500</v>
      </c>
      <c r="D2484">
        <v>-4174575.461418055</v>
      </c>
      <c r="E2484">
        <v>3.3297582145262181E-6</v>
      </c>
      <c r="F2484">
        <v>6.4569900462768678E-6</v>
      </c>
      <c r="G2484">
        <v>-3.1272318317506502E-6</v>
      </c>
      <c r="H2484" t="b">
        <v>1</v>
      </c>
    </row>
    <row r="2485" spans="1:8" x14ac:dyDescent="0.15">
      <c r="A2485">
        <v>219</v>
      </c>
      <c r="B2485">
        <v>4</v>
      </c>
      <c r="C2485">
        <v>5306250</v>
      </c>
      <c r="D2485">
        <v>35488987.78011626</v>
      </c>
      <c r="E2485">
        <v>7.3836627541433369E-6</v>
      </c>
      <c r="F2485">
        <v>6.4569900462768678E-6</v>
      </c>
      <c r="G2485">
        <v>9.2667270786646912E-7</v>
      </c>
      <c r="H2485" t="b">
        <v>0</v>
      </c>
    </row>
    <row r="2486" spans="1:8" x14ac:dyDescent="0.15">
      <c r="A2486">
        <v>219</v>
      </c>
      <c r="B2486">
        <v>5</v>
      </c>
      <c r="C2486">
        <v>4934375</v>
      </c>
      <c r="D2486">
        <v>-11820835.419911711</v>
      </c>
      <c r="E2486">
        <v>4.964712143480613E-6</v>
      </c>
      <c r="F2486">
        <v>6.4569900462768678E-6</v>
      </c>
      <c r="G2486">
        <v>-1.492277902796255E-6</v>
      </c>
      <c r="H2486" t="b">
        <v>1</v>
      </c>
    </row>
    <row r="2487" spans="1:8" x14ac:dyDescent="0.15">
      <c r="A2487">
        <v>219</v>
      </c>
      <c r="B2487">
        <v>6</v>
      </c>
      <c r="C2487">
        <v>5120312.5</v>
      </c>
      <c r="D2487">
        <v>-7819374.0186371617</v>
      </c>
      <c r="E2487">
        <v>6.0655915718773432E-6</v>
      </c>
      <c r="F2487">
        <v>6.4569900462768678E-6</v>
      </c>
      <c r="G2487">
        <v>-3.9139847439952458E-7</v>
      </c>
      <c r="H2487" t="b">
        <v>1</v>
      </c>
    </row>
    <row r="2488" spans="1:8" x14ac:dyDescent="0.15">
      <c r="A2488">
        <v>219</v>
      </c>
      <c r="B2488">
        <v>7</v>
      </c>
      <c r="C2488">
        <v>5213281.25</v>
      </c>
      <c r="D2488">
        <v>6822027.4155274918</v>
      </c>
      <c r="E2488">
        <v>6.696182814384199E-6</v>
      </c>
      <c r="F2488">
        <v>6.4569900462768678E-6</v>
      </c>
      <c r="G2488">
        <v>2.3919276810733109E-7</v>
      </c>
      <c r="H2488" t="b">
        <v>0</v>
      </c>
    </row>
    <row r="2489" spans="1:8" x14ac:dyDescent="0.15">
      <c r="A2489">
        <v>219</v>
      </c>
      <c r="B2489">
        <v>8</v>
      </c>
      <c r="C2489">
        <v>5166796.875</v>
      </c>
      <c r="D2489">
        <v>-2000484.560175013</v>
      </c>
      <c r="E2489">
        <v>6.3739362689003223E-6</v>
      </c>
      <c r="F2489">
        <v>6.4569900462768678E-6</v>
      </c>
      <c r="G2489">
        <v>-8.3053777376545567E-8</v>
      </c>
      <c r="H2489" t="b">
        <v>1</v>
      </c>
    </row>
    <row r="2490" spans="1:8" x14ac:dyDescent="0.15">
      <c r="A2490">
        <v>219</v>
      </c>
      <c r="B2490">
        <v>9</v>
      </c>
      <c r="C2490">
        <v>5190039.0625</v>
      </c>
      <c r="D2490">
        <v>2004535.6537714661</v>
      </c>
      <c r="E2490">
        <v>6.5333114820567983E-6</v>
      </c>
      <c r="F2490">
        <v>6.4569900462768678E-6</v>
      </c>
      <c r="G2490">
        <v>7.6321435779929676E-8</v>
      </c>
      <c r="H2490" t="b">
        <v>0</v>
      </c>
    </row>
    <row r="2491" spans="1:8" x14ac:dyDescent="0.15">
      <c r="A2491">
        <v>219</v>
      </c>
      <c r="B2491">
        <v>10</v>
      </c>
      <c r="C2491">
        <v>5201660.15625</v>
      </c>
      <c r="D2491">
        <v>4307678.9910158673</v>
      </c>
      <c r="E2491">
        <v>6.6143026436366087E-6</v>
      </c>
      <c r="F2491">
        <v>6.4569900462768678E-6</v>
      </c>
      <c r="G2491">
        <v>1.5731259735974079E-7</v>
      </c>
      <c r="H2491" t="b">
        <v>0</v>
      </c>
    </row>
    <row r="2492" spans="1:8" x14ac:dyDescent="0.15">
      <c r="A2492">
        <v>219</v>
      </c>
      <c r="B2492">
        <v>11</v>
      </c>
      <c r="C2492">
        <v>5207470.703125</v>
      </c>
      <c r="D2492">
        <v>5537956.238372189</v>
      </c>
      <c r="E2492">
        <v>6.6551311898008108E-6</v>
      </c>
      <c r="F2492">
        <v>6.4569900462768678E-6</v>
      </c>
      <c r="G2492">
        <v>1.9814114352394291E-7</v>
      </c>
      <c r="H2492" t="b">
        <v>0</v>
      </c>
    </row>
    <row r="2493" spans="1:8" x14ac:dyDescent="0.15">
      <c r="A2493">
        <v>219</v>
      </c>
      <c r="B2493">
        <v>12</v>
      </c>
      <c r="C2493">
        <v>5204565.4296875</v>
      </c>
      <c r="D2493">
        <v>4916163.4055861719</v>
      </c>
      <c r="E2493">
        <v>6.6346893443883676E-6</v>
      </c>
      <c r="F2493">
        <v>6.4569900462768678E-6</v>
      </c>
      <c r="G2493">
        <v>1.776992981114998E-7</v>
      </c>
      <c r="H2493" t="b">
        <v>0</v>
      </c>
    </row>
    <row r="2494" spans="1:8" x14ac:dyDescent="0.15">
      <c r="A2494">
        <v>219</v>
      </c>
      <c r="B2494">
        <v>13</v>
      </c>
      <c r="C2494">
        <v>5206018.06640625</v>
      </c>
      <c r="D2494">
        <v>5225390.4604399977</v>
      </c>
      <c r="E2494">
        <v>6.6449034299615249E-6</v>
      </c>
      <c r="F2494">
        <v>6.4569900462768678E-6</v>
      </c>
      <c r="G2494">
        <v>1.8791338368465701E-7</v>
      </c>
      <c r="H2494" t="b">
        <v>0</v>
      </c>
    </row>
    <row r="2495" spans="1:8" x14ac:dyDescent="0.15">
      <c r="A2495">
        <v>220</v>
      </c>
      <c r="B2495">
        <v>1</v>
      </c>
      <c r="C2495">
        <v>6050000</v>
      </c>
      <c r="D2495">
        <v>924295358.05851388</v>
      </c>
      <c r="E2495">
        <v>1.315995812154679E-5</v>
      </c>
      <c r="F2495">
        <v>6.2083362143430363E-6</v>
      </c>
      <c r="G2495">
        <v>6.9516219072037551E-6</v>
      </c>
      <c r="H2495" t="b">
        <v>0</v>
      </c>
    </row>
    <row r="2496" spans="1:8" x14ac:dyDescent="0.15">
      <c r="A2496">
        <v>220</v>
      </c>
      <c r="B2496">
        <v>2</v>
      </c>
      <c r="C2496">
        <v>3075000</v>
      </c>
      <c r="D2496">
        <v>-173603.13745804399</v>
      </c>
      <c r="E2496">
        <v>-1.2246621105753849E-6</v>
      </c>
      <c r="F2496">
        <v>6.2083362143430363E-6</v>
      </c>
      <c r="G2496">
        <v>-7.4329983249184218E-6</v>
      </c>
      <c r="H2496" t="b">
        <v>1</v>
      </c>
    </row>
    <row r="2497" spans="1:8" x14ac:dyDescent="0.15">
      <c r="A2497">
        <v>220</v>
      </c>
      <c r="B2497">
        <v>3</v>
      </c>
      <c r="C2497">
        <v>4562500</v>
      </c>
      <c r="D2497">
        <v>-3267479.7260380131</v>
      </c>
      <c r="E2497">
        <v>2.9367268414571251E-6</v>
      </c>
      <c r="F2497">
        <v>6.2083362143430363E-6</v>
      </c>
      <c r="G2497">
        <v>-3.271609372885912E-6</v>
      </c>
      <c r="H2497" t="b">
        <v>1</v>
      </c>
    </row>
    <row r="2498" spans="1:8" x14ac:dyDescent="0.15">
      <c r="A2498">
        <v>220</v>
      </c>
      <c r="B2498">
        <v>4</v>
      </c>
      <c r="C2498">
        <v>5306250</v>
      </c>
      <c r="D2498">
        <v>4833285.5708307996</v>
      </c>
      <c r="E2498">
        <v>6.3797533678002236E-6</v>
      </c>
      <c r="F2498">
        <v>6.2083362143430363E-6</v>
      </c>
      <c r="G2498">
        <v>1.7141715345718731E-7</v>
      </c>
      <c r="H2498" t="b">
        <v>0</v>
      </c>
    </row>
    <row r="2499" spans="1:8" x14ac:dyDescent="0.15">
      <c r="A2499">
        <v>220</v>
      </c>
      <c r="B2499">
        <v>5</v>
      </c>
      <c r="C2499">
        <v>5678125</v>
      </c>
      <c r="D2499">
        <v>226175373.19911581</v>
      </c>
      <c r="E2499">
        <v>9.2800106932749052E-6</v>
      </c>
      <c r="F2499">
        <v>6.2083362143430363E-6</v>
      </c>
      <c r="G2499">
        <v>3.0716744789318689E-6</v>
      </c>
      <c r="H2499" t="b">
        <v>0</v>
      </c>
    </row>
    <row r="2500" spans="1:8" x14ac:dyDescent="0.15">
      <c r="A2500">
        <v>220</v>
      </c>
      <c r="B2500">
        <v>6</v>
      </c>
      <c r="C2500">
        <v>5492187.5</v>
      </c>
      <c r="D2500">
        <v>73649862.834422559</v>
      </c>
      <c r="E2500">
        <v>7.7160721810827444E-6</v>
      </c>
      <c r="F2500">
        <v>6.2083362143430363E-6</v>
      </c>
      <c r="G2500">
        <v>1.5077359667397079E-6</v>
      </c>
      <c r="H2500" t="b">
        <v>0</v>
      </c>
    </row>
    <row r="2501" spans="1:8" x14ac:dyDescent="0.15">
      <c r="A2501">
        <v>220</v>
      </c>
      <c r="B2501">
        <v>7</v>
      </c>
      <c r="C2501">
        <v>5399218.75</v>
      </c>
      <c r="D2501">
        <v>30827695.98085716</v>
      </c>
      <c r="E2501">
        <v>7.0205847514654789E-6</v>
      </c>
      <c r="F2501">
        <v>6.2083362143430363E-6</v>
      </c>
      <c r="G2501">
        <v>8.1224853712244266E-7</v>
      </c>
      <c r="H2501" t="b">
        <v>0</v>
      </c>
    </row>
    <row r="2502" spans="1:8" x14ac:dyDescent="0.15">
      <c r="A2502">
        <v>220</v>
      </c>
      <c r="B2502">
        <v>8</v>
      </c>
      <c r="C2502">
        <v>5352734.375</v>
      </c>
      <c r="D2502">
        <v>15973493.78533552</v>
      </c>
      <c r="E2502">
        <v>6.6934799184620596E-6</v>
      </c>
      <c r="F2502">
        <v>6.2083362143430363E-6</v>
      </c>
      <c r="G2502">
        <v>4.8514370411902417E-7</v>
      </c>
      <c r="H2502" t="b">
        <v>0</v>
      </c>
    </row>
    <row r="2503" spans="1:8" x14ac:dyDescent="0.15">
      <c r="A2503">
        <v>220</v>
      </c>
      <c r="B2503">
        <v>9</v>
      </c>
      <c r="C2503">
        <v>5329492.1875</v>
      </c>
      <c r="D2503">
        <v>9969262.65369552</v>
      </c>
      <c r="E2503">
        <v>6.5349589893868496E-6</v>
      </c>
      <c r="F2503">
        <v>6.2083362143430363E-6</v>
      </c>
      <c r="G2503">
        <v>3.2662277504381421E-7</v>
      </c>
      <c r="H2503" t="b">
        <v>0</v>
      </c>
    </row>
    <row r="2504" spans="1:8" x14ac:dyDescent="0.15">
      <c r="A2504">
        <v>220</v>
      </c>
      <c r="B2504">
        <v>10</v>
      </c>
      <c r="C2504">
        <v>5317871.09375</v>
      </c>
      <c r="D2504">
        <v>7296443.8641451551</v>
      </c>
      <c r="E2504">
        <v>6.4569424927796654E-6</v>
      </c>
      <c r="F2504">
        <v>6.2083362143430363E-6</v>
      </c>
      <c r="G2504">
        <v>2.4860627843662828E-7</v>
      </c>
      <c r="H2504" t="b">
        <v>0</v>
      </c>
    </row>
    <row r="2505" spans="1:8" x14ac:dyDescent="0.15">
      <c r="A2505">
        <v>220</v>
      </c>
      <c r="B2505">
        <v>11</v>
      </c>
      <c r="C2505">
        <v>5312060.546875</v>
      </c>
      <c r="D2505">
        <v>6039134.645911186</v>
      </c>
      <c r="E2505">
        <v>6.4182450809969204E-6</v>
      </c>
      <c r="F2505">
        <v>6.2083362143430363E-6</v>
      </c>
      <c r="G2505">
        <v>2.099088666538833E-7</v>
      </c>
      <c r="H2505" t="b">
        <v>0</v>
      </c>
    </row>
    <row r="2506" spans="1:8" x14ac:dyDescent="0.15">
      <c r="A2506">
        <v>220</v>
      </c>
      <c r="B2506">
        <v>12</v>
      </c>
      <c r="C2506">
        <v>5309155.2734375</v>
      </c>
      <c r="D2506">
        <v>5429837.5816153372</v>
      </c>
      <c r="E2506">
        <v>6.39897360229236E-6</v>
      </c>
      <c r="F2506">
        <v>6.2083362143430363E-6</v>
      </c>
      <c r="G2506">
        <v>1.9063738794932371E-7</v>
      </c>
      <c r="H2506" t="b">
        <v>0</v>
      </c>
    </row>
    <row r="2507" spans="1:8" x14ac:dyDescent="0.15">
      <c r="A2507">
        <v>220</v>
      </c>
      <c r="B2507">
        <v>13</v>
      </c>
      <c r="C2507">
        <v>5307702.63671875</v>
      </c>
      <c r="D2507">
        <v>5129971.2343626218</v>
      </c>
      <c r="E2507">
        <v>6.3893569397859254E-6</v>
      </c>
      <c r="F2507">
        <v>6.2083362143430363E-6</v>
      </c>
      <c r="G2507">
        <v>1.810207254428891E-7</v>
      </c>
      <c r="H2507" t="b">
        <v>0</v>
      </c>
    </row>
    <row r="2508" spans="1:8" x14ac:dyDescent="0.15">
      <c r="A2508">
        <v>220</v>
      </c>
      <c r="B2508">
        <v>14</v>
      </c>
      <c r="C2508">
        <v>5308202.63671875</v>
      </c>
      <c r="D2508">
        <v>5232824.3401840841</v>
      </c>
      <c r="E2508">
        <v>6.3926654798225863E-6</v>
      </c>
      <c r="F2508">
        <v>6.2083362143430363E-6</v>
      </c>
      <c r="G2508">
        <v>1.843292654795501E-7</v>
      </c>
      <c r="H2508" t="b">
        <v>0</v>
      </c>
    </row>
    <row r="2509" spans="1:8" x14ac:dyDescent="0.15">
      <c r="A2509">
        <v>220</v>
      </c>
      <c r="B2509">
        <v>15</v>
      </c>
      <c r="C2509">
        <v>5308802.63671875</v>
      </c>
      <c r="D2509">
        <v>5356745.188921148</v>
      </c>
      <c r="E2509">
        <v>6.3966377394363868E-6</v>
      </c>
      <c r="F2509">
        <v>6.2083362143430363E-6</v>
      </c>
      <c r="G2509">
        <v>1.8830152509335051E-7</v>
      </c>
      <c r="H2509" t="b">
        <v>0</v>
      </c>
    </row>
    <row r="2510" spans="1:8" x14ac:dyDescent="0.15">
      <c r="A2510">
        <v>221</v>
      </c>
      <c r="B2510">
        <v>1</v>
      </c>
      <c r="C2510">
        <v>6050000</v>
      </c>
      <c r="D2510">
        <v>-7953121.6559484676</v>
      </c>
      <c r="E2510">
        <v>3.9171184805404251E-6</v>
      </c>
      <c r="F2510">
        <v>4.3418879052211344E-6</v>
      </c>
      <c r="G2510">
        <v>-4.2476942468070849E-7</v>
      </c>
      <c r="H2510" t="b">
        <v>1</v>
      </c>
    </row>
    <row r="2511" spans="1:8" x14ac:dyDescent="0.15">
      <c r="A2511">
        <v>221</v>
      </c>
      <c r="B2511">
        <v>2</v>
      </c>
      <c r="C2511">
        <v>9025000</v>
      </c>
      <c r="D2511">
        <v>74981726381.825272</v>
      </c>
      <c r="E2511">
        <v>9.8849853383176748E-5</v>
      </c>
      <c r="F2511">
        <v>4.3418879052211403E-6</v>
      </c>
      <c r="G2511">
        <v>9.4507965477955608E-5</v>
      </c>
      <c r="H2511" t="b">
        <v>0</v>
      </c>
    </row>
    <row r="2512" spans="1:8" x14ac:dyDescent="0.15">
      <c r="A2512">
        <v>221</v>
      </c>
      <c r="B2512">
        <v>3</v>
      </c>
      <c r="C2512">
        <v>7537500</v>
      </c>
      <c r="D2512">
        <v>3326940736.4924831</v>
      </c>
      <c r="E2512">
        <v>1.4539576195766741E-5</v>
      </c>
      <c r="F2512">
        <v>4.3418879052211344E-6</v>
      </c>
      <c r="G2512">
        <v>1.01976882905456E-5</v>
      </c>
      <c r="H2512" t="b">
        <v>0</v>
      </c>
    </row>
    <row r="2513" spans="1:8" x14ac:dyDescent="0.15">
      <c r="A2513">
        <v>221</v>
      </c>
      <c r="B2513">
        <v>4</v>
      </c>
      <c r="C2513">
        <v>6793750</v>
      </c>
      <c r="D2513">
        <v>362230389.54252517</v>
      </c>
      <c r="E2513">
        <v>7.3201228047468261E-6</v>
      </c>
      <c r="F2513">
        <v>4.3418879052211344E-6</v>
      </c>
      <c r="G2513">
        <v>2.978234899525693E-6</v>
      </c>
      <c r="H2513" t="b">
        <v>0</v>
      </c>
    </row>
    <row r="2514" spans="1:8" x14ac:dyDescent="0.15">
      <c r="A2514">
        <v>221</v>
      </c>
      <c r="B2514">
        <v>5</v>
      </c>
      <c r="C2514">
        <v>6421875</v>
      </c>
      <c r="D2514">
        <v>62770539.158016361</v>
      </c>
      <c r="E2514">
        <v>5.386210685605465E-6</v>
      </c>
      <c r="F2514">
        <v>4.3418879052211344E-6</v>
      </c>
      <c r="G2514">
        <v>1.044322780384331E-6</v>
      </c>
      <c r="H2514" t="b">
        <v>0</v>
      </c>
    </row>
    <row r="2515" spans="1:8" x14ac:dyDescent="0.15">
      <c r="A2515">
        <v>221</v>
      </c>
      <c r="B2515">
        <v>6</v>
      </c>
      <c r="C2515">
        <v>6235937.5</v>
      </c>
      <c r="D2515">
        <v>9332545.0140321851</v>
      </c>
      <c r="E2515">
        <v>4.5976474977387199E-6</v>
      </c>
      <c r="F2515">
        <v>4.3418879052211344E-6</v>
      </c>
      <c r="G2515">
        <v>2.5575959251758638E-7</v>
      </c>
      <c r="H2515" t="b">
        <v>0</v>
      </c>
    </row>
    <row r="2516" spans="1:8" x14ac:dyDescent="0.15">
      <c r="A2516">
        <v>221</v>
      </c>
      <c r="B2516">
        <v>7</v>
      </c>
      <c r="C2516">
        <v>6142968.75</v>
      </c>
      <c r="D2516">
        <v>-2608016.3317787</v>
      </c>
      <c r="E2516">
        <v>4.2443983991855766E-6</v>
      </c>
      <c r="F2516">
        <v>4.3418879052211344E-6</v>
      </c>
      <c r="G2516">
        <v>-9.7489506035556077E-8</v>
      </c>
      <c r="H2516" t="b">
        <v>1</v>
      </c>
    </row>
    <row r="2517" spans="1:8" x14ac:dyDescent="0.15">
      <c r="A2517">
        <v>221</v>
      </c>
      <c r="B2517">
        <v>8</v>
      </c>
      <c r="C2517">
        <v>6189453.125</v>
      </c>
      <c r="D2517">
        <v>2383780.6699369592</v>
      </c>
      <c r="E2517">
        <v>4.4177106890623376E-6</v>
      </c>
      <c r="F2517">
        <v>4.3418879052211344E-6</v>
      </c>
      <c r="G2517">
        <v>7.5822783841204868E-8</v>
      </c>
      <c r="H2517" t="b">
        <v>0</v>
      </c>
    </row>
    <row r="2518" spans="1:8" x14ac:dyDescent="0.15">
      <c r="A2518">
        <v>221</v>
      </c>
      <c r="B2518">
        <v>9</v>
      </c>
      <c r="C2518">
        <v>6212695.3125</v>
      </c>
      <c r="D2518">
        <v>5595022.8133346364</v>
      </c>
      <c r="E2518">
        <v>4.5068388385830588E-6</v>
      </c>
      <c r="F2518">
        <v>4.3418879052211344E-6</v>
      </c>
      <c r="G2518">
        <v>1.6495093336192519E-7</v>
      </c>
      <c r="H2518" t="b">
        <v>0</v>
      </c>
    </row>
    <row r="2519" spans="1:8" x14ac:dyDescent="0.15">
      <c r="A2519">
        <v>221</v>
      </c>
      <c r="B2519">
        <v>10</v>
      </c>
      <c r="C2519">
        <v>6224316.40625</v>
      </c>
      <c r="D2519">
        <v>7395671.3333999868</v>
      </c>
      <c r="E2519">
        <v>4.5520322462984903E-6</v>
      </c>
      <c r="F2519">
        <v>4.3418879052211344E-6</v>
      </c>
      <c r="G2519">
        <v>2.1014434107735671E-7</v>
      </c>
      <c r="H2519" t="b">
        <v>0</v>
      </c>
    </row>
    <row r="2520" spans="1:8" x14ac:dyDescent="0.15">
      <c r="A2520">
        <v>221</v>
      </c>
      <c r="B2520">
        <v>11</v>
      </c>
      <c r="C2520">
        <v>6218505.859375</v>
      </c>
      <c r="D2520">
        <v>6478614.083404636</v>
      </c>
      <c r="E2520">
        <v>4.5293829932242306E-6</v>
      </c>
      <c r="F2520">
        <v>4.3418879052211344E-6</v>
      </c>
      <c r="G2520">
        <v>1.8749508800309789E-7</v>
      </c>
      <c r="H2520" t="b">
        <v>0</v>
      </c>
    </row>
    <row r="2521" spans="1:8" x14ac:dyDescent="0.15">
      <c r="A2521">
        <v>221</v>
      </c>
      <c r="B2521">
        <v>12</v>
      </c>
      <c r="C2521">
        <v>6215600.5859375</v>
      </c>
      <c r="D2521">
        <v>6032674.3570498042</v>
      </c>
      <c r="E2521">
        <v>4.5180978628317619E-6</v>
      </c>
      <c r="F2521">
        <v>4.3418879052211344E-6</v>
      </c>
      <c r="G2521">
        <v>1.7620995761062829E-7</v>
      </c>
      <c r="H2521" t="b">
        <v>0</v>
      </c>
    </row>
    <row r="2522" spans="1:8" x14ac:dyDescent="0.15">
      <c r="A2522">
        <v>221</v>
      </c>
      <c r="B2522">
        <v>13</v>
      </c>
      <c r="C2522">
        <v>6217053.22265625</v>
      </c>
      <c r="D2522">
        <v>6254596.8717347998</v>
      </c>
      <c r="E2522">
        <v>4.5237369909956687E-6</v>
      </c>
      <c r="F2522">
        <v>4.3418879052211344E-6</v>
      </c>
      <c r="G2522">
        <v>1.8184908577453521E-7</v>
      </c>
      <c r="H2522" t="b">
        <v>0</v>
      </c>
    </row>
    <row r="2523" spans="1:8" x14ac:dyDescent="0.15">
      <c r="A2523">
        <v>222</v>
      </c>
      <c r="B2523">
        <v>1</v>
      </c>
      <c r="C2523">
        <v>6050000</v>
      </c>
      <c r="D2523">
        <v>-9233121.3035985865</v>
      </c>
      <c r="E2523">
        <v>3.423926286629164E-6</v>
      </c>
      <c r="F2523">
        <v>4.1762257979177291E-6</v>
      </c>
      <c r="G2523">
        <v>-7.5229951128856465E-7</v>
      </c>
      <c r="H2523" t="b">
        <v>1</v>
      </c>
    </row>
    <row r="2524" spans="1:8" x14ac:dyDescent="0.15">
      <c r="A2524">
        <v>222</v>
      </c>
      <c r="B2524">
        <v>2</v>
      </c>
      <c r="C2524">
        <v>9025000</v>
      </c>
      <c r="D2524">
        <v>56134672264.401573</v>
      </c>
      <c r="E2524">
        <v>7.7194308984068427E-5</v>
      </c>
      <c r="F2524">
        <v>4.1762257979177257E-6</v>
      </c>
      <c r="G2524">
        <v>7.3018083186150701E-5</v>
      </c>
      <c r="H2524" t="b">
        <v>0</v>
      </c>
    </row>
    <row r="2525" spans="1:8" x14ac:dyDescent="0.15">
      <c r="A2525">
        <v>222</v>
      </c>
      <c r="B2525">
        <v>3</v>
      </c>
      <c r="C2525">
        <v>7537500</v>
      </c>
      <c r="D2525">
        <v>1824186241.1362171</v>
      </c>
      <c r="E2525">
        <v>1.115177780102074E-5</v>
      </c>
      <c r="F2525">
        <v>4.1762257979177291E-6</v>
      </c>
      <c r="G2525">
        <v>6.9755520031030071E-6</v>
      </c>
      <c r="H2525" t="b">
        <v>0</v>
      </c>
    </row>
    <row r="2526" spans="1:8" x14ac:dyDescent="0.15">
      <c r="A2526">
        <v>222</v>
      </c>
      <c r="B2526">
        <v>4</v>
      </c>
      <c r="C2526">
        <v>6793750</v>
      </c>
      <c r="D2526">
        <v>220488087.1879971</v>
      </c>
      <c r="E2526">
        <v>6.3516005833739138E-6</v>
      </c>
      <c r="F2526">
        <v>4.1762257979177291E-6</v>
      </c>
      <c r="G2526">
        <v>2.1753747854561851E-6</v>
      </c>
      <c r="H2526" t="b">
        <v>0</v>
      </c>
    </row>
    <row r="2527" spans="1:8" x14ac:dyDescent="0.15">
      <c r="A2527">
        <v>222</v>
      </c>
      <c r="B2527">
        <v>5</v>
      </c>
      <c r="C2527">
        <v>6421875</v>
      </c>
      <c r="D2527">
        <v>22838643.75882097</v>
      </c>
      <c r="E2527">
        <v>4.6822466295657827E-6</v>
      </c>
      <c r="F2527">
        <v>4.1762257979177291E-6</v>
      </c>
      <c r="G2527">
        <v>5.0602083164805366E-7</v>
      </c>
      <c r="H2527" t="b">
        <v>0</v>
      </c>
    </row>
    <row r="2528" spans="1:8" x14ac:dyDescent="0.15">
      <c r="A2528">
        <v>222</v>
      </c>
      <c r="B2528">
        <v>6</v>
      </c>
      <c r="C2528">
        <v>6235937.5</v>
      </c>
      <c r="D2528">
        <v>-4248115.5154461106</v>
      </c>
      <c r="E2528">
        <v>4.0055161639075148E-6</v>
      </c>
      <c r="F2528">
        <v>4.1762257979177291E-6</v>
      </c>
      <c r="G2528">
        <v>-1.7070963401021431E-7</v>
      </c>
      <c r="H2528" t="b">
        <v>1</v>
      </c>
    </row>
    <row r="2529" spans="1:8" x14ac:dyDescent="0.15">
      <c r="A2529">
        <v>222</v>
      </c>
      <c r="B2529">
        <v>7</v>
      </c>
      <c r="C2529">
        <v>6328906.25</v>
      </c>
      <c r="D2529">
        <v>5323755.2590468926</v>
      </c>
      <c r="E2529">
        <v>4.3314975716989306E-6</v>
      </c>
      <c r="F2529">
        <v>4.1762257979177291E-6</v>
      </c>
      <c r="G2529">
        <v>1.5527177378120161E-7</v>
      </c>
      <c r="H2529" t="b">
        <v>0</v>
      </c>
    </row>
    <row r="2530" spans="1:8" x14ac:dyDescent="0.15">
      <c r="A2530">
        <v>222</v>
      </c>
      <c r="B2530">
        <v>8</v>
      </c>
      <c r="C2530">
        <v>6375390.625</v>
      </c>
      <c r="D2530">
        <v>12947275.348881699</v>
      </c>
      <c r="E2530">
        <v>4.5037166659204973E-6</v>
      </c>
      <c r="F2530">
        <v>4.1762257979177291E-6</v>
      </c>
      <c r="G2530">
        <v>3.2749086800276832E-7</v>
      </c>
      <c r="H2530" t="b">
        <v>0</v>
      </c>
    </row>
    <row r="2531" spans="1:8" x14ac:dyDescent="0.15">
      <c r="A2531">
        <v>222</v>
      </c>
      <c r="B2531">
        <v>9</v>
      </c>
      <c r="C2531">
        <v>6352148.4375</v>
      </c>
      <c r="D2531">
        <v>8870139.4991341401</v>
      </c>
      <c r="E2531">
        <v>4.4168287254731464E-6</v>
      </c>
      <c r="F2531">
        <v>4.1762257979177291E-6</v>
      </c>
      <c r="G2531">
        <v>2.4060292755541729E-7</v>
      </c>
      <c r="H2531" t="b">
        <v>0</v>
      </c>
    </row>
    <row r="2532" spans="1:8" x14ac:dyDescent="0.15">
      <c r="A2532">
        <v>222</v>
      </c>
      <c r="B2532">
        <v>10</v>
      </c>
      <c r="C2532">
        <v>6340527.34375</v>
      </c>
      <c r="D2532">
        <v>7032749.362340983</v>
      </c>
      <c r="E2532">
        <v>4.3739679143520238E-6</v>
      </c>
      <c r="F2532">
        <v>4.1762257979177291E-6</v>
      </c>
      <c r="G2532">
        <v>1.977421164342947E-7</v>
      </c>
      <c r="H2532" t="b">
        <v>0</v>
      </c>
    </row>
    <row r="2533" spans="1:8" x14ac:dyDescent="0.15">
      <c r="A2533">
        <v>222</v>
      </c>
      <c r="B2533">
        <v>11</v>
      </c>
      <c r="C2533">
        <v>6334716.796875</v>
      </c>
      <c r="D2533">
        <v>6162475.3166414006</v>
      </c>
      <c r="E2533">
        <v>4.3526839620304939E-6</v>
      </c>
      <c r="F2533">
        <v>4.1762257979177291E-6</v>
      </c>
      <c r="G2533">
        <v>1.764581641127649E-7</v>
      </c>
      <c r="H2533" t="b">
        <v>0</v>
      </c>
    </row>
    <row r="2534" spans="1:8" x14ac:dyDescent="0.15">
      <c r="A2534">
        <v>222</v>
      </c>
      <c r="B2534">
        <v>12</v>
      </c>
      <c r="C2534">
        <v>6337622.0703125</v>
      </c>
      <c r="D2534">
        <v>6593631.4107698826</v>
      </c>
      <c r="E2534">
        <v>4.3633136743263259E-6</v>
      </c>
      <c r="F2534">
        <v>4.1762257979177291E-6</v>
      </c>
      <c r="G2534">
        <v>1.870878764085968E-7</v>
      </c>
      <c r="H2534" t="b">
        <v>0</v>
      </c>
    </row>
    <row r="2535" spans="1:8" x14ac:dyDescent="0.15">
      <c r="A2535">
        <v>222</v>
      </c>
      <c r="B2535">
        <v>13</v>
      </c>
      <c r="C2535">
        <v>6336169.43359375</v>
      </c>
      <c r="D2535">
        <v>6377063.1859235307</v>
      </c>
      <c r="E2535">
        <v>4.3579957719578812E-6</v>
      </c>
      <c r="F2535">
        <v>4.1762257979177291E-6</v>
      </c>
      <c r="G2535">
        <v>1.8176997404015209E-7</v>
      </c>
      <c r="H2535" t="b">
        <v>0</v>
      </c>
    </row>
    <row r="2536" spans="1:8" x14ac:dyDescent="0.15">
      <c r="A2536">
        <v>223</v>
      </c>
      <c r="B2536">
        <v>1</v>
      </c>
      <c r="C2536">
        <v>6050000</v>
      </c>
      <c r="D2536">
        <v>-2758695.2288106368</v>
      </c>
      <c r="E2536">
        <v>1.424257599965713E-6</v>
      </c>
      <c r="F2536">
        <v>3.0465509744099369E-6</v>
      </c>
      <c r="G2536">
        <v>-1.622293374444225E-6</v>
      </c>
      <c r="H2536" t="b">
        <v>1</v>
      </c>
    </row>
    <row r="2537" spans="1:8" x14ac:dyDescent="0.15">
      <c r="A2537">
        <v>223</v>
      </c>
      <c r="B2537">
        <v>2</v>
      </c>
      <c r="C2537">
        <v>9025000</v>
      </c>
      <c r="D2537">
        <v>4138202551.7493701</v>
      </c>
      <c r="E2537">
        <v>1.1060517513884589E-5</v>
      </c>
      <c r="F2537">
        <v>3.0465509744099369E-6</v>
      </c>
      <c r="G2537">
        <v>8.0139665394746507E-6</v>
      </c>
      <c r="H2537" t="b">
        <v>0</v>
      </c>
    </row>
    <row r="2538" spans="1:8" x14ac:dyDescent="0.15">
      <c r="A2538">
        <v>223</v>
      </c>
      <c r="B2538">
        <v>3</v>
      </c>
      <c r="C2538">
        <v>7537500</v>
      </c>
      <c r="D2538">
        <v>70227769.11967577</v>
      </c>
      <c r="E2538">
        <v>3.922228528116465E-6</v>
      </c>
      <c r="F2538">
        <v>3.0465509744099369E-6</v>
      </c>
      <c r="G2538">
        <v>8.7567755370652769E-7</v>
      </c>
      <c r="H2538" t="b">
        <v>0</v>
      </c>
    </row>
    <row r="2539" spans="1:8" x14ac:dyDescent="0.15">
      <c r="A2539">
        <v>223</v>
      </c>
      <c r="B2539">
        <v>4</v>
      </c>
      <c r="C2539">
        <v>6793750</v>
      </c>
      <c r="D2539">
        <v>-7227124.5587401716</v>
      </c>
      <c r="E2539">
        <v>2.3201531735049901E-6</v>
      </c>
      <c r="F2539">
        <v>3.0465509744099369E-6</v>
      </c>
      <c r="G2539">
        <v>-7.2639780090494756E-7</v>
      </c>
      <c r="H2539" t="b">
        <v>1</v>
      </c>
    </row>
    <row r="2540" spans="1:8" x14ac:dyDescent="0.15">
      <c r="A2540">
        <v>223</v>
      </c>
      <c r="B2540">
        <v>5</v>
      </c>
      <c r="C2540">
        <v>7165625</v>
      </c>
      <c r="D2540">
        <v>-988164.57567622326</v>
      </c>
      <c r="E2540">
        <v>3.014226517362657E-6</v>
      </c>
      <c r="F2540">
        <v>3.0465509744099369E-6</v>
      </c>
      <c r="G2540">
        <v>-3.2324457047279879E-8</v>
      </c>
      <c r="H2540" t="b">
        <v>1</v>
      </c>
    </row>
    <row r="2541" spans="1:8" x14ac:dyDescent="0.15">
      <c r="A2541">
        <v>223</v>
      </c>
      <c r="B2541">
        <v>6</v>
      </c>
      <c r="C2541">
        <v>7351562.5</v>
      </c>
      <c r="D2541">
        <v>20526862.392906871</v>
      </c>
      <c r="E2541">
        <v>3.4395270773013418E-6</v>
      </c>
      <c r="F2541">
        <v>3.0465509744099369E-6</v>
      </c>
      <c r="G2541">
        <v>3.9297610289140462E-7</v>
      </c>
      <c r="H2541" t="b">
        <v>0</v>
      </c>
    </row>
    <row r="2542" spans="1:8" x14ac:dyDescent="0.15">
      <c r="A2542">
        <v>223</v>
      </c>
      <c r="B2542">
        <v>7</v>
      </c>
      <c r="C2542">
        <v>7258593.75</v>
      </c>
      <c r="D2542">
        <v>7022412.3990360554</v>
      </c>
      <c r="E2542">
        <v>3.219944879301637E-6</v>
      </c>
      <c r="F2542">
        <v>3.0465509744099369E-6</v>
      </c>
      <c r="G2542">
        <v>1.7339390489170019E-7</v>
      </c>
      <c r="H2542" t="b">
        <v>0</v>
      </c>
    </row>
    <row r="2543" spans="1:8" x14ac:dyDescent="0.15">
      <c r="A2543">
        <v>223</v>
      </c>
      <c r="B2543">
        <v>8</v>
      </c>
      <c r="C2543">
        <v>7305078.125</v>
      </c>
      <c r="D2543">
        <v>12994516.438722789</v>
      </c>
      <c r="E2543">
        <v>3.327971617300471E-6</v>
      </c>
      <c r="F2543">
        <v>3.0465509744099369E-6</v>
      </c>
      <c r="G2543">
        <v>2.8142064289053332E-7</v>
      </c>
      <c r="H2543" t="b">
        <v>0</v>
      </c>
    </row>
    <row r="2544" spans="1:8" x14ac:dyDescent="0.15">
      <c r="A2544">
        <v>223</v>
      </c>
      <c r="B2544">
        <v>9</v>
      </c>
      <c r="C2544">
        <v>7281835.9375</v>
      </c>
      <c r="D2544">
        <v>9825159.5887323935</v>
      </c>
      <c r="E2544">
        <v>3.273519158954263E-6</v>
      </c>
      <c r="F2544">
        <v>3.0465509744099369E-6</v>
      </c>
      <c r="G2544">
        <v>2.2696818454432529E-7</v>
      </c>
      <c r="H2544" t="b">
        <v>0</v>
      </c>
    </row>
    <row r="2545" spans="1:8" x14ac:dyDescent="0.15">
      <c r="A2545">
        <v>223</v>
      </c>
      <c r="B2545">
        <v>10</v>
      </c>
      <c r="C2545">
        <v>7270214.84375</v>
      </c>
      <c r="D2545">
        <v>8379419.5750785638</v>
      </c>
      <c r="E2545">
        <v>3.2466227577542522E-6</v>
      </c>
      <c r="F2545">
        <v>3.0465509744099369E-6</v>
      </c>
      <c r="G2545">
        <v>2.000717833443145E-7</v>
      </c>
      <c r="H2545" t="b">
        <v>0</v>
      </c>
    </row>
    <row r="2546" spans="1:8" x14ac:dyDescent="0.15">
      <c r="A2546">
        <v>223</v>
      </c>
      <c r="B2546">
        <v>11</v>
      </c>
      <c r="C2546">
        <v>7264404.296875</v>
      </c>
      <c r="D2546">
        <v>7690010.7861893261</v>
      </c>
      <c r="E2546">
        <v>3.233256675895106E-6</v>
      </c>
      <c r="F2546">
        <v>3.0465509744099369E-6</v>
      </c>
      <c r="G2546">
        <v>1.867057014851683E-7</v>
      </c>
      <c r="H2546" t="b">
        <v>0</v>
      </c>
    </row>
    <row r="2547" spans="1:8" x14ac:dyDescent="0.15">
      <c r="A2547">
        <v>223</v>
      </c>
      <c r="B2547">
        <v>12</v>
      </c>
      <c r="C2547">
        <v>7261499.0234375</v>
      </c>
      <c r="D2547">
        <v>7353507.8962608902</v>
      </c>
      <c r="E2547">
        <v>3.2265940035106318E-6</v>
      </c>
      <c r="F2547">
        <v>3.0465509744099369E-6</v>
      </c>
      <c r="G2547">
        <v>1.800430291006945E-7</v>
      </c>
      <c r="H2547" t="b">
        <v>0</v>
      </c>
    </row>
    <row r="2548" spans="1:8" x14ac:dyDescent="0.15">
      <c r="A2548">
        <v>223</v>
      </c>
      <c r="B2548">
        <v>13</v>
      </c>
      <c r="C2548">
        <v>7260046.38671875</v>
      </c>
      <c r="D2548">
        <v>7187288.965315884</v>
      </c>
      <c r="E2548">
        <v>3.2232677885004641E-6</v>
      </c>
      <c r="F2548">
        <v>3.0465509744099369E-6</v>
      </c>
      <c r="G2548">
        <v>1.767168140905272E-7</v>
      </c>
      <c r="H2548" t="b">
        <v>0</v>
      </c>
    </row>
    <row r="2549" spans="1:8" x14ac:dyDescent="0.15">
      <c r="A2549">
        <v>223</v>
      </c>
      <c r="B2549">
        <v>14</v>
      </c>
      <c r="C2549">
        <v>7260546.38671875</v>
      </c>
      <c r="D2549">
        <v>7244344.6957942601</v>
      </c>
      <c r="E2549">
        <v>3.224412197281791E-6</v>
      </c>
      <c r="F2549">
        <v>3.0465509744099369E-6</v>
      </c>
      <c r="G2549">
        <v>1.778612228718537E-7</v>
      </c>
      <c r="H2549" t="b">
        <v>0</v>
      </c>
    </row>
    <row r="2550" spans="1:8" x14ac:dyDescent="0.15">
      <c r="A2550">
        <v>224</v>
      </c>
      <c r="B2550">
        <v>1</v>
      </c>
      <c r="C2550">
        <v>6050000</v>
      </c>
      <c r="D2550">
        <v>-1839174.7898215889</v>
      </c>
      <c r="E2550">
        <v>1.059286727599906E-6</v>
      </c>
      <c r="F2550">
        <v>2.8085951652339211E-6</v>
      </c>
      <c r="G2550">
        <v>-1.7493084376340159E-6</v>
      </c>
      <c r="H2550" t="b">
        <v>1</v>
      </c>
    </row>
    <row r="2551" spans="1:8" x14ac:dyDescent="0.15">
      <c r="A2551">
        <v>224</v>
      </c>
      <c r="B2551">
        <v>2</v>
      </c>
      <c r="C2551">
        <v>9025000</v>
      </c>
      <c r="D2551">
        <v>1764376760.9552591</v>
      </c>
      <c r="E2551">
        <v>7.5318601332713724E-6</v>
      </c>
      <c r="F2551">
        <v>2.8085951652339211E-6</v>
      </c>
      <c r="G2551">
        <v>4.7232649680374509E-6</v>
      </c>
      <c r="H2551" t="b">
        <v>0</v>
      </c>
    </row>
    <row r="2552" spans="1:8" x14ac:dyDescent="0.15">
      <c r="A2552">
        <v>224</v>
      </c>
      <c r="B2552">
        <v>3</v>
      </c>
      <c r="C2552">
        <v>7537500</v>
      </c>
      <c r="D2552">
        <v>3185673.7010526708</v>
      </c>
      <c r="E2552">
        <v>2.894551879593321E-6</v>
      </c>
      <c r="F2552">
        <v>2.8085951652339211E-6</v>
      </c>
      <c r="G2552">
        <v>8.5956714359399893E-8</v>
      </c>
      <c r="H2552" t="b">
        <v>0</v>
      </c>
    </row>
    <row r="2553" spans="1:8" x14ac:dyDescent="0.15">
      <c r="A2553">
        <v>224</v>
      </c>
      <c r="B2553">
        <v>4</v>
      </c>
      <c r="C2553">
        <v>8281250</v>
      </c>
      <c r="D2553">
        <v>322329074.93815303</v>
      </c>
      <c r="E2553">
        <v>4.7474144465011171E-6</v>
      </c>
      <c r="F2553">
        <v>2.8085951652339211E-6</v>
      </c>
      <c r="G2553">
        <v>1.938819281267196E-6</v>
      </c>
      <c r="H2553" t="b">
        <v>0</v>
      </c>
    </row>
    <row r="2554" spans="1:8" x14ac:dyDescent="0.15">
      <c r="A2554">
        <v>224</v>
      </c>
      <c r="B2554">
        <v>5</v>
      </c>
      <c r="C2554">
        <v>7909375</v>
      </c>
      <c r="D2554">
        <v>81974931.375428304</v>
      </c>
      <c r="E2554">
        <v>3.7161240548762798E-6</v>
      </c>
      <c r="F2554">
        <v>2.8085951652339211E-6</v>
      </c>
      <c r="G2554">
        <v>9.0752888964235873E-7</v>
      </c>
      <c r="H2554" t="b">
        <v>0</v>
      </c>
    </row>
    <row r="2555" spans="1:8" x14ac:dyDescent="0.15">
      <c r="A2555">
        <v>224</v>
      </c>
      <c r="B2555">
        <v>6</v>
      </c>
      <c r="C2555">
        <v>7723437.5</v>
      </c>
      <c r="D2555">
        <v>28625768.865716659</v>
      </c>
      <c r="E2555">
        <v>3.280657554970176E-6</v>
      </c>
      <c r="F2555">
        <v>2.8085951652339211E-6</v>
      </c>
      <c r="G2555">
        <v>4.7206238973625447E-7</v>
      </c>
      <c r="H2555" t="b">
        <v>0</v>
      </c>
    </row>
    <row r="2556" spans="1:8" x14ac:dyDescent="0.15">
      <c r="A2556">
        <v>224</v>
      </c>
      <c r="B2556">
        <v>7</v>
      </c>
      <c r="C2556">
        <v>7630468.75</v>
      </c>
      <c r="D2556">
        <v>13113313.563401651</v>
      </c>
      <c r="E2556">
        <v>3.0816314779120309E-6</v>
      </c>
      <c r="F2556">
        <v>2.8085951652339211E-6</v>
      </c>
      <c r="G2556">
        <v>2.7303631267810978E-7</v>
      </c>
      <c r="H2556" t="b">
        <v>0</v>
      </c>
    </row>
    <row r="2557" spans="1:8" x14ac:dyDescent="0.15">
      <c r="A2557">
        <v>224</v>
      </c>
      <c r="B2557">
        <v>8</v>
      </c>
      <c r="C2557">
        <v>7583984.375</v>
      </c>
      <c r="D2557">
        <v>7530144.0635849703</v>
      </c>
      <c r="E2557">
        <v>2.9866244859684379E-6</v>
      </c>
      <c r="F2557">
        <v>2.8085951652339211E-6</v>
      </c>
      <c r="G2557">
        <v>1.780293207345168E-7</v>
      </c>
      <c r="H2557" t="b">
        <v>0</v>
      </c>
    </row>
    <row r="2558" spans="1:8" x14ac:dyDescent="0.15">
      <c r="A2558">
        <v>225</v>
      </c>
      <c r="B2558">
        <v>1</v>
      </c>
      <c r="C2558">
        <v>6050000</v>
      </c>
      <c r="D2558">
        <v>-1552740.870368571</v>
      </c>
      <c r="E2558">
        <v>8.9459333628803604E-7</v>
      </c>
      <c r="F2558">
        <v>2.6448802811588879E-6</v>
      </c>
      <c r="G2558">
        <v>-1.750286944870852E-6</v>
      </c>
      <c r="H2558" t="b">
        <v>1</v>
      </c>
    </row>
    <row r="2559" spans="1:8" x14ac:dyDescent="0.15">
      <c r="A2559">
        <v>225</v>
      </c>
      <c r="B2559">
        <v>2</v>
      </c>
      <c r="C2559">
        <v>9025000</v>
      </c>
      <c r="D2559">
        <v>1322598148.9359131</v>
      </c>
      <c r="E2559">
        <v>6.4919699117891006E-6</v>
      </c>
      <c r="F2559">
        <v>2.6448802811588879E-6</v>
      </c>
      <c r="G2559">
        <v>3.8470896306302144E-6</v>
      </c>
      <c r="H2559" t="b">
        <v>0</v>
      </c>
    </row>
    <row r="2560" spans="1:8" x14ac:dyDescent="0.15">
      <c r="A2560">
        <v>225</v>
      </c>
      <c r="B2560">
        <v>3</v>
      </c>
      <c r="C2560">
        <v>7537500</v>
      </c>
      <c r="D2560">
        <v>-3419742.6311567328</v>
      </c>
      <c r="E2560">
        <v>2.5168963189577329E-6</v>
      </c>
      <c r="F2560">
        <v>2.6448802811588879E-6</v>
      </c>
      <c r="G2560">
        <v>-1.2798396220115501E-7</v>
      </c>
      <c r="H2560" t="b">
        <v>1</v>
      </c>
    </row>
    <row r="2561" spans="1:8" x14ac:dyDescent="0.15">
      <c r="A2561">
        <v>225</v>
      </c>
      <c r="B2561">
        <v>4</v>
      </c>
      <c r="C2561">
        <v>8281250</v>
      </c>
      <c r="D2561">
        <v>204778774.91412309</v>
      </c>
      <c r="E2561">
        <v>4.0941832730455546E-6</v>
      </c>
      <c r="F2561">
        <v>2.6448802811588879E-6</v>
      </c>
      <c r="G2561">
        <v>1.4493029918866679E-6</v>
      </c>
      <c r="H2561" t="b">
        <v>0</v>
      </c>
    </row>
    <row r="2562" spans="1:8" x14ac:dyDescent="0.15">
      <c r="A2562">
        <v>225</v>
      </c>
      <c r="B2562">
        <v>5</v>
      </c>
      <c r="C2562">
        <v>7909375</v>
      </c>
      <c r="D2562">
        <v>40380781.289298587</v>
      </c>
      <c r="E2562">
        <v>3.213773695376327E-6</v>
      </c>
      <c r="F2562">
        <v>2.6448802811588879E-6</v>
      </c>
      <c r="G2562">
        <v>5.6889341421743866E-7</v>
      </c>
      <c r="H2562" t="b">
        <v>0</v>
      </c>
    </row>
    <row r="2563" spans="1:8" x14ac:dyDescent="0.15">
      <c r="A2563">
        <v>225</v>
      </c>
      <c r="B2563">
        <v>6</v>
      </c>
      <c r="C2563">
        <v>7723437.5</v>
      </c>
      <c r="D2563">
        <v>8920883.9072595164</v>
      </c>
      <c r="E2563">
        <v>2.8438135375402241E-6</v>
      </c>
      <c r="F2563">
        <v>2.6448802811588879E-6</v>
      </c>
      <c r="G2563">
        <v>1.989332563813358E-7</v>
      </c>
      <c r="H2563" t="b">
        <v>0</v>
      </c>
    </row>
    <row r="2564" spans="1:8" x14ac:dyDescent="0.15">
      <c r="A2564">
        <v>225</v>
      </c>
      <c r="B2564">
        <v>7</v>
      </c>
      <c r="C2564">
        <v>7630468.75</v>
      </c>
      <c r="D2564">
        <v>1048540.979311825</v>
      </c>
      <c r="E2564">
        <v>2.6751556292235198E-6</v>
      </c>
      <c r="F2564">
        <v>2.6448802811588879E-6</v>
      </c>
      <c r="G2564">
        <v>3.027534806463231E-8</v>
      </c>
      <c r="H2564" t="b">
        <v>0</v>
      </c>
    </row>
    <row r="2565" spans="1:8" x14ac:dyDescent="0.15">
      <c r="A2565">
        <v>225</v>
      </c>
      <c r="B2565">
        <v>8</v>
      </c>
      <c r="C2565">
        <v>7676953.125</v>
      </c>
      <c r="D2565">
        <v>4467866.5904503539</v>
      </c>
      <c r="E2565">
        <v>2.7581639671702599E-6</v>
      </c>
      <c r="F2565">
        <v>2.6448802811588879E-6</v>
      </c>
      <c r="G2565">
        <v>1.13283686011372E-7</v>
      </c>
      <c r="H2565" t="b">
        <v>0</v>
      </c>
    </row>
    <row r="2566" spans="1:8" x14ac:dyDescent="0.15">
      <c r="A2566">
        <v>225</v>
      </c>
      <c r="B2566">
        <v>9</v>
      </c>
      <c r="C2566">
        <v>7700195.3125</v>
      </c>
      <c r="D2566">
        <v>6556066.9386843462</v>
      </c>
      <c r="E2566">
        <v>2.80065622865334E-6</v>
      </c>
      <c r="F2566">
        <v>2.6448802811588879E-6</v>
      </c>
      <c r="G2566">
        <v>1.5577594749445201E-7</v>
      </c>
      <c r="H2566" t="b">
        <v>0</v>
      </c>
    </row>
    <row r="2567" spans="1:8" x14ac:dyDescent="0.15">
      <c r="A2567">
        <v>225</v>
      </c>
      <c r="B2567">
        <v>10</v>
      </c>
      <c r="C2567">
        <v>7711816.40625</v>
      </c>
      <c r="D2567">
        <v>7706866.6504258448</v>
      </c>
      <c r="E2567">
        <v>2.8221507772346941E-6</v>
      </c>
      <c r="F2567">
        <v>2.6448802811588879E-6</v>
      </c>
      <c r="G2567">
        <v>1.7727049607580619E-7</v>
      </c>
      <c r="H2567" t="b"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0"/>
  <sheetViews>
    <sheetView workbookViewId="0"/>
  </sheetViews>
  <sheetFormatPr defaultRowHeight="13.5" x14ac:dyDescent="0.15"/>
  <cols>
    <col min="1" max="1" width="26.625" style="10" customWidth="1"/>
    <col min="2" max="2" width="70" style="10" customWidth="1"/>
  </cols>
  <sheetData>
    <row r="1" spans="1:2" x14ac:dyDescent="0.15">
      <c r="A1" s="34" t="s">
        <v>324</v>
      </c>
      <c r="B1" s="34" t="s">
        <v>325</v>
      </c>
    </row>
    <row r="2" spans="1:2" x14ac:dyDescent="0.15">
      <c r="A2" t="s">
        <v>326</v>
      </c>
      <c r="B2" s="33">
        <v>46185.767939814818</v>
      </c>
    </row>
    <row r="3" spans="1:2" x14ac:dyDescent="0.15">
      <c r="A3" t="s">
        <v>327</v>
      </c>
      <c r="B3" t="s">
        <v>328</v>
      </c>
    </row>
    <row r="4" spans="1:2" x14ac:dyDescent="0.15">
      <c r="A4" t="s">
        <v>329</v>
      </c>
      <c r="B4" t="s">
        <v>330</v>
      </c>
    </row>
    <row r="5" spans="1:2" x14ac:dyDescent="0.15">
      <c r="A5" t="s">
        <v>331</v>
      </c>
      <c r="B5" t="s">
        <v>332</v>
      </c>
    </row>
    <row r="6" spans="1:2" x14ac:dyDescent="0.15">
      <c r="A6" t="s">
        <v>333</v>
      </c>
      <c r="B6">
        <v>88</v>
      </c>
    </row>
    <row r="7" spans="1:2" x14ac:dyDescent="0.15">
      <c r="A7" t="s">
        <v>334</v>
      </c>
      <c r="B7">
        <v>225</v>
      </c>
    </row>
    <row r="8" spans="1:2" x14ac:dyDescent="0.15">
      <c r="A8" t="s">
        <v>335</v>
      </c>
      <c r="B8">
        <v>138</v>
      </c>
    </row>
    <row r="9" spans="1:2" x14ac:dyDescent="0.15">
      <c r="A9" t="s">
        <v>336</v>
      </c>
      <c r="B9">
        <v>16</v>
      </c>
    </row>
    <row r="10" spans="1:2" x14ac:dyDescent="0.15">
      <c r="A10" t="s">
        <v>337</v>
      </c>
      <c r="B10">
        <v>30</v>
      </c>
    </row>
    <row r="11" spans="1:2" x14ac:dyDescent="0.15">
      <c r="A11" t="s">
        <v>338</v>
      </c>
      <c r="B11">
        <v>30</v>
      </c>
    </row>
    <row r="12" spans="1:2" x14ac:dyDescent="0.15">
      <c r="A12" t="s">
        <v>339</v>
      </c>
      <c r="B12">
        <v>30</v>
      </c>
    </row>
    <row r="13" spans="1:2" x14ac:dyDescent="0.15">
      <c r="A13" t="s">
        <v>340</v>
      </c>
      <c r="B13">
        <v>2</v>
      </c>
    </row>
    <row r="14" spans="1:2" x14ac:dyDescent="0.15">
      <c r="A14" t="s">
        <v>341</v>
      </c>
      <c r="B14">
        <v>30</v>
      </c>
    </row>
    <row r="15" spans="1:2" x14ac:dyDescent="0.15">
      <c r="A15" t="s">
        <v>342</v>
      </c>
      <c r="B15">
        <v>0</v>
      </c>
    </row>
    <row r="16" spans="1:2" x14ac:dyDescent="0.15">
      <c r="A16" t="s">
        <v>343</v>
      </c>
      <c r="B16" t="s">
        <v>344</v>
      </c>
    </row>
    <row r="17" spans="1:2" x14ac:dyDescent="0.15">
      <c r="A17" t="s">
        <v>345</v>
      </c>
      <c r="B17" t="s">
        <v>346</v>
      </c>
    </row>
    <row r="18" spans="1:2" x14ac:dyDescent="0.15">
      <c r="A18" t="s">
        <v>347</v>
      </c>
      <c r="B18" t="s">
        <v>348</v>
      </c>
    </row>
    <row r="19" spans="1:2" x14ac:dyDescent="0.15">
      <c r="A19" t="s">
        <v>349</v>
      </c>
      <c r="B19" t="s">
        <v>350</v>
      </c>
    </row>
    <row r="20" spans="1:2" x14ac:dyDescent="0.15">
      <c r="A20" t="s">
        <v>351</v>
      </c>
      <c r="B20" t="s">
        <v>352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SatProp</vt:lpstr>
      <vt:lpstr>Cp_T_low</vt:lpstr>
      <vt:lpstr>Cp_T_mid</vt:lpstr>
      <vt:lpstr>Cp_T_high</vt:lpstr>
      <vt:lpstr>tm</vt:lpstr>
      <vt:lpstr>Log</vt:lpstr>
      <vt:lpstr>TM_import_log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2026-06-26T01:53:42Z</dcterms:modified>
</cp:coreProperties>
</file>