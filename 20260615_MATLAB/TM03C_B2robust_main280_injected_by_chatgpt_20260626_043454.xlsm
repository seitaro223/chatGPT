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A0AE0A7F-29FF-4A0E-8793-910E04450BDF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tm!$AP$275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tm!$AY$275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5" i="5" l="1"/>
  <c r="D275" i="5"/>
  <c r="E275" i="5"/>
  <c r="F275" i="5"/>
  <c r="G275" i="5"/>
  <c r="H275" i="5"/>
  <c r="I275" i="5"/>
  <c r="J275" i="5"/>
  <c r="K275" i="5"/>
  <c r="L275" i="5"/>
  <c r="O275" i="5"/>
  <c r="P275" i="5"/>
  <c r="U275" i="5"/>
  <c r="W275" i="5"/>
  <c r="Y275" i="5"/>
  <c r="Z275" i="5"/>
  <c r="AA275" i="5" s="1"/>
  <c r="AB275" i="5"/>
  <c r="AH275" i="5"/>
  <c r="AI275" i="5" s="1"/>
  <c r="AD275" i="5" s="1"/>
  <c r="AL275" i="5"/>
  <c r="AJ275" i="5"/>
  <c r="AO275" i="5"/>
  <c r="AQ275" i="5"/>
  <c r="AR275" i="5"/>
  <c r="AS275" i="5"/>
  <c r="AT275" i="5"/>
  <c r="AU275" i="5"/>
  <c r="AV275" i="5"/>
  <c r="AW275" i="5"/>
  <c r="AX275" i="5"/>
  <c r="AY275" i="5"/>
  <c r="AZ275" i="5"/>
  <c r="BA275" i="5"/>
  <c r="BB275" i="5"/>
  <c r="BM275" i="5" s="1"/>
  <c r="BC275" i="5"/>
  <c r="BD275" i="5"/>
  <c r="BF275" i="5"/>
  <c r="BL275" i="5"/>
  <c r="BN275" i="5" s="1"/>
  <c r="BO275" i="5"/>
  <c r="C274" i="5"/>
  <c r="D274" i="5"/>
  <c r="E274" i="5"/>
  <c r="F274" i="5"/>
  <c r="G274" i="5"/>
  <c r="H274" i="5"/>
  <c r="I274" i="5"/>
  <c r="J274" i="5"/>
  <c r="K274" i="5"/>
  <c r="L274" i="5"/>
  <c r="BP275" i="5" l="1"/>
  <c r="O274" i="5"/>
  <c r="P274" i="5"/>
  <c r="U274" i="5"/>
  <c r="W274" i="5"/>
  <c r="Y274" i="5"/>
  <c r="Z274" i="5"/>
  <c r="AA274" i="5"/>
  <c r="AB274" i="5"/>
  <c r="AH274" i="5"/>
  <c r="AI274" i="5"/>
  <c r="AD274" i="5"/>
  <c r="AL274" i="5"/>
  <c r="AJ274" i="5"/>
  <c r="AO274" i="5"/>
  <c r="AQ274" i="5"/>
  <c r="AR274" i="5"/>
  <c r="AS274" i="5"/>
  <c r="AT274" i="5"/>
  <c r="AU274" i="5" l="1"/>
  <c r="AV274" i="5"/>
  <c r="AW274" i="5"/>
  <c r="AX274" i="5"/>
  <c r="AY274" i="5"/>
  <c r="AZ274" i="5"/>
  <c r="BA274" i="5"/>
  <c r="BB274" i="5"/>
  <c r="BM274" i="5" s="1"/>
  <c r="BD274" i="5"/>
  <c r="BF274" i="5"/>
  <c r="BL274" i="5"/>
  <c r="BN274" i="5" s="1"/>
  <c r="BO274" i="5"/>
  <c r="C273" i="5"/>
  <c r="D273" i="5"/>
  <c r="E273" i="5"/>
  <c r="F273" i="5"/>
  <c r="G273" i="5"/>
  <c r="H273" i="5"/>
  <c r="I273" i="5"/>
  <c r="J273" i="5"/>
  <c r="K273" i="5"/>
  <c r="L273" i="5"/>
  <c r="BC274" i="5" l="1"/>
  <c r="BP274" i="5"/>
  <c r="O273" i="5"/>
  <c r="U273" i="5" s="1"/>
  <c r="P273" i="5"/>
  <c r="W273" i="5"/>
  <c r="Z273" i="5" s="1"/>
  <c r="AA273" i="5" s="1"/>
  <c r="Y273" i="5"/>
  <c r="AB273" i="5"/>
  <c r="AH273" i="5"/>
  <c r="AI273" i="5"/>
  <c r="AD273" i="5" s="1"/>
  <c r="AL273" i="5"/>
  <c r="AJ273" i="5"/>
  <c r="AO273" i="5"/>
  <c r="AQ273" i="5"/>
  <c r="AR273" i="5"/>
  <c r="AS273" i="5"/>
  <c r="AT273" i="5"/>
  <c r="AU273" i="5"/>
  <c r="AV273" i="5"/>
  <c r="AW273" i="5"/>
  <c r="AX273" i="5"/>
  <c r="AY273" i="5"/>
  <c r="AZ273" i="5"/>
  <c r="BA273" i="5"/>
  <c r="BB273" i="5"/>
  <c r="BM273" i="5" s="1"/>
  <c r="BC273" i="5"/>
  <c r="BD273" i="5"/>
  <c r="BF273" i="5"/>
  <c r="BL273" i="5"/>
  <c r="BN273" i="5" s="1"/>
  <c r="BO273" i="5"/>
  <c r="C272" i="5"/>
  <c r="D272" i="5"/>
  <c r="E272" i="5"/>
  <c r="F272" i="5"/>
  <c r="G272" i="5"/>
  <c r="H272" i="5"/>
  <c r="I272" i="5"/>
  <c r="J272" i="5"/>
  <c r="K272" i="5"/>
  <c r="L272" i="5"/>
  <c r="BP273" i="5" l="1"/>
  <c r="O272" i="5"/>
  <c r="U272" i="5" s="1"/>
  <c r="P272" i="5"/>
  <c r="W272" i="5"/>
  <c r="Y272" i="5"/>
  <c r="Z272" i="5"/>
  <c r="AA272" i="5"/>
  <c r="AB272" i="5"/>
  <c r="AH272" i="5"/>
  <c r="AI272" i="5"/>
  <c r="AD272" i="5"/>
  <c r="AL272" i="5"/>
  <c r="AJ272" i="5"/>
  <c r="AO272" i="5"/>
  <c r="AQ272" i="5"/>
  <c r="AR272" i="5"/>
  <c r="AS272" i="5"/>
  <c r="AT272" i="5"/>
  <c r="AU272" i="5"/>
  <c r="AV272" i="5"/>
  <c r="AW272" i="5"/>
  <c r="AX272" i="5"/>
  <c r="AY272" i="5"/>
  <c r="AZ272" i="5"/>
  <c r="BA272" i="5"/>
  <c r="BB272" i="5"/>
  <c r="BM272" i="5" s="1"/>
  <c r="BD272" i="5"/>
  <c r="BF272" i="5"/>
  <c r="BL272" i="5"/>
  <c r="BN272" i="5" s="1"/>
  <c r="BO272" i="5"/>
  <c r="C271" i="5"/>
  <c r="D271" i="5"/>
  <c r="E271" i="5"/>
  <c r="F271" i="5"/>
  <c r="G271" i="5"/>
  <c r="H271" i="5"/>
  <c r="I271" i="5"/>
  <c r="J271" i="5"/>
  <c r="K271" i="5"/>
  <c r="L271" i="5"/>
  <c r="BC272" i="5" l="1"/>
  <c r="BP272" i="5"/>
  <c r="O271" i="5"/>
  <c r="P271" i="5"/>
  <c r="U271" i="5"/>
  <c r="W271" i="5"/>
  <c r="Y271" i="5"/>
  <c r="Z271" i="5"/>
  <c r="AA271" i="5"/>
  <c r="AB271" i="5"/>
  <c r="AH271" i="5"/>
  <c r="AI271" i="5"/>
  <c r="AD271" i="5"/>
  <c r="AL271" i="5"/>
  <c r="AJ271" i="5"/>
  <c r="AO271" i="5"/>
  <c r="AQ271" i="5"/>
  <c r="AR271" i="5"/>
  <c r="AS271" i="5"/>
  <c r="AT271" i="5"/>
  <c r="AU271" i="5"/>
  <c r="AV271" i="5"/>
  <c r="AW271" i="5"/>
  <c r="AX271" i="5"/>
  <c r="AY271" i="5"/>
  <c r="AZ271" i="5"/>
  <c r="BA271" i="5"/>
  <c r="BB271" i="5"/>
  <c r="BM271" i="5" s="1"/>
  <c r="BD271" i="5"/>
  <c r="BF271" i="5"/>
  <c r="BL271" i="5"/>
  <c r="BP271" i="5" s="1"/>
  <c r="BO271" i="5"/>
  <c r="C270" i="5"/>
  <c r="D270" i="5"/>
  <c r="E270" i="5"/>
  <c r="F270" i="5"/>
  <c r="G270" i="5"/>
  <c r="H270" i="5"/>
  <c r="I270" i="5"/>
  <c r="J270" i="5"/>
  <c r="K270" i="5"/>
  <c r="L270" i="5"/>
  <c r="BN271" i="5" l="1"/>
  <c r="BC271" i="5"/>
  <c r="O270" i="5"/>
  <c r="P270" i="5"/>
  <c r="U270" i="5"/>
  <c r="W270" i="5"/>
  <c r="Y270" i="5"/>
  <c r="Z270" i="5"/>
  <c r="AA270" i="5"/>
  <c r="AB270" i="5"/>
  <c r="AH270" i="5"/>
  <c r="AI270" i="5"/>
  <c r="AD270" i="5"/>
  <c r="AL270" i="5"/>
  <c r="AJ270" i="5"/>
  <c r="AO270" i="5"/>
  <c r="AQ270" i="5"/>
  <c r="AR270" i="5"/>
  <c r="AS270" i="5"/>
  <c r="AT270" i="5"/>
  <c r="AU270" i="5"/>
  <c r="AV270" i="5"/>
  <c r="AW270" i="5"/>
  <c r="AX270" i="5"/>
  <c r="AY270" i="5"/>
  <c r="AZ270" i="5"/>
  <c r="BA270" i="5"/>
  <c r="BB270" i="5"/>
  <c r="BM270" i="5" s="1"/>
  <c r="BC270" i="5"/>
  <c r="BD270" i="5"/>
  <c r="BF270" i="5"/>
  <c r="BL270" i="5"/>
  <c r="BN270" i="5" s="1"/>
  <c r="BO270" i="5"/>
  <c r="C269" i="5"/>
  <c r="D269" i="5"/>
  <c r="E269" i="5"/>
  <c r="F269" i="5"/>
  <c r="G269" i="5"/>
  <c r="H269" i="5"/>
  <c r="I269" i="5"/>
  <c r="J269" i="5"/>
  <c r="K269" i="5"/>
  <c r="L269" i="5"/>
  <c r="BP270" i="5" l="1"/>
  <c r="O269" i="5"/>
  <c r="P269" i="5"/>
  <c r="U269" i="5"/>
  <c r="W269" i="5"/>
  <c r="Y269" i="5"/>
  <c r="Z269" i="5"/>
  <c r="AA269" i="5"/>
  <c r="AB269" i="5"/>
  <c r="AH269" i="5"/>
  <c r="AI269" i="5"/>
  <c r="AD269" i="5"/>
  <c r="AL269" i="5"/>
  <c r="AJ269" i="5"/>
  <c r="AO269" i="5"/>
  <c r="AQ269" i="5"/>
  <c r="AR269" i="5"/>
  <c r="AS269" i="5"/>
  <c r="AT269" i="5"/>
  <c r="AU269" i="5"/>
  <c r="AV269" i="5"/>
  <c r="AW269" i="5"/>
  <c r="AX269" i="5"/>
  <c r="AY269" i="5"/>
  <c r="AZ269" i="5"/>
  <c r="BA269" i="5"/>
  <c r="BB269" i="5"/>
  <c r="BM269" i="5" s="1"/>
  <c r="BC269" i="5"/>
  <c r="BD269" i="5"/>
  <c r="BF269" i="5"/>
  <c r="BL269" i="5"/>
  <c r="BN269" i="5" s="1"/>
  <c r="BO269" i="5"/>
  <c r="C268" i="5"/>
  <c r="D268" i="5"/>
  <c r="E268" i="5"/>
  <c r="F268" i="5"/>
  <c r="G268" i="5"/>
  <c r="H268" i="5"/>
  <c r="I268" i="5"/>
  <c r="J268" i="5"/>
  <c r="K268" i="5"/>
  <c r="L268" i="5"/>
  <c r="BP269" i="5" l="1"/>
  <c r="O268" i="5"/>
  <c r="P268" i="5"/>
  <c r="U268" i="5"/>
  <c r="W268" i="5"/>
  <c r="Y268" i="5"/>
  <c r="Z268" i="5"/>
  <c r="AA268" i="5"/>
  <c r="AB268" i="5"/>
  <c r="AH268" i="5"/>
  <c r="AI268" i="5"/>
  <c r="AD268" i="5"/>
  <c r="AL268" i="5"/>
  <c r="AJ268" i="5"/>
  <c r="AO268" i="5"/>
  <c r="AQ268" i="5"/>
  <c r="AR268" i="5"/>
  <c r="AS268" i="5"/>
  <c r="AT268" i="5"/>
  <c r="AU268" i="5" l="1"/>
  <c r="AV268" i="5"/>
  <c r="AW268" i="5"/>
  <c r="AX268" i="5"/>
  <c r="AY268" i="5"/>
  <c r="AZ268" i="5"/>
  <c r="BA268" i="5"/>
  <c r="BB268" i="5"/>
  <c r="BM268" i="5" s="1"/>
  <c r="BC268" i="5"/>
  <c r="BD268" i="5"/>
  <c r="BF268" i="5"/>
  <c r="BL268" i="5"/>
  <c r="BN268" i="5" s="1"/>
  <c r="BO268" i="5"/>
  <c r="C267" i="5"/>
  <c r="D267" i="5"/>
  <c r="E267" i="5"/>
  <c r="F267" i="5"/>
  <c r="G267" i="5"/>
  <c r="H267" i="5"/>
  <c r="I267" i="5"/>
  <c r="J267" i="5"/>
  <c r="K267" i="5"/>
  <c r="L267" i="5"/>
  <c r="BP268" i="5" l="1"/>
  <c r="O267" i="5"/>
  <c r="P267" i="5"/>
  <c r="U267" i="5"/>
  <c r="W267" i="5"/>
  <c r="Y267" i="5"/>
  <c r="Z267" i="5"/>
  <c r="AA267" i="5"/>
  <c r="AB267" i="5"/>
  <c r="AH267" i="5"/>
  <c r="AI267" i="5"/>
  <c r="AD267" i="5"/>
  <c r="AL267" i="5"/>
  <c r="AJ267" i="5"/>
  <c r="AO267" i="5"/>
  <c r="AQ267" i="5"/>
  <c r="AR267" i="5"/>
  <c r="AS267" i="5"/>
  <c r="AT267" i="5"/>
  <c r="AU267" i="5"/>
  <c r="AV267" i="5"/>
  <c r="AW267" i="5"/>
  <c r="AX267" i="5"/>
  <c r="AY267" i="5"/>
  <c r="AZ267" i="5"/>
  <c r="BA267" i="5"/>
  <c r="BB267" i="5"/>
  <c r="BM267" i="5" s="1"/>
  <c r="BD267" i="5"/>
  <c r="BF267" i="5"/>
  <c r="BL267" i="5"/>
  <c r="BN267" i="5" s="1"/>
  <c r="BO267" i="5"/>
  <c r="C266" i="5"/>
  <c r="D266" i="5"/>
  <c r="E266" i="5"/>
  <c r="F266" i="5"/>
  <c r="G266" i="5"/>
  <c r="H266" i="5"/>
  <c r="I266" i="5"/>
  <c r="J266" i="5"/>
  <c r="K266" i="5"/>
  <c r="L266" i="5"/>
  <c r="BP267" i="5" l="1"/>
  <c r="BC267" i="5"/>
  <c r="O266" i="5"/>
  <c r="P266" i="5"/>
  <c r="U266" i="5"/>
  <c r="W266" i="5"/>
  <c r="Y266" i="5"/>
  <c r="Z266" i="5"/>
  <c r="AA266" i="5"/>
  <c r="AB266" i="5"/>
  <c r="AH266" i="5"/>
  <c r="AI266" i="5"/>
  <c r="AD266" i="5"/>
  <c r="AL266" i="5"/>
  <c r="AJ266" i="5"/>
  <c r="AO266" i="5"/>
  <c r="AQ266" i="5"/>
  <c r="AR266" i="5"/>
  <c r="AS266" i="5"/>
  <c r="AT266" i="5"/>
  <c r="AU266" i="5" l="1"/>
  <c r="AV266" i="5"/>
  <c r="AW266" i="5"/>
  <c r="AX266" i="5"/>
  <c r="AY266" i="5" s="1"/>
  <c r="AZ266" i="5"/>
  <c r="BA266" i="5"/>
  <c r="BB266" i="5"/>
  <c r="BM266" i="5" s="1"/>
  <c r="BC266" i="5"/>
  <c r="BD266" i="5"/>
  <c r="BF266" i="5"/>
  <c r="BL266" i="5"/>
  <c r="BN266" i="5" s="1"/>
  <c r="BO266" i="5"/>
  <c r="C265" i="5"/>
  <c r="D265" i="5"/>
  <c r="E265" i="5"/>
  <c r="F265" i="5"/>
  <c r="G265" i="5"/>
  <c r="H265" i="5"/>
  <c r="I265" i="5"/>
  <c r="J265" i="5"/>
  <c r="K265" i="5"/>
  <c r="L265" i="5"/>
  <c r="BP266" i="5" l="1"/>
  <c r="O265" i="5"/>
  <c r="P265" i="5"/>
  <c r="U265" i="5"/>
  <c r="W265" i="5"/>
  <c r="Z265" i="5" s="1"/>
  <c r="AA265" i="5" s="1"/>
  <c r="Y265" i="5"/>
  <c r="AB265" i="5"/>
  <c r="AH265" i="5"/>
  <c r="AI265" i="5" s="1"/>
  <c r="AD265" i="5" s="1"/>
  <c r="AL265" i="5"/>
  <c r="AJ265" i="5"/>
  <c r="AO265" i="5"/>
  <c r="AQ265" i="5"/>
  <c r="AR265" i="5"/>
  <c r="AS265" i="5"/>
  <c r="AT265" i="5"/>
  <c r="AU265" i="5" l="1"/>
  <c r="AV265" i="5"/>
  <c r="AW265" i="5"/>
  <c r="AX265" i="5"/>
  <c r="AY265" i="5"/>
  <c r="AZ265" i="5"/>
  <c r="BB265" i="5" s="1"/>
  <c r="BA265" i="5"/>
  <c r="BL265" i="5"/>
  <c r="BN265" i="5" s="1"/>
  <c r="BO265" i="5"/>
  <c r="C264" i="5"/>
  <c r="D264" i="5"/>
  <c r="E264" i="5"/>
  <c r="F264" i="5"/>
  <c r="G264" i="5"/>
  <c r="H264" i="5"/>
  <c r="I264" i="5"/>
  <c r="J264" i="5"/>
  <c r="K264" i="5"/>
  <c r="L264" i="5"/>
  <c r="BM265" i="5" l="1"/>
  <c r="BC265" i="5"/>
  <c r="BD265" i="5"/>
  <c r="BF265" i="5"/>
  <c r="BP265" i="5"/>
  <c r="O264" i="5"/>
  <c r="P264" i="5"/>
  <c r="U264" i="5"/>
  <c r="W264" i="5"/>
  <c r="Y264" i="5"/>
  <c r="Z264" i="5"/>
  <c r="AA264" i="5"/>
  <c r="AB264" i="5"/>
  <c r="AH264" i="5"/>
  <c r="AI264" i="5"/>
  <c r="AD264" i="5"/>
  <c r="AL264" i="5"/>
  <c r="AJ264" i="5"/>
  <c r="AO264" i="5"/>
  <c r="AQ264" i="5"/>
  <c r="AR264" i="5"/>
  <c r="AS264" i="5"/>
  <c r="AT264" i="5"/>
  <c r="AU264" i="5" l="1"/>
  <c r="AV264" i="5"/>
  <c r="AY264" i="5" s="1"/>
  <c r="AW264" i="5"/>
  <c r="AX264" i="5"/>
  <c r="AZ264" i="5"/>
  <c r="BA264" i="5"/>
  <c r="BB264" i="5"/>
  <c r="BC264" i="5"/>
  <c r="BD264" i="5"/>
  <c r="BF264" i="5"/>
  <c r="BL264" i="5"/>
  <c r="BP264" i="5" s="1"/>
  <c r="BM264" i="5"/>
  <c r="BN264" i="5"/>
  <c r="BO264" i="5"/>
  <c r="C263" i="5"/>
  <c r="D263" i="5"/>
  <c r="E263" i="5"/>
  <c r="F263" i="5"/>
  <c r="G263" i="5"/>
  <c r="H263" i="5"/>
  <c r="I263" i="5"/>
  <c r="J263" i="5"/>
  <c r="K263" i="5"/>
  <c r="L263" i="5"/>
  <c r="O263" i="5" l="1"/>
  <c r="P263" i="5"/>
  <c r="U263" i="5"/>
  <c r="W263" i="5"/>
  <c r="Y263" i="5"/>
  <c r="Z263" i="5"/>
  <c r="AA263" i="5"/>
  <c r="AB263" i="5"/>
  <c r="AH263" i="5"/>
  <c r="AI263" i="5"/>
  <c r="AD263" i="5"/>
  <c r="AL263" i="5"/>
  <c r="AJ263" i="5"/>
  <c r="AO263" i="5"/>
  <c r="AQ263" i="5"/>
  <c r="AR263" i="5"/>
  <c r="AS263" i="5"/>
  <c r="AT263" i="5"/>
  <c r="AU263" i="5"/>
  <c r="AV263" i="5"/>
  <c r="AW263" i="5"/>
  <c r="AX263" i="5"/>
  <c r="AY263" i="5"/>
  <c r="AZ263" i="5"/>
  <c r="BA263" i="5"/>
  <c r="BB263" i="5"/>
  <c r="BM263" i="5" s="1"/>
  <c r="BC263" i="5"/>
  <c r="BD263" i="5"/>
  <c r="BF263" i="5"/>
  <c r="BL263" i="5"/>
  <c r="BN263" i="5" s="1"/>
  <c r="BO263" i="5"/>
  <c r="C262" i="5"/>
  <c r="D262" i="5"/>
  <c r="E262" i="5"/>
  <c r="F262" i="5"/>
  <c r="G262" i="5"/>
  <c r="H262" i="5"/>
  <c r="I262" i="5"/>
  <c r="J262" i="5"/>
  <c r="K262" i="5"/>
  <c r="L262" i="5"/>
  <c r="BP263" i="5" l="1"/>
  <c r="O262" i="5"/>
  <c r="P262" i="5"/>
  <c r="U262" i="5"/>
  <c r="W262" i="5"/>
  <c r="Y262" i="5"/>
  <c r="Z262" i="5"/>
  <c r="AA262" i="5"/>
  <c r="AB262" i="5"/>
  <c r="AH262" i="5"/>
  <c r="AI262" i="5"/>
  <c r="AD262" i="5" s="1"/>
  <c r="AL262" i="5"/>
  <c r="AJ262" i="5"/>
  <c r="AO262" i="5"/>
  <c r="AQ262" i="5"/>
  <c r="AR262" i="5"/>
  <c r="AS262" i="5"/>
  <c r="AT262" i="5"/>
  <c r="AU262" i="5" l="1"/>
  <c r="AV262" i="5"/>
  <c r="AW262" i="5"/>
  <c r="AX262" i="5"/>
  <c r="AY262" i="5"/>
  <c r="AZ262" i="5"/>
  <c r="BA262" i="5"/>
  <c r="BB262" i="5"/>
  <c r="BM262" i="5" s="1"/>
  <c r="BC262" i="5"/>
  <c r="BD262" i="5"/>
  <c r="BF262" i="5"/>
  <c r="BL262" i="5"/>
  <c r="BN262" i="5" s="1"/>
  <c r="BO262" i="5"/>
  <c r="C261" i="5"/>
  <c r="D261" i="5"/>
  <c r="E261" i="5"/>
  <c r="F261" i="5"/>
  <c r="G261" i="5"/>
  <c r="H261" i="5"/>
  <c r="I261" i="5"/>
  <c r="J261" i="5"/>
  <c r="K261" i="5"/>
  <c r="L261" i="5"/>
  <c r="BP262" i="5" l="1"/>
  <c r="O261" i="5"/>
  <c r="P261" i="5"/>
  <c r="U261" i="5"/>
  <c r="W261" i="5"/>
  <c r="Y261" i="5"/>
  <c r="Z261" i="5"/>
  <c r="AA261" i="5"/>
  <c r="AB261" i="5"/>
  <c r="AH261" i="5"/>
  <c r="AI261" i="5"/>
  <c r="AD261" i="5"/>
  <c r="AL261" i="5"/>
  <c r="AJ261" i="5"/>
  <c r="AO261" i="5"/>
  <c r="AQ261" i="5"/>
  <c r="AR261" i="5"/>
  <c r="AS261" i="5"/>
  <c r="AT261" i="5"/>
  <c r="AU261" i="5"/>
  <c r="AV261" i="5"/>
  <c r="AW261" i="5"/>
  <c r="AX261" i="5"/>
  <c r="AY261" i="5"/>
  <c r="AZ261" i="5"/>
  <c r="BA261" i="5"/>
  <c r="BB261" i="5"/>
  <c r="BM261" i="5" s="1"/>
  <c r="BL261" i="5"/>
  <c r="BN261" i="5" s="1"/>
  <c r="BO261" i="5"/>
  <c r="C260" i="5"/>
  <c r="D260" i="5"/>
  <c r="E260" i="5"/>
  <c r="F260" i="5"/>
  <c r="G260" i="5"/>
  <c r="H260" i="5"/>
  <c r="I260" i="5"/>
  <c r="J260" i="5"/>
  <c r="K260" i="5"/>
  <c r="L260" i="5"/>
  <c r="BF261" i="5" l="1"/>
  <c r="BD261" i="5"/>
  <c r="BC261" i="5"/>
  <c r="BP261" i="5"/>
  <c r="O260" i="5"/>
  <c r="P260" i="5"/>
  <c r="U260" i="5"/>
  <c r="W260" i="5"/>
  <c r="Y260" i="5"/>
  <c r="Z260" i="5"/>
  <c r="AA260" i="5" s="1"/>
  <c r="AB260" i="5"/>
  <c r="AH260" i="5"/>
  <c r="AI260" i="5"/>
  <c r="AD260" i="5" s="1"/>
  <c r="AL260" i="5"/>
  <c r="AJ260" i="5"/>
  <c r="AO260" i="5"/>
  <c r="AQ260" i="5"/>
  <c r="AR260" i="5"/>
  <c r="AS260" i="5"/>
  <c r="AT260" i="5"/>
  <c r="AU260" i="5"/>
  <c r="AV260" i="5"/>
  <c r="AW260" i="5"/>
  <c r="AX260" i="5"/>
  <c r="AY260" i="5"/>
  <c r="AZ260" i="5"/>
  <c r="BA260" i="5"/>
  <c r="BB260" i="5"/>
  <c r="BM260" i="5" s="1"/>
  <c r="BC260" i="5"/>
  <c r="BD260" i="5"/>
  <c r="BF260" i="5"/>
  <c r="BL260" i="5"/>
  <c r="BN260" i="5" s="1"/>
  <c r="BO260" i="5"/>
  <c r="C259" i="5"/>
  <c r="D259" i="5"/>
  <c r="E259" i="5"/>
  <c r="F259" i="5"/>
  <c r="G259" i="5"/>
  <c r="H259" i="5"/>
  <c r="I259" i="5"/>
  <c r="J259" i="5"/>
  <c r="K259" i="5"/>
  <c r="L259" i="5"/>
  <c r="BP260" i="5" l="1"/>
  <c r="O259" i="5"/>
  <c r="P259" i="5"/>
  <c r="U259" i="5"/>
  <c r="W259" i="5"/>
  <c r="Y259" i="5"/>
  <c r="Z259" i="5"/>
  <c r="AA259" i="5" s="1"/>
  <c r="AB259" i="5"/>
  <c r="AH259" i="5"/>
  <c r="AI259" i="5"/>
  <c r="AD259" i="5" s="1"/>
  <c r="AL259" i="5"/>
  <c r="AJ259" i="5"/>
  <c r="AO259" i="5"/>
  <c r="AR259" i="5" s="1"/>
  <c r="AS259" i="5" s="1"/>
  <c r="AQ259" i="5"/>
  <c r="AT259" i="5"/>
  <c r="AU259" i="5"/>
  <c r="AV259" i="5"/>
  <c r="AW259" i="5"/>
  <c r="AX259" i="5"/>
  <c r="AY259" i="5" s="1"/>
  <c r="AZ259" i="5"/>
  <c r="BA259" i="5"/>
  <c r="BB259" i="5"/>
  <c r="BM259" i="5" s="1"/>
  <c r="BD259" i="5"/>
  <c r="BF259" i="5"/>
  <c r="BL259" i="5"/>
  <c r="BN259" i="5" s="1"/>
  <c r="BO259" i="5"/>
  <c r="C258" i="5"/>
  <c r="D258" i="5"/>
  <c r="E258" i="5"/>
  <c r="F258" i="5"/>
  <c r="G258" i="5"/>
  <c r="H258" i="5"/>
  <c r="I258" i="5"/>
  <c r="J258" i="5"/>
  <c r="K258" i="5"/>
  <c r="L258" i="5"/>
  <c r="BC259" i="5" l="1"/>
  <c r="BP259" i="5"/>
  <c r="O258" i="5"/>
  <c r="P258" i="5"/>
  <c r="U258" i="5" s="1"/>
  <c r="W258" i="5"/>
  <c r="Y258" i="5"/>
  <c r="Z258" i="5"/>
  <c r="AA258" i="5"/>
  <c r="AB258" i="5"/>
  <c r="AH258" i="5"/>
  <c r="AI258" i="5"/>
  <c r="AD258" i="5" s="1"/>
  <c r="AL258" i="5"/>
  <c r="AJ258" i="5"/>
  <c r="AO258" i="5"/>
  <c r="AQ258" i="5"/>
  <c r="AR258" i="5"/>
  <c r="AS258" i="5"/>
  <c r="AT258" i="5"/>
  <c r="AU258" i="5" l="1"/>
  <c r="AV258" i="5"/>
  <c r="AW258" i="5"/>
  <c r="AX258" i="5"/>
  <c r="AY258" i="5" s="1"/>
  <c r="AZ258" i="5"/>
  <c r="BA258" i="5"/>
  <c r="BB258" i="5"/>
  <c r="BM258" i="5" s="1"/>
  <c r="BC258" i="5"/>
  <c r="BD258" i="5"/>
  <c r="BF258" i="5"/>
  <c r="BL258" i="5"/>
  <c r="BN258" i="5" s="1"/>
  <c r="BO258" i="5"/>
  <c r="C257" i="5"/>
  <c r="D257" i="5"/>
  <c r="E257" i="5"/>
  <c r="F257" i="5"/>
  <c r="G257" i="5"/>
  <c r="H257" i="5"/>
  <c r="I257" i="5"/>
  <c r="J257" i="5"/>
  <c r="K257" i="5"/>
  <c r="L257" i="5"/>
  <c r="BP258" i="5" l="1"/>
  <c r="O257" i="5"/>
  <c r="U257" i="5" s="1"/>
  <c r="P257" i="5"/>
  <c r="W257" i="5"/>
  <c r="Y257" i="5"/>
  <c r="Z257" i="5"/>
  <c r="AA257" i="5"/>
  <c r="AB257" i="5"/>
  <c r="AH257" i="5"/>
  <c r="AI257" i="5"/>
  <c r="AD257" i="5"/>
  <c r="AL257" i="5"/>
  <c r="AJ257" i="5"/>
  <c r="AO257" i="5"/>
  <c r="AQ257" i="5"/>
  <c r="AR257" i="5"/>
  <c r="AS257" i="5"/>
  <c r="AT257" i="5"/>
  <c r="AU257" i="5"/>
  <c r="AV257" i="5"/>
  <c r="AW257" i="5"/>
  <c r="AX257" i="5"/>
  <c r="AY257" i="5" s="1"/>
  <c r="AZ257" i="5"/>
  <c r="BA257" i="5"/>
  <c r="BB257" i="5"/>
  <c r="BM257" i="5" s="1"/>
  <c r="BD257" i="5"/>
  <c r="BF257" i="5"/>
  <c r="BL257" i="5"/>
  <c r="BN257" i="5" s="1"/>
  <c r="BO257" i="5"/>
  <c r="C256" i="5"/>
  <c r="D256" i="5"/>
  <c r="E256" i="5"/>
  <c r="F256" i="5"/>
  <c r="G256" i="5"/>
  <c r="H256" i="5"/>
  <c r="I256" i="5"/>
  <c r="J256" i="5"/>
  <c r="K256" i="5"/>
  <c r="L256" i="5"/>
  <c r="BC257" i="5" l="1"/>
  <c r="BP257" i="5"/>
  <c r="O256" i="5"/>
  <c r="P256" i="5"/>
  <c r="U256" i="5"/>
  <c r="W256" i="5"/>
  <c r="Y256" i="5"/>
  <c r="Z256" i="5"/>
  <c r="AA256" i="5"/>
  <c r="AB256" i="5"/>
  <c r="AH256" i="5"/>
  <c r="AI256" i="5"/>
  <c r="AD256" i="5" s="1"/>
  <c r="AL256" i="5"/>
  <c r="AJ256" i="5"/>
  <c r="AO256" i="5"/>
  <c r="AQ256" i="5"/>
  <c r="AR256" i="5"/>
  <c r="AS256" i="5"/>
  <c r="AT256" i="5"/>
  <c r="AU256" i="5"/>
  <c r="AV256" i="5"/>
  <c r="AW256" i="5"/>
  <c r="AX256" i="5"/>
  <c r="AY256" i="5"/>
  <c r="AZ256" i="5"/>
  <c r="BA256" i="5"/>
  <c r="BB256" i="5"/>
  <c r="BM256" i="5" s="1"/>
  <c r="BC256" i="5"/>
  <c r="BD256" i="5"/>
  <c r="BF256" i="5"/>
  <c r="BL256" i="5"/>
  <c r="BN256" i="5" s="1"/>
  <c r="BO256" i="5"/>
  <c r="C255" i="5"/>
  <c r="D255" i="5"/>
  <c r="E255" i="5"/>
  <c r="F255" i="5"/>
  <c r="G255" i="5"/>
  <c r="H255" i="5"/>
  <c r="I255" i="5"/>
  <c r="J255" i="5"/>
  <c r="K255" i="5"/>
  <c r="L255" i="5"/>
  <c r="BP256" i="5" l="1"/>
  <c r="O255" i="5"/>
  <c r="P255" i="5"/>
  <c r="U255" i="5"/>
  <c r="W255" i="5"/>
  <c r="Z255" i="5" s="1"/>
  <c r="AA255" i="5" s="1"/>
  <c r="Y255" i="5"/>
  <c r="AB255" i="5"/>
  <c r="AH255" i="5"/>
  <c r="AI255" i="5"/>
  <c r="AD255" i="5"/>
  <c r="AL255" i="5"/>
  <c r="AJ255" i="5"/>
  <c r="AO255" i="5"/>
  <c r="AQ255" i="5"/>
  <c r="AR255" i="5"/>
  <c r="AS255" i="5"/>
  <c r="AT255" i="5"/>
  <c r="AU255" i="5" l="1"/>
  <c r="AV255" i="5"/>
  <c r="AW255" i="5"/>
  <c r="AX255" i="5"/>
  <c r="AY255" i="5" s="1"/>
  <c r="AZ255" i="5"/>
  <c r="BA255" i="5"/>
  <c r="BB255" i="5"/>
  <c r="BM255" i="5" s="1"/>
  <c r="BC255" i="5"/>
  <c r="BD255" i="5"/>
  <c r="BF255" i="5"/>
  <c r="BL255" i="5"/>
  <c r="BN255" i="5" s="1"/>
  <c r="BO255" i="5"/>
  <c r="C254" i="5"/>
  <c r="D254" i="5"/>
  <c r="E254" i="5"/>
  <c r="F254" i="5"/>
  <c r="G254" i="5"/>
  <c r="H254" i="5"/>
  <c r="I254" i="5"/>
  <c r="J254" i="5"/>
  <c r="K254" i="5"/>
  <c r="L254" i="5"/>
  <c r="BP255" i="5" l="1"/>
  <c r="O254" i="5"/>
  <c r="P254" i="5"/>
  <c r="U254" i="5"/>
  <c r="W254" i="5"/>
  <c r="Y254" i="5"/>
  <c r="Z254" i="5"/>
  <c r="AA254" i="5"/>
  <c r="AB254" i="5"/>
  <c r="AH254" i="5"/>
  <c r="AI254" i="5"/>
  <c r="AD254" i="5"/>
  <c r="AL254" i="5"/>
  <c r="AJ254" i="5"/>
  <c r="AO254" i="5"/>
  <c r="AQ254" i="5"/>
  <c r="AR254" i="5"/>
  <c r="AS254" i="5"/>
  <c r="AT254" i="5"/>
  <c r="AU254" i="5"/>
  <c r="AV254" i="5"/>
  <c r="AW254" i="5"/>
  <c r="AX254" i="5"/>
  <c r="AY254" i="5" s="1"/>
  <c r="AZ254" i="5"/>
  <c r="BA254" i="5"/>
  <c r="BB254" i="5"/>
  <c r="BM254" i="5" s="1"/>
  <c r="BC254" i="5"/>
  <c r="BD254" i="5"/>
  <c r="BF254" i="5"/>
  <c r="BL254" i="5"/>
  <c r="BN254" i="5" s="1"/>
  <c r="BO254" i="5"/>
  <c r="C253" i="5"/>
  <c r="D253" i="5"/>
  <c r="E253" i="5"/>
  <c r="F253" i="5"/>
  <c r="G253" i="5"/>
  <c r="H253" i="5"/>
  <c r="I253" i="5"/>
  <c r="J253" i="5"/>
  <c r="K253" i="5"/>
  <c r="L253" i="5"/>
  <c r="BP254" i="5" l="1"/>
  <c r="O253" i="5"/>
  <c r="P253" i="5"/>
  <c r="U253" i="5"/>
  <c r="W253" i="5"/>
  <c r="Z253" i="5" s="1"/>
  <c r="Y253" i="5"/>
  <c r="AA253" i="5" s="1"/>
  <c r="AB253" i="5"/>
  <c r="AH253" i="5"/>
  <c r="AI253" i="5"/>
  <c r="AD253" i="5"/>
  <c r="AL253" i="5"/>
  <c r="AJ253" i="5"/>
  <c r="AO253" i="5"/>
  <c r="AQ253" i="5"/>
  <c r="AR253" i="5"/>
  <c r="AS253" i="5"/>
  <c r="AT253" i="5"/>
  <c r="AU253" i="5"/>
  <c r="AV253" i="5"/>
  <c r="AW253" i="5"/>
  <c r="AX253" i="5"/>
  <c r="AY253" i="5" s="1"/>
  <c r="AZ253" i="5"/>
  <c r="BA253" i="5"/>
  <c r="BB253" i="5"/>
  <c r="BM253" i="5" s="1"/>
  <c r="BD253" i="5"/>
  <c r="BF253" i="5"/>
  <c r="BL253" i="5"/>
  <c r="BN253" i="5" s="1"/>
  <c r="BO253" i="5"/>
  <c r="C252" i="5"/>
  <c r="D252" i="5"/>
  <c r="E252" i="5"/>
  <c r="F252" i="5"/>
  <c r="G252" i="5"/>
  <c r="H252" i="5"/>
  <c r="I252" i="5"/>
  <c r="J252" i="5"/>
  <c r="K252" i="5"/>
  <c r="L252" i="5"/>
  <c r="BC253" i="5" l="1"/>
  <c r="BP253" i="5"/>
  <c r="O252" i="5"/>
  <c r="P252" i="5"/>
  <c r="U252" i="5" s="1"/>
  <c r="W252" i="5"/>
  <c r="Z252" i="5" s="1"/>
  <c r="Y252" i="5"/>
  <c r="AB252" i="5"/>
  <c r="AH252" i="5"/>
  <c r="AI252" i="5"/>
  <c r="AD252" i="5"/>
  <c r="AL252" i="5"/>
  <c r="AA252" i="5" l="1"/>
  <c r="AJ252" i="5"/>
  <c r="AO252" i="5"/>
  <c r="AQ252" i="5"/>
  <c r="AR252" i="5"/>
  <c r="AS252" i="5" s="1"/>
  <c r="AT252" i="5"/>
  <c r="AU252" i="5"/>
  <c r="AV252" i="5"/>
  <c r="AW252" i="5"/>
  <c r="AX252" i="5"/>
  <c r="AY252" i="5"/>
  <c r="AZ252" i="5"/>
  <c r="BA252" i="5"/>
  <c r="BB252" i="5"/>
  <c r="BM252" i="5" s="1"/>
  <c r="BD252" i="5"/>
  <c r="BF252" i="5"/>
  <c r="BL252" i="5"/>
  <c r="BN252" i="5" s="1"/>
  <c r="BO252" i="5"/>
  <c r="C251" i="5"/>
  <c r="D251" i="5"/>
  <c r="E251" i="5"/>
  <c r="F251" i="5"/>
  <c r="G251" i="5"/>
  <c r="H251" i="5"/>
  <c r="I251" i="5"/>
  <c r="J251" i="5"/>
  <c r="K251" i="5"/>
  <c r="L251" i="5"/>
  <c r="BC252" i="5" l="1"/>
  <c r="BP252" i="5"/>
  <c r="O251" i="5"/>
  <c r="P251" i="5"/>
  <c r="U251" i="5"/>
  <c r="W251" i="5"/>
  <c r="Y251" i="5"/>
  <c r="Z251" i="5"/>
  <c r="AA251" i="5"/>
  <c r="AB251" i="5"/>
  <c r="AH251" i="5"/>
  <c r="AI251" i="5"/>
  <c r="AD251" i="5"/>
  <c r="AL251" i="5"/>
  <c r="AJ251" i="5"/>
  <c r="AO251" i="5"/>
  <c r="AQ251" i="5"/>
  <c r="AR251" i="5"/>
  <c r="AS251" i="5"/>
  <c r="AT251" i="5"/>
  <c r="AU251" i="5" l="1"/>
  <c r="AV251" i="5"/>
  <c r="AW251" i="5"/>
  <c r="AX251" i="5"/>
  <c r="AY251" i="5"/>
  <c r="AZ251" i="5"/>
  <c r="BA251" i="5"/>
  <c r="BB251" i="5"/>
  <c r="BM251" i="5" s="1"/>
  <c r="BC251" i="5"/>
  <c r="BD251" i="5"/>
  <c r="BF251" i="5"/>
  <c r="BL251" i="5"/>
  <c r="BN251" i="5" s="1"/>
  <c r="BO251" i="5"/>
  <c r="C250" i="5"/>
  <c r="D250" i="5"/>
  <c r="E250" i="5"/>
  <c r="F250" i="5"/>
  <c r="G250" i="5"/>
  <c r="H250" i="5"/>
  <c r="I250" i="5"/>
  <c r="J250" i="5"/>
  <c r="K250" i="5"/>
  <c r="L250" i="5"/>
  <c r="BP251" i="5" l="1"/>
  <c r="O250" i="5"/>
  <c r="P250" i="5"/>
  <c r="U250" i="5"/>
  <c r="W250" i="5"/>
  <c r="Y250" i="5"/>
  <c r="Z250" i="5"/>
  <c r="AA250" i="5"/>
  <c r="AB250" i="5"/>
  <c r="AH250" i="5"/>
  <c r="AI250" i="5"/>
  <c r="AD250" i="5"/>
  <c r="AL250" i="5"/>
  <c r="AJ250" i="5"/>
  <c r="AO250" i="5"/>
  <c r="AQ250" i="5"/>
  <c r="AR250" i="5"/>
  <c r="AS250" i="5"/>
  <c r="AT250" i="5"/>
  <c r="AU250" i="5"/>
  <c r="AV250" i="5"/>
  <c r="AW250" i="5"/>
  <c r="AX250" i="5"/>
  <c r="AY250" i="5" s="1"/>
  <c r="AZ250" i="5"/>
  <c r="BB250" i="5" s="1"/>
  <c r="BA250" i="5"/>
  <c r="BL250" i="5"/>
  <c r="BN250" i="5" s="1"/>
  <c r="BO250" i="5"/>
  <c r="C249" i="5"/>
  <c r="D249" i="5"/>
  <c r="E249" i="5"/>
  <c r="F249" i="5"/>
  <c r="G249" i="5"/>
  <c r="H249" i="5"/>
  <c r="I249" i="5"/>
  <c r="J249" i="5"/>
  <c r="K249" i="5"/>
  <c r="L249" i="5"/>
  <c r="BM250" i="5" l="1"/>
  <c r="BC250" i="5"/>
  <c r="BD250" i="5"/>
  <c r="BF250" i="5"/>
  <c r="BP250" i="5"/>
  <c r="O249" i="5"/>
  <c r="P249" i="5"/>
  <c r="U249" i="5"/>
  <c r="W249" i="5"/>
  <c r="Y249" i="5"/>
  <c r="AA249" i="5" s="1"/>
  <c r="Z249" i="5"/>
  <c r="AB249" i="5"/>
  <c r="AH249" i="5"/>
  <c r="AI249" i="5"/>
  <c r="AD249" i="5" s="1"/>
  <c r="AL249" i="5"/>
  <c r="AJ249" i="5"/>
  <c r="AO249" i="5"/>
  <c r="AQ249" i="5"/>
  <c r="AR249" i="5"/>
  <c r="AS249" i="5"/>
  <c r="AT249" i="5"/>
  <c r="AU249" i="5"/>
  <c r="AV249" i="5"/>
  <c r="AW249" i="5"/>
  <c r="AX249" i="5"/>
  <c r="AY249" i="5" s="1"/>
  <c r="AZ249" i="5"/>
  <c r="BA249" i="5"/>
  <c r="BB249" i="5"/>
  <c r="BM249" i="5" s="1"/>
  <c r="BF249" i="5"/>
  <c r="BL249" i="5"/>
  <c r="BP249" i="5" s="1"/>
  <c r="BO249" i="5"/>
  <c r="C248" i="5"/>
  <c r="D248" i="5"/>
  <c r="E248" i="5"/>
  <c r="F248" i="5"/>
  <c r="G248" i="5"/>
  <c r="H248" i="5"/>
  <c r="I248" i="5"/>
  <c r="J248" i="5"/>
  <c r="K248" i="5"/>
  <c r="L248" i="5"/>
  <c r="BD249" i="5" l="1"/>
  <c r="BN249" i="5"/>
  <c r="BC249" i="5"/>
  <c r="O248" i="5"/>
  <c r="P248" i="5"/>
  <c r="U248" i="5" s="1"/>
  <c r="W248" i="5"/>
  <c r="Z248" i="5" s="1"/>
  <c r="AA248" i="5" s="1"/>
  <c r="Y248" i="5"/>
  <c r="AB248" i="5"/>
  <c r="AH248" i="5"/>
  <c r="AI248" i="5"/>
  <c r="AD248" i="5"/>
  <c r="AL248" i="5"/>
  <c r="AJ248" i="5"/>
  <c r="AO248" i="5"/>
  <c r="AQ248" i="5"/>
  <c r="AR248" i="5"/>
  <c r="AS248" i="5"/>
  <c r="AT248" i="5"/>
  <c r="AU248" i="5"/>
  <c r="AV248" i="5"/>
  <c r="AW248" i="5"/>
  <c r="AX248" i="5" s="1"/>
  <c r="AY248" i="5" s="1"/>
  <c r="AZ248" i="5"/>
  <c r="BA248" i="5"/>
  <c r="BB248" i="5"/>
  <c r="BM248" i="5" s="1"/>
  <c r="BF248" i="5"/>
  <c r="BL248" i="5"/>
  <c r="BN248" i="5" s="1"/>
  <c r="BO248" i="5"/>
  <c r="C247" i="5"/>
  <c r="D247" i="5"/>
  <c r="E247" i="5"/>
  <c r="F247" i="5"/>
  <c r="G247" i="5"/>
  <c r="H247" i="5"/>
  <c r="I247" i="5"/>
  <c r="J247" i="5"/>
  <c r="K247" i="5"/>
  <c r="L247" i="5"/>
  <c r="BC248" i="5" l="1"/>
  <c r="BD248" i="5"/>
  <c r="BP248" i="5"/>
  <c r="O247" i="5"/>
  <c r="P247" i="5"/>
  <c r="U247" i="5"/>
  <c r="W247" i="5"/>
  <c r="Y247" i="5"/>
  <c r="AA247" i="5" s="1"/>
  <c r="Z247" i="5"/>
  <c r="AB247" i="5"/>
  <c r="AH247" i="5"/>
  <c r="AI247" i="5"/>
  <c r="AD247" i="5"/>
  <c r="AL247" i="5"/>
  <c r="AJ247" i="5"/>
  <c r="AO247" i="5"/>
  <c r="AQ247" i="5"/>
  <c r="AR247" i="5"/>
  <c r="AS247" i="5"/>
  <c r="AT247" i="5"/>
  <c r="AU247" i="5"/>
  <c r="AV247" i="5"/>
  <c r="AW247" i="5"/>
  <c r="AX247" i="5"/>
  <c r="AY247" i="5" s="1"/>
  <c r="AZ247" i="5"/>
  <c r="BA247" i="5"/>
  <c r="BB247" i="5"/>
  <c r="BM247" i="5" s="1"/>
  <c r="BC247" i="5"/>
  <c r="BD247" i="5"/>
  <c r="BF247" i="5"/>
  <c r="BL247" i="5"/>
  <c r="BN247" i="5" s="1"/>
  <c r="BO247" i="5"/>
  <c r="C246" i="5"/>
  <c r="D246" i="5"/>
  <c r="E246" i="5"/>
  <c r="F246" i="5"/>
  <c r="G246" i="5"/>
  <c r="H246" i="5"/>
  <c r="I246" i="5"/>
  <c r="J246" i="5"/>
  <c r="K246" i="5"/>
  <c r="L246" i="5"/>
  <c r="BP247" i="5" l="1"/>
  <c r="O246" i="5"/>
  <c r="P246" i="5"/>
  <c r="U246" i="5"/>
  <c r="W246" i="5"/>
  <c r="Y246" i="5"/>
  <c r="AA246" i="5" s="1"/>
  <c r="Z246" i="5"/>
  <c r="AB246" i="5"/>
  <c r="AH246" i="5"/>
  <c r="AI246" i="5"/>
  <c r="AD246" i="5"/>
  <c r="AL246" i="5"/>
  <c r="AJ246" i="5"/>
  <c r="AO246" i="5"/>
  <c r="AQ246" i="5"/>
  <c r="AR246" i="5"/>
  <c r="AS246" i="5" s="1"/>
  <c r="AT246" i="5"/>
  <c r="AU246" i="5"/>
  <c r="AV246" i="5"/>
  <c r="AW246" i="5"/>
  <c r="AX246" i="5" s="1"/>
  <c r="AY246" i="5" s="1"/>
  <c r="AZ246" i="5"/>
  <c r="BA246" i="5"/>
  <c r="BB246" i="5"/>
  <c r="BM246" i="5" s="1"/>
  <c r="BL246" i="5"/>
  <c r="BN246" i="5" s="1"/>
  <c r="BO246" i="5"/>
  <c r="C245" i="5"/>
  <c r="D245" i="5"/>
  <c r="E245" i="5"/>
  <c r="F245" i="5"/>
  <c r="G245" i="5"/>
  <c r="H245" i="5"/>
  <c r="I245" i="5"/>
  <c r="J245" i="5"/>
  <c r="K245" i="5"/>
  <c r="L245" i="5"/>
  <c r="BD246" i="5" l="1"/>
  <c r="BF246" i="5"/>
  <c r="BC246" i="5"/>
  <c r="BP246" i="5"/>
  <c r="O245" i="5"/>
  <c r="P245" i="5"/>
  <c r="U245" i="5"/>
  <c r="W245" i="5"/>
  <c r="Y245" i="5"/>
  <c r="Z245" i="5"/>
  <c r="AA245" i="5"/>
  <c r="AB245" i="5"/>
  <c r="AH245" i="5"/>
  <c r="AI245" i="5"/>
  <c r="AD245" i="5"/>
  <c r="AL245" i="5"/>
  <c r="AJ245" i="5"/>
  <c r="AO245" i="5"/>
  <c r="AQ245" i="5"/>
  <c r="AR245" i="5"/>
  <c r="AS245" i="5"/>
  <c r="AT245" i="5"/>
  <c r="AU245" i="5" l="1"/>
  <c r="AV245" i="5"/>
  <c r="AW245" i="5"/>
  <c r="AX245" i="5" s="1"/>
  <c r="AY245" i="5" s="1"/>
  <c r="AZ245" i="5"/>
  <c r="BA245" i="5"/>
  <c r="BB245" i="5"/>
  <c r="BM245" i="5" s="1"/>
  <c r="BC245" i="5"/>
  <c r="BD245" i="5"/>
  <c r="BF245" i="5"/>
  <c r="BL245" i="5"/>
  <c r="BN245" i="5" s="1"/>
  <c r="BO245" i="5"/>
  <c r="C244" i="5"/>
  <c r="D244" i="5"/>
  <c r="E244" i="5"/>
  <c r="F244" i="5"/>
  <c r="G244" i="5"/>
  <c r="H244" i="5"/>
  <c r="I244" i="5"/>
  <c r="J244" i="5"/>
  <c r="K244" i="5"/>
  <c r="L244" i="5"/>
  <c r="BP245" i="5" l="1"/>
  <c r="O244" i="5"/>
  <c r="P244" i="5"/>
  <c r="U244" i="5" s="1"/>
  <c r="W244" i="5"/>
  <c r="Y244" i="5"/>
  <c r="Z244" i="5"/>
  <c r="AA244" i="5"/>
  <c r="AB244" i="5"/>
  <c r="AH244" i="5"/>
  <c r="AI244" i="5"/>
  <c r="AD244" i="5"/>
  <c r="AL244" i="5"/>
  <c r="AJ244" i="5"/>
  <c r="AO244" i="5"/>
  <c r="AQ244" i="5"/>
  <c r="AR244" i="5"/>
  <c r="AS244" i="5"/>
  <c r="AT244" i="5"/>
  <c r="AU244" i="5"/>
  <c r="AV244" i="5"/>
  <c r="AW244" i="5"/>
  <c r="AX244" i="5"/>
  <c r="AY244" i="5"/>
  <c r="AZ244" i="5"/>
  <c r="BA244" i="5"/>
  <c r="BB244" i="5"/>
  <c r="BM244" i="5" s="1"/>
  <c r="BC244" i="5"/>
  <c r="BD244" i="5"/>
  <c r="BF244" i="5"/>
  <c r="BL244" i="5"/>
  <c r="BN244" i="5" s="1"/>
  <c r="BO244" i="5"/>
  <c r="C243" i="5"/>
  <c r="D243" i="5"/>
  <c r="E243" i="5"/>
  <c r="F243" i="5"/>
  <c r="G243" i="5"/>
  <c r="H243" i="5"/>
  <c r="I243" i="5"/>
  <c r="J243" i="5"/>
  <c r="K243" i="5"/>
  <c r="L243" i="5"/>
  <c r="BP244" i="5" l="1"/>
  <c r="O243" i="5"/>
  <c r="P243" i="5"/>
  <c r="U243" i="5"/>
  <c r="W243" i="5"/>
  <c r="Y243" i="5"/>
  <c r="Z243" i="5"/>
  <c r="AA243" i="5" s="1"/>
  <c r="AB243" i="5"/>
  <c r="AH243" i="5"/>
  <c r="AI243" i="5" s="1"/>
  <c r="AD243" i="5" s="1"/>
  <c r="AL243" i="5"/>
  <c r="AJ243" i="5"/>
  <c r="AO243" i="5"/>
  <c r="AQ243" i="5"/>
  <c r="AR243" i="5"/>
  <c r="AS243" i="5"/>
  <c r="AT243" i="5"/>
  <c r="AU243" i="5"/>
  <c r="AV243" i="5"/>
  <c r="AW243" i="5"/>
  <c r="AX243" i="5"/>
  <c r="AY243" i="5" s="1"/>
  <c r="AZ243" i="5"/>
  <c r="BA243" i="5"/>
  <c r="BB243" i="5" s="1"/>
  <c r="BL243" i="5"/>
  <c r="BN243" i="5" s="1"/>
  <c r="BO243" i="5"/>
  <c r="C242" i="5"/>
  <c r="D242" i="5"/>
  <c r="E242" i="5"/>
  <c r="F242" i="5"/>
  <c r="G242" i="5"/>
  <c r="H242" i="5"/>
  <c r="I242" i="5"/>
  <c r="J242" i="5"/>
  <c r="K242" i="5"/>
  <c r="L242" i="5"/>
  <c r="BM243" i="5" l="1"/>
  <c r="BC243" i="5"/>
  <c r="BF243" i="5"/>
  <c r="BD243" i="5"/>
  <c r="BP243" i="5"/>
  <c r="O242" i="5"/>
  <c r="P242" i="5"/>
  <c r="U242" i="5"/>
  <c r="W242" i="5"/>
  <c r="Y242" i="5"/>
  <c r="Z242" i="5"/>
  <c r="AA242" i="5"/>
  <c r="AB242" i="5"/>
  <c r="AH242" i="5"/>
  <c r="AI242" i="5"/>
  <c r="AD242" i="5"/>
  <c r="AL242" i="5"/>
  <c r="AJ242" i="5"/>
  <c r="AO242" i="5"/>
  <c r="AQ242" i="5"/>
  <c r="AR242" i="5"/>
  <c r="AS242" i="5"/>
  <c r="AT242" i="5"/>
  <c r="AU242" i="5"/>
  <c r="AV242" i="5"/>
  <c r="AW242" i="5"/>
  <c r="AX242" i="5"/>
  <c r="AY242" i="5"/>
  <c r="AZ242" i="5"/>
  <c r="BA242" i="5"/>
  <c r="BB242" i="5"/>
  <c r="BM242" i="5" s="1"/>
  <c r="BD242" i="5"/>
  <c r="BF242" i="5"/>
  <c r="BL242" i="5"/>
  <c r="BN242" i="5" s="1"/>
  <c r="BO242" i="5"/>
  <c r="C241" i="5"/>
  <c r="D241" i="5"/>
  <c r="E241" i="5"/>
  <c r="F241" i="5"/>
  <c r="G241" i="5"/>
  <c r="H241" i="5"/>
  <c r="I241" i="5"/>
  <c r="J241" i="5"/>
  <c r="K241" i="5"/>
  <c r="L241" i="5"/>
  <c r="BP242" i="5" l="1"/>
  <c r="BC242" i="5"/>
  <c r="O241" i="5"/>
  <c r="P241" i="5"/>
  <c r="U241" i="5" s="1"/>
  <c r="W241" i="5"/>
  <c r="Z241" i="5" s="1"/>
  <c r="Y241" i="5"/>
  <c r="AB241" i="5"/>
  <c r="AH241" i="5"/>
  <c r="AI241" i="5" s="1"/>
  <c r="AD241" i="5" s="1"/>
  <c r="AL241" i="5"/>
  <c r="AA241" i="5" l="1"/>
  <c r="AJ241" i="5"/>
  <c r="AO241" i="5"/>
  <c r="AQ241" i="5"/>
  <c r="AR241" i="5"/>
  <c r="AS241" i="5"/>
  <c r="AT241" i="5"/>
  <c r="AU241" i="5"/>
  <c r="AV241" i="5"/>
  <c r="AW241" i="5"/>
  <c r="AX241" i="5"/>
  <c r="AY241" i="5"/>
  <c r="AZ241" i="5"/>
  <c r="BB241" i="5" s="1"/>
  <c r="BA241" i="5"/>
  <c r="BL241" i="5"/>
  <c r="BN241" i="5" s="1"/>
  <c r="BO241" i="5"/>
  <c r="C240" i="5"/>
  <c r="D240" i="5"/>
  <c r="E240" i="5"/>
  <c r="F240" i="5"/>
  <c r="G240" i="5"/>
  <c r="H240" i="5"/>
  <c r="I240" i="5"/>
  <c r="J240" i="5"/>
  <c r="K240" i="5"/>
  <c r="L240" i="5"/>
  <c r="BM241" i="5" l="1"/>
  <c r="BD241" i="5"/>
  <c r="BF241" i="5"/>
  <c r="BC241" i="5"/>
  <c r="BP241" i="5"/>
  <c r="O240" i="5"/>
  <c r="P240" i="5"/>
  <c r="U240" i="5" s="1"/>
  <c r="W240" i="5"/>
  <c r="Z240" i="5" s="1"/>
  <c r="Y240" i="5"/>
  <c r="AB240" i="5"/>
  <c r="AH240" i="5"/>
  <c r="AI240" i="5" s="1"/>
  <c r="AD240" i="5" s="1"/>
  <c r="AL240" i="5"/>
  <c r="AA240" i="5" l="1"/>
  <c r="AJ240" i="5"/>
  <c r="AO240" i="5"/>
  <c r="AQ240" i="5"/>
  <c r="AR240" i="5"/>
  <c r="AS240" i="5"/>
  <c r="AT240" i="5"/>
  <c r="AU240" i="5"/>
  <c r="AV240" i="5"/>
  <c r="AW240" i="5"/>
  <c r="AX240" i="5"/>
  <c r="AY240" i="5"/>
  <c r="AZ240" i="5"/>
  <c r="BA240" i="5"/>
  <c r="BB240" i="5"/>
  <c r="BM240" i="5" s="1"/>
  <c r="BC240" i="5"/>
  <c r="BD240" i="5"/>
  <c r="BF240" i="5"/>
  <c r="BL240" i="5"/>
  <c r="BN240" i="5" s="1"/>
  <c r="BO240" i="5"/>
  <c r="C239" i="5"/>
  <c r="D239" i="5"/>
  <c r="E239" i="5"/>
  <c r="F239" i="5"/>
  <c r="G239" i="5"/>
  <c r="H239" i="5"/>
  <c r="I239" i="5"/>
  <c r="J239" i="5"/>
  <c r="K239" i="5"/>
  <c r="L239" i="5"/>
  <c r="BP240" i="5" l="1"/>
  <c r="O239" i="5"/>
  <c r="P239" i="5"/>
  <c r="U239" i="5"/>
  <c r="W239" i="5"/>
  <c r="Y239" i="5"/>
  <c r="Z239" i="5"/>
  <c r="AA239" i="5"/>
  <c r="AB239" i="5"/>
  <c r="AH239" i="5"/>
  <c r="AI239" i="5"/>
  <c r="AD239" i="5" s="1"/>
  <c r="AL239" i="5"/>
  <c r="AJ239" i="5"/>
  <c r="AO239" i="5"/>
  <c r="AQ239" i="5"/>
  <c r="AR239" i="5"/>
  <c r="AS239" i="5"/>
  <c r="AT239" i="5"/>
  <c r="AU239" i="5"/>
  <c r="AV239" i="5"/>
  <c r="AW239" i="5"/>
  <c r="AX239" i="5" s="1"/>
  <c r="AY239" i="5" s="1"/>
  <c r="AZ239" i="5"/>
  <c r="BA239" i="5"/>
  <c r="BB239" i="5"/>
  <c r="BM239" i="5" s="1"/>
  <c r="BC239" i="5"/>
  <c r="BD239" i="5"/>
  <c r="BF239" i="5"/>
  <c r="BL239" i="5"/>
  <c r="BN239" i="5" s="1"/>
  <c r="BO239" i="5"/>
  <c r="C238" i="5"/>
  <c r="D238" i="5"/>
  <c r="E238" i="5"/>
  <c r="F238" i="5"/>
  <c r="G238" i="5"/>
  <c r="H238" i="5"/>
  <c r="I238" i="5"/>
  <c r="J238" i="5"/>
  <c r="K238" i="5"/>
  <c r="L238" i="5"/>
  <c r="BP239" i="5" l="1"/>
  <c r="O238" i="5"/>
  <c r="P238" i="5"/>
  <c r="U238" i="5"/>
  <c r="W238" i="5"/>
  <c r="Z238" i="5" s="1"/>
  <c r="AA238" i="5" s="1"/>
  <c r="Y238" i="5"/>
  <c r="AB238" i="5"/>
  <c r="AH238" i="5"/>
  <c r="AI238" i="5"/>
  <c r="AD238" i="5"/>
  <c r="AL238" i="5"/>
  <c r="AJ238" i="5"/>
  <c r="AO238" i="5"/>
  <c r="AQ238" i="5"/>
  <c r="AR238" i="5"/>
  <c r="AS238" i="5"/>
  <c r="AT238" i="5"/>
  <c r="AU238" i="5"/>
  <c r="AV238" i="5"/>
  <c r="AW238" i="5"/>
  <c r="AX238" i="5"/>
  <c r="AY238" i="5" s="1"/>
  <c r="AZ238" i="5"/>
  <c r="BA238" i="5"/>
  <c r="BB238" i="5"/>
  <c r="BM238" i="5" s="1"/>
  <c r="BC238" i="5"/>
  <c r="BD238" i="5"/>
  <c r="BF238" i="5"/>
  <c r="BL238" i="5"/>
  <c r="BN238" i="5" s="1"/>
  <c r="BO238" i="5"/>
  <c r="C237" i="5"/>
  <c r="D237" i="5"/>
  <c r="E237" i="5"/>
  <c r="F237" i="5"/>
  <c r="G237" i="5"/>
  <c r="H237" i="5"/>
  <c r="I237" i="5"/>
  <c r="J237" i="5"/>
  <c r="K237" i="5"/>
  <c r="L237" i="5"/>
  <c r="BP238" i="5" l="1"/>
  <c r="O237" i="5"/>
  <c r="P237" i="5"/>
  <c r="U237" i="5"/>
  <c r="W237" i="5"/>
  <c r="Y237" i="5"/>
  <c r="Z237" i="5"/>
  <c r="AA237" i="5" s="1"/>
  <c r="AB237" i="5"/>
  <c r="AH237" i="5"/>
  <c r="AI237" i="5"/>
  <c r="AD237" i="5"/>
  <c r="AL237" i="5"/>
  <c r="AJ237" i="5"/>
  <c r="AO237" i="5"/>
  <c r="AQ237" i="5"/>
  <c r="AR237" i="5"/>
  <c r="AS237" i="5"/>
  <c r="AT237" i="5"/>
  <c r="AU237" i="5"/>
  <c r="AV237" i="5"/>
  <c r="AW237" i="5"/>
  <c r="AX237" i="5"/>
  <c r="AY237" i="5"/>
  <c r="AZ237" i="5"/>
  <c r="BA237" i="5"/>
  <c r="BB237" i="5"/>
  <c r="BM237" i="5" s="1"/>
  <c r="BC237" i="5"/>
  <c r="BD237" i="5"/>
  <c r="BF237" i="5"/>
  <c r="BL237" i="5"/>
  <c r="BN237" i="5" s="1"/>
  <c r="BO237" i="5"/>
  <c r="C236" i="5"/>
  <c r="D236" i="5"/>
  <c r="E236" i="5"/>
  <c r="F236" i="5"/>
  <c r="G236" i="5"/>
  <c r="H236" i="5"/>
  <c r="I236" i="5"/>
  <c r="J236" i="5"/>
  <c r="K236" i="5"/>
  <c r="L236" i="5"/>
  <c r="BP237" i="5" l="1"/>
  <c r="O236" i="5"/>
  <c r="P236" i="5"/>
  <c r="U236" i="5"/>
  <c r="W236" i="5"/>
  <c r="Y236" i="5"/>
  <c r="Z236" i="5"/>
  <c r="AA236" i="5"/>
  <c r="AB236" i="5"/>
  <c r="AH236" i="5"/>
  <c r="AI236" i="5"/>
  <c r="AD236" i="5"/>
  <c r="AL236" i="5"/>
  <c r="AJ236" i="5"/>
  <c r="AO236" i="5"/>
  <c r="AQ236" i="5"/>
  <c r="AR236" i="5"/>
  <c r="AS236" i="5"/>
  <c r="AT236" i="5"/>
  <c r="AU236" i="5" l="1"/>
  <c r="AV236" i="5"/>
  <c r="AW236" i="5"/>
  <c r="AX236" i="5"/>
  <c r="AY236" i="5"/>
  <c r="AZ236" i="5"/>
  <c r="BA236" i="5"/>
  <c r="BB236" i="5"/>
  <c r="BM236" i="5" s="1"/>
  <c r="BD236" i="5"/>
  <c r="BF236" i="5"/>
  <c r="BL236" i="5"/>
  <c r="BP236" i="5" s="1"/>
  <c r="BO236" i="5"/>
  <c r="C235" i="5"/>
  <c r="D235" i="5"/>
  <c r="E235" i="5"/>
  <c r="F235" i="5"/>
  <c r="G235" i="5"/>
  <c r="H235" i="5"/>
  <c r="I235" i="5"/>
  <c r="J235" i="5"/>
  <c r="K235" i="5"/>
  <c r="L235" i="5"/>
  <c r="BC236" i="5" l="1"/>
  <c r="BN236" i="5"/>
  <c r="O235" i="5"/>
  <c r="P235" i="5"/>
  <c r="U235" i="5"/>
  <c r="W235" i="5"/>
  <c r="Z235" i="5" s="1"/>
  <c r="AA235" i="5" s="1"/>
  <c r="Y235" i="5"/>
  <c r="AB235" i="5"/>
  <c r="AH235" i="5"/>
  <c r="AI235" i="5"/>
  <c r="AD235" i="5" s="1"/>
  <c r="AL235" i="5"/>
  <c r="AJ235" i="5"/>
  <c r="AO235" i="5"/>
  <c r="AQ235" i="5"/>
  <c r="AR235" i="5"/>
  <c r="AS235" i="5"/>
  <c r="AT235" i="5"/>
  <c r="AU235" i="5"/>
  <c r="AV235" i="5"/>
  <c r="AW235" i="5"/>
  <c r="AX235" i="5"/>
  <c r="AY235" i="5"/>
  <c r="AZ235" i="5"/>
  <c r="BA235" i="5"/>
  <c r="BB235" i="5" s="1"/>
  <c r="BL235" i="5"/>
  <c r="BP235" i="5" s="1"/>
  <c r="BO235" i="5"/>
  <c r="C234" i="5"/>
  <c r="D234" i="5"/>
  <c r="E234" i="5"/>
  <c r="F234" i="5"/>
  <c r="G234" i="5"/>
  <c r="H234" i="5"/>
  <c r="I234" i="5"/>
  <c r="J234" i="5"/>
  <c r="K234" i="5"/>
  <c r="L234" i="5"/>
  <c r="BM235" i="5" l="1"/>
  <c r="BC235" i="5"/>
  <c r="BF235" i="5"/>
  <c r="BD235" i="5"/>
  <c r="BN235" i="5"/>
  <c r="O234" i="5"/>
  <c r="P234" i="5"/>
  <c r="U234" i="5" s="1"/>
  <c r="W234" i="5"/>
  <c r="Y234" i="5"/>
  <c r="Z234" i="5"/>
  <c r="AA234" i="5"/>
  <c r="AB234" i="5"/>
  <c r="AH234" i="5"/>
  <c r="AI234" i="5"/>
  <c r="AD234" i="5"/>
  <c r="AL234" i="5"/>
  <c r="AJ234" i="5"/>
  <c r="AO234" i="5"/>
  <c r="AQ234" i="5"/>
  <c r="AR234" i="5"/>
  <c r="AS234" i="5"/>
  <c r="AT234" i="5"/>
  <c r="AU234" i="5"/>
  <c r="AV234" i="5"/>
  <c r="AW234" i="5"/>
  <c r="AX234" i="5"/>
  <c r="AY234" i="5"/>
  <c r="AZ234" i="5"/>
  <c r="BA234" i="5"/>
  <c r="BB234" i="5"/>
  <c r="BM234" i="5" s="1"/>
  <c r="BD234" i="5"/>
  <c r="BF234" i="5"/>
  <c r="BL234" i="5"/>
  <c r="BN234" i="5" s="1"/>
  <c r="BO234" i="5"/>
  <c r="C233" i="5"/>
  <c r="D233" i="5"/>
  <c r="E233" i="5"/>
  <c r="F233" i="5"/>
  <c r="G233" i="5"/>
  <c r="H233" i="5"/>
  <c r="I233" i="5"/>
  <c r="J233" i="5"/>
  <c r="K233" i="5"/>
  <c r="L233" i="5"/>
  <c r="BC234" i="5" l="1"/>
  <c r="BP234" i="5"/>
  <c r="O233" i="5"/>
  <c r="U233" i="5" s="1"/>
  <c r="P233" i="5"/>
  <c r="W233" i="5"/>
  <c r="Y233" i="5"/>
  <c r="Z233" i="5"/>
  <c r="AA233" i="5" s="1"/>
  <c r="AB233" i="5"/>
  <c r="AH233" i="5"/>
  <c r="AI233" i="5" s="1"/>
  <c r="AD233" i="5" s="1"/>
  <c r="AL233" i="5"/>
  <c r="AJ233" i="5"/>
  <c r="AO233" i="5"/>
  <c r="AQ233" i="5"/>
  <c r="AR233" i="5"/>
  <c r="AS233" i="5"/>
  <c r="AT233" i="5"/>
  <c r="AU233" i="5"/>
  <c r="AV233" i="5"/>
  <c r="AW233" i="5"/>
  <c r="AX233" i="5"/>
  <c r="AY233" i="5" s="1"/>
  <c r="AZ233" i="5"/>
  <c r="BA233" i="5"/>
  <c r="BB233" i="5"/>
  <c r="BM233" i="5" s="1"/>
  <c r="BF233" i="5"/>
  <c r="BL233" i="5"/>
  <c r="BN233" i="5" s="1"/>
  <c r="BO233" i="5"/>
  <c r="C232" i="5"/>
  <c r="D232" i="5"/>
  <c r="E232" i="5"/>
  <c r="F232" i="5"/>
  <c r="G232" i="5"/>
  <c r="H232" i="5"/>
  <c r="I232" i="5"/>
  <c r="J232" i="5"/>
  <c r="K232" i="5"/>
  <c r="L232" i="5"/>
  <c r="BD233" i="5" l="1"/>
  <c r="BC233" i="5"/>
  <c r="BP233" i="5"/>
  <c r="O232" i="5"/>
  <c r="P232" i="5"/>
  <c r="U232" i="5"/>
  <c r="W232" i="5"/>
  <c r="Y232" i="5"/>
  <c r="Z232" i="5"/>
  <c r="AA232" i="5"/>
  <c r="AB232" i="5"/>
  <c r="AH232" i="5"/>
  <c r="AI232" i="5" s="1"/>
  <c r="AD232" i="5" s="1"/>
  <c r="AL232" i="5"/>
  <c r="AJ232" i="5"/>
  <c r="AO232" i="5"/>
  <c r="AQ232" i="5"/>
  <c r="AR232" i="5"/>
  <c r="AS232" i="5"/>
  <c r="AT232" i="5"/>
  <c r="AU232" i="5"/>
  <c r="AV232" i="5"/>
  <c r="AW232" i="5"/>
  <c r="AX232" i="5" s="1"/>
  <c r="AY232" i="5" s="1"/>
  <c r="AZ232" i="5"/>
  <c r="BA232" i="5"/>
  <c r="BB232" i="5"/>
  <c r="BM232" i="5" s="1"/>
  <c r="BC232" i="5"/>
  <c r="BD232" i="5"/>
  <c r="BF232" i="5"/>
  <c r="BL232" i="5"/>
  <c r="BN232" i="5" s="1"/>
  <c r="BO232" i="5"/>
  <c r="C231" i="5"/>
  <c r="D231" i="5"/>
  <c r="E231" i="5"/>
  <c r="F231" i="5"/>
  <c r="G231" i="5"/>
  <c r="H231" i="5"/>
  <c r="I231" i="5"/>
  <c r="J231" i="5"/>
  <c r="K231" i="5"/>
  <c r="L231" i="5"/>
  <c r="BP232" i="5" l="1"/>
  <c r="O231" i="5"/>
  <c r="U231" i="5" s="1"/>
  <c r="P231" i="5"/>
  <c r="W231" i="5"/>
  <c r="Y231" i="5"/>
  <c r="Z231" i="5"/>
  <c r="AA231" i="5"/>
  <c r="AB231" i="5"/>
  <c r="AH231" i="5"/>
  <c r="AI231" i="5"/>
  <c r="AD231" i="5"/>
  <c r="AL231" i="5"/>
  <c r="AJ231" i="5"/>
  <c r="AO231" i="5"/>
  <c r="AR231" i="5" s="1"/>
  <c r="AS231" i="5" s="1"/>
  <c r="AQ231" i="5"/>
  <c r="AT231" i="5"/>
  <c r="AU231" i="5"/>
  <c r="AV231" i="5"/>
  <c r="AW231" i="5"/>
  <c r="AX231" i="5"/>
  <c r="AY231" i="5"/>
  <c r="AZ231" i="5"/>
  <c r="BA231" i="5"/>
  <c r="BB231" i="5"/>
  <c r="BM231" i="5" s="1"/>
  <c r="BC231" i="5"/>
  <c r="BD231" i="5"/>
  <c r="BF231" i="5"/>
  <c r="BL231" i="5"/>
  <c r="BN231" i="5" s="1"/>
  <c r="BO231" i="5"/>
  <c r="C230" i="5"/>
  <c r="D230" i="5"/>
  <c r="E230" i="5"/>
  <c r="F230" i="5"/>
  <c r="G230" i="5"/>
  <c r="H230" i="5"/>
  <c r="I230" i="5"/>
  <c r="J230" i="5"/>
  <c r="K230" i="5"/>
  <c r="L230" i="5"/>
  <c r="BP231" i="5" l="1"/>
  <c r="O230" i="5"/>
  <c r="P230" i="5"/>
  <c r="U230" i="5"/>
  <c r="W230" i="5"/>
  <c r="Y230" i="5"/>
  <c r="Z230" i="5"/>
  <c r="AA230" i="5"/>
  <c r="AB230" i="5"/>
  <c r="AH230" i="5"/>
  <c r="AI230" i="5"/>
  <c r="AD230" i="5"/>
  <c r="AL230" i="5"/>
  <c r="AJ230" i="5"/>
  <c r="AO230" i="5"/>
  <c r="AQ230" i="5"/>
  <c r="AR230" i="5"/>
  <c r="AS230" i="5"/>
  <c r="AT230" i="5"/>
  <c r="AU230" i="5"/>
  <c r="AV230" i="5"/>
  <c r="AW230" i="5"/>
  <c r="AX230" i="5"/>
  <c r="AY230" i="5" s="1"/>
  <c r="AZ230" i="5"/>
  <c r="BA230" i="5"/>
  <c r="BB230" i="5"/>
  <c r="BM230" i="5" s="1"/>
  <c r="BC230" i="5"/>
  <c r="BD230" i="5"/>
  <c r="BF230" i="5"/>
  <c r="BL230" i="5"/>
  <c r="BP230" i="5" s="1"/>
  <c r="BO230" i="5"/>
  <c r="C229" i="5"/>
  <c r="D229" i="5"/>
  <c r="E229" i="5"/>
  <c r="F229" i="5"/>
  <c r="G229" i="5"/>
  <c r="H229" i="5"/>
  <c r="I229" i="5"/>
  <c r="J229" i="5"/>
  <c r="K229" i="5"/>
  <c r="L229" i="5"/>
  <c r="BN230" i="5" l="1"/>
  <c r="O229" i="5"/>
  <c r="U229" i="5" s="1"/>
  <c r="P229" i="5"/>
  <c r="W229" i="5"/>
  <c r="Y229" i="5"/>
  <c r="Z229" i="5"/>
  <c r="AA229" i="5" s="1"/>
  <c r="AB229" i="5"/>
  <c r="AH229" i="5"/>
  <c r="AI229" i="5"/>
  <c r="AD229" i="5"/>
  <c r="AL229" i="5"/>
  <c r="AJ229" i="5"/>
  <c r="AO229" i="5"/>
  <c r="AQ229" i="5"/>
  <c r="AR229" i="5"/>
  <c r="AS229" i="5"/>
  <c r="AT229" i="5"/>
  <c r="AU229" i="5"/>
  <c r="AV229" i="5"/>
  <c r="AW229" i="5"/>
  <c r="AX229" i="5"/>
  <c r="AY229" i="5"/>
  <c r="AZ229" i="5"/>
  <c r="BA229" i="5"/>
  <c r="BB229" i="5"/>
  <c r="BM229" i="5" s="1"/>
  <c r="BC229" i="5"/>
  <c r="BD229" i="5"/>
  <c r="BF229" i="5"/>
  <c r="BL229" i="5"/>
  <c r="BN229" i="5" s="1"/>
  <c r="BO229" i="5"/>
  <c r="C228" i="5"/>
  <c r="D228" i="5"/>
  <c r="E228" i="5"/>
  <c r="F228" i="5"/>
  <c r="G228" i="5"/>
  <c r="H228" i="5"/>
  <c r="I228" i="5"/>
  <c r="J228" i="5"/>
  <c r="K228" i="5"/>
  <c r="L228" i="5"/>
  <c r="BP229" i="5" l="1"/>
  <c r="O228" i="5"/>
  <c r="P228" i="5"/>
  <c r="U228" i="5"/>
  <c r="W228" i="5"/>
  <c r="Y228" i="5"/>
  <c r="Z228" i="5"/>
  <c r="AA228" i="5" s="1"/>
  <c r="AB228" i="5"/>
  <c r="AH228" i="5"/>
  <c r="AI228" i="5"/>
  <c r="AD228" i="5" s="1"/>
  <c r="AL228" i="5"/>
  <c r="AJ228" i="5"/>
  <c r="AO228" i="5"/>
  <c r="AQ228" i="5"/>
  <c r="AR228" i="5"/>
  <c r="AS228" i="5" s="1"/>
  <c r="AT228" i="5"/>
  <c r="AU228" i="5" l="1"/>
  <c r="AV228" i="5"/>
  <c r="AW228" i="5"/>
  <c r="AX228" i="5"/>
  <c r="AY228" i="5"/>
  <c r="AZ228" i="5"/>
  <c r="BA228" i="5"/>
  <c r="BB228" i="5"/>
  <c r="BM228" i="5" s="1"/>
  <c r="BD228" i="5"/>
  <c r="BF228" i="5"/>
  <c r="BL228" i="5"/>
  <c r="BN228" i="5" s="1"/>
  <c r="BO228" i="5"/>
  <c r="C227" i="5"/>
  <c r="D227" i="5"/>
  <c r="E227" i="5"/>
  <c r="F227" i="5"/>
  <c r="G227" i="5"/>
  <c r="H227" i="5"/>
  <c r="I227" i="5"/>
  <c r="J227" i="5"/>
  <c r="K227" i="5"/>
  <c r="L227" i="5"/>
  <c r="BP228" i="5" l="1"/>
  <c r="BC228" i="5"/>
  <c r="O227" i="5"/>
  <c r="P227" i="5"/>
  <c r="U227" i="5"/>
  <c r="W227" i="5"/>
  <c r="Y227" i="5"/>
  <c r="Z227" i="5"/>
  <c r="AA227" i="5"/>
  <c r="AB227" i="5"/>
  <c r="AH227" i="5"/>
  <c r="AI227" i="5"/>
  <c r="AD227" i="5"/>
  <c r="AL227" i="5"/>
  <c r="AJ227" i="5"/>
  <c r="AO227" i="5"/>
  <c r="AQ227" i="5"/>
  <c r="AR227" i="5"/>
  <c r="AS227" i="5"/>
  <c r="AT227" i="5"/>
  <c r="AU227" i="5"/>
  <c r="AV227" i="5"/>
  <c r="AW227" i="5"/>
  <c r="AX227" i="5"/>
  <c r="AY227" i="5" s="1"/>
  <c r="AZ227" i="5"/>
  <c r="BA227" i="5"/>
  <c r="BB227" i="5"/>
  <c r="BM227" i="5" s="1"/>
  <c r="BD227" i="5"/>
  <c r="BF227" i="5"/>
  <c r="BL227" i="5"/>
  <c r="BN227" i="5" s="1"/>
  <c r="BO227" i="5"/>
  <c r="C226" i="5"/>
  <c r="D226" i="5"/>
  <c r="E226" i="5"/>
  <c r="F226" i="5"/>
  <c r="G226" i="5"/>
  <c r="H226" i="5"/>
  <c r="I226" i="5"/>
  <c r="J226" i="5"/>
  <c r="K226" i="5"/>
  <c r="L226" i="5"/>
  <c r="BC227" i="5" l="1"/>
  <c r="BP227" i="5"/>
  <c r="O226" i="5"/>
  <c r="P226" i="5"/>
  <c r="U226" i="5" s="1"/>
  <c r="W226" i="5"/>
  <c r="Y226" i="5"/>
  <c r="Z226" i="5"/>
  <c r="AA226" i="5"/>
  <c r="AB226" i="5"/>
  <c r="AH226" i="5"/>
  <c r="AI226" i="5"/>
  <c r="AD226" i="5"/>
  <c r="AL226" i="5"/>
  <c r="AJ226" i="5"/>
  <c r="AO226" i="5"/>
  <c r="AQ226" i="5"/>
  <c r="AR226" i="5"/>
  <c r="AS226" i="5"/>
  <c r="AT226" i="5"/>
  <c r="AU226" i="5"/>
  <c r="AV226" i="5"/>
  <c r="AW226" i="5"/>
  <c r="AX226" i="5"/>
  <c r="AY226" i="5"/>
  <c r="AZ226" i="5"/>
  <c r="BA226" i="5"/>
  <c r="BB226" i="5"/>
  <c r="BM226" i="5" s="1"/>
  <c r="BF226" i="5"/>
  <c r="BL226" i="5"/>
  <c r="BN226" i="5" s="1"/>
  <c r="BO226" i="5"/>
  <c r="BD226" i="5" l="1"/>
  <c r="BP226" i="5"/>
  <c r="BC226" i="5"/>
  <c r="BO505" i="5"/>
  <c r="Y505" i="5"/>
  <c r="P505" i="5"/>
  <c r="O505" i="5"/>
  <c r="BO504" i="5"/>
  <c r="Y504" i="5"/>
  <c r="P504" i="5"/>
  <c r="O504" i="5"/>
  <c r="BO503" i="5"/>
  <c r="Y503" i="5"/>
  <c r="P503" i="5"/>
  <c r="O503" i="5"/>
  <c r="BO502" i="5"/>
  <c r="Y502" i="5"/>
  <c r="P502" i="5"/>
  <c r="O502" i="5"/>
  <c r="BO501" i="5"/>
  <c r="Y501" i="5"/>
  <c r="P501" i="5"/>
  <c r="O501" i="5"/>
  <c r="BO500" i="5"/>
  <c r="Y500" i="5"/>
  <c r="P500" i="5"/>
  <c r="O500" i="5"/>
  <c r="BO499" i="5"/>
  <c r="Y499" i="5"/>
  <c r="P499" i="5"/>
  <c r="O499" i="5"/>
  <c r="BO498" i="5"/>
  <c r="Y498" i="5"/>
  <c r="P498" i="5"/>
  <c r="O498" i="5"/>
  <c r="BO497" i="5"/>
  <c r="Y497" i="5"/>
  <c r="P497" i="5"/>
  <c r="O497" i="5"/>
  <c r="BO496" i="5"/>
  <c r="Y496" i="5"/>
  <c r="P496" i="5"/>
  <c r="O496" i="5"/>
  <c r="BO495" i="5"/>
  <c r="Y495" i="5"/>
  <c r="P495" i="5"/>
  <c r="O495" i="5"/>
  <c r="BO494" i="5"/>
  <c r="Y494" i="5"/>
  <c r="P494" i="5"/>
  <c r="O494" i="5"/>
  <c r="BO493" i="5"/>
  <c r="Y493" i="5"/>
  <c r="P493" i="5"/>
  <c r="O493" i="5"/>
  <c r="BO492" i="5"/>
  <c r="Y492" i="5"/>
  <c r="P492" i="5"/>
  <c r="O492" i="5"/>
  <c r="BO491" i="5"/>
  <c r="Y491" i="5"/>
  <c r="P491" i="5"/>
  <c r="O491" i="5"/>
  <c r="BO490" i="5"/>
  <c r="Y490" i="5"/>
  <c r="P490" i="5"/>
  <c r="O490" i="5"/>
  <c r="BO489" i="5"/>
  <c r="Y489" i="5"/>
  <c r="P489" i="5"/>
  <c r="O489" i="5"/>
  <c r="BO488" i="5"/>
  <c r="Y488" i="5"/>
  <c r="P488" i="5"/>
  <c r="O488" i="5"/>
  <c r="BO487" i="5"/>
  <c r="Y487" i="5"/>
  <c r="P487" i="5"/>
  <c r="O487" i="5"/>
  <c r="BO486" i="5"/>
  <c r="Y486" i="5"/>
  <c r="P486" i="5"/>
  <c r="O486" i="5"/>
  <c r="BO485" i="5"/>
  <c r="Y485" i="5"/>
  <c r="P485" i="5"/>
  <c r="O485" i="5"/>
  <c r="BO484" i="5"/>
  <c r="Y484" i="5"/>
  <c r="P484" i="5"/>
  <c r="O484" i="5"/>
  <c r="BO483" i="5"/>
  <c r="Y483" i="5"/>
  <c r="P483" i="5"/>
  <c r="O483" i="5"/>
  <c r="BO482" i="5"/>
  <c r="Y482" i="5"/>
  <c r="P482" i="5"/>
  <c r="O482" i="5"/>
  <c r="BO481" i="5"/>
  <c r="Y481" i="5"/>
  <c r="P481" i="5"/>
  <c r="O481" i="5"/>
  <c r="BO480" i="5"/>
  <c r="Y480" i="5"/>
  <c r="P480" i="5"/>
  <c r="O480" i="5"/>
  <c r="BO479" i="5"/>
  <c r="Y479" i="5"/>
  <c r="P479" i="5"/>
  <c r="O479" i="5"/>
  <c r="BO478" i="5"/>
  <c r="Y478" i="5"/>
  <c r="P478" i="5"/>
  <c r="O478" i="5"/>
  <c r="BO477" i="5"/>
  <c r="Y477" i="5"/>
  <c r="P477" i="5"/>
  <c r="O477" i="5"/>
  <c r="BO476" i="5"/>
  <c r="Y476" i="5"/>
  <c r="P476" i="5"/>
  <c r="O476" i="5"/>
  <c r="BO475" i="5"/>
  <c r="Y475" i="5"/>
  <c r="P475" i="5"/>
  <c r="O475" i="5"/>
  <c r="BO474" i="5"/>
  <c r="Y474" i="5"/>
  <c r="P474" i="5"/>
  <c r="O474" i="5"/>
  <c r="BO473" i="5"/>
  <c r="Y473" i="5"/>
  <c r="P473" i="5"/>
  <c r="O473" i="5"/>
  <c r="BO472" i="5"/>
  <c r="Y472" i="5"/>
  <c r="P472" i="5"/>
  <c r="O472" i="5"/>
  <c r="BO471" i="5"/>
  <c r="Y471" i="5"/>
  <c r="P471" i="5"/>
  <c r="O471" i="5"/>
  <c r="BO470" i="5"/>
  <c r="Y470" i="5"/>
  <c r="P470" i="5"/>
  <c r="O470" i="5"/>
  <c r="BO469" i="5"/>
  <c r="Y469" i="5"/>
  <c r="P469" i="5"/>
  <c r="O469" i="5"/>
  <c r="BO468" i="5"/>
  <c r="Y468" i="5"/>
  <c r="P468" i="5"/>
  <c r="O468" i="5"/>
  <c r="BO467" i="5"/>
  <c r="Y467" i="5"/>
  <c r="P467" i="5"/>
  <c r="O467" i="5"/>
  <c r="BO466" i="5"/>
  <c r="Y466" i="5"/>
  <c r="P466" i="5"/>
  <c r="O466" i="5"/>
  <c r="BO465" i="5"/>
  <c r="Y465" i="5"/>
  <c r="P465" i="5"/>
  <c r="O465" i="5"/>
  <c r="BO464" i="5"/>
  <c r="Y464" i="5"/>
  <c r="P464" i="5"/>
  <c r="O464" i="5"/>
  <c r="BO463" i="5"/>
  <c r="Y463" i="5"/>
  <c r="P463" i="5"/>
  <c r="O463" i="5"/>
  <c r="BO462" i="5"/>
  <c r="Y462" i="5"/>
  <c r="P462" i="5"/>
  <c r="O462" i="5"/>
  <c r="BO461" i="5"/>
  <c r="Y461" i="5"/>
  <c r="P461" i="5"/>
  <c r="O461" i="5"/>
  <c r="BO460" i="5"/>
  <c r="Y460" i="5"/>
  <c r="P460" i="5"/>
  <c r="O460" i="5"/>
  <c r="BO459" i="5"/>
  <c r="Y459" i="5"/>
  <c r="P459" i="5"/>
  <c r="O459" i="5"/>
  <c r="BO458" i="5"/>
  <c r="Y458" i="5"/>
  <c r="P458" i="5"/>
  <c r="O458" i="5"/>
  <c r="BO457" i="5"/>
  <c r="Y457" i="5"/>
  <c r="P457" i="5"/>
  <c r="O457" i="5"/>
  <c r="BO456" i="5"/>
  <c r="Y456" i="5"/>
  <c r="P456" i="5"/>
  <c r="O456" i="5"/>
  <c r="BO455" i="5"/>
  <c r="Y455" i="5"/>
  <c r="P455" i="5"/>
  <c r="O455" i="5"/>
  <c r="BO454" i="5"/>
  <c r="Y454" i="5"/>
  <c r="P454" i="5"/>
  <c r="O454" i="5"/>
  <c r="BO453" i="5"/>
  <c r="Y453" i="5"/>
  <c r="P453" i="5"/>
  <c r="O453" i="5"/>
  <c r="BO452" i="5"/>
  <c r="Y452" i="5"/>
  <c r="P452" i="5"/>
  <c r="O452" i="5"/>
  <c r="BO451" i="5"/>
  <c r="Y451" i="5"/>
  <c r="P451" i="5"/>
  <c r="O451" i="5"/>
  <c r="BO450" i="5"/>
  <c r="Y450" i="5"/>
  <c r="P450" i="5"/>
  <c r="O450" i="5"/>
  <c r="BO449" i="5"/>
  <c r="Y449" i="5"/>
  <c r="P449" i="5"/>
  <c r="O449" i="5"/>
  <c r="BO448" i="5"/>
  <c r="Y448" i="5"/>
  <c r="P448" i="5"/>
  <c r="O448" i="5"/>
  <c r="BO447" i="5"/>
  <c r="Y447" i="5"/>
  <c r="P447" i="5"/>
  <c r="O447" i="5"/>
  <c r="BO446" i="5"/>
  <c r="Y446" i="5"/>
  <c r="P446" i="5"/>
  <c r="O446" i="5"/>
  <c r="BO445" i="5"/>
  <c r="Y445" i="5"/>
  <c r="P445" i="5"/>
  <c r="O445" i="5"/>
  <c r="BO444" i="5"/>
  <c r="Y444" i="5"/>
  <c r="P444" i="5"/>
  <c r="O444" i="5"/>
  <c r="BO443" i="5"/>
  <c r="Y443" i="5"/>
  <c r="P443" i="5"/>
  <c r="O443" i="5"/>
  <c r="BO442" i="5"/>
  <c r="Y442" i="5"/>
  <c r="P442" i="5"/>
  <c r="O442" i="5"/>
  <c r="BO441" i="5"/>
  <c r="Y441" i="5"/>
  <c r="P441" i="5"/>
  <c r="O441" i="5"/>
  <c r="BO440" i="5"/>
  <c r="Y440" i="5"/>
  <c r="P440" i="5"/>
  <c r="O440" i="5"/>
  <c r="BO439" i="5"/>
  <c r="Y439" i="5"/>
  <c r="P439" i="5"/>
  <c r="O439" i="5"/>
  <c r="BO438" i="5"/>
  <c r="Y438" i="5"/>
  <c r="P438" i="5"/>
  <c r="O438" i="5"/>
  <c r="BO437" i="5"/>
  <c r="Y437" i="5"/>
  <c r="P437" i="5"/>
  <c r="O437" i="5"/>
  <c r="BO436" i="5"/>
  <c r="Y436" i="5"/>
  <c r="P436" i="5"/>
  <c r="O436" i="5"/>
  <c r="BO435" i="5"/>
  <c r="Y435" i="5"/>
  <c r="P435" i="5"/>
  <c r="O435" i="5"/>
  <c r="BO434" i="5"/>
  <c r="Y434" i="5"/>
  <c r="P434" i="5"/>
  <c r="O434" i="5"/>
  <c r="BO433" i="5"/>
  <c r="Y433" i="5"/>
  <c r="P433" i="5"/>
  <c r="O433" i="5"/>
  <c r="BO432" i="5"/>
  <c r="Y432" i="5"/>
  <c r="P432" i="5"/>
  <c r="O432" i="5"/>
  <c r="BO431" i="5"/>
  <c r="Y431" i="5"/>
  <c r="P431" i="5"/>
  <c r="O431" i="5"/>
  <c r="BO430" i="5"/>
  <c r="Y430" i="5"/>
  <c r="P430" i="5"/>
  <c r="O430" i="5"/>
  <c r="BO429" i="5"/>
  <c r="Y429" i="5"/>
  <c r="P429" i="5"/>
  <c r="O429" i="5"/>
  <c r="BO428" i="5"/>
  <c r="Y428" i="5"/>
  <c r="P428" i="5"/>
  <c r="O428" i="5"/>
  <c r="BO427" i="5"/>
  <c r="Y427" i="5"/>
  <c r="P427" i="5"/>
  <c r="O427" i="5"/>
  <c r="BO426" i="5"/>
  <c r="Y426" i="5"/>
  <c r="P426" i="5"/>
  <c r="O426" i="5"/>
  <c r="BO425" i="5"/>
  <c r="Y425" i="5"/>
  <c r="P425" i="5"/>
  <c r="O425" i="5"/>
  <c r="BO424" i="5"/>
  <c r="Y424" i="5"/>
  <c r="P424" i="5"/>
  <c r="O424" i="5"/>
  <c r="BO423" i="5"/>
  <c r="Y423" i="5"/>
  <c r="P423" i="5"/>
  <c r="O423" i="5"/>
  <c r="BO422" i="5"/>
  <c r="Y422" i="5"/>
  <c r="P422" i="5"/>
  <c r="O422" i="5"/>
  <c r="BO421" i="5"/>
  <c r="Y421" i="5"/>
  <c r="P421" i="5"/>
  <c r="O421" i="5"/>
  <c r="BO420" i="5"/>
  <c r="Y420" i="5"/>
  <c r="P420" i="5"/>
  <c r="O420" i="5"/>
  <c r="BO419" i="5"/>
  <c r="Y419" i="5"/>
  <c r="P419" i="5"/>
  <c r="O419" i="5"/>
  <c r="BO418" i="5"/>
  <c r="Y418" i="5"/>
  <c r="P418" i="5"/>
  <c r="O418" i="5"/>
  <c r="BO417" i="5"/>
  <c r="Y417" i="5"/>
  <c r="P417" i="5"/>
  <c r="O417" i="5"/>
  <c r="BO416" i="5"/>
  <c r="Y416" i="5"/>
  <c r="P416" i="5"/>
  <c r="O416" i="5"/>
  <c r="BO415" i="5"/>
  <c r="Y415" i="5"/>
  <c r="P415" i="5"/>
  <c r="O415" i="5"/>
  <c r="BO414" i="5"/>
  <c r="Y414" i="5"/>
  <c r="P414" i="5"/>
  <c r="O414" i="5"/>
  <c r="BO413" i="5"/>
  <c r="Y413" i="5"/>
  <c r="P413" i="5"/>
  <c r="O413" i="5"/>
  <c r="BO412" i="5"/>
  <c r="Y412" i="5"/>
  <c r="P412" i="5"/>
  <c r="O412" i="5"/>
  <c r="BO411" i="5"/>
  <c r="Y411" i="5"/>
  <c r="P411" i="5"/>
  <c r="O411" i="5"/>
  <c r="BO410" i="5"/>
  <c r="Y410" i="5"/>
  <c r="P410" i="5"/>
  <c r="O410" i="5"/>
  <c r="BO409" i="5"/>
  <c r="Y409" i="5"/>
  <c r="P409" i="5"/>
  <c r="O409" i="5"/>
  <c r="BO408" i="5"/>
  <c r="Y408" i="5"/>
  <c r="P408" i="5"/>
  <c r="O408" i="5"/>
  <c r="BO407" i="5"/>
  <c r="Y407" i="5"/>
  <c r="P407" i="5"/>
  <c r="O407" i="5"/>
  <c r="BO406" i="5"/>
  <c r="Y406" i="5"/>
  <c r="P406" i="5"/>
  <c r="O406" i="5"/>
  <c r="BO405" i="5"/>
  <c r="Y405" i="5"/>
  <c r="P405" i="5"/>
  <c r="O405" i="5"/>
  <c r="BO404" i="5"/>
  <c r="Y404" i="5"/>
  <c r="P404" i="5"/>
  <c r="O404" i="5"/>
  <c r="BO403" i="5"/>
  <c r="Y403" i="5"/>
  <c r="P403" i="5"/>
  <c r="O403" i="5"/>
  <c r="BO402" i="5"/>
  <c r="Y402" i="5"/>
  <c r="P402" i="5"/>
  <c r="O402" i="5"/>
  <c r="BO401" i="5"/>
  <c r="Y401" i="5"/>
  <c r="P401" i="5"/>
  <c r="O401" i="5"/>
  <c r="BO400" i="5"/>
  <c r="Y400" i="5"/>
  <c r="P400" i="5"/>
  <c r="O400" i="5"/>
  <c r="BO399" i="5"/>
  <c r="Y399" i="5"/>
  <c r="P399" i="5"/>
  <c r="O399" i="5"/>
  <c r="BO398" i="5"/>
  <c r="Y398" i="5"/>
  <c r="P398" i="5"/>
  <c r="O398" i="5"/>
  <c r="BO397" i="5"/>
  <c r="Y397" i="5"/>
  <c r="P397" i="5"/>
  <c r="O397" i="5"/>
  <c r="BO396" i="5"/>
  <c r="Y396" i="5"/>
  <c r="P396" i="5"/>
  <c r="O396" i="5"/>
  <c r="BO395" i="5"/>
  <c r="Y395" i="5"/>
  <c r="P395" i="5"/>
  <c r="O395" i="5"/>
  <c r="BO394" i="5"/>
  <c r="Y394" i="5"/>
  <c r="P394" i="5"/>
  <c r="O394" i="5"/>
  <c r="BO393" i="5"/>
  <c r="Y393" i="5"/>
  <c r="P393" i="5"/>
  <c r="O393" i="5"/>
  <c r="BO392" i="5"/>
  <c r="Y392" i="5"/>
  <c r="P392" i="5"/>
  <c r="O392" i="5"/>
  <c r="BO391" i="5"/>
  <c r="Y391" i="5"/>
  <c r="P391" i="5"/>
  <c r="O391" i="5"/>
  <c r="BO390" i="5"/>
  <c r="Y390" i="5"/>
  <c r="P390" i="5"/>
  <c r="O390" i="5"/>
  <c r="BO389" i="5"/>
  <c r="Y389" i="5"/>
  <c r="P389" i="5"/>
  <c r="O389" i="5"/>
  <c r="BO388" i="5"/>
  <c r="Y388" i="5"/>
  <c r="P388" i="5"/>
  <c r="O388" i="5"/>
  <c r="BO387" i="5"/>
  <c r="Y387" i="5"/>
  <c r="P387" i="5"/>
  <c r="O387" i="5"/>
  <c r="BO386" i="5"/>
  <c r="Y386" i="5"/>
  <c r="P386" i="5"/>
  <c r="O386" i="5"/>
  <c r="BO385" i="5"/>
  <c r="Y385" i="5"/>
  <c r="P385" i="5"/>
  <c r="O385" i="5"/>
  <c r="BO384" i="5"/>
  <c r="Y384" i="5"/>
  <c r="P384" i="5"/>
  <c r="O384" i="5"/>
  <c r="BO383" i="5"/>
  <c r="Y383" i="5"/>
  <c r="P383" i="5"/>
  <c r="O383" i="5"/>
  <c r="BO382" i="5"/>
  <c r="Y382" i="5"/>
  <c r="P382" i="5"/>
  <c r="O382" i="5"/>
  <c r="BO381" i="5"/>
  <c r="Y381" i="5"/>
  <c r="P381" i="5"/>
  <c r="O381" i="5"/>
  <c r="BO380" i="5"/>
  <c r="Y380" i="5"/>
  <c r="P380" i="5"/>
  <c r="O380" i="5"/>
  <c r="BO379" i="5"/>
  <c r="Y379" i="5"/>
  <c r="P379" i="5"/>
  <c r="O379" i="5"/>
  <c r="BO378" i="5"/>
  <c r="Y378" i="5"/>
  <c r="P378" i="5"/>
  <c r="O378" i="5"/>
  <c r="BO377" i="5"/>
  <c r="Y377" i="5"/>
  <c r="P377" i="5"/>
  <c r="O377" i="5"/>
  <c r="BO376" i="5"/>
  <c r="Y376" i="5"/>
  <c r="P376" i="5"/>
  <c r="O376" i="5"/>
  <c r="BO375" i="5"/>
  <c r="Y375" i="5"/>
  <c r="P375" i="5"/>
  <c r="O375" i="5"/>
  <c r="BO374" i="5"/>
  <c r="Y374" i="5"/>
  <c r="P374" i="5"/>
  <c r="O374" i="5"/>
  <c r="BO373" i="5"/>
  <c r="Y373" i="5"/>
  <c r="P373" i="5"/>
  <c r="O373" i="5"/>
  <c r="BO372" i="5"/>
  <c r="Y372" i="5"/>
  <c r="P372" i="5"/>
  <c r="O372" i="5"/>
  <c r="BO371" i="5"/>
  <c r="Y371" i="5"/>
  <c r="P371" i="5"/>
  <c r="O371" i="5"/>
  <c r="BO370" i="5"/>
  <c r="Y370" i="5"/>
  <c r="P370" i="5"/>
  <c r="O370" i="5"/>
  <c r="BO369" i="5"/>
  <c r="Y369" i="5"/>
  <c r="P369" i="5"/>
  <c r="O369" i="5"/>
  <c r="BO368" i="5"/>
  <c r="Y368" i="5"/>
  <c r="P368" i="5"/>
  <c r="O368" i="5"/>
  <c r="BO367" i="5"/>
  <c r="Y367" i="5"/>
  <c r="P367" i="5"/>
  <c r="O367" i="5"/>
  <c r="BO366" i="5"/>
  <c r="Y366" i="5"/>
  <c r="P366" i="5"/>
  <c r="O366" i="5"/>
  <c r="BO365" i="5"/>
  <c r="Y365" i="5"/>
  <c r="P365" i="5"/>
  <c r="O365" i="5"/>
  <c r="BO364" i="5"/>
  <c r="Y364" i="5"/>
  <c r="P364" i="5"/>
  <c r="O364" i="5"/>
  <c r="BO363" i="5"/>
  <c r="Y363" i="5"/>
  <c r="P363" i="5"/>
  <c r="O363" i="5"/>
  <c r="BO362" i="5"/>
  <c r="Y362" i="5"/>
  <c r="P362" i="5"/>
  <c r="O362" i="5"/>
  <c r="BO361" i="5"/>
  <c r="Y361" i="5"/>
  <c r="P361" i="5"/>
  <c r="O361" i="5"/>
  <c r="BO360" i="5"/>
  <c r="Y360" i="5"/>
  <c r="P360" i="5"/>
  <c r="O360" i="5"/>
  <c r="BO359" i="5"/>
  <c r="Y359" i="5"/>
  <c r="P359" i="5"/>
  <c r="O359" i="5"/>
  <c r="BO358" i="5"/>
  <c r="Y358" i="5"/>
  <c r="P358" i="5"/>
  <c r="O358" i="5"/>
  <c r="BO357" i="5"/>
  <c r="Y357" i="5"/>
  <c r="P357" i="5"/>
  <c r="O357" i="5"/>
  <c r="BO356" i="5"/>
  <c r="Y356" i="5"/>
  <c r="P356" i="5"/>
  <c r="O356" i="5"/>
  <c r="BO355" i="5"/>
  <c r="Y355" i="5"/>
  <c r="P355" i="5"/>
  <c r="O355" i="5"/>
  <c r="BO354" i="5"/>
  <c r="Y354" i="5"/>
  <c r="P354" i="5"/>
  <c r="O354" i="5"/>
  <c r="BO353" i="5"/>
  <c r="Y353" i="5"/>
  <c r="P353" i="5"/>
  <c r="O353" i="5"/>
  <c r="BO352" i="5"/>
  <c r="Y352" i="5"/>
  <c r="P352" i="5"/>
  <c r="O352" i="5"/>
  <c r="BO351" i="5"/>
  <c r="Y351" i="5"/>
  <c r="P351" i="5"/>
  <c r="O351" i="5"/>
  <c r="BO350" i="5"/>
  <c r="Y350" i="5"/>
  <c r="P350" i="5"/>
  <c r="O350" i="5"/>
  <c r="BO349" i="5"/>
  <c r="Y349" i="5"/>
  <c r="P349" i="5"/>
  <c r="O349" i="5"/>
  <c r="BO348" i="5"/>
  <c r="Y348" i="5"/>
  <c r="P348" i="5"/>
  <c r="O348" i="5"/>
  <c r="BO347" i="5"/>
  <c r="Y347" i="5"/>
  <c r="P347" i="5"/>
  <c r="O347" i="5"/>
  <c r="BO346" i="5"/>
  <c r="Y346" i="5"/>
  <c r="P346" i="5"/>
  <c r="O346" i="5"/>
  <c r="BO345" i="5"/>
  <c r="Y345" i="5"/>
  <c r="P345" i="5"/>
  <c r="O345" i="5"/>
  <c r="BO344" i="5"/>
  <c r="Y344" i="5"/>
  <c r="P344" i="5"/>
  <c r="O344" i="5"/>
  <c r="BO343" i="5"/>
  <c r="Y343" i="5"/>
  <c r="P343" i="5"/>
  <c r="O343" i="5"/>
  <c r="BO342" i="5"/>
  <c r="Y342" i="5"/>
  <c r="P342" i="5"/>
  <c r="O342" i="5"/>
  <c r="BO341" i="5"/>
  <c r="Y341" i="5"/>
  <c r="P341" i="5"/>
  <c r="O341" i="5"/>
  <c r="BO340" i="5"/>
  <c r="Y340" i="5"/>
  <c r="P340" i="5"/>
  <c r="O340" i="5"/>
  <c r="BO339" i="5"/>
  <c r="Y339" i="5"/>
  <c r="P339" i="5"/>
  <c r="O339" i="5"/>
  <c r="BO338" i="5"/>
  <c r="Y338" i="5"/>
  <c r="P338" i="5"/>
  <c r="O338" i="5"/>
  <c r="BO337" i="5"/>
  <c r="Y337" i="5"/>
  <c r="P337" i="5"/>
  <c r="O337" i="5"/>
  <c r="BO336" i="5"/>
  <c r="Y336" i="5"/>
  <c r="P336" i="5"/>
  <c r="O336" i="5"/>
  <c r="BO335" i="5"/>
  <c r="Y335" i="5"/>
  <c r="P335" i="5"/>
  <c r="O335" i="5"/>
  <c r="BO334" i="5"/>
  <c r="Y334" i="5"/>
  <c r="P334" i="5"/>
  <c r="O334" i="5"/>
  <c r="BO333" i="5"/>
  <c r="Y333" i="5"/>
  <c r="P333" i="5"/>
  <c r="O333" i="5"/>
  <c r="BO332" i="5"/>
  <c r="Y332" i="5"/>
  <c r="P332" i="5"/>
  <c r="O332" i="5"/>
  <c r="BO331" i="5"/>
  <c r="Y331" i="5"/>
  <c r="P331" i="5"/>
  <c r="O331" i="5"/>
  <c r="BO330" i="5"/>
  <c r="Y330" i="5"/>
  <c r="P330" i="5"/>
  <c r="O330" i="5"/>
  <c r="BO329" i="5"/>
  <c r="Y329" i="5"/>
  <c r="P329" i="5"/>
  <c r="O329" i="5"/>
  <c r="BO328" i="5"/>
  <c r="Y328" i="5"/>
  <c r="P328" i="5"/>
  <c r="O328" i="5"/>
  <c r="BO327" i="5"/>
  <c r="Y327" i="5"/>
  <c r="P327" i="5"/>
  <c r="O327" i="5"/>
  <c r="BO326" i="5"/>
  <c r="Y326" i="5"/>
  <c r="P326" i="5"/>
  <c r="O326" i="5"/>
  <c r="BO325" i="5"/>
  <c r="Y325" i="5"/>
  <c r="P325" i="5"/>
  <c r="O325" i="5"/>
  <c r="BO324" i="5"/>
  <c r="Y324" i="5"/>
  <c r="P324" i="5"/>
  <c r="O324" i="5"/>
  <c r="BO323" i="5"/>
  <c r="Y323" i="5"/>
  <c r="P323" i="5"/>
  <c r="O323" i="5"/>
  <c r="BO322" i="5"/>
  <c r="Y322" i="5"/>
  <c r="P322" i="5"/>
  <c r="O322" i="5"/>
  <c r="BO321" i="5"/>
  <c r="Y321" i="5"/>
  <c r="P321" i="5"/>
  <c r="O321" i="5"/>
  <c r="BO320" i="5"/>
  <c r="Y320" i="5"/>
  <c r="P320" i="5"/>
  <c r="O320" i="5"/>
  <c r="BO319" i="5"/>
  <c r="Y319" i="5"/>
  <c r="P319" i="5"/>
  <c r="O319" i="5"/>
  <c r="BO318" i="5"/>
  <c r="Y318" i="5"/>
  <c r="P318" i="5"/>
  <c r="O318" i="5"/>
  <c r="BO317" i="5"/>
  <c r="Y317" i="5"/>
  <c r="P317" i="5"/>
  <c r="O317" i="5"/>
  <c r="BO316" i="5"/>
  <c r="Y316" i="5"/>
  <c r="P316" i="5"/>
  <c r="O316" i="5"/>
  <c r="BO315" i="5"/>
  <c r="Y315" i="5"/>
  <c r="P315" i="5"/>
  <c r="O315" i="5"/>
  <c r="BO314" i="5"/>
  <c r="Y314" i="5"/>
  <c r="P314" i="5"/>
  <c r="O314" i="5"/>
  <c r="BO313" i="5"/>
  <c r="Y313" i="5"/>
  <c r="P313" i="5"/>
  <c r="O313" i="5"/>
  <c r="BO312" i="5"/>
  <c r="Y312" i="5"/>
  <c r="P312" i="5"/>
  <c r="O312" i="5"/>
  <c r="BO311" i="5"/>
  <c r="Y311" i="5"/>
  <c r="P311" i="5"/>
  <c r="O311" i="5"/>
  <c r="BO310" i="5"/>
  <c r="Y310" i="5"/>
  <c r="P310" i="5"/>
  <c r="O310" i="5"/>
  <c r="BO309" i="5"/>
  <c r="Y309" i="5"/>
  <c r="P309" i="5"/>
  <c r="O309" i="5"/>
  <c r="BO308" i="5"/>
  <c r="Y308" i="5"/>
  <c r="P308" i="5"/>
  <c r="O308" i="5"/>
  <c r="BO307" i="5"/>
  <c r="Y307" i="5"/>
  <c r="P307" i="5"/>
  <c r="O307" i="5"/>
  <c r="BO306" i="5"/>
  <c r="Y306" i="5"/>
  <c r="P306" i="5"/>
  <c r="O306" i="5"/>
  <c r="BO305" i="5"/>
  <c r="Y305" i="5"/>
  <c r="P305" i="5"/>
  <c r="O305" i="5"/>
  <c r="BO304" i="5"/>
  <c r="Y304" i="5"/>
  <c r="P304" i="5"/>
  <c r="O304" i="5"/>
  <c r="BO303" i="5"/>
  <c r="Y303" i="5"/>
  <c r="P303" i="5"/>
  <c r="O303" i="5"/>
  <c r="BO302" i="5"/>
  <c r="Y302" i="5"/>
  <c r="P302" i="5"/>
  <c r="O302" i="5"/>
  <c r="BO301" i="5"/>
  <c r="Y301" i="5"/>
  <c r="P301" i="5"/>
  <c r="O301" i="5"/>
  <c r="BO300" i="5"/>
  <c r="Y300" i="5"/>
  <c r="P300" i="5"/>
  <c r="O300" i="5"/>
  <c r="BO299" i="5"/>
  <c r="Y299" i="5"/>
  <c r="P299" i="5"/>
  <c r="O299" i="5"/>
  <c r="BO298" i="5"/>
  <c r="Y298" i="5"/>
  <c r="P298" i="5"/>
  <c r="O298" i="5"/>
  <c r="BO297" i="5"/>
  <c r="Y297" i="5"/>
  <c r="P297" i="5"/>
  <c r="O297" i="5"/>
  <c r="BO296" i="5"/>
  <c r="Y296" i="5"/>
  <c r="P296" i="5"/>
  <c r="O296" i="5"/>
  <c r="BO295" i="5"/>
  <c r="Y295" i="5"/>
  <c r="P295" i="5"/>
  <c r="O295" i="5"/>
  <c r="BO294" i="5"/>
  <c r="Y294" i="5"/>
  <c r="P294" i="5"/>
  <c r="O294" i="5"/>
  <c r="BO293" i="5"/>
  <c r="Y293" i="5"/>
  <c r="P293" i="5"/>
  <c r="O293" i="5"/>
  <c r="BO292" i="5"/>
  <c r="Y292" i="5"/>
  <c r="P292" i="5"/>
  <c r="O292" i="5"/>
  <c r="BO291" i="5"/>
  <c r="Y291" i="5"/>
  <c r="P291" i="5"/>
  <c r="O291" i="5"/>
  <c r="BO290" i="5"/>
  <c r="Y290" i="5"/>
  <c r="P290" i="5"/>
  <c r="O290" i="5"/>
  <c r="BO289" i="5"/>
  <c r="Y289" i="5"/>
  <c r="P289" i="5"/>
  <c r="O289" i="5"/>
  <c r="BO288" i="5"/>
  <c r="Y288" i="5"/>
  <c r="P288" i="5"/>
  <c r="O288" i="5"/>
  <c r="BO287" i="5"/>
  <c r="Y287" i="5"/>
  <c r="P287" i="5"/>
  <c r="O287" i="5"/>
  <c r="BO286" i="5"/>
  <c r="Y286" i="5"/>
  <c r="P286" i="5"/>
  <c r="O286" i="5"/>
  <c r="BO285" i="5"/>
  <c r="Y285" i="5"/>
  <c r="P285" i="5"/>
  <c r="O285" i="5"/>
  <c r="BO284" i="5"/>
  <c r="Y284" i="5"/>
  <c r="P284" i="5"/>
  <c r="O284" i="5"/>
  <c r="BO283" i="5"/>
  <c r="Y283" i="5"/>
  <c r="P283" i="5"/>
  <c r="O283" i="5"/>
  <c r="BO282" i="5"/>
  <c r="Y282" i="5"/>
  <c r="P282" i="5"/>
  <c r="O282" i="5"/>
  <c r="BO281" i="5"/>
  <c r="Y281" i="5"/>
  <c r="P281" i="5"/>
  <c r="O281" i="5"/>
  <c r="BO280" i="5"/>
  <c r="Y280" i="5"/>
  <c r="P280" i="5"/>
  <c r="O280" i="5"/>
  <c r="BO279" i="5"/>
  <c r="Y279" i="5"/>
  <c r="P279" i="5"/>
  <c r="O279" i="5"/>
  <c r="BO278" i="5"/>
  <c r="Y278" i="5"/>
  <c r="P278" i="5"/>
  <c r="O278" i="5"/>
  <c r="BO277" i="5"/>
  <c r="Y277" i="5"/>
  <c r="P277" i="5"/>
  <c r="O277" i="5"/>
  <c r="BO276" i="5"/>
  <c r="Y276" i="5"/>
  <c r="P276" i="5"/>
  <c r="O276" i="5"/>
  <c r="BO225" i="5"/>
  <c r="Y225" i="5"/>
  <c r="P225" i="5"/>
  <c r="O225" i="5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H505" i="5"/>
  <c r="I503" i="5"/>
  <c r="C502" i="5"/>
  <c r="H501" i="5"/>
  <c r="H499" i="5"/>
  <c r="G497" i="5"/>
  <c r="H495" i="5"/>
  <c r="H493" i="5"/>
  <c r="G491" i="5"/>
  <c r="G489" i="5"/>
  <c r="G487" i="5"/>
  <c r="H485" i="5"/>
  <c r="G483" i="5"/>
  <c r="H481" i="5"/>
  <c r="C480" i="5"/>
  <c r="H479" i="5"/>
  <c r="C478" i="5"/>
  <c r="H477" i="5"/>
  <c r="G475" i="5"/>
  <c r="C474" i="5"/>
  <c r="I473" i="5"/>
  <c r="G471" i="5"/>
  <c r="C470" i="5"/>
  <c r="I469" i="5"/>
  <c r="G467" i="5"/>
  <c r="G465" i="5"/>
  <c r="H463" i="5"/>
  <c r="C462" i="5"/>
  <c r="I461" i="5"/>
  <c r="G459" i="5"/>
  <c r="F457" i="5"/>
  <c r="H455" i="5"/>
  <c r="E454" i="5"/>
  <c r="K453" i="5"/>
  <c r="F452" i="5"/>
  <c r="G450" i="5"/>
  <c r="G448" i="5"/>
  <c r="L447" i="5"/>
  <c r="E446" i="5"/>
  <c r="K445" i="5"/>
  <c r="E444" i="5"/>
  <c r="K443" i="5"/>
  <c r="D442" i="5"/>
  <c r="K441" i="5"/>
  <c r="E440" i="5"/>
  <c r="K439" i="5"/>
  <c r="E438" i="5"/>
  <c r="K437" i="5"/>
  <c r="E436" i="5"/>
  <c r="J435" i="5"/>
  <c r="C434" i="5"/>
  <c r="I433" i="5"/>
  <c r="C432" i="5"/>
  <c r="I431" i="5"/>
  <c r="C430" i="5"/>
  <c r="I429" i="5"/>
  <c r="C428" i="5"/>
  <c r="I427" i="5"/>
  <c r="C426" i="5"/>
  <c r="I425" i="5"/>
  <c r="C424" i="5"/>
  <c r="I423" i="5"/>
  <c r="I421" i="5"/>
  <c r="C420" i="5"/>
  <c r="I419" i="5"/>
  <c r="H417" i="5"/>
  <c r="C416" i="5"/>
  <c r="I415" i="5"/>
  <c r="G505" i="5"/>
  <c r="H503" i="5"/>
  <c r="G501" i="5"/>
  <c r="G499" i="5"/>
  <c r="L498" i="5"/>
  <c r="F497" i="5"/>
  <c r="L496" i="5"/>
  <c r="G495" i="5"/>
  <c r="G493" i="5"/>
  <c r="F491" i="5"/>
  <c r="L490" i="5"/>
  <c r="F489" i="5"/>
  <c r="L488" i="5"/>
  <c r="F487" i="5"/>
  <c r="L486" i="5"/>
  <c r="G485" i="5"/>
  <c r="F483" i="5"/>
  <c r="L482" i="5"/>
  <c r="G481" i="5"/>
  <c r="G479" i="5"/>
  <c r="G477" i="5"/>
  <c r="F475" i="5"/>
  <c r="H473" i="5"/>
  <c r="F471" i="5"/>
  <c r="H469" i="5"/>
  <c r="F467" i="5"/>
  <c r="F465" i="5"/>
  <c r="G463" i="5"/>
  <c r="H461" i="5"/>
  <c r="F459" i="5"/>
  <c r="L458" i="5"/>
  <c r="E457" i="5"/>
  <c r="L456" i="5"/>
  <c r="G455" i="5"/>
  <c r="D454" i="5"/>
  <c r="J453" i="5"/>
  <c r="E452" i="5"/>
  <c r="L451" i="5"/>
  <c r="F450" i="5"/>
  <c r="L449" i="5"/>
  <c r="F448" i="5"/>
  <c r="K447" i="5"/>
  <c r="D446" i="5"/>
  <c r="J445" i="5"/>
  <c r="D444" i="5"/>
  <c r="J443" i="5"/>
  <c r="C442" i="5"/>
  <c r="J441" i="5"/>
  <c r="D440" i="5"/>
  <c r="J439" i="5"/>
  <c r="D438" i="5"/>
  <c r="J437" i="5"/>
  <c r="D436" i="5"/>
  <c r="I435" i="5"/>
  <c r="H433" i="5"/>
  <c r="H431" i="5"/>
  <c r="H429" i="5"/>
  <c r="H427" i="5"/>
  <c r="H425" i="5"/>
  <c r="H423" i="5"/>
  <c r="H421" i="5"/>
  <c r="H419" i="5"/>
  <c r="G417" i="5"/>
  <c r="H415" i="5"/>
  <c r="F505" i="5"/>
  <c r="L504" i="5"/>
  <c r="G503" i="5"/>
  <c r="F501" i="5"/>
  <c r="L500" i="5"/>
  <c r="F499" i="5"/>
  <c r="K498" i="5"/>
  <c r="E497" i="5"/>
  <c r="K496" i="5"/>
  <c r="F495" i="5"/>
  <c r="L494" i="5"/>
  <c r="F493" i="5"/>
  <c r="L492" i="5"/>
  <c r="E491" i="5"/>
  <c r="K490" i="5"/>
  <c r="E489" i="5"/>
  <c r="K488" i="5"/>
  <c r="E487" i="5"/>
  <c r="K486" i="5"/>
  <c r="F485" i="5"/>
  <c r="L484" i="5"/>
  <c r="E483" i="5"/>
  <c r="K482" i="5"/>
  <c r="F481" i="5"/>
  <c r="F479" i="5"/>
  <c r="F477" i="5"/>
  <c r="L476" i="5"/>
  <c r="E475" i="5"/>
  <c r="G473" i="5"/>
  <c r="L472" i="5"/>
  <c r="E471" i="5"/>
  <c r="G469" i="5"/>
  <c r="L468" i="5"/>
  <c r="E467" i="5"/>
  <c r="L466" i="5"/>
  <c r="E465" i="5"/>
  <c r="L464" i="5"/>
  <c r="F463" i="5"/>
  <c r="G461" i="5"/>
  <c r="L460" i="5"/>
  <c r="E459" i="5"/>
  <c r="K458" i="5"/>
  <c r="D457" i="5"/>
  <c r="K456" i="5"/>
  <c r="F455" i="5"/>
  <c r="C454" i="5"/>
  <c r="I453" i="5"/>
  <c r="D452" i="5"/>
  <c r="K451" i="5"/>
  <c r="E450" i="5"/>
  <c r="K449" i="5"/>
  <c r="E448" i="5"/>
  <c r="J447" i="5"/>
  <c r="C446" i="5"/>
  <c r="I445" i="5"/>
  <c r="C444" i="5"/>
  <c r="I443" i="5"/>
  <c r="I441" i="5"/>
  <c r="C440" i="5"/>
  <c r="I439" i="5"/>
  <c r="C438" i="5"/>
  <c r="I437" i="5"/>
  <c r="C436" i="5"/>
  <c r="H435" i="5"/>
  <c r="G433" i="5"/>
  <c r="G431" i="5"/>
  <c r="G429" i="5"/>
  <c r="G427" i="5"/>
  <c r="G425" i="5"/>
  <c r="G423" i="5"/>
  <c r="L422" i="5"/>
  <c r="G421" i="5"/>
  <c r="G419" i="5"/>
  <c r="L418" i="5"/>
  <c r="F417" i="5"/>
  <c r="G415" i="5"/>
  <c r="L414" i="5"/>
  <c r="E505" i="5"/>
  <c r="K504" i="5"/>
  <c r="F503" i="5"/>
  <c r="L502" i="5"/>
  <c r="E501" i="5"/>
  <c r="K500" i="5"/>
  <c r="E499" i="5"/>
  <c r="J498" i="5"/>
  <c r="D497" i="5"/>
  <c r="J496" i="5"/>
  <c r="E495" i="5"/>
  <c r="K494" i="5"/>
  <c r="E493" i="5"/>
  <c r="K492" i="5"/>
  <c r="D491" i="5"/>
  <c r="J490" i="5"/>
  <c r="D489" i="5"/>
  <c r="J488" i="5"/>
  <c r="D487" i="5"/>
  <c r="J486" i="5"/>
  <c r="E485" i="5"/>
  <c r="K484" i="5"/>
  <c r="D483" i="5"/>
  <c r="J482" i="5"/>
  <c r="E481" i="5"/>
  <c r="L480" i="5"/>
  <c r="E479" i="5"/>
  <c r="L478" i="5"/>
  <c r="E477" i="5"/>
  <c r="K476" i="5"/>
  <c r="D475" i="5"/>
  <c r="L474" i="5"/>
  <c r="F473" i="5"/>
  <c r="K472" i="5"/>
  <c r="D471" i="5"/>
  <c r="L470" i="5"/>
  <c r="F469" i="5"/>
  <c r="K468" i="5"/>
  <c r="D467" i="5"/>
  <c r="K466" i="5"/>
  <c r="D465" i="5"/>
  <c r="K464" i="5"/>
  <c r="E463" i="5"/>
  <c r="L462" i="5"/>
  <c r="F461" i="5"/>
  <c r="K460" i="5"/>
  <c r="D459" i="5"/>
  <c r="J458" i="5"/>
  <c r="C457" i="5"/>
  <c r="J456" i="5"/>
  <c r="E455" i="5"/>
  <c r="H453" i="5"/>
  <c r="C452" i="5"/>
  <c r="J451" i="5"/>
  <c r="D450" i="5"/>
  <c r="J449" i="5"/>
  <c r="D448" i="5"/>
  <c r="I447" i="5"/>
  <c r="H445" i="5"/>
  <c r="H443" i="5"/>
  <c r="H441" i="5"/>
  <c r="H439" i="5"/>
  <c r="H437" i="5"/>
  <c r="G435" i="5"/>
  <c r="L434" i="5"/>
  <c r="F433" i="5"/>
  <c r="L432" i="5"/>
  <c r="F431" i="5"/>
  <c r="L430" i="5"/>
  <c r="F429" i="5"/>
  <c r="L428" i="5"/>
  <c r="F427" i="5"/>
  <c r="L426" i="5"/>
  <c r="F425" i="5"/>
  <c r="L424" i="5"/>
  <c r="F423" i="5"/>
  <c r="K422" i="5"/>
  <c r="F421" i="5"/>
  <c r="L420" i="5"/>
  <c r="F419" i="5"/>
  <c r="K418" i="5"/>
  <c r="E417" i="5"/>
  <c r="L416" i="5"/>
  <c r="F415" i="5"/>
  <c r="D505" i="5"/>
  <c r="J504" i="5"/>
  <c r="E503" i="5"/>
  <c r="K502" i="5"/>
  <c r="D501" i="5"/>
  <c r="J500" i="5"/>
  <c r="D499" i="5"/>
  <c r="I498" i="5"/>
  <c r="C497" i="5"/>
  <c r="I496" i="5"/>
  <c r="D495" i="5"/>
  <c r="J494" i="5"/>
  <c r="D493" i="5"/>
  <c r="J492" i="5"/>
  <c r="C491" i="5"/>
  <c r="I490" i="5"/>
  <c r="C489" i="5"/>
  <c r="I488" i="5"/>
  <c r="C487" i="5"/>
  <c r="I486" i="5"/>
  <c r="D485" i="5"/>
  <c r="J484" i="5"/>
  <c r="C483" i="5"/>
  <c r="I482" i="5"/>
  <c r="D481" i="5"/>
  <c r="K480" i="5"/>
  <c r="D479" i="5"/>
  <c r="K478" i="5"/>
  <c r="D477" i="5"/>
  <c r="J476" i="5"/>
  <c r="C475" i="5"/>
  <c r="K474" i="5"/>
  <c r="E473" i="5"/>
  <c r="J472" i="5"/>
  <c r="C471" i="5"/>
  <c r="K470" i="5"/>
  <c r="E469" i="5"/>
  <c r="J468" i="5"/>
  <c r="C467" i="5"/>
  <c r="J466" i="5"/>
  <c r="C465" i="5"/>
  <c r="J464" i="5"/>
  <c r="D463" i="5"/>
  <c r="K462" i="5"/>
  <c r="E461" i="5"/>
  <c r="J460" i="5"/>
  <c r="C459" i="5"/>
  <c r="I458" i="5"/>
  <c r="I456" i="5"/>
  <c r="D455" i="5"/>
  <c r="G453" i="5"/>
  <c r="I451" i="5"/>
  <c r="C450" i="5"/>
  <c r="I449" i="5"/>
  <c r="C448" i="5"/>
  <c r="H447" i="5"/>
  <c r="G445" i="5"/>
  <c r="G443" i="5"/>
  <c r="L442" i="5"/>
  <c r="G441" i="5"/>
  <c r="G439" i="5"/>
  <c r="G437" i="5"/>
  <c r="F435" i="5"/>
  <c r="K434" i="5"/>
  <c r="E433" i="5"/>
  <c r="K432" i="5"/>
  <c r="E431" i="5"/>
  <c r="K430" i="5"/>
  <c r="E429" i="5"/>
  <c r="K428" i="5"/>
  <c r="E427" i="5"/>
  <c r="K426" i="5"/>
  <c r="E425" i="5"/>
  <c r="K424" i="5"/>
  <c r="E423" i="5"/>
  <c r="J422" i="5"/>
  <c r="E421" i="5"/>
  <c r="K420" i="5"/>
  <c r="E419" i="5"/>
  <c r="J418" i="5"/>
  <c r="D417" i="5"/>
  <c r="K416" i="5"/>
  <c r="E415" i="5"/>
  <c r="J414" i="5"/>
  <c r="C505" i="5"/>
  <c r="I504" i="5"/>
  <c r="D503" i="5"/>
  <c r="J502" i="5"/>
  <c r="C501" i="5"/>
  <c r="I500" i="5"/>
  <c r="C499" i="5"/>
  <c r="H498" i="5"/>
  <c r="H496" i="5"/>
  <c r="C495" i="5"/>
  <c r="I494" i="5"/>
  <c r="C493" i="5"/>
  <c r="I492" i="5"/>
  <c r="H490" i="5"/>
  <c r="H488" i="5"/>
  <c r="H486" i="5"/>
  <c r="C485" i="5"/>
  <c r="I484" i="5"/>
  <c r="H482" i="5"/>
  <c r="C481" i="5"/>
  <c r="J480" i="5"/>
  <c r="C479" i="5"/>
  <c r="J478" i="5"/>
  <c r="C477" i="5"/>
  <c r="I476" i="5"/>
  <c r="J474" i="5"/>
  <c r="D473" i="5"/>
  <c r="I472" i="5"/>
  <c r="J470" i="5"/>
  <c r="D469" i="5"/>
  <c r="I468" i="5"/>
  <c r="I466" i="5"/>
  <c r="I464" i="5"/>
  <c r="C463" i="5"/>
  <c r="J462" i="5"/>
  <c r="D461" i="5"/>
  <c r="I460" i="5"/>
  <c r="H458" i="5"/>
  <c r="H456" i="5"/>
  <c r="C455" i="5"/>
  <c r="L454" i="5"/>
  <c r="F453" i="5"/>
  <c r="H451" i="5"/>
  <c r="H449" i="5"/>
  <c r="G447" i="5"/>
  <c r="L446" i="5"/>
  <c r="F445" i="5"/>
  <c r="L444" i="5"/>
  <c r="F443" i="5"/>
  <c r="K442" i="5"/>
  <c r="F441" i="5"/>
  <c r="L440" i="5"/>
  <c r="F439" i="5"/>
  <c r="L438" i="5"/>
  <c r="F437" i="5"/>
  <c r="L436" i="5"/>
  <c r="E435" i="5"/>
  <c r="J434" i="5"/>
  <c r="D433" i="5"/>
  <c r="J432" i="5"/>
  <c r="D431" i="5"/>
  <c r="J430" i="5"/>
  <c r="D429" i="5"/>
  <c r="H504" i="5"/>
  <c r="C503" i="5"/>
  <c r="I502" i="5"/>
  <c r="H500" i="5"/>
  <c r="G498" i="5"/>
  <c r="G496" i="5"/>
  <c r="H494" i="5"/>
  <c r="H492" i="5"/>
  <c r="G490" i="5"/>
  <c r="G488" i="5"/>
  <c r="G486" i="5"/>
  <c r="H484" i="5"/>
  <c r="G482" i="5"/>
  <c r="I480" i="5"/>
  <c r="I478" i="5"/>
  <c r="H476" i="5"/>
  <c r="I474" i="5"/>
  <c r="C473" i="5"/>
  <c r="H472" i="5"/>
  <c r="I470" i="5"/>
  <c r="C469" i="5"/>
  <c r="H468" i="5"/>
  <c r="H466" i="5"/>
  <c r="H464" i="5"/>
  <c r="I462" i="5"/>
  <c r="C461" i="5"/>
  <c r="H460" i="5"/>
  <c r="G458" i="5"/>
  <c r="L457" i="5"/>
  <c r="G456" i="5"/>
  <c r="K454" i="5"/>
  <c r="E453" i="5"/>
  <c r="L452" i="5"/>
  <c r="G451" i="5"/>
  <c r="G449" i="5"/>
  <c r="F447" i="5"/>
  <c r="K446" i="5"/>
  <c r="E445" i="5"/>
  <c r="K444" i="5"/>
  <c r="E443" i="5"/>
  <c r="J442" i="5"/>
  <c r="E441" i="5"/>
  <c r="K440" i="5"/>
  <c r="E439" i="5"/>
  <c r="K438" i="5"/>
  <c r="E437" i="5"/>
  <c r="K436" i="5"/>
  <c r="D435" i="5"/>
  <c r="I434" i="5"/>
  <c r="C433" i="5"/>
  <c r="I432" i="5"/>
  <c r="L505" i="5"/>
  <c r="F504" i="5"/>
  <c r="G502" i="5"/>
  <c r="L501" i="5"/>
  <c r="F500" i="5"/>
  <c r="L499" i="5"/>
  <c r="E498" i="5"/>
  <c r="K497" i="5"/>
  <c r="E496" i="5"/>
  <c r="L495" i="5"/>
  <c r="F494" i="5"/>
  <c r="L493" i="5"/>
  <c r="F492" i="5"/>
  <c r="K491" i="5"/>
  <c r="E490" i="5"/>
  <c r="K489" i="5"/>
  <c r="E488" i="5"/>
  <c r="K487" i="5"/>
  <c r="E486" i="5"/>
  <c r="L485" i="5"/>
  <c r="F484" i="5"/>
  <c r="K483" i="5"/>
  <c r="E482" i="5"/>
  <c r="L481" i="5"/>
  <c r="G480" i="5"/>
  <c r="L479" i="5"/>
  <c r="G478" i="5"/>
  <c r="L477" i="5"/>
  <c r="F476" i="5"/>
  <c r="K475" i="5"/>
  <c r="G474" i="5"/>
  <c r="F472" i="5"/>
  <c r="K471" i="5"/>
  <c r="G470" i="5"/>
  <c r="F468" i="5"/>
  <c r="K467" i="5"/>
  <c r="F466" i="5"/>
  <c r="K465" i="5"/>
  <c r="F464" i="5"/>
  <c r="L463" i="5"/>
  <c r="G462" i="5"/>
  <c r="F460" i="5"/>
  <c r="K459" i="5"/>
  <c r="E458" i="5"/>
  <c r="J457" i="5"/>
  <c r="E456" i="5"/>
  <c r="L455" i="5"/>
  <c r="I454" i="5"/>
  <c r="C453" i="5"/>
  <c r="J452" i="5"/>
  <c r="E451" i="5"/>
  <c r="K450" i="5"/>
  <c r="E449" i="5"/>
  <c r="K448" i="5"/>
  <c r="D447" i="5"/>
  <c r="I446" i="5"/>
  <c r="C445" i="5"/>
  <c r="J505" i="5"/>
  <c r="D504" i="5"/>
  <c r="K503" i="5"/>
  <c r="E502" i="5"/>
  <c r="J501" i="5"/>
  <c r="D500" i="5"/>
  <c r="J499" i="5"/>
  <c r="C498" i="5"/>
  <c r="I497" i="5"/>
  <c r="C496" i="5"/>
  <c r="J495" i="5"/>
  <c r="D494" i="5"/>
  <c r="J493" i="5"/>
  <c r="D492" i="5"/>
  <c r="I491" i="5"/>
  <c r="C490" i="5"/>
  <c r="I489" i="5"/>
  <c r="C488" i="5"/>
  <c r="I487" i="5"/>
  <c r="C486" i="5"/>
  <c r="J485" i="5"/>
  <c r="D484" i="5"/>
  <c r="I483" i="5"/>
  <c r="C482" i="5"/>
  <c r="J481" i="5"/>
  <c r="E480" i="5"/>
  <c r="J479" i="5"/>
  <c r="E478" i="5"/>
  <c r="J477" i="5"/>
  <c r="D476" i="5"/>
  <c r="I475" i="5"/>
  <c r="E474" i="5"/>
  <c r="K473" i="5"/>
  <c r="D472" i="5"/>
  <c r="I471" i="5"/>
  <c r="E470" i="5"/>
  <c r="K469" i="5"/>
  <c r="D468" i="5"/>
  <c r="I467" i="5"/>
  <c r="D466" i="5"/>
  <c r="I465" i="5"/>
  <c r="D464" i="5"/>
  <c r="J463" i="5"/>
  <c r="E462" i="5"/>
  <c r="K461" i="5"/>
  <c r="D460" i="5"/>
  <c r="I459" i="5"/>
  <c r="C458" i="5"/>
  <c r="H457" i="5"/>
  <c r="C456" i="5"/>
  <c r="J455" i="5"/>
  <c r="G454" i="5"/>
  <c r="H452" i="5"/>
  <c r="C451" i="5"/>
  <c r="I450" i="5"/>
  <c r="C449" i="5"/>
  <c r="I448" i="5"/>
  <c r="G446" i="5"/>
  <c r="G444" i="5"/>
  <c r="F442" i="5"/>
  <c r="G440" i="5"/>
  <c r="G438" i="5"/>
  <c r="G436" i="5"/>
  <c r="L435" i="5"/>
  <c r="E434" i="5"/>
  <c r="K433" i="5"/>
  <c r="E432" i="5"/>
  <c r="G504" i="5"/>
  <c r="D496" i="5"/>
  <c r="L491" i="5"/>
  <c r="D488" i="5"/>
  <c r="L483" i="5"/>
  <c r="H480" i="5"/>
  <c r="I477" i="5"/>
  <c r="F474" i="5"/>
  <c r="G466" i="5"/>
  <c r="I463" i="5"/>
  <c r="C460" i="5"/>
  <c r="L450" i="5"/>
  <c r="C447" i="5"/>
  <c r="F444" i="5"/>
  <c r="D441" i="5"/>
  <c r="J438" i="5"/>
  <c r="D434" i="5"/>
  <c r="C431" i="5"/>
  <c r="F430" i="5"/>
  <c r="F428" i="5"/>
  <c r="C427" i="5"/>
  <c r="F426" i="5"/>
  <c r="C425" i="5"/>
  <c r="G424" i="5"/>
  <c r="D423" i="5"/>
  <c r="F422" i="5"/>
  <c r="D421" i="5"/>
  <c r="G420" i="5"/>
  <c r="D419" i="5"/>
  <c r="F418" i="5"/>
  <c r="I417" i="5"/>
  <c r="H416" i="5"/>
  <c r="J415" i="5"/>
  <c r="H414" i="5"/>
  <c r="G412" i="5"/>
  <c r="L411" i="5"/>
  <c r="G410" i="5"/>
  <c r="L409" i="5"/>
  <c r="H408" i="5"/>
  <c r="I406" i="5"/>
  <c r="C405" i="5"/>
  <c r="I404" i="5"/>
  <c r="I402" i="5"/>
  <c r="C401" i="5"/>
  <c r="J400" i="5"/>
  <c r="D399" i="5"/>
  <c r="J398" i="5"/>
  <c r="E397" i="5"/>
  <c r="K396" i="5"/>
  <c r="E395" i="5"/>
  <c r="L394" i="5"/>
  <c r="F393" i="5"/>
  <c r="L392" i="5"/>
  <c r="G391" i="5"/>
  <c r="F389" i="5"/>
  <c r="F387" i="5"/>
  <c r="L386" i="5"/>
  <c r="F385" i="5"/>
  <c r="K384" i="5"/>
  <c r="F383" i="5"/>
  <c r="L382" i="5"/>
  <c r="F381" i="5"/>
  <c r="L380" i="5"/>
  <c r="F379" i="5"/>
  <c r="K378" i="5"/>
  <c r="F377" i="5"/>
  <c r="L376" i="5"/>
  <c r="G375" i="5"/>
  <c r="F373" i="5"/>
  <c r="L372" i="5"/>
  <c r="H371" i="5"/>
  <c r="G369" i="5"/>
  <c r="H367" i="5"/>
  <c r="C366" i="5"/>
  <c r="H365" i="5"/>
  <c r="G363" i="5"/>
  <c r="H361" i="5"/>
  <c r="H359" i="5"/>
  <c r="C358" i="5"/>
  <c r="J357" i="5"/>
  <c r="D356" i="5"/>
  <c r="J355" i="5"/>
  <c r="E354" i="5"/>
  <c r="L353" i="5"/>
  <c r="F352" i="5"/>
  <c r="I350" i="5"/>
  <c r="E504" i="5"/>
  <c r="K499" i="5"/>
  <c r="J491" i="5"/>
  <c r="J483" i="5"/>
  <c r="F480" i="5"/>
  <c r="D474" i="5"/>
  <c r="G472" i="5"/>
  <c r="L469" i="5"/>
  <c r="E466" i="5"/>
  <c r="F458" i="5"/>
  <c r="J450" i="5"/>
  <c r="C441" i="5"/>
  <c r="I438" i="5"/>
  <c r="K435" i="5"/>
  <c r="H432" i="5"/>
  <c r="E430" i="5"/>
  <c r="E428" i="5"/>
  <c r="E426" i="5"/>
  <c r="F424" i="5"/>
  <c r="C423" i="5"/>
  <c r="E422" i="5"/>
  <c r="C421" i="5"/>
  <c r="F420" i="5"/>
  <c r="C419" i="5"/>
  <c r="E418" i="5"/>
  <c r="C417" i="5"/>
  <c r="G416" i="5"/>
  <c r="D415" i="5"/>
  <c r="G414" i="5"/>
  <c r="F412" i="5"/>
  <c r="K411" i="5"/>
  <c r="F410" i="5"/>
  <c r="K409" i="5"/>
  <c r="G408" i="5"/>
  <c r="H406" i="5"/>
  <c r="H404" i="5"/>
  <c r="H402" i="5"/>
  <c r="I400" i="5"/>
  <c r="C399" i="5"/>
  <c r="I398" i="5"/>
  <c r="D397" i="5"/>
  <c r="J396" i="5"/>
  <c r="D395" i="5"/>
  <c r="K394" i="5"/>
  <c r="E393" i="5"/>
  <c r="K392" i="5"/>
  <c r="F391" i="5"/>
  <c r="L390" i="5"/>
  <c r="E389" i="5"/>
  <c r="L388" i="5"/>
  <c r="E387" i="5"/>
  <c r="K386" i="5"/>
  <c r="E385" i="5"/>
  <c r="J384" i="5"/>
  <c r="E383" i="5"/>
  <c r="K382" i="5"/>
  <c r="E381" i="5"/>
  <c r="K380" i="5"/>
  <c r="E379" i="5"/>
  <c r="J378" i="5"/>
  <c r="E377" i="5"/>
  <c r="K376" i="5"/>
  <c r="F375" i="5"/>
  <c r="L374" i="5"/>
  <c r="E373" i="5"/>
  <c r="K372" i="5"/>
  <c r="G371" i="5"/>
  <c r="F369" i="5"/>
  <c r="G367" i="5"/>
  <c r="G365" i="5"/>
  <c r="F363" i="5"/>
  <c r="L362" i="5"/>
  <c r="G361" i="5"/>
  <c r="L360" i="5"/>
  <c r="G359" i="5"/>
  <c r="I357" i="5"/>
  <c r="C356" i="5"/>
  <c r="I355" i="5"/>
  <c r="D354" i="5"/>
  <c r="K353" i="5"/>
  <c r="E352" i="5"/>
  <c r="L351" i="5"/>
  <c r="H350" i="5"/>
  <c r="C504" i="5"/>
  <c r="I499" i="5"/>
  <c r="G494" i="5"/>
  <c r="H491" i="5"/>
  <c r="F486" i="5"/>
  <c r="H483" i="5"/>
  <c r="D480" i="5"/>
  <c r="L475" i="5"/>
  <c r="E472" i="5"/>
  <c r="J469" i="5"/>
  <c r="C466" i="5"/>
  <c r="D458" i="5"/>
  <c r="L453" i="5"/>
  <c r="H450" i="5"/>
  <c r="L445" i="5"/>
  <c r="I442" i="5"/>
  <c r="H438" i="5"/>
  <c r="C435" i="5"/>
  <c r="G432" i="5"/>
  <c r="D430" i="5"/>
  <c r="D428" i="5"/>
  <c r="D426" i="5"/>
  <c r="E424" i="5"/>
  <c r="D422" i="5"/>
  <c r="E420" i="5"/>
  <c r="D418" i="5"/>
  <c r="F416" i="5"/>
  <c r="C415" i="5"/>
  <c r="F414" i="5"/>
  <c r="L413" i="5"/>
  <c r="E412" i="5"/>
  <c r="J411" i="5"/>
  <c r="E410" i="5"/>
  <c r="J409" i="5"/>
  <c r="F408" i="5"/>
  <c r="L407" i="5"/>
  <c r="G406" i="5"/>
  <c r="G404" i="5"/>
  <c r="L403" i="5"/>
  <c r="G402" i="5"/>
  <c r="H400" i="5"/>
  <c r="H398" i="5"/>
  <c r="C397" i="5"/>
  <c r="I396" i="5"/>
  <c r="C395" i="5"/>
  <c r="J394" i="5"/>
  <c r="D393" i="5"/>
  <c r="J392" i="5"/>
  <c r="E391" i="5"/>
  <c r="K390" i="5"/>
  <c r="D389" i="5"/>
  <c r="K388" i="5"/>
  <c r="D387" i="5"/>
  <c r="J386" i="5"/>
  <c r="D385" i="5"/>
  <c r="I384" i="5"/>
  <c r="D383" i="5"/>
  <c r="J382" i="5"/>
  <c r="D381" i="5"/>
  <c r="J380" i="5"/>
  <c r="D379" i="5"/>
  <c r="I378" i="5"/>
  <c r="D377" i="5"/>
  <c r="J376" i="5"/>
  <c r="E375" i="5"/>
  <c r="K374" i="5"/>
  <c r="D373" i="5"/>
  <c r="J372" i="5"/>
  <c r="F371" i="5"/>
  <c r="L370" i="5"/>
  <c r="E369" i="5"/>
  <c r="L368" i="5"/>
  <c r="F367" i="5"/>
  <c r="F365" i="5"/>
  <c r="L364" i="5"/>
  <c r="E363" i="5"/>
  <c r="K362" i="5"/>
  <c r="F361" i="5"/>
  <c r="K360" i="5"/>
  <c r="F359" i="5"/>
  <c r="H357" i="5"/>
  <c r="H502" i="5"/>
  <c r="L497" i="5"/>
  <c r="E494" i="5"/>
  <c r="L489" i="5"/>
  <c r="D486" i="5"/>
  <c r="K481" i="5"/>
  <c r="J475" i="5"/>
  <c r="C472" i="5"/>
  <c r="L467" i="5"/>
  <c r="L461" i="5"/>
  <c r="D453" i="5"/>
  <c r="L448" i="5"/>
  <c r="D445" i="5"/>
  <c r="H442" i="5"/>
  <c r="F438" i="5"/>
  <c r="F432" i="5"/>
  <c r="D424" i="5"/>
  <c r="C422" i="5"/>
  <c r="D420" i="5"/>
  <c r="C418" i="5"/>
  <c r="E416" i="5"/>
  <c r="E414" i="5"/>
  <c r="K413" i="5"/>
  <c r="D412" i="5"/>
  <c r="I411" i="5"/>
  <c r="D410" i="5"/>
  <c r="I409" i="5"/>
  <c r="E408" i="5"/>
  <c r="K407" i="5"/>
  <c r="F406" i="5"/>
  <c r="L405" i="5"/>
  <c r="F404" i="5"/>
  <c r="K403" i="5"/>
  <c r="F402" i="5"/>
  <c r="L401" i="5"/>
  <c r="G400" i="5"/>
  <c r="G398" i="5"/>
  <c r="H396" i="5"/>
  <c r="I394" i="5"/>
  <c r="C393" i="5"/>
  <c r="I392" i="5"/>
  <c r="D391" i="5"/>
  <c r="J390" i="5"/>
  <c r="C389" i="5"/>
  <c r="J388" i="5"/>
  <c r="C387" i="5"/>
  <c r="I386" i="5"/>
  <c r="C385" i="5"/>
  <c r="H384" i="5"/>
  <c r="C383" i="5"/>
  <c r="I382" i="5"/>
  <c r="C381" i="5"/>
  <c r="I380" i="5"/>
  <c r="C379" i="5"/>
  <c r="H378" i="5"/>
  <c r="C377" i="5"/>
  <c r="I376" i="5"/>
  <c r="D375" i="5"/>
  <c r="J374" i="5"/>
  <c r="C373" i="5"/>
  <c r="I372" i="5"/>
  <c r="E371" i="5"/>
  <c r="K370" i="5"/>
  <c r="D369" i="5"/>
  <c r="K368" i="5"/>
  <c r="E367" i="5"/>
  <c r="L366" i="5"/>
  <c r="E365" i="5"/>
  <c r="K364" i="5"/>
  <c r="D363" i="5"/>
  <c r="J362" i="5"/>
  <c r="E361" i="5"/>
  <c r="J360" i="5"/>
  <c r="E359" i="5"/>
  <c r="L358" i="5"/>
  <c r="G357" i="5"/>
  <c r="G355" i="5"/>
  <c r="I353" i="5"/>
  <c r="C352" i="5"/>
  <c r="J351" i="5"/>
  <c r="F350" i="5"/>
  <c r="K349" i="5"/>
  <c r="I505" i="5"/>
  <c r="D502" i="5"/>
  <c r="H497" i="5"/>
  <c r="G492" i="5"/>
  <c r="H489" i="5"/>
  <c r="L487" i="5"/>
  <c r="G484" i="5"/>
  <c r="F478" i="5"/>
  <c r="H467" i="5"/>
  <c r="E464" i="5"/>
  <c r="L459" i="5"/>
  <c r="D456" i="5"/>
  <c r="H448" i="5"/>
  <c r="E442" i="5"/>
  <c r="D439" i="5"/>
  <c r="J436" i="5"/>
  <c r="L433" i="5"/>
  <c r="C414" i="5"/>
  <c r="I413" i="5"/>
  <c r="G411" i="5"/>
  <c r="G409" i="5"/>
  <c r="C408" i="5"/>
  <c r="I407" i="5"/>
  <c r="D406" i="5"/>
  <c r="J405" i="5"/>
  <c r="D404" i="5"/>
  <c r="I403" i="5"/>
  <c r="D402" i="5"/>
  <c r="J401" i="5"/>
  <c r="E400" i="5"/>
  <c r="K399" i="5"/>
  <c r="E398" i="5"/>
  <c r="L397" i="5"/>
  <c r="F396" i="5"/>
  <c r="L395" i="5"/>
  <c r="G394" i="5"/>
  <c r="G392" i="5"/>
  <c r="H390" i="5"/>
  <c r="H388" i="5"/>
  <c r="G386" i="5"/>
  <c r="F384" i="5"/>
  <c r="G382" i="5"/>
  <c r="G380" i="5"/>
  <c r="F378" i="5"/>
  <c r="G376" i="5"/>
  <c r="H374" i="5"/>
  <c r="G372" i="5"/>
  <c r="C371" i="5"/>
  <c r="I370" i="5"/>
  <c r="I368" i="5"/>
  <c r="C367" i="5"/>
  <c r="J366" i="5"/>
  <c r="C365" i="5"/>
  <c r="I364" i="5"/>
  <c r="H362" i="5"/>
  <c r="C361" i="5"/>
  <c r="H360" i="5"/>
  <c r="C359" i="5"/>
  <c r="J358" i="5"/>
  <c r="E357" i="5"/>
  <c r="K356" i="5"/>
  <c r="E355" i="5"/>
  <c r="L354" i="5"/>
  <c r="G353" i="5"/>
  <c r="H351" i="5"/>
  <c r="D350" i="5"/>
  <c r="G500" i="5"/>
  <c r="K495" i="5"/>
  <c r="E492" i="5"/>
  <c r="J487" i="5"/>
  <c r="E484" i="5"/>
  <c r="D478" i="5"/>
  <c r="L473" i="5"/>
  <c r="H470" i="5"/>
  <c r="C464" i="5"/>
  <c r="J459" i="5"/>
  <c r="F451" i="5"/>
  <c r="J446" i="5"/>
  <c r="L443" i="5"/>
  <c r="C439" i="5"/>
  <c r="I436" i="5"/>
  <c r="J433" i="5"/>
  <c r="H413" i="5"/>
  <c r="F411" i="5"/>
  <c r="F409" i="5"/>
  <c r="H407" i="5"/>
  <c r="C406" i="5"/>
  <c r="I405" i="5"/>
  <c r="C404" i="5"/>
  <c r="H403" i="5"/>
  <c r="C402" i="5"/>
  <c r="I401" i="5"/>
  <c r="D400" i="5"/>
  <c r="J399" i="5"/>
  <c r="D398" i="5"/>
  <c r="K397" i="5"/>
  <c r="E396" i="5"/>
  <c r="K395" i="5"/>
  <c r="F394" i="5"/>
  <c r="L393" i="5"/>
  <c r="F392" i="5"/>
  <c r="G390" i="5"/>
  <c r="L389" i="5"/>
  <c r="G388" i="5"/>
  <c r="L387" i="5"/>
  <c r="F386" i="5"/>
  <c r="L385" i="5"/>
  <c r="E384" i="5"/>
  <c r="L383" i="5"/>
  <c r="F382" i="5"/>
  <c r="L381" i="5"/>
  <c r="F380" i="5"/>
  <c r="L379" i="5"/>
  <c r="E378" i="5"/>
  <c r="L377" i="5"/>
  <c r="F376" i="5"/>
  <c r="G374" i="5"/>
  <c r="L373" i="5"/>
  <c r="F372" i="5"/>
  <c r="H370" i="5"/>
  <c r="H368" i="5"/>
  <c r="I366" i="5"/>
  <c r="H364" i="5"/>
  <c r="G362" i="5"/>
  <c r="G360" i="5"/>
  <c r="I358" i="5"/>
  <c r="D357" i="5"/>
  <c r="J356" i="5"/>
  <c r="D355" i="5"/>
  <c r="K354" i="5"/>
  <c r="L503" i="5"/>
  <c r="E500" i="5"/>
  <c r="I495" i="5"/>
  <c r="C492" i="5"/>
  <c r="H487" i="5"/>
  <c r="C484" i="5"/>
  <c r="K479" i="5"/>
  <c r="G476" i="5"/>
  <c r="J473" i="5"/>
  <c r="F470" i="5"/>
  <c r="L465" i="5"/>
  <c r="H459" i="5"/>
  <c r="K457" i="5"/>
  <c r="J454" i="5"/>
  <c r="D451" i="5"/>
  <c r="H446" i="5"/>
  <c r="D443" i="5"/>
  <c r="J440" i="5"/>
  <c r="H436" i="5"/>
  <c r="G413" i="5"/>
  <c r="L412" i="5"/>
  <c r="E411" i="5"/>
  <c r="L410" i="5"/>
  <c r="E409" i="5"/>
  <c r="G407" i="5"/>
  <c r="H405" i="5"/>
  <c r="G403" i="5"/>
  <c r="H401" i="5"/>
  <c r="C400" i="5"/>
  <c r="I399" i="5"/>
  <c r="C398" i="5"/>
  <c r="J397" i="5"/>
  <c r="D396" i="5"/>
  <c r="J395" i="5"/>
  <c r="E394" i="5"/>
  <c r="K393" i="5"/>
  <c r="E392" i="5"/>
  <c r="L391" i="5"/>
  <c r="F390" i="5"/>
  <c r="K389" i="5"/>
  <c r="F388" i="5"/>
  <c r="K387" i="5"/>
  <c r="E386" i="5"/>
  <c r="K385" i="5"/>
  <c r="D384" i="5"/>
  <c r="K383" i="5"/>
  <c r="E382" i="5"/>
  <c r="K381" i="5"/>
  <c r="E380" i="5"/>
  <c r="J503" i="5"/>
  <c r="C500" i="5"/>
  <c r="K485" i="5"/>
  <c r="I479" i="5"/>
  <c r="E476" i="5"/>
  <c r="L471" i="5"/>
  <c r="D470" i="5"/>
  <c r="G468" i="5"/>
  <c r="J465" i="5"/>
  <c r="H462" i="5"/>
  <c r="I457" i="5"/>
  <c r="H454" i="5"/>
  <c r="F446" i="5"/>
  <c r="C443" i="5"/>
  <c r="I440" i="5"/>
  <c r="F436" i="5"/>
  <c r="L429" i="5"/>
  <c r="J428" i="5"/>
  <c r="L427" i="5"/>
  <c r="J426" i="5"/>
  <c r="L425" i="5"/>
  <c r="F413" i="5"/>
  <c r="K412" i="5"/>
  <c r="D411" i="5"/>
  <c r="K410" i="5"/>
  <c r="D409" i="5"/>
  <c r="L408" i="5"/>
  <c r="F407" i="5"/>
  <c r="G405" i="5"/>
  <c r="F403" i="5"/>
  <c r="G401" i="5"/>
  <c r="H399" i="5"/>
  <c r="I397" i="5"/>
  <c r="C396" i="5"/>
  <c r="I395" i="5"/>
  <c r="D394" i="5"/>
  <c r="J393" i="5"/>
  <c r="D392" i="5"/>
  <c r="K391" i="5"/>
  <c r="E390" i="5"/>
  <c r="J389" i="5"/>
  <c r="E388" i="5"/>
  <c r="J387" i="5"/>
  <c r="D386" i="5"/>
  <c r="J385" i="5"/>
  <c r="C384" i="5"/>
  <c r="J383" i="5"/>
  <c r="D382" i="5"/>
  <c r="J381" i="5"/>
  <c r="D380" i="5"/>
  <c r="J379" i="5"/>
  <c r="C378" i="5"/>
  <c r="J377" i="5"/>
  <c r="D376" i="5"/>
  <c r="K375" i="5"/>
  <c r="E374" i="5"/>
  <c r="J373" i="5"/>
  <c r="D372" i="5"/>
  <c r="L371" i="5"/>
  <c r="F370" i="5"/>
  <c r="K369" i="5"/>
  <c r="F368" i="5"/>
  <c r="L367" i="5"/>
  <c r="G366" i="5"/>
  <c r="L365" i="5"/>
  <c r="F364" i="5"/>
  <c r="K363" i="5"/>
  <c r="E362" i="5"/>
  <c r="L361" i="5"/>
  <c r="E360" i="5"/>
  <c r="L359" i="5"/>
  <c r="G358" i="5"/>
  <c r="H356" i="5"/>
  <c r="I354" i="5"/>
  <c r="D353" i="5"/>
  <c r="J352" i="5"/>
  <c r="E351" i="5"/>
  <c r="K501" i="5"/>
  <c r="D498" i="5"/>
  <c r="I493" i="5"/>
  <c r="D490" i="5"/>
  <c r="D482" i="5"/>
  <c r="H471" i="5"/>
  <c r="C468" i="5"/>
  <c r="D462" i="5"/>
  <c r="G460" i="5"/>
  <c r="K455" i="5"/>
  <c r="I452" i="5"/>
  <c r="D449" i="5"/>
  <c r="I444" i="5"/>
  <c r="F440" i="5"/>
  <c r="D437" i="5"/>
  <c r="G434" i="5"/>
  <c r="K431" i="5"/>
  <c r="H430" i="5"/>
  <c r="J429" i="5"/>
  <c r="H428" i="5"/>
  <c r="J427" i="5"/>
  <c r="H426" i="5"/>
  <c r="J425" i="5"/>
  <c r="I424" i="5"/>
  <c r="K423" i="5"/>
  <c r="H422" i="5"/>
  <c r="K421" i="5"/>
  <c r="I420" i="5"/>
  <c r="K419" i="5"/>
  <c r="H418" i="5"/>
  <c r="K417" i="5"/>
  <c r="J416" i="5"/>
  <c r="L415" i="5"/>
  <c r="K414" i="5"/>
  <c r="D413" i="5"/>
  <c r="I412" i="5"/>
  <c r="I410" i="5"/>
  <c r="J408" i="5"/>
  <c r="D407" i="5"/>
  <c r="K406" i="5"/>
  <c r="E405" i="5"/>
  <c r="K404" i="5"/>
  <c r="D403" i="5"/>
  <c r="K402" i="5"/>
  <c r="E401" i="5"/>
  <c r="L400" i="5"/>
  <c r="F399" i="5"/>
  <c r="L398" i="5"/>
  <c r="G397" i="5"/>
  <c r="G395" i="5"/>
  <c r="H393" i="5"/>
  <c r="I391" i="5"/>
  <c r="C390" i="5"/>
  <c r="H389" i="5"/>
  <c r="C388" i="5"/>
  <c r="H387" i="5"/>
  <c r="H385" i="5"/>
  <c r="H383" i="5"/>
  <c r="H381" i="5"/>
  <c r="H379" i="5"/>
  <c r="H377" i="5"/>
  <c r="I375" i="5"/>
  <c r="C374" i="5"/>
  <c r="H373" i="5"/>
  <c r="J371" i="5"/>
  <c r="D370" i="5"/>
  <c r="I369" i="5"/>
  <c r="D368" i="5"/>
  <c r="J367" i="5"/>
  <c r="E366" i="5"/>
  <c r="J365" i="5"/>
  <c r="D364" i="5"/>
  <c r="I363" i="5"/>
  <c r="C362" i="5"/>
  <c r="J361" i="5"/>
  <c r="C360" i="5"/>
  <c r="J359" i="5"/>
  <c r="E358" i="5"/>
  <c r="L357" i="5"/>
  <c r="I501" i="5"/>
  <c r="F496" i="5"/>
  <c r="F488" i="5"/>
  <c r="K477" i="5"/>
  <c r="H474" i="5"/>
  <c r="K463" i="5"/>
  <c r="E460" i="5"/>
  <c r="I455" i="5"/>
  <c r="G452" i="5"/>
  <c r="E447" i="5"/>
  <c r="H444" i="5"/>
  <c r="L441" i="5"/>
  <c r="C437" i="5"/>
  <c r="F434" i="5"/>
  <c r="J431" i="5"/>
  <c r="G430" i="5"/>
  <c r="C429" i="5"/>
  <c r="G428" i="5"/>
  <c r="D427" i="5"/>
  <c r="G426" i="5"/>
  <c r="D425" i="5"/>
  <c r="H424" i="5"/>
  <c r="J423" i="5"/>
  <c r="G422" i="5"/>
  <c r="J421" i="5"/>
  <c r="H420" i="5"/>
  <c r="J419" i="5"/>
  <c r="G418" i="5"/>
  <c r="J417" i="5"/>
  <c r="I416" i="5"/>
  <c r="K415" i="5"/>
  <c r="I414" i="5"/>
  <c r="C413" i="5"/>
  <c r="H412" i="5"/>
  <c r="H410" i="5"/>
  <c r="I408" i="5"/>
  <c r="C407" i="5"/>
  <c r="J406" i="5"/>
  <c r="D405" i="5"/>
  <c r="J404" i="5"/>
  <c r="C403" i="5"/>
  <c r="J402" i="5"/>
  <c r="D401" i="5"/>
  <c r="K400" i="5"/>
  <c r="E399" i="5"/>
  <c r="K398" i="5"/>
  <c r="F397" i="5"/>
  <c r="L396" i="5"/>
  <c r="F395" i="5"/>
  <c r="G393" i="5"/>
  <c r="H391" i="5"/>
  <c r="G389" i="5"/>
  <c r="G387" i="5"/>
  <c r="G385" i="5"/>
  <c r="L384" i="5"/>
  <c r="G383" i="5"/>
  <c r="G381" i="5"/>
  <c r="I485" i="5"/>
  <c r="F454" i="5"/>
  <c r="I422" i="5"/>
  <c r="E404" i="5"/>
  <c r="I377" i="5"/>
  <c r="E370" i="5"/>
  <c r="K367" i="5"/>
  <c r="D366" i="5"/>
  <c r="J363" i="5"/>
  <c r="D359" i="5"/>
  <c r="G348" i="5"/>
  <c r="H346" i="5"/>
  <c r="C345" i="5"/>
  <c r="I344" i="5"/>
  <c r="H342" i="5"/>
  <c r="G340" i="5"/>
  <c r="L339" i="5"/>
  <c r="F338" i="5"/>
  <c r="K337" i="5"/>
  <c r="F336" i="5"/>
  <c r="K335" i="5"/>
  <c r="E334" i="5"/>
  <c r="G332" i="5"/>
  <c r="I330" i="5"/>
  <c r="I328" i="5"/>
  <c r="C327" i="5"/>
  <c r="I326" i="5"/>
  <c r="C325" i="5"/>
  <c r="H324" i="5"/>
  <c r="I322" i="5"/>
  <c r="D321" i="5"/>
  <c r="J320" i="5"/>
  <c r="C319" i="5"/>
  <c r="I318" i="5"/>
  <c r="C317" i="5"/>
  <c r="H316" i="5"/>
  <c r="H314" i="5"/>
  <c r="C313" i="5"/>
  <c r="I312" i="5"/>
  <c r="D311" i="5"/>
  <c r="K310" i="5"/>
  <c r="E309" i="5"/>
  <c r="J308" i="5"/>
  <c r="E307" i="5"/>
  <c r="F305" i="5"/>
  <c r="K304" i="5"/>
  <c r="E303" i="5"/>
  <c r="J302" i="5"/>
  <c r="D301" i="5"/>
  <c r="I300" i="5"/>
  <c r="C299" i="5"/>
  <c r="H298" i="5"/>
  <c r="H296" i="5"/>
  <c r="F294" i="5"/>
  <c r="I292" i="5"/>
  <c r="D291" i="5"/>
  <c r="J290" i="5"/>
  <c r="D289" i="5"/>
  <c r="K288" i="5"/>
  <c r="G287" i="5"/>
  <c r="C286" i="5"/>
  <c r="I285" i="5"/>
  <c r="C284" i="5"/>
  <c r="I283" i="5"/>
  <c r="G281" i="5"/>
  <c r="L280" i="5"/>
  <c r="H279" i="5"/>
  <c r="C278" i="5"/>
  <c r="F490" i="5"/>
  <c r="G464" i="5"/>
  <c r="J424" i="5"/>
  <c r="J413" i="5"/>
  <c r="H411" i="5"/>
  <c r="H409" i="5"/>
  <c r="L402" i="5"/>
  <c r="H380" i="5"/>
  <c r="G377" i="5"/>
  <c r="I374" i="5"/>
  <c r="K371" i="5"/>
  <c r="C370" i="5"/>
  <c r="I367" i="5"/>
  <c r="H363" i="5"/>
  <c r="L355" i="5"/>
  <c r="L352" i="5"/>
  <c r="F348" i="5"/>
  <c r="L347" i="5"/>
  <c r="G346" i="5"/>
  <c r="H344" i="5"/>
  <c r="G342" i="5"/>
  <c r="L341" i="5"/>
  <c r="F340" i="5"/>
  <c r="K339" i="5"/>
  <c r="E338" i="5"/>
  <c r="J337" i="5"/>
  <c r="E336" i="5"/>
  <c r="J335" i="5"/>
  <c r="D334" i="5"/>
  <c r="L333" i="5"/>
  <c r="F332" i="5"/>
  <c r="L331" i="5"/>
  <c r="H330" i="5"/>
  <c r="H328" i="5"/>
  <c r="H326" i="5"/>
  <c r="G324" i="5"/>
  <c r="H322" i="5"/>
  <c r="C321" i="5"/>
  <c r="I320" i="5"/>
  <c r="H318" i="5"/>
  <c r="G316" i="5"/>
  <c r="L315" i="5"/>
  <c r="G314" i="5"/>
  <c r="H312" i="5"/>
  <c r="C311" i="5"/>
  <c r="J310" i="5"/>
  <c r="D309" i="5"/>
  <c r="I308" i="5"/>
  <c r="D307" i="5"/>
  <c r="L306" i="5"/>
  <c r="E305" i="5"/>
  <c r="J304" i="5"/>
  <c r="D303" i="5"/>
  <c r="I302" i="5"/>
  <c r="C301" i="5"/>
  <c r="H300" i="5"/>
  <c r="G298" i="5"/>
  <c r="G296" i="5"/>
  <c r="L295" i="5"/>
  <c r="E294" i="5"/>
  <c r="H292" i="5"/>
  <c r="C291" i="5"/>
  <c r="I290" i="5"/>
  <c r="C289" i="5"/>
  <c r="J288" i="5"/>
  <c r="F287" i="5"/>
  <c r="H285" i="5"/>
  <c r="H283" i="5"/>
  <c r="F281" i="5"/>
  <c r="K280" i="5"/>
  <c r="G279" i="5"/>
  <c r="F482" i="5"/>
  <c r="I426" i="5"/>
  <c r="E413" i="5"/>
  <c r="C411" i="5"/>
  <c r="C409" i="5"/>
  <c r="J407" i="5"/>
  <c r="E402" i="5"/>
  <c r="H382" i="5"/>
  <c r="C380" i="5"/>
  <c r="F374" i="5"/>
  <c r="I371" i="5"/>
  <c r="D367" i="5"/>
  <c r="C363" i="5"/>
  <c r="I360" i="5"/>
  <c r="K355" i="5"/>
  <c r="J354" i="5"/>
  <c r="J353" i="5"/>
  <c r="K352" i="5"/>
  <c r="K351" i="5"/>
  <c r="L350" i="5"/>
  <c r="L349" i="5"/>
  <c r="E348" i="5"/>
  <c r="K347" i="5"/>
  <c r="F346" i="5"/>
  <c r="G344" i="5"/>
  <c r="L343" i="5"/>
  <c r="F342" i="5"/>
  <c r="K341" i="5"/>
  <c r="E340" i="5"/>
  <c r="J339" i="5"/>
  <c r="D338" i="5"/>
  <c r="I337" i="5"/>
  <c r="D336" i="5"/>
  <c r="I335" i="5"/>
  <c r="C334" i="5"/>
  <c r="K333" i="5"/>
  <c r="E332" i="5"/>
  <c r="K331" i="5"/>
  <c r="G330" i="5"/>
  <c r="L329" i="5"/>
  <c r="G328" i="5"/>
  <c r="G326" i="5"/>
  <c r="F324" i="5"/>
  <c r="L323" i="5"/>
  <c r="G322" i="5"/>
  <c r="H320" i="5"/>
  <c r="G318" i="5"/>
  <c r="F316" i="5"/>
  <c r="K315" i="5"/>
  <c r="F314" i="5"/>
  <c r="G312" i="5"/>
  <c r="I310" i="5"/>
  <c r="C309" i="5"/>
  <c r="H308" i="5"/>
  <c r="C307" i="5"/>
  <c r="K306" i="5"/>
  <c r="D305" i="5"/>
  <c r="I304" i="5"/>
  <c r="C303" i="5"/>
  <c r="H302" i="5"/>
  <c r="G300" i="5"/>
  <c r="F298" i="5"/>
  <c r="L297" i="5"/>
  <c r="F296" i="5"/>
  <c r="K295" i="5"/>
  <c r="D294" i="5"/>
  <c r="L293" i="5"/>
  <c r="G292" i="5"/>
  <c r="H290" i="5"/>
  <c r="I288" i="5"/>
  <c r="E287" i="5"/>
  <c r="G285" i="5"/>
  <c r="G283" i="5"/>
  <c r="L282" i="5"/>
  <c r="E281" i="5"/>
  <c r="J280" i="5"/>
  <c r="F279" i="5"/>
  <c r="F456" i="5"/>
  <c r="H440" i="5"/>
  <c r="I428" i="5"/>
  <c r="L417" i="5"/>
  <c r="E407" i="5"/>
  <c r="F400" i="5"/>
  <c r="H392" i="5"/>
  <c r="G384" i="5"/>
  <c r="C382" i="5"/>
  <c r="L378" i="5"/>
  <c r="L375" i="5"/>
  <c r="D374" i="5"/>
  <c r="D371" i="5"/>
  <c r="J364" i="5"/>
  <c r="F360" i="5"/>
  <c r="L356" i="5"/>
  <c r="H355" i="5"/>
  <c r="H354" i="5"/>
  <c r="H353" i="5"/>
  <c r="I352" i="5"/>
  <c r="I351" i="5"/>
  <c r="K350" i="5"/>
  <c r="J349" i="5"/>
  <c r="D348" i="5"/>
  <c r="J347" i="5"/>
  <c r="E346" i="5"/>
  <c r="L345" i="5"/>
  <c r="F344" i="5"/>
  <c r="K343" i="5"/>
  <c r="E342" i="5"/>
  <c r="J341" i="5"/>
  <c r="D340" i="5"/>
  <c r="I339" i="5"/>
  <c r="C338" i="5"/>
  <c r="H337" i="5"/>
  <c r="C336" i="5"/>
  <c r="H335" i="5"/>
  <c r="J333" i="5"/>
  <c r="D332" i="5"/>
  <c r="J331" i="5"/>
  <c r="F330" i="5"/>
  <c r="K329" i="5"/>
  <c r="F328" i="5"/>
  <c r="L327" i="5"/>
  <c r="F326" i="5"/>
  <c r="L325" i="5"/>
  <c r="K505" i="5"/>
  <c r="J497" i="5"/>
  <c r="J471" i="5"/>
  <c r="J461" i="5"/>
  <c r="J448" i="5"/>
  <c r="I430" i="5"/>
  <c r="L419" i="5"/>
  <c r="K405" i="5"/>
  <c r="F398" i="5"/>
  <c r="G396" i="5"/>
  <c r="H394" i="5"/>
  <c r="C392" i="5"/>
  <c r="H386" i="5"/>
  <c r="G378" i="5"/>
  <c r="J375" i="5"/>
  <c r="H372" i="5"/>
  <c r="J368" i="5"/>
  <c r="G364" i="5"/>
  <c r="D360" i="5"/>
  <c r="I356" i="5"/>
  <c r="F355" i="5"/>
  <c r="G354" i="5"/>
  <c r="F353" i="5"/>
  <c r="H352" i="5"/>
  <c r="G351" i="5"/>
  <c r="J350" i="5"/>
  <c r="I349" i="5"/>
  <c r="C348" i="5"/>
  <c r="I347" i="5"/>
  <c r="D346" i="5"/>
  <c r="K345" i="5"/>
  <c r="E344" i="5"/>
  <c r="J343" i="5"/>
  <c r="D342" i="5"/>
  <c r="I341" i="5"/>
  <c r="C340" i="5"/>
  <c r="H339" i="5"/>
  <c r="G337" i="5"/>
  <c r="G335" i="5"/>
  <c r="I333" i="5"/>
  <c r="C332" i="5"/>
  <c r="I331" i="5"/>
  <c r="E330" i="5"/>
  <c r="J329" i="5"/>
  <c r="E328" i="5"/>
  <c r="K327" i="5"/>
  <c r="E326" i="5"/>
  <c r="K325" i="5"/>
  <c r="D324" i="5"/>
  <c r="J323" i="5"/>
  <c r="E322" i="5"/>
  <c r="L321" i="5"/>
  <c r="F320" i="5"/>
  <c r="K319" i="5"/>
  <c r="E318" i="5"/>
  <c r="K317" i="5"/>
  <c r="D316" i="5"/>
  <c r="I315" i="5"/>
  <c r="D314" i="5"/>
  <c r="K313" i="5"/>
  <c r="E312" i="5"/>
  <c r="L311" i="5"/>
  <c r="G310" i="5"/>
  <c r="F308" i="5"/>
  <c r="I306" i="5"/>
  <c r="G304" i="5"/>
  <c r="F302" i="5"/>
  <c r="L301" i="5"/>
  <c r="E300" i="5"/>
  <c r="K299" i="5"/>
  <c r="D298" i="5"/>
  <c r="J297" i="5"/>
  <c r="D296" i="5"/>
  <c r="I295" i="5"/>
  <c r="J293" i="5"/>
  <c r="E292" i="5"/>
  <c r="L291" i="5"/>
  <c r="F290" i="5"/>
  <c r="L289" i="5"/>
  <c r="G288" i="5"/>
  <c r="C287" i="5"/>
  <c r="K286" i="5"/>
  <c r="E285" i="5"/>
  <c r="K284" i="5"/>
  <c r="E283" i="5"/>
  <c r="J282" i="5"/>
  <c r="C281" i="5"/>
  <c r="H280" i="5"/>
  <c r="D279" i="5"/>
  <c r="K278" i="5"/>
  <c r="I481" i="5"/>
  <c r="H434" i="5"/>
  <c r="K425" i="5"/>
  <c r="D414" i="5"/>
  <c r="J412" i="5"/>
  <c r="J410" i="5"/>
  <c r="K408" i="5"/>
  <c r="E403" i="5"/>
  <c r="K379" i="5"/>
  <c r="H376" i="5"/>
  <c r="J369" i="5"/>
  <c r="C368" i="5"/>
  <c r="I365" i="5"/>
  <c r="D361" i="5"/>
  <c r="F357" i="5"/>
  <c r="E356" i="5"/>
  <c r="C351" i="5"/>
  <c r="C350" i="5"/>
  <c r="F349" i="5"/>
  <c r="L348" i="5"/>
  <c r="F347" i="5"/>
  <c r="H345" i="5"/>
  <c r="G343" i="5"/>
  <c r="F341" i="5"/>
  <c r="L340" i="5"/>
  <c r="E339" i="5"/>
  <c r="K338" i="5"/>
  <c r="D337" i="5"/>
  <c r="K336" i="5"/>
  <c r="D335" i="5"/>
  <c r="J334" i="5"/>
  <c r="F333" i="5"/>
  <c r="L332" i="5"/>
  <c r="F331" i="5"/>
  <c r="G329" i="5"/>
  <c r="H327" i="5"/>
  <c r="H325" i="5"/>
  <c r="G323" i="5"/>
  <c r="I321" i="5"/>
  <c r="C320" i="5"/>
  <c r="H319" i="5"/>
  <c r="H317" i="5"/>
  <c r="F315" i="5"/>
  <c r="H313" i="5"/>
  <c r="I311" i="5"/>
  <c r="D310" i="5"/>
  <c r="J309" i="5"/>
  <c r="C308" i="5"/>
  <c r="J307" i="5"/>
  <c r="F306" i="5"/>
  <c r="K305" i="5"/>
  <c r="D304" i="5"/>
  <c r="J303" i="5"/>
  <c r="C302" i="5"/>
  <c r="I301" i="5"/>
  <c r="H299" i="5"/>
  <c r="G297" i="5"/>
  <c r="F295" i="5"/>
  <c r="K294" i="5"/>
  <c r="G293" i="5"/>
  <c r="I291" i="5"/>
  <c r="C290" i="5"/>
  <c r="I289" i="5"/>
  <c r="D288" i="5"/>
  <c r="L287" i="5"/>
  <c r="H286" i="5"/>
  <c r="H284" i="5"/>
  <c r="G282" i="5"/>
  <c r="L281" i="5"/>
  <c r="E280" i="5"/>
  <c r="H278" i="5"/>
  <c r="H478" i="5"/>
  <c r="H465" i="5"/>
  <c r="L439" i="5"/>
  <c r="K427" i="5"/>
  <c r="C412" i="5"/>
  <c r="C410" i="5"/>
  <c r="D408" i="5"/>
  <c r="K401" i="5"/>
  <c r="I383" i="5"/>
  <c r="I381" i="5"/>
  <c r="I379" i="5"/>
  <c r="E376" i="5"/>
  <c r="K373" i="5"/>
  <c r="H369" i="5"/>
  <c r="D365" i="5"/>
  <c r="K358" i="5"/>
  <c r="C357" i="5"/>
  <c r="E349" i="5"/>
  <c r="K348" i="5"/>
  <c r="E347" i="5"/>
  <c r="L346" i="5"/>
  <c r="G345" i="5"/>
  <c r="F343" i="5"/>
  <c r="L342" i="5"/>
  <c r="E341" i="5"/>
  <c r="K340" i="5"/>
  <c r="D339" i="5"/>
  <c r="J338" i="5"/>
  <c r="C337" i="5"/>
  <c r="J336" i="5"/>
  <c r="C335" i="5"/>
  <c r="I334" i="5"/>
  <c r="E333" i="5"/>
  <c r="K332" i="5"/>
  <c r="E331" i="5"/>
  <c r="F329" i="5"/>
  <c r="G327" i="5"/>
  <c r="G325" i="5"/>
  <c r="L324" i="5"/>
  <c r="F323" i="5"/>
  <c r="H321" i="5"/>
  <c r="G319" i="5"/>
  <c r="G317" i="5"/>
  <c r="L316" i="5"/>
  <c r="E315" i="5"/>
  <c r="L314" i="5"/>
  <c r="G313" i="5"/>
  <c r="H311" i="5"/>
  <c r="C310" i="5"/>
  <c r="I309" i="5"/>
  <c r="I307" i="5"/>
  <c r="E306" i="5"/>
  <c r="J305" i="5"/>
  <c r="C304" i="5"/>
  <c r="I303" i="5"/>
  <c r="H301" i="5"/>
  <c r="G299" i="5"/>
  <c r="L298" i="5"/>
  <c r="F297" i="5"/>
  <c r="L296" i="5"/>
  <c r="E295" i="5"/>
  <c r="J294" i="5"/>
  <c r="F293" i="5"/>
  <c r="H291" i="5"/>
  <c r="H289" i="5"/>
  <c r="C288" i="5"/>
  <c r="K287" i="5"/>
  <c r="G286" i="5"/>
  <c r="G284" i="5"/>
  <c r="F282" i="5"/>
  <c r="K281" i="5"/>
  <c r="D280" i="5"/>
  <c r="L279" i="5"/>
  <c r="G278" i="5"/>
  <c r="K452" i="5"/>
  <c r="J444" i="5"/>
  <c r="K429" i="5"/>
  <c r="D416" i="5"/>
  <c r="L406" i="5"/>
  <c r="F401" i="5"/>
  <c r="L399" i="5"/>
  <c r="H395" i="5"/>
  <c r="G379" i="5"/>
  <c r="C376" i="5"/>
  <c r="I373" i="5"/>
  <c r="C369" i="5"/>
  <c r="K366" i="5"/>
  <c r="I362" i="5"/>
  <c r="H358" i="5"/>
  <c r="D349" i="5"/>
  <c r="J348" i="5"/>
  <c r="D347" i="5"/>
  <c r="K346" i="5"/>
  <c r="F345" i="5"/>
  <c r="L344" i="5"/>
  <c r="E343" i="5"/>
  <c r="K342" i="5"/>
  <c r="D341" i="5"/>
  <c r="J340" i="5"/>
  <c r="C339" i="5"/>
  <c r="I338" i="5"/>
  <c r="I336" i="5"/>
  <c r="H334" i="5"/>
  <c r="D333" i="5"/>
  <c r="J332" i="5"/>
  <c r="D331" i="5"/>
  <c r="L330" i="5"/>
  <c r="E329" i="5"/>
  <c r="L328" i="5"/>
  <c r="F327" i="5"/>
  <c r="L326" i="5"/>
  <c r="F325" i="5"/>
  <c r="K324" i="5"/>
  <c r="E323" i="5"/>
  <c r="L322" i="5"/>
  <c r="G321" i="5"/>
  <c r="F319" i="5"/>
  <c r="L318" i="5"/>
  <c r="F317" i="5"/>
  <c r="K316" i="5"/>
  <c r="D315" i="5"/>
  <c r="K314" i="5"/>
  <c r="F313" i="5"/>
  <c r="L312" i="5"/>
  <c r="G311" i="5"/>
  <c r="H309" i="5"/>
  <c r="H307" i="5"/>
  <c r="D306" i="5"/>
  <c r="I305" i="5"/>
  <c r="H303" i="5"/>
  <c r="G301" i="5"/>
  <c r="L300" i="5"/>
  <c r="F299" i="5"/>
  <c r="K298" i="5"/>
  <c r="E297" i="5"/>
  <c r="K296" i="5"/>
  <c r="D295" i="5"/>
  <c r="I294" i="5"/>
  <c r="E293" i="5"/>
  <c r="L292" i="5"/>
  <c r="G291" i="5"/>
  <c r="G289" i="5"/>
  <c r="J287" i="5"/>
  <c r="F286" i="5"/>
  <c r="L285" i="5"/>
  <c r="F284" i="5"/>
  <c r="L283" i="5"/>
  <c r="E282" i="5"/>
  <c r="J281" i="5"/>
  <c r="C280" i="5"/>
  <c r="K279" i="5"/>
  <c r="F278" i="5"/>
  <c r="H475" i="5"/>
  <c r="G457" i="5"/>
  <c r="L431" i="5"/>
  <c r="I418" i="5"/>
  <c r="E406" i="5"/>
  <c r="G399" i="5"/>
  <c r="H397" i="5"/>
  <c r="I393" i="5"/>
  <c r="J391" i="5"/>
  <c r="I385" i="5"/>
  <c r="G373" i="5"/>
  <c r="J370" i="5"/>
  <c r="H366" i="5"/>
  <c r="F362" i="5"/>
  <c r="K359" i="5"/>
  <c r="F358" i="5"/>
  <c r="C349" i="5"/>
  <c r="I348" i="5"/>
  <c r="C347" i="5"/>
  <c r="J346" i="5"/>
  <c r="E345" i="5"/>
  <c r="K344" i="5"/>
  <c r="D343" i="5"/>
  <c r="J342" i="5"/>
  <c r="C341" i="5"/>
  <c r="I340" i="5"/>
  <c r="H338" i="5"/>
  <c r="H336" i="5"/>
  <c r="G334" i="5"/>
  <c r="C333" i="5"/>
  <c r="I332" i="5"/>
  <c r="C331" i="5"/>
  <c r="K330" i="5"/>
  <c r="D329" i="5"/>
  <c r="K328" i="5"/>
  <c r="E327" i="5"/>
  <c r="K326" i="5"/>
  <c r="E325" i="5"/>
  <c r="J324" i="5"/>
  <c r="D323" i="5"/>
  <c r="K322" i="5"/>
  <c r="F321" i="5"/>
  <c r="L320" i="5"/>
  <c r="E319" i="5"/>
  <c r="K318" i="5"/>
  <c r="E317" i="5"/>
  <c r="J316" i="5"/>
  <c r="C315" i="5"/>
  <c r="J314" i="5"/>
  <c r="E313" i="5"/>
  <c r="K312" i="5"/>
  <c r="F311" i="5"/>
  <c r="G309" i="5"/>
  <c r="L308" i="5"/>
  <c r="G307" i="5"/>
  <c r="C306" i="5"/>
  <c r="H305" i="5"/>
  <c r="G303" i="5"/>
  <c r="L302" i="5"/>
  <c r="F301" i="5"/>
  <c r="K300" i="5"/>
  <c r="E299" i="5"/>
  <c r="J298" i="5"/>
  <c r="D297" i="5"/>
  <c r="J296" i="5"/>
  <c r="C295" i="5"/>
  <c r="H294" i="5"/>
  <c r="D293" i="5"/>
  <c r="K292" i="5"/>
  <c r="F291" i="5"/>
  <c r="L290" i="5"/>
  <c r="F289" i="5"/>
  <c r="I287" i="5"/>
  <c r="E286" i="5"/>
  <c r="K285" i="5"/>
  <c r="F498" i="5"/>
  <c r="K493" i="5"/>
  <c r="J467" i="5"/>
  <c r="F462" i="5"/>
  <c r="F449" i="5"/>
  <c r="J420" i="5"/>
  <c r="L404" i="5"/>
  <c r="C391" i="5"/>
  <c r="I389" i="5"/>
  <c r="I387" i="5"/>
  <c r="K377" i="5"/>
  <c r="G370" i="5"/>
  <c r="F366" i="5"/>
  <c r="L363" i="5"/>
  <c r="D362" i="5"/>
  <c r="I359" i="5"/>
  <c r="D358" i="5"/>
  <c r="H348" i="5"/>
  <c r="I346" i="5"/>
  <c r="D345" i="5"/>
  <c r="J344" i="5"/>
  <c r="C343" i="5"/>
  <c r="I342" i="5"/>
  <c r="H340" i="5"/>
  <c r="G338" i="5"/>
  <c r="L337" i="5"/>
  <c r="G336" i="5"/>
  <c r="L335" i="5"/>
  <c r="F334" i="5"/>
  <c r="H332" i="5"/>
  <c r="J330" i="5"/>
  <c r="C329" i="5"/>
  <c r="J328" i="5"/>
  <c r="D327" i="5"/>
  <c r="J326" i="5"/>
  <c r="D325" i="5"/>
  <c r="I324" i="5"/>
  <c r="C323" i="5"/>
  <c r="J322" i="5"/>
  <c r="E321" i="5"/>
  <c r="K320" i="5"/>
  <c r="D319" i="5"/>
  <c r="J318" i="5"/>
  <c r="D317" i="5"/>
  <c r="I316" i="5"/>
  <c r="I314" i="5"/>
  <c r="D313" i="5"/>
  <c r="J312" i="5"/>
  <c r="E311" i="5"/>
  <c r="L310" i="5"/>
  <c r="F309" i="5"/>
  <c r="K308" i="5"/>
  <c r="F307" i="5"/>
  <c r="G305" i="5"/>
  <c r="L304" i="5"/>
  <c r="F303" i="5"/>
  <c r="K302" i="5"/>
  <c r="E301" i="5"/>
  <c r="J300" i="5"/>
  <c r="D299" i="5"/>
  <c r="I298" i="5"/>
  <c r="C297" i="5"/>
  <c r="I296" i="5"/>
  <c r="G294" i="5"/>
  <c r="C293" i="5"/>
  <c r="J292" i="5"/>
  <c r="E291" i="5"/>
  <c r="K290" i="5"/>
  <c r="E289" i="5"/>
  <c r="L288" i="5"/>
  <c r="H287" i="5"/>
  <c r="D286" i="5"/>
  <c r="J285" i="5"/>
  <c r="D284" i="5"/>
  <c r="J283" i="5"/>
  <c r="C282" i="5"/>
  <c r="H281" i="5"/>
  <c r="I279" i="5"/>
  <c r="D278" i="5"/>
  <c r="I277" i="5"/>
  <c r="E468" i="5"/>
  <c r="I388" i="5"/>
  <c r="C355" i="5"/>
  <c r="C353" i="5"/>
  <c r="D351" i="5"/>
  <c r="G349" i="5"/>
  <c r="E335" i="5"/>
  <c r="H331" i="5"/>
  <c r="C324" i="5"/>
  <c r="C318" i="5"/>
  <c r="E310" i="5"/>
  <c r="C305" i="5"/>
  <c r="D302" i="5"/>
  <c r="H297" i="5"/>
  <c r="J295" i="5"/>
  <c r="F292" i="5"/>
  <c r="F283" i="5"/>
  <c r="I280" i="5"/>
  <c r="H276" i="5"/>
  <c r="K225" i="5" a="1"/>
  <c r="F224" i="5" a="1"/>
  <c r="L223" i="5" a="1"/>
  <c r="F222" i="5" a="1"/>
  <c r="C219" i="5" a="1"/>
  <c r="I218" i="5" a="1"/>
  <c r="C217" i="5" a="1"/>
  <c r="I216" i="5" a="1"/>
  <c r="F215" i="5" a="1"/>
  <c r="L214" i="5" a="1"/>
  <c r="C214" i="5" a="1"/>
  <c r="H213" i="5" a="1"/>
  <c r="H211" i="5" a="1"/>
  <c r="D210" i="5" a="1"/>
  <c r="K209" i="5" a="1"/>
  <c r="F208" i="5" a="1"/>
  <c r="L207" i="5" a="1"/>
  <c r="H206" i="5" a="1"/>
  <c r="C205" i="5" a="1"/>
  <c r="I204" i="5" a="1"/>
  <c r="C203" i="5" a="1"/>
  <c r="H202" i="5" a="1"/>
  <c r="C201" i="5" a="1"/>
  <c r="C494" i="5"/>
  <c r="L421" i="5"/>
  <c r="D388" i="5"/>
  <c r="K357" i="5"/>
  <c r="H333" i="5"/>
  <c r="G331" i="5"/>
  <c r="L319" i="5"/>
  <c r="E316" i="5"/>
  <c r="K311" i="5"/>
  <c r="G308" i="5"/>
  <c r="F300" i="5"/>
  <c r="H295" i="5"/>
  <c r="D292" i="5"/>
  <c r="L284" i="5"/>
  <c r="D283" i="5"/>
  <c r="G280" i="5"/>
  <c r="G276" i="5"/>
  <c r="J225" i="5" a="1"/>
  <c r="E224" i="5" a="1"/>
  <c r="K223" i="5" a="1"/>
  <c r="E222" i="5" a="1"/>
  <c r="L221" i="5" a="1"/>
  <c r="G220" i="5" a="1"/>
  <c r="H218" i="5" a="1"/>
  <c r="H216" i="5" a="1"/>
  <c r="E215" i="5" a="1"/>
  <c r="K214" i="5" a="1"/>
  <c r="G213" i="5" a="1"/>
  <c r="L212" i="5" a="1"/>
  <c r="G211" i="5" a="1"/>
  <c r="C210" i="5" a="1"/>
  <c r="J209" i="5" a="1"/>
  <c r="E208" i="5" a="1"/>
  <c r="K207" i="5" a="1"/>
  <c r="G206" i="5" a="1"/>
  <c r="H204" i="5" a="1"/>
  <c r="G202" i="5" a="1"/>
  <c r="L201" i="5" a="1"/>
  <c r="I390" i="5"/>
  <c r="L369" i="5"/>
  <c r="G333" i="5"/>
  <c r="I329" i="5"/>
  <c r="F322" i="5"/>
  <c r="J319" i="5"/>
  <c r="C316" i="5"/>
  <c r="J311" i="5"/>
  <c r="E308" i="5"/>
  <c r="L303" i="5"/>
  <c r="D300" i="5"/>
  <c r="G295" i="5"/>
  <c r="C292" i="5"/>
  <c r="D287" i="5"/>
  <c r="J284" i="5"/>
  <c r="C283" i="5"/>
  <c r="F280" i="5"/>
  <c r="L277" i="5"/>
  <c r="F276" i="5"/>
  <c r="I225" i="5" a="1"/>
  <c r="D224" i="5" a="1"/>
  <c r="J223" i="5" a="1"/>
  <c r="K221" i="5" a="1"/>
  <c r="F220" i="5" a="1"/>
  <c r="L219" i="5" a="1"/>
  <c r="G218" i="5" a="1"/>
  <c r="G216" i="5" a="1"/>
  <c r="D215" i="5" a="1"/>
  <c r="F213" i="5" a="1"/>
  <c r="K212" i="5" a="1"/>
  <c r="F211" i="5" a="1"/>
  <c r="I209" i="5" a="1"/>
  <c r="D208" i="5" a="1"/>
  <c r="J207" i="5" a="1"/>
  <c r="F206" i="5" a="1"/>
  <c r="L205" i="5" a="1"/>
  <c r="G204" i="5" a="1"/>
  <c r="F202" i="5" a="1"/>
  <c r="K201" i="5" a="1"/>
  <c r="C476" i="5"/>
  <c r="D432" i="5"/>
  <c r="D390" i="5"/>
  <c r="E364" i="5"/>
  <c r="L338" i="5"/>
  <c r="H329" i="5"/>
  <c r="J327" i="5"/>
  <c r="D322" i="5"/>
  <c r="I319" i="5"/>
  <c r="E314" i="5"/>
  <c r="D308" i="5"/>
  <c r="K303" i="5"/>
  <c r="C300" i="5"/>
  <c r="K293" i="5"/>
  <c r="G290" i="5"/>
  <c r="I284" i="5"/>
  <c r="K277" i="5"/>
  <c r="E276" i="5"/>
  <c r="H225" i="5" a="1"/>
  <c r="I223" i="5" a="1"/>
  <c r="D222" i="5" a="1"/>
  <c r="J221" i="5" a="1"/>
  <c r="E220" i="5" a="1"/>
  <c r="K219" i="5" a="1"/>
  <c r="F218" i="5" a="1"/>
  <c r="L217" i="5" a="1"/>
  <c r="C215" i="5" a="1"/>
  <c r="J214" i="5" a="1"/>
  <c r="E213" i="5" a="1"/>
  <c r="J212" i="5" a="1"/>
  <c r="E211" i="5" a="1"/>
  <c r="L210" i="5" a="1"/>
  <c r="H209" i="5" a="1"/>
  <c r="C208" i="5" a="1"/>
  <c r="I207" i="5" a="1"/>
  <c r="E206" i="5" a="1"/>
  <c r="F204" i="5" a="1"/>
  <c r="L203" i="5" a="1"/>
  <c r="E202" i="5" a="1"/>
  <c r="J201" i="5" a="1"/>
  <c r="F502" i="5"/>
  <c r="L423" i="5"/>
  <c r="C364" i="5"/>
  <c r="C346" i="5"/>
  <c r="D344" i="5"/>
  <c r="L336" i="5"/>
  <c r="I327" i="5"/>
  <c r="J325" i="5"/>
  <c r="C322" i="5"/>
  <c r="C314" i="5"/>
  <c r="J306" i="5"/>
  <c r="E298" i="5"/>
  <c r="I293" i="5"/>
  <c r="E290" i="5"/>
  <c r="E284" i="5"/>
  <c r="J277" i="5"/>
  <c r="D276" i="5"/>
  <c r="F354" i="5"/>
  <c r="G352" i="5"/>
  <c r="G350" i="5"/>
  <c r="C344" i="5"/>
  <c r="C342" i="5"/>
  <c r="L334" i="5"/>
  <c r="I325" i="5"/>
  <c r="K323" i="5"/>
  <c r="L317" i="5"/>
  <c r="L309" i="5"/>
  <c r="H306" i="5"/>
  <c r="K301" i="5"/>
  <c r="C298" i="5"/>
  <c r="H293" i="5"/>
  <c r="D290" i="5"/>
  <c r="F285" i="5"/>
  <c r="I281" i="5"/>
  <c r="L278" i="5"/>
  <c r="H277" i="5"/>
  <c r="C276" i="5"/>
  <c r="F225" i="5" a="1"/>
  <c r="K224" i="5" a="1"/>
  <c r="I219" i="5" a="1"/>
  <c r="D218" i="5" a="1"/>
  <c r="J217" i="5" a="1"/>
  <c r="E216" i="5" a="1"/>
  <c r="K215" i="5" a="1"/>
  <c r="C213" i="5" a="1"/>
  <c r="C211" i="5" a="1"/>
  <c r="J210" i="5" a="1"/>
  <c r="G209" i="5" a="1"/>
  <c r="G207" i="5" a="1"/>
  <c r="D206" i="5" a="1"/>
  <c r="J205" i="5" a="1"/>
  <c r="E204" i="5" a="1"/>
  <c r="J203" i="5" a="1"/>
  <c r="C202" i="5" a="1"/>
  <c r="L437" i="5"/>
  <c r="J403" i="5"/>
  <c r="K361" i="5"/>
  <c r="G356" i="5"/>
  <c r="C354" i="5"/>
  <c r="D352" i="5"/>
  <c r="E350" i="5"/>
  <c r="K334" i="5"/>
  <c r="I323" i="5"/>
  <c r="G320" i="5"/>
  <c r="J317" i="5"/>
  <c r="F312" i="5"/>
  <c r="K309" i="5"/>
  <c r="G306" i="5"/>
  <c r="J301" i="5"/>
  <c r="E296" i="5"/>
  <c r="D285" i="5"/>
  <c r="D281" i="5"/>
  <c r="J278" i="5"/>
  <c r="G277" i="5"/>
  <c r="E225" i="5" a="1"/>
  <c r="J224" i="5" a="1"/>
  <c r="G223" i="5" a="1"/>
  <c r="L222" i="5" a="1"/>
  <c r="H221" i="5" a="1"/>
  <c r="C220" i="5" a="1"/>
  <c r="H219" i="5" a="1"/>
  <c r="C218" i="5" a="1"/>
  <c r="I217" i="5" a="1"/>
  <c r="D216" i="5" a="1"/>
  <c r="J215" i="5" a="1"/>
  <c r="H214" i="5" a="1"/>
  <c r="H212" i="5" a="1"/>
  <c r="I210" i="5" a="1"/>
  <c r="F209" i="5" a="1"/>
  <c r="L208" i="5" a="1"/>
  <c r="F207" i="5" a="1"/>
  <c r="C206" i="5" a="1"/>
  <c r="I205" i="5" a="1"/>
  <c r="D204" i="5" a="1"/>
  <c r="I203" i="5" a="1"/>
  <c r="H201" i="5" a="1"/>
  <c r="D378" i="5"/>
  <c r="G368" i="5"/>
  <c r="I361" i="5"/>
  <c r="F356" i="5"/>
  <c r="H323" i="5"/>
  <c r="E320" i="5"/>
  <c r="I317" i="5"/>
  <c r="J315" i="5"/>
  <c r="D312" i="5"/>
  <c r="H304" i="5"/>
  <c r="C296" i="5"/>
  <c r="L294" i="5"/>
  <c r="K291" i="5"/>
  <c r="H288" i="5"/>
  <c r="C285" i="5"/>
  <c r="I278" i="5"/>
  <c r="F277" i="5"/>
  <c r="D225" i="5" a="1"/>
  <c r="I224" i="5" a="1"/>
  <c r="F223" i="5" a="1"/>
  <c r="K222" i="5" a="1"/>
  <c r="G221" i="5" a="1"/>
  <c r="L220" i="5" a="1"/>
  <c r="G219" i="5" a="1"/>
  <c r="H217" i="5" a="1"/>
  <c r="C216" i="5" a="1"/>
  <c r="G212" i="5" a="1"/>
  <c r="H210" i="5" a="1"/>
  <c r="E209" i="5" a="1"/>
  <c r="K208" i="5" a="1"/>
  <c r="H205" i="5" a="1"/>
  <c r="C204" i="5" a="1"/>
  <c r="H203" i="5" a="1"/>
  <c r="H375" i="5"/>
  <c r="E368" i="5"/>
  <c r="D330" i="5"/>
  <c r="D320" i="5"/>
  <c r="H315" i="5"/>
  <c r="C312" i="5"/>
  <c r="L307" i="5"/>
  <c r="F304" i="5"/>
  <c r="L299" i="5"/>
  <c r="C294" i="5"/>
  <c r="J291" i="5"/>
  <c r="F288" i="5"/>
  <c r="L286" i="5"/>
  <c r="K282" i="5"/>
  <c r="E278" i="5"/>
  <c r="E277" i="5"/>
  <c r="L276" i="5"/>
  <c r="C225" i="5" a="1"/>
  <c r="E223" i="5" a="1"/>
  <c r="J222" i="5" a="1"/>
  <c r="F221" i="5" a="1"/>
  <c r="K220" i="5" a="1"/>
  <c r="F219" i="5" a="1"/>
  <c r="L218" i="5" a="1"/>
  <c r="G217" i="5" a="1"/>
  <c r="I215" i="5" a="1"/>
  <c r="G214" i="5" a="1"/>
  <c r="L213" i="5" a="1"/>
  <c r="F212" i="5" a="1"/>
  <c r="J489" i="5"/>
  <c r="C386" i="5"/>
  <c r="E372" i="5"/>
  <c r="K365" i="5"/>
  <c r="H347" i="5"/>
  <c r="I345" i="5"/>
  <c r="I343" i="5"/>
  <c r="H341" i="5"/>
  <c r="F339" i="5"/>
  <c r="F337" i="5"/>
  <c r="C328" i="5"/>
  <c r="D326" i="5"/>
  <c r="J321" i="5"/>
  <c r="F318" i="5"/>
  <c r="J313" i="5"/>
  <c r="H310" i="5"/>
  <c r="G302" i="5"/>
  <c r="I299" i="5"/>
  <c r="K297" i="5"/>
  <c r="K289" i="5"/>
  <c r="I286" i="5"/>
  <c r="H282" i="5"/>
  <c r="E279" i="5"/>
  <c r="C277" i="5"/>
  <c r="J276" i="5"/>
  <c r="C372" i="5"/>
  <c r="E353" i="5"/>
  <c r="F351" i="5"/>
  <c r="H349" i="5"/>
  <c r="G347" i="5"/>
  <c r="H343" i="5"/>
  <c r="G341" i="5"/>
  <c r="E337" i="5"/>
  <c r="F335" i="5"/>
  <c r="C326" i="5"/>
  <c r="E324" i="5"/>
  <c r="D318" i="5"/>
  <c r="I313" i="5"/>
  <c r="F310" i="5"/>
  <c r="L305" i="5"/>
  <c r="E302" i="5"/>
  <c r="I297" i="5"/>
  <c r="J289" i="5"/>
  <c r="K283" i="5"/>
  <c r="D282" i="5"/>
  <c r="C279" i="5"/>
  <c r="I276" i="5"/>
  <c r="L225" i="5" a="1"/>
  <c r="G224" i="5" a="1"/>
  <c r="G222" i="5" a="1"/>
  <c r="C221" i="5" a="1"/>
  <c r="H220" i="5" a="1"/>
  <c r="J218" i="5" a="1"/>
  <c r="D217" i="5" a="1"/>
  <c r="J216" i="5" a="1"/>
  <c r="G215" i="5" a="1"/>
  <c r="D214" i="5" a="1"/>
  <c r="I213" i="5" a="1"/>
  <c r="C212" i="5" a="1"/>
  <c r="I211" i="5" a="1"/>
  <c r="E210" i="5" a="1"/>
  <c r="L209" i="5" a="1"/>
  <c r="G208" i="5" a="1"/>
  <c r="I206" i="5" a="1"/>
  <c r="D205" i="5" a="1"/>
  <c r="J204" i="5" a="1"/>
  <c r="D203" i="5" a="1"/>
  <c r="I202" i="5" a="1"/>
  <c r="D201" i="5" a="1"/>
  <c r="J345" i="5"/>
  <c r="D328" i="5"/>
  <c r="D223" i="5" a="1"/>
  <c r="F217" i="5" a="1"/>
  <c r="F214" i="5" a="1"/>
  <c r="J211" i="5" a="1"/>
  <c r="F210" i="5" a="1"/>
  <c r="H207" i="5" a="1"/>
  <c r="L202" i="5" a="1"/>
  <c r="F201" i="5" a="1"/>
  <c r="F199" i="5" a="1"/>
  <c r="L198" i="5" a="1"/>
  <c r="G195" i="5" a="1"/>
  <c r="L194" i="5" a="1"/>
  <c r="G193" i="5" a="1"/>
  <c r="G191" i="5" a="1"/>
  <c r="G189" i="5" a="1"/>
  <c r="E188" i="5" a="1"/>
  <c r="K187" i="5" a="1"/>
  <c r="F186" i="5" a="1"/>
  <c r="L185" i="5" a="1"/>
  <c r="F184" i="5" a="1"/>
  <c r="K183" i="5" a="1"/>
  <c r="E182" i="5" a="1"/>
  <c r="J181" i="5" a="1"/>
  <c r="E180" i="5" a="1"/>
  <c r="J179" i="5" a="1"/>
  <c r="D178" i="5" a="1"/>
  <c r="J177" i="5" a="1"/>
  <c r="D176" i="5" a="1"/>
  <c r="I175" i="5" a="1"/>
  <c r="D174" i="5" a="1"/>
  <c r="J173" i="5" a="1"/>
  <c r="D172" i="5" a="1"/>
  <c r="I171" i="5" a="1"/>
  <c r="C170" i="5" a="1"/>
  <c r="I169" i="5" a="1"/>
  <c r="D168" i="5" a="1"/>
  <c r="I167" i="5" a="1"/>
  <c r="D166" i="5" a="1"/>
  <c r="J165" i="5" a="1"/>
  <c r="F164" i="5" a="1"/>
  <c r="L163" i="5" a="1"/>
  <c r="C163" i="5" a="1"/>
  <c r="I162" i="5" a="1"/>
  <c r="F161" i="5" a="1"/>
  <c r="K160" i="5" a="1"/>
  <c r="E159" i="5" a="1"/>
  <c r="I157" i="5" a="1"/>
  <c r="J155" i="5" a="1"/>
  <c r="F154" i="5" a="1"/>
  <c r="K153" i="5" a="1"/>
  <c r="G152" i="5" a="1"/>
  <c r="D151" i="5" a="1"/>
  <c r="I150" i="5" a="1"/>
  <c r="D149" i="5" a="1"/>
  <c r="K148" i="5" a="1"/>
  <c r="I147" i="5" a="1"/>
  <c r="C146" i="5" a="1"/>
  <c r="I145" i="5" a="1"/>
  <c r="G144" i="5" a="1"/>
  <c r="C143" i="5" a="1"/>
  <c r="D141" i="5" a="1"/>
  <c r="J140" i="5" a="1"/>
  <c r="F139" i="5" a="1"/>
  <c r="L138" i="5" a="1"/>
  <c r="C138" i="5" a="1"/>
  <c r="H137" i="5" a="1"/>
  <c r="C136" i="5" a="1"/>
  <c r="J135" i="5" a="1"/>
  <c r="G134" i="5" a="1"/>
  <c r="L133" i="5" a="1"/>
  <c r="H132" i="5" a="1"/>
  <c r="D131" i="5" a="1"/>
  <c r="J130" i="5" a="1"/>
  <c r="G339" i="5"/>
  <c r="J286" i="5"/>
  <c r="C223" i="5" a="1"/>
  <c r="E217" i="5" a="1"/>
  <c r="E214" i="5" a="1"/>
  <c r="D211" i="5" a="1"/>
  <c r="E207" i="5" a="1"/>
  <c r="K202" i="5" a="1"/>
  <c r="E201" i="5" a="1"/>
  <c r="J200" i="5" a="1"/>
  <c r="E199" i="5" a="1"/>
  <c r="K198" i="5" a="1"/>
  <c r="G197" i="5" a="1"/>
  <c r="F195" i="5" a="1"/>
  <c r="K194" i="5" a="1"/>
  <c r="F193" i="5" a="1"/>
  <c r="L192" i="5" a="1"/>
  <c r="F191" i="5" a="1"/>
  <c r="J187" i="5" a="1"/>
  <c r="K185" i="5" a="1"/>
  <c r="E184" i="5" a="1"/>
  <c r="J183" i="5" a="1"/>
  <c r="D182" i="5" a="1"/>
  <c r="I181" i="5" a="1"/>
  <c r="D180" i="5" a="1"/>
  <c r="I179" i="5" a="1"/>
  <c r="C178" i="5" a="1"/>
  <c r="I177" i="5" a="1"/>
  <c r="C176" i="5" a="1"/>
  <c r="H175" i="5" a="1"/>
  <c r="C174" i="5" a="1"/>
  <c r="I173" i="5" a="1"/>
  <c r="C172" i="5" a="1"/>
  <c r="H171" i="5" a="1"/>
  <c r="H169" i="5" a="1"/>
  <c r="C168" i="5" a="1"/>
  <c r="H167" i="5" a="1"/>
  <c r="C166" i="5" a="1"/>
  <c r="E164" i="5" a="1"/>
  <c r="K163" i="5" a="1"/>
  <c r="H162" i="5" a="1"/>
  <c r="E161" i="5" a="1"/>
  <c r="J160" i="5" a="1"/>
  <c r="H157" i="5" a="1"/>
  <c r="D156" i="5" a="1"/>
  <c r="I155" i="5" a="1"/>
  <c r="E154" i="5" a="1"/>
  <c r="J153" i="5" a="1"/>
  <c r="F152" i="5" a="1"/>
  <c r="C151" i="5" a="1"/>
  <c r="H150" i="5" a="1"/>
  <c r="C149" i="5" a="1"/>
  <c r="H147" i="5" a="1"/>
  <c r="H145" i="5" a="1"/>
  <c r="F144" i="5" a="1"/>
  <c r="L143" i="5" a="1"/>
  <c r="H142" i="5" a="1"/>
  <c r="C141" i="5" a="1"/>
  <c r="E139" i="5" a="1"/>
  <c r="G137" i="5" a="1"/>
  <c r="L136" i="5" a="1"/>
  <c r="I135" i="5" a="1"/>
  <c r="F134" i="5" a="1"/>
  <c r="G132" i="5" a="1"/>
  <c r="C131" i="5" a="1"/>
  <c r="I130" i="5" a="1"/>
  <c r="I221" i="5" a="1"/>
  <c r="K218" i="5" a="1"/>
  <c r="D207" i="5" a="1"/>
  <c r="J202" i="5" a="1"/>
  <c r="I200" i="5" a="1"/>
  <c r="D199" i="5" a="1"/>
  <c r="J198" i="5" a="1"/>
  <c r="F197" i="5" a="1"/>
  <c r="L196" i="5" a="1"/>
  <c r="E195" i="5" a="1"/>
  <c r="J194" i="5" a="1"/>
  <c r="K192" i="5" a="1"/>
  <c r="E191" i="5" a="1"/>
  <c r="L190" i="5" a="1"/>
  <c r="F189" i="5" a="1"/>
  <c r="L188" i="5" a="1"/>
  <c r="D188" i="5" a="1"/>
  <c r="I187" i="5" a="1"/>
  <c r="E186" i="5" a="1"/>
  <c r="J185" i="5" a="1"/>
  <c r="D184" i="5" a="1"/>
  <c r="I183" i="5" a="1"/>
  <c r="C182" i="5" a="1"/>
  <c r="H181" i="5" a="1"/>
  <c r="C180" i="5" a="1"/>
  <c r="H179" i="5" a="1"/>
  <c r="H177" i="5" a="1"/>
  <c r="H173" i="5" a="1"/>
  <c r="G171" i="5" a="1"/>
  <c r="L170" i="5" a="1"/>
  <c r="G169" i="5" a="1"/>
  <c r="G167" i="5" a="1"/>
  <c r="I165" i="5" a="1"/>
  <c r="J163" i="5" a="1"/>
  <c r="D161" i="5" a="1"/>
  <c r="D159" i="5" a="1"/>
  <c r="L158" i="5" a="1"/>
  <c r="G157" i="5" a="1"/>
  <c r="C156" i="5" a="1"/>
  <c r="H155" i="5" a="1"/>
  <c r="D154" i="5" a="1"/>
  <c r="I153" i="5" a="1"/>
  <c r="E152" i="5" a="1"/>
  <c r="G150" i="5" a="1"/>
  <c r="J148" i="5" a="1"/>
  <c r="G147" i="5" a="1"/>
  <c r="E144" i="5" a="1"/>
  <c r="K143" i="5" a="1"/>
  <c r="G142" i="5" a="1"/>
  <c r="I140" i="5" a="1"/>
  <c r="D139" i="5" a="1"/>
  <c r="K138" i="5" a="1"/>
  <c r="F137" i="5" a="1"/>
  <c r="E134" i="5" a="1"/>
  <c r="K133" i="5" a="1"/>
  <c r="F132" i="5" a="1"/>
  <c r="L131" i="5" a="1"/>
  <c r="H130" i="5" a="1"/>
  <c r="C330" i="5"/>
  <c r="L224" i="5" a="1"/>
  <c r="E221" i="5" a="1"/>
  <c r="I212" i="5" a="1"/>
  <c r="J208" i="5" a="1"/>
  <c r="C207" i="5" a="1"/>
  <c r="K203" i="5" a="1"/>
  <c r="D202" i="5" a="1"/>
  <c r="H200" i="5" a="1"/>
  <c r="C199" i="5" a="1"/>
  <c r="I198" i="5" a="1"/>
  <c r="K196" i="5" a="1"/>
  <c r="D195" i="5" a="1"/>
  <c r="I194" i="5" a="1"/>
  <c r="E193" i="5" a="1"/>
  <c r="J192" i="5" a="1"/>
  <c r="D191" i="5" a="1"/>
  <c r="K190" i="5" a="1"/>
  <c r="E189" i="5" a="1"/>
  <c r="K188" i="5" a="1"/>
  <c r="C188" i="5" a="1"/>
  <c r="H187" i="5" a="1"/>
  <c r="D186" i="5" a="1"/>
  <c r="I185" i="5" a="1"/>
  <c r="C184" i="5" a="1"/>
  <c r="H183" i="5" a="1"/>
  <c r="G181" i="5" a="1"/>
  <c r="G179" i="5" a="1"/>
  <c r="L178" i="5" a="1"/>
  <c r="G177" i="5" a="1"/>
  <c r="G175" i="5" a="1"/>
  <c r="L174" i="5" a="1"/>
  <c r="G173" i="5" a="1"/>
  <c r="F171" i="5" a="1"/>
  <c r="K170" i="5" a="1"/>
  <c r="L168" i="5" a="1"/>
  <c r="F167" i="5" a="1"/>
  <c r="L166" i="5" a="1"/>
  <c r="H165" i="5" a="1"/>
  <c r="D164" i="5" a="1"/>
  <c r="G162" i="5" a="1"/>
  <c r="C161" i="5" a="1"/>
  <c r="I160" i="5" a="1"/>
  <c r="K158" i="5" a="1"/>
  <c r="F157" i="5" a="1"/>
  <c r="G155" i="5" a="1"/>
  <c r="C154" i="5" a="1"/>
  <c r="H153" i="5" a="1"/>
  <c r="L151" i="5" a="1"/>
  <c r="F150" i="5" a="1"/>
  <c r="I148" i="5" a="1"/>
  <c r="F147" i="5" a="1"/>
  <c r="L146" i="5" a="1"/>
  <c r="G145" i="5" a="1"/>
  <c r="J143" i="5" a="1"/>
  <c r="F142" i="5" a="1"/>
  <c r="L141" i="5" a="1"/>
  <c r="H140" i="5" a="1"/>
  <c r="C139" i="5" a="1"/>
  <c r="J138" i="5" a="1"/>
  <c r="E137" i="5" a="1"/>
  <c r="K136" i="5" a="1"/>
  <c r="H135" i="5" a="1"/>
  <c r="D134" i="5" a="1"/>
  <c r="J133" i="5" a="1"/>
  <c r="G130" i="5" a="1"/>
  <c r="G442" i="5"/>
  <c r="E288" i="5"/>
  <c r="H224" i="5" a="1"/>
  <c r="D221" i="5" a="1"/>
  <c r="E218" i="5" a="1"/>
  <c r="L215" i="5" a="1"/>
  <c r="E212" i="5" a="1"/>
  <c r="I208" i="5" a="1"/>
  <c r="G203" i="5" a="1"/>
  <c r="G200" i="5" a="1"/>
  <c r="H198" i="5" a="1"/>
  <c r="E197" i="5" a="1"/>
  <c r="J196" i="5" a="1"/>
  <c r="C195" i="5" a="1"/>
  <c r="H194" i="5" a="1"/>
  <c r="D193" i="5" a="1"/>
  <c r="I192" i="5" a="1"/>
  <c r="C191" i="5" a="1"/>
  <c r="J190" i="5" a="1"/>
  <c r="J188" i="5" a="1"/>
  <c r="G187" i="5" a="1"/>
  <c r="C186" i="5" a="1"/>
  <c r="H185" i="5" a="1"/>
  <c r="G183" i="5" a="1"/>
  <c r="L182" i="5" a="1"/>
  <c r="F181" i="5" a="1"/>
  <c r="L180" i="5" a="1"/>
  <c r="F179" i="5" a="1"/>
  <c r="K178" i="5" a="1"/>
  <c r="L176" i="5" a="1"/>
  <c r="F175" i="5" a="1"/>
  <c r="K174" i="5" a="1"/>
  <c r="F173" i="5" a="1"/>
  <c r="L172" i="5" a="1"/>
  <c r="E171" i="5" a="1"/>
  <c r="J170" i="5" a="1"/>
  <c r="F169" i="5" a="1"/>
  <c r="K168" i="5" a="1"/>
  <c r="E167" i="5" a="1"/>
  <c r="K166" i="5" a="1"/>
  <c r="G165" i="5" a="1"/>
  <c r="C164" i="5" a="1"/>
  <c r="I163" i="5" a="1"/>
  <c r="F162" i="5" a="1"/>
  <c r="L161" i="5" a="1"/>
  <c r="H160" i="5" a="1"/>
  <c r="C159" i="5" a="1"/>
  <c r="J158" i="5" a="1"/>
  <c r="E157" i="5" a="1"/>
  <c r="L156" i="5" a="1"/>
  <c r="F155" i="5" a="1"/>
  <c r="L154" i="5" a="1"/>
  <c r="G153" i="5" a="1"/>
  <c r="D152" i="5" a="1"/>
  <c r="K151" i="5" a="1"/>
  <c r="E150" i="5" a="1"/>
  <c r="L149" i="5" a="1"/>
  <c r="H148" i="5" a="1"/>
  <c r="E147" i="5" a="1"/>
  <c r="K146" i="5" a="1"/>
  <c r="F145" i="5" a="1"/>
  <c r="L144" i="5" a="1"/>
  <c r="D144" i="5" a="1"/>
  <c r="E142" i="5" a="1"/>
  <c r="K141" i="5" a="1"/>
  <c r="G140" i="5" a="1"/>
  <c r="L139" i="5" a="1"/>
  <c r="I138" i="5" a="1"/>
  <c r="D137" i="5" a="1"/>
  <c r="J136" i="5" a="1"/>
  <c r="G135" i="5" a="1"/>
  <c r="C134" i="5" a="1"/>
  <c r="I133" i="5" a="1"/>
  <c r="E132" i="5" a="1"/>
  <c r="K131" i="5" a="1"/>
  <c r="F130" i="5" a="1"/>
  <c r="L313" i="5"/>
  <c r="D277" i="5"/>
  <c r="D212" i="5" a="1"/>
  <c r="H208" i="5" a="1"/>
  <c r="L204" i="5" a="1"/>
  <c r="F203" i="5" a="1"/>
  <c r="F200" i="5" a="1"/>
  <c r="D197" i="5" a="1"/>
  <c r="I196" i="5" a="1"/>
  <c r="G194" i="5" a="1"/>
  <c r="C193" i="5" a="1"/>
  <c r="H192" i="5" a="1"/>
  <c r="I190" i="5" a="1"/>
  <c r="D189" i="5" a="1"/>
  <c r="I188" i="5" a="1"/>
  <c r="F187" i="5" a="1"/>
  <c r="L186" i="5" a="1"/>
  <c r="G185" i="5" a="1"/>
  <c r="L184" i="5" a="1"/>
  <c r="F183" i="5" a="1"/>
  <c r="E181" i="5" a="1"/>
  <c r="K180" i="5" a="1"/>
  <c r="E179" i="5" a="1"/>
  <c r="J178" i="5" a="1"/>
  <c r="F177" i="5" a="1"/>
  <c r="K176" i="5" a="1"/>
  <c r="E175" i="5" a="1"/>
  <c r="J174" i="5" a="1"/>
  <c r="E173" i="5" a="1"/>
  <c r="K172" i="5" a="1"/>
  <c r="D171" i="5" a="1"/>
  <c r="I170" i="5" a="1"/>
  <c r="E169" i="5" a="1"/>
  <c r="J168" i="5" a="1"/>
  <c r="D167" i="5" a="1"/>
  <c r="F165" i="5" a="1"/>
  <c r="H163" i="5" a="1"/>
  <c r="E162" i="5" a="1"/>
  <c r="K161" i="5" a="1"/>
  <c r="G160" i="5" a="1"/>
  <c r="L159" i="5" a="1"/>
  <c r="I158" i="5" a="1"/>
  <c r="K156" i="5" a="1"/>
  <c r="E155" i="5" a="1"/>
  <c r="K154" i="5" a="1"/>
  <c r="F153" i="5" a="1"/>
  <c r="C152" i="5" a="1"/>
  <c r="J151" i="5" a="1"/>
  <c r="D150" i="5" a="1"/>
  <c r="K149" i="5" a="1"/>
  <c r="G148" i="5" a="1"/>
  <c r="D147" i="5" a="1"/>
  <c r="J146" i="5" a="1"/>
  <c r="E145" i="5" a="1"/>
  <c r="C144" i="5" a="1"/>
  <c r="I143" i="5" a="1"/>
  <c r="J141" i="5" a="1"/>
  <c r="F140" i="5" a="1"/>
  <c r="H138" i="5" a="1"/>
  <c r="C137" i="5" a="1"/>
  <c r="I136" i="5" a="1"/>
  <c r="H133" i="5" a="1"/>
  <c r="D132" i="5" a="1"/>
  <c r="J131" i="5" a="1"/>
  <c r="C394" i="5"/>
  <c r="K321" i="5"/>
  <c r="J299" i="5"/>
  <c r="C224" i="5" a="1"/>
  <c r="I222" i="5" a="1"/>
  <c r="J219" i="5" a="1"/>
  <c r="H215" i="5" a="1"/>
  <c r="K204" i="5" a="1"/>
  <c r="E203" i="5" a="1"/>
  <c r="L199" i="5" a="1"/>
  <c r="G198" i="5" a="1"/>
  <c r="C197" i="5" a="1"/>
  <c r="H196" i="5" a="1"/>
  <c r="F194" i="5" a="1"/>
  <c r="L193" i="5" a="1"/>
  <c r="G192" i="5" a="1"/>
  <c r="L191" i="5" a="1"/>
  <c r="H190" i="5" a="1"/>
  <c r="C189" i="5" a="1"/>
  <c r="E187" i="5" a="1"/>
  <c r="F185" i="5" a="1"/>
  <c r="E183" i="5" a="1"/>
  <c r="K182" i="5" a="1"/>
  <c r="D181" i="5" a="1"/>
  <c r="J180" i="5" a="1"/>
  <c r="D179" i="5" a="1"/>
  <c r="I178" i="5" a="1"/>
  <c r="E177" i="5" a="1"/>
  <c r="J176" i="5" a="1"/>
  <c r="D175" i="5" a="1"/>
  <c r="I174" i="5" a="1"/>
  <c r="D173" i="5" a="1"/>
  <c r="J172" i="5" a="1"/>
  <c r="C171" i="5" a="1"/>
  <c r="H170" i="5" a="1"/>
  <c r="D169" i="5" a="1"/>
  <c r="I168" i="5" a="1"/>
  <c r="C167" i="5" a="1"/>
  <c r="J166" i="5" a="1"/>
  <c r="E165" i="5" a="1"/>
  <c r="L164" i="5" a="1"/>
  <c r="F160" i="5" a="1"/>
  <c r="K159" i="5" a="1"/>
  <c r="H158" i="5" a="1"/>
  <c r="D157" i="5" a="1"/>
  <c r="J156" i="5" a="1"/>
  <c r="D155" i="5" a="1"/>
  <c r="J154" i="5" a="1"/>
  <c r="E153" i="5" a="1"/>
  <c r="L152" i="5" a="1"/>
  <c r="J149" i="5" a="1"/>
  <c r="F148" i="5" a="1"/>
  <c r="I146" i="5" a="1"/>
  <c r="D145" i="5" a="1"/>
  <c r="K144" i="5" a="1"/>
  <c r="H143" i="5" a="1"/>
  <c r="D142" i="5" a="1"/>
  <c r="I141" i="5" a="1"/>
  <c r="E140" i="5" a="1"/>
  <c r="K139" i="5" a="1"/>
  <c r="H136" i="5" a="1"/>
  <c r="F135" i="5" a="1"/>
  <c r="L134" i="5" a="1"/>
  <c r="G133" i="5" a="1"/>
  <c r="C132" i="5" a="1"/>
  <c r="I131" i="5" a="1"/>
  <c r="E130" i="5" a="1"/>
  <c r="K307" i="5"/>
  <c r="I282" i="5"/>
  <c r="H222" i="5" a="1"/>
  <c r="E219" i="5" a="1"/>
  <c r="L216" i="5" a="1"/>
  <c r="K213" i="5" a="1"/>
  <c r="E200" i="5" a="1"/>
  <c r="K199" i="5" a="1"/>
  <c r="F198" i="5" a="1"/>
  <c r="L197" i="5" a="1"/>
  <c r="G196" i="5" a="1"/>
  <c r="L195" i="5" a="1"/>
  <c r="E194" i="5" a="1"/>
  <c r="K193" i="5" a="1"/>
  <c r="F192" i="5" a="1"/>
  <c r="K191" i="5" a="1"/>
  <c r="G190" i="5" a="1"/>
  <c r="L189" i="5" a="1"/>
  <c r="H188" i="5" a="1"/>
  <c r="K186" i="5" a="1"/>
  <c r="E185" i="5" a="1"/>
  <c r="K184" i="5" a="1"/>
  <c r="D183" i="5" a="1"/>
  <c r="J182" i="5" a="1"/>
  <c r="C181" i="5" a="1"/>
  <c r="I180" i="5" a="1"/>
  <c r="C179" i="5" a="1"/>
  <c r="H178" i="5" a="1"/>
  <c r="D177" i="5" a="1"/>
  <c r="I176" i="5" a="1"/>
  <c r="C175" i="5" a="1"/>
  <c r="H174" i="5" a="1"/>
  <c r="I172" i="5" a="1"/>
  <c r="G170" i="5" a="1"/>
  <c r="C169" i="5" a="1"/>
  <c r="H168" i="5" a="1"/>
  <c r="I166" i="5" a="1"/>
  <c r="K164" i="5" a="1"/>
  <c r="G163" i="5" a="1"/>
  <c r="D162" i="5" a="1"/>
  <c r="J161" i="5" a="1"/>
  <c r="E160" i="5" a="1"/>
  <c r="J159" i="5" a="1"/>
  <c r="G158" i="5" a="1"/>
  <c r="I156" i="5" a="1"/>
  <c r="C155" i="5" a="1"/>
  <c r="D153" i="5" a="1"/>
  <c r="G315" i="5"/>
  <c r="E304" i="5"/>
  <c r="J279" i="5"/>
  <c r="C222" i="5" a="1"/>
  <c r="D219" i="5" a="1"/>
  <c r="K216" i="5" a="1"/>
  <c r="J213" i="5" a="1"/>
  <c r="D209" i="5" a="1"/>
  <c r="K205" i="5" a="1"/>
  <c r="D200" i="5" a="1"/>
  <c r="J199" i="5" a="1"/>
  <c r="E198" i="5" a="1"/>
  <c r="K197" i="5" a="1"/>
  <c r="F196" i="5" a="1"/>
  <c r="K195" i="5" a="1"/>
  <c r="J193" i="5" a="1"/>
  <c r="E192" i="5" a="1"/>
  <c r="J191" i="5" a="1"/>
  <c r="F190" i="5" a="1"/>
  <c r="K189" i="5" a="1"/>
  <c r="G188" i="5" a="1"/>
  <c r="D187" i="5" a="1"/>
  <c r="J186" i="5" a="1"/>
  <c r="D185" i="5" a="1"/>
  <c r="J184" i="5" a="1"/>
  <c r="C183" i="5" a="1"/>
  <c r="I182" i="5" a="1"/>
  <c r="H180" i="5" a="1"/>
  <c r="G178" i="5" a="1"/>
  <c r="C177" i="5" a="1"/>
  <c r="H176" i="5" a="1"/>
  <c r="G174" i="5" a="1"/>
  <c r="C173" i="5" a="1"/>
  <c r="H172" i="5" a="1"/>
  <c r="L169" i="5" a="1"/>
  <c r="G168" i="5" a="1"/>
  <c r="H166" i="5" a="1"/>
  <c r="D165" i="5" a="1"/>
  <c r="J164" i="5" a="1"/>
  <c r="F163" i="5" a="1"/>
  <c r="L162" i="5" a="1"/>
  <c r="C162" i="5" a="1"/>
  <c r="I161" i="5" a="1"/>
  <c r="D160" i="5" a="1"/>
  <c r="I159" i="5" a="1"/>
  <c r="F158" i="5" a="1"/>
  <c r="C157" i="5" a="1"/>
  <c r="H156" i="5" a="1"/>
  <c r="I154" i="5" a="1"/>
  <c r="C153" i="5" a="1"/>
  <c r="J152" i="5" a="1"/>
  <c r="H151" i="5" a="1"/>
  <c r="H149" i="5" a="1"/>
  <c r="D148" i="5" a="1"/>
  <c r="K147" i="5" a="1"/>
  <c r="G146" i="5" a="1"/>
  <c r="G143" i="5" a="1"/>
  <c r="L142" i="5" a="1"/>
  <c r="G141" i="5" a="1"/>
  <c r="C140" i="5" a="1"/>
  <c r="I139" i="5" a="1"/>
  <c r="F138" i="5" a="1"/>
  <c r="L137" i="5" a="1"/>
  <c r="G136" i="5" a="1"/>
  <c r="D135" i="5" a="1"/>
  <c r="K134" i="5" a="1"/>
  <c r="F133" i="5" a="1"/>
  <c r="K132" i="5" a="1"/>
  <c r="G131" i="5" a="1"/>
  <c r="C130" i="5" a="1"/>
  <c r="K276" i="5"/>
  <c r="I220" i="5" a="1"/>
  <c r="L211" i="5" a="1"/>
  <c r="K206" i="5" a="1"/>
  <c r="F205" i="5" a="1"/>
  <c r="I201" i="5" a="1"/>
  <c r="L200" i="5" a="1"/>
  <c r="H199" i="5" a="1"/>
  <c r="D198" i="5" a="1"/>
  <c r="I197" i="5" a="1"/>
  <c r="D196" i="5" a="1"/>
  <c r="I195" i="5" a="1"/>
  <c r="C194" i="5" a="1"/>
  <c r="C192" i="5" a="1"/>
  <c r="H191" i="5" a="1"/>
  <c r="D190" i="5" a="1"/>
  <c r="I189" i="5" a="1"/>
  <c r="F188" i="5" a="1"/>
  <c r="H186" i="5" a="1"/>
  <c r="H184" i="5" a="1"/>
  <c r="G182" i="5" a="1"/>
  <c r="L181" i="5" a="1"/>
  <c r="F180" i="5" a="1"/>
  <c r="L179" i="5" a="1"/>
  <c r="K177" i="5" a="1"/>
  <c r="F176" i="5" a="1"/>
  <c r="K175" i="5" a="1"/>
  <c r="F174" i="5" a="1"/>
  <c r="L173" i="5" a="1"/>
  <c r="F172" i="5" a="1"/>
  <c r="K171" i="5" a="1"/>
  <c r="E170" i="5" a="1"/>
  <c r="J169" i="5" a="1"/>
  <c r="K167" i="5" a="1"/>
  <c r="F166" i="5" a="1"/>
  <c r="L165" i="5" a="1"/>
  <c r="C165" i="5" a="1"/>
  <c r="H164" i="5" a="1"/>
  <c r="J162" i="5" a="1"/>
  <c r="G159" i="5" a="1"/>
  <c r="D158" i="5" a="1"/>
  <c r="K157" i="5" a="1"/>
  <c r="F156" i="5" a="1"/>
  <c r="L155" i="5" a="1"/>
  <c r="I152" i="5" a="1"/>
  <c r="F151" i="5" a="1"/>
  <c r="K150" i="5" a="1"/>
  <c r="F149" i="5" a="1"/>
  <c r="C148" i="5" a="1"/>
  <c r="J147" i="5" a="1"/>
  <c r="E146" i="5" a="1"/>
  <c r="K145" i="5" a="1"/>
  <c r="H144" i="5" a="1"/>
  <c r="E143" i="5" a="1"/>
  <c r="J142" i="5" a="1"/>
  <c r="E141" i="5" a="1"/>
  <c r="L140" i="5" a="1"/>
  <c r="D138" i="5" a="1"/>
  <c r="J137" i="5" a="1"/>
  <c r="E136" i="5" a="1"/>
  <c r="I134" i="5" a="1"/>
  <c r="D133" i="5" a="1"/>
  <c r="I132" i="5" a="1"/>
  <c r="L130" i="5" a="1"/>
  <c r="C375" i="5"/>
  <c r="H223" i="5" a="1"/>
  <c r="D220" i="5" a="1"/>
  <c r="K217" i="5" a="1"/>
  <c r="I214" i="5" a="1"/>
  <c r="K211" i="5" a="1"/>
  <c r="G210" i="5" a="1"/>
  <c r="J206" i="5" a="1"/>
  <c r="E205" i="5" a="1"/>
  <c r="G201" i="5" a="1"/>
  <c r="K200" i="5" a="1"/>
  <c r="G199" i="5" a="1"/>
  <c r="C198" i="5" a="1"/>
  <c r="H197" i="5" a="1"/>
  <c r="C196" i="5" a="1"/>
  <c r="H195" i="5" a="1"/>
  <c r="H193" i="5" a="1"/>
  <c r="C190" i="5" a="1"/>
  <c r="H189" i="5" a="1"/>
  <c r="L187" i="5" a="1"/>
  <c r="G186" i="5" a="1"/>
  <c r="G184" i="5" a="1"/>
  <c r="L183" i="5" a="1"/>
  <c r="F182" i="5" a="1"/>
  <c r="K181" i="5" a="1"/>
  <c r="K179" i="5" a="1"/>
  <c r="E178" i="5" a="1"/>
  <c r="E176" i="5" a="1"/>
  <c r="J175" i="5" a="1"/>
  <c r="E174" i="5" a="1"/>
  <c r="K173" i="5" a="1"/>
  <c r="E172" i="5" a="1"/>
  <c r="J171" i="5" a="1"/>
  <c r="D170" i="5" a="1"/>
  <c r="E168" i="5" a="1"/>
  <c r="J167" i="5" a="1"/>
  <c r="E166" i="5" a="1"/>
  <c r="K165" i="5" a="1"/>
  <c r="G164" i="5" a="1"/>
  <c r="D163" i="5" a="1"/>
  <c r="G161" i="5" a="1"/>
  <c r="L160" i="5" a="1"/>
  <c r="F159" i="5" a="1"/>
  <c r="C158" i="5" a="1"/>
  <c r="J157" i="5" a="1"/>
  <c r="E156" i="5" a="1"/>
  <c r="K155" i="5" a="1"/>
  <c r="G154" i="5" a="1"/>
  <c r="L153" i="5" a="1"/>
  <c r="L206" i="5" a="1"/>
  <c r="J189" i="5" a="1"/>
  <c r="L177" i="5" a="1"/>
  <c r="F170" i="5" a="1"/>
  <c r="G149" i="5" a="1"/>
  <c r="F146" i="5" a="1"/>
  <c r="F143" i="5" a="1"/>
  <c r="L135" i="5" a="1"/>
  <c r="J132" i="5" a="1"/>
  <c r="G128" i="5" a="1"/>
  <c r="C125" i="5" a="1"/>
  <c r="H124" i="5" a="1"/>
  <c r="G122" i="5" a="1"/>
  <c r="H120" i="5" a="1"/>
  <c r="F118" i="5" a="1"/>
  <c r="K117" i="5" a="1"/>
  <c r="F116" i="5" a="1"/>
  <c r="C115" i="5" a="1"/>
  <c r="I114" i="5" a="1"/>
  <c r="K112" i="5" a="1"/>
  <c r="F111" i="5" a="1"/>
  <c r="L108" i="5" a="1"/>
  <c r="G107" i="5" a="1"/>
  <c r="L106" i="5" a="1"/>
  <c r="G105" i="5" a="1"/>
  <c r="L104" i="5" a="1"/>
  <c r="G103" i="5" a="1"/>
  <c r="C100" i="5" a="1"/>
  <c r="I99" i="5" a="1"/>
  <c r="E98" i="5" a="1"/>
  <c r="K97" i="5" a="1"/>
  <c r="E96" i="5" a="1"/>
  <c r="J95" i="5" a="1"/>
  <c r="C94" i="5" a="1"/>
  <c r="J93" i="5" a="1"/>
  <c r="E91" i="5" a="1"/>
  <c r="J90" i="5" a="1"/>
  <c r="H89" i="5" a="1"/>
  <c r="D87" i="5" a="1"/>
  <c r="I86" i="5" a="1"/>
  <c r="F84" i="5" a="1"/>
  <c r="J83" i="5" a="1"/>
  <c r="C82" i="5" a="1"/>
  <c r="H81" i="5" a="1"/>
  <c r="L80" i="5" a="1"/>
  <c r="E79" i="5" a="1"/>
  <c r="I78" i="5" a="1"/>
  <c r="L77" i="5" a="1"/>
  <c r="G76" i="5" a="1"/>
  <c r="K75" i="5" a="1"/>
  <c r="I73" i="5" a="1"/>
  <c r="L72" i="5" a="1"/>
  <c r="F71" i="5" a="1"/>
  <c r="K70" i="5" a="1"/>
  <c r="E69" i="5" a="1"/>
  <c r="I68" i="5" a="1"/>
  <c r="C67" i="5" a="1"/>
  <c r="G66" i="5" a="1"/>
  <c r="G64" i="5" a="1"/>
  <c r="L63" i="5" a="1"/>
  <c r="E62" i="5" a="1"/>
  <c r="H61" i="5" a="1"/>
  <c r="E59" i="5" a="1"/>
  <c r="C57" i="5" a="1"/>
  <c r="G56" i="5" a="1"/>
  <c r="K55" i="5" a="1"/>
  <c r="E54" i="5" a="1"/>
  <c r="H53" i="5" a="1"/>
  <c r="K52" i="5" a="1"/>
  <c r="C51" i="5" a="1"/>
  <c r="G50" i="5" a="1"/>
  <c r="J49" i="5" a="1"/>
  <c r="I191" i="5" a="1"/>
  <c r="G172" i="5" a="1"/>
  <c r="E163" i="5" a="1"/>
  <c r="G156" i="5" a="1"/>
  <c r="E149" i="5" a="1"/>
  <c r="L147" i="5" a="1"/>
  <c r="D146" i="5" a="1"/>
  <c r="D143" i="5" a="1"/>
  <c r="K135" i="5" a="1"/>
  <c r="K129" i="5" a="1"/>
  <c r="F128" i="5" a="1"/>
  <c r="L127" i="5" a="1"/>
  <c r="F126" i="5" a="1"/>
  <c r="L125" i="5" a="1"/>
  <c r="G124" i="5" a="1"/>
  <c r="F122" i="5" a="1"/>
  <c r="L121" i="5" a="1"/>
  <c r="G120" i="5" a="1"/>
  <c r="L119" i="5" a="1"/>
  <c r="E118" i="5" a="1"/>
  <c r="J117" i="5" a="1"/>
  <c r="E116" i="5" a="1"/>
  <c r="L115" i="5" a="1"/>
  <c r="H114" i="5" a="1"/>
  <c r="D113" i="5" a="1"/>
  <c r="J112" i="5" a="1"/>
  <c r="E111" i="5" a="1"/>
  <c r="K110" i="5" a="1"/>
  <c r="F109" i="5" a="1"/>
  <c r="K108" i="5" a="1"/>
  <c r="F107" i="5" a="1"/>
  <c r="K106" i="5" a="1"/>
  <c r="F105" i="5" a="1"/>
  <c r="K104" i="5" a="1"/>
  <c r="F103" i="5" a="1"/>
  <c r="L102" i="5" a="1"/>
  <c r="H101" i="5" a="1"/>
  <c r="H99" i="5" a="1"/>
  <c r="J97" i="5" a="1"/>
  <c r="D96" i="5" a="1"/>
  <c r="I95" i="5" a="1"/>
  <c r="I93" i="5" a="1"/>
  <c r="G92" i="5" a="1"/>
  <c r="L91" i="5" a="1"/>
  <c r="D91" i="5" a="1"/>
  <c r="G89" i="5" a="1"/>
  <c r="L88" i="5" a="1"/>
  <c r="H86" i="5" a="1"/>
  <c r="L85" i="5" a="1"/>
  <c r="I83" i="5" a="1"/>
  <c r="G81" i="5" a="1"/>
  <c r="K80" i="5" a="1"/>
  <c r="D79" i="5" a="1"/>
  <c r="H78" i="5" a="1"/>
  <c r="K77" i="5" a="1"/>
  <c r="F76" i="5" a="1"/>
  <c r="J75" i="5" a="1"/>
  <c r="E74" i="5" a="1"/>
  <c r="H73" i="5" a="1"/>
  <c r="E71" i="5" a="1"/>
  <c r="D69" i="5" a="1"/>
  <c r="H68" i="5" a="1"/>
  <c r="L67" i="5" a="1"/>
  <c r="F66" i="5" a="1"/>
  <c r="J65" i="5" a="1"/>
  <c r="F64" i="5" a="1"/>
  <c r="K63" i="5" a="1"/>
  <c r="D62" i="5" a="1"/>
  <c r="G61" i="5" a="1"/>
  <c r="L60" i="5" a="1"/>
  <c r="D59" i="5" a="1"/>
  <c r="H58" i="5" a="1"/>
  <c r="L57" i="5" a="1"/>
  <c r="F56" i="5" a="1"/>
  <c r="D54" i="5" a="1"/>
  <c r="G53" i="5" a="1"/>
  <c r="J52" i="5" a="1"/>
  <c r="F50" i="5" a="1"/>
  <c r="I49" i="5" a="1"/>
  <c r="G225" i="5" a="1"/>
  <c r="C200" i="5" a="1"/>
  <c r="I193" i="5" a="1"/>
  <c r="I184" i="5" a="1"/>
  <c r="L150" i="5" a="1"/>
  <c r="J144" i="5" a="1"/>
  <c r="G138" i="5" a="1"/>
  <c r="E135" i="5" a="1"/>
  <c r="K130" i="5" a="1"/>
  <c r="J129" i="5" a="1"/>
  <c r="K127" i="5" a="1"/>
  <c r="E126" i="5" a="1"/>
  <c r="L123" i="5" a="1"/>
  <c r="E122" i="5" a="1"/>
  <c r="K121" i="5" a="1"/>
  <c r="F120" i="5" a="1"/>
  <c r="K119" i="5" a="1"/>
  <c r="D118" i="5" a="1"/>
  <c r="I117" i="5" a="1"/>
  <c r="D116" i="5" a="1"/>
  <c r="G114" i="5" a="1"/>
  <c r="L113" i="5" a="1"/>
  <c r="C113" i="5" a="1"/>
  <c r="I112" i="5" a="1"/>
  <c r="D111" i="5" a="1"/>
  <c r="J110" i="5" a="1"/>
  <c r="E109" i="5" a="1"/>
  <c r="E107" i="5" a="1"/>
  <c r="J106" i="5" a="1"/>
  <c r="E105" i="5" a="1"/>
  <c r="J104" i="5" a="1"/>
  <c r="E103" i="5" a="1"/>
  <c r="K102" i="5" a="1"/>
  <c r="D98" i="5" a="1"/>
  <c r="I97" i="5" a="1"/>
  <c r="C96" i="5" a="1"/>
  <c r="H95" i="5" a="1"/>
  <c r="H93" i="5" a="1"/>
  <c r="F92" i="5" a="1"/>
  <c r="C91" i="5" a="1"/>
  <c r="I90" i="5" a="1"/>
  <c r="F89" i="5" a="1"/>
  <c r="K88" i="5" a="1"/>
  <c r="C87" i="5" a="1"/>
  <c r="G86" i="5" a="1"/>
  <c r="K85" i="5" a="1"/>
  <c r="E84" i="5" a="1"/>
  <c r="H83" i="5" a="1"/>
  <c r="J80" i="5" a="1"/>
  <c r="C79" i="5" a="1"/>
  <c r="G78" i="5" a="1"/>
  <c r="J77" i="5" a="1"/>
  <c r="E76" i="5" a="1"/>
  <c r="I75" i="5" a="1"/>
  <c r="D74" i="5" a="1"/>
  <c r="G73" i="5" a="1"/>
  <c r="K72" i="5" a="1"/>
  <c r="J70" i="5" a="1"/>
  <c r="G68" i="5" a="1"/>
  <c r="E66" i="5" a="1"/>
  <c r="I65" i="5" a="1"/>
  <c r="E64" i="5" a="1"/>
  <c r="J63" i="5" a="1"/>
  <c r="C62" i="5" a="1"/>
  <c r="F61" i="5" a="1"/>
  <c r="K60" i="5" a="1"/>
  <c r="C59" i="5" a="1"/>
  <c r="G58" i="5" a="1"/>
  <c r="K57" i="5" a="1"/>
  <c r="E56" i="5" a="1"/>
  <c r="J55" i="5" a="1"/>
  <c r="C54" i="5" a="1"/>
  <c r="F53" i="5" a="1"/>
  <c r="I52" i="5" a="1"/>
  <c r="E50" i="5" a="1"/>
  <c r="H49" i="5" a="1"/>
  <c r="E158" i="5" a="1"/>
  <c r="J150" i="5" a="1"/>
  <c r="I144" i="5" a="1"/>
  <c r="H141" i="5" a="1"/>
  <c r="E138" i="5" a="1"/>
  <c r="C135" i="5" a="1"/>
  <c r="D130" i="5" a="1"/>
  <c r="I129" i="5" a="1"/>
  <c r="E128" i="5" a="1"/>
  <c r="J127" i="5" a="1"/>
  <c r="D126" i="5" a="1"/>
  <c r="K125" i="5" a="1"/>
  <c r="F124" i="5" a="1"/>
  <c r="K123" i="5" a="1"/>
  <c r="J121" i="5" a="1"/>
  <c r="E120" i="5" a="1"/>
  <c r="J119" i="5" a="1"/>
  <c r="C118" i="5" a="1"/>
  <c r="H117" i="5" a="1"/>
  <c r="C116" i="5" a="1"/>
  <c r="K115" i="5" a="1"/>
  <c r="F114" i="5" a="1"/>
  <c r="K113" i="5" a="1"/>
  <c r="H112" i="5" a="1"/>
  <c r="C111" i="5" a="1"/>
  <c r="I110" i="5" a="1"/>
  <c r="D109" i="5" a="1"/>
  <c r="J108" i="5" a="1"/>
  <c r="D107" i="5" a="1"/>
  <c r="I106" i="5" a="1"/>
  <c r="D105" i="5" a="1"/>
  <c r="I104" i="5" a="1"/>
  <c r="D103" i="5" a="1"/>
  <c r="J102" i="5" a="1"/>
  <c r="G101" i="5" a="1"/>
  <c r="L100" i="5" a="1"/>
  <c r="G99" i="5" a="1"/>
  <c r="C98" i="5" a="1"/>
  <c r="H97" i="5" a="1"/>
  <c r="G95" i="5" a="1"/>
  <c r="L94" i="5" a="1"/>
  <c r="G93" i="5" a="1"/>
  <c r="E92" i="5" a="1"/>
  <c r="K91" i="5" a="1"/>
  <c r="H90" i="5" a="1"/>
  <c r="E89" i="5" a="1"/>
  <c r="J88" i="5" a="1"/>
  <c r="F86" i="5" a="1"/>
  <c r="J85" i="5" a="1"/>
  <c r="D84" i="5" a="1"/>
  <c r="G83" i="5" a="1"/>
  <c r="L82" i="5" a="1"/>
  <c r="F81" i="5" a="1"/>
  <c r="I80" i="5" a="1"/>
  <c r="F78" i="5" a="1"/>
  <c r="I77" i="5" a="1"/>
  <c r="D76" i="5" a="1"/>
  <c r="H75" i="5" a="1"/>
  <c r="C74" i="5" a="1"/>
  <c r="F73" i="5" a="1"/>
  <c r="J72" i="5" a="1"/>
  <c r="D71" i="5" a="1"/>
  <c r="C69" i="5" a="1"/>
  <c r="F68" i="5" a="1"/>
  <c r="K67" i="5" a="1"/>
  <c r="D66" i="5" a="1"/>
  <c r="H65" i="5" a="1"/>
  <c r="D64" i="5" a="1"/>
  <c r="I63" i="5" a="1"/>
  <c r="J60" i="5" a="1"/>
  <c r="F58" i="5" a="1"/>
  <c r="J57" i="5" a="1"/>
  <c r="D56" i="5" a="1"/>
  <c r="I55" i="5" a="1"/>
  <c r="E53" i="5" a="1"/>
  <c r="H52" i="5" a="1"/>
  <c r="L51" i="5" a="1"/>
  <c r="D50" i="5" a="1"/>
  <c r="F216" i="5" a="1"/>
  <c r="J195" i="5" a="1"/>
  <c r="I186" i="5" a="1"/>
  <c r="L167" i="5" a="1"/>
  <c r="C160" i="5" a="1"/>
  <c r="C150" i="5" a="1"/>
  <c r="C147" i="5" a="1"/>
  <c r="F141" i="5" a="1"/>
  <c r="H129" i="5" a="1"/>
  <c r="D128" i="5" a="1"/>
  <c r="I127" i="5" a="1"/>
  <c r="C126" i="5" a="1"/>
  <c r="J125" i="5" a="1"/>
  <c r="E124" i="5" a="1"/>
  <c r="J123" i="5" a="1"/>
  <c r="D122" i="5" a="1"/>
  <c r="I121" i="5" a="1"/>
  <c r="D120" i="5" a="1"/>
  <c r="I119" i="5" a="1"/>
  <c r="G117" i="5" a="1"/>
  <c r="J115" i="5" a="1"/>
  <c r="E114" i="5" a="1"/>
  <c r="J113" i="5" a="1"/>
  <c r="H110" i="5" a="1"/>
  <c r="C109" i="5" a="1"/>
  <c r="I108" i="5" a="1"/>
  <c r="C107" i="5" a="1"/>
  <c r="H106" i="5" a="1"/>
  <c r="C105" i="5" a="1"/>
  <c r="H104" i="5" a="1"/>
  <c r="C103" i="5" a="1"/>
  <c r="I102" i="5" a="1"/>
  <c r="F101" i="5" a="1"/>
  <c r="K100" i="5" a="1"/>
  <c r="F99" i="5" a="1"/>
  <c r="L98" i="5" a="1"/>
  <c r="G97" i="5" a="1"/>
  <c r="F95" i="5" a="1"/>
  <c r="K94" i="5" a="1"/>
  <c r="D92" i="5" a="1"/>
  <c r="J91" i="5" a="1"/>
  <c r="G90" i="5" a="1"/>
  <c r="D89" i="5" a="1"/>
  <c r="I88" i="5" a="1"/>
  <c r="L87" i="5" a="1"/>
  <c r="E86" i="5" a="1"/>
  <c r="I85" i="5" a="1"/>
  <c r="C84" i="5" a="1"/>
  <c r="F83" i="5" a="1"/>
  <c r="K82" i="5" a="1"/>
  <c r="E81" i="5" a="1"/>
  <c r="H80" i="5" a="1"/>
  <c r="L79" i="5" a="1"/>
  <c r="E78" i="5" a="1"/>
  <c r="H77" i="5" a="1"/>
  <c r="C76" i="5" a="1"/>
  <c r="G75" i="5" a="1"/>
  <c r="L74" i="5" a="1"/>
  <c r="E73" i="5" a="1"/>
  <c r="I72" i="5" a="1"/>
  <c r="I70" i="5" a="1"/>
  <c r="E68" i="5" a="1"/>
  <c r="C66" i="5" a="1"/>
  <c r="G65" i="5" a="1"/>
  <c r="C64" i="5" a="1"/>
  <c r="H63" i="5" a="1"/>
  <c r="L62" i="5" a="1"/>
  <c r="E61" i="5" a="1"/>
  <c r="I60" i="5" a="1"/>
  <c r="E58" i="5" a="1"/>
  <c r="I57" i="5" a="1"/>
  <c r="D53" i="5" a="1"/>
  <c r="G52" i="5" a="1"/>
  <c r="K51" i="5" a="1"/>
  <c r="C50" i="5" a="1"/>
  <c r="G49" i="5" a="1"/>
  <c r="D213" i="5" a="1"/>
  <c r="G205" i="5" a="1"/>
  <c r="J197" i="5" a="1"/>
  <c r="G176" i="5" a="1"/>
  <c r="K169" i="5" a="1"/>
  <c r="J139" i="5" a="1"/>
  <c r="E133" i="5" a="1"/>
  <c r="G129" i="5" a="1"/>
  <c r="C128" i="5" a="1"/>
  <c r="H127" i="5" a="1"/>
  <c r="I125" i="5" a="1"/>
  <c r="D124" i="5" a="1"/>
  <c r="I123" i="5" a="1"/>
  <c r="C122" i="5" a="1"/>
  <c r="H121" i="5" a="1"/>
  <c r="C120" i="5" a="1"/>
  <c r="H119" i="5" a="1"/>
  <c r="F117" i="5" a="1"/>
  <c r="L116" i="5" a="1"/>
  <c r="I115" i="5" a="1"/>
  <c r="D114" i="5" a="1"/>
  <c r="I113" i="5" a="1"/>
  <c r="G112" i="5" a="1"/>
  <c r="L111" i="5" a="1"/>
  <c r="G110" i="5" a="1"/>
  <c r="L109" i="5" a="1"/>
  <c r="G106" i="5" a="1"/>
  <c r="G104" i="5" a="1"/>
  <c r="E101" i="5" a="1"/>
  <c r="J100" i="5" a="1"/>
  <c r="F97" i="5" a="1"/>
  <c r="L96" i="5" a="1"/>
  <c r="E95" i="5" a="1"/>
  <c r="J94" i="5" a="1"/>
  <c r="F93" i="5" a="1"/>
  <c r="C92" i="5" a="1"/>
  <c r="F90" i="5" a="1"/>
  <c r="L89" i="5" a="1"/>
  <c r="C89" i="5" a="1"/>
  <c r="H88" i="5" a="1"/>
  <c r="K87" i="5" a="1"/>
  <c r="D86" i="5" a="1"/>
  <c r="H85" i="5" a="1"/>
  <c r="L84" i="5" a="1"/>
  <c r="J82" i="5" a="1"/>
  <c r="D81" i="5" a="1"/>
  <c r="G80" i="5" a="1"/>
  <c r="K79" i="5" a="1"/>
  <c r="D78" i="5" a="1"/>
  <c r="G77" i="5" a="1"/>
  <c r="D73" i="5" a="1"/>
  <c r="H72" i="5" a="1"/>
  <c r="L71" i="5" a="1"/>
  <c r="C71" i="5" a="1"/>
  <c r="H70" i="5" a="1"/>
  <c r="L69" i="5" a="1"/>
  <c r="D68" i="5" a="1"/>
  <c r="J67" i="5" a="1"/>
  <c r="F65" i="5" a="1"/>
  <c r="G63" i="5" a="1"/>
  <c r="K62" i="5" a="1"/>
  <c r="D61" i="5" a="1"/>
  <c r="H60" i="5" a="1"/>
  <c r="L59" i="5" a="1"/>
  <c r="D58" i="5" a="1"/>
  <c r="H57" i="5" a="1"/>
  <c r="C56" i="5" a="1"/>
  <c r="H55" i="5" a="1"/>
  <c r="L54" i="5" a="1"/>
  <c r="C53" i="5" a="1"/>
  <c r="F52" i="5" a="1"/>
  <c r="J51" i="5" a="1"/>
  <c r="F49" i="5" a="1"/>
  <c r="I199" i="5" a="1"/>
  <c r="E190" i="5" a="1"/>
  <c r="F178" i="5" a="1"/>
  <c r="I151" i="5" a="1"/>
  <c r="E148" i="5" a="1"/>
  <c r="J145" i="5" a="1"/>
  <c r="I142" i="5" a="1"/>
  <c r="G139" i="5" a="1"/>
  <c r="D136" i="5" a="1"/>
  <c r="H131" i="5" a="1"/>
  <c r="F129" i="5" a="1"/>
  <c r="L128" i="5" a="1"/>
  <c r="F127" i="5" a="1"/>
  <c r="K126" i="5" a="1"/>
  <c r="G125" i="5" a="1"/>
  <c r="G123" i="5" a="1"/>
  <c r="L122" i="5" a="1"/>
  <c r="F121" i="5" a="1"/>
  <c r="L120" i="5" a="1"/>
  <c r="F119" i="5" a="1"/>
  <c r="K118" i="5" a="1"/>
  <c r="E112" i="5" a="1"/>
  <c r="E110" i="5" a="1"/>
  <c r="J109" i="5" a="1"/>
  <c r="G108" i="5" a="1"/>
  <c r="L107" i="5" a="1"/>
  <c r="E106" i="5" a="1"/>
  <c r="K105" i="5" a="1"/>
  <c r="E104" i="5" a="1"/>
  <c r="L103" i="5" a="1"/>
  <c r="G102" i="5" a="1"/>
  <c r="C101" i="5" a="1"/>
  <c r="H100" i="5" a="1"/>
  <c r="D99" i="5" a="1"/>
  <c r="J98" i="5" a="1"/>
  <c r="J96" i="5" a="1"/>
  <c r="C95" i="5" a="1"/>
  <c r="H94" i="5" a="1"/>
  <c r="E93" i="5" a="1"/>
  <c r="K92" i="5" a="1"/>
  <c r="H91" i="5" a="1"/>
  <c r="D90" i="5" a="1"/>
  <c r="K89" i="5" a="1"/>
  <c r="F88" i="5" a="1"/>
  <c r="I87" i="5" a="1"/>
  <c r="K84" i="5" a="1"/>
  <c r="H82" i="5" a="1"/>
  <c r="L81" i="5" a="1"/>
  <c r="J79" i="5" a="1"/>
  <c r="K76" i="5" a="1"/>
  <c r="E75" i="5" a="1"/>
  <c r="J74" i="5" a="1"/>
  <c r="F72" i="5" a="1"/>
  <c r="F70" i="5" a="1"/>
  <c r="J69" i="5" a="1"/>
  <c r="H67" i="5" a="1"/>
  <c r="K66" i="5" a="1"/>
  <c r="K64" i="5" a="1"/>
  <c r="E63" i="5" a="1"/>
  <c r="I62" i="5" a="1"/>
  <c r="F60" i="5" a="1"/>
  <c r="J59" i="5" a="1"/>
  <c r="F57" i="5" a="1"/>
  <c r="L56" i="5" a="1"/>
  <c r="G55" i="5" a="1"/>
  <c r="J54" i="5" a="1"/>
  <c r="E52" i="5" a="1"/>
  <c r="H51" i="5" a="1"/>
  <c r="K50" i="5" a="1"/>
  <c r="F405" i="5"/>
  <c r="D192" i="5" a="1"/>
  <c r="I164" i="5" a="1"/>
  <c r="L157" i="5" a="1"/>
  <c r="G151" i="5" a="1"/>
  <c r="C145" i="5" a="1"/>
  <c r="C142" i="5" a="1"/>
  <c r="F131" i="5" a="1"/>
  <c r="E129" i="5" a="1"/>
  <c r="K128" i="5" a="1"/>
  <c r="E127" i="5" a="1"/>
  <c r="J126" i="5" a="1"/>
  <c r="F125" i="5" a="1"/>
  <c r="L124" i="5" a="1"/>
  <c r="F123" i="5" a="1"/>
  <c r="K122" i="5" a="1"/>
  <c r="E121" i="5" a="1"/>
  <c r="K120" i="5" a="1"/>
  <c r="E119" i="5" a="1"/>
  <c r="J118" i="5" a="1"/>
  <c r="D117" i="5" a="1"/>
  <c r="J116" i="5" a="1"/>
  <c r="G115" i="5" a="1"/>
  <c r="L114" i="5" a="1"/>
  <c r="G113" i="5" a="1"/>
  <c r="D112" i="5" a="1"/>
  <c r="J111" i="5" a="1"/>
  <c r="D110" i="5" a="1"/>
  <c r="I109" i="5" a="1"/>
  <c r="F108" i="5" a="1"/>
  <c r="K107" i="5" a="1"/>
  <c r="D106" i="5" a="1"/>
  <c r="K103" i="5" a="1"/>
  <c r="F102" i="5" a="1"/>
  <c r="L101" i="5" a="1"/>
  <c r="G100" i="5" a="1"/>
  <c r="L99" i="5" a="1"/>
  <c r="C99" i="5" a="1"/>
  <c r="I98" i="5" a="1"/>
  <c r="D97" i="5" a="1"/>
  <c r="I96" i="5" a="1"/>
  <c r="G94" i="5" a="1"/>
  <c r="J92" i="5" a="1"/>
  <c r="C90" i="5" a="1"/>
  <c r="E88" i="5" a="1"/>
  <c r="H87" i="5" a="1"/>
  <c r="F85" i="5" a="1"/>
  <c r="J84" i="5" a="1"/>
  <c r="D83" i="5" a="1"/>
  <c r="G82" i="5" a="1"/>
  <c r="K81" i="5" a="1"/>
  <c r="E80" i="5" a="1"/>
  <c r="I79" i="5" a="1"/>
  <c r="L78" i="5" a="1"/>
  <c r="E77" i="5" a="1"/>
  <c r="J76" i="5" a="1"/>
  <c r="D75" i="5" a="1"/>
  <c r="I74" i="5" a="1"/>
  <c r="E72" i="5" a="1"/>
  <c r="J71" i="5" a="1"/>
  <c r="E70" i="5" a="1"/>
  <c r="I69" i="5" a="1"/>
  <c r="G67" i="5" a="1"/>
  <c r="D65" i="5" a="1"/>
  <c r="J64" i="5" a="1"/>
  <c r="D63" i="5" a="1"/>
  <c r="H62" i="5" a="1"/>
  <c r="L61" i="5" a="1"/>
  <c r="I59" i="5" a="1"/>
  <c r="L58" i="5" a="1"/>
  <c r="E57" i="5" a="1"/>
  <c r="K56" i="5" a="1"/>
  <c r="F55" i="5" a="1"/>
  <c r="I54" i="5" a="1"/>
  <c r="L53" i="5" a="1"/>
  <c r="D52" i="5" a="1"/>
  <c r="G51" i="5" a="1"/>
  <c r="J50" i="5" a="1"/>
  <c r="G166" i="5" a="1"/>
  <c r="L148" i="5" a="1"/>
  <c r="H139" i="5" a="1"/>
  <c r="I137" i="5" a="1"/>
  <c r="C124" i="5" a="1"/>
  <c r="H118" i="5" a="1"/>
  <c r="C114" i="5" a="1"/>
  <c r="K111" i="5" a="1"/>
  <c r="H107" i="5" a="1"/>
  <c r="C104" i="5" a="1"/>
  <c r="I101" i="5" a="1"/>
  <c r="D100" i="5" a="1"/>
  <c r="L97" i="5" a="1"/>
  <c r="K93" i="5" a="1"/>
  <c r="H92" i="5" a="1"/>
  <c r="C86" i="5" a="1"/>
  <c r="C81" i="5" a="1"/>
  <c r="G79" i="5" a="1"/>
  <c r="F74" i="5" a="1"/>
  <c r="G72" i="5" a="1"/>
  <c r="I67" i="5" a="1"/>
  <c r="H64" i="5" a="1"/>
  <c r="G57" i="5" a="1"/>
  <c r="L55" i="5" a="1"/>
  <c r="G47" i="5" a="1"/>
  <c r="J46" i="5" a="1"/>
  <c r="C45" i="5" a="1"/>
  <c r="G44" i="5" a="1"/>
  <c r="E42" i="5" a="1"/>
  <c r="L40" i="5" a="1"/>
  <c r="G39" i="5" a="1"/>
  <c r="L38" i="5" a="1"/>
  <c r="F37" i="5" a="1"/>
  <c r="K36" i="5" a="1"/>
  <c r="C36" i="5" a="1"/>
  <c r="H35" i="5" a="1"/>
  <c r="F34" i="5" a="1"/>
  <c r="F32" i="5" a="1"/>
  <c r="J31" i="5" a="1"/>
  <c r="F30" i="5" a="1"/>
  <c r="J29" i="5" a="1"/>
  <c r="H28" i="5" a="1"/>
  <c r="D27" i="5" a="1"/>
  <c r="J26" i="5" a="1"/>
  <c r="F25" i="5" a="1"/>
  <c r="K24" i="5" a="1"/>
  <c r="L22" i="5" a="1"/>
  <c r="F21" i="5" a="1"/>
  <c r="J20" i="5" a="1"/>
  <c r="D19" i="5" a="1"/>
  <c r="H18" i="5" a="1"/>
  <c r="K17" i="5" a="1"/>
  <c r="F15" i="5" a="1"/>
  <c r="J14" i="5" a="1"/>
  <c r="E12" i="5" a="1"/>
  <c r="I11" i="5" a="1"/>
  <c r="D9" i="5" a="1"/>
  <c r="I8" i="5" a="1"/>
  <c r="L7" i="5" a="1"/>
  <c r="F6" i="5" a="1"/>
  <c r="I5" i="5" a="1"/>
  <c r="L4" i="5" a="1"/>
  <c r="C3" i="5" a="1"/>
  <c r="F2" i="5" a="1"/>
  <c r="K140" i="5" a="1"/>
  <c r="G85" i="5" a="1"/>
  <c r="C68" i="5" a="1"/>
  <c r="E46" i="5" a="1"/>
  <c r="J34" i="5" a="1"/>
  <c r="F29" i="5" a="1"/>
  <c r="G24" i="5" a="1"/>
  <c r="I19" i="5" a="1"/>
  <c r="K12" i="5" a="1"/>
  <c r="C8" i="5" a="1"/>
  <c r="I3" i="5" a="1"/>
  <c r="D123" i="5" a="1"/>
  <c r="I30" i="5" a="1"/>
  <c r="L11" i="5" a="1"/>
  <c r="C4" i="5" a="1"/>
  <c r="E196" i="5" a="1"/>
  <c r="C185" i="5" a="1"/>
  <c r="L171" i="5" a="1"/>
  <c r="L132" i="5" a="1"/>
  <c r="J128" i="5" a="1"/>
  <c r="H125" i="5" a="1"/>
  <c r="D121" i="5" a="1"/>
  <c r="G118" i="5" a="1"/>
  <c r="H115" i="5" a="1"/>
  <c r="I111" i="5" a="1"/>
  <c r="L105" i="5" a="1"/>
  <c r="D101" i="5" a="1"/>
  <c r="E97" i="5" a="1"/>
  <c r="J89" i="5" a="1"/>
  <c r="I84" i="5" a="1"/>
  <c r="F79" i="5" a="1"/>
  <c r="F77" i="5" a="1"/>
  <c r="D72" i="5" a="1"/>
  <c r="L70" i="5" a="1"/>
  <c r="F67" i="5" a="1"/>
  <c r="L65" i="5" a="1"/>
  <c r="F62" i="5" a="1"/>
  <c r="F47" i="5" a="1"/>
  <c r="I46" i="5" a="1"/>
  <c r="F44" i="5" a="1"/>
  <c r="J43" i="5" a="1"/>
  <c r="D42" i="5" a="1"/>
  <c r="H41" i="5" a="1"/>
  <c r="K40" i="5" a="1"/>
  <c r="K38" i="5" a="1"/>
  <c r="J36" i="5" a="1"/>
  <c r="G35" i="5" a="1"/>
  <c r="E34" i="5" a="1"/>
  <c r="J33" i="5" a="1"/>
  <c r="E32" i="5" a="1"/>
  <c r="I31" i="5" a="1"/>
  <c r="E30" i="5" a="1"/>
  <c r="I29" i="5" a="1"/>
  <c r="G28" i="5" a="1"/>
  <c r="L27" i="5" a="1"/>
  <c r="C27" i="5" a="1"/>
  <c r="E25" i="5" a="1"/>
  <c r="F23" i="5" a="1"/>
  <c r="E21" i="5" a="1"/>
  <c r="C19" i="5" a="1"/>
  <c r="G18" i="5" a="1"/>
  <c r="J17" i="5" a="1"/>
  <c r="E15" i="5" a="1"/>
  <c r="I14" i="5" a="1"/>
  <c r="L13" i="5" a="1"/>
  <c r="D12" i="5" a="1"/>
  <c r="H11" i="5" a="1"/>
  <c r="L10" i="5" a="1"/>
  <c r="C9" i="5" a="1"/>
  <c r="H8" i="5" a="1"/>
  <c r="K7" i="5" a="1"/>
  <c r="E6" i="5" a="1"/>
  <c r="H5" i="5" a="1"/>
  <c r="K4" i="5" a="1"/>
  <c r="E2" i="5" a="1"/>
  <c r="C112" i="5" a="1"/>
  <c r="F106" i="5" a="1"/>
  <c r="I91" i="5" a="1"/>
  <c r="K71" i="5" a="1"/>
  <c r="H48" i="5" a="1"/>
  <c r="C39" i="5" a="1"/>
  <c r="K32" i="5" a="1"/>
  <c r="H22" i="5" a="1"/>
  <c r="D14" i="5" a="1"/>
  <c r="F4" i="5" a="1"/>
  <c r="G127" i="5" a="1"/>
  <c r="G54" i="5" a="1"/>
  <c r="D40" i="5" a="1"/>
  <c r="D33" i="5" a="1"/>
  <c r="F19" i="5" a="1"/>
  <c r="I2" i="5" a="1"/>
  <c r="H182" i="5" a="1"/>
  <c r="F168" i="5" a="1"/>
  <c r="K152" i="5" a="1"/>
  <c r="J134" i="5" a="1"/>
  <c r="I128" i="5" a="1"/>
  <c r="E125" i="5" a="1"/>
  <c r="C121" i="5" a="1"/>
  <c r="F115" i="5" a="1"/>
  <c r="H111" i="5" a="1"/>
  <c r="H108" i="5" a="1"/>
  <c r="J105" i="5" a="1"/>
  <c r="H102" i="5" a="1"/>
  <c r="C97" i="5" a="1"/>
  <c r="J87" i="5" a="1"/>
  <c r="H84" i="5" a="1"/>
  <c r="I82" i="5" a="1"/>
  <c r="G70" i="5" a="1"/>
  <c r="E67" i="5" a="1"/>
  <c r="K65" i="5" a="1"/>
  <c r="G60" i="5" a="1"/>
  <c r="D57" i="5" a="1"/>
  <c r="E55" i="5" a="1"/>
  <c r="K53" i="5" a="1"/>
  <c r="I51" i="5" a="1"/>
  <c r="L48" i="5" a="1"/>
  <c r="E47" i="5" a="1"/>
  <c r="L45" i="5" a="1"/>
  <c r="E44" i="5" a="1"/>
  <c r="I43" i="5" a="1"/>
  <c r="C42" i="5" a="1"/>
  <c r="G41" i="5" a="1"/>
  <c r="J40" i="5" a="1"/>
  <c r="F39" i="5" a="1"/>
  <c r="J38" i="5" a="1"/>
  <c r="E37" i="5" a="1"/>
  <c r="D34" i="5" a="1"/>
  <c r="I33" i="5" a="1"/>
  <c r="D32" i="5" a="1"/>
  <c r="F28" i="5" a="1"/>
  <c r="K27" i="5" a="1"/>
  <c r="I26" i="5" a="1"/>
  <c r="J24" i="5" a="1"/>
  <c r="E23" i="5" a="1"/>
  <c r="K22" i="5" a="1"/>
  <c r="I20" i="5" a="1"/>
  <c r="F18" i="5" a="1"/>
  <c r="I17" i="5" a="1"/>
  <c r="L16" i="5" a="1"/>
  <c r="D15" i="5" a="1"/>
  <c r="H14" i="5" a="1"/>
  <c r="K13" i="5" a="1"/>
  <c r="C12" i="5" a="1"/>
  <c r="G11" i="5" a="1"/>
  <c r="K10" i="5" a="1"/>
  <c r="G8" i="5" a="1"/>
  <c r="J7" i="5" a="1"/>
  <c r="D6" i="5" a="1"/>
  <c r="G5" i="5" a="1"/>
  <c r="J4" i="5" a="1"/>
  <c r="D2" i="5" a="1"/>
  <c r="D129" i="5" a="1"/>
  <c r="G116" i="5" a="1"/>
  <c r="K95" i="5" a="1"/>
  <c r="J73" i="5" a="1"/>
  <c r="J61" i="5" a="1"/>
  <c r="D49" i="5" a="1"/>
  <c r="L44" i="5" a="1"/>
  <c r="G40" i="5" a="1"/>
  <c r="F20" i="5" a="1"/>
  <c r="L15" i="5" a="1"/>
  <c r="G13" i="5" a="1"/>
  <c r="G10" i="5" a="1"/>
  <c r="C5" i="5" a="1"/>
  <c r="K41" i="5" a="1"/>
  <c r="H34" i="5" a="1"/>
  <c r="D24" i="5" a="1"/>
  <c r="C20" i="5" a="1"/>
  <c r="I15" i="5" a="1"/>
  <c r="G9" i="5" a="1"/>
  <c r="K210" i="5" a="1"/>
  <c r="L145" i="5" a="1"/>
  <c r="H134" i="5" a="1"/>
  <c r="H128" i="5" a="1"/>
  <c r="J122" i="5" a="1"/>
  <c r="G119" i="5" a="1"/>
  <c r="K116" i="5" a="1"/>
  <c r="E115" i="5" a="1"/>
  <c r="G111" i="5" a="1"/>
  <c r="E108" i="5" a="1"/>
  <c r="I105" i="5" a="1"/>
  <c r="E102" i="5" a="1"/>
  <c r="K98" i="5" a="1"/>
  <c r="I94" i="5" a="1"/>
  <c r="D93" i="5" a="1"/>
  <c r="L90" i="5" a="1"/>
  <c r="I89" i="5" a="1"/>
  <c r="G87" i="5" a="1"/>
  <c r="G84" i="5" a="1"/>
  <c r="F82" i="5" a="1"/>
  <c r="D77" i="5" a="1"/>
  <c r="L75" i="5" a="1"/>
  <c r="C72" i="5" a="1"/>
  <c r="L68" i="5" a="1"/>
  <c r="D67" i="5" a="1"/>
  <c r="E65" i="5" a="1"/>
  <c r="E60" i="5" a="1"/>
  <c r="K58" i="5" a="1"/>
  <c r="D55" i="5" a="1"/>
  <c r="J53" i="5" a="1"/>
  <c r="F51" i="5" a="1"/>
  <c r="L49" i="5" a="1"/>
  <c r="K48" i="5" a="1"/>
  <c r="D47" i="5" a="1"/>
  <c r="H46" i="5" a="1"/>
  <c r="K45" i="5" a="1"/>
  <c r="D44" i="5" a="1"/>
  <c r="H43" i="5" a="1"/>
  <c r="F41" i="5" a="1"/>
  <c r="I40" i="5" a="1"/>
  <c r="E39" i="5" a="1"/>
  <c r="I38" i="5" a="1"/>
  <c r="D37" i="5" a="1"/>
  <c r="I36" i="5" a="1"/>
  <c r="F35" i="5" a="1"/>
  <c r="L34" i="5" a="1"/>
  <c r="C34" i="5" a="1"/>
  <c r="H33" i="5" a="1"/>
  <c r="C32" i="5" a="1"/>
  <c r="H31" i="5" a="1"/>
  <c r="D30" i="5" a="1"/>
  <c r="H29" i="5" a="1"/>
  <c r="E28" i="5" a="1"/>
  <c r="H26" i="5" a="1"/>
  <c r="D25" i="5" a="1"/>
  <c r="D23" i="5" a="1"/>
  <c r="J22" i="5" a="1"/>
  <c r="D21" i="5" a="1"/>
  <c r="H20" i="5" a="1"/>
  <c r="L19" i="5" a="1"/>
  <c r="E18" i="5" a="1"/>
  <c r="H17" i="5" a="1"/>
  <c r="K16" i="5" a="1"/>
  <c r="C15" i="5" a="1"/>
  <c r="G14" i="5" a="1"/>
  <c r="J13" i="5" a="1"/>
  <c r="F11" i="5" a="1"/>
  <c r="J10" i="5" a="1"/>
  <c r="F8" i="5" a="1"/>
  <c r="I7" i="5" a="1"/>
  <c r="C6" i="5" a="1"/>
  <c r="F5" i="5" a="1"/>
  <c r="I4" i="5" a="1"/>
  <c r="L3" i="5" a="1"/>
  <c r="C2" i="5" a="1"/>
  <c r="F98" i="5" a="1"/>
  <c r="D80" i="5" a="1"/>
  <c r="C63" i="5" a="1"/>
  <c r="K30" i="5" a="1"/>
  <c r="L21" i="5" a="1"/>
  <c r="H16" i="5" a="1"/>
  <c r="K6" i="5" a="1"/>
  <c r="K124" i="5" a="1"/>
  <c r="C187" i="5" a="1"/>
  <c r="H152" i="5" a="1"/>
  <c r="L129" i="5" a="1"/>
  <c r="L126" i="5" a="1"/>
  <c r="D125" i="5" a="1"/>
  <c r="I122" i="5" a="1"/>
  <c r="D119" i="5" a="1"/>
  <c r="I116" i="5" a="1"/>
  <c r="D115" i="5" a="1"/>
  <c r="L112" i="5" a="1"/>
  <c r="D108" i="5" a="1"/>
  <c r="H105" i="5" a="1"/>
  <c r="D102" i="5" a="1"/>
  <c r="H98" i="5" a="1"/>
  <c r="F94" i="5" a="1"/>
  <c r="C93" i="5" a="1"/>
  <c r="K90" i="5" a="1"/>
  <c r="F87" i="5" a="1"/>
  <c r="E82" i="5" a="1"/>
  <c r="C77" i="5" a="1"/>
  <c r="F75" i="5" a="1"/>
  <c r="L73" i="5" a="1"/>
  <c r="D70" i="5" a="1"/>
  <c r="K68" i="5" a="1"/>
  <c r="D60" i="5" a="1"/>
  <c r="J58" i="5" a="1"/>
  <c r="C55" i="5" a="1"/>
  <c r="I53" i="5" a="1"/>
  <c r="E51" i="5" a="1"/>
  <c r="K49" i="5" a="1"/>
  <c r="J48" i="5" a="1"/>
  <c r="C47" i="5" a="1"/>
  <c r="G46" i="5" a="1"/>
  <c r="J45" i="5" a="1"/>
  <c r="C44" i="5" a="1"/>
  <c r="G43" i="5" a="1"/>
  <c r="L42" i="5" a="1"/>
  <c r="E41" i="5" a="1"/>
  <c r="H38" i="5" a="1"/>
  <c r="L37" i="5" a="1"/>
  <c r="C37" i="5" a="1"/>
  <c r="H36" i="5" a="1"/>
  <c r="E35" i="5" a="1"/>
  <c r="G33" i="5" a="1"/>
  <c r="G31" i="5" a="1"/>
  <c r="C30" i="5" a="1"/>
  <c r="G29" i="5" a="1"/>
  <c r="D28" i="5" a="1"/>
  <c r="J27" i="5" a="1"/>
  <c r="G26" i="5" a="1"/>
  <c r="L25" i="5" a="1"/>
  <c r="C25" i="5" a="1"/>
  <c r="I24" i="5" a="1"/>
  <c r="I22" i="5" a="1"/>
  <c r="C21" i="5" a="1"/>
  <c r="G20" i="5" a="1"/>
  <c r="K19" i="5" a="1"/>
  <c r="D18" i="5" a="1"/>
  <c r="G17" i="5" a="1"/>
  <c r="J16" i="5" a="1"/>
  <c r="F14" i="5" a="1"/>
  <c r="I13" i="5" a="1"/>
  <c r="E11" i="5" a="1"/>
  <c r="I10" i="5" a="1"/>
  <c r="L9" i="5" a="1"/>
  <c r="E8" i="5" a="1"/>
  <c r="H7" i="5" a="1"/>
  <c r="E5" i="5" a="1"/>
  <c r="H4" i="5" a="1"/>
  <c r="K3" i="5" a="1"/>
  <c r="E131" i="5" a="1"/>
  <c r="I103" i="5" a="1"/>
  <c r="J78" i="5" a="1"/>
  <c r="L66" i="5" a="1"/>
  <c r="J56" i="5" a="1"/>
  <c r="L47" i="5" a="1"/>
  <c r="L39" i="5" a="1"/>
  <c r="G36" i="5" a="1"/>
  <c r="H27" i="5" a="1"/>
  <c r="J9" i="5" a="1"/>
  <c r="F45" i="5" a="1"/>
  <c r="D38" i="5" a="1"/>
  <c r="F27" i="5" a="1"/>
  <c r="E22" i="5" a="1"/>
  <c r="D10" i="5" a="1"/>
  <c r="C7" i="5" a="1"/>
  <c r="K162" i="5" a="1"/>
  <c r="H154" i="5" a="1"/>
  <c r="F136" i="5" a="1"/>
  <c r="I126" i="5" a="1"/>
  <c r="H122" i="5" a="1"/>
  <c r="C119" i="5" a="1"/>
  <c r="H116" i="5" a="1"/>
  <c r="F112" i="5" a="1"/>
  <c r="K109" i="5" a="1"/>
  <c r="C108" i="5" a="1"/>
  <c r="J103" i="5" a="1"/>
  <c r="C102" i="5" a="1"/>
  <c r="K99" i="5" a="1"/>
  <c r="G98" i="5" a="1"/>
  <c r="L95" i="5" a="1"/>
  <c r="E94" i="5" a="1"/>
  <c r="E90" i="5" a="1"/>
  <c r="E87" i="5" a="1"/>
  <c r="D82" i="5" a="1"/>
  <c r="F80" i="5" a="1"/>
  <c r="K78" i="5" a="1"/>
  <c r="C75" i="5" a="1"/>
  <c r="K73" i="5" a="1"/>
  <c r="C70" i="5" a="1"/>
  <c r="J68" i="5" a="1"/>
  <c r="C65" i="5" a="1"/>
  <c r="F63" i="5" a="1"/>
  <c r="K61" i="5" a="1"/>
  <c r="C60" i="5" a="1"/>
  <c r="I58" i="5" a="1"/>
  <c r="D51" i="5" a="1"/>
  <c r="E49" i="5" a="1"/>
  <c r="I48" i="5" a="1"/>
  <c r="F46" i="5" a="1"/>
  <c r="I45" i="5" a="1"/>
  <c r="F43" i="5" a="1"/>
  <c r="K42" i="5" a="1"/>
  <c r="D41" i="5" a="1"/>
  <c r="H40" i="5" a="1"/>
  <c r="D39" i="5" a="1"/>
  <c r="G38" i="5" a="1"/>
  <c r="K37" i="5" a="1"/>
  <c r="D35" i="5" a="1"/>
  <c r="K34" i="5" a="1"/>
  <c r="L32" i="5" a="1"/>
  <c r="F31" i="5" a="1"/>
  <c r="L30" i="5" a="1"/>
  <c r="C28" i="5" a="1"/>
  <c r="I27" i="5" a="1"/>
  <c r="F26" i="5" a="1"/>
  <c r="K25" i="5" a="1"/>
  <c r="H24" i="5" a="1"/>
  <c r="L23" i="5" a="1"/>
  <c r="C23" i="5" a="1"/>
  <c r="J19" i="5" a="1"/>
  <c r="C18" i="5" a="1"/>
  <c r="F17" i="5" a="1"/>
  <c r="I16" i="5" a="1"/>
  <c r="E14" i="5" a="1"/>
  <c r="H13" i="5" a="1"/>
  <c r="L12" i="5" a="1"/>
  <c r="D11" i="5" a="1"/>
  <c r="H10" i="5" a="1"/>
  <c r="K9" i="5" a="1"/>
  <c r="D8" i="5" a="1"/>
  <c r="G7" i="5" a="1"/>
  <c r="L6" i="5" a="1"/>
  <c r="D5" i="5" a="1"/>
  <c r="G4" i="5" a="1"/>
  <c r="J3" i="5" a="1"/>
  <c r="H126" i="5" a="1"/>
  <c r="D94" i="5" a="1"/>
  <c r="C58" i="5" a="1"/>
  <c r="H45" i="5" a="1"/>
  <c r="C41" i="5" a="1"/>
  <c r="F33" i="5" a="1"/>
  <c r="L28" i="5" a="1"/>
  <c r="K23" i="5" a="1"/>
  <c r="E17" i="5" a="1"/>
  <c r="C11" i="5" a="1"/>
  <c r="F7" i="5" a="1"/>
  <c r="L2" i="5" a="1"/>
  <c r="H59" i="5" a="1"/>
  <c r="H42" i="5" a="1"/>
  <c r="C31" i="5" a="1"/>
  <c r="L26" i="5" a="1"/>
  <c r="I21" i="5" a="1"/>
  <c r="L14" i="5" a="1"/>
  <c r="K8" i="5" a="1"/>
  <c r="L5" i="5" a="1"/>
  <c r="H159" i="5" a="1"/>
  <c r="I149" i="5" a="1"/>
  <c r="K142" i="5" a="1"/>
  <c r="D140" i="5" a="1"/>
  <c r="C129" i="5" a="1"/>
  <c r="G126" i="5" a="1"/>
  <c r="H123" i="5" a="1"/>
  <c r="L117" i="5" a="1"/>
  <c r="H113" i="5" a="1"/>
  <c r="H109" i="5" a="1"/>
  <c r="C106" i="5" a="1"/>
  <c r="H103" i="5" a="1"/>
  <c r="J99" i="5" a="1"/>
  <c r="D95" i="5" a="1"/>
  <c r="G91" i="5" a="1"/>
  <c r="E85" i="5" a="1"/>
  <c r="L83" i="5" a="1"/>
  <c r="C80" i="5" a="1"/>
  <c r="L76" i="5" a="1"/>
  <c r="C73" i="5" a="1"/>
  <c r="I71" i="5" a="1"/>
  <c r="J66" i="5" a="1"/>
  <c r="I61" i="5" a="1"/>
  <c r="I56" i="5" a="1"/>
  <c r="K54" i="5" a="1"/>
  <c r="C49" i="5" a="1"/>
  <c r="G48" i="5" a="1"/>
  <c r="K47" i="5" a="1"/>
  <c r="D46" i="5" a="1"/>
  <c r="G45" i="5" a="1"/>
  <c r="K44" i="5" a="1"/>
  <c r="E43" i="5" a="1"/>
  <c r="J42" i="5" a="1"/>
  <c r="F40" i="5" a="1"/>
  <c r="K39" i="5" a="1"/>
  <c r="F38" i="5" a="1"/>
  <c r="J37" i="5" a="1"/>
  <c r="F36" i="5" a="1"/>
  <c r="L35" i="5" a="1"/>
  <c r="C35" i="5" a="1"/>
  <c r="I34" i="5" a="1"/>
  <c r="E33" i="5" a="1"/>
  <c r="J32" i="5" a="1"/>
  <c r="E31" i="5" a="1"/>
  <c r="E29" i="5" a="1"/>
  <c r="G27" i="5" a="1"/>
  <c r="E26" i="5" a="1"/>
  <c r="J25" i="5" a="1"/>
  <c r="F24" i="5" a="1"/>
  <c r="J23" i="5" a="1"/>
  <c r="G22" i="5" a="1"/>
  <c r="K21" i="5" a="1"/>
  <c r="E20" i="5" a="1"/>
  <c r="H19" i="5" a="1"/>
  <c r="D17" i="5" a="1"/>
  <c r="G16" i="5" a="1"/>
  <c r="K15" i="5" a="1"/>
  <c r="C14" i="5" a="1"/>
  <c r="F13" i="5" a="1"/>
  <c r="J12" i="5" a="1"/>
  <c r="F10" i="5" a="1"/>
  <c r="I9" i="5" a="1"/>
  <c r="E7" i="5" a="1"/>
  <c r="J6" i="5" a="1"/>
  <c r="E4" i="5" a="1"/>
  <c r="H3" i="5" a="1"/>
  <c r="K2" i="5" a="1"/>
  <c r="E151" i="5" a="1"/>
  <c r="I120" i="5" a="1"/>
  <c r="C117" i="5" a="1"/>
  <c r="F113" i="5" a="1"/>
  <c r="L110" i="5" a="1"/>
  <c r="I100" i="5" a="1"/>
  <c r="H96" i="5" a="1"/>
  <c r="L92" i="5" a="1"/>
  <c r="G88" i="5" a="1"/>
  <c r="C85" i="5" a="1"/>
  <c r="E83" i="5" a="1"/>
  <c r="J81" i="5" a="1"/>
  <c r="H76" i="5" a="1"/>
  <c r="G71" i="5" a="1"/>
  <c r="H66" i="5" a="1"/>
  <c r="E48" i="5" a="1"/>
  <c r="I47" i="5" a="1"/>
  <c r="D43" i="5" a="1"/>
  <c r="J39" i="5" a="1"/>
  <c r="J35" i="5" a="1"/>
  <c r="L31" i="5" a="1"/>
  <c r="J28" i="5" a="1"/>
  <c r="K18" i="5" a="1"/>
  <c r="H12" i="5" a="1"/>
  <c r="I6" i="5" a="1"/>
  <c r="C209" i="5" a="1"/>
  <c r="L175" i="5" a="1"/>
  <c r="C133" i="5" a="1"/>
  <c r="E123" i="5" a="1"/>
  <c r="J120" i="5" a="1"/>
  <c r="E117" i="5" a="1"/>
  <c r="G109" i="5" a="1"/>
  <c r="E99" i="5" a="1"/>
  <c r="K96" i="5" a="1"/>
  <c r="F91" i="5" a="1"/>
  <c r="D85" i="5" a="1"/>
  <c r="K83" i="5" a="1"/>
  <c r="C78" i="5" a="1"/>
  <c r="I76" i="5" a="1"/>
  <c r="H71" i="5" a="1"/>
  <c r="K69" i="5" a="1"/>
  <c r="I66" i="5" a="1"/>
  <c r="C61" i="5" a="1"/>
  <c r="K59" i="5" a="1"/>
  <c r="H56" i="5" a="1"/>
  <c r="H54" i="5" a="1"/>
  <c r="L52" i="5" a="1"/>
  <c r="L50" i="5" a="1"/>
  <c r="F48" i="5" a="1"/>
  <c r="J47" i="5" a="1"/>
  <c r="C46" i="5" a="1"/>
  <c r="J44" i="5" a="1"/>
  <c r="I42" i="5" a="1"/>
  <c r="L41" i="5" a="1"/>
  <c r="E40" i="5" a="1"/>
  <c r="E38" i="5" a="1"/>
  <c r="I37" i="5" a="1"/>
  <c r="E36" i="5" a="1"/>
  <c r="K35" i="5" a="1"/>
  <c r="I32" i="5" a="1"/>
  <c r="D31" i="5" a="1"/>
  <c r="J30" i="5" a="1"/>
  <c r="D29" i="5" a="1"/>
  <c r="K28" i="5" a="1"/>
  <c r="D26" i="5" a="1"/>
  <c r="I25" i="5" a="1"/>
  <c r="E24" i="5" a="1"/>
  <c r="I23" i="5" a="1"/>
  <c r="F22" i="5" a="1"/>
  <c r="J21" i="5" a="1"/>
  <c r="D20" i="5" a="1"/>
  <c r="G19" i="5" a="1"/>
  <c r="L18" i="5" a="1"/>
  <c r="C17" i="5" a="1"/>
  <c r="F16" i="5" a="1"/>
  <c r="J15" i="5" a="1"/>
  <c r="E13" i="5" a="1"/>
  <c r="I12" i="5" a="1"/>
  <c r="E10" i="5" a="1"/>
  <c r="H9" i="5" a="1"/>
  <c r="L8" i="5" a="1"/>
  <c r="D7" i="5" a="1"/>
  <c r="D4" i="5" a="1"/>
  <c r="G3" i="5" a="1"/>
  <c r="J2" i="5" a="1"/>
  <c r="L86" i="5" a="1"/>
  <c r="K74" i="5" a="1"/>
  <c r="H69" i="5" a="1"/>
  <c r="L64" i="5" a="1"/>
  <c r="H32" i="5" a="1"/>
  <c r="E16" i="5" a="1"/>
  <c r="F110" i="5" a="1"/>
  <c r="G180" i="5" a="1"/>
  <c r="C110" i="5" a="1"/>
  <c r="D45" i="5" a="1"/>
  <c r="G42" i="5" a="1"/>
  <c r="C29" i="5" a="1"/>
  <c r="C24" i="5" a="1"/>
  <c r="H21" i="5" a="1"/>
  <c r="D13" i="5" a="1"/>
  <c r="I39" i="5" a="1"/>
  <c r="G21" i="5" a="1"/>
  <c r="C13" i="5" a="1"/>
  <c r="H30" i="5" a="1"/>
  <c r="E9" i="5" a="1"/>
  <c r="E3" i="5" a="1"/>
  <c r="K86" i="5" a="1"/>
  <c r="D22" i="5" a="1"/>
  <c r="F100" i="5" a="1"/>
  <c r="L93" i="5" a="1"/>
  <c r="D88" i="5" a="1"/>
  <c r="G59" i="5" a="1"/>
  <c r="I50" i="5" a="1"/>
  <c r="F42" i="5" a="1"/>
  <c r="L36" i="5" a="1"/>
  <c r="G34" i="5" a="1"/>
  <c r="K31" i="5" a="1"/>
  <c r="J18" i="5" a="1"/>
  <c r="G30" i="5" a="1"/>
  <c r="F69" i="5" a="1"/>
  <c r="D194" i="5" a="1"/>
  <c r="D127" i="5" a="1"/>
  <c r="J107" i="5" a="1"/>
  <c r="E100" i="5" a="1"/>
  <c r="C88" i="5" a="1"/>
  <c r="F59" i="5" a="1"/>
  <c r="H50" i="5" a="1"/>
  <c r="H47" i="5" a="1"/>
  <c r="H39" i="5" a="1"/>
  <c r="D36" i="5" a="1"/>
  <c r="K26" i="5" a="1"/>
  <c r="I18" i="5" a="1"/>
  <c r="H15" i="5" a="1"/>
  <c r="C10" i="5" a="1"/>
  <c r="H74" i="5" a="1"/>
  <c r="K33" i="5" a="1"/>
  <c r="K20" i="5" a="1"/>
  <c r="F9" i="5" a="1"/>
  <c r="D3" i="5" a="1"/>
  <c r="C127" i="5" a="1"/>
  <c r="I107" i="5" a="1"/>
  <c r="C83" i="5" a="1"/>
  <c r="H79" i="5" a="1"/>
  <c r="J62" i="5" a="1"/>
  <c r="F54" i="5" a="1"/>
  <c r="I44" i="5" a="1"/>
  <c r="C26" i="5" a="1"/>
  <c r="H23" i="5" a="1"/>
  <c r="G15" i="5" a="1"/>
  <c r="G62" i="5" a="1"/>
  <c r="H44" i="5" a="1"/>
  <c r="J41" i="5" a="1"/>
  <c r="L33" i="5" a="1"/>
  <c r="I28" i="5" a="1"/>
  <c r="G23" i="5" a="1"/>
  <c r="L20" i="5" a="1"/>
  <c r="G12" i="5" a="1"/>
  <c r="I41" i="5" a="1"/>
  <c r="F12" i="5" a="1"/>
  <c r="F3" i="5" a="1"/>
  <c r="G6" i="5" a="1"/>
  <c r="L43" i="5" a="1"/>
  <c r="J124" i="5" a="1"/>
  <c r="K114" i="5" a="1"/>
  <c r="F104" i="5" a="1"/>
  <c r="H6" i="5" a="1"/>
  <c r="H146" i="5" a="1"/>
  <c r="G74" i="5" a="1"/>
  <c r="K46" i="5" a="1"/>
  <c r="C38" i="5" a="1"/>
  <c r="I35" i="5" a="1"/>
  <c r="C33" i="5" a="1"/>
  <c r="H25" i="5" a="1"/>
  <c r="J86" i="5" a="1"/>
  <c r="J220" i="5" a="1"/>
  <c r="H161" i="5" a="1"/>
  <c r="I124" i="5" a="1"/>
  <c r="J114" i="5" a="1"/>
  <c r="D104" i="5" a="1"/>
  <c r="L46" i="5" a="1"/>
  <c r="L17" i="5" a="1"/>
  <c r="K43" i="5" a="1"/>
  <c r="G121" i="5" a="1"/>
  <c r="K101" i="5" a="1"/>
  <c r="I92" i="5" a="1"/>
  <c r="C52" i="5" a="1"/>
  <c r="K11" i="5" a="1"/>
  <c r="K137" i="5" a="1"/>
  <c r="L118" i="5" a="1"/>
  <c r="G96" i="5" a="1"/>
  <c r="I81" i="5" a="1"/>
  <c r="D48" i="5" a="1"/>
  <c r="C43" i="5" a="1"/>
  <c r="C40" i="5" a="1"/>
  <c r="H37" i="5" a="1"/>
  <c r="G32" i="5" a="1"/>
  <c r="E27" i="5" a="1"/>
  <c r="C22" i="5" a="1"/>
  <c r="E19" i="5" a="1"/>
  <c r="J11" i="5" a="1"/>
  <c r="J8" i="5" a="1"/>
  <c r="K5" i="5" a="1"/>
  <c r="C16" i="5" a="1"/>
  <c r="G2" i="5" a="1"/>
  <c r="G69" i="5" a="1"/>
  <c r="G25" i="5" a="1"/>
  <c r="C123" i="5" a="1"/>
  <c r="I118" i="5" a="1"/>
  <c r="E113" i="5" a="1"/>
  <c r="F96" i="5" a="1"/>
  <c r="I64" i="5" a="1"/>
  <c r="C48" i="5" a="1"/>
  <c r="G37" i="5" a="1"/>
  <c r="L29" i="5" a="1"/>
  <c r="L24" i="5" a="1"/>
  <c r="D16" i="5" a="1"/>
  <c r="J5" i="5" a="1"/>
  <c r="H2" i="5" a="1"/>
  <c r="E45" i="5" a="1"/>
  <c r="K29" i="5" a="1"/>
  <c r="K14" i="5" a="1"/>
  <c r="J101" i="5" a="1"/>
  <c r="J101" i="5" l="1"/>
  <c r="K14" i="5"/>
  <c r="U14" i="5" s="1"/>
  <c r="K29" i="5"/>
  <c r="U29" i="5" s="1"/>
  <c r="E45" i="5"/>
  <c r="AH45" i="5" s="1"/>
  <c r="AI45" i="5" s="1"/>
  <c r="H2" i="5"/>
  <c r="J5" i="5"/>
  <c r="D16" i="5"/>
  <c r="L24" i="5"/>
  <c r="L29" i="5"/>
  <c r="G37" i="5"/>
  <c r="C48" i="5"/>
  <c r="BL48" i="5" s="1"/>
  <c r="I64" i="5"/>
  <c r="W64" i="5" s="1"/>
  <c r="F96" i="5"/>
  <c r="E113" i="5"/>
  <c r="AH113" i="5" s="1"/>
  <c r="AI113" i="5" s="1"/>
  <c r="I118" i="5"/>
  <c r="W118" i="5" s="1"/>
  <c r="C123" i="5"/>
  <c r="BL123" i="5" s="1"/>
  <c r="G25" i="5"/>
  <c r="G69" i="5"/>
  <c r="G2" i="5"/>
  <c r="C16" i="5"/>
  <c r="BL16" i="5" s="1"/>
  <c r="K5" i="5"/>
  <c r="J8" i="5"/>
  <c r="J11" i="5"/>
  <c r="E19" i="5"/>
  <c r="AH19" i="5" s="1"/>
  <c r="AI19" i="5" s="1"/>
  <c r="C22" i="5"/>
  <c r="BL22" i="5" s="1"/>
  <c r="E27" i="5"/>
  <c r="G32" i="5"/>
  <c r="H37" i="5"/>
  <c r="C40" i="5"/>
  <c r="BL40" i="5" s="1"/>
  <c r="BN40" i="5" s="1"/>
  <c r="C43" i="5"/>
  <c r="BL43" i="5" s="1"/>
  <c r="D48" i="5"/>
  <c r="I81" i="5"/>
  <c r="W81" i="5" s="1"/>
  <c r="G96" i="5"/>
  <c r="L118" i="5"/>
  <c r="K137" i="5"/>
  <c r="U137" i="5" s="1"/>
  <c r="K11" i="5"/>
  <c r="U11" i="5" s="1"/>
  <c r="C52" i="5"/>
  <c r="BL52" i="5" s="1"/>
  <c r="I92" i="5"/>
  <c r="W92" i="5" s="1"/>
  <c r="K101" i="5"/>
  <c r="U101" i="5" s="1"/>
  <c r="G121" i="5"/>
  <c r="K43" i="5"/>
  <c r="U43" i="5" s="1"/>
  <c r="L17" i="5"/>
  <c r="L46" i="5"/>
  <c r="D104" i="5"/>
  <c r="J114" i="5"/>
  <c r="I124" i="5"/>
  <c r="W124" i="5" s="1"/>
  <c r="H161" i="5"/>
  <c r="J220" i="5"/>
  <c r="J86" i="5"/>
  <c r="H25" i="5"/>
  <c r="C33" i="5"/>
  <c r="BL33" i="5" s="1"/>
  <c r="I35" i="5"/>
  <c r="W35" i="5" s="1"/>
  <c r="C38" i="5"/>
  <c r="BL38" i="5" s="1"/>
  <c r="K46" i="5"/>
  <c r="U46" i="5" s="1"/>
  <c r="G74" i="5"/>
  <c r="H146" i="5"/>
  <c r="H6" i="5"/>
  <c r="F104" i="5"/>
  <c r="K114" i="5"/>
  <c r="U114" i="5" s="1"/>
  <c r="J124" i="5"/>
  <c r="L43" i="5"/>
  <c r="G6" i="5"/>
  <c r="F3" i="5"/>
  <c r="F12" i="5"/>
  <c r="I41" i="5"/>
  <c r="W41" i="5" s="1"/>
  <c r="G12" i="5"/>
  <c r="L20" i="5"/>
  <c r="G23" i="5"/>
  <c r="I28" i="5"/>
  <c r="L33" i="5"/>
  <c r="J41" i="5"/>
  <c r="H44" i="5"/>
  <c r="G62" i="5"/>
  <c r="G15" i="5"/>
  <c r="H23" i="5"/>
  <c r="C26" i="5"/>
  <c r="BL26" i="5" s="1"/>
  <c r="BP26" i="5" s="1"/>
  <c r="I44" i="5"/>
  <c r="W44" i="5" s="1"/>
  <c r="F54" i="5"/>
  <c r="J62" i="5"/>
  <c r="H79" i="5"/>
  <c r="C83" i="5"/>
  <c r="BL83" i="5" s="1"/>
  <c r="BN83" i="5" s="1"/>
  <c r="I107" i="5"/>
  <c r="W107" i="5" s="1"/>
  <c r="C127" i="5"/>
  <c r="BL127" i="5" s="1"/>
  <c r="D3" i="5"/>
  <c r="F9" i="5"/>
  <c r="K20" i="5"/>
  <c r="U20" i="5" s="1"/>
  <c r="K33" i="5"/>
  <c r="U33" i="5" s="1"/>
  <c r="H74" i="5"/>
  <c r="C10" i="5"/>
  <c r="BL10" i="5" s="1"/>
  <c r="BP10" i="5" s="1"/>
  <c r="H15" i="5"/>
  <c r="I18" i="5"/>
  <c r="W18" i="5" s="1"/>
  <c r="K26" i="5"/>
  <c r="D36" i="5"/>
  <c r="H39" i="5"/>
  <c r="H47" i="5"/>
  <c r="H50" i="5"/>
  <c r="F59" i="5"/>
  <c r="C88" i="5"/>
  <c r="BL88" i="5" s="1"/>
  <c r="E100" i="5"/>
  <c r="AH100" i="5" s="1"/>
  <c r="AI100" i="5" s="1"/>
  <c r="J107" i="5"/>
  <c r="D127" i="5"/>
  <c r="D194" i="5"/>
  <c r="F69" i="5"/>
  <c r="G30" i="5"/>
  <c r="J18" i="5"/>
  <c r="K31" i="5"/>
  <c r="U31" i="5" s="1"/>
  <c r="G34" i="5"/>
  <c r="L36" i="5"/>
  <c r="F42" i="5"/>
  <c r="I50" i="5"/>
  <c r="G59" i="5"/>
  <c r="D88" i="5"/>
  <c r="L93" i="5"/>
  <c r="F100" i="5"/>
  <c r="D22" i="5"/>
  <c r="K86" i="5"/>
  <c r="E3" i="5"/>
  <c r="E9" i="5"/>
  <c r="AH9" i="5" s="1"/>
  <c r="AI9" i="5" s="1"/>
  <c r="H30" i="5"/>
  <c r="C13" i="5"/>
  <c r="BL13" i="5" s="1"/>
  <c r="G21" i="5"/>
  <c r="I39" i="5"/>
  <c r="W39" i="5" s="1"/>
  <c r="D13" i="5"/>
  <c r="H21" i="5"/>
  <c r="C24" i="5"/>
  <c r="BL24" i="5" s="1"/>
  <c r="C29" i="5"/>
  <c r="BL29" i="5" s="1"/>
  <c r="G42" i="5"/>
  <c r="D45" i="5"/>
  <c r="C110" i="5"/>
  <c r="BL110" i="5" s="1"/>
  <c r="G180" i="5"/>
  <c r="F110" i="5"/>
  <c r="E16" i="5"/>
  <c r="H32" i="5"/>
  <c r="L64" i="5"/>
  <c r="H69" i="5"/>
  <c r="K74" i="5"/>
  <c r="U74" i="5" s="1"/>
  <c r="L86" i="5"/>
  <c r="J2" i="5"/>
  <c r="G3" i="5"/>
  <c r="D4" i="5"/>
  <c r="D7" i="5"/>
  <c r="L8" i="5"/>
  <c r="H9" i="5"/>
  <c r="E10" i="5"/>
  <c r="AH10" i="5" s="1"/>
  <c r="AI10" i="5" s="1"/>
  <c r="I12" i="5"/>
  <c r="W12" i="5" s="1"/>
  <c r="E13" i="5"/>
  <c r="AH13" i="5" s="1"/>
  <c r="AI13" i="5" s="1"/>
  <c r="J15" i="5"/>
  <c r="F16" i="5"/>
  <c r="C17" i="5"/>
  <c r="BL17" i="5" s="1"/>
  <c r="L18" i="5"/>
  <c r="G19" i="5"/>
  <c r="D20" i="5"/>
  <c r="J21" i="5"/>
  <c r="F22" i="5"/>
  <c r="I23" i="5"/>
  <c r="W23" i="5" s="1"/>
  <c r="E24" i="5"/>
  <c r="I25" i="5"/>
  <c r="W25" i="5" s="1"/>
  <c r="D26" i="5"/>
  <c r="K28" i="5"/>
  <c r="U28" i="5" s="1"/>
  <c r="D29" i="5"/>
  <c r="J30" i="5"/>
  <c r="D31" i="5"/>
  <c r="I32" i="5"/>
  <c r="W32" i="5" s="1"/>
  <c r="K35" i="5"/>
  <c r="E36" i="5"/>
  <c r="AH36" i="5" s="1"/>
  <c r="AI36" i="5" s="1"/>
  <c r="I37" i="5"/>
  <c r="W37" i="5" s="1"/>
  <c r="E38" i="5"/>
  <c r="AH38" i="5" s="1"/>
  <c r="AI38" i="5" s="1"/>
  <c r="E40" i="5"/>
  <c r="AH40" i="5" s="1"/>
  <c r="AI40" i="5" s="1"/>
  <c r="L41" i="5"/>
  <c r="I42" i="5"/>
  <c r="W42" i="5" s="1"/>
  <c r="J44" i="5"/>
  <c r="C46" i="5"/>
  <c r="BL46" i="5" s="1"/>
  <c r="J47" i="5"/>
  <c r="F48" i="5"/>
  <c r="L50" i="5"/>
  <c r="L52" i="5"/>
  <c r="H54" i="5"/>
  <c r="H56" i="5"/>
  <c r="K59" i="5"/>
  <c r="U59" i="5" s="1"/>
  <c r="C61" i="5"/>
  <c r="I66" i="5"/>
  <c r="W66" i="5" s="1"/>
  <c r="K69" i="5"/>
  <c r="U69" i="5" s="1"/>
  <c r="H71" i="5"/>
  <c r="I76" i="5"/>
  <c r="W76" i="5" s="1"/>
  <c r="C78" i="5"/>
  <c r="BL78" i="5" s="1"/>
  <c r="K83" i="5"/>
  <c r="U83" i="5" s="1"/>
  <c r="D85" i="5"/>
  <c r="F91" i="5"/>
  <c r="K96" i="5"/>
  <c r="E99" i="5"/>
  <c r="AH99" i="5" s="1"/>
  <c r="AI99" i="5" s="1"/>
  <c r="G109" i="5"/>
  <c r="E117" i="5"/>
  <c r="AH117" i="5" s="1"/>
  <c r="AI117" i="5" s="1"/>
  <c r="J120" i="5"/>
  <c r="E123" i="5"/>
  <c r="AH123" i="5" s="1"/>
  <c r="AI123" i="5" s="1"/>
  <c r="C133" i="5"/>
  <c r="BL133" i="5" s="1"/>
  <c r="L175" i="5"/>
  <c r="C209" i="5"/>
  <c r="BL209" i="5" s="1"/>
  <c r="I6" i="5"/>
  <c r="H12" i="5"/>
  <c r="K18" i="5"/>
  <c r="U18" i="5" s="1"/>
  <c r="J28" i="5"/>
  <c r="L31" i="5"/>
  <c r="J35" i="5"/>
  <c r="J39" i="5"/>
  <c r="D43" i="5"/>
  <c r="I47" i="5"/>
  <c r="W47" i="5" s="1"/>
  <c r="E48" i="5"/>
  <c r="AH48" i="5" s="1"/>
  <c r="AI48" i="5" s="1"/>
  <c r="H66" i="5"/>
  <c r="G71" i="5"/>
  <c r="H76" i="5"/>
  <c r="J81" i="5"/>
  <c r="E83" i="5"/>
  <c r="AH83" i="5" s="1"/>
  <c r="AI83" i="5" s="1"/>
  <c r="C85" i="5"/>
  <c r="BL85" i="5" s="1"/>
  <c r="G88" i="5"/>
  <c r="L92" i="5"/>
  <c r="H96" i="5"/>
  <c r="I100" i="5"/>
  <c r="L110" i="5"/>
  <c r="F113" i="5"/>
  <c r="C117" i="5"/>
  <c r="BL117" i="5" s="1"/>
  <c r="I120" i="5"/>
  <c r="W120" i="5" s="1"/>
  <c r="E151" i="5"/>
  <c r="K2" i="5"/>
  <c r="U2" i="5" s="1"/>
  <c r="H3" i="5"/>
  <c r="E4" i="5"/>
  <c r="AH4" i="5" s="1"/>
  <c r="AI4" i="5" s="1"/>
  <c r="J6" i="5"/>
  <c r="E7" i="5"/>
  <c r="AH7" i="5" s="1"/>
  <c r="AI7" i="5" s="1"/>
  <c r="I9" i="5"/>
  <c r="W9" i="5" s="1"/>
  <c r="F10" i="5"/>
  <c r="J12" i="5"/>
  <c r="F13" i="5"/>
  <c r="C14" i="5"/>
  <c r="BL14" i="5" s="1"/>
  <c r="K15" i="5"/>
  <c r="U15" i="5" s="1"/>
  <c r="G16" i="5"/>
  <c r="D17" i="5"/>
  <c r="H19" i="5"/>
  <c r="E20" i="5"/>
  <c r="K21" i="5"/>
  <c r="G22" i="5"/>
  <c r="J23" i="5"/>
  <c r="F24" i="5"/>
  <c r="J25" i="5"/>
  <c r="E26" i="5"/>
  <c r="AH26" i="5" s="1"/>
  <c r="AI26" i="5" s="1"/>
  <c r="G27" i="5"/>
  <c r="E29" i="5"/>
  <c r="AH29" i="5" s="1"/>
  <c r="AI29" i="5" s="1"/>
  <c r="E31" i="5"/>
  <c r="AH31" i="5" s="1"/>
  <c r="AI31" i="5" s="1"/>
  <c r="J32" i="5"/>
  <c r="E33" i="5"/>
  <c r="I34" i="5"/>
  <c r="W34" i="5" s="1"/>
  <c r="C35" i="5"/>
  <c r="BL35" i="5" s="1"/>
  <c r="L35" i="5"/>
  <c r="F36" i="5"/>
  <c r="J37" i="5"/>
  <c r="F38" i="5"/>
  <c r="K39" i="5"/>
  <c r="U39" i="5" s="1"/>
  <c r="F40" i="5"/>
  <c r="J42" i="5"/>
  <c r="E43" i="5"/>
  <c r="K44" i="5"/>
  <c r="G45" i="5"/>
  <c r="D46" i="5"/>
  <c r="K47" i="5"/>
  <c r="G48" i="5"/>
  <c r="C49" i="5"/>
  <c r="BL49" i="5" s="1"/>
  <c r="K54" i="5"/>
  <c r="U54" i="5" s="1"/>
  <c r="I56" i="5"/>
  <c r="I61" i="5"/>
  <c r="W61" i="5" s="1"/>
  <c r="J66" i="5"/>
  <c r="I71" i="5"/>
  <c r="W71" i="5" s="1"/>
  <c r="C73" i="5"/>
  <c r="L76" i="5"/>
  <c r="C80" i="5"/>
  <c r="BL80" i="5" s="1"/>
  <c r="L83" i="5"/>
  <c r="E85" i="5"/>
  <c r="AH85" i="5" s="1"/>
  <c r="AI85" i="5" s="1"/>
  <c r="G91" i="5"/>
  <c r="D95" i="5"/>
  <c r="J99" i="5"/>
  <c r="H103" i="5"/>
  <c r="C106" i="5"/>
  <c r="BL106" i="5" s="1"/>
  <c r="H109" i="5"/>
  <c r="H113" i="5"/>
  <c r="L117" i="5"/>
  <c r="H123" i="5"/>
  <c r="G126" i="5"/>
  <c r="C129" i="5"/>
  <c r="BL129" i="5" s="1"/>
  <c r="D140" i="5"/>
  <c r="K142" i="5"/>
  <c r="U142" i="5" s="1"/>
  <c r="I149" i="5"/>
  <c r="H159" i="5"/>
  <c r="L5" i="5"/>
  <c r="K8" i="5"/>
  <c r="U8" i="5" s="1"/>
  <c r="L14" i="5"/>
  <c r="I21" i="5"/>
  <c r="W21" i="5" s="1"/>
  <c r="L26" i="5"/>
  <c r="C31" i="5"/>
  <c r="BL31" i="5" s="1"/>
  <c r="H42" i="5"/>
  <c r="H59" i="5"/>
  <c r="L2" i="5"/>
  <c r="F7" i="5"/>
  <c r="C11" i="5"/>
  <c r="E17" i="5"/>
  <c r="AH17" i="5" s="1"/>
  <c r="AI17" i="5" s="1"/>
  <c r="K23" i="5"/>
  <c r="L28" i="5"/>
  <c r="F33" i="5"/>
  <c r="C41" i="5"/>
  <c r="BL41" i="5" s="1"/>
  <c r="BN41" i="5" s="1"/>
  <c r="H45" i="5"/>
  <c r="C58" i="5"/>
  <c r="BL58" i="5" s="1"/>
  <c r="D94" i="5"/>
  <c r="H126" i="5"/>
  <c r="J3" i="5"/>
  <c r="G4" i="5"/>
  <c r="D5" i="5"/>
  <c r="L6" i="5"/>
  <c r="G7" i="5"/>
  <c r="D8" i="5"/>
  <c r="K9" i="5"/>
  <c r="U9" i="5" s="1"/>
  <c r="H10" i="5"/>
  <c r="D11" i="5"/>
  <c r="L12" i="5"/>
  <c r="H13" i="5"/>
  <c r="E14" i="5"/>
  <c r="I16" i="5"/>
  <c r="W16" i="5" s="1"/>
  <c r="F17" i="5"/>
  <c r="C18" i="5"/>
  <c r="BL18" i="5" s="1"/>
  <c r="J19" i="5"/>
  <c r="C23" i="5"/>
  <c r="BL23" i="5" s="1"/>
  <c r="L23" i="5"/>
  <c r="H24" i="5"/>
  <c r="K25" i="5"/>
  <c r="F26" i="5"/>
  <c r="I27" i="5"/>
  <c r="C28" i="5"/>
  <c r="BL28" i="5" s="1"/>
  <c r="L30" i="5"/>
  <c r="F31" i="5"/>
  <c r="L32" i="5"/>
  <c r="K34" i="5"/>
  <c r="U34" i="5" s="1"/>
  <c r="D35" i="5"/>
  <c r="K37" i="5"/>
  <c r="G38" i="5"/>
  <c r="D39" i="5"/>
  <c r="H40" i="5"/>
  <c r="D41" i="5"/>
  <c r="K42" i="5"/>
  <c r="F43" i="5"/>
  <c r="I45" i="5"/>
  <c r="W45" i="5" s="1"/>
  <c r="F46" i="5"/>
  <c r="I48" i="5"/>
  <c r="W48" i="5" s="1"/>
  <c r="E49" i="5"/>
  <c r="AH49" i="5" s="1"/>
  <c r="AI49" i="5" s="1"/>
  <c r="D51" i="5"/>
  <c r="I58" i="5"/>
  <c r="W58" i="5" s="1"/>
  <c r="C60" i="5"/>
  <c r="BL60" i="5" s="1"/>
  <c r="K61" i="5"/>
  <c r="U61" i="5" s="1"/>
  <c r="F63" i="5"/>
  <c r="C65" i="5"/>
  <c r="BL65" i="5" s="1"/>
  <c r="J68" i="5"/>
  <c r="C70" i="5"/>
  <c r="BL70" i="5" s="1"/>
  <c r="K73" i="5"/>
  <c r="U73" i="5" s="1"/>
  <c r="C75" i="5"/>
  <c r="BL75" i="5" s="1"/>
  <c r="K78" i="5"/>
  <c r="U78" i="5" s="1"/>
  <c r="F80" i="5"/>
  <c r="D82" i="5"/>
  <c r="E87" i="5"/>
  <c r="AH87" i="5" s="1"/>
  <c r="AI87" i="5" s="1"/>
  <c r="E90" i="5"/>
  <c r="AH90" i="5" s="1"/>
  <c r="AI90" i="5" s="1"/>
  <c r="E94" i="5"/>
  <c r="AH94" i="5" s="1"/>
  <c r="AI94" i="5" s="1"/>
  <c r="L95" i="5"/>
  <c r="G98" i="5"/>
  <c r="K99" i="5"/>
  <c r="C102" i="5"/>
  <c r="BL102" i="5" s="1"/>
  <c r="BP102" i="5" s="1"/>
  <c r="J103" i="5"/>
  <c r="C108" i="5"/>
  <c r="BL108" i="5" s="1"/>
  <c r="K109" i="5"/>
  <c r="U109" i="5" s="1"/>
  <c r="F112" i="5"/>
  <c r="H116" i="5"/>
  <c r="C119" i="5"/>
  <c r="BL119" i="5" s="1"/>
  <c r="H122" i="5"/>
  <c r="I126" i="5"/>
  <c r="W126" i="5" s="1"/>
  <c r="F136" i="5"/>
  <c r="H154" i="5"/>
  <c r="K162" i="5"/>
  <c r="C7" i="5"/>
  <c r="BL7" i="5" s="1"/>
  <c r="D10" i="5"/>
  <c r="E22" i="5"/>
  <c r="F27" i="5"/>
  <c r="D38" i="5"/>
  <c r="F45" i="5"/>
  <c r="J9" i="5"/>
  <c r="H27" i="5"/>
  <c r="G36" i="5"/>
  <c r="L39" i="5"/>
  <c r="L47" i="5"/>
  <c r="J56" i="5"/>
  <c r="L66" i="5"/>
  <c r="J78" i="5"/>
  <c r="I103" i="5"/>
  <c r="E131" i="5"/>
  <c r="AH131" i="5" s="1"/>
  <c r="AI131" i="5" s="1"/>
  <c r="K3" i="5"/>
  <c r="U3" i="5" s="1"/>
  <c r="H4" i="5"/>
  <c r="E5" i="5"/>
  <c r="AH5" i="5" s="1"/>
  <c r="AI5" i="5" s="1"/>
  <c r="H7" i="5"/>
  <c r="E8" i="5"/>
  <c r="AH8" i="5" s="1"/>
  <c r="AI8" i="5" s="1"/>
  <c r="L9" i="5"/>
  <c r="I10" i="5"/>
  <c r="W10" i="5" s="1"/>
  <c r="E11" i="5"/>
  <c r="AH11" i="5" s="1"/>
  <c r="AI11" i="5" s="1"/>
  <c r="I13" i="5"/>
  <c r="W13" i="5" s="1"/>
  <c r="F14" i="5"/>
  <c r="J16" i="5"/>
  <c r="G17" i="5"/>
  <c r="D18" i="5"/>
  <c r="K19" i="5"/>
  <c r="U19" i="5" s="1"/>
  <c r="G20" i="5"/>
  <c r="C21" i="5"/>
  <c r="BL21" i="5" s="1"/>
  <c r="I22" i="5"/>
  <c r="W22" i="5" s="1"/>
  <c r="I24" i="5"/>
  <c r="W24" i="5" s="1"/>
  <c r="C25" i="5"/>
  <c r="BL25" i="5" s="1"/>
  <c r="L25" i="5"/>
  <c r="G26" i="5"/>
  <c r="J27" i="5"/>
  <c r="D28" i="5"/>
  <c r="G29" i="5"/>
  <c r="C30" i="5"/>
  <c r="BL30" i="5" s="1"/>
  <c r="G31" i="5"/>
  <c r="G33" i="5"/>
  <c r="E35" i="5"/>
  <c r="AH35" i="5" s="1"/>
  <c r="AI35" i="5" s="1"/>
  <c r="H36" i="5"/>
  <c r="C37" i="5"/>
  <c r="BL37" i="5" s="1"/>
  <c r="BP37" i="5" s="1"/>
  <c r="L37" i="5"/>
  <c r="H38" i="5"/>
  <c r="E41" i="5"/>
  <c r="AH41" i="5" s="1"/>
  <c r="AI41" i="5" s="1"/>
  <c r="L42" i="5"/>
  <c r="G43" i="5"/>
  <c r="C44" i="5"/>
  <c r="BL44" i="5" s="1"/>
  <c r="BP44" i="5" s="1"/>
  <c r="J45" i="5"/>
  <c r="G46" i="5"/>
  <c r="C47" i="5"/>
  <c r="BL47" i="5" s="1"/>
  <c r="BP47" i="5" s="1"/>
  <c r="J48" i="5"/>
  <c r="K49" i="5"/>
  <c r="U49" i="5" s="1"/>
  <c r="E51" i="5"/>
  <c r="I53" i="5"/>
  <c r="W53" i="5" s="1"/>
  <c r="C55" i="5"/>
  <c r="BL55" i="5" s="1"/>
  <c r="J58" i="5"/>
  <c r="D60" i="5"/>
  <c r="K68" i="5"/>
  <c r="D70" i="5"/>
  <c r="L73" i="5"/>
  <c r="F75" i="5"/>
  <c r="C77" i="5"/>
  <c r="BL77" i="5" s="1"/>
  <c r="BN77" i="5" s="1"/>
  <c r="E82" i="5"/>
  <c r="AH82" i="5" s="1"/>
  <c r="AI82" i="5" s="1"/>
  <c r="F87" i="5"/>
  <c r="K90" i="5"/>
  <c r="U90" i="5" s="1"/>
  <c r="C93" i="5"/>
  <c r="BL93" i="5" s="1"/>
  <c r="BP93" i="5" s="1"/>
  <c r="F94" i="5"/>
  <c r="H98" i="5"/>
  <c r="D102" i="5"/>
  <c r="H105" i="5"/>
  <c r="D108" i="5"/>
  <c r="L112" i="5"/>
  <c r="D115" i="5"/>
  <c r="I116" i="5"/>
  <c r="W116" i="5" s="1"/>
  <c r="D119" i="5"/>
  <c r="I122" i="5"/>
  <c r="W122" i="5" s="1"/>
  <c r="D125" i="5"/>
  <c r="L126" i="5"/>
  <c r="L129" i="5"/>
  <c r="H152" i="5"/>
  <c r="C187" i="5"/>
  <c r="BL187" i="5" s="1"/>
  <c r="K124" i="5"/>
  <c r="K6" i="5"/>
  <c r="U6" i="5" s="1"/>
  <c r="H16" i="5"/>
  <c r="L21" i="5"/>
  <c r="K30" i="5"/>
  <c r="C63" i="5"/>
  <c r="BL63" i="5" s="1"/>
  <c r="BN63" i="5" s="1"/>
  <c r="D80" i="5"/>
  <c r="F98" i="5"/>
  <c r="C2" i="5"/>
  <c r="L3" i="5"/>
  <c r="I4" i="5"/>
  <c r="W4" i="5" s="1"/>
  <c r="F5" i="5"/>
  <c r="C6" i="5"/>
  <c r="I7" i="5"/>
  <c r="W7" i="5" s="1"/>
  <c r="F8" i="5"/>
  <c r="J10" i="5"/>
  <c r="F11" i="5"/>
  <c r="J13" i="5"/>
  <c r="G14" i="5"/>
  <c r="C15" i="5"/>
  <c r="BL15" i="5" s="1"/>
  <c r="K16" i="5"/>
  <c r="U16" i="5" s="1"/>
  <c r="H17" i="5"/>
  <c r="E18" i="5"/>
  <c r="L19" i="5"/>
  <c r="H20" i="5"/>
  <c r="D21" i="5"/>
  <c r="J22" i="5"/>
  <c r="D23" i="5"/>
  <c r="D25" i="5"/>
  <c r="H26" i="5"/>
  <c r="E28" i="5"/>
  <c r="AH28" i="5" s="1"/>
  <c r="AI28" i="5" s="1"/>
  <c r="H29" i="5"/>
  <c r="D30" i="5"/>
  <c r="H31" i="5"/>
  <c r="C32" i="5"/>
  <c r="BL32" i="5" s="1"/>
  <c r="BP32" i="5" s="1"/>
  <c r="H33" i="5"/>
  <c r="C34" i="5"/>
  <c r="L34" i="5"/>
  <c r="F35" i="5"/>
  <c r="I36" i="5"/>
  <c r="W36" i="5" s="1"/>
  <c r="D37" i="5"/>
  <c r="I38" i="5"/>
  <c r="W38" i="5" s="1"/>
  <c r="E39" i="5"/>
  <c r="AH39" i="5" s="1"/>
  <c r="AI39" i="5" s="1"/>
  <c r="I40" i="5"/>
  <c r="W40" i="5" s="1"/>
  <c r="F41" i="5"/>
  <c r="H43" i="5"/>
  <c r="D44" i="5"/>
  <c r="K45" i="5"/>
  <c r="U45" i="5" s="1"/>
  <c r="H46" i="5"/>
  <c r="D47" i="5"/>
  <c r="K48" i="5"/>
  <c r="U48" i="5" s="1"/>
  <c r="L49" i="5"/>
  <c r="F51" i="5"/>
  <c r="J53" i="5"/>
  <c r="D55" i="5"/>
  <c r="K58" i="5"/>
  <c r="U58" i="5" s="1"/>
  <c r="E60" i="5"/>
  <c r="AH60" i="5" s="1"/>
  <c r="AI60" i="5" s="1"/>
  <c r="E65" i="5"/>
  <c r="AH65" i="5" s="1"/>
  <c r="AI65" i="5" s="1"/>
  <c r="D67" i="5"/>
  <c r="L68" i="5"/>
  <c r="C72" i="5"/>
  <c r="BL72" i="5" s="1"/>
  <c r="L75" i="5"/>
  <c r="D77" i="5"/>
  <c r="F82" i="5"/>
  <c r="G84" i="5"/>
  <c r="G87" i="5"/>
  <c r="I89" i="5"/>
  <c r="W89" i="5" s="1"/>
  <c r="L90" i="5"/>
  <c r="D93" i="5"/>
  <c r="I94" i="5"/>
  <c r="W94" i="5" s="1"/>
  <c r="K98" i="5"/>
  <c r="U98" i="5" s="1"/>
  <c r="E102" i="5"/>
  <c r="AH102" i="5" s="1"/>
  <c r="AI102" i="5" s="1"/>
  <c r="I105" i="5"/>
  <c r="W105" i="5" s="1"/>
  <c r="E108" i="5"/>
  <c r="AH108" i="5" s="1"/>
  <c r="AI108" i="5" s="1"/>
  <c r="G111" i="5"/>
  <c r="E115" i="5"/>
  <c r="AH115" i="5" s="1"/>
  <c r="AI115" i="5" s="1"/>
  <c r="K116" i="5"/>
  <c r="U116" i="5" s="1"/>
  <c r="G119" i="5"/>
  <c r="J122" i="5"/>
  <c r="H128" i="5"/>
  <c r="H134" i="5"/>
  <c r="L145" i="5"/>
  <c r="K210" i="5"/>
  <c r="U210" i="5" s="1"/>
  <c r="G9" i="5"/>
  <c r="I15" i="5"/>
  <c r="C20" i="5"/>
  <c r="BL20" i="5" s="1"/>
  <c r="D24" i="5"/>
  <c r="H34" i="5"/>
  <c r="K41" i="5"/>
  <c r="U41" i="5" s="1"/>
  <c r="C5" i="5"/>
  <c r="BL5" i="5" s="1"/>
  <c r="BP5" i="5" s="1"/>
  <c r="G10" i="5"/>
  <c r="G13" i="5"/>
  <c r="L15" i="5"/>
  <c r="F20" i="5"/>
  <c r="G40" i="5"/>
  <c r="L44" i="5"/>
  <c r="D49" i="5"/>
  <c r="J61" i="5"/>
  <c r="J73" i="5"/>
  <c r="K95" i="5"/>
  <c r="G116" i="5"/>
  <c r="D129" i="5"/>
  <c r="D2" i="5"/>
  <c r="J4" i="5"/>
  <c r="G5" i="5"/>
  <c r="D6" i="5"/>
  <c r="J7" i="5"/>
  <c r="G8" i="5"/>
  <c r="K10" i="5"/>
  <c r="G11" i="5"/>
  <c r="C12" i="5"/>
  <c r="BL12" i="5" s="1"/>
  <c r="K13" i="5"/>
  <c r="H14" i="5"/>
  <c r="D15" i="5"/>
  <c r="L16" i="5"/>
  <c r="I17" i="5"/>
  <c r="W17" i="5" s="1"/>
  <c r="F18" i="5"/>
  <c r="I20" i="5"/>
  <c r="W20" i="5" s="1"/>
  <c r="K22" i="5"/>
  <c r="U22" i="5" s="1"/>
  <c r="E23" i="5"/>
  <c r="AH23" i="5" s="1"/>
  <c r="AI23" i="5" s="1"/>
  <c r="J24" i="5"/>
  <c r="I26" i="5"/>
  <c r="W26" i="5" s="1"/>
  <c r="K27" i="5"/>
  <c r="U27" i="5" s="1"/>
  <c r="F28" i="5"/>
  <c r="D32" i="5"/>
  <c r="I33" i="5"/>
  <c r="W33" i="5" s="1"/>
  <c r="D34" i="5"/>
  <c r="E37" i="5"/>
  <c r="AH37" i="5" s="1"/>
  <c r="AI37" i="5" s="1"/>
  <c r="J38" i="5"/>
  <c r="F39" i="5"/>
  <c r="J40" i="5"/>
  <c r="G41" i="5"/>
  <c r="C42" i="5"/>
  <c r="BL42" i="5" s="1"/>
  <c r="I43" i="5"/>
  <c r="W43" i="5" s="1"/>
  <c r="E44" i="5"/>
  <c r="AH44" i="5" s="1"/>
  <c r="AI44" i="5" s="1"/>
  <c r="L45" i="5"/>
  <c r="E47" i="5"/>
  <c r="AH47" i="5" s="1"/>
  <c r="AI47" i="5" s="1"/>
  <c r="AJ47" i="5" s="1"/>
  <c r="L48" i="5"/>
  <c r="I51" i="5"/>
  <c r="W51" i="5" s="1"/>
  <c r="K53" i="5"/>
  <c r="U53" i="5" s="1"/>
  <c r="E55" i="5"/>
  <c r="D57" i="5"/>
  <c r="G60" i="5"/>
  <c r="K65" i="5"/>
  <c r="E67" i="5"/>
  <c r="G70" i="5"/>
  <c r="I82" i="5"/>
  <c r="W82" i="5" s="1"/>
  <c r="H84" i="5"/>
  <c r="J87" i="5"/>
  <c r="C97" i="5"/>
  <c r="BL97" i="5" s="1"/>
  <c r="H102" i="5"/>
  <c r="J105" i="5"/>
  <c r="H108" i="5"/>
  <c r="H111" i="5"/>
  <c r="F115" i="5"/>
  <c r="C121" i="5"/>
  <c r="BL121" i="5" s="1"/>
  <c r="E125" i="5"/>
  <c r="I128" i="5"/>
  <c r="W128" i="5" s="1"/>
  <c r="J134" i="5"/>
  <c r="K152" i="5"/>
  <c r="U152" i="5" s="1"/>
  <c r="F168" i="5"/>
  <c r="H182" i="5"/>
  <c r="I2" i="5"/>
  <c r="W2" i="5" s="1"/>
  <c r="F19" i="5"/>
  <c r="D33" i="5"/>
  <c r="D40" i="5"/>
  <c r="G54" i="5"/>
  <c r="G127" i="5"/>
  <c r="F4" i="5"/>
  <c r="D14" i="5"/>
  <c r="H22" i="5"/>
  <c r="K32" i="5"/>
  <c r="U32" i="5" s="1"/>
  <c r="C39" i="5"/>
  <c r="BL39" i="5" s="1"/>
  <c r="H48" i="5"/>
  <c r="K71" i="5"/>
  <c r="U71" i="5" s="1"/>
  <c r="I91" i="5"/>
  <c r="W91" i="5" s="1"/>
  <c r="F106" i="5"/>
  <c r="C112" i="5"/>
  <c r="BL112" i="5" s="1"/>
  <c r="E2" i="5"/>
  <c r="AH2" i="5" s="1"/>
  <c r="AI2" i="5" s="1"/>
  <c r="K4" i="5"/>
  <c r="U4" i="5" s="1"/>
  <c r="H5" i="5"/>
  <c r="E6" i="5"/>
  <c r="K7" i="5"/>
  <c r="H8" i="5"/>
  <c r="C9" i="5"/>
  <c r="BL9" i="5" s="1"/>
  <c r="BN9" i="5" s="1"/>
  <c r="L10" i="5"/>
  <c r="H11" i="5"/>
  <c r="D12" i="5"/>
  <c r="L13" i="5"/>
  <c r="I14" i="5"/>
  <c r="W14" i="5" s="1"/>
  <c r="E15" i="5"/>
  <c r="AH15" i="5" s="1"/>
  <c r="AI15" i="5" s="1"/>
  <c r="J17" i="5"/>
  <c r="G18" i="5"/>
  <c r="C19" i="5"/>
  <c r="BL19" i="5" s="1"/>
  <c r="E21" i="5"/>
  <c r="AH21" i="5" s="1"/>
  <c r="AI21" i="5" s="1"/>
  <c r="F23" i="5"/>
  <c r="E25" i="5"/>
  <c r="AH25" i="5" s="1"/>
  <c r="AI25" i="5" s="1"/>
  <c r="C27" i="5"/>
  <c r="BL27" i="5" s="1"/>
  <c r="L27" i="5"/>
  <c r="G28" i="5"/>
  <c r="I29" i="5"/>
  <c r="W29" i="5" s="1"/>
  <c r="E30" i="5"/>
  <c r="AH30" i="5" s="1"/>
  <c r="AI30" i="5" s="1"/>
  <c r="I31" i="5"/>
  <c r="W31" i="5" s="1"/>
  <c r="E32" i="5"/>
  <c r="J33" i="5"/>
  <c r="E34" i="5"/>
  <c r="AH34" i="5" s="1"/>
  <c r="AI34" i="5" s="1"/>
  <c r="G35" i="5"/>
  <c r="J36" i="5"/>
  <c r="K38" i="5"/>
  <c r="U38" i="5" s="1"/>
  <c r="K40" i="5"/>
  <c r="U40" i="5" s="1"/>
  <c r="H41" i="5"/>
  <c r="D42" i="5"/>
  <c r="J43" i="5"/>
  <c r="F44" i="5"/>
  <c r="I46" i="5"/>
  <c r="W46" i="5" s="1"/>
  <c r="F47" i="5"/>
  <c r="F62" i="5"/>
  <c r="L65" i="5"/>
  <c r="F67" i="5"/>
  <c r="L70" i="5"/>
  <c r="D72" i="5"/>
  <c r="F77" i="5"/>
  <c r="F79" i="5"/>
  <c r="I84" i="5"/>
  <c r="J89" i="5"/>
  <c r="E97" i="5"/>
  <c r="D101" i="5"/>
  <c r="L105" i="5"/>
  <c r="I111" i="5"/>
  <c r="W111" i="5" s="1"/>
  <c r="H115" i="5"/>
  <c r="G118" i="5"/>
  <c r="D121" i="5"/>
  <c r="H125" i="5"/>
  <c r="J128" i="5"/>
  <c r="L132" i="5"/>
  <c r="L171" i="5"/>
  <c r="C185" i="5"/>
  <c r="BL185" i="5" s="1"/>
  <c r="E196" i="5"/>
  <c r="C4" i="5"/>
  <c r="L11" i="5"/>
  <c r="I30" i="5"/>
  <c r="W30" i="5" s="1"/>
  <c r="D123" i="5"/>
  <c r="I3" i="5"/>
  <c r="W3" i="5" s="1"/>
  <c r="C8" i="5"/>
  <c r="BL8" i="5" s="1"/>
  <c r="K12" i="5"/>
  <c r="U12" i="5" s="1"/>
  <c r="I19" i="5"/>
  <c r="W19" i="5" s="1"/>
  <c r="G24" i="5"/>
  <c r="F29" i="5"/>
  <c r="J34" i="5"/>
  <c r="E46" i="5"/>
  <c r="AH46" i="5" s="1"/>
  <c r="AI46" i="5" s="1"/>
  <c r="C68" i="5"/>
  <c r="BL68" i="5" s="1"/>
  <c r="G85" i="5"/>
  <c r="K140" i="5"/>
  <c r="U140" i="5" s="1"/>
  <c r="F2" i="5"/>
  <c r="C3" i="5"/>
  <c r="BL3" i="5" s="1"/>
  <c r="L4" i="5"/>
  <c r="I5" i="5"/>
  <c r="W5" i="5" s="1"/>
  <c r="F6" i="5"/>
  <c r="L7" i="5"/>
  <c r="I8" i="5"/>
  <c r="D9" i="5"/>
  <c r="I11" i="5"/>
  <c r="E12" i="5"/>
  <c r="J14" i="5"/>
  <c r="F15" i="5"/>
  <c r="K17" i="5"/>
  <c r="H18" i="5"/>
  <c r="D19" i="5"/>
  <c r="J20" i="5"/>
  <c r="F21" i="5"/>
  <c r="L22" i="5"/>
  <c r="K24" i="5"/>
  <c r="U24" i="5" s="1"/>
  <c r="F25" i="5"/>
  <c r="J26" i="5"/>
  <c r="D27" i="5"/>
  <c r="H28" i="5"/>
  <c r="J29" i="5"/>
  <c r="F30" i="5"/>
  <c r="J31" i="5"/>
  <c r="F32" i="5"/>
  <c r="F34" i="5"/>
  <c r="H35" i="5"/>
  <c r="C36" i="5"/>
  <c r="BL36" i="5" s="1"/>
  <c r="K36" i="5"/>
  <c r="U36" i="5" s="1"/>
  <c r="F37" i="5"/>
  <c r="L38" i="5"/>
  <c r="G39" i="5"/>
  <c r="L40" i="5"/>
  <c r="E42" i="5"/>
  <c r="AH42" i="5" s="1"/>
  <c r="AI42" i="5" s="1"/>
  <c r="G44" i="5"/>
  <c r="C45" i="5"/>
  <c r="BL45" i="5" s="1"/>
  <c r="J46" i="5"/>
  <c r="G47" i="5"/>
  <c r="L55" i="5"/>
  <c r="G57" i="5"/>
  <c r="H64" i="5"/>
  <c r="I67" i="5"/>
  <c r="W67" i="5" s="1"/>
  <c r="G72" i="5"/>
  <c r="F74" i="5"/>
  <c r="G79" i="5"/>
  <c r="C81" i="5"/>
  <c r="BL81" i="5" s="1"/>
  <c r="C86" i="5"/>
  <c r="BL86" i="5" s="1"/>
  <c r="BN86" i="5" s="1"/>
  <c r="H92" i="5"/>
  <c r="K93" i="5"/>
  <c r="U93" i="5" s="1"/>
  <c r="L97" i="5"/>
  <c r="D100" i="5"/>
  <c r="I101" i="5"/>
  <c r="W101" i="5" s="1"/>
  <c r="C104" i="5"/>
  <c r="BL104" i="5" s="1"/>
  <c r="H107" i="5"/>
  <c r="K111" i="5"/>
  <c r="U111" i="5" s="1"/>
  <c r="C114" i="5"/>
  <c r="H118" i="5"/>
  <c r="C124" i="5"/>
  <c r="BL124" i="5" s="1"/>
  <c r="I137" i="5"/>
  <c r="W137" i="5" s="1"/>
  <c r="H139" i="5"/>
  <c r="L148" i="5"/>
  <c r="G166" i="5"/>
  <c r="J50" i="5"/>
  <c r="G51" i="5"/>
  <c r="D52" i="5"/>
  <c r="L53" i="5"/>
  <c r="I54" i="5"/>
  <c r="F55" i="5"/>
  <c r="K56" i="5"/>
  <c r="U56" i="5" s="1"/>
  <c r="E57" i="5"/>
  <c r="AH57" i="5" s="1"/>
  <c r="AI57" i="5" s="1"/>
  <c r="L58" i="5"/>
  <c r="I59" i="5"/>
  <c r="W59" i="5" s="1"/>
  <c r="L61" i="5"/>
  <c r="H62" i="5"/>
  <c r="D63" i="5"/>
  <c r="J64" i="5"/>
  <c r="D65" i="5"/>
  <c r="G67" i="5"/>
  <c r="I69" i="5"/>
  <c r="W69" i="5" s="1"/>
  <c r="E70" i="5"/>
  <c r="AH70" i="5" s="1"/>
  <c r="AI70" i="5" s="1"/>
  <c r="J71" i="5"/>
  <c r="E72" i="5"/>
  <c r="I74" i="5"/>
  <c r="W74" i="5" s="1"/>
  <c r="D75" i="5"/>
  <c r="J76" i="5"/>
  <c r="E77" i="5"/>
  <c r="AH77" i="5" s="1"/>
  <c r="AI77" i="5" s="1"/>
  <c r="L78" i="5"/>
  <c r="I79" i="5"/>
  <c r="W79" i="5" s="1"/>
  <c r="E80" i="5"/>
  <c r="AH80" i="5" s="1"/>
  <c r="AI80" i="5" s="1"/>
  <c r="K81" i="5"/>
  <c r="G82" i="5"/>
  <c r="D83" i="5"/>
  <c r="J84" i="5"/>
  <c r="F85" i="5"/>
  <c r="H87" i="5"/>
  <c r="E88" i="5"/>
  <c r="C90" i="5"/>
  <c r="BL90" i="5" s="1"/>
  <c r="J92" i="5"/>
  <c r="G94" i="5"/>
  <c r="I96" i="5"/>
  <c r="W96" i="5" s="1"/>
  <c r="D97" i="5"/>
  <c r="I98" i="5"/>
  <c r="W98" i="5" s="1"/>
  <c r="C99" i="5"/>
  <c r="BL99" i="5" s="1"/>
  <c r="L99" i="5"/>
  <c r="G100" i="5"/>
  <c r="L101" i="5"/>
  <c r="F102" i="5"/>
  <c r="K103" i="5"/>
  <c r="D106" i="5"/>
  <c r="K107" i="5"/>
  <c r="U107" i="5" s="1"/>
  <c r="F108" i="5"/>
  <c r="I109" i="5"/>
  <c r="D110" i="5"/>
  <c r="J111" i="5"/>
  <c r="D112" i="5"/>
  <c r="G113" i="5"/>
  <c r="L114" i="5"/>
  <c r="G115" i="5"/>
  <c r="J116" i="5"/>
  <c r="D117" i="5"/>
  <c r="J118" i="5"/>
  <c r="E119" i="5"/>
  <c r="AH119" i="5" s="1"/>
  <c r="AI119" i="5" s="1"/>
  <c r="K120" i="5"/>
  <c r="U120" i="5" s="1"/>
  <c r="E121" i="5"/>
  <c r="K122" i="5"/>
  <c r="F123" i="5"/>
  <c r="L124" i="5"/>
  <c r="F125" i="5"/>
  <c r="J126" i="5"/>
  <c r="E127" i="5"/>
  <c r="AH127" i="5" s="1"/>
  <c r="AI127" i="5" s="1"/>
  <c r="K128" i="5"/>
  <c r="U128" i="5" s="1"/>
  <c r="E129" i="5"/>
  <c r="AH129" i="5" s="1"/>
  <c r="AI129" i="5" s="1"/>
  <c r="F131" i="5"/>
  <c r="C142" i="5"/>
  <c r="BL142" i="5" s="1"/>
  <c r="C145" i="5"/>
  <c r="BL145" i="5" s="1"/>
  <c r="G151" i="5"/>
  <c r="L157" i="5"/>
  <c r="I164" i="5"/>
  <c r="D192" i="5"/>
  <c r="K50" i="5"/>
  <c r="U50" i="5" s="1"/>
  <c r="H51" i="5"/>
  <c r="E52" i="5"/>
  <c r="AH52" i="5" s="1"/>
  <c r="AI52" i="5" s="1"/>
  <c r="J54" i="5"/>
  <c r="G55" i="5"/>
  <c r="L56" i="5"/>
  <c r="F57" i="5"/>
  <c r="J59" i="5"/>
  <c r="F60" i="5"/>
  <c r="I62" i="5"/>
  <c r="W62" i="5" s="1"/>
  <c r="E63" i="5"/>
  <c r="AH63" i="5" s="1"/>
  <c r="AI63" i="5" s="1"/>
  <c r="K64" i="5"/>
  <c r="U64" i="5" s="1"/>
  <c r="K66" i="5"/>
  <c r="H67" i="5"/>
  <c r="J69" i="5"/>
  <c r="F70" i="5"/>
  <c r="F72" i="5"/>
  <c r="J74" i="5"/>
  <c r="E75" i="5"/>
  <c r="AH75" i="5" s="1"/>
  <c r="AI75" i="5" s="1"/>
  <c r="K76" i="5"/>
  <c r="J79" i="5"/>
  <c r="L81" i="5"/>
  <c r="H82" i="5"/>
  <c r="K84" i="5"/>
  <c r="I87" i="5"/>
  <c r="W87" i="5" s="1"/>
  <c r="F88" i="5"/>
  <c r="K89" i="5"/>
  <c r="U89" i="5" s="1"/>
  <c r="D90" i="5"/>
  <c r="H91" i="5"/>
  <c r="K92" i="5"/>
  <c r="E93" i="5"/>
  <c r="AH93" i="5" s="1"/>
  <c r="AI93" i="5" s="1"/>
  <c r="H94" i="5"/>
  <c r="C95" i="5"/>
  <c r="BL95" i="5" s="1"/>
  <c r="J96" i="5"/>
  <c r="J98" i="5"/>
  <c r="D99" i="5"/>
  <c r="H100" i="5"/>
  <c r="C101" i="5"/>
  <c r="BL101" i="5" s="1"/>
  <c r="G102" i="5"/>
  <c r="L103" i="5"/>
  <c r="E104" i="5"/>
  <c r="AH104" i="5" s="1"/>
  <c r="AI104" i="5" s="1"/>
  <c r="K105" i="5"/>
  <c r="U105" i="5" s="1"/>
  <c r="E106" i="5"/>
  <c r="AH106" i="5" s="1"/>
  <c r="AI106" i="5" s="1"/>
  <c r="L107" i="5"/>
  <c r="G108" i="5"/>
  <c r="J109" i="5"/>
  <c r="E110" i="5"/>
  <c r="AH110" i="5" s="1"/>
  <c r="AI110" i="5" s="1"/>
  <c r="E112" i="5"/>
  <c r="K118" i="5"/>
  <c r="F119" i="5"/>
  <c r="L120" i="5"/>
  <c r="F121" i="5"/>
  <c r="L122" i="5"/>
  <c r="G123" i="5"/>
  <c r="G125" i="5"/>
  <c r="K126" i="5"/>
  <c r="F127" i="5"/>
  <c r="L128" i="5"/>
  <c r="F129" i="5"/>
  <c r="H131" i="5"/>
  <c r="D136" i="5"/>
  <c r="G139" i="5"/>
  <c r="I142" i="5"/>
  <c r="W142" i="5" s="1"/>
  <c r="J145" i="5"/>
  <c r="E148" i="5"/>
  <c r="AH148" i="5" s="1"/>
  <c r="AI148" i="5" s="1"/>
  <c r="I151" i="5"/>
  <c r="W151" i="5" s="1"/>
  <c r="F178" i="5"/>
  <c r="E190" i="5"/>
  <c r="AH190" i="5" s="1"/>
  <c r="AI190" i="5" s="1"/>
  <c r="I199" i="5"/>
  <c r="W199" i="5" s="1"/>
  <c r="F49" i="5"/>
  <c r="J51" i="5"/>
  <c r="F52" i="5"/>
  <c r="C53" i="5"/>
  <c r="BL53" i="5" s="1"/>
  <c r="L54" i="5"/>
  <c r="H55" i="5"/>
  <c r="C56" i="5"/>
  <c r="BL56" i="5" s="1"/>
  <c r="H57" i="5"/>
  <c r="D58" i="5"/>
  <c r="L59" i="5"/>
  <c r="H60" i="5"/>
  <c r="D61" i="5"/>
  <c r="K62" i="5"/>
  <c r="G63" i="5"/>
  <c r="F65" i="5"/>
  <c r="J67" i="5"/>
  <c r="D68" i="5"/>
  <c r="L69" i="5"/>
  <c r="H70" i="5"/>
  <c r="C71" i="5"/>
  <c r="BL71" i="5" s="1"/>
  <c r="BP71" i="5" s="1"/>
  <c r="L71" i="5"/>
  <c r="H72" i="5"/>
  <c r="D73" i="5"/>
  <c r="G77" i="5"/>
  <c r="D78" i="5"/>
  <c r="K79" i="5"/>
  <c r="G80" i="5"/>
  <c r="D81" i="5"/>
  <c r="J82" i="5"/>
  <c r="L84" i="5"/>
  <c r="H85" i="5"/>
  <c r="D86" i="5"/>
  <c r="K87" i="5"/>
  <c r="U87" i="5" s="1"/>
  <c r="H88" i="5"/>
  <c r="C89" i="5"/>
  <c r="BL89" i="5" s="1"/>
  <c r="L89" i="5"/>
  <c r="F90" i="5"/>
  <c r="C92" i="5"/>
  <c r="BL92" i="5" s="1"/>
  <c r="F93" i="5"/>
  <c r="J94" i="5"/>
  <c r="E95" i="5"/>
  <c r="L96" i="5"/>
  <c r="F97" i="5"/>
  <c r="J100" i="5"/>
  <c r="E101" i="5"/>
  <c r="AH101" i="5" s="1"/>
  <c r="AI101" i="5" s="1"/>
  <c r="G104" i="5"/>
  <c r="G106" i="5"/>
  <c r="L109" i="5"/>
  <c r="G110" i="5"/>
  <c r="L111" i="5"/>
  <c r="G112" i="5"/>
  <c r="I113" i="5"/>
  <c r="W113" i="5" s="1"/>
  <c r="D114" i="5"/>
  <c r="I115" i="5"/>
  <c r="W115" i="5" s="1"/>
  <c r="L116" i="5"/>
  <c r="F117" i="5"/>
  <c r="H119" i="5"/>
  <c r="C120" i="5"/>
  <c r="BL120" i="5" s="1"/>
  <c r="H121" i="5"/>
  <c r="C122" i="5"/>
  <c r="BL122" i="5" s="1"/>
  <c r="I123" i="5"/>
  <c r="D124" i="5"/>
  <c r="I125" i="5"/>
  <c r="W125" i="5" s="1"/>
  <c r="H127" i="5"/>
  <c r="C128" i="5"/>
  <c r="BL128" i="5" s="1"/>
  <c r="G129" i="5"/>
  <c r="E133" i="5"/>
  <c r="AH133" i="5" s="1"/>
  <c r="AI133" i="5" s="1"/>
  <c r="J139" i="5"/>
  <c r="K169" i="5"/>
  <c r="U169" i="5" s="1"/>
  <c r="G176" i="5"/>
  <c r="J197" i="5"/>
  <c r="G205" i="5"/>
  <c r="D213" i="5"/>
  <c r="G49" i="5"/>
  <c r="C50" i="5"/>
  <c r="BL50" i="5" s="1"/>
  <c r="K51" i="5"/>
  <c r="U51" i="5" s="1"/>
  <c r="G52" i="5"/>
  <c r="D53" i="5"/>
  <c r="I57" i="5"/>
  <c r="W57" i="5" s="1"/>
  <c r="E58" i="5"/>
  <c r="AH58" i="5" s="1"/>
  <c r="AI58" i="5" s="1"/>
  <c r="I60" i="5"/>
  <c r="W60" i="5" s="1"/>
  <c r="E61" i="5"/>
  <c r="AH61" i="5" s="1"/>
  <c r="AI61" i="5" s="1"/>
  <c r="L62" i="5"/>
  <c r="H63" i="5"/>
  <c r="C64" i="5"/>
  <c r="BL64" i="5" s="1"/>
  <c r="BN64" i="5" s="1"/>
  <c r="G65" i="5"/>
  <c r="C66" i="5"/>
  <c r="BL66" i="5" s="1"/>
  <c r="E68" i="5"/>
  <c r="AH68" i="5" s="1"/>
  <c r="AI68" i="5" s="1"/>
  <c r="I70" i="5"/>
  <c r="I72" i="5"/>
  <c r="E73" i="5"/>
  <c r="L74" i="5"/>
  <c r="G75" i="5"/>
  <c r="C76" i="5"/>
  <c r="BL76" i="5" s="1"/>
  <c r="H77" i="5"/>
  <c r="E78" i="5"/>
  <c r="AH78" i="5" s="1"/>
  <c r="AI78" i="5" s="1"/>
  <c r="L79" i="5"/>
  <c r="H80" i="5"/>
  <c r="E81" i="5"/>
  <c r="AH81" i="5" s="1"/>
  <c r="AI81" i="5" s="1"/>
  <c r="K82" i="5"/>
  <c r="F83" i="5"/>
  <c r="C84" i="5"/>
  <c r="BL84" i="5" s="1"/>
  <c r="BP84" i="5" s="1"/>
  <c r="I85" i="5"/>
  <c r="W85" i="5" s="1"/>
  <c r="E86" i="5"/>
  <c r="AH86" i="5" s="1"/>
  <c r="AI86" i="5" s="1"/>
  <c r="L87" i="5"/>
  <c r="I88" i="5"/>
  <c r="W88" i="5" s="1"/>
  <c r="D89" i="5"/>
  <c r="G90" i="5"/>
  <c r="J91" i="5"/>
  <c r="D92" i="5"/>
  <c r="K94" i="5"/>
  <c r="U94" i="5" s="1"/>
  <c r="F95" i="5"/>
  <c r="G97" i="5"/>
  <c r="L98" i="5"/>
  <c r="F99" i="5"/>
  <c r="K100" i="5"/>
  <c r="U100" i="5" s="1"/>
  <c r="F101" i="5"/>
  <c r="I102" i="5"/>
  <c r="W102" i="5" s="1"/>
  <c r="C103" i="5"/>
  <c r="BL103" i="5" s="1"/>
  <c r="H104" i="5"/>
  <c r="C105" i="5"/>
  <c r="H106" i="5"/>
  <c r="C107" i="5"/>
  <c r="BL107" i="5" s="1"/>
  <c r="I108" i="5"/>
  <c r="W108" i="5" s="1"/>
  <c r="C109" i="5"/>
  <c r="BL109" i="5" s="1"/>
  <c r="H110" i="5"/>
  <c r="J113" i="5"/>
  <c r="E114" i="5"/>
  <c r="AH114" i="5" s="1"/>
  <c r="AI114" i="5" s="1"/>
  <c r="J115" i="5"/>
  <c r="G117" i="5"/>
  <c r="I119" i="5"/>
  <c r="W119" i="5" s="1"/>
  <c r="D120" i="5"/>
  <c r="I121" i="5"/>
  <c r="W121" i="5" s="1"/>
  <c r="D122" i="5"/>
  <c r="J123" i="5"/>
  <c r="E124" i="5"/>
  <c r="AH124" i="5" s="1"/>
  <c r="AI124" i="5" s="1"/>
  <c r="J125" i="5"/>
  <c r="C126" i="5"/>
  <c r="BL126" i="5" s="1"/>
  <c r="I127" i="5"/>
  <c r="W127" i="5" s="1"/>
  <c r="D128" i="5"/>
  <c r="H129" i="5"/>
  <c r="F141" i="5"/>
  <c r="C147" i="5"/>
  <c r="BL147" i="5" s="1"/>
  <c r="C150" i="5"/>
  <c r="BL150" i="5" s="1"/>
  <c r="C160" i="5"/>
  <c r="BL160" i="5" s="1"/>
  <c r="L167" i="5"/>
  <c r="I186" i="5"/>
  <c r="J195" i="5"/>
  <c r="F216" i="5"/>
  <c r="D50" i="5"/>
  <c r="L51" i="5"/>
  <c r="H52" i="5"/>
  <c r="E53" i="5"/>
  <c r="AH53" i="5" s="1"/>
  <c r="AI53" i="5" s="1"/>
  <c r="I55" i="5"/>
  <c r="W55" i="5" s="1"/>
  <c r="D56" i="5"/>
  <c r="J57" i="5"/>
  <c r="F58" i="5"/>
  <c r="J60" i="5"/>
  <c r="I63" i="5"/>
  <c r="D64" i="5"/>
  <c r="H65" i="5"/>
  <c r="D66" i="5"/>
  <c r="K67" i="5"/>
  <c r="F68" i="5"/>
  <c r="C69" i="5"/>
  <c r="BL69" i="5" s="1"/>
  <c r="D71" i="5"/>
  <c r="J72" i="5"/>
  <c r="F73" i="5"/>
  <c r="C74" i="5"/>
  <c r="BL74" i="5" s="1"/>
  <c r="H75" i="5"/>
  <c r="D76" i="5"/>
  <c r="I77" i="5"/>
  <c r="W77" i="5" s="1"/>
  <c r="F78" i="5"/>
  <c r="I80" i="5"/>
  <c r="F81" i="5"/>
  <c r="L82" i="5"/>
  <c r="G83" i="5"/>
  <c r="D84" i="5"/>
  <c r="J85" i="5"/>
  <c r="F86" i="5"/>
  <c r="J88" i="5"/>
  <c r="E89" i="5"/>
  <c r="AH89" i="5" s="1"/>
  <c r="AI89" i="5" s="1"/>
  <c r="H90" i="5"/>
  <c r="K91" i="5"/>
  <c r="U91" i="5" s="1"/>
  <c r="E92" i="5"/>
  <c r="AH92" i="5" s="1"/>
  <c r="AI92" i="5" s="1"/>
  <c r="G93" i="5"/>
  <c r="L94" i="5"/>
  <c r="G95" i="5"/>
  <c r="H97" i="5"/>
  <c r="C98" i="5"/>
  <c r="BL98" i="5" s="1"/>
  <c r="G99" i="5"/>
  <c r="L100" i="5"/>
  <c r="G101" i="5"/>
  <c r="J102" i="5"/>
  <c r="D103" i="5"/>
  <c r="I104" i="5"/>
  <c r="W104" i="5" s="1"/>
  <c r="D105" i="5"/>
  <c r="I106" i="5"/>
  <c r="D107" i="5"/>
  <c r="J108" i="5"/>
  <c r="D109" i="5"/>
  <c r="I110" i="5"/>
  <c r="W110" i="5" s="1"/>
  <c r="C111" i="5"/>
  <c r="H112" i="5"/>
  <c r="K113" i="5"/>
  <c r="U113" i="5" s="1"/>
  <c r="F114" i="5"/>
  <c r="K115" i="5"/>
  <c r="C116" i="5"/>
  <c r="BL116" i="5" s="1"/>
  <c r="H117" i="5"/>
  <c r="C118" i="5"/>
  <c r="BL118" i="5" s="1"/>
  <c r="BP118" i="5" s="1"/>
  <c r="J119" i="5"/>
  <c r="E120" i="5"/>
  <c r="AH120" i="5" s="1"/>
  <c r="AI120" i="5" s="1"/>
  <c r="J121" i="5"/>
  <c r="K123" i="5"/>
  <c r="U123" i="5" s="1"/>
  <c r="F124" i="5"/>
  <c r="K125" i="5"/>
  <c r="U125" i="5" s="1"/>
  <c r="D126" i="5"/>
  <c r="J127" i="5"/>
  <c r="E128" i="5"/>
  <c r="AH128" i="5" s="1"/>
  <c r="AI128" i="5" s="1"/>
  <c r="I129" i="5"/>
  <c r="W129" i="5" s="1"/>
  <c r="D130" i="5"/>
  <c r="C135" i="5"/>
  <c r="BL135" i="5" s="1"/>
  <c r="E138" i="5"/>
  <c r="AH138" i="5" s="1"/>
  <c r="AI138" i="5" s="1"/>
  <c r="H141" i="5"/>
  <c r="I144" i="5"/>
  <c r="W144" i="5" s="1"/>
  <c r="J150" i="5"/>
  <c r="E158" i="5"/>
  <c r="AH158" i="5" s="1"/>
  <c r="AI158" i="5" s="1"/>
  <c r="H49" i="5"/>
  <c r="E50" i="5"/>
  <c r="I52" i="5"/>
  <c r="F53" i="5"/>
  <c r="C54" i="5"/>
  <c r="J55" i="5"/>
  <c r="E56" i="5"/>
  <c r="K57" i="5"/>
  <c r="U57" i="5" s="1"/>
  <c r="G58" i="5"/>
  <c r="C59" i="5"/>
  <c r="BL59" i="5" s="1"/>
  <c r="BP59" i="5" s="1"/>
  <c r="K60" i="5"/>
  <c r="F61" i="5"/>
  <c r="C62" i="5"/>
  <c r="BL62" i="5" s="1"/>
  <c r="J63" i="5"/>
  <c r="E64" i="5"/>
  <c r="I65" i="5"/>
  <c r="W65" i="5" s="1"/>
  <c r="E66" i="5"/>
  <c r="AH66" i="5" s="1"/>
  <c r="AI66" i="5" s="1"/>
  <c r="G68" i="5"/>
  <c r="J70" i="5"/>
  <c r="K72" i="5"/>
  <c r="U72" i="5" s="1"/>
  <c r="G73" i="5"/>
  <c r="D74" i="5"/>
  <c r="I75" i="5"/>
  <c r="W75" i="5" s="1"/>
  <c r="E76" i="5"/>
  <c r="AH76" i="5" s="1"/>
  <c r="AI76" i="5" s="1"/>
  <c r="J77" i="5"/>
  <c r="G78" i="5"/>
  <c r="C79" i="5"/>
  <c r="BL79" i="5" s="1"/>
  <c r="J80" i="5"/>
  <c r="H83" i="5"/>
  <c r="E84" i="5"/>
  <c r="AH84" i="5" s="1"/>
  <c r="AI84" i="5" s="1"/>
  <c r="K85" i="5"/>
  <c r="U85" i="5" s="1"/>
  <c r="G86" i="5"/>
  <c r="C87" i="5"/>
  <c r="BL87" i="5" s="1"/>
  <c r="BP87" i="5" s="1"/>
  <c r="K88" i="5"/>
  <c r="U88" i="5" s="1"/>
  <c r="F89" i="5"/>
  <c r="I90" i="5"/>
  <c r="W90" i="5" s="1"/>
  <c r="C91" i="5"/>
  <c r="BL91" i="5" s="1"/>
  <c r="F92" i="5"/>
  <c r="H93" i="5"/>
  <c r="H95" i="5"/>
  <c r="C96" i="5"/>
  <c r="I97" i="5"/>
  <c r="W97" i="5" s="1"/>
  <c r="D98" i="5"/>
  <c r="K102" i="5"/>
  <c r="U102" i="5" s="1"/>
  <c r="E103" i="5"/>
  <c r="AH103" i="5" s="1"/>
  <c r="AI103" i="5" s="1"/>
  <c r="J104" i="5"/>
  <c r="E105" i="5"/>
  <c r="AH105" i="5" s="1"/>
  <c r="AI105" i="5" s="1"/>
  <c r="J106" i="5"/>
  <c r="E107" i="5"/>
  <c r="E109" i="5"/>
  <c r="J110" i="5"/>
  <c r="D111" i="5"/>
  <c r="I112" i="5"/>
  <c r="W112" i="5" s="1"/>
  <c r="C113" i="5"/>
  <c r="BL113" i="5" s="1"/>
  <c r="BN113" i="5" s="1"/>
  <c r="L113" i="5"/>
  <c r="G114" i="5"/>
  <c r="D116" i="5"/>
  <c r="I117" i="5"/>
  <c r="W117" i="5" s="1"/>
  <c r="D118" i="5"/>
  <c r="K119" i="5"/>
  <c r="F120" i="5"/>
  <c r="K121" i="5"/>
  <c r="E122" i="5"/>
  <c r="L123" i="5"/>
  <c r="E126" i="5"/>
  <c r="AH126" i="5" s="1"/>
  <c r="AI126" i="5" s="1"/>
  <c r="K127" i="5"/>
  <c r="U127" i="5" s="1"/>
  <c r="J129" i="5"/>
  <c r="K130" i="5"/>
  <c r="U130" i="5" s="1"/>
  <c r="E135" i="5"/>
  <c r="AH135" i="5" s="1"/>
  <c r="AI135" i="5" s="1"/>
  <c r="G138" i="5"/>
  <c r="J144" i="5"/>
  <c r="L150" i="5"/>
  <c r="I184" i="5"/>
  <c r="W184" i="5" s="1"/>
  <c r="I193" i="5"/>
  <c r="W193" i="5" s="1"/>
  <c r="C200" i="5"/>
  <c r="BL200" i="5" s="1"/>
  <c r="G225" i="5"/>
  <c r="I49" i="5"/>
  <c r="W49" i="5" s="1"/>
  <c r="F50" i="5"/>
  <c r="J52" i="5"/>
  <c r="G53" i="5"/>
  <c r="D54" i="5"/>
  <c r="F56" i="5"/>
  <c r="L57" i="5"/>
  <c r="H58" i="5"/>
  <c r="D59" i="5"/>
  <c r="L60" i="5"/>
  <c r="G61" i="5"/>
  <c r="D62" i="5"/>
  <c r="K63" i="5"/>
  <c r="U63" i="5" s="1"/>
  <c r="F64" i="5"/>
  <c r="J65" i="5"/>
  <c r="F66" i="5"/>
  <c r="L67" i="5"/>
  <c r="H68" i="5"/>
  <c r="D69" i="5"/>
  <c r="E71" i="5"/>
  <c r="H73" i="5"/>
  <c r="E74" i="5"/>
  <c r="J75" i="5"/>
  <c r="F76" i="5"/>
  <c r="K77" i="5"/>
  <c r="U77" i="5" s="1"/>
  <c r="H78" i="5"/>
  <c r="D79" i="5"/>
  <c r="K80" i="5"/>
  <c r="U80" i="5" s="1"/>
  <c r="G81" i="5"/>
  <c r="I83" i="5"/>
  <c r="W83" i="5" s="1"/>
  <c r="L85" i="5"/>
  <c r="H86" i="5"/>
  <c r="L88" i="5"/>
  <c r="G89" i="5"/>
  <c r="D91" i="5"/>
  <c r="L91" i="5"/>
  <c r="G92" i="5"/>
  <c r="I93" i="5"/>
  <c r="W93" i="5" s="1"/>
  <c r="I95" i="5"/>
  <c r="W95" i="5" s="1"/>
  <c r="D96" i="5"/>
  <c r="J97" i="5"/>
  <c r="H99" i="5"/>
  <c r="H101" i="5"/>
  <c r="L102" i="5"/>
  <c r="F103" i="5"/>
  <c r="K104" i="5"/>
  <c r="F105" i="5"/>
  <c r="K106" i="5"/>
  <c r="U106" i="5" s="1"/>
  <c r="F107" i="5"/>
  <c r="K108" i="5"/>
  <c r="U108" i="5" s="1"/>
  <c r="F109" i="5"/>
  <c r="K110" i="5"/>
  <c r="U110" i="5" s="1"/>
  <c r="E111" i="5"/>
  <c r="AH111" i="5" s="1"/>
  <c r="AI111" i="5" s="1"/>
  <c r="J112" i="5"/>
  <c r="D113" i="5"/>
  <c r="H114" i="5"/>
  <c r="L115" i="5"/>
  <c r="E116" i="5"/>
  <c r="AH116" i="5" s="1"/>
  <c r="AI116" i="5" s="1"/>
  <c r="J117" i="5"/>
  <c r="E118" i="5"/>
  <c r="AH118" i="5" s="1"/>
  <c r="AI118" i="5" s="1"/>
  <c r="L119" i="5"/>
  <c r="G120" i="5"/>
  <c r="L121" i="5"/>
  <c r="F122" i="5"/>
  <c r="G124" i="5"/>
  <c r="L125" i="5"/>
  <c r="F126" i="5"/>
  <c r="L127" i="5"/>
  <c r="F128" i="5"/>
  <c r="K129" i="5"/>
  <c r="K135" i="5"/>
  <c r="U135" i="5" s="1"/>
  <c r="D143" i="5"/>
  <c r="D146" i="5"/>
  <c r="L147" i="5"/>
  <c r="E149" i="5"/>
  <c r="AH149" i="5" s="1"/>
  <c r="AI149" i="5" s="1"/>
  <c r="G156" i="5"/>
  <c r="E163" i="5"/>
  <c r="AH163" i="5" s="1"/>
  <c r="AI163" i="5" s="1"/>
  <c r="G172" i="5"/>
  <c r="I191" i="5"/>
  <c r="W191" i="5" s="1"/>
  <c r="J49" i="5"/>
  <c r="G50" i="5"/>
  <c r="C51" i="5"/>
  <c r="K52" i="5"/>
  <c r="U52" i="5" s="1"/>
  <c r="H53" i="5"/>
  <c r="E54" i="5"/>
  <c r="AH54" i="5" s="1"/>
  <c r="AI54" i="5" s="1"/>
  <c r="K55" i="5"/>
  <c r="G56" i="5"/>
  <c r="C57" i="5"/>
  <c r="BL57" i="5" s="1"/>
  <c r="BP57" i="5" s="1"/>
  <c r="E59" i="5"/>
  <c r="AH59" i="5" s="1"/>
  <c r="AI59" i="5" s="1"/>
  <c r="H61" i="5"/>
  <c r="E62" i="5"/>
  <c r="AH62" i="5" s="1"/>
  <c r="AI62" i="5" s="1"/>
  <c r="L63" i="5"/>
  <c r="G64" i="5"/>
  <c r="G66" i="5"/>
  <c r="C67" i="5"/>
  <c r="BL67" i="5" s="1"/>
  <c r="I68" i="5"/>
  <c r="W68" i="5" s="1"/>
  <c r="E69" i="5"/>
  <c r="AH69" i="5" s="1"/>
  <c r="AI69" i="5" s="1"/>
  <c r="K70" i="5"/>
  <c r="U70" i="5" s="1"/>
  <c r="F71" i="5"/>
  <c r="L72" i="5"/>
  <c r="I73" i="5"/>
  <c r="W73" i="5" s="1"/>
  <c r="K75" i="5"/>
  <c r="G76" i="5"/>
  <c r="L77" i="5"/>
  <c r="I78" i="5"/>
  <c r="E79" i="5"/>
  <c r="AH79" i="5" s="1"/>
  <c r="AI79" i="5" s="1"/>
  <c r="L80" i="5"/>
  <c r="H81" i="5"/>
  <c r="C82" i="5"/>
  <c r="BL82" i="5" s="1"/>
  <c r="J83" i="5"/>
  <c r="F84" i="5"/>
  <c r="I86" i="5"/>
  <c r="W86" i="5" s="1"/>
  <c r="D87" i="5"/>
  <c r="H89" i="5"/>
  <c r="J90" i="5"/>
  <c r="E91" i="5"/>
  <c r="J93" i="5"/>
  <c r="C94" i="5"/>
  <c r="BL94" i="5" s="1"/>
  <c r="J95" i="5"/>
  <c r="E96" i="5"/>
  <c r="AH96" i="5" s="1"/>
  <c r="AI96" i="5" s="1"/>
  <c r="K97" i="5"/>
  <c r="U97" i="5" s="1"/>
  <c r="E98" i="5"/>
  <c r="AH98" i="5" s="1"/>
  <c r="AI98" i="5" s="1"/>
  <c r="I99" i="5"/>
  <c r="W99" i="5" s="1"/>
  <c r="C100" i="5"/>
  <c r="BL100" i="5" s="1"/>
  <c r="G103" i="5"/>
  <c r="L104" i="5"/>
  <c r="G105" i="5"/>
  <c r="L106" i="5"/>
  <c r="G107" i="5"/>
  <c r="L108" i="5"/>
  <c r="F111" i="5"/>
  <c r="K112" i="5"/>
  <c r="I114" i="5"/>
  <c r="W114" i="5" s="1"/>
  <c r="C115" i="5"/>
  <c r="BL115" i="5" s="1"/>
  <c r="F116" i="5"/>
  <c r="K117" i="5"/>
  <c r="U117" i="5" s="1"/>
  <c r="F118" i="5"/>
  <c r="H120" i="5"/>
  <c r="G122" i="5"/>
  <c r="H124" i="5"/>
  <c r="C125" i="5"/>
  <c r="BL125" i="5" s="1"/>
  <c r="G128" i="5"/>
  <c r="J132" i="5"/>
  <c r="L135" i="5"/>
  <c r="F143" i="5"/>
  <c r="F146" i="5"/>
  <c r="G149" i="5"/>
  <c r="F170" i="5"/>
  <c r="L177" i="5"/>
  <c r="J189" i="5"/>
  <c r="L206" i="5"/>
  <c r="L153" i="5"/>
  <c r="G154" i="5"/>
  <c r="K155" i="5"/>
  <c r="U155" i="5" s="1"/>
  <c r="E156" i="5"/>
  <c r="AH156" i="5" s="1"/>
  <c r="AI156" i="5" s="1"/>
  <c r="J157" i="5"/>
  <c r="C158" i="5"/>
  <c r="BL158" i="5" s="1"/>
  <c r="F159" i="5"/>
  <c r="L160" i="5"/>
  <c r="G161" i="5"/>
  <c r="D163" i="5"/>
  <c r="G164" i="5"/>
  <c r="K165" i="5"/>
  <c r="U165" i="5" s="1"/>
  <c r="E166" i="5"/>
  <c r="J167" i="5"/>
  <c r="E168" i="5"/>
  <c r="D170" i="5"/>
  <c r="J171" i="5"/>
  <c r="E172" i="5"/>
  <c r="AH172" i="5" s="1"/>
  <c r="AI172" i="5" s="1"/>
  <c r="K173" i="5"/>
  <c r="U173" i="5" s="1"/>
  <c r="E174" i="5"/>
  <c r="AH174" i="5" s="1"/>
  <c r="AI174" i="5" s="1"/>
  <c r="J175" i="5"/>
  <c r="E176" i="5"/>
  <c r="AH176" i="5" s="1"/>
  <c r="AI176" i="5" s="1"/>
  <c r="E178" i="5"/>
  <c r="AH178" i="5" s="1"/>
  <c r="AI178" i="5" s="1"/>
  <c r="K179" i="5"/>
  <c r="U179" i="5" s="1"/>
  <c r="K181" i="5"/>
  <c r="F182" i="5"/>
  <c r="L183" i="5"/>
  <c r="G184" i="5"/>
  <c r="G186" i="5"/>
  <c r="L187" i="5"/>
  <c r="H189" i="5"/>
  <c r="C190" i="5"/>
  <c r="BL190" i="5" s="1"/>
  <c r="BP190" i="5" s="1"/>
  <c r="H193" i="5"/>
  <c r="H195" i="5"/>
  <c r="C196" i="5"/>
  <c r="H197" i="5"/>
  <c r="C198" i="5"/>
  <c r="BL198" i="5" s="1"/>
  <c r="BP198" i="5" s="1"/>
  <c r="G199" i="5"/>
  <c r="K200" i="5"/>
  <c r="G201" i="5"/>
  <c r="E205" i="5"/>
  <c r="AH205" i="5" s="1"/>
  <c r="AI205" i="5" s="1"/>
  <c r="J206" i="5"/>
  <c r="G210" i="5"/>
  <c r="K211" i="5"/>
  <c r="U211" i="5" s="1"/>
  <c r="I214" i="5"/>
  <c r="W214" i="5" s="1"/>
  <c r="K217" i="5"/>
  <c r="U217" i="5" s="1"/>
  <c r="D220" i="5"/>
  <c r="H223" i="5"/>
  <c r="L130" i="5"/>
  <c r="I132" i="5"/>
  <c r="W132" i="5" s="1"/>
  <c r="D133" i="5"/>
  <c r="I134" i="5"/>
  <c r="E136" i="5"/>
  <c r="AH136" i="5" s="1"/>
  <c r="AI136" i="5" s="1"/>
  <c r="J137" i="5"/>
  <c r="D138" i="5"/>
  <c r="L140" i="5"/>
  <c r="E141" i="5"/>
  <c r="J142" i="5"/>
  <c r="E143" i="5"/>
  <c r="H144" i="5"/>
  <c r="K145" i="5"/>
  <c r="E146" i="5"/>
  <c r="AH146" i="5" s="1"/>
  <c r="AI146" i="5" s="1"/>
  <c r="J147" i="5"/>
  <c r="C148" i="5"/>
  <c r="BL148" i="5" s="1"/>
  <c r="BP148" i="5" s="1"/>
  <c r="F149" i="5"/>
  <c r="K150" i="5"/>
  <c r="F151" i="5"/>
  <c r="I152" i="5"/>
  <c r="W152" i="5" s="1"/>
  <c r="L155" i="5"/>
  <c r="F156" i="5"/>
  <c r="K157" i="5"/>
  <c r="U157" i="5" s="1"/>
  <c r="D158" i="5"/>
  <c r="G159" i="5"/>
  <c r="J162" i="5"/>
  <c r="H164" i="5"/>
  <c r="C165" i="5"/>
  <c r="BL165" i="5" s="1"/>
  <c r="L165" i="5"/>
  <c r="F166" i="5"/>
  <c r="K167" i="5"/>
  <c r="U167" i="5" s="1"/>
  <c r="J169" i="5"/>
  <c r="E170" i="5"/>
  <c r="K171" i="5"/>
  <c r="U171" i="5" s="1"/>
  <c r="F172" i="5"/>
  <c r="L173" i="5"/>
  <c r="F174" i="5"/>
  <c r="K175" i="5"/>
  <c r="U175" i="5" s="1"/>
  <c r="F176" i="5"/>
  <c r="K177" i="5"/>
  <c r="U177" i="5" s="1"/>
  <c r="L179" i="5"/>
  <c r="F180" i="5"/>
  <c r="L181" i="5"/>
  <c r="G182" i="5"/>
  <c r="H184" i="5"/>
  <c r="H186" i="5"/>
  <c r="F188" i="5"/>
  <c r="I189" i="5"/>
  <c r="W189" i="5" s="1"/>
  <c r="D190" i="5"/>
  <c r="H191" i="5"/>
  <c r="C192" i="5"/>
  <c r="BL192" i="5" s="1"/>
  <c r="BP192" i="5" s="1"/>
  <c r="C194" i="5"/>
  <c r="BL194" i="5" s="1"/>
  <c r="I195" i="5"/>
  <c r="W195" i="5" s="1"/>
  <c r="D196" i="5"/>
  <c r="I197" i="5"/>
  <c r="W197" i="5" s="1"/>
  <c r="D198" i="5"/>
  <c r="H199" i="5"/>
  <c r="L200" i="5"/>
  <c r="I201" i="5"/>
  <c r="W201" i="5" s="1"/>
  <c r="F205" i="5"/>
  <c r="K206" i="5"/>
  <c r="L211" i="5"/>
  <c r="I220" i="5"/>
  <c r="W220" i="5" s="1"/>
  <c r="C130" i="5"/>
  <c r="BL130" i="5" s="1"/>
  <c r="G131" i="5"/>
  <c r="K132" i="5"/>
  <c r="F133" i="5"/>
  <c r="K134" i="5"/>
  <c r="U134" i="5" s="1"/>
  <c r="D135" i="5"/>
  <c r="G136" i="5"/>
  <c r="L137" i="5"/>
  <c r="F138" i="5"/>
  <c r="I139" i="5"/>
  <c r="W139" i="5" s="1"/>
  <c r="C140" i="5"/>
  <c r="BL140" i="5" s="1"/>
  <c r="G141" i="5"/>
  <c r="L142" i="5"/>
  <c r="G143" i="5"/>
  <c r="G146" i="5"/>
  <c r="K147" i="5"/>
  <c r="D148" i="5"/>
  <c r="H149" i="5"/>
  <c r="H151" i="5"/>
  <c r="J152" i="5"/>
  <c r="C153" i="5"/>
  <c r="BL153" i="5" s="1"/>
  <c r="I154" i="5"/>
  <c r="W154" i="5" s="1"/>
  <c r="H156" i="5"/>
  <c r="C157" i="5"/>
  <c r="F158" i="5"/>
  <c r="I159" i="5"/>
  <c r="W159" i="5" s="1"/>
  <c r="D160" i="5"/>
  <c r="I161" i="5"/>
  <c r="W161" i="5" s="1"/>
  <c r="C162" i="5"/>
  <c r="BL162" i="5" s="1"/>
  <c r="BP162" i="5" s="1"/>
  <c r="L162" i="5"/>
  <c r="F163" i="5"/>
  <c r="J164" i="5"/>
  <c r="D165" i="5"/>
  <c r="H166" i="5"/>
  <c r="G168" i="5"/>
  <c r="L169" i="5"/>
  <c r="H172" i="5"/>
  <c r="C173" i="5"/>
  <c r="BL173" i="5" s="1"/>
  <c r="G174" i="5"/>
  <c r="H176" i="5"/>
  <c r="C177" i="5"/>
  <c r="BL177" i="5" s="1"/>
  <c r="G178" i="5"/>
  <c r="H180" i="5"/>
  <c r="I182" i="5"/>
  <c r="W182" i="5" s="1"/>
  <c r="C183" i="5"/>
  <c r="BL183" i="5" s="1"/>
  <c r="J184" i="5"/>
  <c r="D185" i="5"/>
  <c r="J186" i="5"/>
  <c r="D187" i="5"/>
  <c r="G188" i="5"/>
  <c r="K189" i="5"/>
  <c r="U189" i="5" s="1"/>
  <c r="F190" i="5"/>
  <c r="J191" i="5"/>
  <c r="E192" i="5"/>
  <c r="AH192" i="5" s="1"/>
  <c r="AI192" i="5" s="1"/>
  <c r="J193" i="5"/>
  <c r="K195" i="5"/>
  <c r="U195" i="5" s="1"/>
  <c r="F196" i="5"/>
  <c r="K197" i="5"/>
  <c r="U197" i="5" s="1"/>
  <c r="E198" i="5"/>
  <c r="AH198" i="5" s="1"/>
  <c r="AI198" i="5" s="1"/>
  <c r="J199" i="5"/>
  <c r="D200" i="5"/>
  <c r="K205" i="5"/>
  <c r="D209" i="5"/>
  <c r="J213" i="5"/>
  <c r="K216" i="5"/>
  <c r="U216" i="5" s="1"/>
  <c r="D219" i="5"/>
  <c r="C222" i="5"/>
  <c r="BL222" i="5" s="1"/>
  <c r="AL279" i="5"/>
  <c r="AH304" i="5"/>
  <c r="AI304" i="5" s="1"/>
  <c r="AZ315" i="5"/>
  <c r="D153" i="5"/>
  <c r="C155" i="5"/>
  <c r="I156" i="5"/>
  <c r="W156" i="5" s="1"/>
  <c r="G158" i="5"/>
  <c r="J159" i="5"/>
  <c r="E160" i="5"/>
  <c r="AH160" i="5" s="1"/>
  <c r="AI160" i="5" s="1"/>
  <c r="J161" i="5"/>
  <c r="D162" i="5"/>
  <c r="G163" i="5"/>
  <c r="K164" i="5"/>
  <c r="U164" i="5" s="1"/>
  <c r="I166" i="5"/>
  <c r="W166" i="5" s="1"/>
  <c r="H168" i="5"/>
  <c r="C169" i="5"/>
  <c r="G170" i="5"/>
  <c r="I172" i="5"/>
  <c r="W172" i="5" s="1"/>
  <c r="H174" i="5"/>
  <c r="C175" i="5"/>
  <c r="BL175" i="5" s="1"/>
  <c r="BN175" i="5" s="1"/>
  <c r="I176" i="5"/>
  <c r="W176" i="5" s="1"/>
  <c r="D177" i="5"/>
  <c r="H178" i="5"/>
  <c r="C179" i="5"/>
  <c r="BL179" i="5" s="1"/>
  <c r="BP179" i="5" s="1"/>
  <c r="I180" i="5"/>
  <c r="W180" i="5" s="1"/>
  <c r="C181" i="5"/>
  <c r="BL181" i="5" s="1"/>
  <c r="J182" i="5"/>
  <c r="D183" i="5"/>
  <c r="K184" i="5"/>
  <c r="E185" i="5"/>
  <c r="AH185" i="5" s="1"/>
  <c r="AI185" i="5" s="1"/>
  <c r="K186" i="5"/>
  <c r="U186" i="5" s="1"/>
  <c r="H188" i="5"/>
  <c r="L189" i="5"/>
  <c r="G190" i="5"/>
  <c r="K191" i="5"/>
  <c r="U191" i="5" s="1"/>
  <c r="F192" i="5"/>
  <c r="BL375" i="5"/>
  <c r="BP375" i="5" s="1"/>
  <c r="K193" i="5"/>
  <c r="U193" i="5" s="1"/>
  <c r="E194" i="5"/>
  <c r="AH194" i="5" s="1"/>
  <c r="AI194" i="5" s="1"/>
  <c r="L195" i="5"/>
  <c r="G196" i="5"/>
  <c r="L197" i="5"/>
  <c r="F198" i="5"/>
  <c r="K199" i="5"/>
  <c r="U199" i="5" s="1"/>
  <c r="E200" i="5"/>
  <c r="AH200" i="5" s="1"/>
  <c r="AI200" i="5" s="1"/>
  <c r="K213" i="5"/>
  <c r="U213" i="5" s="1"/>
  <c r="L216" i="5"/>
  <c r="E219" i="5"/>
  <c r="H222" i="5"/>
  <c r="W282" i="5"/>
  <c r="E130" i="5"/>
  <c r="AH130" i="5" s="1"/>
  <c r="AI130" i="5" s="1"/>
  <c r="I131" i="5"/>
  <c r="W131" i="5" s="1"/>
  <c r="C132" i="5"/>
  <c r="BL132" i="5" s="1"/>
  <c r="G133" i="5"/>
  <c r="L134" i="5"/>
  <c r="F135" i="5"/>
  <c r="H136" i="5"/>
  <c r="K139" i="5"/>
  <c r="U139" i="5" s="1"/>
  <c r="E140" i="5"/>
  <c r="AH140" i="5" s="1"/>
  <c r="AI140" i="5" s="1"/>
  <c r="I141" i="5"/>
  <c r="D142" i="5"/>
  <c r="H143" i="5"/>
  <c r="K144" i="5"/>
  <c r="U144" i="5" s="1"/>
  <c r="D145" i="5"/>
  <c r="I146" i="5"/>
  <c r="W146" i="5" s="1"/>
  <c r="F148" i="5"/>
  <c r="J149" i="5"/>
  <c r="L152" i="5"/>
  <c r="E153" i="5"/>
  <c r="AH153" i="5" s="1"/>
  <c r="AI153" i="5" s="1"/>
  <c r="J154" i="5"/>
  <c r="D155" i="5"/>
  <c r="J156" i="5"/>
  <c r="D157" i="5"/>
  <c r="H158" i="5"/>
  <c r="K159" i="5"/>
  <c r="U159" i="5" s="1"/>
  <c r="F160" i="5"/>
  <c r="L164" i="5"/>
  <c r="E165" i="5"/>
  <c r="J166" i="5"/>
  <c r="C167" i="5"/>
  <c r="BL167" i="5" s="1"/>
  <c r="I168" i="5"/>
  <c r="W168" i="5" s="1"/>
  <c r="D169" i="5"/>
  <c r="H170" i="5"/>
  <c r="C171" i="5"/>
  <c r="BL171" i="5" s="1"/>
  <c r="BP171" i="5" s="1"/>
  <c r="J172" i="5"/>
  <c r="D173" i="5"/>
  <c r="I174" i="5"/>
  <c r="W174" i="5" s="1"/>
  <c r="D175" i="5"/>
  <c r="J176" i="5"/>
  <c r="E177" i="5"/>
  <c r="I178" i="5"/>
  <c r="W178" i="5" s="1"/>
  <c r="D179" i="5"/>
  <c r="J180" i="5"/>
  <c r="D181" i="5"/>
  <c r="K182" i="5"/>
  <c r="U182" i="5" s="1"/>
  <c r="E183" i="5"/>
  <c r="AH183" i="5" s="1"/>
  <c r="AI183" i="5" s="1"/>
  <c r="F185" i="5"/>
  <c r="E187" i="5"/>
  <c r="C189" i="5"/>
  <c r="BL189" i="5" s="1"/>
  <c r="H190" i="5"/>
  <c r="L191" i="5"/>
  <c r="G192" i="5"/>
  <c r="L193" i="5"/>
  <c r="F194" i="5"/>
  <c r="H196" i="5"/>
  <c r="C197" i="5"/>
  <c r="BL197" i="5" s="1"/>
  <c r="G198" i="5"/>
  <c r="L199" i="5"/>
  <c r="E203" i="5"/>
  <c r="AH203" i="5" s="1"/>
  <c r="AI203" i="5" s="1"/>
  <c r="K204" i="5"/>
  <c r="H215" i="5"/>
  <c r="J219" i="5"/>
  <c r="I222" i="5"/>
  <c r="W222" i="5" s="1"/>
  <c r="C224" i="5"/>
  <c r="BL224" i="5" s="1"/>
  <c r="AL321" i="5"/>
  <c r="BL394" i="5"/>
  <c r="J131" i="5"/>
  <c r="D132" i="5"/>
  <c r="H133" i="5"/>
  <c r="I136" i="5"/>
  <c r="C137" i="5"/>
  <c r="BL137" i="5" s="1"/>
  <c r="H138" i="5"/>
  <c r="F140" i="5"/>
  <c r="J141" i="5"/>
  <c r="I143" i="5"/>
  <c r="W143" i="5" s="1"/>
  <c r="C144" i="5"/>
  <c r="BL144" i="5" s="1"/>
  <c r="E145" i="5"/>
  <c r="AH145" i="5" s="1"/>
  <c r="AI145" i="5" s="1"/>
  <c r="J146" i="5"/>
  <c r="D147" i="5"/>
  <c r="G148" i="5"/>
  <c r="K149" i="5"/>
  <c r="U149" i="5" s="1"/>
  <c r="D150" i="5"/>
  <c r="J151" i="5"/>
  <c r="C152" i="5"/>
  <c r="BL152" i="5" s="1"/>
  <c r="BN152" i="5" s="1"/>
  <c r="F153" i="5"/>
  <c r="K154" i="5"/>
  <c r="U154" i="5" s="1"/>
  <c r="E155" i="5"/>
  <c r="AH155" i="5" s="1"/>
  <c r="AI155" i="5" s="1"/>
  <c r="K156" i="5"/>
  <c r="U156" i="5" s="1"/>
  <c r="I158" i="5"/>
  <c r="W158" i="5" s="1"/>
  <c r="L159" i="5"/>
  <c r="G160" i="5"/>
  <c r="K161" i="5"/>
  <c r="U161" i="5" s="1"/>
  <c r="E162" i="5"/>
  <c r="AH162" i="5" s="1"/>
  <c r="AI162" i="5" s="1"/>
  <c r="H163" i="5"/>
  <c r="F165" i="5"/>
  <c r="D167" i="5"/>
  <c r="J168" i="5"/>
  <c r="E169" i="5"/>
  <c r="AH169" i="5" s="1"/>
  <c r="AI169" i="5" s="1"/>
  <c r="I170" i="5"/>
  <c r="W170" i="5" s="1"/>
  <c r="D171" i="5"/>
  <c r="K172" i="5"/>
  <c r="U172" i="5" s="1"/>
  <c r="E173" i="5"/>
  <c r="AH173" i="5" s="1"/>
  <c r="AI173" i="5" s="1"/>
  <c r="J174" i="5"/>
  <c r="E175" i="5"/>
  <c r="AH175" i="5" s="1"/>
  <c r="AI175" i="5" s="1"/>
  <c r="K176" i="5"/>
  <c r="U176" i="5" s="1"/>
  <c r="F177" i="5"/>
  <c r="J178" i="5"/>
  <c r="E179" i="5"/>
  <c r="AH179" i="5" s="1"/>
  <c r="AI179" i="5" s="1"/>
  <c r="K180" i="5"/>
  <c r="E181" i="5"/>
  <c r="AH181" i="5" s="1"/>
  <c r="AI181" i="5" s="1"/>
  <c r="F183" i="5"/>
  <c r="L184" i="5"/>
  <c r="G185" i="5"/>
  <c r="L186" i="5"/>
  <c r="F187" i="5"/>
  <c r="I188" i="5"/>
  <c r="W188" i="5" s="1"/>
  <c r="D189" i="5"/>
  <c r="I190" i="5"/>
  <c r="W190" i="5" s="1"/>
  <c r="H192" i="5"/>
  <c r="C193" i="5"/>
  <c r="BL193" i="5" s="1"/>
  <c r="G194" i="5"/>
  <c r="I196" i="5"/>
  <c r="W196" i="5" s="1"/>
  <c r="D197" i="5"/>
  <c r="F200" i="5"/>
  <c r="F203" i="5"/>
  <c r="L204" i="5"/>
  <c r="H208" i="5"/>
  <c r="D212" i="5"/>
  <c r="F130" i="5"/>
  <c r="K131" i="5"/>
  <c r="E132" i="5"/>
  <c r="AH132" i="5" s="1"/>
  <c r="AI132" i="5" s="1"/>
  <c r="I133" i="5"/>
  <c r="W133" i="5" s="1"/>
  <c r="C134" i="5"/>
  <c r="BL134" i="5" s="1"/>
  <c r="G135" i="5"/>
  <c r="J136" i="5"/>
  <c r="D137" i="5"/>
  <c r="I138" i="5"/>
  <c r="W138" i="5" s="1"/>
  <c r="L139" i="5"/>
  <c r="G140" i="5"/>
  <c r="K141" i="5"/>
  <c r="U141" i="5" s="1"/>
  <c r="E142" i="5"/>
  <c r="AH142" i="5" s="1"/>
  <c r="AI142" i="5" s="1"/>
  <c r="D144" i="5"/>
  <c r="L144" i="5"/>
  <c r="F145" i="5"/>
  <c r="K146" i="5"/>
  <c r="U146" i="5" s="1"/>
  <c r="E147" i="5"/>
  <c r="AH147" i="5" s="1"/>
  <c r="AI147" i="5" s="1"/>
  <c r="H148" i="5"/>
  <c r="L149" i="5"/>
  <c r="E150" i="5"/>
  <c r="AH150" i="5" s="1"/>
  <c r="AI150" i="5" s="1"/>
  <c r="K151" i="5"/>
  <c r="D152" i="5"/>
  <c r="G153" i="5"/>
  <c r="L154" i="5"/>
  <c r="F155" i="5"/>
  <c r="L156" i="5"/>
  <c r="E157" i="5"/>
  <c r="J158" i="5"/>
  <c r="C159" i="5"/>
  <c r="BL159" i="5" s="1"/>
  <c r="H160" i="5"/>
  <c r="L161" i="5"/>
  <c r="F162" i="5"/>
  <c r="I163" i="5"/>
  <c r="C164" i="5"/>
  <c r="BL164" i="5" s="1"/>
  <c r="BP164" i="5" s="1"/>
  <c r="G165" i="5"/>
  <c r="K166" i="5"/>
  <c r="U166" i="5" s="1"/>
  <c r="E167" i="5"/>
  <c r="AH167" i="5" s="1"/>
  <c r="AI167" i="5" s="1"/>
  <c r="K168" i="5"/>
  <c r="U168" i="5" s="1"/>
  <c r="F169" i="5"/>
  <c r="J170" i="5"/>
  <c r="E171" i="5"/>
  <c r="AH171" i="5" s="1"/>
  <c r="AI171" i="5" s="1"/>
  <c r="L172" i="5"/>
  <c r="F173" i="5"/>
  <c r="K174" i="5"/>
  <c r="F175" i="5"/>
  <c r="L176" i="5"/>
  <c r="K178" i="5"/>
  <c r="U178" i="5" s="1"/>
  <c r="F179" i="5"/>
  <c r="L180" i="5"/>
  <c r="F181" i="5"/>
  <c r="L182" i="5"/>
  <c r="G183" i="5"/>
  <c r="H185" i="5"/>
  <c r="C186" i="5"/>
  <c r="BL186" i="5" s="1"/>
  <c r="BP186" i="5" s="1"/>
  <c r="G187" i="5"/>
  <c r="J188" i="5"/>
  <c r="J190" i="5"/>
  <c r="C191" i="5"/>
  <c r="BL191" i="5" s="1"/>
  <c r="I192" i="5"/>
  <c r="W192" i="5" s="1"/>
  <c r="D193" i="5"/>
  <c r="H194" i="5"/>
  <c r="C195" i="5"/>
  <c r="BL195" i="5" s="1"/>
  <c r="BN195" i="5" s="1"/>
  <c r="J196" i="5"/>
  <c r="E197" i="5"/>
  <c r="AH197" i="5" s="1"/>
  <c r="AI197" i="5" s="1"/>
  <c r="H198" i="5"/>
  <c r="G200" i="5"/>
  <c r="G203" i="5"/>
  <c r="I208" i="5"/>
  <c r="E212" i="5"/>
  <c r="L215" i="5"/>
  <c r="E218" i="5"/>
  <c r="AH218" i="5" s="1"/>
  <c r="AI218" i="5" s="1"/>
  <c r="D221" i="5"/>
  <c r="H224" i="5"/>
  <c r="AH288" i="5"/>
  <c r="AI288" i="5" s="1"/>
  <c r="G130" i="5"/>
  <c r="J133" i="5"/>
  <c r="D134" i="5"/>
  <c r="H135" i="5"/>
  <c r="K136" i="5"/>
  <c r="U136" i="5" s="1"/>
  <c r="E137" i="5"/>
  <c r="AH137" i="5" s="1"/>
  <c r="AI137" i="5" s="1"/>
  <c r="J138" i="5"/>
  <c r="C139" i="5"/>
  <c r="BL139" i="5" s="1"/>
  <c r="H140" i="5"/>
  <c r="L141" i="5"/>
  <c r="F142" i="5"/>
  <c r="J143" i="5"/>
  <c r="G145" i="5"/>
  <c r="L146" i="5"/>
  <c r="F147" i="5"/>
  <c r="I148" i="5"/>
  <c r="F150" i="5"/>
  <c r="L151" i="5"/>
  <c r="H153" i="5"/>
  <c r="C154" i="5"/>
  <c r="BL154" i="5" s="1"/>
  <c r="BN154" i="5" s="1"/>
  <c r="G155" i="5"/>
  <c r="F157" i="5"/>
  <c r="K158" i="5"/>
  <c r="U158" i="5" s="1"/>
  <c r="I160" i="5"/>
  <c r="W160" i="5" s="1"/>
  <c r="C161" i="5"/>
  <c r="BL161" i="5" s="1"/>
  <c r="G162" i="5"/>
  <c r="D164" i="5"/>
  <c r="H165" i="5"/>
  <c r="L166" i="5"/>
  <c r="F167" i="5"/>
  <c r="L168" i="5"/>
  <c r="K170" i="5"/>
  <c r="F171" i="5"/>
  <c r="G173" i="5"/>
  <c r="L174" i="5"/>
  <c r="G175" i="5"/>
  <c r="G177" i="5"/>
  <c r="L178" i="5"/>
  <c r="G179" i="5"/>
  <c r="G181" i="5"/>
  <c r="H183" i="5"/>
  <c r="C184" i="5"/>
  <c r="BL184" i="5" s="1"/>
  <c r="I185" i="5"/>
  <c r="W185" i="5" s="1"/>
  <c r="D186" i="5"/>
  <c r="H187" i="5"/>
  <c r="C188" i="5"/>
  <c r="BL188" i="5" s="1"/>
  <c r="BN188" i="5" s="1"/>
  <c r="K188" i="5"/>
  <c r="U188" i="5" s="1"/>
  <c r="E189" i="5"/>
  <c r="K190" i="5"/>
  <c r="U190" i="5" s="1"/>
  <c r="D191" i="5"/>
  <c r="J192" i="5"/>
  <c r="E193" i="5"/>
  <c r="I194" i="5"/>
  <c r="W194" i="5" s="1"/>
  <c r="D195" i="5"/>
  <c r="K196" i="5"/>
  <c r="U196" i="5" s="1"/>
  <c r="I198" i="5"/>
  <c r="W198" i="5" s="1"/>
  <c r="C199" i="5"/>
  <c r="BL199" i="5" s="1"/>
  <c r="BP199" i="5" s="1"/>
  <c r="H200" i="5"/>
  <c r="D202" i="5"/>
  <c r="K203" i="5"/>
  <c r="U203" i="5" s="1"/>
  <c r="C207" i="5"/>
  <c r="BL207" i="5" s="1"/>
  <c r="BP207" i="5" s="1"/>
  <c r="J208" i="5"/>
  <c r="I212" i="5"/>
  <c r="W212" i="5" s="1"/>
  <c r="E221" i="5"/>
  <c r="L224" i="5"/>
  <c r="H130" i="5"/>
  <c r="L131" i="5"/>
  <c r="F132" i="5"/>
  <c r="K133" i="5"/>
  <c r="U133" i="5" s="1"/>
  <c r="E134" i="5"/>
  <c r="AH134" i="5" s="1"/>
  <c r="AI134" i="5" s="1"/>
  <c r="F137" i="5"/>
  <c r="K138" i="5"/>
  <c r="U138" i="5" s="1"/>
  <c r="D139" i="5"/>
  <c r="I140" i="5"/>
  <c r="W140" i="5" s="1"/>
  <c r="G142" i="5"/>
  <c r="K143" i="5"/>
  <c r="E144" i="5"/>
  <c r="AH144" i="5" s="1"/>
  <c r="AI144" i="5" s="1"/>
  <c r="G147" i="5"/>
  <c r="J148" i="5"/>
  <c r="G150" i="5"/>
  <c r="E152" i="5"/>
  <c r="AH152" i="5" s="1"/>
  <c r="AI152" i="5" s="1"/>
  <c r="I153" i="5"/>
  <c r="W153" i="5" s="1"/>
  <c r="D154" i="5"/>
  <c r="H155" i="5"/>
  <c r="C156" i="5"/>
  <c r="BL156" i="5" s="1"/>
  <c r="G157" i="5"/>
  <c r="L158" i="5"/>
  <c r="D159" i="5"/>
  <c r="D161" i="5"/>
  <c r="J163" i="5"/>
  <c r="I165" i="5"/>
  <c r="W165" i="5" s="1"/>
  <c r="G167" i="5"/>
  <c r="G169" i="5"/>
  <c r="L170" i="5"/>
  <c r="G171" i="5"/>
  <c r="H173" i="5"/>
  <c r="H177" i="5"/>
  <c r="H179" i="5"/>
  <c r="C180" i="5"/>
  <c r="BL180" i="5" s="1"/>
  <c r="H181" i="5"/>
  <c r="C182" i="5"/>
  <c r="BL182" i="5" s="1"/>
  <c r="I183" i="5"/>
  <c r="W183" i="5" s="1"/>
  <c r="D184" i="5"/>
  <c r="J185" i="5"/>
  <c r="E186" i="5"/>
  <c r="AH186" i="5" s="1"/>
  <c r="AI186" i="5" s="1"/>
  <c r="I187" i="5"/>
  <c r="W187" i="5" s="1"/>
  <c r="D188" i="5"/>
  <c r="L188" i="5"/>
  <c r="F189" i="5"/>
  <c r="L190" i="5"/>
  <c r="E191" i="5"/>
  <c r="AH191" i="5" s="1"/>
  <c r="AI191" i="5" s="1"/>
  <c r="K192" i="5"/>
  <c r="U192" i="5" s="1"/>
  <c r="J194" i="5"/>
  <c r="E195" i="5"/>
  <c r="L196" i="5"/>
  <c r="F197" i="5"/>
  <c r="J198" i="5"/>
  <c r="D199" i="5"/>
  <c r="I200" i="5"/>
  <c r="W200" i="5" s="1"/>
  <c r="J202" i="5"/>
  <c r="D207" i="5"/>
  <c r="K218" i="5"/>
  <c r="I221" i="5"/>
  <c r="W221" i="5" s="1"/>
  <c r="I130" i="5"/>
  <c r="W130" i="5" s="1"/>
  <c r="C131" i="5"/>
  <c r="BL131" i="5" s="1"/>
  <c r="G132" i="5"/>
  <c r="F134" i="5"/>
  <c r="I135" i="5"/>
  <c r="L136" i="5"/>
  <c r="G137" i="5"/>
  <c r="E139" i="5"/>
  <c r="C141" i="5"/>
  <c r="BL141" i="5" s="1"/>
  <c r="BP141" i="5" s="1"/>
  <c r="H142" i="5"/>
  <c r="L143" i="5"/>
  <c r="F144" i="5"/>
  <c r="H145" i="5"/>
  <c r="H147" i="5"/>
  <c r="C149" i="5"/>
  <c r="BL149" i="5" s="1"/>
  <c r="H150" i="5"/>
  <c r="C151" i="5"/>
  <c r="BL151" i="5" s="1"/>
  <c r="BP151" i="5" s="1"/>
  <c r="F152" i="5"/>
  <c r="J153" i="5"/>
  <c r="E154" i="5"/>
  <c r="I155" i="5"/>
  <c r="W155" i="5" s="1"/>
  <c r="D156" i="5"/>
  <c r="H157" i="5"/>
  <c r="J160" i="5"/>
  <c r="E161" i="5"/>
  <c r="AH161" i="5" s="1"/>
  <c r="AI161" i="5" s="1"/>
  <c r="H162" i="5"/>
  <c r="K163" i="5"/>
  <c r="U163" i="5" s="1"/>
  <c r="E164" i="5"/>
  <c r="AH164" i="5" s="1"/>
  <c r="AI164" i="5" s="1"/>
  <c r="C166" i="5"/>
  <c r="BL166" i="5" s="1"/>
  <c r="H167" i="5"/>
  <c r="C168" i="5"/>
  <c r="BL168" i="5" s="1"/>
  <c r="BP168" i="5" s="1"/>
  <c r="H169" i="5"/>
  <c r="H171" i="5"/>
  <c r="C172" i="5"/>
  <c r="BL172" i="5" s="1"/>
  <c r="I173" i="5"/>
  <c r="W173" i="5" s="1"/>
  <c r="C174" i="5"/>
  <c r="BL174" i="5" s="1"/>
  <c r="BP174" i="5" s="1"/>
  <c r="H175" i="5"/>
  <c r="C176" i="5"/>
  <c r="BL176" i="5" s="1"/>
  <c r="BN176" i="5" s="1"/>
  <c r="I177" i="5"/>
  <c r="W177" i="5" s="1"/>
  <c r="C178" i="5"/>
  <c r="BL178" i="5" s="1"/>
  <c r="I179" i="5"/>
  <c r="W179" i="5" s="1"/>
  <c r="D180" i="5"/>
  <c r="I181" i="5"/>
  <c r="W181" i="5" s="1"/>
  <c r="D182" i="5"/>
  <c r="J183" i="5"/>
  <c r="E184" i="5"/>
  <c r="K185" i="5"/>
  <c r="J187" i="5"/>
  <c r="F191" i="5"/>
  <c r="L192" i="5"/>
  <c r="F193" i="5"/>
  <c r="K194" i="5"/>
  <c r="U194" i="5" s="1"/>
  <c r="F195" i="5"/>
  <c r="G197" i="5"/>
  <c r="K198" i="5"/>
  <c r="U198" i="5" s="1"/>
  <c r="E199" i="5"/>
  <c r="AH199" i="5" s="1"/>
  <c r="AI199" i="5" s="1"/>
  <c r="J200" i="5"/>
  <c r="E201" i="5"/>
  <c r="K202" i="5"/>
  <c r="E207" i="5"/>
  <c r="AH207" i="5" s="1"/>
  <c r="AI207" i="5" s="1"/>
  <c r="D211" i="5"/>
  <c r="E214" i="5"/>
  <c r="AH214" i="5" s="1"/>
  <c r="AI214" i="5" s="1"/>
  <c r="E217" i="5"/>
  <c r="AH217" i="5" s="1"/>
  <c r="AI217" i="5" s="1"/>
  <c r="C223" i="5"/>
  <c r="BL223" i="5" s="1"/>
  <c r="J130" i="5"/>
  <c r="D131" i="5"/>
  <c r="H132" i="5"/>
  <c r="L133" i="5"/>
  <c r="G134" i="5"/>
  <c r="J135" i="5"/>
  <c r="C136" i="5"/>
  <c r="BL136" i="5" s="1"/>
  <c r="H137" i="5"/>
  <c r="C138" i="5"/>
  <c r="BL138" i="5" s="1"/>
  <c r="L138" i="5"/>
  <c r="F139" i="5"/>
  <c r="J140" i="5"/>
  <c r="D141" i="5"/>
  <c r="C143" i="5"/>
  <c r="BL143" i="5" s="1"/>
  <c r="G144" i="5"/>
  <c r="I145" i="5"/>
  <c r="W145" i="5" s="1"/>
  <c r="C146" i="5"/>
  <c r="BL146" i="5" s="1"/>
  <c r="I147" i="5"/>
  <c r="W147" i="5" s="1"/>
  <c r="K148" i="5"/>
  <c r="U148" i="5" s="1"/>
  <c r="D149" i="5"/>
  <c r="I150" i="5"/>
  <c r="W150" i="5" s="1"/>
  <c r="D151" i="5"/>
  <c r="G152" i="5"/>
  <c r="K153" i="5"/>
  <c r="U153" i="5" s="1"/>
  <c r="F154" i="5"/>
  <c r="J155" i="5"/>
  <c r="I157" i="5"/>
  <c r="W157" i="5" s="1"/>
  <c r="E159" i="5"/>
  <c r="K160" i="5"/>
  <c r="U160" i="5" s="1"/>
  <c r="F161" i="5"/>
  <c r="I162" i="5"/>
  <c r="W162" i="5" s="1"/>
  <c r="C163" i="5"/>
  <c r="BL163" i="5" s="1"/>
  <c r="BP163" i="5" s="1"/>
  <c r="L163" i="5"/>
  <c r="F164" i="5"/>
  <c r="J165" i="5"/>
  <c r="D166" i="5"/>
  <c r="I167" i="5"/>
  <c r="W167" i="5" s="1"/>
  <c r="D168" i="5"/>
  <c r="I169" i="5"/>
  <c r="W169" i="5" s="1"/>
  <c r="C170" i="5"/>
  <c r="BL170" i="5" s="1"/>
  <c r="BN170" i="5" s="1"/>
  <c r="I171" i="5"/>
  <c r="W171" i="5" s="1"/>
  <c r="D172" i="5"/>
  <c r="J173" i="5"/>
  <c r="D174" i="5"/>
  <c r="I175" i="5"/>
  <c r="W175" i="5" s="1"/>
  <c r="D176" i="5"/>
  <c r="J177" i="5"/>
  <c r="D178" i="5"/>
  <c r="J179" i="5"/>
  <c r="E180" i="5"/>
  <c r="J181" i="5"/>
  <c r="E182" i="5"/>
  <c r="K183" i="5"/>
  <c r="F184" i="5"/>
  <c r="L185" i="5"/>
  <c r="F186" i="5"/>
  <c r="K187" i="5"/>
  <c r="U187" i="5" s="1"/>
  <c r="E188" i="5"/>
  <c r="AH188" i="5" s="1"/>
  <c r="AI188" i="5" s="1"/>
  <c r="G189" i="5"/>
  <c r="G191" i="5"/>
  <c r="G193" i="5"/>
  <c r="L194" i="5"/>
  <c r="G195" i="5"/>
  <c r="L198" i="5"/>
  <c r="F199" i="5"/>
  <c r="F201" i="5"/>
  <c r="L202" i="5"/>
  <c r="H207" i="5"/>
  <c r="F210" i="5"/>
  <c r="J211" i="5"/>
  <c r="F214" i="5"/>
  <c r="F217" i="5"/>
  <c r="D223" i="5"/>
  <c r="D201" i="5"/>
  <c r="I202" i="5"/>
  <c r="W202" i="5" s="1"/>
  <c r="D203" i="5"/>
  <c r="J204" i="5"/>
  <c r="D205" i="5"/>
  <c r="I206" i="5"/>
  <c r="W206" i="5" s="1"/>
  <c r="G208" i="5"/>
  <c r="L209" i="5"/>
  <c r="E210" i="5"/>
  <c r="AH210" i="5" s="1"/>
  <c r="AI210" i="5" s="1"/>
  <c r="I211" i="5"/>
  <c r="W211" i="5" s="1"/>
  <c r="C212" i="5"/>
  <c r="BL212" i="5" s="1"/>
  <c r="BP212" i="5" s="1"/>
  <c r="I213" i="5"/>
  <c r="W213" i="5" s="1"/>
  <c r="D214" i="5"/>
  <c r="G215" i="5"/>
  <c r="J216" i="5"/>
  <c r="D217" i="5"/>
  <c r="J218" i="5"/>
  <c r="H220" i="5"/>
  <c r="C221" i="5"/>
  <c r="BL221" i="5" s="1"/>
  <c r="BN221" i="5" s="1"/>
  <c r="G222" i="5"/>
  <c r="G224" i="5"/>
  <c r="L225" i="5"/>
  <c r="W276" i="5"/>
  <c r="W297" i="5"/>
  <c r="W313" i="5"/>
  <c r="AH324" i="5"/>
  <c r="AI324" i="5" s="1"/>
  <c r="BL326" i="5"/>
  <c r="AH337" i="5"/>
  <c r="AI337" i="5" s="1"/>
  <c r="AJ337" i="5" s="1"/>
  <c r="BL372" i="5"/>
  <c r="BP372" i="5" s="1"/>
  <c r="BL277" i="5"/>
  <c r="BP277" i="5" s="1"/>
  <c r="AH279" i="5"/>
  <c r="AI279" i="5" s="1"/>
  <c r="W286" i="5"/>
  <c r="Z286" i="5" s="1"/>
  <c r="AA286" i="5" s="1"/>
  <c r="AL289" i="5"/>
  <c r="U297" i="5"/>
  <c r="W299" i="5"/>
  <c r="AZ318" i="5"/>
  <c r="BL328" i="5"/>
  <c r="BP328" i="5" s="1"/>
  <c r="AZ337" i="5"/>
  <c r="W345" i="5"/>
  <c r="AL365" i="5"/>
  <c r="F212" i="5"/>
  <c r="L213" i="5"/>
  <c r="G214" i="5"/>
  <c r="I215" i="5"/>
  <c r="G217" i="5"/>
  <c r="L218" i="5"/>
  <c r="F219" i="5"/>
  <c r="K220" i="5"/>
  <c r="F221" i="5"/>
  <c r="J222" i="5"/>
  <c r="E223" i="5"/>
  <c r="AH223" i="5" s="1"/>
  <c r="AI223" i="5" s="1"/>
  <c r="C225" i="5"/>
  <c r="BL225" i="5" s="1"/>
  <c r="Z276" i="5"/>
  <c r="AA276" i="5" s="1"/>
  <c r="AH278" i="5"/>
  <c r="AI278" i="5" s="1"/>
  <c r="AD278" i="5" s="1"/>
  <c r="AL282" i="5"/>
  <c r="AB286" i="5"/>
  <c r="AO286" i="5" s="1"/>
  <c r="AR286" i="5" s="1"/>
  <c r="AS286" i="5" s="1"/>
  <c r="AZ304" i="5"/>
  <c r="BL312" i="5"/>
  <c r="AQ330" i="5"/>
  <c r="AH368" i="5"/>
  <c r="AI368" i="5" s="1"/>
  <c r="H203" i="5"/>
  <c r="C204" i="5"/>
  <c r="BL204" i="5" s="1"/>
  <c r="H205" i="5"/>
  <c r="K208" i="5"/>
  <c r="U208" i="5" s="1"/>
  <c r="E209" i="5"/>
  <c r="H210" i="5"/>
  <c r="G212" i="5"/>
  <c r="C216" i="5"/>
  <c r="BL216" i="5" s="1"/>
  <c r="H217" i="5"/>
  <c r="G219" i="5"/>
  <c r="L220" i="5"/>
  <c r="G221" i="5"/>
  <c r="K222" i="5"/>
  <c r="F223" i="5"/>
  <c r="I224" i="5"/>
  <c r="W224" i="5" s="1"/>
  <c r="D225" i="5"/>
  <c r="AZ277" i="5"/>
  <c r="W278" i="5"/>
  <c r="Z278" i="5" s="1"/>
  <c r="AA278" i="5" s="1"/>
  <c r="AL291" i="5"/>
  <c r="AQ294" i="5"/>
  <c r="BL296" i="5"/>
  <c r="W317" i="5"/>
  <c r="AZ356" i="5"/>
  <c r="W361" i="5"/>
  <c r="H201" i="5"/>
  <c r="I203" i="5"/>
  <c r="D204" i="5"/>
  <c r="I205" i="5"/>
  <c r="W205" i="5" s="1"/>
  <c r="C206" i="5"/>
  <c r="BL206" i="5" s="1"/>
  <c r="F207" i="5"/>
  <c r="L208" i="5"/>
  <c r="F209" i="5"/>
  <c r="I210" i="5"/>
  <c r="W210" i="5" s="1"/>
  <c r="H212" i="5"/>
  <c r="H214" i="5"/>
  <c r="J215" i="5"/>
  <c r="D216" i="5"/>
  <c r="I217" i="5"/>
  <c r="C218" i="5"/>
  <c r="BL218" i="5" s="1"/>
  <c r="H219" i="5"/>
  <c r="C220" i="5"/>
  <c r="BL220" i="5" s="1"/>
  <c r="H221" i="5"/>
  <c r="L222" i="5"/>
  <c r="G223" i="5"/>
  <c r="J224" i="5"/>
  <c r="E225" i="5"/>
  <c r="AH225" i="5" s="1"/>
  <c r="AI225" i="5" s="1"/>
  <c r="U309" i="5"/>
  <c r="AZ312" i="5"/>
  <c r="W323" i="5"/>
  <c r="AH350" i="5"/>
  <c r="AI350" i="5" s="1"/>
  <c r="U361" i="5"/>
  <c r="C202" i="5"/>
  <c r="BL202" i="5" s="1"/>
  <c r="J203" i="5"/>
  <c r="E204" i="5"/>
  <c r="J205" i="5"/>
  <c r="D206" i="5"/>
  <c r="G207" i="5"/>
  <c r="G209" i="5"/>
  <c r="J210" i="5"/>
  <c r="C211" i="5"/>
  <c r="BL211" i="5" s="1"/>
  <c r="C213" i="5"/>
  <c r="BL213" i="5" s="1"/>
  <c r="K215" i="5"/>
  <c r="U215" i="5" s="1"/>
  <c r="E216" i="5"/>
  <c r="AH216" i="5" s="1"/>
  <c r="AI216" i="5" s="1"/>
  <c r="J217" i="5"/>
  <c r="D218" i="5"/>
  <c r="I219" i="5"/>
  <c r="W219" i="5" s="1"/>
  <c r="K224" i="5"/>
  <c r="F225" i="5"/>
  <c r="BL276" i="5"/>
  <c r="AB278" i="5"/>
  <c r="AQ278" i="5"/>
  <c r="W281" i="5"/>
  <c r="BL298" i="5"/>
  <c r="AB317" i="5"/>
  <c r="AZ354" i="5"/>
  <c r="AH290" i="5"/>
  <c r="AI290" i="5" s="1"/>
  <c r="W293" i="5"/>
  <c r="AH298" i="5"/>
  <c r="AI298" i="5" s="1"/>
  <c r="BL322" i="5"/>
  <c r="W327" i="5"/>
  <c r="BL346" i="5"/>
  <c r="BL364" i="5"/>
  <c r="BN364" i="5" s="1"/>
  <c r="J201" i="5"/>
  <c r="E202" i="5"/>
  <c r="AH202" i="5" s="1"/>
  <c r="AI202" i="5" s="1"/>
  <c r="L203" i="5"/>
  <c r="F204" i="5"/>
  <c r="E206" i="5"/>
  <c r="AH206" i="5" s="1"/>
  <c r="AI206" i="5" s="1"/>
  <c r="I207" i="5"/>
  <c r="W207" i="5" s="1"/>
  <c r="C208" i="5"/>
  <c r="BL208" i="5" s="1"/>
  <c r="H209" i="5"/>
  <c r="L210" i="5"/>
  <c r="E211" i="5"/>
  <c r="AH211" i="5" s="1"/>
  <c r="AI211" i="5" s="1"/>
  <c r="J212" i="5"/>
  <c r="E213" i="5"/>
  <c r="AH213" i="5" s="1"/>
  <c r="AI213" i="5" s="1"/>
  <c r="J214" i="5"/>
  <c r="C215" i="5"/>
  <c r="BL215" i="5" s="1"/>
  <c r="BP215" i="5" s="1"/>
  <c r="L217" i="5"/>
  <c r="F218" i="5"/>
  <c r="K219" i="5"/>
  <c r="U219" i="5" s="1"/>
  <c r="E220" i="5"/>
  <c r="AH220" i="5" s="1"/>
  <c r="AI220" i="5" s="1"/>
  <c r="J221" i="5"/>
  <c r="D222" i="5"/>
  <c r="I223" i="5"/>
  <c r="W223" i="5" s="1"/>
  <c r="H225" i="5"/>
  <c r="AH276" i="5"/>
  <c r="AI276" i="5" s="1"/>
  <c r="AJ276" i="5" s="1"/>
  <c r="AL277" i="5"/>
  <c r="W284" i="5"/>
  <c r="BL300" i="5"/>
  <c r="BP300" i="5" s="1"/>
  <c r="AL303" i="5"/>
  <c r="AH314" i="5"/>
  <c r="AI314" i="5" s="1"/>
  <c r="AB338" i="5"/>
  <c r="AW338" i="5" s="1"/>
  <c r="BL476" i="5"/>
  <c r="K201" i="5"/>
  <c r="U201" i="5" s="1"/>
  <c r="F202" i="5"/>
  <c r="G204" i="5"/>
  <c r="L205" i="5"/>
  <c r="F206" i="5"/>
  <c r="J207" i="5"/>
  <c r="D208" i="5"/>
  <c r="I209" i="5"/>
  <c r="F211" i="5"/>
  <c r="K212" i="5"/>
  <c r="F213" i="5"/>
  <c r="D215" i="5"/>
  <c r="G216" i="5"/>
  <c r="G218" i="5"/>
  <c r="L219" i="5"/>
  <c r="F220" i="5"/>
  <c r="K221" i="5"/>
  <c r="U221" i="5" s="1"/>
  <c r="J223" i="5"/>
  <c r="D224" i="5"/>
  <c r="I225" i="5"/>
  <c r="AZ276" i="5"/>
  <c r="BL283" i="5"/>
  <c r="AZ322" i="5"/>
  <c r="W329" i="5"/>
  <c r="AB369" i="5"/>
  <c r="W390" i="5"/>
  <c r="L201" i="5"/>
  <c r="G202" i="5"/>
  <c r="H204" i="5"/>
  <c r="G206" i="5"/>
  <c r="K207" i="5"/>
  <c r="E208" i="5"/>
  <c r="AH208" i="5" s="1"/>
  <c r="AI208" i="5" s="1"/>
  <c r="J209" i="5"/>
  <c r="C210" i="5"/>
  <c r="BL210" i="5" s="1"/>
  <c r="G211" i="5"/>
  <c r="L212" i="5"/>
  <c r="G213" i="5"/>
  <c r="K214" i="5"/>
  <c r="U214" i="5" s="1"/>
  <c r="E215" i="5"/>
  <c r="AH215" i="5" s="1"/>
  <c r="AI215" i="5" s="1"/>
  <c r="H216" i="5"/>
  <c r="H218" i="5"/>
  <c r="G220" i="5"/>
  <c r="L221" i="5"/>
  <c r="E222" i="5"/>
  <c r="AH222" i="5" s="1"/>
  <c r="AI222" i="5" s="1"/>
  <c r="K223" i="5"/>
  <c r="U223" i="5" s="1"/>
  <c r="E224" i="5"/>
  <c r="AH224" i="5" s="1"/>
  <c r="AI224" i="5" s="1"/>
  <c r="J225" i="5"/>
  <c r="AQ284" i="5"/>
  <c r="BA284" i="5" s="1"/>
  <c r="AH316" i="5"/>
  <c r="AI316" i="5" s="1"/>
  <c r="AL357" i="5"/>
  <c r="AQ388" i="5"/>
  <c r="BA388" i="5" s="1"/>
  <c r="BL494" i="5"/>
  <c r="BN494" i="5" s="1"/>
  <c r="C201" i="5"/>
  <c r="BL201" i="5" s="1"/>
  <c r="H202" i="5"/>
  <c r="C203" i="5"/>
  <c r="BL203" i="5" s="1"/>
  <c r="BN203" i="5" s="1"/>
  <c r="I204" i="5"/>
  <c r="W204" i="5" s="1"/>
  <c r="C205" i="5"/>
  <c r="BL205" i="5" s="1"/>
  <c r="H206" i="5"/>
  <c r="L207" i="5"/>
  <c r="F208" i="5"/>
  <c r="K209" i="5"/>
  <c r="U209" i="5" s="1"/>
  <c r="D210" i="5"/>
  <c r="H211" i="5"/>
  <c r="H213" i="5"/>
  <c r="C214" i="5"/>
  <c r="BL214" i="5" s="1"/>
  <c r="L214" i="5"/>
  <c r="F215" i="5"/>
  <c r="I216" i="5"/>
  <c r="W216" i="5" s="1"/>
  <c r="C217" i="5"/>
  <c r="BL217" i="5" s="1"/>
  <c r="BP217" i="5" s="1"/>
  <c r="I218" i="5"/>
  <c r="W218" i="5" s="1"/>
  <c r="C219" i="5"/>
  <c r="BL219" i="5" s="1"/>
  <c r="F222" i="5"/>
  <c r="L223" i="5"/>
  <c r="F224" i="5"/>
  <c r="K225" i="5"/>
  <c r="U225" i="5" s="1"/>
  <c r="AZ283" i="5"/>
  <c r="BL305" i="5"/>
  <c r="BP305" i="5" s="1"/>
  <c r="AH310" i="5"/>
  <c r="AI310" i="5" s="1"/>
  <c r="BL318" i="5"/>
  <c r="BN318" i="5" s="1"/>
  <c r="AH335" i="5"/>
  <c r="AI335" i="5" s="1"/>
  <c r="AD335" i="5" s="1"/>
  <c r="BL353" i="5"/>
  <c r="W388" i="5"/>
  <c r="AH468" i="5"/>
  <c r="AI468" i="5" s="1"/>
  <c r="AD468" i="5" s="1"/>
  <c r="W277" i="5"/>
  <c r="W279" i="5"/>
  <c r="BL282" i="5"/>
  <c r="AH289" i="5"/>
  <c r="AI289" i="5" s="1"/>
  <c r="W296" i="5"/>
  <c r="W298" i="5"/>
  <c r="Z298" i="5" s="1"/>
  <c r="AA298" i="5" s="1"/>
  <c r="AH301" i="5"/>
  <c r="AI301" i="5" s="1"/>
  <c r="AZ303" i="5"/>
  <c r="AZ307" i="5"/>
  <c r="AZ309" i="5"/>
  <c r="AB310" i="5"/>
  <c r="AH311" i="5"/>
  <c r="AI311" i="5" s="1"/>
  <c r="W314" i="5"/>
  <c r="W316" i="5"/>
  <c r="AL320" i="5"/>
  <c r="BL323" i="5"/>
  <c r="W324" i="5"/>
  <c r="BL329" i="5"/>
  <c r="AZ334" i="5"/>
  <c r="W342" i="5"/>
  <c r="BL343" i="5"/>
  <c r="BN343" i="5" s="1"/>
  <c r="W346" i="5"/>
  <c r="W359" i="5"/>
  <c r="AB363" i="5"/>
  <c r="AO363" i="5" s="1"/>
  <c r="AZ366" i="5"/>
  <c r="U377" i="5"/>
  <c r="W387" i="5"/>
  <c r="Z387" i="5" s="1"/>
  <c r="AA387" i="5" s="1"/>
  <c r="AZ449" i="5"/>
  <c r="AZ462" i="5"/>
  <c r="AZ498" i="5"/>
  <c r="U285" i="5"/>
  <c r="AH286" i="5"/>
  <c r="AI286" i="5" s="1"/>
  <c r="W287" i="5"/>
  <c r="AZ289" i="5"/>
  <c r="AZ291" i="5"/>
  <c r="U292" i="5"/>
  <c r="BL295" i="5"/>
  <c r="BP295" i="5" s="1"/>
  <c r="AQ297" i="5"/>
  <c r="BA297" i="5" s="1"/>
  <c r="AL300" i="5"/>
  <c r="AZ301" i="5"/>
  <c r="BL306" i="5"/>
  <c r="AZ311" i="5"/>
  <c r="AL312" i="5"/>
  <c r="AH313" i="5"/>
  <c r="AI313" i="5" s="1"/>
  <c r="BL315" i="5"/>
  <c r="BP315" i="5" s="1"/>
  <c r="AH317" i="5"/>
  <c r="AI317" i="5" s="1"/>
  <c r="AL318" i="5"/>
  <c r="U318" i="5"/>
  <c r="AZ321" i="5"/>
  <c r="AH325" i="5"/>
  <c r="AI325" i="5" s="1"/>
  <c r="AH327" i="5"/>
  <c r="AI327" i="5" s="1"/>
  <c r="AL330" i="5"/>
  <c r="U330" i="5"/>
  <c r="BL331" i="5"/>
  <c r="BN331" i="5" s="1"/>
  <c r="W332" i="5"/>
  <c r="W340" i="5"/>
  <c r="BL341" i="5"/>
  <c r="AL344" i="5"/>
  <c r="AH345" i="5"/>
  <c r="AI345" i="5" s="1"/>
  <c r="BL347" i="5"/>
  <c r="W348" i="5"/>
  <c r="W385" i="5"/>
  <c r="W393" i="5"/>
  <c r="AH406" i="5"/>
  <c r="AI406" i="5" s="1"/>
  <c r="AD406" i="5" s="1"/>
  <c r="W418" i="5"/>
  <c r="AZ278" i="5"/>
  <c r="U279" i="5"/>
  <c r="BL280" i="5"/>
  <c r="AZ284" i="5"/>
  <c r="AB292" i="5"/>
  <c r="AH293" i="5"/>
  <c r="AI293" i="5" s="1"/>
  <c r="W294" i="5"/>
  <c r="AL296" i="5"/>
  <c r="AH297" i="5"/>
  <c r="AI297" i="5" s="1"/>
  <c r="AZ299" i="5"/>
  <c r="W305" i="5"/>
  <c r="AZ313" i="5"/>
  <c r="AL314" i="5"/>
  <c r="U314" i="5"/>
  <c r="AL316" i="5"/>
  <c r="AH323" i="5"/>
  <c r="AI323" i="5" s="1"/>
  <c r="AZ325" i="5"/>
  <c r="AB329" i="5"/>
  <c r="W336" i="5"/>
  <c r="W338" i="5"/>
  <c r="BL339" i="5"/>
  <c r="BP339" i="5" s="1"/>
  <c r="U342" i="5"/>
  <c r="AH343" i="5"/>
  <c r="AI343" i="5" s="1"/>
  <c r="AJ343" i="5" s="1"/>
  <c r="AQ344" i="5"/>
  <c r="BA344" i="5" s="1"/>
  <c r="AL346" i="5"/>
  <c r="W362" i="5"/>
  <c r="AL366" i="5"/>
  <c r="W373" i="5"/>
  <c r="BL376" i="5"/>
  <c r="AB399" i="5"/>
  <c r="AZ401" i="5"/>
  <c r="U429" i="5"/>
  <c r="AL452" i="5"/>
  <c r="AQ279" i="5"/>
  <c r="BA279" i="5" s="1"/>
  <c r="AB279" i="5"/>
  <c r="AW279" i="5" s="1"/>
  <c r="BL288" i="5"/>
  <c r="AH295" i="5"/>
  <c r="AI295" i="5" s="1"/>
  <c r="AZ297" i="5"/>
  <c r="AB298" i="5"/>
  <c r="W303" i="5"/>
  <c r="AH306" i="5"/>
  <c r="AI306" i="5" s="1"/>
  <c r="W307" i="5"/>
  <c r="W309" i="5"/>
  <c r="BL310" i="5"/>
  <c r="AH315" i="5"/>
  <c r="AI315" i="5" s="1"/>
  <c r="AQ316" i="5"/>
  <c r="AZ329" i="5"/>
  <c r="AH331" i="5"/>
  <c r="AI331" i="5" s="1"/>
  <c r="AL332" i="5"/>
  <c r="AH333" i="5"/>
  <c r="AI333" i="5" s="1"/>
  <c r="W334" i="5"/>
  <c r="BL335" i="5"/>
  <c r="AL340" i="5"/>
  <c r="AZ343" i="5"/>
  <c r="AH347" i="5"/>
  <c r="AI347" i="5" s="1"/>
  <c r="AH349" i="5"/>
  <c r="AI349" i="5" s="1"/>
  <c r="AD349" i="5" s="1"/>
  <c r="BL357" i="5"/>
  <c r="BN357" i="5" s="1"/>
  <c r="AL358" i="5"/>
  <c r="AH376" i="5"/>
  <c r="AI376" i="5" s="1"/>
  <c r="W379" i="5"/>
  <c r="Z379" i="5" s="1"/>
  <c r="W381" i="5"/>
  <c r="W383" i="5"/>
  <c r="U401" i="5"/>
  <c r="BL412" i="5"/>
  <c r="U427" i="5"/>
  <c r="AQ439" i="5"/>
  <c r="BA439" i="5" s="1"/>
  <c r="AH280" i="5"/>
  <c r="AI280" i="5" s="1"/>
  <c r="W289" i="5"/>
  <c r="Z289" i="5" s="1"/>
  <c r="BL290" i="5"/>
  <c r="W291" i="5"/>
  <c r="AZ295" i="5"/>
  <c r="W301" i="5"/>
  <c r="BL302" i="5"/>
  <c r="BL308" i="5"/>
  <c r="W311" i="5"/>
  <c r="BL320" i="5"/>
  <c r="BP320" i="5" s="1"/>
  <c r="W321" i="5"/>
  <c r="AQ339" i="5"/>
  <c r="AZ341" i="5"/>
  <c r="AQ348" i="5"/>
  <c r="BL350" i="5"/>
  <c r="BL351" i="5"/>
  <c r="BP351" i="5" s="1"/>
  <c r="AH356" i="5"/>
  <c r="AI356" i="5" s="1"/>
  <c r="AQ361" i="5"/>
  <c r="W365" i="5"/>
  <c r="Z365" i="5" s="1"/>
  <c r="BL368" i="5"/>
  <c r="U408" i="5"/>
  <c r="W481" i="5"/>
  <c r="BL281" i="5"/>
  <c r="BP281" i="5" s="1"/>
  <c r="AH283" i="5"/>
  <c r="AI283" i="5" s="1"/>
  <c r="AL284" i="5"/>
  <c r="U286" i="5"/>
  <c r="BL287" i="5"/>
  <c r="AH292" i="5"/>
  <c r="AI292" i="5" s="1"/>
  <c r="W295" i="5"/>
  <c r="Z295" i="5" s="1"/>
  <c r="AA295" i="5" s="1"/>
  <c r="AQ296" i="5"/>
  <c r="AL299" i="5"/>
  <c r="Z301" i="5"/>
  <c r="W306" i="5"/>
  <c r="AQ311" i="5"/>
  <c r="BA311" i="5" s="1"/>
  <c r="AH312" i="5"/>
  <c r="AI312" i="5" s="1"/>
  <c r="AD312" i="5" s="1"/>
  <c r="AL313" i="5"/>
  <c r="W315" i="5"/>
  <c r="AL317" i="5"/>
  <c r="AH318" i="5"/>
  <c r="AI318" i="5" s="1"/>
  <c r="U319" i="5"/>
  <c r="AZ320" i="5"/>
  <c r="AH322" i="5"/>
  <c r="AI322" i="5" s="1"/>
  <c r="AH326" i="5"/>
  <c r="AI326" i="5" s="1"/>
  <c r="W331" i="5"/>
  <c r="Z331" i="5" s="1"/>
  <c r="W333" i="5"/>
  <c r="BL340" i="5"/>
  <c r="BP340" i="5" s="1"/>
  <c r="W341" i="5"/>
  <c r="AQ342" i="5"/>
  <c r="BA342" i="5" s="1"/>
  <c r="AL345" i="5"/>
  <c r="W347" i="5"/>
  <c r="BL348" i="5"/>
  <c r="BP348" i="5" s="1"/>
  <c r="W349" i="5"/>
  <c r="AZ353" i="5"/>
  <c r="W356" i="5"/>
  <c r="BL392" i="5"/>
  <c r="BN392" i="5" s="1"/>
  <c r="W430" i="5"/>
  <c r="AL505" i="5"/>
  <c r="AZ326" i="5"/>
  <c r="AB327" i="5"/>
  <c r="AW327" i="5" s="1"/>
  <c r="AL329" i="5"/>
  <c r="BL336" i="5"/>
  <c r="BL338" i="5"/>
  <c r="W339" i="5"/>
  <c r="AL341" i="5"/>
  <c r="AZ344" i="5"/>
  <c r="AH346" i="5"/>
  <c r="AI346" i="5" s="1"/>
  <c r="W351" i="5"/>
  <c r="Z351" i="5" s="1"/>
  <c r="AA351" i="5" s="1"/>
  <c r="W352" i="5"/>
  <c r="AZ360" i="5"/>
  <c r="AB375" i="5"/>
  <c r="Z375" i="5"/>
  <c r="AA375" i="5" s="1"/>
  <c r="AB378" i="5"/>
  <c r="AH407" i="5"/>
  <c r="AI407" i="5" s="1"/>
  <c r="AQ417" i="5"/>
  <c r="BA417" i="5" s="1"/>
  <c r="W428" i="5"/>
  <c r="AZ456" i="5"/>
  <c r="W288" i="5"/>
  <c r="AB293" i="5"/>
  <c r="AO293" i="5" s="1"/>
  <c r="AB297" i="5"/>
  <c r="AZ300" i="5"/>
  <c r="BL303" i="5"/>
  <c r="W304" i="5"/>
  <c r="BL307" i="5"/>
  <c r="BP307" i="5" s="1"/>
  <c r="W310" i="5"/>
  <c r="Z310" i="5" s="1"/>
  <c r="AA310" i="5" s="1"/>
  <c r="AZ314" i="5"/>
  <c r="AZ316" i="5"/>
  <c r="AZ324" i="5"/>
  <c r="AQ329" i="5"/>
  <c r="AZ330" i="5"/>
  <c r="AL331" i="5"/>
  <c r="AL333" i="5"/>
  <c r="W335" i="5"/>
  <c r="W337" i="5"/>
  <c r="Z337" i="5" s="1"/>
  <c r="AZ346" i="5"/>
  <c r="AH348" i="5"/>
  <c r="AI348" i="5" s="1"/>
  <c r="AQ350" i="5"/>
  <c r="AL351" i="5"/>
  <c r="AL355" i="5"/>
  <c r="BL363" i="5"/>
  <c r="BN363" i="5" s="1"/>
  <c r="W371" i="5"/>
  <c r="Z371" i="5" s="1"/>
  <c r="AA371" i="5" s="1"/>
  <c r="BL380" i="5"/>
  <c r="AH402" i="5"/>
  <c r="AI402" i="5" s="1"/>
  <c r="AJ402" i="5" s="1"/>
  <c r="AH413" i="5"/>
  <c r="AI413" i="5" s="1"/>
  <c r="W426" i="5"/>
  <c r="AZ482" i="5"/>
  <c r="AZ281" i="5"/>
  <c r="AZ287" i="5"/>
  <c r="W290" i="5"/>
  <c r="BL291" i="5"/>
  <c r="AH294" i="5"/>
  <c r="AI294" i="5" s="1"/>
  <c r="BL301" i="5"/>
  <c r="BN301" i="5" s="1"/>
  <c r="W302" i="5"/>
  <c r="AH305" i="5"/>
  <c r="AI305" i="5" s="1"/>
  <c r="AJ305" i="5" s="1"/>
  <c r="AB306" i="5"/>
  <c r="AW306" i="5" s="1"/>
  <c r="AQ309" i="5"/>
  <c r="BA309" i="5" s="1"/>
  <c r="W320" i="5"/>
  <c r="BL321" i="5"/>
  <c r="AB331" i="5"/>
  <c r="AO331" i="5" s="1"/>
  <c r="AR331" i="5" s="1"/>
  <c r="AZ332" i="5"/>
  <c r="AH336" i="5"/>
  <c r="AI336" i="5" s="1"/>
  <c r="AD336" i="5" s="1"/>
  <c r="AZ348" i="5"/>
  <c r="W367" i="5"/>
  <c r="W374" i="5"/>
  <c r="Z374" i="5" s="1"/>
  <c r="AA374" i="5" s="1"/>
  <c r="BL278" i="5"/>
  <c r="BP278" i="5" s="1"/>
  <c r="W283" i="5"/>
  <c r="BL284" i="5"/>
  <c r="BL286" i="5"/>
  <c r="BN286" i="5" s="1"/>
  <c r="AL288" i="5"/>
  <c r="W292" i="5"/>
  <c r="BL299" i="5"/>
  <c r="W300" i="5"/>
  <c r="AH303" i="5"/>
  <c r="AI303" i="5" s="1"/>
  <c r="AH307" i="5"/>
  <c r="AI307" i="5" s="1"/>
  <c r="W312" i="5"/>
  <c r="BL313" i="5"/>
  <c r="BP313" i="5" s="1"/>
  <c r="BL317" i="5"/>
  <c r="W318" i="5"/>
  <c r="BL319" i="5"/>
  <c r="BN319" i="5" s="1"/>
  <c r="W322" i="5"/>
  <c r="BL325" i="5"/>
  <c r="BP325" i="5" s="1"/>
  <c r="W326" i="5"/>
  <c r="BL327" i="5"/>
  <c r="BP327" i="5" s="1"/>
  <c r="W328" i="5"/>
  <c r="W330" i="5"/>
  <c r="AH334" i="5"/>
  <c r="AI334" i="5" s="1"/>
  <c r="AL335" i="5"/>
  <c r="AZ336" i="5"/>
  <c r="AZ338" i="5"/>
  <c r="AB339" i="5"/>
  <c r="W344" i="5"/>
  <c r="BL345" i="5"/>
  <c r="AH370" i="5"/>
  <c r="AI370" i="5" s="1"/>
  <c r="AJ370" i="5" s="1"/>
  <c r="W377" i="5"/>
  <c r="Z377" i="5" s="1"/>
  <c r="AH404" i="5"/>
  <c r="AI404" i="5" s="1"/>
  <c r="W485" i="5"/>
  <c r="AZ383" i="5"/>
  <c r="BL407" i="5"/>
  <c r="BP407" i="5" s="1"/>
  <c r="W408" i="5"/>
  <c r="BL413" i="5"/>
  <c r="W416" i="5"/>
  <c r="AZ434" i="5"/>
  <c r="BL437" i="5"/>
  <c r="BP437" i="5" s="1"/>
  <c r="AH447" i="5"/>
  <c r="AI447" i="5" s="1"/>
  <c r="W455" i="5"/>
  <c r="AH460" i="5"/>
  <c r="AI460" i="5" s="1"/>
  <c r="AD460" i="5" s="1"/>
  <c r="AZ488" i="5"/>
  <c r="AZ496" i="5"/>
  <c r="W501" i="5"/>
  <c r="AH358" i="5"/>
  <c r="AI358" i="5" s="1"/>
  <c r="BL360" i="5"/>
  <c r="BL362" i="5"/>
  <c r="BN362" i="5" s="1"/>
  <c r="AH366" i="5"/>
  <c r="AI366" i="5" s="1"/>
  <c r="W369" i="5"/>
  <c r="BL374" i="5"/>
  <c r="BP374" i="5" s="1"/>
  <c r="W375" i="5"/>
  <c r="BL388" i="5"/>
  <c r="BP388" i="5" s="1"/>
  <c r="BL390" i="5"/>
  <c r="BN390" i="5" s="1"/>
  <c r="W391" i="5"/>
  <c r="AZ397" i="5"/>
  <c r="AQ398" i="5"/>
  <c r="BA398" i="5" s="1"/>
  <c r="Z398" i="5"/>
  <c r="AA398" i="5" s="1"/>
  <c r="AB400" i="5"/>
  <c r="AH405" i="5"/>
  <c r="AI405" i="5" s="1"/>
  <c r="AD405" i="5" s="1"/>
  <c r="W410" i="5"/>
  <c r="W412" i="5"/>
  <c r="AQ413" i="5"/>
  <c r="BA413" i="5" s="1"/>
  <c r="AB415" i="5"/>
  <c r="U417" i="5"/>
  <c r="W420" i="5"/>
  <c r="U421" i="5"/>
  <c r="U423" i="5"/>
  <c r="W424" i="5"/>
  <c r="W452" i="5"/>
  <c r="Z452" i="5" s="1"/>
  <c r="AA452" i="5" s="1"/>
  <c r="BL468" i="5"/>
  <c r="W493" i="5"/>
  <c r="AH351" i="5"/>
  <c r="AI351" i="5" s="1"/>
  <c r="AL354" i="5"/>
  <c r="W354" i="5"/>
  <c r="AH360" i="5"/>
  <c r="AI360" i="5" s="1"/>
  <c r="AD360" i="5" s="1"/>
  <c r="AH362" i="5"/>
  <c r="AI362" i="5" s="1"/>
  <c r="AZ364" i="5"/>
  <c r="U369" i="5"/>
  <c r="AB371" i="5"/>
  <c r="AW371" i="5" s="1"/>
  <c r="AQ371" i="5"/>
  <c r="AH374" i="5"/>
  <c r="AI374" i="5" s="1"/>
  <c r="AD374" i="5" s="1"/>
  <c r="BL384" i="5"/>
  <c r="BP384" i="5" s="1"/>
  <c r="AH388" i="5"/>
  <c r="AI388" i="5" s="1"/>
  <c r="AL391" i="5"/>
  <c r="W395" i="5"/>
  <c r="W397" i="5"/>
  <c r="AZ407" i="5"/>
  <c r="AB408" i="5"/>
  <c r="AQ425" i="5"/>
  <c r="W440" i="5"/>
  <c r="AZ446" i="5"/>
  <c r="W457" i="5"/>
  <c r="AQ471" i="5"/>
  <c r="AH476" i="5"/>
  <c r="AI476" i="5" s="1"/>
  <c r="W479" i="5"/>
  <c r="BL500" i="5"/>
  <c r="BP500" i="5" s="1"/>
  <c r="AL383" i="5"/>
  <c r="AH386" i="5"/>
  <c r="AI386" i="5" s="1"/>
  <c r="AZ388" i="5"/>
  <c r="U389" i="5"/>
  <c r="AZ390" i="5"/>
  <c r="AH392" i="5"/>
  <c r="AI392" i="5" s="1"/>
  <c r="AL393" i="5"/>
  <c r="AH394" i="5"/>
  <c r="AI394" i="5" s="1"/>
  <c r="W399" i="5"/>
  <c r="BL400" i="5"/>
  <c r="BP400" i="5" s="1"/>
  <c r="AH409" i="5"/>
  <c r="AI409" i="5" s="1"/>
  <c r="Z410" i="5"/>
  <c r="AA410" i="5" s="1"/>
  <c r="AB411" i="5"/>
  <c r="AZ470" i="5"/>
  <c r="AL479" i="5"/>
  <c r="BL492" i="5"/>
  <c r="AH500" i="5"/>
  <c r="AI500" i="5" s="1"/>
  <c r="AB503" i="5"/>
  <c r="U354" i="5"/>
  <c r="W358" i="5"/>
  <c r="W366" i="5"/>
  <c r="Z366" i="5" s="1"/>
  <c r="AZ372" i="5"/>
  <c r="AZ376" i="5"/>
  <c r="AB377" i="5"/>
  <c r="AH378" i="5"/>
  <c r="AI378" i="5" s="1"/>
  <c r="AZ382" i="5"/>
  <c r="AQ384" i="5"/>
  <c r="AZ392" i="5"/>
  <c r="AZ394" i="5"/>
  <c r="AL395" i="5"/>
  <c r="AH396" i="5"/>
  <c r="AI396" i="5" s="1"/>
  <c r="AD396" i="5" s="1"/>
  <c r="AQ400" i="5"/>
  <c r="W401" i="5"/>
  <c r="BL402" i="5"/>
  <c r="BL404" i="5"/>
  <c r="BP404" i="5" s="1"/>
  <c r="W405" i="5"/>
  <c r="BL406" i="5"/>
  <c r="AZ411" i="5"/>
  <c r="W436" i="5"/>
  <c r="AZ451" i="5"/>
  <c r="Z473" i="5"/>
  <c r="AA473" i="5" s="1"/>
  <c r="AH492" i="5"/>
  <c r="AI492" i="5" s="1"/>
  <c r="AD492" i="5" s="1"/>
  <c r="AH355" i="5"/>
  <c r="AI355" i="5" s="1"/>
  <c r="AJ355" i="5" s="1"/>
  <c r="AL356" i="5"/>
  <c r="AH357" i="5"/>
  <c r="AI357" i="5" s="1"/>
  <c r="BL359" i="5"/>
  <c r="W364" i="5"/>
  <c r="W368" i="5"/>
  <c r="W370" i="5"/>
  <c r="BL371" i="5"/>
  <c r="AZ384" i="5"/>
  <c r="AZ396" i="5"/>
  <c r="AB397" i="5"/>
  <c r="AQ397" i="5"/>
  <c r="AH398" i="5"/>
  <c r="AI398" i="5" s="1"/>
  <c r="AD398" i="5" s="1"/>
  <c r="AH400" i="5"/>
  <c r="AI400" i="5" s="1"/>
  <c r="W403" i="5"/>
  <c r="W413" i="5"/>
  <c r="AH464" i="5"/>
  <c r="AI464" i="5" s="1"/>
  <c r="AJ464" i="5" s="1"/>
  <c r="AZ478" i="5"/>
  <c r="W505" i="5"/>
  <c r="BL352" i="5"/>
  <c r="BP352" i="5" s="1"/>
  <c r="W353" i="5"/>
  <c r="AH359" i="5"/>
  <c r="AI359" i="5" s="1"/>
  <c r="AQ363" i="5"/>
  <c r="BA363" i="5" s="1"/>
  <c r="AL364" i="5"/>
  <c r="AH371" i="5"/>
  <c r="AI371" i="5" s="1"/>
  <c r="AD371" i="5" s="1"/>
  <c r="W372" i="5"/>
  <c r="W376" i="5"/>
  <c r="W380" i="5"/>
  <c r="BL381" i="5"/>
  <c r="W382" i="5"/>
  <c r="BL385" i="5"/>
  <c r="BP385" i="5" s="1"/>
  <c r="W386" i="5"/>
  <c r="BL387" i="5"/>
  <c r="BL389" i="5"/>
  <c r="BN389" i="5" s="1"/>
  <c r="W392" i="5"/>
  <c r="Z392" i="5" s="1"/>
  <c r="AA392" i="5" s="1"/>
  <c r="W394" i="5"/>
  <c r="AZ402" i="5"/>
  <c r="AZ406" i="5"/>
  <c r="AH408" i="5"/>
  <c r="AI408" i="5" s="1"/>
  <c r="W409" i="5"/>
  <c r="W411" i="5"/>
  <c r="AH414" i="5"/>
  <c r="AI414" i="5" s="1"/>
  <c r="BL422" i="5"/>
  <c r="AZ438" i="5"/>
  <c r="AB461" i="5"/>
  <c r="AZ359" i="5"/>
  <c r="U362" i="5"/>
  <c r="AL362" i="5"/>
  <c r="AH363" i="5"/>
  <c r="AI363" i="5" s="1"/>
  <c r="AD363" i="5" s="1"/>
  <c r="AZ365" i="5"/>
  <c r="AZ367" i="5"/>
  <c r="AH369" i="5"/>
  <c r="AI369" i="5" s="1"/>
  <c r="AB370" i="5"/>
  <c r="AL374" i="5"/>
  <c r="AQ377" i="5"/>
  <c r="W384" i="5"/>
  <c r="AL390" i="5"/>
  <c r="BL395" i="5"/>
  <c r="W396" i="5"/>
  <c r="AZ408" i="5"/>
  <c r="AH410" i="5"/>
  <c r="AI410" i="5" s="1"/>
  <c r="AH412" i="5"/>
  <c r="AI412" i="5" s="1"/>
  <c r="AB413" i="5"/>
  <c r="AO413" i="5" s="1"/>
  <c r="AR413" i="5" s="1"/>
  <c r="BL415" i="5"/>
  <c r="BP415" i="5" s="1"/>
  <c r="AH420" i="5"/>
  <c r="AI420" i="5" s="1"/>
  <c r="AH424" i="5"/>
  <c r="AI424" i="5" s="1"/>
  <c r="AQ428" i="5"/>
  <c r="BL435" i="5"/>
  <c r="BP435" i="5" s="1"/>
  <c r="W442" i="5"/>
  <c r="BL466" i="5"/>
  <c r="AH472" i="5"/>
  <c r="AI472" i="5" s="1"/>
  <c r="AZ486" i="5"/>
  <c r="W499" i="5"/>
  <c r="BL504" i="5"/>
  <c r="BP504" i="5" s="1"/>
  <c r="AB351" i="5"/>
  <c r="AL353" i="5"/>
  <c r="W355" i="5"/>
  <c r="Z355" i="5" s="1"/>
  <c r="AA355" i="5" s="1"/>
  <c r="W357" i="5"/>
  <c r="AB360" i="5"/>
  <c r="AZ363" i="5"/>
  <c r="AH373" i="5"/>
  <c r="AI373" i="5" s="1"/>
  <c r="AJ373" i="5" s="1"/>
  <c r="AB374" i="5"/>
  <c r="AO374" i="5" s="1"/>
  <c r="AZ375" i="5"/>
  <c r="AL376" i="5"/>
  <c r="AH377" i="5"/>
  <c r="AI377" i="5" s="1"/>
  <c r="AH379" i="5"/>
  <c r="AI379" i="5" s="1"/>
  <c r="AD379" i="5" s="1"/>
  <c r="U380" i="5"/>
  <c r="AH381" i="5"/>
  <c r="AI381" i="5" s="1"/>
  <c r="AJ381" i="5" s="1"/>
  <c r="AL382" i="5"/>
  <c r="AH383" i="5"/>
  <c r="AI383" i="5" s="1"/>
  <c r="AH385" i="5"/>
  <c r="AI385" i="5" s="1"/>
  <c r="AL392" i="5"/>
  <c r="W398" i="5"/>
  <c r="BL399" i="5"/>
  <c r="AZ412" i="5"/>
  <c r="BL419" i="5"/>
  <c r="AZ420" i="5"/>
  <c r="BL421" i="5"/>
  <c r="BN421" i="5" s="1"/>
  <c r="AH422" i="5"/>
  <c r="AI422" i="5" s="1"/>
  <c r="AZ424" i="5"/>
  <c r="AQ430" i="5"/>
  <c r="W438" i="5"/>
  <c r="BL441" i="5"/>
  <c r="AZ458" i="5"/>
  <c r="AL499" i="5"/>
  <c r="W350" i="5"/>
  <c r="Z350" i="5" s="1"/>
  <c r="AA350" i="5" s="1"/>
  <c r="AB353" i="5"/>
  <c r="BL358" i="5"/>
  <c r="BP358" i="5" s="1"/>
  <c r="BL366" i="5"/>
  <c r="Z372" i="5"/>
  <c r="AZ373" i="5"/>
  <c r="AZ377" i="5"/>
  <c r="AZ379" i="5"/>
  <c r="AZ381" i="5"/>
  <c r="AB386" i="5"/>
  <c r="AZ387" i="5"/>
  <c r="AZ393" i="5"/>
  <c r="AH395" i="5"/>
  <c r="AI395" i="5" s="1"/>
  <c r="AH397" i="5"/>
  <c r="AI397" i="5" s="1"/>
  <c r="AD397" i="5" s="1"/>
  <c r="W404" i="5"/>
  <c r="BL405" i="5"/>
  <c r="W406" i="5"/>
  <c r="AQ409" i="5"/>
  <c r="AQ421" i="5"/>
  <c r="AZ422" i="5"/>
  <c r="BL425" i="5"/>
  <c r="BP425" i="5" s="1"/>
  <c r="BL427" i="5"/>
  <c r="BP427" i="5" s="1"/>
  <c r="AZ428" i="5"/>
  <c r="BL431" i="5"/>
  <c r="BL447" i="5"/>
  <c r="BP447" i="5" s="1"/>
  <c r="BL460" i="5"/>
  <c r="W463" i="5"/>
  <c r="AZ474" i="5"/>
  <c r="W477" i="5"/>
  <c r="AZ442" i="5"/>
  <c r="W448" i="5"/>
  <c r="BL449" i="5"/>
  <c r="W450" i="5"/>
  <c r="BL456" i="5"/>
  <c r="W459" i="5"/>
  <c r="AB462" i="5"/>
  <c r="AQ464" i="5"/>
  <c r="W465" i="5"/>
  <c r="W467" i="5"/>
  <c r="AH470" i="5"/>
  <c r="AI470" i="5" s="1"/>
  <c r="W471" i="5"/>
  <c r="AL473" i="5"/>
  <c r="AH474" i="5"/>
  <c r="AI474" i="5" s="1"/>
  <c r="W475" i="5"/>
  <c r="AH478" i="5"/>
  <c r="AI478" i="5" s="1"/>
  <c r="AH480" i="5"/>
  <c r="AI480" i="5" s="1"/>
  <c r="BL482" i="5"/>
  <c r="BN482" i="5" s="1"/>
  <c r="W487" i="5"/>
  <c r="W489" i="5"/>
  <c r="W491" i="5"/>
  <c r="W497" i="5"/>
  <c r="AH502" i="5"/>
  <c r="AI502" i="5" s="1"/>
  <c r="BL445" i="5"/>
  <c r="AH449" i="5"/>
  <c r="AI449" i="5" s="1"/>
  <c r="AL450" i="5"/>
  <c r="AH451" i="5"/>
  <c r="AI451" i="5" s="1"/>
  <c r="BL453" i="5"/>
  <c r="W454" i="5"/>
  <c r="Z454" i="5" s="1"/>
  <c r="AA454" i="5" s="1"/>
  <c r="AH456" i="5"/>
  <c r="AI456" i="5" s="1"/>
  <c r="AH458" i="5"/>
  <c r="AI458" i="5" s="1"/>
  <c r="AL459" i="5"/>
  <c r="AZ464" i="5"/>
  <c r="AZ466" i="5"/>
  <c r="AL467" i="5"/>
  <c r="AZ468" i="5"/>
  <c r="U471" i="5"/>
  <c r="AZ472" i="5"/>
  <c r="AZ476" i="5"/>
  <c r="AB477" i="5"/>
  <c r="AH482" i="5"/>
  <c r="AI482" i="5" s="1"/>
  <c r="AD482" i="5" s="1"/>
  <c r="U483" i="5"/>
  <c r="AZ484" i="5"/>
  <c r="AH488" i="5"/>
  <c r="AI488" i="5" s="1"/>
  <c r="AH490" i="5"/>
  <c r="AI490" i="5" s="1"/>
  <c r="AZ492" i="5"/>
  <c r="AZ494" i="5"/>
  <c r="AL497" i="5"/>
  <c r="AZ500" i="5"/>
  <c r="AQ501" i="5"/>
  <c r="AQ505" i="5"/>
  <c r="W432" i="5"/>
  <c r="BL433" i="5"/>
  <c r="U436" i="5"/>
  <c r="AH437" i="5"/>
  <c r="AI437" i="5" s="1"/>
  <c r="AH439" i="5"/>
  <c r="AI439" i="5" s="1"/>
  <c r="AH441" i="5"/>
  <c r="AI441" i="5" s="1"/>
  <c r="U444" i="5"/>
  <c r="AH445" i="5"/>
  <c r="AI445" i="5" s="1"/>
  <c r="AJ445" i="5" s="1"/>
  <c r="U454" i="5"/>
  <c r="AL454" i="5"/>
  <c r="BL461" i="5"/>
  <c r="BP461" i="5" s="1"/>
  <c r="W462" i="5"/>
  <c r="BL469" i="5"/>
  <c r="W470" i="5"/>
  <c r="BL473" i="5"/>
  <c r="W474" i="5"/>
  <c r="W478" i="5"/>
  <c r="W480" i="5"/>
  <c r="W502" i="5"/>
  <c r="BL503" i="5"/>
  <c r="AZ437" i="5"/>
  <c r="AZ439" i="5"/>
  <c r="AB440" i="5"/>
  <c r="AO440" i="5" s="1"/>
  <c r="AQ444" i="5"/>
  <c r="AQ446" i="5"/>
  <c r="BA446" i="5" s="1"/>
  <c r="AZ453" i="5"/>
  <c r="AB454" i="5"/>
  <c r="AQ454" i="5"/>
  <c r="BL455" i="5"/>
  <c r="W460" i="5"/>
  <c r="BL463" i="5"/>
  <c r="W464" i="5"/>
  <c r="W466" i="5"/>
  <c r="W468" i="5"/>
  <c r="W472" i="5"/>
  <c r="Z472" i="5" s="1"/>
  <c r="AA472" i="5" s="1"/>
  <c r="AQ473" i="5"/>
  <c r="W476" i="5"/>
  <c r="BL479" i="5"/>
  <c r="BL481" i="5"/>
  <c r="W484" i="5"/>
  <c r="BL485" i="5"/>
  <c r="BP485" i="5" s="1"/>
  <c r="W492" i="5"/>
  <c r="BL493" i="5"/>
  <c r="W494" i="5"/>
  <c r="BL495" i="5"/>
  <c r="BL499" i="5"/>
  <c r="BN499" i="5" s="1"/>
  <c r="W500" i="5"/>
  <c r="W504" i="5"/>
  <c r="BL505" i="5"/>
  <c r="BP505" i="5" s="1"/>
  <c r="U416" i="5"/>
  <c r="AL416" i="5"/>
  <c r="AH419" i="5"/>
  <c r="AI419" i="5" s="1"/>
  <c r="AL420" i="5"/>
  <c r="AH425" i="5"/>
  <c r="AI425" i="5" s="1"/>
  <c r="AL426" i="5"/>
  <c r="AH429" i="5"/>
  <c r="AI429" i="5" s="1"/>
  <c r="BL448" i="5"/>
  <c r="BN448" i="5" s="1"/>
  <c r="W449" i="5"/>
  <c r="Z449" i="5" s="1"/>
  <c r="BL450" i="5"/>
  <c r="W451" i="5"/>
  <c r="W456" i="5"/>
  <c r="W458" i="5"/>
  <c r="AH461" i="5"/>
  <c r="AI461" i="5" s="1"/>
  <c r="U462" i="5"/>
  <c r="AL464" i="5"/>
  <c r="BL465" i="5"/>
  <c r="BP465" i="5" s="1"/>
  <c r="AH469" i="5"/>
  <c r="AI469" i="5" s="1"/>
  <c r="AL470" i="5"/>
  <c r="AH473" i="5"/>
  <c r="AI473" i="5" s="1"/>
  <c r="U474" i="5"/>
  <c r="AL474" i="5"/>
  <c r="BL475" i="5"/>
  <c r="AQ481" i="5"/>
  <c r="BA481" i="5" s="1"/>
  <c r="BL483" i="5"/>
  <c r="BN483" i="5" s="1"/>
  <c r="W486" i="5"/>
  <c r="BL487" i="5"/>
  <c r="BL489" i="5"/>
  <c r="BN489" i="5" s="1"/>
  <c r="W490" i="5"/>
  <c r="BL491" i="5"/>
  <c r="W496" i="5"/>
  <c r="Z496" i="5" s="1"/>
  <c r="BL497" i="5"/>
  <c r="BP497" i="5" s="1"/>
  <c r="W498" i="5"/>
  <c r="AH503" i="5"/>
  <c r="AI503" i="5" s="1"/>
  <c r="AZ415" i="5"/>
  <c r="AB416" i="5"/>
  <c r="AH417" i="5"/>
  <c r="AI417" i="5" s="1"/>
  <c r="AD417" i="5" s="1"/>
  <c r="U422" i="5"/>
  <c r="AZ425" i="5"/>
  <c r="AZ429" i="5"/>
  <c r="AZ431" i="5"/>
  <c r="W447" i="5"/>
  <c r="BL452" i="5"/>
  <c r="BN452" i="5" s="1"/>
  <c r="AH455" i="5"/>
  <c r="AI455" i="5" s="1"/>
  <c r="AD455" i="5" s="1"/>
  <c r="AQ462" i="5"/>
  <c r="U464" i="5"/>
  <c r="AZ469" i="5"/>
  <c r="AL472" i="5"/>
  <c r="AZ473" i="5"/>
  <c r="AH477" i="5"/>
  <c r="AI477" i="5" s="1"/>
  <c r="AH479" i="5"/>
  <c r="AI479" i="5" s="1"/>
  <c r="AD479" i="5" s="1"/>
  <c r="AB480" i="5"/>
  <c r="Z480" i="5"/>
  <c r="AH481" i="5"/>
  <c r="AI481" i="5" s="1"/>
  <c r="AL484" i="5"/>
  <c r="AH485" i="5"/>
  <c r="AI485" i="5" s="1"/>
  <c r="AH493" i="5"/>
  <c r="AI493" i="5" s="1"/>
  <c r="U494" i="5"/>
  <c r="AL494" i="5"/>
  <c r="AH499" i="5"/>
  <c r="AI499" i="5" s="1"/>
  <c r="AH501" i="5"/>
  <c r="AI501" i="5" s="1"/>
  <c r="AQ502" i="5"/>
  <c r="AZ503" i="5"/>
  <c r="AH505" i="5"/>
  <c r="AI505" i="5" s="1"/>
  <c r="AB422" i="5"/>
  <c r="W437" i="5"/>
  <c r="W439" i="5"/>
  <c r="Z439" i="5" s="1"/>
  <c r="BL440" i="5"/>
  <c r="W441" i="5"/>
  <c r="W443" i="5"/>
  <c r="BL446" i="5"/>
  <c r="AH450" i="5"/>
  <c r="AI450" i="5" s="1"/>
  <c r="AJ450" i="5" s="1"/>
  <c r="U451" i="5"/>
  <c r="W453" i="5"/>
  <c r="AH459" i="5"/>
  <c r="AI459" i="5" s="1"/>
  <c r="AH471" i="5"/>
  <c r="AI471" i="5" s="1"/>
  <c r="AZ481" i="5"/>
  <c r="U482" i="5"/>
  <c r="AH487" i="5"/>
  <c r="AI487" i="5" s="1"/>
  <c r="U488" i="5"/>
  <c r="AH489" i="5"/>
  <c r="AI489" i="5" s="1"/>
  <c r="AJ489" i="5" s="1"/>
  <c r="AH491" i="5"/>
  <c r="AI491" i="5" s="1"/>
  <c r="AQ492" i="5"/>
  <c r="AB492" i="5"/>
  <c r="AZ493" i="5"/>
  <c r="AZ495" i="5"/>
  <c r="AL496" i="5"/>
  <c r="AH497" i="5"/>
  <c r="AI497" i="5" s="1"/>
  <c r="AJ497" i="5" s="1"/>
  <c r="AL498" i="5"/>
  <c r="AZ501" i="5"/>
  <c r="AQ440" i="5"/>
  <c r="BA440" i="5" s="1"/>
  <c r="BL442" i="5"/>
  <c r="AL447" i="5"/>
  <c r="AZ450" i="5"/>
  <c r="AB452" i="5"/>
  <c r="AH452" i="5"/>
  <c r="AI452" i="5" s="1"/>
  <c r="AQ456" i="5"/>
  <c r="AZ475" i="5"/>
  <c r="AZ483" i="5"/>
  <c r="AZ487" i="5"/>
  <c r="AB490" i="5"/>
  <c r="AQ490" i="5"/>
  <c r="AZ497" i="5"/>
  <c r="AZ499" i="5"/>
  <c r="W415" i="5"/>
  <c r="W419" i="5"/>
  <c r="BL420" i="5"/>
  <c r="BP420" i="5" s="1"/>
  <c r="W421" i="5"/>
  <c r="BL424" i="5"/>
  <c r="W425" i="5"/>
  <c r="W429" i="5"/>
  <c r="BL430" i="5"/>
  <c r="W431" i="5"/>
  <c r="BL432" i="5"/>
  <c r="W433" i="5"/>
  <c r="AL437" i="5"/>
  <c r="AH438" i="5"/>
  <c r="AI438" i="5" s="1"/>
  <c r="AH440" i="5"/>
  <c r="AI440" i="5" s="1"/>
  <c r="AL443" i="5"/>
  <c r="AH446" i="5"/>
  <c r="AI446" i="5" s="1"/>
  <c r="AZ448" i="5"/>
  <c r="AH454" i="5"/>
  <c r="AI454" i="5" s="1"/>
  <c r="AZ457" i="5"/>
  <c r="W461" i="5"/>
  <c r="BL462" i="5"/>
  <c r="BP462" i="5" s="1"/>
  <c r="AZ467" i="5"/>
  <c r="W469" i="5"/>
  <c r="BL470" i="5"/>
  <c r="AZ471" i="5"/>
  <c r="W473" i="5"/>
  <c r="BL474" i="5"/>
  <c r="BL478" i="5"/>
  <c r="BP478" i="5" s="1"/>
  <c r="BL502" i="5"/>
  <c r="BP502" i="5" s="1"/>
  <c r="W503" i="5"/>
  <c r="U289" i="5"/>
  <c r="U276" i="5"/>
  <c r="U301" i="5"/>
  <c r="U348" i="5"/>
  <c r="U367" i="5"/>
  <c r="U304" i="5"/>
  <c r="U337" i="5"/>
  <c r="U320" i="5"/>
  <c r="U300" i="5"/>
  <c r="U322" i="5"/>
  <c r="U328" i="5"/>
  <c r="U277" i="5"/>
  <c r="U324" i="5"/>
  <c r="U334" i="5"/>
  <c r="U372" i="5"/>
  <c r="U398" i="5"/>
  <c r="U278" i="5"/>
  <c r="U325" i="5"/>
  <c r="U400" i="5"/>
  <c r="U282" i="5"/>
  <c r="U329" i="5"/>
  <c r="U349" i="5"/>
  <c r="U353" i="5"/>
  <c r="U378" i="5"/>
  <c r="U295" i="5"/>
  <c r="U333" i="5"/>
  <c r="U341" i="5"/>
  <c r="U343" i="5"/>
  <c r="U371" i="5"/>
  <c r="U409" i="5"/>
  <c r="U382" i="5"/>
  <c r="U384" i="5"/>
  <c r="U485" i="5"/>
  <c r="U375" i="5"/>
  <c r="U410" i="5"/>
  <c r="U505" i="5"/>
  <c r="U366" i="5"/>
  <c r="U405" i="5"/>
  <c r="U370" i="5"/>
  <c r="U437" i="5"/>
  <c r="U469" i="5"/>
  <c r="U503" i="5"/>
  <c r="U467" i="5"/>
  <c r="U446" i="5"/>
  <c r="U430" i="5"/>
  <c r="U502" i="5"/>
  <c r="U418" i="5"/>
  <c r="AJ326" i="5"/>
  <c r="AD326" i="5"/>
  <c r="AL287" i="5"/>
  <c r="U287" i="5"/>
  <c r="BP288" i="5"/>
  <c r="BN288" i="5"/>
  <c r="AO298" i="5"/>
  <c r="AR298" i="5" s="1"/>
  <c r="AW298" i="5"/>
  <c r="AD439" i="5"/>
  <c r="AJ439" i="5"/>
  <c r="W414" i="5"/>
  <c r="AL414" i="5"/>
  <c r="BP357" i="5"/>
  <c r="AZ296" i="5"/>
  <c r="W343" i="5"/>
  <c r="Z343" i="5" s="1"/>
  <c r="AQ276" i="5"/>
  <c r="AZ302" i="5"/>
  <c r="AD323" i="5"/>
  <c r="AQ338" i="5"/>
  <c r="AH338" i="5"/>
  <c r="AI338" i="5" s="1"/>
  <c r="AD338" i="5" s="1"/>
  <c r="AL343" i="5"/>
  <c r="AZ362" i="5"/>
  <c r="BL378" i="5"/>
  <c r="AQ299" i="5"/>
  <c r="AB299" i="5"/>
  <c r="AO299" i="5" s="1"/>
  <c r="BL411" i="5"/>
  <c r="AL286" i="5"/>
  <c r="AZ288" i="5"/>
  <c r="BP291" i="5"/>
  <c r="BN291" i="5"/>
  <c r="AL311" i="5"/>
  <c r="U311" i="5"/>
  <c r="BL333" i="5"/>
  <c r="AW339" i="5"/>
  <c r="AO339" i="5"/>
  <c r="AR339" i="5" s="1"/>
  <c r="AZ340" i="5"/>
  <c r="AJ350" i="5"/>
  <c r="AD350" i="5"/>
  <c r="BL361" i="5"/>
  <c r="AB282" i="5"/>
  <c r="AQ282" i="5"/>
  <c r="AA301" i="5"/>
  <c r="AB311" i="5"/>
  <c r="AO311" i="5" s="1"/>
  <c r="AR311" i="5" s="1"/>
  <c r="Z311" i="5"/>
  <c r="AA311" i="5" s="1"/>
  <c r="AL319" i="5"/>
  <c r="W319" i="5"/>
  <c r="Z319" i="5" s="1"/>
  <c r="AA319" i="5" s="1"/>
  <c r="BP322" i="5"/>
  <c r="BN322" i="5"/>
  <c r="Z328" i="5"/>
  <c r="BP345" i="5"/>
  <c r="BN345" i="5"/>
  <c r="AZ350" i="5"/>
  <c r="AD290" i="5"/>
  <c r="AD303" i="5"/>
  <c r="AJ303" i="5"/>
  <c r="AB318" i="5"/>
  <c r="AW318" i="5" s="1"/>
  <c r="W427" i="5"/>
  <c r="AL427" i="5"/>
  <c r="AB276" i="5"/>
  <c r="AW276" i="5" s="1"/>
  <c r="AZ290" i="5"/>
  <c r="AJ290" i="5"/>
  <c r="AW351" i="5"/>
  <c r="AO351" i="5"/>
  <c r="AL388" i="5"/>
  <c r="AQ478" i="5"/>
  <c r="AB478" i="5"/>
  <c r="BL289" i="5"/>
  <c r="AB325" i="5"/>
  <c r="AJ335" i="5"/>
  <c r="BL349" i="5"/>
  <c r="BP349" i="5" s="1"/>
  <c r="BL294" i="5"/>
  <c r="AL310" i="5"/>
  <c r="AH339" i="5"/>
  <c r="AI339" i="5" s="1"/>
  <c r="AD347" i="5"/>
  <c r="AL403" i="5"/>
  <c r="U403" i="5"/>
  <c r="BL370" i="5"/>
  <c r="AJ383" i="5"/>
  <c r="AD383" i="5"/>
  <c r="AJ460" i="5"/>
  <c r="BL472" i="5"/>
  <c r="Z279" i="5"/>
  <c r="AA279" i="5" s="1"/>
  <c r="AQ280" i="5"/>
  <c r="BA280" i="5" s="1"/>
  <c r="AL281" i="5"/>
  <c r="AQ285" i="5"/>
  <c r="AQ298" i="5"/>
  <c r="BA298" i="5" s="1"/>
  <c r="AZ358" i="5"/>
  <c r="AW370" i="5"/>
  <c r="AO370" i="5"/>
  <c r="AR370" i="5" s="1"/>
  <c r="AS370" i="5" s="1"/>
  <c r="AD447" i="5"/>
  <c r="AJ447" i="5"/>
  <c r="AL463" i="5"/>
  <c r="U463" i="5"/>
  <c r="AZ285" i="5"/>
  <c r="AB294" i="5"/>
  <c r="AL297" i="5"/>
  <c r="AQ303" i="5"/>
  <c r="AL306" i="5"/>
  <c r="AQ306" i="5"/>
  <c r="BA306" i="5" s="1"/>
  <c r="U312" i="5"/>
  <c r="AL323" i="5"/>
  <c r="Z327" i="5"/>
  <c r="AA327" i="5" s="1"/>
  <c r="AQ327" i="5"/>
  <c r="AX327" i="5" s="1"/>
  <c r="AL328" i="5"/>
  <c r="AQ332" i="5"/>
  <c r="BA332" i="5" s="1"/>
  <c r="AQ336" i="5"/>
  <c r="U356" i="5"/>
  <c r="AD370" i="5"/>
  <c r="AO371" i="5"/>
  <c r="AD378" i="5"/>
  <c r="BL443" i="5"/>
  <c r="AL444" i="5"/>
  <c r="W444" i="5"/>
  <c r="AL456" i="5"/>
  <c r="AQ472" i="5"/>
  <c r="BP474" i="5"/>
  <c r="BN474" i="5"/>
  <c r="Z485" i="5"/>
  <c r="AA485" i="5" s="1"/>
  <c r="AQ503" i="5"/>
  <c r="U280" i="5"/>
  <c r="U298" i="5"/>
  <c r="U299" i="5"/>
  <c r="U316" i="5"/>
  <c r="AL322" i="5"/>
  <c r="AQ325" i="5"/>
  <c r="AL326" i="5"/>
  <c r="U332" i="5"/>
  <c r="AZ342" i="5"/>
  <c r="AL342" i="5"/>
  <c r="BP343" i="5"/>
  <c r="AZ345" i="5"/>
  <c r="AZ349" i="5"/>
  <c r="AZ357" i="5"/>
  <c r="AZ380" i="5"/>
  <c r="AQ390" i="5"/>
  <c r="BA390" i="5" s="1"/>
  <c r="Z427" i="5"/>
  <c r="AH430" i="5"/>
  <c r="AI430" i="5" s="1"/>
  <c r="BL436" i="5"/>
  <c r="BL451" i="5"/>
  <c r="AZ452" i="5"/>
  <c r="AB472" i="5"/>
  <c r="AZ485" i="5"/>
  <c r="AB493" i="5"/>
  <c r="AQ308" i="5"/>
  <c r="AL309" i="5"/>
  <c r="U310" i="5"/>
  <c r="Z318" i="5"/>
  <c r="AA318" i="5" s="1"/>
  <c r="Z326" i="5"/>
  <c r="AA326" i="5" s="1"/>
  <c r="AQ326" i="5"/>
  <c r="AZ333" i="5"/>
  <c r="Z339" i="5"/>
  <c r="AA339" i="5" s="1"/>
  <c r="AQ341" i="5"/>
  <c r="AQ351" i="5"/>
  <c r="AX351" i="5" s="1"/>
  <c r="AQ353" i="5"/>
  <c r="BA353" i="5" s="1"/>
  <c r="AZ361" i="5"/>
  <c r="U363" i="5"/>
  <c r="AZ399" i="5"/>
  <c r="U402" i="5"/>
  <c r="AL402" i="5"/>
  <c r="BP406" i="5"/>
  <c r="BN406" i="5"/>
  <c r="AJ408" i="5"/>
  <c r="AD408" i="5"/>
  <c r="AJ441" i="5"/>
  <c r="AD441" i="5"/>
  <c r="AZ447" i="5"/>
  <c r="AQ451" i="5"/>
  <c r="Z451" i="5"/>
  <c r="AA451" i="5" s="1"/>
  <c r="AD452" i="5"/>
  <c r="AJ452" i="5"/>
  <c r="AZ489" i="5"/>
  <c r="BP499" i="5"/>
  <c r="AQ356" i="5"/>
  <c r="AQ402" i="5"/>
  <c r="BA402" i="5" s="1"/>
  <c r="AB402" i="5"/>
  <c r="AB417" i="5"/>
  <c r="AO417" i="5" s="1"/>
  <c r="AJ476" i="5"/>
  <c r="AD476" i="5"/>
  <c r="BL480" i="5"/>
  <c r="AO490" i="5"/>
  <c r="AR490" i="5" s="1"/>
  <c r="AW490" i="5"/>
  <c r="AZ308" i="5"/>
  <c r="AQ310" i="5"/>
  <c r="AQ315" i="5"/>
  <c r="AB316" i="5"/>
  <c r="AZ317" i="5"/>
  <c r="U327" i="5"/>
  <c r="U335" i="5"/>
  <c r="AL338" i="5"/>
  <c r="AL339" i="5"/>
  <c r="U351" i="5"/>
  <c r="U352" i="5"/>
  <c r="AL404" i="5"/>
  <c r="AB425" i="5"/>
  <c r="BN427" i="5"/>
  <c r="AB451" i="5"/>
  <c r="AJ461" i="5"/>
  <c r="AD461" i="5"/>
  <c r="Z294" i="5"/>
  <c r="AA294" i="5" s="1"/>
  <c r="U296" i="5"/>
  <c r="AJ298" i="5"/>
  <c r="AL301" i="5"/>
  <c r="Z306" i="5"/>
  <c r="AA306" i="5" s="1"/>
  <c r="Z321" i="5"/>
  <c r="U331" i="5"/>
  <c r="AL334" i="5"/>
  <c r="Z338" i="5"/>
  <c r="AA338" i="5" s="1"/>
  <c r="U346" i="5"/>
  <c r="U355" i="5"/>
  <c r="U358" i="5"/>
  <c r="AQ379" i="5"/>
  <c r="BA379" i="5" s="1"/>
  <c r="AH384" i="5"/>
  <c r="AI384" i="5" s="1"/>
  <c r="BL386" i="5"/>
  <c r="Z390" i="5"/>
  <c r="AA390" i="5" s="1"/>
  <c r="BL397" i="5"/>
  <c r="AZ405" i="5"/>
  <c r="AJ405" i="5"/>
  <c r="AL406" i="5"/>
  <c r="AJ410" i="5"/>
  <c r="AD410" i="5"/>
  <c r="BL414" i="5"/>
  <c r="BP430" i="5"/>
  <c r="BN430" i="5"/>
  <c r="AL439" i="5"/>
  <c r="U450" i="5"/>
  <c r="AL455" i="5"/>
  <c r="BL458" i="5"/>
  <c r="AZ461" i="5"/>
  <c r="AQ465" i="5"/>
  <c r="BA465" i="5" s="1"/>
  <c r="AL466" i="5"/>
  <c r="BP301" i="5"/>
  <c r="U302" i="5"/>
  <c r="BN320" i="5"/>
  <c r="U321" i="5"/>
  <c r="BL324" i="5"/>
  <c r="BP324" i="5" s="1"/>
  <c r="BL337" i="5"/>
  <c r="BP337" i="5" s="1"/>
  <c r="U338" i="5"/>
  <c r="U339" i="5"/>
  <c r="AQ343" i="5"/>
  <c r="BA343" i="5" s="1"/>
  <c r="AQ374" i="5"/>
  <c r="AB390" i="5"/>
  <c r="AL413" i="5"/>
  <c r="AB439" i="5"/>
  <c r="AD445" i="5"/>
  <c r="BP446" i="5"/>
  <c r="BN446" i="5"/>
  <c r="AD456" i="5"/>
  <c r="AJ456" i="5"/>
  <c r="BP460" i="5"/>
  <c r="BN460" i="5"/>
  <c r="BP473" i="5"/>
  <c r="BN473" i="5"/>
  <c r="AQ277" i="5"/>
  <c r="U281" i="5"/>
  <c r="AL294" i="5"/>
  <c r="BN300" i="5"/>
  <c r="AZ306" i="5"/>
  <c r="AL308" i="5"/>
  <c r="AQ314" i="5"/>
  <c r="BA314" i="5" s="1"/>
  <c r="AZ319" i="5"/>
  <c r="AZ323" i="5"/>
  <c r="AB326" i="5"/>
  <c r="AZ328" i="5"/>
  <c r="AQ331" i="5"/>
  <c r="BA331" i="5" s="1"/>
  <c r="AA331" i="5"/>
  <c r="AA340" i="5"/>
  <c r="AZ347" i="5"/>
  <c r="Z349" i="5"/>
  <c r="AA349" i="5" s="1"/>
  <c r="AQ355" i="5"/>
  <c r="BA355" i="5" s="1"/>
  <c r="AL361" i="5"/>
  <c r="AQ370" i="5"/>
  <c r="AL385" i="5"/>
  <c r="AL428" i="5"/>
  <c r="BP431" i="5"/>
  <c r="BN431" i="5"/>
  <c r="U439" i="5"/>
  <c r="BP442" i="5"/>
  <c r="BN442" i="5"/>
  <c r="AL445" i="5"/>
  <c r="AQ452" i="5"/>
  <c r="AB458" i="5"/>
  <c r="AW458" i="5" s="1"/>
  <c r="AQ479" i="5"/>
  <c r="AB479" i="5"/>
  <c r="Z479" i="5"/>
  <c r="AA479" i="5" s="1"/>
  <c r="AX279" i="5"/>
  <c r="AL280" i="5"/>
  <c r="AB350" i="5"/>
  <c r="U357" i="5"/>
  <c r="AQ362" i="5"/>
  <c r="AZ374" i="5"/>
  <c r="AZ395" i="5"/>
  <c r="BL398" i="5"/>
  <c r="BL409" i="5"/>
  <c r="BL410" i="5"/>
  <c r="BP410" i="5" s="1"/>
  <c r="AZ414" i="5"/>
  <c r="AL415" i="5"/>
  <c r="AB430" i="5"/>
  <c r="AL441" i="5"/>
  <c r="AJ446" i="5"/>
  <c r="AL449" i="5"/>
  <c r="AL457" i="5"/>
  <c r="U457" i="5"/>
  <c r="BN478" i="5"/>
  <c r="U479" i="5"/>
  <c r="AZ292" i="5"/>
  <c r="BL293" i="5"/>
  <c r="AQ313" i="5"/>
  <c r="AQ318" i="5"/>
  <c r="AQ324" i="5"/>
  <c r="AZ331" i="5"/>
  <c r="AZ335" i="5"/>
  <c r="AL337" i="5"/>
  <c r="Z340" i="5"/>
  <c r="AZ351" i="5"/>
  <c r="AZ352" i="5"/>
  <c r="AZ355" i="5"/>
  <c r="AJ362" i="5"/>
  <c r="AL377" i="5"/>
  <c r="BN422" i="5"/>
  <c r="BP422" i="5"/>
  <c r="BL426" i="5"/>
  <c r="BN426" i="5" s="1"/>
  <c r="U426" i="5"/>
  <c r="AZ444" i="5"/>
  <c r="AB445" i="5"/>
  <c r="AZ460" i="5"/>
  <c r="Z463" i="5"/>
  <c r="BL464" i="5"/>
  <c r="BN464" i="5" s="1"/>
  <c r="AJ477" i="5"/>
  <c r="AD477" i="5"/>
  <c r="AQ493" i="5"/>
  <c r="BA493" i="5" s="1"/>
  <c r="BL498" i="5"/>
  <c r="AB502" i="5"/>
  <c r="AB466" i="5"/>
  <c r="AL476" i="5"/>
  <c r="AL485" i="5"/>
  <c r="AL486" i="5"/>
  <c r="AL368" i="5"/>
  <c r="AL380" i="5"/>
  <c r="AZ391" i="5"/>
  <c r="U393" i="5"/>
  <c r="AB398" i="5"/>
  <c r="AZ400" i="5"/>
  <c r="AL401" i="5"/>
  <c r="AZ404" i="5"/>
  <c r="U407" i="5"/>
  <c r="AS413" i="5"/>
  <c r="AW413" i="5"/>
  <c r="AX413" i="5" s="1"/>
  <c r="AQ422" i="5"/>
  <c r="BA422" i="5" s="1"/>
  <c r="AZ426" i="5"/>
  <c r="Z430" i="5"/>
  <c r="AA430" i="5" s="1"/>
  <c r="AL432" i="5"/>
  <c r="U435" i="5"/>
  <c r="AZ436" i="5"/>
  <c r="AZ443" i="5"/>
  <c r="U449" i="5"/>
  <c r="U456" i="5"/>
  <c r="AZ459" i="5"/>
  <c r="AZ465" i="5"/>
  <c r="U466" i="5"/>
  <c r="BL490" i="5"/>
  <c r="U491" i="5"/>
  <c r="AA372" i="5"/>
  <c r="U388" i="5"/>
  <c r="U392" i="5"/>
  <c r="AL405" i="5"/>
  <c r="AZ410" i="5"/>
  <c r="U413" i="5"/>
  <c r="AL438" i="5"/>
  <c r="BL439" i="5"/>
  <c r="U440" i="5"/>
  <c r="U445" i="5"/>
  <c r="AL448" i="5"/>
  <c r="AD450" i="5"/>
  <c r="AL461" i="5"/>
  <c r="AQ463" i="5"/>
  <c r="U477" i="5"/>
  <c r="AZ480" i="5"/>
  <c r="BP489" i="5"/>
  <c r="U500" i="5"/>
  <c r="Z502" i="5"/>
  <c r="AA502" i="5" s="1"/>
  <c r="Z503" i="5"/>
  <c r="AA503" i="5" s="1"/>
  <c r="BP364" i="5"/>
  <c r="U365" i="5"/>
  <c r="AL384" i="5"/>
  <c r="AQ403" i="5"/>
  <c r="AL412" i="5"/>
  <c r="U414" i="5"/>
  <c r="AL430" i="5"/>
  <c r="U432" i="5"/>
  <c r="AL434" i="5"/>
  <c r="AL460" i="5"/>
  <c r="AL475" i="5"/>
  <c r="BP494" i="5"/>
  <c r="U495" i="5"/>
  <c r="AZ505" i="5"/>
  <c r="AZ378" i="5"/>
  <c r="AL394" i="5"/>
  <c r="AL400" i="5"/>
  <c r="AZ409" i="5"/>
  <c r="AZ416" i="5"/>
  <c r="AZ419" i="5"/>
  <c r="AZ433" i="5"/>
  <c r="Z443" i="5"/>
  <c r="AQ445" i="5"/>
  <c r="BA445" i="5" s="1"/>
  <c r="BN447" i="5"/>
  <c r="AL451" i="5"/>
  <c r="U461" i="5"/>
  <c r="AZ463" i="5"/>
  <c r="AL468" i="5"/>
  <c r="U476" i="5"/>
  <c r="U486" i="5"/>
  <c r="AL493" i="5"/>
  <c r="AL502" i="5"/>
  <c r="U364" i="5"/>
  <c r="AZ369" i="5"/>
  <c r="AL379" i="5"/>
  <c r="U383" i="5"/>
  <c r="Z413" i="5"/>
  <c r="AA413" i="5" s="1"/>
  <c r="AL425" i="5"/>
  <c r="U438" i="5"/>
  <c r="AZ445" i="5"/>
  <c r="U447" i="5"/>
  <c r="U468" i="5"/>
  <c r="AZ477" i="5"/>
  <c r="BN497" i="5"/>
  <c r="BL501" i="5"/>
  <c r="BN502" i="5"/>
  <c r="BP389" i="5"/>
  <c r="U390" i="5"/>
  <c r="U391" i="5"/>
  <c r="Z399" i="5"/>
  <c r="AA399" i="5" s="1"/>
  <c r="AZ421" i="5"/>
  <c r="U431" i="5"/>
  <c r="AZ440" i="5"/>
  <c r="U452" i="5"/>
  <c r="U465" i="5"/>
  <c r="U473" i="5"/>
  <c r="AL487" i="5"/>
  <c r="AZ368" i="5"/>
  <c r="AZ385" i="5"/>
  <c r="BL396" i="5"/>
  <c r="AQ401" i="5"/>
  <c r="U404" i="5"/>
  <c r="AL424" i="5"/>
  <c r="AZ427" i="5"/>
  <c r="AZ432" i="5"/>
  <c r="U434" i="5"/>
  <c r="BP452" i="5"/>
  <c r="AZ454" i="5"/>
  <c r="AQ466" i="5"/>
  <c r="U484" i="5"/>
  <c r="U498" i="5"/>
  <c r="AZ504" i="5"/>
  <c r="AQ307" i="5"/>
  <c r="AB307" i="5"/>
  <c r="Z307" i="5"/>
  <c r="AA307" i="5" s="1"/>
  <c r="BA278" i="5"/>
  <c r="Z305" i="5"/>
  <c r="AA305" i="5" s="1"/>
  <c r="AQ305" i="5"/>
  <c r="AB305" i="5"/>
  <c r="AZ279" i="5"/>
  <c r="AJ292" i="5"/>
  <c r="AD292" i="5"/>
  <c r="BP293" i="5"/>
  <c r="BN293" i="5"/>
  <c r="BA296" i="5"/>
  <c r="BA313" i="5"/>
  <c r="BP284" i="5"/>
  <c r="BN284" i="5"/>
  <c r="BP306" i="5"/>
  <c r="BN306" i="5"/>
  <c r="BA361" i="5"/>
  <c r="AL290" i="5"/>
  <c r="U290" i="5"/>
  <c r="BA282" i="5"/>
  <c r="BA285" i="5"/>
  <c r="AL276" i="5"/>
  <c r="BL279" i="5"/>
  <c r="W285" i="5"/>
  <c r="Z285" i="5" s="1"/>
  <c r="AA285" i="5" s="1"/>
  <c r="AL285" i="5"/>
  <c r="AW411" i="5"/>
  <c r="AO411" i="5"/>
  <c r="AR411" i="5" s="1"/>
  <c r="AL278" i="5"/>
  <c r="AJ283" i="5"/>
  <c r="AD283" i="5"/>
  <c r="BL354" i="5"/>
  <c r="AJ279" i="5"/>
  <c r="AD279" i="5"/>
  <c r="BN302" i="5"/>
  <c r="BP302" i="5"/>
  <c r="AD346" i="5"/>
  <c r="AJ346" i="5"/>
  <c r="BA277" i="5"/>
  <c r="BN280" i="5"/>
  <c r="BP280" i="5"/>
  <c r="AQ286" i="5"/>
  <c r="AQ290" i="5"/>
  <c r="AB290" i="5"/>
  <c r="Z290" i="5"/>
  <c r="AA290" i="5" s="1"/>
  <c r="AH296" i="5"/>
  <c r="AI296" i="5" s="1"/>
  <c r="AB296" i="5"/>
  <c r="Z296" i="5"/>
  <c r="AA296" i="5" s="1"/>
  <c r="AQ312" i="5"/>
  <c r="AB312" i="5"/>
  <c r="Z312" i="5"/>
  <c r="AA312" i="5" s="1"/>
  <c r="AH319" i="5"/>
  <c r="AI319" i="5" s="1"/>
  <c r="AB319" i="5"/>
  <c r="AX339" i="5"/>
  <c r="BA339" i="5"/>
  <c r="AR351" i="5"/>
  <c r="AS351" i="5" s="1"/>
  <c r="BB351" i="5"/>
  <c r="AD357" i="5"/>
  <c r="AJ357" i="5"/>
  <c r="AH380" i="5"/>
  <c r="AI380" i="5" s="1"/>
  <c r="AB380" i="5"/>
  <c r="Z380" i="5"/>
  <c r="AA380" i="5" s="1"/>
  <c r="BP276" i="5"/>
  <c r="BN276" i="5"/>
  <c r="BN281" i="5"/>
  <c r="AL283" i="5"/>
  <c r="U283" i="5"/>
  <c r="BP283" i="5"/>
  <c r="BN283" i="5"/>
  <c r="AJ286" i="5"/>
  <c r="AD286" i="5"/>
  <c r="BA338" i="5"/>
  <c r="AX338" i="5"/>
  <c r="AX353" i="5"/>
  <c r="AD280" i="5"/>
  <c r="AH287" i="5"/>
  <c r="AI287" i="5" s="1"/>
  <c r="AB287" i="5"/>
  <c r="Z287" i="5"/>
  <c r="AA287" i="5" s="1"/>
  <c r="AQ287" i="5"/>
  <c r="AD288" i="5"/>
  <c r="AJ288" i="5"/>
  <c r="BN290" i="5"/>
  <c r="BP290" i="5"/>
  <c r="BL292" i="5"/>
  <c r="AR293" i="5"/>
  <c r="AS293" i="5" s="1"/>
  <c r="AJ304" i="5"/>
  <c r="AD304" i="5"/>
  <c r="BL311" i="5"/>
  <c r="BA318" i="5"/>
  <c r="AX318" i="5"/>
  <c r="AW353" i="5"/>
  <c r="AO353" i="5"/>
  <c r="AR353" i="5" s="1"/>
  <c r="AZ280" i="5"/>
  <c r="AH281" i="5"/>
  <c r="AI281" i="5" s="1"/>
  <c r="AQ281" i="5"/>
  <c r="AB281" i="5"/>
  <c r="Z281" i="5"/>
  <c r="AA281" i="5" s="1"/>
  <c r="BP282" i="5"/>
  <c r="BN282" i="5"/>
  <c r="AO279" i="5"/>
  <c r="AJ280" i="5"/>
  <c r="AD289" i="5"/>
  <c r="AJ289" i="5"/>
  <c r="AJ295" i="5"/>
  <c r="AD295" i="5"/>
  <c r="AJ307" i="5"/>
  <c r="AD307" i="5"/>
  <c r="BP308" i="5"/>
  <c r="BN308" i="5"/>
  <c r="AD311" i="5"/>
  <c r="AJ311" i="5"/>
  <c r="AH277" i="5"/>
  <c r="AI277" i="5" s="1"/>
  <c r="AJ278" i="5"/>
  <c r="AW278" i="5"/>
  <c r="AX278" i="5" s="1"/>
  <c r="AO278" i="5"/>
  <c r="AH282" i="5"/>
  <c r="AI282" i="5" s="1"/>
  <c r="Z282" i="5"/>
  <c r="AA282" i="5" s="1"/>
  <c r="AJ293" i="5"/>
  <c r="AD293" i="5"/>
  <c r="AD301" i="5"/>
  <c r="AJ301" i="5"/>
  <c r="AD310" i="5"/>
  <c r="AJ310" i="5"/>
  <c r="AO378" i="5"/>
  <c r="AW378" i="5"/>
  <c r="Z277" i="5"/>
  <c r="AA277" i="5" s="1"/>
  <c r="AQ291" i="5"/>
  <c r="AA292" i="5"/>
  <c r="AW293" i="5"/>
  <c r="AJ297" i="5"/>
  <c r="AD297" i="5"/>
  <c r="BA299" i="5"/>
  <c r="U305" i="5"/>
  <c r="W308" i="5"/>
  <c r="Z308" i="5" s="1"/>
  <c r="AA308" i="5" s="1"/>
  <c r="AZ310" i="5"/>
  <c r="AD313" i="5"/>
  <c r="AJ313" i="5"/>
  <c r="AA328" i="5"/>
  <c r="BA341" i="5"/>
  <c r="BL369" i="5"/>
  <c r="W280" i="5"/>
  <c r="Z280" i="5" s="1"/>
  <c r="AA280" i="5" s="1"/>
  <c r="BP286" i="5"/>
  <c r="U291" i="5"/>
  <c r="AO292" i="5"/>
  <c r="AR292" i="5" s="1"/>
  <c r="AS292" i="5" s="1"/>
  <c r="AW292" i="5"/>
  <c r="AZ293" i="5"/>
  <c r="AL295" i="5"/>
  <c r="AD298" i="5"/>
  <c r="AL304" i="5"/>
  <c r="BA308" i="5"/>
  <c r="AD315" i="5"/>
  <c r="AO325" i="5"/>
  <c r="AR325" i="5" s="1"/>
  <c r="AS325" i="5" s="1"/>
  <c r="AW325" i="5"/>
  <c r="AD334" i="5"/>
  <c r="AJ334" i="5"/>
  <c r="AA354" i="5"/>
  <c r="BP394" i="5"/>
  <c r="BN394" i="5"/>
  <c r="AD276" i="5"/>
  <c r="AB277" i="5"/>
  <c r="AJ294" i="5"/>
  <c r="AD294" i="5"/>
  <c r="AQ295" i="5"/>
  <c r="AB295" i="5"/>
  <c r="AW297" i="5"/>
  <c r="AX297" i="5" s="1"/>
  <c r="AQ300" i="5"/>
  <c r="AB300" i="5"/>
  <c r="Z300" i="5"/>
  <c r="AA300" i="5" s="1"/>
  <c r="Z304" i="5"/>
  <c r="AA304" i="5" s="1"/>
  <c r="AQ304" i="5"/>
  <c r="AL307" i="5"/>
  <c r="AH308" i="5"/>
  <c r="AI308" i="5" s="1"/>
  <c r="AB308" i="5"/>
  <c r="AD314" i="5"/>
  <c r="AJ314" i="5"/>
  <c r="AO316" i="5"/>
  <c r="AW316" i="5"/>
  <c r="AX316" i="5" s="1"/>
  <c r="AW317" i="5"/>
  <c r="AO317" i="5"/>
  <c r="AD333" i="5"/>
  <c r="AJ333" i="5"/>
  <c r="U344" i="5"/>
  <c r="AD358" i="5"/>
  <c r="AJ358" i="5"/>
  <c r="BP361" i="5"/>
  <c r="BN361" i="5"/>
  <c r="AB280" i="5"/>
  <c r="AZ282" i="5"/>
  <c r="AQ283" i="5"/>
  <c r="AB283" i="5"/>
  <c r="U284" i="5"/>
  <c r="BL285" i="5"/>
  <c r="AZ286" i="5"/>
  <c r="AQ289" i="5"/>
  <c r="AB289" i="5"/>
  <c r="U294" i="5"/>
  <c r="AL298" i="5"/>
  <c r="AH302" i="5"/>
  <c r="AI302" i="5" s="1"/>
  <c r="BA303" i="5"/>
  <c r="BL304" i="5"/>
  <c r="AZ305" i="5"/>
  <c r="AD305" i="5"/>
  <c r="AJ306" i="5"/>
  <c r="AD306" i="5"/>
  <c r="BL309" i="5"/>
  <c r="U313" i="5"/>
  <c r="AJ315" i="5"/>
  <c r="AJ316" i="5"/>
  <c r="AD316" i="5"/>
  <c r="BA325" i="5"/>
  <c r="AX325" i="5"/>
  <c r="AD345" i="5"/>
  <c r="AJ345" i="5"/>
  <c r="AW350" i="5"/>
  <c r="AX350" i="5" s="1"/>
  <c r="AO350" i="5"/>
  <c r="BA356" i="5"/>
  <c r="BP360" i="5"/>
  <c r="BN360" i="5"/>
  <c r="BA370" i="5"/>
  <c r="AX370" i="5"/>
  <c r="AL293" i="5"/>
  <c r="U303" i="5"/>
  <c r="BP312" i="5"/>
  <c r="BN312" i="5"/>
  <c r="AJ324" i="5"/>
  <c r="AD324" i="5"/>
  <c r="W325" i="5"/>
  <c r="Z325" i="5" s="1"/>
  <c r="AA325" i="5" s="1"/>
  <c r="AD325" i="5"/>
  <c r="AD356" i="5"/>
  <c r="AJ356" i="5"/>
  <c r="BA401" i="5"/>
  <c r="BN277" i="5"/>
  <c r="AH285" i="5"/>
  <c r="AI285" i="5" s="1"/>
  <c r="AL292" i="5"/>
  <c r="Z293" i="5"/>
  <c r="AA293" i="5" s="1"/>
  <c r="Z297" i="5"/>
  <c r="AA297" i="5" s="1"/>
  <c r="AO297" i="5"/>
  <c r="AB304" i="5"/>
  <c r="AH309" i="5"/>
  <c r="AI309" i="5" s="1"/>
  <c r="Z309" i="5"/>
  <c r="AA309" i="5" s="1"/>
  <c r="BA316" i="5"/>
  <c r="AA321" i="5"/>
  <c r="AD331" i="5"/>
  <c r="AJ331" i="5"/>
  <c r="BP346" i="5"/>
  <c r="BN346" i="5"/>
  <c r="AH352" i="5"/>
  <c r="AI352" i="5" s="1"/>
  <c r="AQ352" i="5"/>
  <c r="AB352" i="5"/>
  <c r="Z352" i="5"/>
  <c r="AA352" i="5" s="1"/>
  <c r="BN278" i="5"/>
  <c r="Z292" i="5"/>
  <c r="AQ292" i="5"/>
  <c r="U293" i="5"/>
  <c r="AQ293" i="5"/>
  <c r="BP296" i="5"/>
  <c r="BN296" i="5"/>
  <c r="AL302" i="5"/>
  <c r="U306" i="5"/>
  <c r="AO306" i="5"/>
  <c r="AB309" i="5"/>
  <c r="BN313" i="5"/>
  <c r="AL315" i="5"/>
  <c r="AH321" i="5"/>
  <c r="AI321" i="5" s="1"/>
  <c r="AH284" i="5"/>
  <c r="AI284" i="5" s="1"/>
  <c r="Z284" i="5"/>
  <c r="AA284" i="5" s="1"/>
  <c r="AB285" i="5"/>
  <c r="AQ288" i="5"/>
  <c r="AB288" i="5"/>
  <c r="Z288" i="5"/>
  <c r="AA288" i="5" s="1"/>
  <c r="AS298" i="5"/>
  <c r="AH299" i="5"/>
  <c r="AI299" i="5" s="1"/>
  <c r="AH300" i="5"/>
  <c r="AI300" i="5" s="1"/>
  <c r="AQ302" i="5"/>
  <c r="AB302" i="5"/>
  <c r="Z302" i="5"/>
  <c r="AA302" i="5" s="1"/>
  <c r="AX306" i="5"/>
  <c r="BN310" i="5"/>
  <c r="BP310" i="5"/>
  <c r="BA315" i="5"/>
  <c r="AH320" i="5"/>
  <c r="AI320" i="5" s="1"/>
  <c r="Z320" i="5"/>
  <c r="AA320" i="5" s="1"/>
  <c r="AD322" i="5"/>
  <c r="AJ322" i="5"/>
  <c r="BA330" i="5"/>
  <c r="AQ346" i="5"/>
  <c r="AB346" i="5"/>
  <c r="Z346" i="5"/>
  <c r="AA346" i="5" s="1"/>
  <c r="AX371" i="5"/>
  <c r="BA371" i="5"/>
  <c r="Z283" i="5"/>
  <c r="AA283" i="5" s="1"/>
  <c r="AB284" i="5"/>
  <c r="U288" i="5"/>
  <c r="AA289" i="5"/>
  <c r="AZ294" i="5"/>
  <c r="BA294" i="5"/>
  <c r="BL297" i="5"/>
  <c r="AZ298" i="5"/>
  <c r="BB298" i="5" s="1"/>
  <c r="Z299" i="5"/>
  <c r="AA299" i="5" s="1"/>
  <c r="AQ301" i="5"/>
  <c r="AB301" i="5"/>
  <c r="AL305" i="5"/>
  <c r="U308" i="5"/>
  <c r="BA310" i="5"/>
  <c r="AJ312" i="5"/>
  <c r="BL314" i="5"/>
  <c r="U315" i="5"/>
  <c r="Z316" i="5"/>
  <c r="AA316" i="5" s="1"/>
  <c r="Z317" i="5"/>
  <c r="AA317" i="5" s="1"/>
  <c r="AQ317" i="5"/>
  <c r="AQ319" i="5"/>
  <c r="AW311" i="5"/>
  <c r="AX311" i="5" s="1"/>
  <c r="AD317" i="5"/>
  <c r="AQ323" i="5"/>
  <c r="AB323" i="5"/>
  <c r="Z323" i="5"/>
  <c r="AA323" i="5" s="1"/>
  <c r="AZ327" i="5"/>
  <c r="AH330" i="5"/>
  <c r="AI330" i="5" s="1"/>
  <c r="AB330" i="5"/>
  <c r="Z330" i="5"/>
  <c r="AA330" i="5" s="1"/>
  <c r="AL336" i="5"/>
  <c r="AJ339" i="5"/>
  <c r="AD339" i="5"/>
  <c r="AL349" i="5"/>
  <c r="AQ357" i="5"/>
  <c r="AB357" i="5"/>
  <c r="Z357" i="5"/>
  <c r="AA357" i="5" s="1"/>
  <c r="AH361" i="5"/>
  <c r="AI361" i="5" s="1"/>
  <c r="AB361" i="5"/>
  <c r="Z361" i="5"/>
  <c r="AA361" i="5" s="1"/>
  <c r="AR363" i="5"/>
  <c r="AS363" i="5" s="1"/>
  <c r="BB363" i="5"/>
  <c r="AH364" i="5"/>
  <c r="AI364" i="5" s="1"/>
  <c r="AB364" i="5"/>
  <c r="Z364" i="5"/>
  <c r="AA364" i="5" s="1"/>
  <c r="AA365" i="5"/>
  <c r="AD366" i="5"/>
  <c r="AJ366" i="5"/>
  <c r="AD385" i="5"/>
  <c r="AJ385" i="5"/>
  <c r="AJ386" i="5"/>
  <c r="AD386" i="5"/>
  <c r="AQ395" i="5"/>
  <c r="AB395" i="5"/>
  <c r="Z395" i="5"/>
  <c r="AA395" i="5" s="1"/>
  <c r="AH401" i="5"/>
  <c r="AI401" i="5" s="1"/>
  <c r="AB401" i="5"/>
  <c r="U323" i="5"/>
  <c r="U326" i="5"/>
  <c r="BA326" i="5"/>
  <c r="BP335" i="5"/>
  <c r="BN335" i="5"/>
  <c r="BA336" i="5"/>
  <c r="AD348" i="5"/>
  <c r="BP350" i="5"/>
  <c r="BN350" i="5"/>
  <c r="BP353" i="5"/>
  <c r="BN353" i="5"/>
  <c r="AD359" i="5"/>
  <c r="AJ359" i="5"/>
  <c r="BL382" i="5"/>
  <c r="U395" i="5"/>
  <c r="Z401" i="5"/>
  <c r="AA401" i="5" s="1"/>
  <c r="AW492" i="5"/>
  <c r="AO492" i="5"/>
  <c r="AH291" i="5"/>
  <c r="AI291" i="5" s="1"/>
  <c r="BL316" i="5"/>
  <c r="AD318" i="5"/>
  <c r="AL324" i="5"/>
  <c r="AJ325" i="5"/>
  <c r="AJ327" i="5"/>
  <c r="AD327" i="5"/>
  <c r="AW331" i="5"/>
  <c r="AX331" i="5" s="1"/>
  <c r="U336" i="5"/>
  <c r="AQ337" i="5"/>
  <c r="AD343" i="5"/>
  <c r="AA343" i="5"/>
  <c r="AJ347" i="5"/>
  <c r="BN348" i="5"/>
  <c r="U379" i="5"/>
  <c r="AD384" i="5"/>
  <c r="AJ384" i="5"/>
  <c r="BN315" i="5"/>
  <c r="AJ317" i="5"/>
  <c r="BP323" i="5"/>
  <c r="BN323" i="5"/>
  <c r="BA324" i="5"/>
  <c r="AQ334" i="5"/>
  <c r="AB334" i="5"/>
  <c r="Z334" i="5"/>
  <c r="AA334" i="5" s="1"/>
  <c r="AH340" i="5"/>
  <c r="AI340" i="5" s="1"/>
  <c r="AQ340" i="5"/>
  <c r="AB340" i="5"/>
  <c r="BA351" i="5"/>
  <c r="AH353" i="5"/>
  <c r="AI353" i="5" s="1"/>
  <c r="Z353" i="5"/>
  <c r="AA353" i="5" s="1"/>
  <c r="AQ358" i="5"/>
  <c r="AB358" i="5"/>
  <c r="Z358" i="5"/>
  <c r="AA358" i="5" s="1"/>
  <c r="U368" i="5"/>
  <c r="AR371" i="5"/>
  <c r="AS371" i="5" s="1"/>
  <c r="AQ380" i="5"/>
  <c r="BN305" i="5"/>
  <c r="BB311" i="5"/>
  <c r="U317" i="5"/>
  <c r="AQ322" i="5"/>
  <c r="AB322" i="5"/>
  <c r="Z322" i="5"/>
  <c r="AA322" i="5" s="1"/>
  <c r="AL327" i="5"/>
  <c r="AO327" i="5"/>
  <c r="AH328" i="5"/>
  <c r="AI328" i="5" s="1"/>
  <c r="AQ328" i="5"/>
  <c r="AB328" i="5"/>
  <c r="BP338" i="5"/>
  <c r="BN338" i="5"/>
  <c r="BP341" i="5"/>
  <c r="BN341" i="5"/>
  <c r="BL344" i="5"/>
  <c r="AL347" i="5"/>
  <c r="AJ348" i="5"/>
  <c r="AB349" i="5"/>
  <c r="AL350" i="5"/>
  <c r="AL352" i="5"/>
  <c r="AQ354" i="5"/>
  <c r="AL359" i="5"/>
  <c r="W360" i="5"/>
  <c r="Z360" i="5" s="1"/>
  <c r="AA360" i="5" s="1"/>
  <c r="AJ360" i="5"/>
  <c r="W363" i="5"/>
  <c r="Z363" i="5" s="1"/>
  <c r="AA363" i="5" s="1"/>
  <c r="AL363" i="5"/>
  <c r="AJ363" i="5"/>
  <c r="AW363" i="5"/>
  <c r="AX363" i="5" s="1"/>
  <c r="AQ364" i="5"/>
  <c r="AQ367" i="5"/>
  <c r="AB367" i="5"/>
  <c r="Z367" i="5"/>
  <c r="AA367" i="5" s="1"/>
  <c r="AR374" i="5"/>
  <c r="AS374" i="5" s="1"/>
  <c r="BL377" i="5"/>
  <c r="AD381" i="5"/>
  <c r="AZ389" i="5"/>
  <c r="AJ395" i="5"/>
  <c r="AD395" i="5"/>
  <c r="Z313" i="5"/>
  <c r="AA313" i="5" s="1"/>
  <c r="AQ320" i="5"/>
  <c r="AQ321" i="5"/>
  <c r="AB321" i="5"/>
  <c r="AL325" i="5"/>
  <c r="AS331" i="5"/>
  <c r="AQ347" i="5"/>
  <c r="AB347" i="5"/>
  <c r="Z347" i="5"/>
  <c r="AA347" i="5" s="1"/>
  <c r="AH354" i="5"/>
  <c r="AI354" i="5" s="1"/>
  <c r="AB354" i="5"/>
  <c r="Z354" i="5"/>
  <c r="AQ359" i="5"/>
  <c r="AB359" i="5"/>
  <c r="Z359" i="5"/>
  <c r="AA359" i="5" s="1"/>
  <c r="BA377" i="5"/>
  <c r="BL403" i="5"/>
  <c r="AQ411" i="5"/>
  <c r="AH411" i="5"/>
  <c r="AI411" i="5" s="1"/>
  <c r="Z411" i="5"/>
  <c r="AA411" i="5" s="1"/>
  <c r="BN295" i="5"/>
  <c r="BN307" i="5"/>
  <c r="Z314" i="5"/>
  <c r="AA314" i="5" s="1"/>
  <c r="BP317" i="5"/>
  <c r="BN317" i="5"/>
  <c r="BP326" i="5"/>
  <c r="BN326" i="5"/>
  <c r="BP329" i="5"/>
  <c r="BN329" i="5"/>
  <c r="BA329" i="5"/>
  <c r="BP331" i="5"/>
  <c r="AH341" i="5"/>
  <c r="AI341" i="5" s="1"/>
  <c r="Z341" i="5"/>
  <c r="AA341" i="5" s="1"/>
  <c r="AH344" i="5"/>
  <c r="AI344" i="5" s="1"/>
  <c r="Z344" i="5"/>
  <c r="AA344" i="5" s="1"/>
  <c r="AQ345" i="5"/>
  <c r="AB345" i="5"/>
  <c r="Z345" i="5"/>
  <c r="AA345" i="5" s="1"/>
  <c r="U347" i="5"/>
  <c r="U350" i="5"/>
  <c r="BA350" i="5"/>
  <c r="BN358" i="5"/>
  <c r="U359" i="5"/>
  <c r="AL360" i="5"/>
  <c r="BA362" i="5"/>
  <c r="BA374" i="5"/>
  <c r="BB374" i="5" s="1"/>
  <c r="AA377" i="5"/>
  <c r="Z385" i="5"/>
  <c r="AA385" i="5" s="1"/>
  <c r="AB385" i="5"/>
  <c r="AQ385" i="5"/>
  <c r="AL396" i="5"/>
  <c r="U396" i="5"/>
  <c r="BA403" i="5"/>
  <c r="AQ419" i="5"/>
  <c r="Z419" i="5"/>
  <c r="AA419" i="5" s="1"/>
  <c r="AB419" i="5"/>
  <c r="BL434" i="5"/>
  <c r="Z291" i="5"/>
  <c r="AA291" i="5" s="1"/>
  <c r="Z303" i="5"/>
  <c r="AA303" i="5" s="1"/>
  <c r="AB313" i="5"/>
  <c r="Z315" i="5"/>
  <c r="AA315" i="5" s="1"/>
  <c r="AO318" i="5"/>
  <c r="BP318" i="5"/>
  <c r="BP319" i="5"/>
  <c r="AJ323" i="5"/>
  <c r="BN324" i="5"/>
  <c r="BL332" i="5"/>
  <c r="BL334" i="5"/>
  <c r="AA337" i="5"/>
  <c r="AJ338" i="5"/>
  <c r="AB341" i="5"/>
  <c r="BL342" i="5"/>
  <c r="U345" i="5"/>
  <c r="AL348" i="5"/>
  <c r="AJ349" i="5"/>
  <c r="AJ351" i="5"/>
  <c r="AD351" i="5"/>
  <c r="BL355" i="5"/>
  <c r="BP359" i="5"/>
  <c r="BN359" i="5"/>
  <c r="AW360" i="5"/>
  <c r="AO360" i="5"/>
  <c r="AJ368" i="5"/>
  <c r="AD368" i="5"/>
  <c r="AJ369" i="5"/>
  <c r="AD369" i="5"/>
  <c r="BN384" i="5"/>
  <c r="BP395" i="5"/>
  <c r="BN395" i="5"/>
  <c r="U307" i="5"/>
  <c r="AB314" i="5"/>
  <c r="BA327" i="5"/>
  <c r="AH329" i="5"/>
  <c r="AI329" i="5" s="1"/>
  <c r="Z329" i="5"/>
  <c r="AA329" i="5" s="1"/>
  <c r="AJ336" i="5"/>
  <c r="AB337" i="5"/>
  <c r="BP347" i="5"/>
  <c r="BN347" i="5"/>
  <c r="BA348" i="5"/>
  <c r="U360" i="5"/>
  <c r="AD376" i="5"/>
  <c r="AB291" i="5"/>
  <c r="AB303" i="5"/>
  <c r="AB315" i="5"/>
  <c r="AJ318" i="5"/>
  <c r="AW329" i="5"/>
  <c r="AX329" i="5" s="1"/>
  <c r="AO329" i="5"/>
  <c r="AR329" i="5" s="1"/>
  <c r="BL330" i="5"/>
  <c r="AH332" i="5"/>
  <c r="AI332" i="5" s="1"/>
  <c r="Z332" i="5"/>
  <c r="AA332" i="5"/>
  <c r="AQ333" i="5"/>
  <c r="AB333" i="5"/>
  <c r="Z333" i="5"/>
  <c r="AA333" i="5" s="1"/>
  <c r="AQ335" i="5"/>
  <c r="AB335" i="5"/>
  <c r="Z335" i="5"/>
  <c r="AA335" i="5" s="1"/>
  <c r="AD337" i="5"/>
  <c r="AO338" i="5"/>
  <c r="AZ339" i="5"/>
  <c r="AH342" i="5"/>
  <c r="AI342" i="5" s="1"/>
  <c r="AB342" i="5"/>
  <c r="Z342" i="5"/>
  <c r="AA342" i="5" s="1"/>
  <c r="AQ349" i="5"/>
  <c r="AD355" i="5"/>
  <c r="BL356" i="5"/>
  <c r="BL365" i="5"/>
  <c r="AD373" i="5"/>
  <c r="AJ376" i="5"/>
  <c r="AO369" i="5"/>
  <c r="AW369" i="5"/>
  <c r="AH372" i="5"/>
  <c r="AI372" i="5" s="1"/>
  <c r="AB372" i="5"/>
  <c r="AH375" i="5"/>
  <c r="AI375" i="5" s="1"/>
  <c r="AJ377" i="5"/>
  <c r="AD377" i="5"/>
  <c r="AL381" i="5"/>
  <c r="AH382" i="5"/>
  <c r="AI382" i="5" s="1"/>
  <c r="W389" i="5"/>
  <c r="Z389" i="5" s="1"/>
  <c r="AA389" i="5" s="1"/>
  <c r="AL389" i="5"/>
  <c r="Z396" i="5"/>
  <c r="AA396" i="5" s="1"/>
  <c r="AB396" i="5"/>
  <c r="AZ398" i="5"/>
  <c r="AW398" i="5"/>
  <c r="AX398" i="5" s="1"/>
  <c r="AO398" i="5"/>
  <c r="AH403" i="5"/>
  <c r="AI403" i="5" s="1"/>
  <c r="AB403" i="5"/>
  <c r="Z403" i="5"/>
  <c r="AA403" i="5" s="1"/>
  <c r="BA409" i="5"/>
  <c r="BL471" i="5"/>
  <c r="AA366" i="5"/>
  <c r="AL373" i="5"/>
  <c r="AW375" i="5"/>
  <c r="AO375" i="5"/>
  <c r="AR375" i="5" s="1"/>
  <c r="AS375" i="5" s="1"/>
  <c r="W378" i="5"/>
  <c r="Z378" i="5" s="1"/>
  <c r="AA378" i="5" s="1"/>
  <c r="AL378" i="5"/>
  <c r="AJ378" i="5"/>
  <c r="AQ381" i="5"/>
  <c r="AB381" i="5"/>
  <c r="Z381" i="5"/>
  <c r="AA381" i="5" s="1"/>
  <c r="AH387" i="5"/>
  <c r="AI387" i="5" s="1"/>
  <c r="AD394" i="5"/>
  <c r="AJ407" i="5"/>
  <c r="AD407" i="5"/>
  <c r="AJ420" i="5"/>
  <c r="AD420" i="5"/>
  <c r="BA430" i="5"/>
  <c r="BA503" i="5"/>
  <c r="BN325" i="5"/>
  <c r="BB331" i="5"/>
  <c r="BN337" i="5"/>
  <c r="BN349" i="5"/>
  <c r="Z356" i="5"/>
  <c r="AA356" i="5" s="1"/>
  <c r="AZ370" i="5"/>
  <c r="BB370" i="5" s="1"/>
  <c r="AZ371" i="5"/>
  <c r="BB371" i="5" s="1"/>
  <c r="Z373" i="5"/>
  <c r="AA373" i="5" s="1"/>
  <c r="AB373" i="5"/>
  <c r="AQ373" i="5"/>
  <c r="AW374" i="5"/>
  <c r="AX374" i="5" s="1"/>
  <c r="BL379" i="5"/>
  <c r="U381" i="5"/>
  <c r="BL383" i="5"/>
  <c r="Z386" i="5"/>
  <c r="AA386" i="5" s="1"/>
  <c r="AB387" i="5"/>
  <c r="AO390" i="5"/>
  <c r="AR390" i="5" s="1"/>
  <c r="AW390" i="5"/>
  <c r="AX390" i="5" s="1"/>
  <c r="AJ394" i="5"/>
  <c r="BL423" i="5"/>
  <c r="AB343" i="5"/>
  <c r="AB355" i="5"/>
  <c r="BP362" i="5"/>
  <c r="BN372" i="5"/>
  <c r="U373" i="5"/>
  <c r="BN375" i="5"/>
  <c r="AB376" i="5"/>
  <c r="AQ376" i="5"/>
  <c r="Z376" i="5"/>
  <c r="AA376" i="5" s="1"/>
  <c r="AW377" i="5"/>
  <c r="AX377" i="5" s="1"/>
  <c r="BA384" i="5"/>
  <c r="BL391" i="5"/>
  <c r="AJ398" i="5"/>
  <c r="W400" i="5"/>
  <c r="Z400" i="5" s="1"/>
  <c r="AA400" i="5" s="1"/>
  <c r="AD400" i="5"/>
  <c r="AB320" i="5"/>
  <c r="BN327" i="5"/>
  <c r="AB332" i="5"/>
  <c r="BN339" i="5"/>
  <c r="AB344" i="5"/>
  <c r="BN351" i="5"/>
  <c r="AB356" i="5"/>
  <c r="Z362" i="5"/>
  <c r="AA362" i="5" s="1"/>
  <c r="AH365" i="5"/>
  <c r="AI365" i="5" s="1"/>
  <c r="U376" i="5"/>
  <c r="AQ378" i="5"/>
  <c r="AA379" i="5"/>
  <c r="Z384" i="5"/>
  <c r="AA384" i="5" s="1"/>
  <c r="AB384" i="5"/>
  <c r="AJ388" i="5"/>
  <c r="AD388" i="5"/>
  <c r="Z388" i="5"/>
  <c r="AA388" i="5" s="1"/>
  <c r="W402" i="5"/>
  <c r="Z402" i="5" s="1"/>
  <c r="AA402" i="5" s="1"/>
  <c r="AD402" i="5"/>
  <c r="AH423" i="5"/>
  <c r="AI423" i="5" s="1"/>
  <c r="AQ423" i="5"/>
  <c r="AB423" i="5"/>
  <c r="AH427" i="5"/>
  <c r="AI427" i="5" s="1"/>
  <c r="AA427" i="5"/>
  <c r="BN328" i="5"/>
  <c r="BN340" i="5"/>
  <c r="BN352" i="5"/>
  <c r="AH367" i="5"/>
  <c r="AI367" i="5" s="1"/>
  <c r="BP392" i="5"/>
  <c r="AW397" i="5"/>
  <c r="AX397" i="5" s="1"/>
  <c r="AO397" i="5"/>
  <c r="Z409" i="5"/>
  <c r="AA409" i="5" s="1"/>
  <c r="AB409" i="5"/>
  <c r="Z324" i="5"/>
  <c r="AA324" i="5" s="1"/>
  <c r="Z336" i="5"/>
  <c r="AA336" i="5" s="1"/>
  <c r="Z348" i="5"/>
  <c r="AA348" i="5" s="1"/>
  <c r="AQ360" i="5"/>
  <c r="AB362" i="5"/>
  <c r="BP363" i="5"/>
  <c r="BL367" i="5"/>
  <c r="AL369" i="5"/>
  <c r="AL372" i="5"/>
  <c r="AQ372" i="5"/>
  <c r="AQ375" i="5"/>
  <c r="AQ387" i="5"/>
  <c r="AB388" i="5"/>
  <c r="BL393" i="5"/>
  <c r="AH399" i="5"/>
  <c r="AI399" i="5" s="1"/>
  <c r="AQ399" i="5"/>
  <c r="BP405" i="5"/>
  <c r="BN405" i="5"/>
  <c r="BL408" i="5"/>
  <c r="U340" i="5"/>
  <c r="AD362" i="5"/>
  <c r="AQ365" i="5"/>
  <c r="AB365" i="5"/>
  <c r="Z369" i="5"/>
  <c r="AA369" i="5" s="1"/>
  <c r="AL370" i="5"/>
  <c r="AL371" i="5"/>
  <c r="AJ371" i="5"/>
  <c r="AO377" i="5"/>
  <c r="AR377" i="5" s="1"/>
  <c r="AS377" i="5" s="1"/>
  <c r="AW386" i="5"/>
  <c r="AO386" i="5"/>
  <c r="AW399" i="5"/>
  <c r="AO399" i="5"/>
  <c r="BP399" i="5"/>
  <c r="BN399" i="5"/>
  <c r="U406" i="5"/>
  <c r="AB441" i="5"/>
  <c r="Z441" i="5"/>
  <c r="AA441" i="5" s="1"/>
  <c r="AQ441" i="5"/>
  <c r="AO452" i="5"/>
  <c r="AW452" i="5"/>
  <c r="AX452" i="5" s="1"/>
  <c r="BA456" i="5"/>
  <c r="AB324" i="5"/>
  <c r="AB336" i="5"/>
  <c r="AB348" i="5"/>
  <c r="AQ366" i="5"/>
  <c r="AB366" i="5"/>
  <c r="AL367" i="5"/>
  <c r="AQ368" i="5"/>
  <c r="AB368" i="5"/>
  <c r="Z368" i="5"/>
  <c r="AA368" i="5" s="1"/>
  <c r="AQ369" i="5"/>
  <c r="Z370" i="5"/>
  <c r="AA370" i="5" s="1"/>
  <c r="BP370" i="5"/>
  <c r="BN370" i="5"/>
  <c r="BP371" i="5"/>
  <c r="BN371" i="5"/>
  <c r="U374" i="5"/>
  <c r="AJ379" i="5"/>
  <c r="AZ386" i="5"/>
  <c r="AH389" i="5"/>
  <c r="AI389" i="5" s="1"/>
  <c r="AB389" i="5"/>
  <c r="AD392" i="5"/>
  <c r="AJ392" i="5"/>
  <c r="AH393" i="5"/>
  <c r="AI393" i="5" s="1"/>
  <c r="AQ396" i="5"/>
  <c r="BL401" i="5"/>
  <c r="AQ404" i="5"/>
  <c r="AB404" i="5"/>
  <c r="Z404" i="5"/>
  <c r="AA404" i="5" s="1"/>
  <c r="AO408" i="5"/>
  <c r="AR408" i="5" s="1"/>
  <c r="AS408" i="5" s="1"/>
  <c r="AW408" i="5"/>
  <c r="AO416" i="5"/>
  <c r="AR416" i="5" s="1"/>
  <c r="AW416" i="5"/>
  <c r="AH453" i="5"/>
  <c r="AI453" i="5" s="1"/>
  <c r="AB453" i="5"/>
  <c r="Z453" i="5"/>
  <c r="AA453" i="5" s="1"/>
  <c r="AZ403" i="5"/>
  <c r="W407" i="5"/>
  <c r="Z407" i="5" s="1"/>
  <c r="AA407" i="5" s="1"/>
  <c r="AL407" i="5"/>
  <c r="AB412" i="5"/>
  <c r="Z412" i="5"/>
  <c r="AA412" i="5" s="1"/>
  <c r="AR417" i="5"/>
  <c r="AS417" i="5" s="1"/>
  <c r="AH426" i="5"/>
  <c r="AI426" i="5" s="1"/>
  <c r="Z426" i="5"/>
  <c r="AA426" i="5" s="1"/>
  <c r="AQ442" i="5"/>
  <c r="AB442" i="5"/>
  <c r="Z442" i="5"/>
  <c r="AA442" i="5" s="1"/>
  <c r="Z429" i="5"/>
  <c r="AA429" i="5" s="1"/>
  <c r="AB429" i="5"/>
  <c r="AQ429" i="5"/>
  <c r="BP440" i="5"/>
  <c r="BN440" i="5"/>
  <c r="AD487" i="5"/>
  <c r="AJ487" i="5"/>
  <c r="AL375" i="5"/>
  <c r="U385" i="5"/>
  <c r="AL386" i="5"/>
  <c r="AQ391" i="5"/>
  <c r="AQ407" i="5"/>
  <c r="AB407" i="5"/>
  <c r="BP414" i="5"/>
  <c r="BN414" i="5"/>
  <c r="AO415" i="5"/>
  <c r="AR415" i="5" s="1"/>
  <c r="AW415" i="5"/>
  <c r="AL417" i="5"/>
  <c r="W417" i="5"/>
  <c r="Z417" i="5" s="1"/>
  <c r="AA417" i="5" s="1"/>
  <c r="AJ417" i="5"/>
  <c r="AD419" i="5"/>
  <c r="AJ419" i="5"/>
  <c r="Z420" i="5"/>
  <c r="AA420" i="5" s="1"/>
  <c r="AD425" i="5"/>
  <c r="AJ425" i="5"/>
  <c r="AO439" i="5"/>
  <c r="AR439" i="5" s="1"/>
  <c r="AS439" i="5" s="1"/>
  <c r="AW439" i="5"/>
  <c r="AX439" i="5" s="1"/>
  <c r="BA444" i="5"/>
  <c r="AH391" i="5"/>
  <c r="AI391" i="5" s="1"/>
  <c r="AB391" i="5"/>
  <c r="Z391" i="5"/>
  <c r="AA391" i="5" s="1"/>
  <c r="AQ394" i="5"/>
  <c r="AB394" i="5"/>
  <c r="Z394" i="5"/>
  <c r="AA394" i="5" s="1"/>
  <c r="AL398" i="5"/>
  <c r="AL399" i="5"/>
  <c r="U399" i="5"/>
  <c r="BN402" i="5"/>
  <c r="BP402" i="5"/>
  <c r="AD404" i="5"/>
  <c r="AJ404" i="5"/>
  <c r="AQ405" i="5"/>
  <c r="AB405" i="5"/>
  <c r="Z405" i="5"/>
  <c r="AA405" i="5" s="1"/>
  <c r="U415" i="5"/>
  <c r="BA421" i="5"/>
  <c r="AH433" i="5"/>
  <c r="AI433" i="5" s="1"/>
  <c r="AH448" i="5"/>
  <c r="AI448" i="5" s="1"/>
  <c r="Z448" i="5"/>
  <c r="AA448" i="5" s="1"/>
  <c r="BN374" i="5"/>
  <c r="BN385" i="5"/>
  <c r="U386" i="5"/>
  <c r="U394" i="5"/>
  <c r="AJ397" i="5"/>
  <c r="BA400" i="5"/>
  <c r="BN404" i="5"/>
  <c r="AJ412" i="5"/>
  <c r="AD412" i="5"/>
  <c r="BL416" i="5"/>
  <c r="BL429" i="5"/>
  <c r="BL373" i="5"/>
  <c r="BP376" i="5"/>
  <c r="BN376" i="5"/>
  <c r="AB379" i="5"/>
  <c r="AL387" i="5"/>
  <c r="U387" i="5"/>
  <c r="BP387" i="5"/>
  <c r="BN387" i="5"/>
  <c r="AL397" i="5"/>
  <c r="AW400" i="5"/>
  <c r="AX400" i="5" s="1"/>
  <c r="AO400" i="5"/>
  <c r="AD413" i="5"/>
  <c r="AJ413" i="5"/>
  <c r="AH432" i="5"/>
  <c r="AI432" i="5" s="1"/>
  <c r="Z432" i="5"/>
  <c r="AA432" i="5" s="1"/>
  <c r="AL458" i="5"/>
  <c r="U458" i="5"/>
  <c r="AQ382" i="5"/>
  <c r="AB382" i="5"/>
  <c r="Z382" i="5"/>
  <c r="AA382" i="5" s="1"/>
  <c r="AQ386" i="5"/>
  <c r="AH390" i="5"/>
  <c r="AI390" i="5" s="1"/>
  <c r="BB390" i="5"/>
  <c r="AQ393" i="5"/>
  <c r="AB393" i="5"/>
  <c r="Z393" i="5"/>
  <c r="AA393" i="5" s="1"/>
  <c r="BP396" i="5"/>
  <c r="BN396" i="5"/>
  <c r="Z397" i="5"/>
  <c r="AA397" i="5" s="1"/>
  <c r="AJ406" i="5"/>
  <c r="AD409" i="5"/>
  <c r="AJ409" i="5"/>
  <c r="AH416" i="5"/>
  <c r="AI416" i="5" s="1"/>
  <c r="BA428" i="5"/>
  <c r="BA463" i="5"/>
  <c r="AQ383" i="5"/>
  <c r="AB383" i="5"/>
  <c r="Z383" i="5"/>
  <c r="AA383" i="5" s="1"/>
  <c r="AQ389" i="5"/>
  <c r="AQ392" i="5"/>
  <c r="AB392" i="5"/>
  <c r="AJ396" i="5"/>
  <c r="U397" i="5"/>
  <c r="BA397" i="5"/>
  <c r="AQ412" i="5"/>
  <c r="AW417" i="5"/>
  <c r="AX417" i="5" s="1"/>
  <c r="AB424" i="5"/>
  <c r="AQ424" i="5"/>
  <c r="Z424" i="5"/>
  <c r="AA424" i="5" s="1"/>
  <c r="AH431" i="5"/>
  <c r="AI431" i="5" s="1"/>
  <c r="AJ438" i="5"/>
  <c r="AD438" i="5"/>
  <c r="U459" i="5"/>
  <c r="W422" i="5"/>
  <c r="Z422" i="5" s="1"/>
  <c r="AA422" i="5" s="1"/>
  <c r="AJ422" i="5"/>
  <c r="AL422" i="5"/>
  <c r="AZ423" i="5"/>
  <c r="AX425" i="5"/>
  <c r="AH428" i="5"/>
  <c r="AI428" i="5" s="1"/>
  <c r="AB428" i="5"/>
  <c r="AH434" i="5"/>
  <c r="AI434" i="5" s="1"/>
  <c r="AB434" i="5"/>
  <c r="AH435" i="5"/>
  <c r="AI435" i="5" s="1"/>
  <c r="AB435" i="5"/>
  <c r="AQ460" i="5"/>
  <c r="AB460" i="5"/>
  <c r="Z460" i="5"/>
  <c r="AA460" i="5" s="1"/>
  <c r="AO478" i="5"/>
  <c r="AW478" i="5"/>
  <c r="BP490" i="5"/>
  <c r="BN490" i="5"/>
  <c r="AJ400" i="5"/>
  <c r="AQ406" i="5"/>
  <c r="AB406" i="5"/>
  <c r="Z406" i="5"/>
  <c r="AA406" i="5" s="1"/>
  <c r="U412" i="5"/>
  <c r="AZ413" i="5"/>
  <c r="BB413" i="5" s="1"/>
  <c r="BP424" i="5"/>
  <c r="BN424" i="5"/>
  <c r="AQ437" i="5"/>
  <c r="AB437" i="5"/>
  <c r="Z437" i="5"/>
  <c r="BP441" i="5"/>
  <c r="BN441" i="5"/>
  <c r="Z447" i="5"/>
  <c r="AA447" i="5" s="1"/>
  <c r="AQ447" i="5"/>
  <c r="BP456" i="5"/>
  <c r="BN456" i="5"/>
  <c r="AD469" i="5"/>
  <c r="AJ469" i="5"/>
  <c r="AL411" i="5"/>
  <c r="U411" i="5"/>
  <c r="AA415" i="5"/>
  <c r="BP419" i="5"/>
  <c r="BN419" i="5"/>
  <c r="AB420" i="5"/>
  <c r="AQ420" i="5"/>
  <c r="AH421" i="5"/>
  <c r="AI421" i="5" s="1"/>
  <c r="AB421" i="5"/>
  <c r="Z421" i="5"/>
  <c r="AA421" i="5" s="1"/>
  <c r="BA425" i="5"/>
  <c r="AD429" i="5"/>
  <c r="W435" i="5"/>
  <c r="Z435" i="5" s="1"/>
  <c r="AA435" i="5" s="1"/>
  <c r="AL435" i="5"/>
  <c r="AB436" i="5"/>
  <c r="BA452" i="5"/>
  <c r="AQ455" i="5"/>
  <c r="AB455" i="5"/>
  <c r="Z455" i="5"/>
  <c r="AA455" i="5" s="1"/>
  <c r="AW461" i="5"/>
  <c r="AO461" i="5"/>
  <c r="AL408" i="5"/>
  <c r="BP421" i="5"/>
  <c r="AD424" i="5"/>
  <c r="AQ427" i="5"/>
  <c r="AJ429" i="5"/>
  <c r="AQ431" i="5"/>
  <c r="AB431" i="5"/>
  <c r="Z431" i="5"/>
  <c r="AA431" i="5" s="1"/>
  <c r="AH436" i="5"/>
  <c r="AI436" i="5" s="1"/>
  <c r="AO458" i="5"/>
  <c r="AR458" i="5" s="1"/>
  <c r="AS458" i="5" s="1"/>
  <c r="BA462" i="5"/>
  <c r="AO466" i="5"/>
  <c r="AR466" i="5" s="1"/>
  <c r="AW466" i="5"/>
  <c r="AX466" i="5" s="1"/>
  <c r="BP501" i="5"/>
  <c r="BN501" i="5"/>
  <c r="BN388" i="5"/>
  <c r="BN407" i="5"/>
  <c r="Z408" i="5"/>
  <c r="AA408" i="5" s="1"/>
  <c r="AL410" i="5"/>
  <c r="BN410" i="5"/>
  <c r="Z416" i="5"/>
  <c r="AA416" i="5" s="1"/>
  <c r="AJ424" i="5"/>
  <c r="Z425" i="5"/>
  <c r="AA425" i="5" s="1"/>
  <c r="AL429" i="5"/>
  <c r="AQ432" i="5"/>
  <c r="AB432" i="5"/>
  <c r="BN437" i="5"/>
  <c r="AH443" i="5"/>
  <c r="AI443" i="5" s="1"/>
  <c r="AB443" i="5"/>
  <c r="AJ500" i="5"/>
  <c r="AD500" i="5"/>
  <c r="AQ410" i="5"/>
  <c r="AB410" i="5"/>
  <c r="AH415" i="5"/>
  <c r="AI415" i="5" s="1"/>
  <c r="BN415" i="5"/>
  <c r="BL417" i="5"/>
  <c r="AH418" i="5"/>
  <c r="AI418" i="5" s="1"/>
  <c r="AQ418" i="5"/>
  <c r="Z418" i="5"/>
  <c r="AA418" i="5" s="1"/>
  <c r="AO422" i="5"/>
  <c r="AW422" i="5"/>
  <c r="AW425" i="5"/>
  <c r="AO425" i="5"/>
  <c r="AR425" i="5" s="1"/>
  <c r="AS425" i="5" s="1"/>
  <c r="Z428" i="5"/>
  <c r="AA428" i="5" s="1"/>
  <c r="AL433" i="5"/>
  <c r="U433" i="5"/>
  <c r="AQ435" i="5"/>
  <c r="AJ440" i="5"/>
  <c r="AD440" i="5"/>
  <c r="AH444" i="5"/>
  <c r="AI444" i="5" s="1"/>
  <c r="Z444" i="5"/>
  <c r="AA444" i="5" s="1"/>
  <c r="AB444" i="5"/>
  <c r="BA464" i="5"/>
  <c r="AJ474" i="5"/>
  <c r="AD474" i="5"/>
  <c r="BN400" i="5"/>
  <c r="AQ408" i="5"/>
  <c r="AL409" i="5"/>
  <c r="AQ416" i="5"/>
  <c r="AB418" i="5"/>
  <c r="BL418" i="5"/>
  <c r="AL419" i="5"/>
  <c r="AD422" i="5"/>
  <c r="U428" i="5"/>
  <c r="AD430" i="5"/>
  <c r="AJ430" i="5"/>
  <c r="BP432" i="5"/>
  <c r="BN432" i="5"/>
  <c r="AQ433" i="5"/>
  <c r="Z433" i="5"/>
  <c r="AA433" i="5" s="1"/>
  <c r="AB433" i="5"/>
  <c r="AB447" i="5"/>
  <c r="AH467" i="5"/>
  <c r="AI467" i="5" s="1"/>
  <c r="AH494" i="5"/>
  <c r="AI494" i="5" s="1"/>
  <c r="Z494" i="5"/>
  <c r="AA494" i="5" s="1"/>
  <c r="U420" i="5"/>
  <c r="AZ430" i="5"/>
  <c r="AQ434" i="5"/>
  <c r="W434" i="5"/>
  <c r="Z434" i="5" s="1"/>
  <c r="AA434" i="5" s="1"/>
  <c r="AZ435" i="5"/>
  <c r="AD437" i="5"/>
  <c r="AJ437" i="5"/>
  <c r="AW440" i="5"/>
  <c r="AX440" i="5" s="1"/>
  <c r="AL442" i="5"/>
  <c r="BP443" i="5"/>
  <c r="BN443" i="5"/>
  <c r="AW445" i="5"/>
  <c r="AX445" i="5" s="1"/>
  <c r="AO445" i="5"/>
  <c r="U448" i="5"/>
  <c r="AB450" i="5"/>
  <c r="AQ453" i="5"/>
  <c r="AW454" i="5"/>
  <c r="AX454" i="5" s="1"/>
  <c r="AO454" i="5"/>
  <c r="AB456" i="5"/>
  <c r="Z456" i="5"/>
  <c r="AW462" i="5"/>
  <c r="AX462" i="5" s="1"/>
  <c r="AO462" i="5"/>
  <c r="AR462" i="5" s="1"/>
  <c r="AS462" i="5" s="1"/>
  <c r="AQ414" i="5"/>
  <c r="AB414" i="5"/>
  <c r="AZ417" i="5"/>
  <c r="BB417" i="5" s="1"/>
  <c r="AZ418" i="5"/>
  <c r="U424" i="5"/>
  <c r="BL428" i="5"/>
  <c r="AQ438" i="5"/>
  <c r="AB438" i="5"/>
  <c r="Z438" i="5"/>
  <c r="AA438" i="5" s="1"/>
  <c r="AA439" i="5"/>
  <c r="BL444" i="5"/>
  <c r="AD454" i="5"/>
  <c r="AJ454" i="5"/>
  <c r="Z459" i="5"/>
  <c r="AA459" i="5" s="1"/>
  <c r="AQ459" i="5"/>
  <c r="AB459" i="5"/>
  <c r="AH463" i="5"/>
  <c r="AI463" i="5" s="1"/>
  <c r="AB463" i="5"/>
  <c r="AA463" i="5"/>
  <c r="AW493" i="5"/>
  <c r="AO493" i="5"/>
  <c r="AL423" i="5"/>
  <c r="W423" i="5"/>
  <c r="Z423" i="5" s="1"/>
  <c r="AA423" i="5" s="1"/>
  <c r="AL436" i="5"/>
  <c r="BL438" i="5"/>
  <c r="BA451" i="5"/>
  <c r="BP451" i="5"/>
  <c r="BN451" i="5"/>
  <c r="AH457" i="5"/>
  <c r="AI457" i="5" s="1"/>
  <c r="BA471" i="5"/>
  <c r="BA472" i="5"/>
  <c r="Z415" i="5"/>
  <c r="AQ415" i="5"/>
  <c r="U419" i="5"/>
  <c r="AQ436" i="5"/>
  <c r="Z436" i="5"/>
  <c r="AA436" i="5" s="1"/>
  <c r="AL440" i="5"/>
  <c r="AH442" i="5"/>
  <c r="AI442" i="5" s="1"/>
  <c r="AQ443" i="5"/>
  <c r="AD446" i="5"/>
  <c r="AJ451" i="5"/>
  <c r="AD451" i="5"/>
  <c r="AJ455" i="5"/>
  <c r="AA480" i="5"/>
  <c r="AH504" i="5"/>
  <c r="AI504" i="5" s="1"/>
  <c r="Z504" i="5"/>
  <c r="AA504" i="5" s="1"/>
  <c r="AQ504" i="5"/>
  <c r="AB504" i="5"/>
  <c r="AL418" i="5"/>
  <c r="BN420" i="5"/>
  <c r="U425" i="5"/>
  <c r="BP439" i="5"/>
  <c r="BN439" i="5"/>
  <c r="U443" i="5"/>
  <c r="BP448" i="5"/>
  <c r="U453" i="5"/>
  <c r="AL453" i="5"/>
  <c r="BP469" i="5"/>
  <c r="BN469" i="5"/>
  <c r="Z470" i="5"/>
  <c r="AA470" i="5" s="1"/>
  <c r="AQ470" i="5"/>
  <c r="AB470" i="5"/>
  <c r="U472" i="5"/>
  <c r="Z414" i="5"/>
  <c r="AA414" i="5" s="1"/>
  <c r="AL421" i="5"/>
  <c r="AQ426" i="5"/>
  <c r="AB426" i="5"/>
  <c r="AR440" i="5"/>
  <c r="AS440" i="5" s="1"/>
  <c r="AL446" i="5"/>
  <c r="W446" i="5"/>
  <c r="Z446" i="5" s="1"/>
  <c r="AA446" i="5" s="1"/>
  <c r="BA466" i="5"/>
  <c r="AH484" i="5"/>
  <c r="AI484" i="5" s="1"/>
  <c r="AQ484" i="5"/>
  <c r="AB484" i="5"/>
  <c r="BN425" i="5"/>
  <c r="AL431" i="5"/>
  <c r="AA443" i="5"/>
  <c r="BL454" i="5"/>
  <c r="AQ468" i="5"/>
  <c r="AB468" i="5"/>
  <c r="Z468" i="5"/>
  <c r="AA468" i="5" s="1"/>
  <c r="BP468" i="5"/>
  <c r="BN468" i="5"/>
  <c r="U441" i="5"/>
  <c r="W445" i="5"/>
  <c r="Z445" i="5" s="1"/>
  <c r="AA445" i="5" s="1"/>
  <c r="BP450" i="5"/>
  <c r="BN450" i="5"/>
  <c r="U455" i="5"/>
  <c r="Z458" i="5"/>
  <c r="AA458" i="5" s="1"/>
  <c r="AL471" i="5"/>
  <c r="BP472" i="5"/>
  <c r="BN472" i="5"/>
  <c r="AW480" i="5"/>
  <c r="AO480" i="5"/>
  <c r="AR480" i="5" s="1"/>
  <c r="AS480" i="5" s="1"/>
  <c r="AA449" i="5"/>
  <c r="AW451" i="5"/>
  <c r="AX451" i="5" s="1"/>
  <c r="AO451" i="5"/>
  <c r="AQ458" i="5"/>
  <c r="BP470" i="5"/>
  <c r="BN470" i="5"/>
  <c r="Z471" i="5"/>
  <c r="AA471" i="5" s="1"/>
  <c r="AB471" i="5"/>
  <c r="AD472" i="5"/>
  <c r="AJ482" i="5"/>
  <c r="AH483" i="5"/>
  <c r="AI483" i="5" s="1"/>
  <c r="AQ483" i="5"/>
  <c r="AB483" i="5"/>
  <c r="AD485" i="5"/>
  <c r="AJ485" i="5"/>
  <c r="AD489" i="5"/>
  <c r="AA456" i="5"/>
  <c r="AL465" i="5"/>
  <c r="AJ472" i="5"/>
  <c r="AJ480" i="5"/>
  <c r="AD480" i="5"/>
  <c r="W488" i="5"/>
  <c r="Z488" i="5" s="1"/>
  <c r="AA488" i="5" s="1"/>
  <c r="AL488" i="5"/>
  <c r="AJ490" i="5"/>
  <c r="AD490" i="5"/>
  <c r="AJ491" i="5"/>
  <c r="AD491" i="5"/>
  <c r="W495" i="5"/>
  <c r="Z495" i="5" s="1"/>
  <c r="AA495" i="5" s="1"/>
  <c r="AL495" i="5"/>
  <c r="Z462" i="5"/>
  <c r="AA462" i="5" s="1"/>
  <c r="Z466" i="5"/>
  <c r="AA466" i="5" s="1"/>
  <c r="U496" i="5"/>
  <c r="Z440" i="5"/>
  <c r="AA440" i="5" s="1"/>
  <c r="AZ441" i="5"/>
  <c r="U442" i="5"/>
  <c r="AQ448" i="5"/>
  <c r="AB448" i="5"/>
  <c r="AZ455" i="5"/>
  <c r="Z461" i="5"/>
  <c r="AQ461" i="5"/>
  <c r="AH466" i="5"/>
  <c r="AI466" i="5" s="1"/>
  <c r="AQ469" i="5"/>
  <c r="AB469" i="5"/>
  <c r="Z469" i="5"/>
  <c r="AA469" i="5" s="1"/>
  <c r="AJ470" i="5"/>
  <c r="AD470" i="5"/>
  <c r="AJ473" i="5"/>
  <c r="AD473" i="5"/>
  <c r="BP475" i="5"/>
  <c r="BN475" i="5"/>
  <c r="AJ479" i="5"/>
  <c r="W482" i="5"/>
  <c r="Z482" i="5" s="1"/>
  <c r="AA482" i="5" s="1"/>
  <c r="AL482" i="5"/>
  <c r="AS490" i="5"/>
  <c r="AQ494" i="5"/>
  <c r="AA437" i="5"/>
  <c r="AB446" i="5"/>
  <c r="U460" i="5"/>
  <c r="AL462" i="5"/>
  <c r="AH462" i="5"/>
  <c r="AI462" i="5" s="1"/>
  <c r="BP464" i="5"/>
  <c r="BL467" i="5"/>
  <c r="BN476" i="5"/>
  <c r="BP476" i="5"/>
  <c r="AL489" i="5"/>
  <c r="U489" i="5"/>
  <c r="AD499" i="5"/>
  <c r="AJ499" i="5"/>
  <c r="AB427" i="5"/>
  <c r="AQ449" i="5"/>
  <c r="AB449" i="5"/>
  <c r="BA454" i="5"/>
  <c r="BL457" i="5"/>
  <c r="AA461" i="5"/>
  <c r="AJ471" i="5"/>
  <c r="AD471" i="5"/>
  <c r="BA473" i="5"/>
  <c r="BL488" i="5"/>
  <c r="AD497" i="5"/>
  <c r="BA501" i="5"/>
  <c r="AL469" i="5"/>
  <c r="U470" i="5"/>
  <c r="AQ474" i="5"/>
  <c r="AH475" i="5"/>
  <c r="AI475" i="5" s="1"/>
  <c r="U481" i="5"/>
  <c r="AL481" i="5"/>
  <c r="BL486" i="5"/>
  <c r="BP492" i="5"/>
  <c r="BN492" i="5"/>
  <c r="AH495" i="5"/>
  <c r="AI495" i="5" s="1"/>
  <c r="AB495" i="5"/>
  <c r="AQ495" i="5"/>
  <c r="AA496" i="5"/>
  <c r="AD501" i="5"/>
  <c r="Z486" i="5"/>
  <c r="AA486" i="5" s="1"/>
  <c r="AQ487" i="5"/>
  <c r="AB487" i="5"/>
  <c r="Z487" i="5"/>
  <c r="AZ490" i="5"/>
  <c r="AL491" i="5"/>
  <c r="AH496" i="5"/>
  <c r="AI496" i="5" s="1"/>
  <c r="AB496" i="5"/>
  <c r="AQ496" i="5"/>
  <c r="AQ497" i="5"/>
  <c r="AB497" i="5"/>
  <c r="Z497" i="5"/>
  <c r="AA497" i="5" s="1"/>
  <c r="AJ501" i="5"/>
  <c r="AJ502" i="5"/>
  <c r="AD502" i="5"/>
  <c r="AJ488" i="5"/>
  <c r="AD488" i="5"/>
  <c r="AB491" i="5"/>
  <c r="Z491" i="5"/>
  <c r="AA491" i="5" s="1"/>
  <c r="AQ491" i="5"/>
  <c r="AJ492" i="5"/>
  <c r="U497" i="5"/>
  <c r="BP503" i="5"/>
  <c r="BN503" i="5"/>
  <c r="AD464" i="5"/>
  <c r="BN465" i="5"/>
  <c r="Z474" i="5"/>
  <c r="AA474" i="5" s="1"/>
  <c r="BP479" i="5"/>
  <c r="BN479" i="5"/>
  <c r="BP481" i="5"/>
  <c r="BN481" i="5"/>
  <c r="W483" i="5"/>
  <c r="Z483" i="5" s="1"/>
  <c r="AA483" i="5" s="1"/>
  <c r="AL483" i="5"/>
  <c r="AH486" i="5"/>
  <c r="AI486" i="5" s="1"/>
  <c r="AX492" i="5"/>
  <c r="BP493" i="5"/>
  <c r="BN493" i="5"/>
  <c r="Z450" i="5"/>
  <c r="AA450" i="5" s="1"/>
  <c r="AQ450" i="5"/>
  <c r="AQ457" i="5"/>
  <c r="AB457" i="5"/>
  <c r="Z457" i="5"/>
  <c r="AA457" i="5" s="1"/>
  <c r="Z464" i="5"/>
  <c r="AA464" i="5" s="1"/>
  <c r="AB473" i="5"/>
  <c r="BL477" i="5"/>
  <c r="AJ481" i="5"/>
  <c r="AD481" i="5"/>
  <c r="Z481" i="5"/>
  <c r="AA481" i="5" s="1"/>
  <c r="AA487" i="5"/>
  <c r="BP491" i="5"/>
  <c r="BN491" i="5"/>
  <c r="AL492" i="5"/>
  <c r="AL501" i="5"/>
  <c r="U501" i="5"/>
  <c r="AW503" i="5"/>
  <c r="AX503" i="5" s="1"/>
  <c r="AO503" i="5"/>
  <c r="BN461" i="5"/>
  <c r="AH465" i="5"/>
  <c r="AI465" i="5" s="1"/>
  <c r="AB465" i="5"/>
  <c r="AB474" i="5"/>
  <c r="AQ475" i="5"/>
  <c r="AB475" i="5"/>
  <c r="Z475" i="5"/>
  <c r="AA475" i="5" s="1"/>
  <c r="BA479" i="5"/>
  <c r="AQ480" i="5"/>
  <c r="BP487" i="5"/>
  <c r="BN487" i="5"/>
  <c r="AQ488" i="5"/>
  <c r="AB488" i="5"/>
  <c r="AL490" i="5"/>
  <c r="Z492" i="5"/>
  <c r="AA492" i="5" s="1"/>
  <c r="AQ498" i="5"/>
  <c r="AB498" i="5"/>
  <c r="Z498" i="5"/>
  <c r="AA498" i="5" s="1"/>
  <c r="Z501" i="5"/>
  <c r="AA501" i="5" s="1"/>
  <c r="AB501" i="5"/>
  <c r="BA502" i="5"/>
  <c r="BL459" i="5"/>
  <c r="AB464" i="5"/>
  <c r="Z465" i="5"/>
  <c r="AA465" i="5" s="1"/>
  <c r="AQ467" i="5"/>
  <c r="AB467" i="5"/>
  <c r="Z467" i="5"/>
  <c r="AA467" i="5" s="1"/>
  <c r="U475" i="5"/>
  <c r="AZ479" i="5"/>
  <c r="AW479" i="5"/>
  <c r="AX479" i="5" s="1"/>
  <c r="AO479" i="5"/>
  <c r="AB481" i="5"/>
  <c r="BA492" i="5"/>
  <c r="BN500" i="5"/>
  <c r="AJ503" i="5"/>
  <c r="AD503" i="5"/>
  <c r="Z489" i="5"/>
  <c r="AA489" i="5" s="1"/>
  <c r="Z490" i="5"/>
  <c r="AA490" i="5" s="1"/>
  <c r="U493" i="5"/>
  <c r="BL496" i="5"/>
  <c r="AL500" i="5"/>
  <c r="AL504" i="5"/>
  <c r="AQ482" i="5"/>
  <c r="Z484" i="5"/>
  <c r="AA484" i="5" s="1"/>
  <c r="AQ485" i="5"/>
  <c r="AB485" i="5"/>
  <c r="AQ489" i="5"/>
  <c r="U490" i="5"/>
  <c r="BA490" i="5"/>
  <c r="AX490" i="5"/>
  <c r="U492" i="5"/>
  <c r="AX493" i="5"/>
  <c r="AQ500" i="5"/>
  <c r="AB500" i="5"/>
  <c r="Z500" i="5"/>
  <c r="AA500" i="5" s="1"/>
  <c r="AZ502" i="5"/>
  <c r="AJ505" i="5"/>
  <c r="AD505" i="5"/>
  <c r="Z505" i="5"/>
  <c r="AA505" i="5" s="1"/>
  <c r="BA505" i="5"/>
  <c r="BN462" i="5"/>
  <c r="AQ476" i="5"/>
  <c r="AB476" i="5"/>
  <c r="Z476" i="5"/>
  <c r="AA476" i="5" s="1"/>
  <c r="AL477" i="5"/>
  <c r="AL478" i="5"/>
  <c r="AL480" i="5"/>
  <c r="BP480" i="5"/>
  <c r="BN480" i="5"/>
  <c r="BP482" i="5"/>
  <c r="BP483" i="5"/>
  <c r="BN485" i="5"/>
  <c r="AQ486" i="5"/>
  <c r="AB486" i="5"/>
  <c r="U487" i="5"/>
  <c r="AH498" i="5"/>
  <c r="AI498" i="5" s="1"/>
  <c r="AB505" i="5"/>
  <c r="Z477" i="5"/>
  <c r="AA477" i="5" s="1"/>
  <c r="Z478" i="5"/>
  <c r="AA478" i="5" s="1"/>
  <c r="BL484" i="5"/>
  <c r="AJ493" i="5"/>
  <c r="AD493" i="5"/>
  <c r="Z493" i="5"/>
  <c r="AA493" i="5" s="1"/>
  <c r="AQ499" i="5"/>
  <c r="AB499" i="5"/>
  <c r="Z499" i="5"/>
  <c r="AA499" i="5" s="1"/>
  <c r="AL503" i="5"/>
  <c r="AQ477" i="5"/>
  <c r="U478" i="5"/>
  <c r="BA478" i="5"/>
  <c r="AX478" i="5"/>
  <c r="U480" i="5"/>
  <c r="AB489" i="5"/>
  <c r="AZ491" i="5"/>
  <c r="U499" i="5"/>
  <c r="AB482" i="5"/>
  <c r="AB494" i="5"/>
  <c r="BN504" i="5"/>
  <c r="BN505" i="5"/>
  <c r="U504" i="5"/>
  <c r="AK215" i="5" a="1"/>
  <c r="AK69" i="5" a="1"/>
  <c r="AK59" i="5" a="1"/>
  <c r="AT370" i="5"/>
  <c r="AK213" i="5" a="1"/>
  <c r="AK61" i="5" a="1"/>
  <c r="AK28" i="5" a="1"/>
  <c r="AK11" i="5" a="1"/>
  <c r="AK39" i="5" a="1"/>
  <c r="AK101" i="5" a="1"/>
  <c r="AK164" i="5" a="1"/>
  <c r="AK53" i="5" a="1"/>
  <c r="AK179" i="5" a="1"/>
  <c r="AK36" i="5" a="1"/>
  <c r="AK138" i="5" a="1"/>
  <c r="AK158" i="5" a="1"/>
  <c r="AK178" i="5" a="1"/>
  <c r="AK148" i="5" a="1"/>
  <c r="AK146" i="5" a="1"/>
  <c r="AK216" i="5" a="1"/>
  <c r="AK48" i="5" a="1"/>
  <c r="AK199" i="5" a="1"/>
  <c r="AT298" i="5"/>
  <c r="AK54" i="5" a="1"/>
  <c r="AK87" i="5" a="1"/>
  <c r="AK100" i="5" a="1"/>
  <c r="AK144" i="5" a="1"/>
  <c r="AK152" i="5" a="1"/>
  <c r="AK167" i="5" a="1"/>
  <c r="AT325" i="5"/>
  <c r="AT490" i="5"/>
  <c r="AK130" i="5" a="1"/>
  <c r="AT351" i="5"/>
  <c r="AT439" i="5"/>
  <c r="AT413" i="5"/>
  <c r="AK45" i="5" a="1"/>
  <c r="AK133" i="5" a="1"/>
  <c r="AT458" i="5"/>
  <c r="AK135" i="5" a="1"/>
  <c r="AK134" i="5" a="1"/>
  <c r="AK186" i="5" a="1"/>
  <c r="AK123" i="5" a="1"/>
  <c r="AK108" i="5" a="1"/>
  <c r="AK203" i="5" a="1"/>
  <c r="AK113" i="5" a="1"/>
  <c r="AT293" i="5"/>
  <c r="AT363" i="5"/>
  <c r="AK161" i="5" a="1"/>
  <c r="AK191" i="5" a="1"/>
  <c r="AT408" i="5"/>
  <c r="AT417" i="5"/>
  <c r="AT462" i="5"/>
  <c r="AT480" i="5"/>
  <c r="AK149" i="5" a="1"/>
  <c r="AK210" i="5" a="1"/>
  <c r="AT286" i="5"/>
  <c r="AT292" i="5"/>
  <c r="AT425" i="5"/>
  <c r="AT377" i="5"/>
  <c r="AK217" i="5" a="1"/>
  <c r="AK34" i="5" a="1"/>
  <c r="AK197" i="5" a="1"/>
  <c r="AK225" i="5" a="1"/>
  <c r="AT374" i="5"/>
  <c r="AK156" i="5" a="1"/>
  <c r="AK136" i="5" a="1"/>
  <c r="AT375" i="5"/>
  <c r="AK211" i="5" a="1"/>
  <c r="AT331" i="5"/>
  <c r="AT440" i="5"/>
  <c r="AT371" i="5"/>
  <c r="AK102" i="5" a="1"/>
  <c r="AB48" i="5" l="1"/>
  <c r="AO48" i="5" s="1"/>
  <c r="AR48" i="5" s="1"/>
  <c r="AS48" i="5" s="1"/>
  <c r="AZ4" i="5"/>
  <c r="AZ149" i="5"/>
  <c r="AB113" i="5"/>
  <c r="AO113" i="5" s="1"/>
  <c r="AD47" i="5"/>
  <c r="BP77" i="5"/>
  <c r="BN148" i="5"/>
  <c r="AB135" i="5"/>
  <c r="AW135" i="5" s="1"/>
  <c r="AZ119" i="5"/>
  <c r="AB6" i="5"/>
  <c r="AW6" i="5" s="1"/>
  <c r="AB98" i="5"/>
  <c r="AO98" i="5" s="1"/>
  <c r="Z82" i="5"/>
  <c r="AA82" i="5" s="1"/>
  <c r="AL39" i="5"/>
  <c r="AB101" i="5"/>
  <c r="AO101" i="5" s="1"/>
  <c r="AZ66" i="5"/>
  <c r="AQ162" i="5"/>
  <c r="BA162" i="5" s="1"/>
  <c r="AB123" i="5"/>
  <c r="AO123" i="5" s="1"/>
  <c r="AZ47" i="5"/>
  <c r="AZ46" i="5"/>
  <c r="AZ31" i="5"/>
  <c r="AD116" i="5"/>
  <c r="AZ55" i="5"/>
  <c r="AZ170" i="5"/>
  <c r="Z122" i="5"/>
  <c r="AA122" i="5" s="1"/>
  <c r="AB138" i="5"/>
  <c r="AO138" i="5" s="1"/>
  <c r="AB82" i="5"/>
  <c r="AW82" i="5" s="1"/>
  <c r="AB69" i="5"/>
  <c r="AO69" i="5" s="1"/>
  <c r="AZ102" i="5"/>
  <c r="AB172" i="5"/>
  <c r="AW172" i="5" s="1"/>
  <c r="AZ93" i="5"/>
  <c r="AB99" i="5"/>
  <c r="AO99" i="5" s="1"/>
  <c r="AB189" i="5"/>
  <c r="AO189" i="5" s="1"/>
  <c r="BP113" i="5"/>
  <c r="BN118" i="5"/>
  <c r="AZ57" i="5"/>
  <c r="AJ115" i="5"/>
  <c r="BP175" i="5"/>
  <c r="BN192" i="5"/>
  <c r="AQ98" i="5"/>
  <c r="BA98" i="5" s="1"/>
  <c r="AQ28" i="5"/>
  <c r="BA28" i="5" s="1"/>
  <c r="AQ8" i="5"/>
  <c r="BA8" i="5" s="1"/>
  <c r="AZ36" i="5"/>
  <c r="AB16" i="5"/>
  <c r="AW16" i="5" s="1"/>
  <c r="AZ155" i="5"/>
  <c r="AZ159" i="5"/>
  <c r="AJ42" i="5"/>
  <c r="AZ15" i="5"/>
  <c r="AD220" i="5"/>
  <c r="AZ210" i="5"/>
  <c r="AB174" i="5"/>
  <c r="AW174" i="5" s="1"/>
  <c r="Z172" i="5"/>
  <c r="AA172" i="5" s="1"/>
  <c r="BN186" i="5"/>
  <c r="BN171" i="5"/>
  <c r="AL63" i="5"/>
  <c r="AQ2" i="5"/>
  <c r="BA2" i="5" s="1"/>
  <c r="AB157" i="5"/>
  <c r="AO157" i="5" s="1"/>
  <c r="AZ205" i="5"/>
  <c r="BN71" i="5"/>
  <c r="AZ190" i="5"/>
  <c r="AB183" i="5"/>
  <c r="AO183" i="5" s="1"/>
  <c r="AR183" i="5" s="1"/>
  <c r="AS183" i="5" s="1"/>
  <c r="BN5" i="5"/>
  <c r="AZ53" i="5"/>
  <c r="AZ27" i="5"/>
  <c r="AL45" i="5"/>
  <c r="AQ76" i="5"/>
  <c r="BA76" i="5" s="1"/>
  <c r="AZ127" i="5"/>
  <c r="AB218" i="5"/>
  <c r="AW218" i="5" s="1"/>
  <c r="Z160" i="5"/>
  <c r="AA160" i="5" s="1"/>
  <c r="AQ148" i="5"/>
  <c r="BA148" i="5" s="1"/>
  <c r="AQ80" i="5"/>
  <c r="BA80" i="5" s="1"/>
  <c r="AL195" i="5"/>
  <c r="AZ95" i="5"/>
  <c r="AL118" i="5"/>
  <c r="AB114" i="5"/>
  <c r="AW114" i="5" s="1"/>
  <c r="AL33" i="5"/>
  <c r="AB35" i="5"/>
  <c r="AW35" i="5" s="1"/>
  <c r="AZ109" i="5"/>
  <c r="AZ34" i="5"/>
  <c r="AQ114" i="5"/>
  <c r="BA114" i="5" s="1"/>
  <c r="AB11" i="5"/>
  <c r="AW11" i="5" s="1"/>
  <c r="AJ217" i="5"/>
  <c r="BN26" i="5"/>
  <c r="AZ116" i="5"/>
  <c r="AB203" i="5"/>
  <c r="AW203" i="5" s="1"/>
  <c r="AJ5" i="5"/>
  <c r="BP9" i="5"/>
  <c r="AB202" i="5"/>
  <c r="AO202" i="5" s="1"/>
  <c r="AR202" i="5" s="1"/>
  <c r="AS202" i="5" s="1"/>
  <c r="AZ191" i="5"/>
  <c r="AZ222" i="5"/>
  <c r="AB160" i="5"/>
  <c r="AO160" i="5" s="1"/>
  <c r="AR160" i="5" s="1"/>
  <c r="AS160" i="5" s="1"/>
  <c r="AJ86" i="5"/>
  <c r="BN212" i="5"/>
  <c r="AB148" i="5"/>
  <c r="AO148" i="5" s="1"/>
  <c r="AQ82" i="5"/>
  <c r="BA82" i="5" s="1"/>
  <c r="AZ28" i="5"/>
  <c r="AQ43" i="5"/>
  <c r="BA43" i="5" s="1"/>
  <c r="AD136" i="5"/>
  <c r="AZ163" i="5"/>
  <c r="AZ118" i="5"/>
  <c r="AZ176" i="5"/>
  <c r="AD174" i="5"/>
  <c r="AL12" i="5"/>
  <c r="AJ215" i="5"/>
  <c r="AB95" i="5"/>
  <c r="AW95" i="5" s="1"/>
  <c r="AQ54" i="5"/>
  <c r="BA54" i="5" s="1"/>
  <c r="AZ111" i="5"/>
  <c r="AD10" i="5"/>
  <c r="AZ213" i="5"/>
  <c r="AL117" i="5"/>
  <c r="AL71" i="5"/>
  <c r="AQ163" i="5"/>
  <c r="BA163" i="5" s="1"/>
  <c r="AQ158" i="5"/>
  <c r="BA158" i="5" s="1"/>
  <c r="AL110" i="5"/>
  <c r="AQ31" i="5"/>
  <c r="BA31" i="5" s="1"/>
  <c r="AJ211" i="5"/>
  <c r="AZ173" i="5"/>
  <c r="AQ144" i="5"/>
  <c r="BA144" i="5" s="1"/>
  <c r="AZ33" i="5"/>
  <c r="Z5" i="5"/>
  <c r="AA5" i="5" s="1"/>
  <c r="AD86" i="5"/>
  <c r="Z195" i="5"/>
  <c r="AA195" i="5" s="1"/>
  <c r="AB165" i="5"/>
  <c r="AO165" i="5" s="1"/>
  <c r="AR165" i="5" s="1"/>
  <c r="AZ3" i="5"/>
  <c r="AZ75" i="5"/>
  <c r="AJ100" i="5"/>
  <c r="AB149" i="5"/>
  <c r="AO149" i="5" s="1"/>
  <c r="BN87" i="5"/>
  <c r="AL97" i="5"/>
  <c r="AB90" i="5"/>
  <c r="AW90" i="5" s="1"/>
  <c r="AZ136" i="5"/>
  <c r="Z21" i="5"/>
  <c r="AA21" i="5" s="1"/>
  <c r="AB58" i="5"/>
  <c r="AW58" i="5" s="1"/>
  <c r="BN141" i="5"/>
  <c r="BP41" i="5"/>
  <c r="AZ161" i="5"/>
  <c r="Z147" i="5"/>
  <c r="AA147" i="5" s="1"/>
  <c r="AJ179" i="5"/>
  <c r="AB147" i="5"/>
  <c r="AO147" i="5" s="1"/>
  <c r="AB210" i="5"/>
  <c r="AO210" i="5" s="1"/>
  <c r="AR210" i="5" s="1"/>
  <c r="AS210" i="5" s="1"/>
  <c r="BN151" i="5"/>
  <c r="AD216" i="5"/>
  <c r="AL89" i="5"/>
  <c r="AZ214" i="5"/>
  <c r="AZ84" i="5"/>
  <c r="AD100" i="5"/>
  <c r="AZ145" i="5"/>
  <c r="AZ206" i="5"/>
  <c r="AZ198" i="5"/>
  <c r="BN10" i="5"/>
  <c r="AZ137" i="5"/>
  <c r="AZ81" i="5"/>
  <c r="AQ90" i="5"/>
  <c r="BA90" i="5" s="1"/>
  <c r="AH88" i="5"/>
  <c r="AI88" i="5" s="1"/>
  <c r="Z39" i="5"/>
  <c r="AA39" i="5" s="1"/>
  <c r="AZ139" i="5"/>
  <c r="AL179" i="5"/>
  <c r="BN47" i="5"/>
  <c r="Z204" i="5"/>
  <c r="AA204" i="5" s="1"/>
  <c r="AQ225" i="5"/>
  <c r="BA225" i="5" s="1"/>
  <c r="AZ217" i="5"/>
  <c r="AB159" i="5"/>
  <c r="AO159" i="5" s="1"/>
  <c r="AB201" i="5"/>
  <c r="AO201" i="5" s="1"/>
  <c r="AB215" i="5"/>
  <c r="AO215" i="5" s="1"/>
  <c r="AZ177" i="5"/>
  <c r="AQ145" i="5"/>
  <c r="BA145" i="5" s="1"/>
  <c r="AZ56" i="5"/>
  <c r="AZ99" i="5"/>
  <c r="AL85" i="5"/>
  <c r="AZ51" i="5"/>
  <c r="AL38" i="5"/>
  <c r="AZ168" i="5"/>
  <c r="AZ117" i="5"/>
  <c r="AB27" i="5"/>
  <c r="AW27" i="5" s="1"/>
  <c r="AZ13" i="5"/>
  <c r="AB51" i="5"/>
  <c r="AO51" i="5" s="1"/>
  <c r="AL25" i="5"/>
  <c r="Z120" i="5"/>
  <c r="AA120" i="5" s="1"/>
  <c r="AQ86" i="5"/>
  <c r="BA86" i="5" s="1"/>
  <c r="AZ223" i="5"/>
  <c r="AZ166" i="5"/>
  <c r="AQ58" i="5"/>
  <c r="BA58" i="5" s="1"/>
  <c r="AL92" i="5"/>
  <c r="AQ119" i="5"/>
  <c r="BA119" i="5" s="1"/>
  <c r="AZ6" i="5"/>
  <c r="AZ87" i="5"/>
  <c r="AZ121" i="5"/>
  <c r="AL116" i="5"/>
  <c r="AZ219" i="5"/>
  <c r="AQ113" i="5"/>
  <c r="BA113" i="5" s="1"/>
  <c r="AQ69" i="5"/>
  <c r="BA69" i="5" s="1"/>
  <c r="AZ86" i="5"/>
  <c r="AL57" i="5"/>
  <c r="AQ120" i="5"/>
  <c r="BA120" i="5" s="1"/>
  <c r="AZ20" i="5"/>
  <c r="AB145" i="5"/>
  <c r="AO145" i="5" s="1"/>
  <c r="AQ48" i="5"/>
  <c r="BA48" i="5" s="1"/>
  <c r="AJ153" i="5"/>
  <c r="Z189" i="5"/>
  <c r="AA189" i="5" s="1"/>
  <c r="BN190" i="5"/>
  <c r="BP221" i="5"/>
  <c r="AZ215" i="5"/>
  <c r="AB184" i="5"/>
  <c r="AO184" i="5" s="1"/>
  <c r="AZ164" i="5"/>
  <c r="BP203" i="5"/>
  <c r="AH189" i="5"/>
  <c r="AI189" i="5" s="1"/>
  <c r="AB39" i="5"/>
  <c r="AO39" i="5" s="1"/>
  <c r="AZ175" i="5"/>
  <c r="AQ189" i="5"/>
  <c r="BA189" i="5" s="1"/>
  <c r="AQ138" i="5"/>
  <c r="BA138" i="5" s="1"/>
  <c r="AQ39" i="5"/>
  <c r="BA39" i="5" s="1"/>
  <c r="AB93" i="5"/>
  <c r="AO93" i="5" s="1"/>
  <c r="AB134" i="5"/>
  <c r="AO134" i="5" s="1"/>
  <c r="Z213" i="5"/>
  <c r="AA213" i="5" s="1"/>
  <c r="AB119" i="5"/>
  <c r="AO119" i="5" s="1"/>
  <c r="AJ216" i="5"/>
  <c r="AB213" i="5"/>
  <c r="AO213" i="5" s="1"/>
  <c r="AR213" i="5" s="1"/>
  <c r="AS213" i="5" s="1"/>
  <c r="AZ189" i="5"/>
  <c r="AQ147" i="5"/>
  <c r="BA147" i="5" s="1"/>
  <c r="AZ185" i="5"/>
  <c r="AZ183" i="5"/>
  <c r="AL53" i="5"/>
  <c r="U92" i="5"/>
  <c r="AZ152" i="5"/>
  <c r="AQ174" i="5"/>
  <c r="BA174" i="5" s="1"/>
  <c r="Z185" i="5"/>
  <c r="AA185" i="5" s="1"/>
  <c r="AL84" i="5"/>
  <c r="AZ125" i="5"/>
  <c r="AB155" i="5"/>
  <c r="AO155" i="5" s="1"/>
  <c r="AB86" i="5"/>
  <c r="AO86" i="5" s="1"/>
  <c r="AZ225" i="5"/>
  <c r="AL187" i="5"/>
  <c r="Z198" i="5"/>
  <c r="AA198" i="5" s="1"/>
  <c r="AB124" i="5"/>
  <c r="AO124" i="5" s="1"/>
  <c r="U118" i="5"/>
  <c r="AL158" i="5"/>
  <c r="AD153" i="5"/>
  <c r="AD26" i="5"/>
  <c r="AQ51" i="5"/>
  <c r="BA51" i="5" s="1"/>
  <c r="AZ199" i="5"/>
  <c r="AZ131" i="5"/>
  <c r="AZ156" i="5"/>
  <c r="Z166" i="5"/>
  <c r="AA166" i="5" s="1"/>
  <c r="AL49" i="5"/>
  <c r="AZ120" i="5"/>
  <c r="AZ101" i="5"/>
  <c r="AL88" i="5"/>
  <c r="AZ58" i="5"/>
  <c r="AZ90" i="5"/>
  <c r="AQ78" i="5"/>
  <c r="BA78" i="5" s="1"/>
  <c r="AZ123" i="5"/>
  <c r="Z98" i="5"/>
  <c r="AA98" i="5" s="1"/>
  <c r="AZ72" i="5"/>
  <c r="AL40" i="5"/>
  <c r="AL58" i="5"/>
  <c r="AQ94" i="5"/>
  <c r="BA94" i="5" s="1"/>
  <c r="AZ126" i="5"/>
  <c r="AQ45" i="5"/>
  <c r="BA45" i="5" s="1"/>
  <c r="AZ23" i="5"/>
  <c r="Z152" i="5"/>
  <c r="AA152" i="5" s="1"/>
  <c r="AJ7" i="5"/>
  <c r="AD217" i="5"/>
  <c r="Z161" i="5"/>
  <c r="AA161" i="5" s="1"/>
  <c r="AQ108" i="5"/>
  <c r="BA108" i="5" s="1"/>
  <c r="AJ186" i="5"/>
  <c r="AZ79" i="5"/>
  <c r="AL21" i="5"/>
  <c r="AZ22" i="5"/>
  <c r="AZ104" i="5"/>
  <c r="AQ217" i="5"/>
  <c r="BA217" i="5" s="1"/>
  <c r="AQ186" i="5"/>
  <c r="BA186" i="5" s="1"/>
  <c r="Z177" i="5"/>
  <c r="AA177" i="5" s="1"/>
  <c r="AL177" i="5"/>
  <c r="AB61" i="5"/>
  <c r="AW61" i="5" s="1"/>
  <c r="AJ26" i="5"/>
  <c r="BN59" i="5"/>
  <c r="AB94" i="5"/>
  <c r="AO94" i="5" s="1"/>
  <c r="BN37" i="5"/>
  <c r="AQ202" i="5"/>
  <c r="BA202" i="5" s="1"/>
  <c r="Z221" i="5"/>
  <c r="AA221" i="5" s="1"/>
  <c r="AB198" i="5"/>
  <c r="AO198" i="5" s="1"/>
  <c r="AR198" i="5" s="1"/>
  <c r="AS198" i="5" s="1"/>
  <c r="Z151" i="5"/>
  <c r="AA151" i="5" s="1"/>
  <c r="AD76" i="5"/>
  <c r="Z90" i="5"/>
  <c r="AA90" i="5" s="1"/>
  <c r="AZ25" i="5"/>
  <c r="AJ156" i="5"/>
  <c r="AB186" i="5"/>
  <c r="AO186" i="5" s="1"/>
  <c r="AQ64" i="5"/>
  <c r="BA64" i="5" s="1"/>
  <c r="Z67" i="5"/>
  <c r="AA67" i="5" s="1"/>
  <c r="AZ201" i="5"/>
  <c r="AL170" i="5"/>
  <c r="AB45" i="5"/>
  <c r="AO45" i="5" s="1"/>
  <c r="AZ208" i="5"/>
  <c r="Z174" i="5"/>
  <c r="AA174" i="5" s="1"/>
  <c r="AZ141" i="5"/>
  <c r="AZ124" i="5"/>
  <c r="AQ93" i="5"/>
  <c r="BA93" i="5" s="1"/>
  <c r="AZ98" i="5"/>
  <c r="AH157" i="5"/>
  <c r="AI157" i="5" s="1"/>
  <c r="AD157" i="5" s="1"/>
  <c r="AZ204" i="5"/>
  <c r="AL178" i="5"/>
  <c r="AH95" i="5"/>
  <c r="AI95" i="5" s="1"/>
  <c r="AJ95" i="5" s="1"/>
  <c r="AQ188" i="5"/>
  <c r="BA188" i="5" s="1"/>
  <c r="BN57" i="5"/>
  <c r="AZ32" i="5"/>
  <c r="AD5" i="5"/>
  <c r="AD150" i="5"/>
  <c r="AB163" i="5"/>
  <c r="AO163" i="5" s="1"/>
  <c r="AR163" i="5" s="1"/>
  <c r="AS163" i="5" s="1"/>
  <c r="AB217" i="5"/>
  <c r="AO217" i="5" s="1"/>
  <c r="AL101" i="5"/>
  <c r="BP208" i="5"/>
  <c r="BN208" i="5"/>
  <c r="AQ211" i="5"/>
  <c r="BA211" i="5" s="1"/>
  <c r="AB40" i="5"/>
  <c r="AO40" i="5" s="1"/>
  <c r="AB92" i="5"/>
  <c r="AW92" i="5" s="1"/>
  <c r="AQ49" i="5"/>
  <c r="BA49" i="5" s="1"/>
  <c r="AD156" i="5"/>
  <c r="AJ104" i="5"/>
  <c r="AL142" i="5"/>
  <c r="AL77" i="5"/>
  <c r="AZ110" i="5"/>
  <c r="Z38" i="5"/>
  <c r="AA38" i="5" s="1"/>
  <c r="AJ30" i="5"/>
  <c r="AB205" i="5"/>
  <c r="AW205" i="5" s="1"/>
  <c r="AD104" i="5"/>
  <c r="AB7" i="5"/>
  <c r="AW7" i="5" s="1"/>
  <c r="AB225" i="5"/>
  <c r="AW225" i="5" s="1"/>
  <c r="AB103" i="5"/>
  <c r="AO103" i="5" s="1"/>
  <c r="AR103" i="5" s="1"/>
  <c r="AS103" i="5" s="1"/>
  <c r="AZ122" i="5"/>
  <c r="AJ76" i="5"/>
  <c r="AZ73" i="5"/>
  <c r="AZ77" i="5"/>
  <c r="AL122" i="5"/>
  <c r="Z210" i="5"/>
  <c r="AA210" i="5" s="1"/>
  <c r="AL218" i="5"/>
  <c r="AB193" i="5"/>
  <c r="AO193" i="5" s="1"/>
  <c r="AZ162" i="5"/>
  <c r="Z188" i="5"/>
  <c r="AA188" i="5" s="1"/>
  <c r="AD178" i="5"/>
  <c r="Z104" i="5"/>
  <c r="AA104" i="5" s="1"/>
  <c r="Z75" i="5"/>
  <c r="AA75" i="5" s="1"/>
  <c r="AQ56" i="5"/>
  <c r="BA56" i="5" s="1"/>
  <c r="AL197" i="5"/>
  <c r="AL59" i="5"/>
  <c r="AZ29" i="5"/>
  <c r="AB55" i="5"/>
  <c r="AO55" i="5" s="1"/>
  <c r="AZ18" i="5"/>
  <c r="AZ48" i="5"/>
  <c r="AZ100" i="5"/>
  <c r="Z114" i="5"/>
  <c r="AA114" i="5" s="1"/>
  <c r="AD7" i="5"/>
  <c r="Z7" i="5"/>
  <c r="AA7" i="5" s="1"/>
  <c r="BP83" i="5"/>
  <c r="AL87" i="5"/>
  <c r="AL193" i="5"/>
  <c r="AQ204" i="5"/>
  <c r="BA204" i="5" s="1"/>
  <c r="AQ179" i="5"/>
  <c r="BA179" i="5" s="1"/>
  <c r="Z219" i="5"/>
  <c r="AA219" i="5" s="1"/>
  <c r="AH201" i="5"/>
  <c r="AI201" i="5" s="1"/>
  <c r="Z131" i="5"/>
  <c r="AA131" i="5" s="1"/>
  <c r="Z111" i="5"/>
  <c r="AA111" i="5" s="1"/>
  <c r="AB75" i="5"/>
  <c r="AW75" i="5" s="1"/>
  <c r="AZ17" i="5"/>
  <c r="AQ125" i="5"/>
  <c r="BA125" i="5" s="1"/>
  <c r="AB118" i="5"/>
  <c r="AW118" i="5" s="1"/>
  <c r="AB49" i="5"/>
  <c r="AW49" i="5" s="1"/>
  <c r="AQ210" i="5"/>
  <c r="BA210" i="5" s="1"/>
  <c r="AL221" i="5"/>
  <c r="AL215" i="5"/>
  <c r="AB209" i="5"/>
  <c r="AW209" i="5" s="1"/>
  <c r="AZ134" i="5"/>
  <c r="AL176" i="5"/>
  <c r="AB164" i="5"/>
  <c r="AO164" i="5" s="1"/>
  <c r="AR164" i="5" s="1"/>
  <c r="AS164" i="5" s="1"/>
  <c r="AZ174" i="5"/>
  <c r="AQ160" i="5"/>
  <c r="BA160" i="5" s="1"/>
  <c r="AZ146" i="5"/>
  <c r="AZ107" i="5"/>
  <c r="AL93" i="5"/>
  <c r="AZ50" i="5"/>
  <c r="AZ103" i="5"/>
  <c r="Z88" i="5"/>
  <c r="AA88" i="5" s="1"/>
  <c r="AQ59" i="5"/>
  <c r="BA59" i="5" s="1"/>
  <c r="AL127" i="5"/>
  <c r="AZ114" i="5"/>
  <c r="AL102" i="5"/>
  <c r="AQ92" i="5"/>
  <c r="BA92" i="5" s="1"/>
  <c r="AQ111" i="5"/>
  <c r="BA111" i="5" s="1"/>
  <c r="AZ63" i="5"/>
  <c r="AL51" i="5"/>
  <c r="AZ129" i="5"/>
  <c r="Z69" i="5"/>
  <c r="AA69" i="5" s="1"/>
  <c r="AQ27" i="5"/>
  <c r="BA27" i="5" s="1"/>
  <c r="AQ12" i="5"/>
  <c r="BA12" i="5" s="1"/>
  <c r="AQ101" i="5"/>
  <c r="BA101" i="5" s="1"/>
  <c r="AZ9" i="5"/>
  <c r="AQ68" i="5"/>
  <c r="BA68" i="5" s="1"/>
  <c r="AZ14" i="5"/>
  <c r="AQ10" i="5"/>
  <c r="BA10" i="5" s="1"/>
  <c r="Z45" i="5"/>
  <c r="AA45" i="5" s="1"/>
  <c r="Z34" i="5"/>
  <c r="AA34" i="5" s="1"/>
  <c r="AQ7" i="5"/>
  <c r="BA7" i="5" s="1"/>
  <c r="AL28" i="5"/>
  <c r="AH204" i="5"/>
  <c r="AI204" i="5" s="1"/>
  <c r="AD204" i="5" s="1"/>
  <c r="AB204" i="5"/>
  <c r="AW204" i="5" s="1"/>
  <c r="AB220" i="5"/>
  <c r="AW220" i="5" s="1"/>
  <c r="AD206" i="5"/>
  <c r="AQ61" i="5"/>
  <c r="BA61" i="5" s="1"/>
  <c r="AZ108" i="5"/>
  <c r="AQ129" i="5"/>
  <c r="BA129" i="5" s="1"/>
  <c r="AZ94" i="5"/>
  <c r="AQ201" i="5"/>
  <c r="BA201" i="5" s="1"/>
  <c r="AH125" i="5"/>
  <c r="AI125" i="5" s="1"/>
  <c r="AJ125" i="5" s="1"/>
  <c r="Z214" i="5"/>
  <c r="AA214" i="5" s="1"/>
  <c r="AB59" i="5"/>
  <c r="AW59" i="5" s="1"/>
  <c r="AB78" i="5"/>
  <c r="AO78" i="5" s="1"/>
  <c r="Z51" i="5"/>
  <c r="AA51" i="5" s="1"/>
  <c r="Z86" i="5"/>
  <c r="AA86" i="5" s="1"/>
  <c r="AH193" i="5"/>
  <c r="AI193" i="5" s="1"/>
  <c r="AD193" i="5" s="1"/>
  <c r="AL150" i="5"/>
  <c r="Z55" i="5"/>
  <c r="AA55" i="5" s="1"/>
  <c r="Z207" i="5"/>
  <c r="AA207" i="5" s="1"/>
  <c r="AH219" i="5"/>
  <c r="AI219" i="5" s="1"/>
  <c r="AL94" i="5"/>
  <c r="AB120" i="5"/>
  <c r="AO120" i="5" s="1"/>
  <c r="Z58" i="5"/>
  <c r="AA58" i="5" s="1"/>
  <c r="Z144" i="5"/>
  <c r="AA144" i="5" s="1"/>
  <c r="AB23" i="5"/>
  <c r="AO23" i="5" s="1"/>
  <c r="AL223" i="5"/>
  <c r="BN214" i="5"/>
  <c r="BP214" i="5"/>
  <c r="Z192" i="5"/>
  <c r="AA192" i="5" s="1"/>
  <c r="AQ192" i="5"/>
  <c r="BA192" i="5" s="1"/>
  <c r="AQ156" i="5"/>
  <c r="BA156" i="5" s="1"/>
  <c r="AB156" i="5"/>
  <c r="AO156" i="5" s="1"/>
  <c r="BN167" i="5"/>
  <c r="BP167" i="5"/>
  <c r="AB211" i="5"/>
  <c r="AO211" i="5" s="1"/>
  <c r="AJ146" i="5"/>
  <c r="Z132" i="5"/>
  <c r="AA132" i="5" s="1"/>
  <c r="AZ186" i="5"/>
  <c r="AJ117" i="5"/>
  <c r="AD117" i="5"/>
  <c r="BP195" i="5"/>
  <c r="AH195" i="5"/>
  <c r="AI195" i="5" s="1"/>
  <c r="AJ195" i="5" s="1"/>
  <c r="AD210" i="5"/>
  <c r="AB152" i="5"/>
  <c r="AO152" i="5" s="1"/>
  <c r="AB96" i="5"/>
  <c r="AO96" i="5" s="1"/>
  <c r="AB10" i="5"/>
  <c r="AO10" i="5" s="1"/>
  <c r="Z223" i="5"/>
  <c r="AA223" i="5" s="1"/>
  <c r="U220" i="5"/>
  <c r="AL220" i="5"/>
  <c r="AQ205" i="5"/>
  <c r="BA205" i="5" s="1"/>
  <c r="AB185" i="5"/>
  <c r="AQ185" i="5"/>
  <c r="BA185" i="5" s="1"/>
  <c r="AQ184" i="5"/>
  <c r="BA184" i="5" s="1"/>
  <c r="AQ180" i="5"/>
  <c r="BA180" i="5" s="1"/>
  <c r="AL180" i="5"/>
  <c r="U180" i="5"/>
  <c r="AZ153" i="5"/>
  <c r="AZ140" i="5"/>
  <c r="Z193" i="5"/>
  <c r="AA193" i="5" s="1"/>
  <c r="AD185" i="5"/>
  <c r="AJ185" i="5"/>
  <c r="U206" i="5"/>
  <c r="AL206" i="5"/>
  <c r="AL145" i="5"/>
  <c r="Z130" i="5"/>
  <c r="AA130" i="5" s="1"/>
  <c r="U82" i="5"/>
  <c r="AL82" i="5"/>
  <c r="AL66" i="5"/>
  <c r="U66" i="5"/>
  <c r="BP81" i="5"/>
  <c r="BN81" i="5"/>
  <c r="AB34" i="5"/>
  <c r="AO34" i="5" s="1"/>
  <c r="AB32" i="5"/>
  <c r="AW32" i="5" s="1"/>
  <c r="Z179" i="5"/>
  <c r="AA179" i="5" s="1"/>
  <c r="U224" i="5"/>
  <c r="AL224" i="5"/>
  <c r="AB143" i="5"/>
  <c r="AO143" i="5" s="1"/>
  <c r="AQ143" i="5"/>
  <c r="BA143" i="5" s="1"/>
  <c r="Z143" i="5"/>
  <c r="AA143" i="5" s="1"/>
  <c r="U79" i="5"/>
  <c r="AL79" i="5"/>
  <c r="Z124" i="5"/>
  <c r="AA124" i="5" s="1"/>
  <c r="Z211" i="5"/>
  <c r="AA211" i="5" s="1"/>
  <c r="Z205" i="5"/>
  <c r="AA205" i="5" s="1"/>
  <c r="AB179" i="5"/>
  <c r="AW179" i="5" s="1"/>
  <c r="BP154" i="5"/>
  <c r="AD173" i="5"/>
  <c r="AL207" i="5"/>
  <c r="U207" i="5"/>
  <c r="AL212" i="5"/>
  <c r="U212" i="5"/>
  <c r="AH182" i="5"/>
  <c r="AI182" i="5" s="1"/>
  <c r="AB182" i="5"/>
  <c r="AW182" i="5" s="1"/>
  <c r="Z182" i="5"/>
  <c r="AA182" i="5" s="1"/>
  <c r="AQ133" i="5"/>
  <c r="BA133" i="5" s="1"/>
  <c r="AB133" i="5"/>
  <c r="AO133" i="5" s="1"/>
  <c r="U143" i="5"/>
  <c r="AL143" i="5"/>
  <c r="AZ167" i="5"/>
  <c r="BN191" i="5"/>
  <c r="BP191" i="5"/>
  <c r="AQ176" i="5"/>
  <c r="BA176" i="5" s="1"/>
  <c r="AB176" i="5"/>
  <c r="AW176" i="5" s="1"/>
  <c r="W136" i="5"/>
  <c r="Z136" i="5" s="1"/>
  <c r="AA136" i="5" s="1"/>
  <c r="AJ136" i="5"/>
  <c r="AL205" i="5"/>
  <c r="AQ153" i="5"/>
  <c r="BA153" i="5" s="1"/>
  <c r="AQ63" i="5"/>
  <c r="BA63" i="5" s="1"/>
  <c r="AB127" i="5"/>
  <c r="AW127" i="5" s="1"/>
  <c r="Z102" i="5"/>
  <c r="AA102" i="5" s="1"/>
  <c r="Z184" i="5"/>
  <c r="AA184" i="5" s="1"/>
  <c r="Z121" i="5"/>
  <c r="AA121" i="5" s="1"/>
  <c r="Z79" i="5"/>
  <c r="AA79" i="5" s="1"/>
  <c r="AZ49" i="5"/>
  <c r="AQ81" i="5"/>
  <c r="BA81" i="5" s="1"/>
  <c r="Z14" i="5"/>
  <c r="AA14" i="5" s="1"/>
  <c r="AQ67" i="5"/>
  <c r="BA67" i="5" s="1"/>
  <c r="AB18" i="5"/>
  <c r="AW18" i="5" s="1"/>
  <c r="AQ4" i="5"/>
  <c r="BA4" i="5" s="1"/>
  <c r="AZ30" i="5"/>
  <c r="AQ104" i="5"/>
  <c r="BA104" i="5" s="1"/>
  <c r="Z162" i="5"/>
  <c r="AA162" i="5" s="1"/>
  <c r="AQ165" i="5"/>
  <c r="AB144" i="5"/>
  <c r="AO144" i="5" s="1"/>
  <c r="AL140" i="5"/>
  <c r="AZ211" i="5"/>
  <c r="AQ218" i="5"/>
  <c r="BA218" i="5" s="1"/>
  <c r="W215" i="5"/>
  <c r="Z215" i="5" s="1"/>
  <c r="AA215" i="5" s="1"/>
  <c r="AD215" i="5"/>
  <c r="AQ214" i="5"/>
  <c r="BA214" i="5" s="1"/>
  <c r="Z158" i="5"/>
  <c r="AA158" i="5" s="1"/>
  <c r="AB158" i="5"/>
  <c r="AO158" i="5" s="1"/>
  <c r="Z224" i="5"/>
  <c r="AA224" i="5" s="1"/>
  <c r="AZ150" i="5"/>
  <c r="AB212" i="5"/>
  <c r="AO212" i="5" s="1"/>
  <c r="AH212" i="5"/>
  <c r="AI212" i="5" s="1"/>
  <c r="AD212" i="5" s="1"/>
  <c r="W163" i="5"/>
  <c r="Z163" i="5" s="1"/>
  <c r="AA163" i="5" s="1"/>
  <c r="AL163" i="5"/>
  <c r="AL151" i="5"/>
  <c r="U151" i="5"/>
  <c r="AQ187" i="5"/>
  <c r="BA187" i="5" s="1"/>
  <c r="Z155" i="5"/>
  <c r="AA155" i="5" s="1"/>
  <c r="AQ206" i="5"/>
  <c r="BA206" i="5" s="1"/>
  <c r="AB206" i="5"/>
  <c r="AO206" i="5" s="1"/>
  <c r="AZ76" i="5"/>
  <c r="Z191" i="5"/>
  <c r="AA191" i="5" s="1"/>
  <c r="AQ85" i="5"/>
  <c r="BA85" i="5" s="1"/>
  <c r="AQ57" i="5"/>
  <c r="BA57" i="5" s="1"/>
  <c r="Z150" i="5"/>
  <c r="AA150" i="5" s="1"/>
  <c r="AL119" i="5"/>
  <c r="AZ61" i="5"/>
  <c r="AB109" i="5"/>
  <c r="AO109" i="5" s="1"/>
  <c r="AL199" i="5"/>
  <c r="AL34" i="5"/>
  <c r="AL43" i="5"/>
  <c r="AQ3" i="5"/>
  <c r="BA3" i="5" s="1"/>
  <c r="BP55" i="5"/>
  <c r="BN55" i="5"/>
  <c r="U162" i="5"/>
  <c r="AL162" i="5"/>
  <c r="AB20" i="5"/>
  <c r="AO20" i="5" s="1"/>
  <c r="AZ74" i="5"/>
  <c r="AQ16" i="5"/>
  <c r="BA16" i="5" s="1"/>
  <c r="AZ133" i="5"/>
  <c r="Z112" i="5"/>
  <c r="AA112" i="5" s="1"/>
  <c r="AQ122" i="5"/>
  <c r="BA122" i="5" s="1"/>
  <c r="AJ147" i="5"/>
  <c r="BP152" i="5"/>
  <c r="AQ181" i="5"/>
  <c r="BA181" i="5" s="1"/>
  <c r="AQ177" i="5"/>
  <c r="BA177" i="5" s="1"/>
  <c r="AB132" i="5"/>
  <c r="AO132" i="5" s="1"/>
  <c r="AQ95" i="5"/>
  <c r="BA95" i="5" s="1"/>
  <c r="AB9" i="5"/>
  <c r="AO9" i="5" s="1"/>
  <c r="U183" i="5"/>
  <c r="AL183" i="5"/>
  <c r="U185" i="5"/>
  <c r="AL185" i="5"/>
  <c r="BN68" i="5"/>
  <c r="BP68" i="5"/>
  <c r="AQ168" i="5"/>
  <c r="BA168" i="5" s="1"/>
  <c r="Z169" i="5"/>
  <c r="AA169" i="5" s="1"/>
  <c r="U60" i="5"/>
  <c r="AL60" i="5"/>
  <c r="AQ73" i="5"/>
  <c r="BA73" i="5" s="1"/>
  <c r="AB126" i="5"/>
  <c r="AO126" i="5" s="1"/>
  <c r="Z117" i="5"/>
  <c r="AA117" i="5" s="1"/>
  <c r="AH209" i="5"/>
  <c r="AI209" i="5" s="1"/>
  <c r="AD209" i="5" s="1"/>
  <c r="AQ34" i="5"/>
  <c r="BA34" i="5" s="1"/>
  <c r="AJ220" i="5"/>
  <c r="AL198" i="5"/>
  <c r="AQ178" i="5"/>
  <c r="BA178" i="5" s="1"/>
  <c r="AJ178" i="5"/>
  <c r="AL156" i="5"/>
  <c r="AD82" i="5"/>
  <c r="BP86" i="5"/>
  <c r="U145" i="5"/>
  <c r="AQ99" i="5"/>
  <c r="BA99" i="5" s="1"/>
  <c r="Z125" i="5"/>
  <c r="AA125" i="5" s="1"/>
  <c r="Z165" i="5"/>
  <c r="AA165" i="5" s="1"/>
  <c r="U132" i="5"/>
  <c r="AL132" i="5"/>
  <c r="AL175" i="5"/>
  <c r="AH165" i="5"/>
  <c r="AI165" i="5" s="1"/>
  <c r="AJ165" i="5" s="1"/>
  <c r="BP176" i="5"/>
  <c r="AQ182" i="5"/>
  <c r="BA182" i="5" s="1"/>
  <c r="U126" i="5"/>
  <c r="AL126" i="5"/>
  <c r="Z171" i="5"/>
  <c r="AA171" i="5" s="1"/>
  <c r="AB171" i="5"/>
  <c r="AW171" i="5" s="1"/>
  <c r="AL190" i="5"/>
  <c r="AB195" i="5"/>
  <c r="AO195" i="5" s="1"/>
  <c r="AL137" i="5"/>
  <c r="Z156" i="5"/>
  <c r="AA156" i="5" s="1"/>
  <c r="U218" i="5"/>
  <c r="AQ169" i="5"/>
  <c r="BA169" i="5" s="1"/>
  <c r="AB161" i="5"/>
  <c r="AO161" i="5" s="1"/>
  <c r="AB130" i="5"/>
  <c r="AO130" i="5" s="1"/>
  <c r="AQ199" i="5"/>
  <c r="BA199" i="5" s="1"/>
  <c r="BN174" i="5"/>
  <c r="AD146" i="5"/>
  <c r="AJ82" i="5"/>
  <c r="AD42" i="5"/>
  <c r="Z20" i="5"/>
  <c r="AA20" i="5" s="1"/>
  <c r="AD48" i="5"/>
  <c r="AL196" i="5"/>
  <c r="BN164" i="5"/>
  <c r="AH184" i="5"/>
  <c r="AI184" i="5" s="1"/>
  <c r="AJ184" i="5" s="1"/>
  <c r="AL147" i="5"/>
  <c r="AL202" i="5"/>
  <c r="U202" i="5"/>
  <c r="AB167" i="5"/>
  <c r="AO167" i="5" s="1"/>
  <c r="AR167" i="5" s="1"/>
  <c r="AS167" i="5" s="1"/>
  <c r="AQ167" i="5"/>
  <c r="BA167" i="5" s="1"/>
  <c r="Z218" i="5"/>
  <c r="AA218" i="5" s="1"/>
  <c r="AD147" i="5"/>
  <c r="AL69" i="5"/>
  <c r="AZ218" i="5"/>
  <c r="AQ132" i="5"/>
  <c r="BA132" i="5" s="1"/>
  <c r="AQ198" i="5"/>
  <c r="BA198" i="5" s="1"/>
  <c r="AQ220" i="5"/>
  <c r="BA220" i="5" s="1"/>
  <c r="AQ15" i="5"/>
  <c r="BA15" i="5" s="1"/>
  <c r="AQ151" i="5"/>
  <c r="BA151" i="5" s="1"/>
  <c r="Z183" i="5"/>
  <c r="AA183" i="5" s="1"/>
  <c r="AL168" i="5"/>
  <c r="AL188" i="5"/>
  <c r="AL136" i="5"/>
  <c r="AL48" i="5"/>
  <c r="AJ48" i="5"/>
  <c r="AB219" i="5"/>
  <c r="BN163" i="5"/>
  <c r="BN162" i="5"/>
  <c r="AQ209" i="5"/>
  <c r="BA209" i="5" s="1"/>
  <c r="Z197" i="5"/>
  <c r="AA197" i="5" s="1"/>
  <c r="AB197" i="5"/>
  <c r="AO197" i="5" s="1"/>
  <c r="Z96" i="5"/>
  <c r="AA96" i="5" s="1"/>
  <c r="AZ5" i="5"/>
  <c r="Z10" i="5"/>
  <c r="AA10" i="5" s="1"/>
  <c r="AB178" i="5"/>
  <c r="AO178" i="5" s="1"/>
  <c r="BP170" i="5"/>
  <c r="U205" i="5"/>
  <c r="AQ197" i="5"/>
  <c r="BA197" i="5" s="1"/>
  <c r="U170" i="5"/>
  <c r="AH159" i="5"/>
  <c r="AI159" i="5" s="1"/>
  <c r="AD159" i="5" s="1"/>
  <c r="AL165" i="5"/>
  <c r="AH112" i="5"/>
  <c r="AI112" i="5" s="1"/>
  <c r="AJ112" i="5" s="1"/>
  <c r="AL20" i="5"/>
  <c r="AZ209" i="5"/>
  <c r="Z212" i="5"/>
  <c r="AA212" i="5" s="1"/>
  <c r="AQ134" i="5"/>
  <c r="BA134" i="5" s="1"/>
  <c r="Z201" i="5"/>
  <c r="AA201" i="5" s="1"/>
  <c r="AQ191" i="5"/>
  <c r="BA191" i="5" s="1"/>
  <c r="BN217" i="5"/>
  <c r="U150" i="5"/>
  <c r="Z95" i="5"/>
  <c r="AA95" i="5" s="1"/>
  <c r="U25" i="5"/>
  <c r="AH51" i="5"/>
  <c r="AI51" i="5" s="1"/>
  <c r="AD51" i="5" s="1"/>
  <c r="AL61" i="5"/>
  <c r="AL41" i="5"/>
  <c r="AL214" i="5"/>
  <c r="AZ207" i="5"/>
  <c r="AZ135" i="5"/>
  <c r="AZ138" i="5"/>
  <c r="AZ71" i="5"/>
  <c r="AQ224" i="5"/>
  <c r="BA224" i="5" s="1"/>
  <c r="AQ161" i="5"/>
  <c r="BA161" i="5" s="1"/>
  <c r="AZ160" i="5"/>
  <c r="AQ222" i="5"/>
  <c r="BA222" i="5" s="1"/>
  <c r="AZ212" i="5"/>
  <c r="AL153" i="5"/>
  <c r="Z178" i="5"/>
  <c r="AA178" i="5" s="1"/>
  <c r="Z146" i="5"/>
  <c r="AA146" i="5" s="1"/>
  <c r="AL146" i="5"/>
  <c r="AJ183" i="5"/>
  <c r="AQ195" i="5"/>
  <c r="BA195" i="5" s="1"/>
  <c r="Z222" i="5"/>
  <c r="AA222" i="5" s="1"/>
  <c r="AD183" i="5"/>
  <c r="Z220" i="5"/>
  <c r="AA220" i="5" s="1"/>
  <c r="BN179" i="5"/>
  <c r="Z119" i="5"/>
  <c r="AA119" i="5" s="1"/>
  <c r="Z61" i="5"/>
  <c r="AA61" i="5" s="1"/>
  <c r="AL74" i="5"/>
  <c r="Z176" i="5"/>
  <c r="AA176" i="5" s="1"/>
  <c r="Z93" i="5"/>
  <c r="AA93" i="5" s="1"/>
  <c r="Z113" i="5"/>
  <c r="AA113" i="5" s="1"/>
  <c r="AZ97" i="5"/>
  <c r="AQ75" i="5"/>
  <c r="Z59" i="5"/>
  <c r="AA59" i="5" s="1"/>
  <c r="AL9" i="5"/>
  <c r="AQ123" i="5"/>
  <c r="BA123" i="5" s="1"/>
  <c r="AL222" i="5"/>
  <c r="AQ223" i="5"/>
  <c r="BA223" i="5" s="1"/>
  <c r="Z181" i="5"/>
  <c r="AA181" i="5" s="1"/>
  <c r="AL192" i="5"/>
  <c r="AZ147" i="5"/>
  <c r="AQ172" i="5"/>
  <c r="BA172" i="5" s="1"/>
  <c r="AB222" i="5"/>
  <c r="AO222" i="5" s="1"/>
  <c r="BN215" i="5"/>
  <c r="AQ146" i="5"/>
  <c r="BA146" i="5" s="1"/>
  <c r="AL139" i="5"/>
  <c r="AB28" i="5"/>
  <c r="AO28" i="5" s="1"/>
  <c r="AB214" i="5"/>
  <c r="AO214" i="5" s="1"/>
  <c r="AR214" i="5" s="1"/>
  <c r="AS214" i="5" s="1"/>
  <c r="AZ132" i="5"/>
  <c r="AB54" i="5"/>
  <c r="AO54" i="5" s="1"/>
  <c r="AQ96" i="5"/>
  <c r="BA96" i="5" s="1"/>
  <c r="AL19" i="5"/>
  <c r="AQ35" i="5"/>
  <c r="BA35" i="5" s="1"/>
  <c r="AZ21" i="5"/>
  <c r="AZ62" i="5"/>
  <c r="BN62" i="5"/>
  <c r="BP62" i="5"/>
  <c r="W11" i="5"/>
  <c r="Z11" i="5" s="1"/>
  <c r="AA11" i="5" s="1"/>
  <c r="AL11" i="5"/>
  <c r="AB196" i="5"/>
  <c r="AW196" i="5" s="1"/>
  <c r="AQ196" i="5"/>
  <c r="BA196" i="5" s="1"/>
  <c r="Z196" i="5"/>
  <c r="AA196" i="5" s="1"/>
  <c r="AH196" i="5"/>
  <c r="AI196" i="5" s="1"/>
  <c r="AD196" i="5" s="1"/>
  <c r="BN198" i="5"/>
  <c r="AB102" i="5"/>
  <c r="AW102" i="5" s="1"/>
  <c r="AQ106" i="5"/>
  <c r="BA106" i="5" s="1"/>
  <c r="AB106" i="5"/>
  <c r="AO106" i="5" s="1"/>
  <c r="AH107" i="5"/>
  <c r="AI107" i="5" s="1"/>
  <c r="AB107" i="5"/>
  <c r="AO107" i="5" s="1"/>
  <c r="Z107" i="5"/>
  <c r="AA107" i="5" s="1"/>
  <c r="W164" i="5"/>
  <c r="Z164" i="5" s="1"/>
  <c r="AA164" i="5" s="1"/>
  <c r="AL164" i="5"/>
  <c r="AH33" i="5"/>
  <c r="AI33" i="5" s="1"/>
  <c r="AD33" i="5" s="1"/>
  <c r="AQ33" i="5"/>
  <c r="BA33" i="5" s="1"/>
  <c r="AL86" i="5"/>
  <c r="U86" i="5"/>
  <c r="AL171" i="5"/>
  <c r="AB41" i="5"/>
  <c r="AO41" i="5" s="1"/>
  <c r="AQ166" i="5"/>
  <c r="BA166" i="5" s="1"/>
  <c r="BN84" i="5"/>
  <c r="BP219" i="5"/>
  <c r="BN219" i="5"/>
  <c r="AQ207" i="5"/>
  <c r="BA207" i="5" s="1"/>
  <c r="AB207" i="5"/>
  <c r="AO207" i="5" s="1"/>
  <c r="W225" i="5"/>
  <c r="Z225" i="5" s="1"/>
  <c r="AA225" i="5" s="1"/>
  <c r="AL225" i="5"/>
  <c r="W209" i="5"/>
  <c r="Z209" i="5" s="1"/>
  <c r="AA209" i="5" s="1"/>
  <c r="AL209" i="5"/>
  <c r="AJ213" i="5"/>
  <c r="AL213" i="5"/>
  <c r="AB194" i="5"/>
  <c r="Z194" i="5"/>
  <c r="AA194" i="5" s="1"/>
  <c r="AH180" i="5"/>
  <c r="AI180" i="5" s="1"/>
  <c r="Z180" i="5"/>
  <c r="AA180" i="5" s="1"/>
  <c r="AH154" i="5"/>
  <c r="AI154" i="5" s="1"/>
  <c r="AD154" i="5" s="1"/>
  <c r="Z154" i="5"/>
  <c r="AA154" i="5" s="1"/>
  <c r="AB154" i="5"/>
  <c r="AO154" i="5" s="1"/>
  <c r="AQ154" i="5"/>
  <c r="BA154" i="5" s="1"/>
  <c r="AH139" i="5"/>
  <c r="AI139" i="5" s="1"/>
  <c r="Z139" i="5"/>
  <c r="AA139" i="5" s="1"/>
  <c r="AH221" i="5"/>
  <c r="AI221" i="5" s="1"/>
  <c r="AB221" i="5"/>
  <c r="AO221" i="5" s="1"/>
  <c r="AQ221" i="5"/>
  <c r="BA221" i="5" s="1"/>
  <c r="W148" i="5"/>
  <c r="Z148" i="5" s="1"/>
  <c r="AA148" i="5" s="1"/>
  <c r="AL148" i="5"/>
  <c r="W208" i="5"/>
  <c r="Z208" i="5" s="1"/>
  <c r="AA208" i="5" s="1"/>
  <c r="AL208" i="5"/>
  <c r="AL174" i="5"/>
  <c r="U174" i="5"/>
  <c r="Z175" i="5"/>
  <c r="AA175" i="5" s="1"/>
  <c r="AB175" i="5"/>
  <c r="AQ175" i="5"/>
  <c r="BA175" i="5" s="1"/>
  <c r="U204" i="5"/>
  <c r="AL204" i="5"/>
  <c r="AH187" i="5"/>
  <c r="AI187" i="5" s="1"/>
  <c r="Z187" i="5"/>
  <c r="AA187" i="5" s="1"/>
  <c r="AB187" i="5"/>
  <c r="AO187" i="5" s="1"/>
  <c r="AQ77" i="5"/>
  <c r="BA77" i="5" s="1"/>
  <c r="AB77" i="5"/>
  <c r="AW77" i="5" s="1"/>
  <c r="W123" i="5"/>
  <c r="Z123" i="5" s="1"/>
  <c r="AA123" i="5" s="1"/>
  <c r="AL123" i="5"/>
  <c r="AQ52" i="5"/>
  <c r="BA52" i="5" s="1"/>
  <c r="AB52" i="5"/>
  <c r="AW52" i="5" s="1"/>
  <c r="AL26" i="5"/>
  <c r="U26" i="5"/>
  <c r="BP188" i="5"/>
  <c r="AQ213" i="5"/>
  <c r="U181" i="5"/>
  <c r="AL181" i="5"/>
  <c r="AB91" i="5"/>
  <c r="AW91" i="5" s="1"/>
  <c r="AQ91" i="5"/>
  <c r="BA91" i="5" s="1"/>
  <c r="BP160" i="5"/>
  <c r="BN160" i="5"/>
  <c r="AQ79" i="5"/>
  <c r="BA79" i="5" s="1"/>
  <c r="AB79" i="5"/>
  <c r="AO79" i="5" s="1"/>
  <c r="U62" i="5"/>
  <c r="AL62" i="5"/>
  <c r="AQ128" i="5"/>
  <c r="BA128" i="5" s="1"/>
  <c r="Z128" i="5"/>
  <c r="AA128" i="5" s="1"/>
  <c r="AQ53" i="5"/>
  <c r="BA53" i="5" s="1"/>
  <c r="AB53" i="5"/>
  <c r="AW53" i="5" s="1"/>
  <c r="AH97" i="5"/>
  <c r="AI97" i="5" s="1"/>
  <c r="AB97" i="5"/>
  <c r="AO97" i="5" s="1"/>
  <c r="Z66" i="5"/>
  <c r="AA66" i="5" s="1"/>
  <c r="AQ66" i="5"/>
  <c r="BA66" i="5" s="1"/>
  <c r="BP80" i="5"/>
  <c r="BN80" i="5"/>
  <c r="AL35" i="5"/>
  <c r="U35" i="5"/>
  <c r="Z81" i="5"/>
  <c r="AA81" i="5" s="1"/>
  <c r="AH18" i="5"/>
  <c r="AI18" i="5" s="1"/>
  <c r="AJ18" i="5" s="1"/>
  <c r="AB81" i="5"/>
  <c r="AW81" i="5" s="1"/>
  <c r="AJ210" i="5"/>
  <c r="AL210" i="5"/>
  <c r="AQ193" i="5"/>
  <c r="BA193" i="5" s="1"/>
  <c r="AB153" i="5"/>
  <c r="AO153" i="5" s="1"/>
  <c r="BN207" i="5"/>
  <c r="AL161" i="5"/>
  <c r="AH91" i="5"/>
  <c r="AI91" i="5" s="1"/>
  <c r="AJ91" i="5" s="1"/>
  <c r="BN32" i="5"/>
  <c r="BN173" i="5"/>
  <c r="BP173" i="5"/>
  <c r="AH166" i="5"/>
  <c r="AI166" i="5" s="1"/>
  <c r="AJ166" i="5" s="1"/>
  <c r="AB166" i="5"/>
  <c r="AO166" i="5" s="1"/>
  <c r="AR166" i="5" s="1"/>
  <c r="AH71" i="5"/>
  <c r="AI71" i="5" s="1"/>
  <c r="AQ71" i="5"/>
  <c r="BA71" i="5" s="1"/>
  <c r="Z71" i="5"/>
  <c r="AA71" i="5" s="1"/>
  <c r="U81" i="5"/>
  <c r="AL81" i="5"/>
  <c r="AB200" i="5"/>
  <c r="AW200" i="5" s="1"/>
  <c r="AQ200" i="5"/>
  <c r="BA200" i="5" s="1"/>
  <c r="AJ150" i="5"/>
  <c r="BN102" i="5"/>
  <c r="AL111" i="5"/>
  <c r="Z168" i="5"/>
  <c r="AA168" i="5" s="1"/>
  <c r="AB168" i="5"/>
  <c r="AW168" i="5" s="1"/>
  <c r="AQ74" i="5"/>
  <c r="BA74" i="5" s="1"/>
  <c r="AB74" i="5"/>
  <c r="AO74" i="5" s="1"/>
  <c r="Z74" i="5"/>
  <c r="AA74" i="5" s="1"/>
  <c r="W52" i="5"/>
  <c r="Z52" i="5" s="1"/>
  <c r="AA52" i="5" s="1"/>
  <c r="AL52" i="5"/>
  <c r="AL115" i="5"/>
  <c r="U115" i="5"/>
  <c r="W186" i="5"/>
  <c r="Z186" i="5" s="1"/>
  <c r="AA186" i="5" s="1"/>
  <c r="AD186" i="5"/>
  <c r="AQ40" i="5"/>
  <c r="BA40" i="5" s="1"/>
  <c r="AL14" i="5"/>
  <c r="AQ105" i="5"/>
  <c r="BA105" i="5" s="1"/>
  <c r="AB105" i="5"/>
  <c r="AW105" i="5" s="1"/>
  <c r="Z105" i="5"/>
  <c r="AA105" i="5" s="1"/>
  <c r="AH32" i="5"/>
  <c r="AI32" i="5" s="1"/>
  <c r="AD32" i="5" s="1"/>
  <c r="Z32" i="5"/>
  <c r="AA32" i="5" s="1"/>
  <c r="AL124" i="5"/>
  <c r="U124" i="5"/>
  <c r="U68" i="5"/>
  <c r="AL68" i="5"/>
  <c r="W103" i="5"/>
  <c r="Z103" i="5" s="1"/>
  <c r="AA103" i="5" s="1"/>
  <c r="AJ103" i="5"/>
  <c r="Z200" i="5"/>
  <c r="AA200" i="5" s="1"/>
  <c r="AQ183" i="5"/>
  <c r="BA183" i="5" s="1"/>
  <c r="AH168" i="5"/>
  <c r="AI168" i="5" s="1"/>
  <c r="AJ168" i="5" s="1"/>
  <c r="Z206" i="5"/>
  <c r="AA206" i="5" s="1"/>
  <c r="AB80" i="5"/>
  <c r="AO80" i="5" s="1"/>
  <c r="AL16" i="5"/>
  <c r="AQ139" i="5"/>
  <c r="BA139" i="5" s="1"/>
  <c r="AL159" i="5"/>
  <c r="AZ188" i="5"/>
  <c r="AZ172" i="5"/>
  <c r="W78" i="5"/>
  <c r="Z78" i="5" s="1"/>
  <c r="AA78" i="5" s="1"/>
  <c r="AL78" i="5"/>
  <c r="AQ115" i="5"/>
  <c r="BA115" i="5" s="1"/>
  <c r="Z115" i="5"/>
  <c r="AA115" i="5" s="1"/>
  <c r="AB88" i="5"/>
  <c r="AW88" i="5" s="1"/>
  <c r="AQ88" i="5"/>
  <c r="BA88" i="5" s="1"/>
  <c r="AL121" i="5"/>
  <c r="AL98" i="5"/>
  <c r="AJ15" i="5"/>
  <c r="AD15" i="5"/>
  <c r="AL65" i="5"/>
  <c r="U65" i="5"/>
  <c r="AQ23" i="5"/>
  <c r="Z23" i="5"/>
  <c r="AA23" i="5" s="1"/>
  <c r="AB30" i="5"/>
  <c r="AW30" i="5" s="1"/>
  <c r="AH14" i="5"/>
  <c r="AI14" i="5" s="1"/>
  <c r="AJ14" i="5" s="1"/>
  <c r="AB14" i="5"/>
  <c r="AW14" i="5" s="1"/>
  <c r="AQ83" i="5"/>
  <c r="BA83" i="5" s="1"/>
  <c r="AB83" i="5"/>
  <c r="AW83" i="5" s="1"/>
  <c r="AQ46" i="5"/>
  <c r="BA46" i="5" s="1"/>
  <c r="AQ20" i="5"/>
  <c r="BA20" i="5" s="1"/>
  <c r="U96" i="5"/>
  <c r="AL96" i="5"/>
  <c r="AD36" i="5"/>
  <c r="AJ36" i="5"/>
  <c r="AL18" i="5"/>
  <c r="W28" i="5"/>
  <c r="Z28" i="5" s="1"/>
  <c r="AA28" i="5" s="1"/>
  <c r="AD28" i="5"/>
  <c r="AJ28" i="5"/>
  <c r="AB142" i="5"/>
  <c r="AW142" i="5" s="1"/>
  <c r="AQ142" i="5"/>
  <c r="BA142" i="5" s="1"/>
  <c r="Z142" i="5"/>
  <c r="AA142" i="5" s="1"/>
  <c r="AD62" i="5"/>
  <c r="AJ62" i="5"/>
  <c r="AQ118" i="5"/>
  <c r="BA118" i="5" s="1"/>
  <c r="AQ32" i="5"/>
  <c r="BA32" i="5" s="1"/>
  <c r="BN22" i="5"/>
  <c r="BP22" i="5"/>
  <c r="AQ136" i="5"/>
  <c r="BA136" i="5" s="1"/>
  <c r="Z159" i="5"/>
  <c r="AA159" i="5" s="1"/>
  <c r="AB199" i="5"/>
  <c r="W141" i="5"/>
  <c r="Z141" i="5" s="1"/>
  <c r="AA141" i="5" s="1"/>
  <c r="AL141" i="5"/>
  <c r="U75" i="5"/>
  <c r="AL75" i="5"/>
  <c r="AL144" i="5"/>
  <c r="AB62" i="5"/>
  <c r="AW62" i="5" s="1"/>
  <c r="AQ62" i="5"/>
  <c r="BA62" i="5" s="1"/>
  <c r="AZ106" i="5"/>
  <c r="AQ107" i="5"/>
  <c r="BA107" i="5" s="1"/>
  <c r="AL76" i="5"/>
  <c r="U76" i="5"/>
  <c r="AL64" i="5"/>
  <c r="W8" i="5"/>
  <c r="Z8" i="5" s="1"/>
  <c r="AA8" i="5" s="1"/>
  <c r="AL8" i="5"/>
  <c r="AZ19" i="5"/>
  <c r="Z53" i="5"/>
  <c r="AA53" i="5" s="1"/>
  <c r="Z47" i="5"/>
  <c r="AA47" i="5" s="1"/>
  <c r="AQ47" i="5"/>
  <c r="BA47" i="5" s="1"/>
  <c r="AB47" i="5"/>
  <c r="AO47" i="5" s="1"/>
  <c r="AQ41" i="5"/>
  <c r="AZ26" i="5"/>
  <c r="AB26" i="5"/>
  <c r="Z26" i="5"/>
  <c r="AA26" i="5" s="1"/>
  <c r="AQ26" i="5"/>
  <c r="BA26" i="5" s="1"/>
  <c r="AB117" i="5"/>
  <c r="AQ117" i="5"/>
  <c r="BA117" i="5" s="1"/>
  <c r="AL2" i="5"/>
  <c r="AQ194" i="5"/>
  <c r="BA194" i="5" s="1"/>
  <c r="AQ17" i="5"/>
  <c r="BA17" i="5" s="1"/>
  <c r="AB17" i="5"/>
  <c r="AO17" i="5" s="1"/>
  <c r="BP43" i="5"/>
  <c r="BN43" i="5"/>
  <c r="AZ69" i="5"/>
  <c r="AZ187" i="5"/>
  <c r="AH170" i="5"/>
  <c r="AI170" i="5" s="1"/>
  <c r="Z170" i="5"/>
  <c r="AA170" i="5" s="1"/>
  <c r="AQ100" i="5"/>
  <c r="BA100" i="5" s="1"/>
  <c r="AB100" i="5"/>
  <c r="AW100" i="5" s="1"/>
  <c r="Z89" i="5"/>
  <c r="AA89" i="5" s="1"/>
  <c r="AB89" i="5"/>
  <c r="AO89" i="5" s="1"/>
  <c r="AQ89" i="5"/>
  <c r="BA89" i="5" s="1"/>
  <c r="AZ60" i="5"/>
  <c r="Z157" i="5"/>
  <c r="AA157" i="5" s="1"/>
  <c r="AQ157" i="5"/>
  <c r="BA157" i="5" s="1"/>
  <c r="AQ97" i="5"/>
  <c r="BA97" i="5" s="1"/>
  <c r="AQ13" i="5"/>
  <c r="BA13" i="5" s="1"/>
  <c r="AB13" i="5"/>
  <c r="AO13" i="5" s="1"/>
  <c r="Z13" i="5"/>
  <c r="AA13" i="5" s="1"/>
  <c r="AJ65" i="5"/>
  <c r="AD65" i="5"/>
  <c r="Z25" i="5"/>
  <c r="AA25" i="5" s="1"/>
  <c r="AQ25" i="5"/>
  <c r="BA25" i="5" s="1"/>
  <c r="AD11" i="5"/>
  <c r="AJ11" i="5"/>
  <c r="U99" i="5"/>
  <c r="AL99" i="5"/>
  <c r="U42" i="5"/>
  <c r="AL42" i="5"/>
  <c r="W27" i="5"/>
  <c r="Z27" i="5" s="1"/>
  <c r="AA27" i="5" s="1"/>
  <c r="AL27" i="5"/>
  <c r="BP31" i="5"/>
  <c r="BN31" i="5"/>
  <c r="Z76" i="5"/>
  <c r="AA76" i="5" s="1"/>
  <c r="AB76" i="5"/>
  <c r="AW76" i="5" s="1"/>
  <c r="AL44" i="5"/>
  <c r="U44" i="5"/>
  <c r="Z46" i="5"/>
  <c r="AA46" i="5" s="1"/>
  <c r="U222" i="5"/>
  <c r="AQ203" i="5"/>
  <c r="BA203" i="5" s="1"/>
  <c r="AL191" i="5"/>
  <c r="Z108" i="5"/>
  <c r="AA108" i="5" s="1"/>
  <c r="Z129" i="5"/>
  <c r="AA129" i="5" s="1"/>
  <c r="U21" i="5"/>
  <c r="AL29" i="5"/>
  <c r="AH143" i="5"/>
  <c r="AI143" i="5" s="1"/>
  <c r="AJ143" i="5" s="1"/>
  <c r="Z145" i="5"/>
  <c r="AA145" i="5" s="1"/>
  <c r="U84" i="5"/>
  <c r="AB108" i="5"/>
  <c r="AW108" i="5" s="1"/>
  <c r="AB111" i="5"/>
  <c r="AO111" i="5" s="1"/>
  <c r="AB129" i="5"/>
  <c r="AW129" i="5" s="1"/>
  <c r="Z3" i="5"/>
  <c r="AA3" i="5" s="1"/>
  <c r="U119" i="5"/>
  <c r="AQ149" i="5"/>
  <c r="BA149" i="5" s="1"/>
  <c r="Z31" i="5"/>
  <c r="AA31" i="5" s="1"/>
  <c r="AZ195" i="5"/>
  <c r="W135" i="5"/>
  <c r="Z135" i="5" s="1"/>
  <c r="AA135" i="5" s="1"/>
  <c r="AL135" i="5"/>
  <c r="AJ171" i="5"/>
  <c r="AD171" i="5"/>
  <c r="AZ203" i="5"/>
  <c r="AL172" i="5"/>
  <c r="AQ155" i="5"/>
  <c r="BA155" i="5" s="1"/>
  <c r="AB150" i="5"/>
  <c r="AO150" i="5" s="1"/>
  <c r="AL107" i="5"/>
  <c r="AJ116" i="5"/>
  <c r="AL211" i="5"/>
  <c r="AB169" i="5"/>
  <c r="AW169" i="5" s="1"/>
  <c r="AB188" i="5"/>
  <c r="AO188" i="5" s="1"/>
  <c r="AB208" i="5"/>
  <c r="AO208" i="5" s="1"/>
  <c r="AQ159" i="5"/>
  <c r="AQ171" i="5"/>
  <c r="BA171" i="5" s="1"/>
  <c r="AB151" i="5"/>
  <c r="AO151" i="5" s="1"/>
  <c r="AL138" i="5"/>
  <c r="AJ174" i="5"/>
  <c r="AD179" i="5"/>
  <c r="U122" i="5"/>
  <c r="U147" i="5"/>
  <c r="AD211" i="5"/>
  <c r="AQ116" i="5"/>
  <c r="BA116" i="5" s="1"/>
  <c r="AH64" i="5"/>
  <c r="AI64" i="5" s="1"/>
  <c r="AD64" i="5" s="1"/>
  <c r="AL46" i="5"/>
  <c r="BN199" i="5"/>
  <c r="AQ137" i="5"/>
  <c r="BA137" i="5" s="1"/>
  <c r="AB137" i="5"/>
  <c r="AW137" i="5" s="1"/>
  <c r="Z137" i="5"/>
  <c r="AA137" i="5" s="1"/>
  <c r="BP165" i="5"/>
  <c r="BN165" i="5"/>
  <c r="W134" i="5"/>
  <c r="Z134" i="5" s="1"/>
  <c r="AA134" i="5" s="1"/>
  <c r="AL134" i="5"/>
  <c r="AL173" i="5"/>
  <c r="U55" i="5"/>
  <c r="AL55" i="5"/>
  <c r="AH56" i="5"/>
  <c r="AI56" i="5" s="1"/>
  <c r="AB56" i="5"/>
  <c r="AW56" i="5" s="1"/>
  <c r="Z138" i="5"/>
  <c r="AA138" i="5" s="1"/>
  <c r="Z94" i="5"/>
  <c r="AA94" i="5" s="1"/>
  <c r="U67" i="5"/>
  <c r="AL67" i="5"/>
  <c r="AH73" i="5"/>
  <c r="AI73" i="5" s="1"/>
  <c r="Z73" i="5"/>
  <c r="AA73" i="5" s="1"/>
  <c r="Z116" i="5"/>
  <c r="AA116" i="5" s="1"/>
  <c r="AL103" i="5"/>
  <c r="U103" i="5"/>
  <c r="AB4" i="5"/>
  <c r="AW4" i="5" s="1"/>
  <c r="Z4" i="5"/>
  <c r="AA4" i="5" s="1"/>
  <c r="BP8" i="5"/>
  <c r="BN8" i="5"/>
  <c r="AQ121" i="5"/>
  <c r="BA121" i="5" s="1"/>
  <c r="U30" i="5"/>
  <c r="AL30" i="5"/>
  <c r="AL37" i="5"/>
  <c r="U37" i="5"/>
  <c r="AL23" i="5"/>
  <c r="U23" i="5"/>
  <c r="AL56" i="5"/>
  <c r="W56" i="5"/>
  <c r="Z56" i="5" s="1"/>
  <c r="AA56" i="5" s="1"/>
  <c r="AL50" i="5"/>
  <c r="W50" i="5"/>
  <c r="Z50" i="5" s="1"/>
  <c r="AA50" i="5" s="1"/>
  <c r="AH27" i="5"/>
  <c r="AI27" i="5" s="1"/>
  <c r="AD27" i="5" s="1"/>
  <c r="Z199" i="5"/>
  <c r="AA199" i="5" s="1"/>
  <c r="AL194" i="5"/>
  <c r="AQ208" i="5"/>
  <c r="BA208" i="5" s="1"/>
  <c r="AQ150" i="5"/>
  <c r="BA150" i="5" s="1"/>
  <c r="AH141" i="5"/>
  <c r="AI141" i="5" s="1"/>
  <c r="AJ141" i="5" s="1"/>
  <c r="AL155" i="5"/>
  <c r="AJ181" i="5"/>
  <c r="AB139" i="5"/>
  <c r="AW139" i="5" s="1"/>
  <c r="BN168" i="5"/>
  <c r="U121" i="5"/>
  <c r="AB115" i="5"/>
  <c r="AO115" i="5" s="1"/>
  <c r="BN93" i="5"/>
  <c r="AB57" i="5"/>
  <c r="AO57" i="5" s="1"/>
  <c r="Z216" i="5"/>
  <c r="AA216" i="5" s="1"/>
  <c r="AQ170" i="5"/>
  <c r="AB224" i="5"/>
  <c r="W217" i="5"/>
  <c r="Z217" i="5" s="1"/>
  <c r="AA217" i="5" s="1"/>
  <c r="AL217" i="5"/>
  <c r="W203" i="5"/>
  <c r="Z203" i="5" s="1"/>
  <c r="AA203" i="5" s="1"/>
  <c r="AL203" i="5"/>
  <c r="AQ131" i="5"/>
  <c r="BA131" i="5" s="1"/>
  <c r="AB131" i="5"/>
  <c r="AO131" i="5" s="1"/>
  <c r="AZ171" i="5"/>
  <c r="AB180" i="5"/>
  <c r="AL131" i="5"/>
  <c r="U131" i="5"/>
  <c r="AQ216" i="5"/>
  <c r="BA216" i="5" s="1"/>
  <c r="AB216" i="5"/>
  <c r="W106" i="5"/>
  <c r="Z106" i="5" s="1"/>
  <c r="AA106" i="5" s="1"/>
  <c r="AL106" i="5"/>
  <c r="W80" i="5"/>
  <c r="Z80" i="5" s="1"/>
  <c r="AA80" i="5" s="1"/>
  <c r="AL80" i="5"/>
  <c r="W72" i="5"/>
  <c r="Z72" i="5" s="1"/>
  <c r="AA72" i="5" s="1"/>
  <c r="AL72" i="5"/>
  <c r="AL7" i="5"/>
  <c r="U7" i="5"/>
  <c r="AL13" i="5"/>
  <c r="U13" i="5"/>
  <c r="U95" i="5"/>
  <c r="AL95" i="5"/>
  <c r="AD115" i="5"/>
  <c r="Z49" i="5"/>
  <c r="AA49" i="5" s="1"/>
  <c r="AQ21" i="5"/>
  <c r="BA21" i="5" s="1"/>
  <c r="AZ45" i="5"/>
  <c r="W100" i="5"/>
  <c r="Z100" i="5" s="1"/>
  <c r="AA100" i="5" s="1"/>
  <c r="AL100" i="5"/>
  <c r="Z41" i="5"/>
  <c r="AA41" i="5" s="1"/>
  <c r="AZ42" i="5"/>
  <c r="Z40" i="5"/>
  <c r="AA40" i="5" s="1"/>
  <c r="AL105" i="5"/>
  <c r="BP63" i="5"/>
  <c r="AL167" i="5"/>
  <c r="AB141" i="5"/>
  <c r="AO141" i="5" s="1"/>
  <c r="AB146" i="5"/>
  <c r="AO146" i="5" s="1"/>
  <c r="AD181" i="5"/>
  <c r="AB136" i="5"/>
  <c r="AO136" i="5" s="1"/>
  <c r="AQ164" i="5"/>
  <c r="AB112" i="5"/>
  <c r="AW112" i="5" s="1"/>
  <c r="AH151" i="5"/>
  <c r="AI151" i="5" s="1"/>
  <c r="AD151" i="5" s="1"/>
  <c r="AD69" i="5"/>
  <c r="AD103" i="5"/>
  <c r="AH20" i="5"/>
  <c r="AI20" i="5" s="1"/>
  <c r="AJ20" i="5" s="1"/>
  <c r="AB85" i="5"/>
  <c r="AO85" i="5" s="1"/>
  <c r="W63" i="5"/>
  <c r="Z63" i="5" s="1"/>
  <c r="AA63" i="5" s="1"/>
  <c r="AL32" i="5"/>
  <c r="AQ215" i="5"/>
  <c r="BA215" i="5" s="1"/>
  <c r="AZ144" i="5"/>
  <c r="AZ179" i="5"/>
  <c r="AZ130" i="5"/>
  <c r="AH177" i="5"/>
  <c r="AI177" i="5" s="1"/>
  <c r="AB177" i="5"/>
  <c r="AZ148" i="5"/>
  <c r="AB116" i="5"/>
  <c r="AO116" i="5" s="1"/>
  <c r="AL219" i="5"/>
  <c r="AL201" i="5"/>
  <c r="AL166" i="5"/>
  <c r="Z167" i="5"/>
  <c r="AA167" i="5" s="1"/>
  <c r="AB46" i="5"/>
  <c r="AO46" i="5" s="1"/>
  <c r="AB104" i="5"/>
  <c r="AO104" i="5" s="1"/>
  <c r="AB25" i="5"/>
  <c r="AW25" i="5" s="1"/>
  <c r="AL36" i="5"/>
  <c r="AL73" i="5"/>
  <c r="AL90" i="5"/>
  <c r="AZ220" i="5"/>
  <c r="AD213" i="5"/>
  <c r="AB223" i="5"/>
  <c r="AB170" i="5"/>
  <c r="Z153" i="5"/>
  <c r="AA153" i="5" s="1"/>
  <c r="AZ200" i="5"/>
  <c r="AZ192" i="5"/>
  <c r="AB181" i="5"/>
  <c r="AL120" i="5"/>
  <c r="AQ212" i="5"/>
  <c r="BA212" i="5" s="1"/>
  <c r="AZ193" i="5"/>
  <c r="AL133" i="5"/>
  <c r="AZ142" i="5"/>
  <c r="AZ169" i="5"/>
  <c r="AB87" i="5"/>
  <c r="AZ202" i="5"/>
  <c r="AZ221" i="5"/>
  <c r="AZ197" i="5"/>
  <c r="AZ157" i="5"/>
  <c r="AQ141" i="5"/>
  <c r="BA141" i="5" s="1"/>
  <c r="AZ181" i="5"/>
  <c r="AL154" i="5"/>
  <c r="AZ194" i="5"/>
  <c r="AZ196" i="5"/>
  <c r="AL130" i="5"/>
  <c r="AZ68" i="5"/>
  <c r="Z99" i="5"/>
  <c r="AA99" i="5" s="1"/>
  <c r="AZ224" i="5"/>
  <c r="AL160" i="5"/>
  <c r="AZ165" i="5"/>
  <c r="AB191" i="5"/>
  <c r="AL186" i="5"/>
  <c r="AQ219" i="5"/>
  <c r="BA219" i="5" s="1"/>
  <c r="AB162" i="5"/>
  <c r="AO162" i="5" s="1"/>
  <c r="AR162" i="5" s="1"/>
  <c r="AS162" i="5" s="1"/>
  <c r="AL112" i="5"/>
  <c r="Z118" i="5"/>
  <c r="AA118" i="5" s="1"/>
  <c r="AQ130" i="5"/>
  <c r="BA130" i="5" s="1"/>
  <c r="AZ78" i="5"/>
  <c r="AZ216" i="5"/>
  <c r="AZ83" i="5"/>
  <c r="AZ88" i="5"/>
  <c r="AQ127" i="5"/>
  <c r="BA127" i="5" s="1"/>
  <c r="AZ115" i="5"/>
  <c r="Z101" i="5"/>
  <c r="AA101" i="5" s="1"/>
  <c r="AZ85" i="5"/>
  <c r="AZ2" i="5"/>
  <c r="AQ14" i="5"/>
  <c r="BA14" i="5" s="1"/>
  <c r="AQ24" i="5"/>
  <c r="BA24" i="5" s="1"/>
  <c r="AZ35" i="5"/>
  <c r="AL22" i="5"/>
  <c r="AB73" i="5"/>
  <c r="AW73" i="5" s="1"/>
  <c r="AQ38" i="5"/>
  <c r="BA38" i="5" s="1"/>
  <c r="AQ5" i="5"/>
  <c r="BA5" i="5" s="1"/>
  <c r="Z202" i="5"/>
  <c r="AA202" i="5" s="1"/>
  <c r="AQ152" i="5"/>
  <c r="BA152" i="5" s="1"/>
  <c r="AL216" i="5"/>
  <c r="AZ105" i="5"/>
  <c r="Z77" i="5"/>
  <c r="AA77" i="5" s="1"/>
  <c r="Z87" i="5"/>
  <c r="AA87" i="5" s="1"/>
  <c r="AZ11" i="5"/>
  <c r="AZ7" i="5"/>
  <c r="AZ91" i="5"/>
  <c r="Z35" i="5"/>
  <c r="AA35" i="5" s="1"/>
  <c r="AK102" i="5"/>
  <c r="AU371" i="5"/>
  <c r="AV371" i="5" s="1"/>
  <c r="AU440" i="5"/>
  <c r="AV440" i="5" s="1"/>
  <c r="AU331" i="5"/>
  <c r="AV331" i="5" s="1"/>
  <c r="AK211" i="5"/>
  <c r="AK136" i="5"/>
  <c r="AK156" i="5"/>
  <c r="AU374" i="5"/>
  <c r="AV374" i="5" s="1"/>
  <c r="AK225" i="5"/>
  <c r="AK197" i="5"/>
  <c r="AK34" i="5"/>
  <c r="AK217" i="5"/>
  <c r="AU377" i="5"/>
  <c r="AV377" i="5" s="1"/>
  <c r="AY377" i="5" s="1"/>
  <c r="AU425" i="5"/>
  <c r="AV425" i="5" s="1"/>
  <c r="AU292" i="5"/>
  <c r="AV292" i="5" s="1"/>
  <c r="AU286" i="5"/>
  <c r="AV286" i="5" s="1"/>
  <c r="AK210" i="5"/>
  <c r="AK149" i="5"/>
  <c r="AU417" i="5"/>
  <c r="AV417" i="5" s="1"/>
  <c r="AY417" i="5" s="1"/>
  <c r="AU408" i="5"/>
  <c r="AV408" i="5" s="1"/>
  <c r="AK191" i="5"/>
  <c r="AK161" i="5"/>
  <c r="AU363" i="5"/>
  <c r="AV363" i="5" s="1"/>
  <c r="AU293" i="5"/>
  <c r="AV293" i="5" s="1"/>
  <c r="AK113" i="5"/>
  <c r="AK203" i="5"/>
  <c r="AK108" i="5"/>
  <c r="AK123" i="5"/>
  <c r="AK186" i="5"/>
  <c r="AK134" i="5"/>
  <c r="AK135" i="5"/>
  <c r="AU458" i="5"/>
  <c r="AV458" i="5" s="1"/>
  <c r="AK133" i="5"/>
  <c r="AK45" i="5"/>
  <c r="AU413" i="5"/>
  <c r="AV413" i="5" s="1"/>
  <c r="AY413" i="5" s="1"/>
  <c r="AU439" i="5"/>
  <c r="AV439" i="5" s="1"/>
  <c r="AY439" i="5" s="1"/>
  <c r="AU351" i="5"/>
  <c r="AV351" i="5" s="1"/>
  <c r="AY351" i="5" s="1"/>
  <c r="AK130" i="5"/>
  <c r="AU490" i="5"/>
  <c r="AV490" i="5" s="1"/>
  <c r="AU325" i="5"/>
  <c r="AV325" i="5" s="1"/>
  <c r="AY325" i="5" s="1"/>
  <c r="AK167" i="5"/>
  <c r="AK152" i="5"/>
  <c r="AK144" i="5"/>
  <c r="AK100" i="5"/>
  <c r="AK87" i="5"/>
  <c r="AK54" i="5"/>
  <c r="AK199" i="5"/>
  <c r="AK48" i="5"/>
  <c r="AK216" i="5"/>
  <c r="AK146" i="5"/>
  <c r="AK148" i="5"/>
  <c r="AK178" i="5"/>
  <c r="AK158" i="5"/>
  <c r="AK138" i="5"/>
  <c r="AK36" i="5"/>
  <c r="AK179" i="5"/>
  <c r="AK53" i="5"/>
  <c r="AK164" i="5"/>
  <c r="AK101" i="5"/>
  <c r="AK39" i="5"/>
  <c r="AK11" i="5"/>
  <c r="AK28" i="5"/>
  <c r="AK61" i="5"/>
  <c r="AK213" i="5"/>
  <c r="AU370" i="5"/>
  <c r="AV370" i="5" s="1"/>
  <c r="AY370" i="5" s="1"/>
  <c r="AK59" i="5"/>
  <c r="AK69" i="5"/>
  <c r="AK215" i="5"/>
  <c r="AY371" i="5"/>
  <c r="AY374" i="5"/>
  <c r="BB339" i="5"/>
  <c r="AY363" i="5"/>
  <c r="AW286" i="5"/>
  <c r="BP216" i="5"/>
  <c r="BN216" i="5"/>
  <c r="BB466" i="5"/>
  <c r="BB377" i="5"/>
  <c r="AO477" i="5"/>
  <c r="AR477" i="5" s="1"/>
  <c r="AS477" i="5" s="1"/>
  <c r="AW477" i="5"/>
  <c r="AX477" i="5" s="1"/>
  <c r="BN453" i="5"/>
  <c r="BP453" i="5"/>
  <c r="AQ135" i="5"/>
  <c r="BA135" i="5" s="1"/>
  <c r="BL96" i="5"/>
  <c r="BL54" i="5"/>
  <c r="W70" i="5"/>
  <c r="Z70" i="5" s="1"/>
  <c r="AA70" i="5" s="1"/>
  <c r="AL70" i="5"/>
  <c r="BP101" i="5"/>
  <c r="BN101" i="5"/>
  <c r="U17" i="5"/>
  <c r="AL17" i="5"/>
  <c r="AB65" i="5"/>
  <c r="AO65" i="5" s="1"/>
  <c r="AQ65" i="5"/>
  <c r="BA65" i="5" s="1"/>
  <c r="Z65" i="5"/>
  <c r="AA65" i="5" s="1"/>
  <c r="AD34" i="5"/>
  <c r="AJ34" i="5"/>
  <c r="AH6" i="5"/>
  <c r="AI6" i="5" s="1"/>
  <c r="AQ6" i="5"/>
  <c r="BA6" i="5" s="1"/>
  <c r="AZ8" i="5"/>
  <c r="AQ112" i="5"/>
  <c r="BA112" i="5" s="1"/>
  <c r="AZ112" i="5"/>
  <c r="AZ80" i="5"/>
  <c r="BL11" i="5"/>
  <c r="W149" i="5"/>
  <c r="Z149" i="5" s="1"/>
  <c r="AA149" i="5" s="1"/>
  <c r="AL149" i="5"/>
  <c r="BL61" i="5"/>
  <c r="AH24" i="5"/>
  <c r="AI24" i="5" s="1"/>
  <c r="Z24" i="5"/>
  <c r="AA24" i="5" s="1"/>
  <c r="AB24" i="5"/>
  <c r="AO24" i="5" s="1"/>
  <c r="AJ10" i="5"/>
  <c r="AH16" i="5"/>
  <c r="AI16" i="5" s="1"/>
  <c r="Z16" i="5"/>
  <c r="AA16" i="5" s="1"/>
  <c r="AB36" i="5"/>
  <c r="AO36" i="5" s="1"/>
  <c r="AQ36" i="5"/>
  <c r="BA36" i="5" s="1"/>
  <c r="Z36" i="5"/>
  <c r="AA36" i="5" s="1"/>
  <c r="AX310" i="5"/>
  <c r="AD414" i="5"/>
  <c r="AJ414" i="5"/>
  <c r="BP166" i="5"/>
  <c r="BN166" i="5"/>
  <c r="AL184" i="5"/>
  <c r="U184" i="5"/>
  <c r="BL155" i="5"/>
  <c r="BP155" i="5" s="1"/>
  <c r="Z173" i="5"/>
  <c r="AA173" i="5" s="1"/>
  <c r="AB173" i="5"/>
  <c r="AW173" i="5" s="1"/>
  <c r="AQ173" i="5"/>
  <c r="BA173" i="5" s="1"/>
  <c r="U200" i="5"/>
  <c r="AL200" i="5"/>
  <c r="BL51" i="5"/>
  <c r="AL129" i="5"/>
  <c r="U129" i="5"/>
  <c r="AL104" i="5"/>
  <c r="U104" i="5"/>
  <c r="Z60" i="5"/>
  <c r="AA60" i="5" s="1"/>
  <c r="AQ60" i="5"/>
  <c r="BA60" i="5" s="1"/>
  <c r="AB60" i="5"/>
  <c r="AH122" i="5"/>
  <c r="AI122" i="5" s="1"/>
  <c r="AB122" i="5"/>
  <c r="Z64" i="5"/>
  <c r="AA64" i="5" s="1"/>
  <c r="AB64" i="5"/>
  <c r="BP50" i="5"/>
  <c r="BN50" i="5"/>
  <c r="AZ65" i="5"/>
  <c r="AZ52" i="5"/>
  <c r="AQ70" i="5"/>
  <c r="BA70" i="5" s="1"/>
  <c r="AB70" i="5"/>
  <c r="AQ11" i="5"/>
  <c r="BA11" i="5" s="1"/>
  <c r="AB125" i="5"/>
  <c r="AH67" i="5"/>
  <c r="AI67" i="5" s="1"/>
  <c r="AB67" i="5"/>
  <c r="U10" i="5"/>
  <c r="AL10" i="5"/>
  <c r="W15" i="5"/>
  <c r="Z15" i="5" s="1"/>
  <c r="AA15" i="5" s="1"/>
  <c r="AL15" i="5"/>
  <c r="BP72" i="5"/>
  <c r="BN72" i="5"/>
  <c r="BL34" i="5"/>
  <c r="BN34" i="5" s="1"/>
  <c r="BL6" i="5"/>
  <c r="BN6" i="5" s="1"/>
  <c r="AH22" i="5"/>
  <c r="AI22" i="5" s="1"/>
  <c r="AQ22" i="5"/>
  <c r="BA22" i="5" s="1"/>
  <c r="AB22" i="5"/>
  <c r="AW22" i="5" s="1"/>
  <c r="Z22" i="5"/>
  <c r="AA22" i="5" s="1"/>
  <c r="BP75" i="5"/>
  <c r="BN75" i="5"/>
  <c r="Z2" i="5"/>
  <c r="AA2" i="5" s="1"/>
  <c r="AB2" i="5"/>
  <c r="Z85" i="5"/>
  <c r="AA85" i="5" s="1"/>
  <c r="U47" i="5"/>
  <c r="AL47" i="5"/>
  <c r="BP35" i="5"/>
  <c r="BN35" i="5"/>
  <c r="AB31" i="5"/>
  <c r="AO31" i="5" s="1"/>
  <c r="AQ9" i="5"/>
  <c r="BA9" i="5" s="1"/>
  <c r="Z9" i="5"/>
  <c r="AA9" i="5" s="1"/>
  <c r="AB33" i="5"/>
  <c r="Z33" i="5"/>
  <c r="AA33" i="5" s="1"/>
  <c r="AD449" i="5"/>
  <c r="AJ449" i="5"/>
  <c r="BL169" i="5"/>
  <c r="BN169" i="5" s="1"/>
  <c r="AL189" i="5"/>
  <c r="AL157" i="5"/>
  <c r="AZ182" i="5"/>
  <c r="AZ128" i="5"/>
  <c r="AH109" i="5"/>
  <c r="AI109" i="5" s="1"/>
  <c r="AQ109" i="5"/>
  <c r="BA109" i="5" s="1"/>
  <c r="AH50" i="5"/>
  <c r="AI50" i="5" s="1"/>
  <c r="AB50" i="5"/>
  <c r="AQ50" i="5"/>
  <c r="BA50" i="5" s="1"/>
  <c r="AQ110" i="5"/>
  <c r="BA110" i="5" s="1"/>
  <c r="AB110" i="5"/>
  <c r="AW110" i="5" s="1"/>
  <c r="Z110" i="5"/>
  <c r="AA110" i="5" s="1"/>
  <c r="AQ124" i="5"/>
  <c r="BA124" i="5" s="1"/>
  <c r="W54" i="5"/>
  <c r="Z54" i="5" s="1"/>
  <c r="AA54" i="5" s="1"/>
  <c r="AL54" i="5"/>
  <c r="BL114" i="5"/>
  <c r="Z12" i="5"/>
  <c r="AA12" i="5" s="1"/>
  <c r="AH12" i="5"/>
  <c r="AI12" i="5" s="1"/>
  <c r="AJ12" i="5" s="1"/>
  <c r="BL4" i="5"/>
  <c r="BP4" i="5" s="1"/>
  <c r="Z44" i="5"/>
  <c r="AA44" i="5" s="1"/>
  <c r="AQ44" i="5"/>
  <c r="BA44" i="5" s="1"/>
  <c r="AB44" i="5"/>
  <c r="AO44" i="5" s="1"/>
  <c r="Z68" i="5"/>
  <c r="AA68" i="5" s="1"/>
  <c r="AB68" i="5"/>
  <c r="AO68" i="5" s="1"/>
  <c r="AQ19" i="5"/>
  <c r="BA19" i="5" s="1"/>
  <c r="AB19" i="5"/>
  <c r="AW19" i="5" s="1"/>
  <c r="Z19" i="5"/>
  <c r="AA19" i="5" s="1"/>
  <c r="AQ102" i="5"/>
  <c r="BA102" i="5" s="1"/>
  <c r="AB42" i="5"/>
  <c r="AQ42" i="5"/>
  <c r="BA42" i="5" s="1"/>
  <c r="AQ30" i="5"/>
  <c r="BA30" i="5" s="1"/>
  <c r="Z30" i="5"/>
  <c r="AA30" i="5" s="1"/>
  <c r="Z83" i="5"/>
  <c r="AA83" i="5" s="1"/>
  <c r="AH3" i="5"/>
  <c r="AI3" i="5" s="1"/>
  <c r="AB3" i="5"/>
  <c r="AW3" i="5" s="1"/>
  <c r="U5" i="5"/>
  <c r="AL5" i="5"/>
  <c r="AQ29" i="5"/>
  <c r="AB29" i="5"/>
  <c r="AO29" i="5" s="1"/>
  <c r="Z29" i="5"/>
  <c r="AA29" i="5" s="1"/>
  <c r="BL157" i="5"/>
  <c r="AB140" i="5"/>
  <c r="AW140" i="5" s="1"/>
  <c r="Z140" i="5"/>
  <c r="AA140" i="5" s="1"/>
  <c r="AQ140" i="5"/>
  <c r="BA140" i="5" s="1"/>
  <c r="BL196" i="5"/>
  <c r="AZ89" i="5"/>
  <c r="BL111" i="5"/>
  <c r="BP111" i="5" s="1"/>
  <c r="AQ190" i="5"/>
  <c r="BA190" i="5" s="1"/>
  <c r="Z190" i="5"/>
  <c r="AA190" i="5" s="1"/>
  <c r="AH121" i="5"/>
  <c r="AI121" i="5" s="1"/>
  <c r="AB121" i="5"/>
  <c r="W109" i="5"/>
  <c r="Z109" i="5" s="1"/>
  <c r="AA109" i="5" s="1"/>
  <c r="AL109" i="5"/>
  <c r="W84" i="5"/>
  <c r="Z84" i="5" s="1"/>
  <c r="AA84" i="5" s="1"/>
  <c r="AJ84" i="5"/>
  <c r="AD84" i="5"/>
  <c r="AH55" i="5"/>
  <c r="AI55" i="5" s="1"/>
  <c r="AQ55" i="5"/>
  <c r="BA55" i="5" s="1"/>
  <c r="AB15" i="5"/>
  <c r="AJ60" i="5"/>
  <c r="AD60" i="5"/>
  <c r="AZ41" i="5"/>
  <c r="BL2" i="5"/>
  <c r="Z126" i="5"/>
  <c r="AA126" i="5" s="1"/>
  <c r="AQ126" i="5"/>
  <c r="BA126" i="5" s="1"/>
  <c r="AQ37" i="5"/>
  <c r="BA37" i="5" s="1"/>
  <c r="AB37" i="5"/>
  <c r="AW37" i="5" s="1"/>
  <c r="Z37" i="5"/>
  <c r="AA37" i="5" s="1"/>
  <c r="BP25" i="5"/>
  <c r="BN25" i="5"/>
  <c r="BL73" i="5"/>
  <c r="BP73" i="5" s="1"/>
  <c r="Z43" i="5"/>
  <c r="AA43" i="5" s="1"/>
  <c r="AH43" i="5"/>
  <c r="AI43" i="5" s="1"/>
  <c r="AJ43" i="5" s="1"/>
  <c r="AB43" i="5"/>
  <c r="AW43" i="5" s="1"/>
  <c r="W6" i="5"/>
  <c r="Z6" i="5" s="1"/>
  <c r="AA6" i="5" s="1"/>
  <c r="AL6" i="5"/>
  <c r="AQ18" i="5"/>
  <c r="BA18" i="5" s="1"/>
  <c r="Z18" i="5"/>
  <c r="AA18" i="5" s="1"/>
  <c r="BP29" i="5"/>
  <c r="BN29" i="5"/>
  <c r="AZ54" i="5"/>
  <c r="AH74" i="5"/>
  <c r="AI74" i="5" s="1"/>
  <c r="U112" i="5"/>
  <c r="BP69" i="5"/>
  <c r="BN69" i="5"/>
  <c r="AD458" i="5"/>
  <c r="AJ458" i="5"/>
  <c r="BP412" i="5"/>
  <c r="BN412" i="5"/>
  <c r="AL83" i="5"/>
  <c r="AH72" i="5"/>
  <c r="AI72" i="5" s="1"/>
  <c r="AD72" i="5" s="1"/>
  <c r="AL31" i="5"/>
  <c r="AL24" i="5"/>
  <c r="AL3" i="5"/>
  <c r="AJ374" i="5"/>
  <c r="AS311" i="5"/>
  <c r="BN298" i="5"/>
  <c r="BP298" i="5"/>
  <c r="AJ468" i="5"/>
  <c r="BN433" i="5"/>
  <c r="BP433" i="5"/>
  <c r="BP321" i="5"/>
  <c r="BN321" i="5"/>
  <c r="BP303" i="5"/>
  <c r="BN303" i="5"/>
  <c r="Z42" i="5"/>
  <c r="AA42" i="5" s="1"/>
  <c r="BN435" i="5"/>
  <c r="BP390" i="5"/>
  <c r="Z62" i="5"/>
  <c r="AA62" i="5" s="1"/>
  <c r="AJ459" i="5"/>
  <c r="AD459" i="5"/>
  <c r="BN413" i="5"/>
  <c r="BP413" i="5"/>
  <c r="AZ154" i="5"/>
  <c r="AQ103" i="5"/>
  <c r="BA103" i="5" s="1"/>
  <c r="Z127" i="5"/>
  <c r="AA127" i="5" s="1"/>
  <c r="BB440" i="5"/>
  <c r="AL91" i="5"/>
  <c r="Z92" i="5"/>
  <c r="AA92" i="5" s="1"/>
  <c r="AL114" i="5"/>
  <c r="AU480" i="5"/>
  <c r="AV480" i="5" s="1"/>
  <c r="Z91" i="5"/>
  <c r="AA91" i="5" s="1"/>
  <c r="AB63" i="5"/>
  <c r="AL113" i="5"/>
  <c r="AB128" i="5"/>
  <c r="AB38" i="5"/>
  <c r="AZ44" i="5"/>
  <c r="AD30" i="5"/>
  <c r="AL4" i="5"/>
  <c r="AB66" i="5"/>
  <c r="AZ43" i="5"/>
  <c r="AB192" i="5"/>
  <c r="AL182" i="5"/>
  <c r="AZ158" i="5"/>
  <c r="AL125" i="5"/>
  <c r="AZ37" i="5"/>
  <c r="AZ39" i="5"/>
  <c r="AB12" i="5"/>
  <c r="AZ184" i="5"/>
  <c r="BL105" i="5"/>
  <c r="AZ151" i="5"/>
  <c r="AQ87" i="5"/>
  <c r="BA87" i="5" s="1"/>
  <c r="AQ84" i="5"/>
  <c r="AZ178" i="5"/>
  <c r="Z17" i="5"/>
  <c r="AA17" i="5" s="1"/>
  <c r="AU298" i="5"/>
  <c r="AV298" i="5" s="1"/>
  <c r="AZ180" i="5"/>
  <c r="AB72" i="5"/>
  <c r="AL169" i="5"/>
  <c r="AB71" i="5"/>
  <c r="AB8" i="5"/>
  <c r="AZ40" i="5"/>
  <c r="AZ16" i="5"/>
  <c r="AZ12" i="5"/>
  <c r="Z133" i="5"/>
  <c r="AA133" i="5" s="1"/>
  <c r="BP64" i="5"/>
  <c r="AQ72" i="5"/>
  <c r="BA72" i="5" s="1"/>
  <c r="Z48" i="5"/>
  <c r="AA48" i="5" s="1"/>
  <c r="AZ113" i="5"/>
  <c r="AL108" i="5"/>
  <c r="AZ64" i="5"/>
  <c r="Z57" i="5"/>
  <c r="AA57" i="5" s="1"/>
  <c r="AZ70" i="5"/>
  <c r="AB5" i="5"/>
  <c r="AZ38" i="5"/>
  <c r="AB190" i="5"/>
  <c r="AZ143" i="5"/>
  <c r="AJ69" i="5"/>
  <c r="AZ92" i="5"/>
  <c r="Z97" i="5"/>
  <c r="AA97" i="5" s="1"/>
  <c r="AB84" i="5"/>
  <c r="AL128" i="5"/>
  <c r="AZ67" i="5"/>
  <c r="AL152" i="5"/>
  <c r="AZ82" i="5"/>
  <c r="AB21" i="5"/>
  <c r="AZ24" i="5"/>
  <c r="AZ10" i="5"/>
  <c r="AZ59" i="5"/>
  <c r="AZ96" i="5"/>
  <c r="BN495" i="5"/>
  <c r="BP495" i="5"/>
  <c r="BN463" i="5"/>
  <c r="BP463" i="5"/>
  <c r="BP455" i="5"/>
  <c r="BN455" i="5"/>
  <c r="BN445" i="5"/>
  <c r="BP445" i="5"/>
  <c r="AD478" i="5"/>
  <c r="AJ478" i="5"/>
  <c r="BN449" i="5"/>
  <c r="BP449" i="5"/>
  <c r="BN366" i="5"/>
  <c r="BP366" i="5"/>
  <c r="BN466" i="5"/>
  <c r="BP466" i="5"/>
  <c r="BN381" i="5"/>
  <c r="BP381" i="5"/>
  <c r="BP299" i="5"/>
  <c r="BN299" i="5"/>
  <c r="BP380" i="5"/>
  <c r="BN380" i="5"/>
  <c r="BP336" i="5"/>
  <c r="BN336" i="5"/>
  <c r="BN287" i="5"/>
  <c r="BP287" i="5"/>
  <c r="BP368" i="5"/>
  <c r="BN368" i="5"/>
  <c r="AW310" i="5"/>
  <c r="AO310" i="5"/>
  <c r="BN158" i="5"/>
  <c r="BP158" i="5"/>
  <c r="AR299" i="5"/>
  <c r="BB299" i="5"/>
  <c r="AX276" i="5"/>
  <c r="BA276" i="5"/>
  <c r="BB276" i="5" s="1"/>
  <c r="BP386" i="5"/>
  <c r="BN386" i="5"/>
  <c r="BN28" i="5"/>
  <c r="BP28" i="5"/>
  <c r="BP138" i="5"/>
  <c r="BN138" i="5"/>
  <c r="BN44" i="5"/>
  <c r="BP409" i="5"/>
  <c r="BN409" i="5"/>
  <c r="BP211" i="5"/>
  <c r="BN211" i="5"/>
  <c r="BN66" i="5"/>
  <c r="BP66" i="5"/>
  <c r="BN194" i="5"/>
  <c r="BP194" i="5"/>
  <c r="BN145" i="5"/>
  <c r="BP145" i="5"/>
  <c r="AJ206" i="5"/>
  <c r="AJ173" i="5"/>
  <c r="BP436" i="5"/>
  <c r="BN436" i="5"/>
  <c r="BN149" i="5"/>
  <c r="BP149" i="5"/>
  <c r="BP398" i="5"/>
  <c r="BN398" i="5"/>
  <c r="BN378" i="5"/>
  <c r="BP378" i="5"/>
  <c r="AX298" i="5"/>
  <c r="AY298" i="5" s="1"/>
  <c r="BP142" i="5"/>
  <c r="BN142" i="5"/>
  <c r="BP180" i="5"/>
  <c r="BN180" i="5"/>
  <c r="AS339" i="5"/>
  <c r="BP426" i="5"/>
  <c r="BB326" i="5"/>
  <c r="AW299" i="5"/>
  <c r="AX299" i="5" s="1"/>
  <c r="AS353" i="5"/>
  <c r="AW502" i="5"/>
  <c r="AX502" i="5" s="1"/>
  <c r="AO502" i="5"/>
  <c r="BP458" i="5"/>
  <c r="BN458" i="5"/>
  <c r="AW294" i="5"/>
  <c r="AX294" i="5" s="1"/>
  <c r="AO294" i="5"/>
  <c r="AR294" i="5" s="1"/>
  <c r="AS294" i="5" s="1"/>
  <c r="BN498" i="5"/>
  <c r="BP498" i="5"/>
  <c r="BP294" i="5"/>
  <c r="BN294" i="5"/>
  <c r="AW282" i="5"/>
  <c r="AX282" i="5" s="1"/>
  <c r="AO282" i="5"/>
  <c r="AS466" i="5"/>
  <c r="AO276" i="5"/>
  <c r="BP40" i="5"/>
  <c r="AW326" i="5"/>
  <c r="AX326" i="5" s="1"/>
  <c r="AO326" i="5"/>
  <c r="AR326" i="5" s="1"/>
  <c r="AS326" i="5" s="1"/>
  <c r="AO402" i="5"/>
  <c r="AW402" i="5"/>
  <c r="AX402" i="5" s="1"/>
  <c r="AW472" i="5"/>
  <c r="AX472" i="5" s="1"/>
  <c r="AO472" i="5"/>
  <c r="AR472" i="5" s="1"/>
  <c r="AS472" i="5" s="1"/>
  <c r="BP209" i="5"/>
  <c r="BN209" i="5"/>
  <c r="BP333" i="5"/>
  <c r="BN333" i="5"/>
  <c r="BN172" i="5"/>
  <c r="BP172" i="5"/>
  <c r="BN15" i="5"/>
  <c r="BP15" i="5"/>
  <c r="BN53" i="5"/>
  <c r="BP53" i="5"/>
  <c r="BP411" i="5"/>
  <c r="BN411" i="5"/>
  <c r="BP397" i="5"/>
  <c r="BN397" i="5"/>
  <c r="BN289" i="5"/>
  <c r="BP289" i="5"/>
  <c r="AX422" i="5"/>
  <c r="AW430" i="5"/>
  <c r="AX430" i="5" s="1"/>
  <c r="AO430" i="5"/>
  <c r="AR430" i="5" s="1"/>
  <c r="AS430" i="5" s="1"/>
  <c r="BP210" i="5"/>
  <c r="BN210" i="5"/>
  <c r="BN46" i="5"/>
  <c r="BP46" i="5"/>
  <c r="BM374" i="5"/>
  <c r="BF374" i="5"/>
  <c r="BD374" i="5"/>
  <c r="BC374" i="5"/>
  <c r="BF466" i="5"/>
  <c r="BD466" i="5"/>
  <c r="BM466" i="5"/>
  <c r="BC466" i="5"/>
  <c r="BM417" i="5"/>
  <c r="BF417" i="5"/>
  <c r="BC417" i="5"/>
  <c r="BD417" i="5"/>
  <c r="BD413" i="5"/>
  <c r="BM413" i="5"/>
  <c r="BC413" i="5"/>
  <c r="BF413" i="5"/>
  <c r="BF370" i="5"/>
  <c r="BD370" i="5"/>
  <c r="BC370" i="5"/>
  <c r="BM370" i="5"/>
  <c r="BM339" i="5"/>
  <c r="BD339" i="5"/>
  <c r="BF339" i="5"/>
  <c r="BC339" i="5"/>
  <c r="BN496" i="5"/>
  <c r="BP496" i="5"/>
  <c r="AD496" i="5"/>
  <c r="AJ496" i="5"/>
  <c r="BA458" i="5"/>
  <c r="BB458" i="5" s="1"/>
  <c r="AX458" i="5"/>
  <c r="AY458" i="5" s="1"/>
  <c r="AW280" i="5"/>
  <c r="AX280" i="5" s="1"/>
  <c r="AO280" i="5"/>
  <c r="BA300" i="5"/>
  <c r="AD200" i="5"/>
  <c r="AJ200" i="5"/>
  <c r="AJ77" i="5"/>
  <c r="AD77" i="5"/>
  <c r="BP74" i="5"/>
  <c r="BN74" i="5"/>
  <c r="BP115" i="5"/>
  <c r="BN115" i="5"/>
  <c r="AD80" i="5"/>
  <c r="AJ80" i="5"/>
  <c r="BP121" i="5"/>
  <c r="BN121" i="5"/>
  <c r="AJ37" i="5"/>
  <c r="AD37" i="5"/>
  <c r="BN36" i="5"/>
  <c r="BP36" i="5"/>
  <c r="AJ52" i="5"/>
  <c r="AD52" i="5"/>
  <c r="BP38" i="5"/>
  <c r="BN38" i="5"/>
  <c r="BA475" i="5"/>
  <c r="AJ483" i="5"/>
  <c r="AD483" i="5"/>
  <c r="AR451" i="5"/>
  <c r="AS451" i="5" s="1"/>
  <c r="BB451" i="5"/>
  <c r="BP438" i="5"/>
  <c r="BN438" i="5"/>
  <c r="AO438" i="5"/>
  <c r="AW438" i="5"/>
  <c r="BA433" i="5"/>
  <c r="BA416" i="5"/>
  <c r="BB416" i="5" s="1"/>
  <c r="AX416" i="5"/>
  <c r="AW410" i="5"/>
  <c r="AO410" i="5"/>
  <c r="AW432" i="5"/>
  <c r="AO432" i="5"/>
  <c r="AO436" i="5"/>
  <c r="AW436" i="5"/>
  <c r="AO428" i="5"/>
  <c r="AW428" i="5"/>
  <c r="AX428" i="5" s="1"/>
  <c r="BN373" i="5"/>
  <c r="BP373" i="5"/>
  <c r="AW412" i="5"/>
  <c r="AO412" i="5"/>
  <c r="AO324" i="5"/>
  <c r="AW324" i="5"/>
  <c r="AX324" i="5" s="1"/>
  <c r="AR399" i="5"/>
  <c r="AS399" i="5" s="1"/>
  <c r="BA387" i="5"/>
  <c r="AD367" i="5"/>
  <c r="AJ367" i="5"/>
  <c r="AJ423" i="5"/>
  <c r="AD423" i="5"/>
  <c r="AO320" i="5"/>
  <c r="AW320" i="5"/>
  <c r="AO355" i="5"/>
  <c r="AW355" i="5"/>
  <c r="AX355" i="5" s="1"/>
  <c r="BP383" i="5"/>
  <c r="BN383" i="5"/>
  <c r="AR398" i="5"/>
  <c r="AS398" i="5" s="1"/>
  <c r="BB398" i="5"/>
  <c r="BN334" i="5"/>
  <c r="BP334" i="5"/>
  <c r="AO419" i="5"/>
  <c r="AW419" i="5"/>
  <c r="AO347" i="5"/>
  <c r="AW347" i="5"/>
  <c r="AO367" i="5"/>
  <c r="AW367" i="5"/>
  <c r="AX367" i="5" s="1"/>
  <c r="BA354" i="5"/>
  <c r="BB353" i="5"/>
  <c r="AW361" i="5"/>
  <c r="AX361" i="5" s="1"/>
  <c r="AO361" i="5"/>
  <c r="AO288" i="5"/>
  <c r="AW288" i="5"/>
  <c r="AD321" i="5"/>
  <c r="AJ321" i="5"/>
  <c r="AJ352" i="5"/>
  <c r="AD352" i="5"/>
  <c r="BA291" i="5"/>
  <c r="AJ282" i="5"/>
  <c r="AD282" i="5"/>
  <c r="AO281" i="5"/>
  <c r="AW281" i="5"/>
  <c r="AW380" i="5"/>
  <c r="AO380" i="5"/>
  <c r="AO319" i="5"/>
  <c r="AW319" i="5"/>
  <c r="AX319" i="5" s="1"/>
  <c r="BP200" i="5"/>
  <c r="BN200" i="5"/>
  <c r="BN213" i="5"/>
  <c r="BP213" i="5"/>
  <c r="BN222" i="5"/>
  <c r="BP222" i="5"/>
  <c r="AJ163" i="5"/>
  <c r="AD163" i="5"/>
  <c r="AW307" i="5"/>
  <c r="AX307" i="5" s="1"/>
  <c r="AO307" i="5"/>
  <c r="AD218" i="5"/>
  <c r="AJ218" i="5"/>
  <c r="BP159" i="5"/>
  <c r="BN159" i="5"/>
  <c r="BN146" i="5"/>
  <c r="BP146" i="5"/>
  <c r="AD132" i="5"/>
  <c r="AJ132" i="5"/>
  <c r="BP88" i="5"/>
  <c r="BN88" i="5"/>
  <c r="BP136" i="5"/>
  <c r="BN136" i="5"/>
  <c r="BP108" i="5"/>
  <c r="BN108" i="5"/>
  <c r="BP85" i="5"/>
  <c r="BN85" i="5"/>
  <c r="AJ89" i="5"/>
  <c r="AD89" i="5"/>
  <c r="BP12" i="5"/>
  <c r="BN12" i="5"/>
  <c r="AD94" i="5"/>
  <c r="AJ94" i="5"/>
  <c r="AD101" i="5"/>
  <c r="AJ101" i="5"/>
  <c r="BN120" i="5"/>
  <c r="BP120" i="5"/>
  <c r="AD99" i="5"/>
  <c r="AJ99" i="5"/>
  <c r="AD436" i="5"/>
  <c r="AJ436" i="5"/>
  <c r="BP434" i="5"/>
  <c r="BN434" i="5"/>
  <c r="AJ401" i="5"/>
  <c r="AD401" i="5"/>
  <c r="BA352" i="5"/>
  <c r="AJ296" i="5"/>
  <c r="AD296" i="5"/>
  <c r="AD207" i="5"/>
  <c r="AJ207" i="5"/>
  <c r="AD192" i="5"/>
  <c r="AJ192" i="5"/>
  <c r="AJ92" i="5"/>
  <c r="AD92" i="5"/>
  <c r="BP139" i="5"/>
  <c r="BN139" i="5"/>
  <c r="AO489" i="5"/>
  <c r="AW489" i="5"/>
  <c r="AX489" i="5" s="1"/>
  <c r="AO499" i="5"/>
  <c r="AW499" i="5"/>
  <c r="AX499" i="5" s="1"/>
  <c r="BP459" i="5"/>
  <c r="BN459" i="5"/>
  <c r="AO474" i="5"/>
  <c r="AW474" i="5"/>
  <c r="AX474" i="5" s="1"/>
  <c r="AD475" i="5"/>
  <c r="AJ475" i="5"/>
  <c r="BA438" i="5"/>
  <c r="AX438" i="5"/>
  <c r="AW444" i="5"/>
  <c r="AX444" i="5" s="1"/>
  <c r="AO444" i="5"/>
  <c r="AX410" i="5"/>
  <c r="BA410" i="5"/>
  <c r="AJ428" i="5"/>
  <c r="AD428" i="5"/>
  <c r="AO392" i="5"/>
  <c r="AW392" i="5"/>
  <c r="AX392" i="5" s="1"/>
  <c r="AW442" i="5"/>
  <c r="AX442" i="5" s="1"/>
  <c r="AO442" i="5"/>
  <c r="BN330" i="5"/>
  <c r="BP330" i="5"/>
  <c r="BA347" i="5"/>
  <c r="AX347" i="5"/>
  <c r="BA367" i="5"/>
  <c r="BM311" i="5"/>
  <c r="BF311" i="5"/>
  <c r="BD311" i="5"/>
  <c r="BC311" i="5"/>
  <c r="AJ353" i="5"/>
  <c r="AD353" i="5"/>
  <c r="BA337" i="5"/>
  <c r="BP316" i="5"/>
  <c r="BN316" i="5"/>
  <c r="AO395" i="5"/>
  <c r="AW395" i="5"/>
  <c r="AD320" i="5"/>
  <c r="AJ320" i="5"/>
  <c r="AO302" i="5"/>
  <c r="AW302" i="5"/>
  <c r="AX302" i="5" s="1"/>
  <c r="BA288" i="5"/>
  <c r="AX288" i="5"/>
  <c r="AO289" i="5"/>
  <c r="AW289" i="5"/>
  <c r="AX289" i="5" s="1"/>
  <c r="AR317" i="5"/>
  <c r="AS317" i="5" s="1"/>
  <c r="AW308" i="5"/>
  <c r="AX308" i="5" s="1"/>
  <c r="AO308" i="5"/>
  <c r="BB278" i="5"/>
  <c r="AR278" i="5"/>
  <c r="AS278" i="5" s="1"/>
  <c r="AX281" i="5"/>
  <c r="BA281" i="5"/>
  <c r="AO287" i="5"/>
  <c r="AW287" i="5"/>
  <c r="AD380" i="5"/>
  <c r="AJ380" i="5"/>
  <c r="AO290" i="5"/>
  <c r="AW290" i="5"/>
  <c r="AX290" i="5" s="1"/>
  <c r="BN279" i="5"/>
  <c r="BP279" i="5"/>
  <c r="AJ190" i="5"/>
  <c r="AD190" i="5"/>
  <c r="AD175" i="5"/>
  <c r="AJ175" i="5"/>
  <c r="BA307" i="5"/>
  <c r="BP106" i="5"/>
  <c r="BN106" i="5"/>
  <c r="BP135" i="5"/>
  <c r="BN135" i="5"/>
  <c r="BP89" i="5"/>
  <c r="BN89" i="5"/>
  <c r="AD120" i="5"/>
  <c r="AJ120" i="5"/>
  <c r="BN76" i="5"/>
  <c r="BP76" i="5"/>
  <c r="BP107" i="5"/>
  <c r="BN107" i="5"/>
  <c r="BN98" i="5"/>
  <c r="BP98" i="5"/>
  <c r="AD41" i="5"/>
  <c r="AJ41" i="5"/>
  <c r="AJ158" i="5"/>
  <c r="AD158" i="5"/>
  <c r="AD29" i="5"/>
  <c r="AJ29" i="5"/>
  <c r="AD49" i="5"/>
  <c r="AJ49" i="5"/>
  <c r="BP17" i="5"/>
  <c r="BN17" i="5"/>
  <c r="AD35" i="5"/>
  <c r="AJ35" i="5"/>
  <c r="BN7" i="5"/>
  <c r="BP7" i="5"/>
  <c r="BB479" i="5"/>
  <c r="AR479" i="5"/>
  <c r="AS479" i="5" s="1"/>
  <c r="BA495" i="5"/>
  <c r="AD448" i="5"/>
  <c r="AJ448" i="5"/>
  <c r="AD403" i="5"/>
  <c r="AJ403" i="5"/>
  <c r="BA287" i="5"/>
  <c r="AX287" i="5"/>
  <c r="BP204" i="5"/>
  <c r="BN204" i="5"/>
  <c r="AD131" i="5"/>
  <c r="AJ131" i="5"/>
  <c r="BN97" i="5"/>
  <c r="BP97" i="5"/>
  <c r="BP45" i="5"/>
  <c r="BN45" i="5"/>
  <c r="BN117" i="5"/>
  <c r="BP117" i="5"/>
  <c r="AW464" i="5"/>
  <c r="AX464" i="5" s="1"/>
  <c r="AO464" i="5"/>
  <c r="BB490" i="5"/>
  <c r="AO495" i="5"/>
  <c r="AW495" i="5"/>
  <c r="AX495" i="5" s="1"/>
  <c r="AJ504" i="5"/>
  <c r="AD504" i="5"/>
  <c r="AW463" i="5"/>
  <c r="AX463" i="5" s="1"/>
  <c r="AO463" i="5"/>
  <c r="AX432" i="5"/>
  <c r="BA432" i="5"/>
  <c r="AW431" i="5"/>
  <c r="AX431" i="5" s="1"/>
  <c r="AO431" i="5"/>
  <c r="AX420" i="5"/>
  <c r="BA420" i="5"/>
  <c r="AR478" i="5"/>
  <c r="AS478" i="5" s="1"/>
  <c r="BB478" i="5"/>
  <c r="AO393" i="5"/>
  <c r="AW393" i="5"/>
  <c r="AR400" i="5"/>
  <c r="AS400" i="5" s="1"/>
  <c r="BB400" i="5"/>
  <c r="AW391" i="5"/>
  <c r="AX391" i="5" s="1"/>
  <c r="AO391" i="5"/>
  <c r="BA499" i="5"/>
  <c r="AW505" i="5"/>
  <c r="AX505" i="5" s="1"/>
  <c r="AO505" i="5"/>
  <c r="BA489" i="5"/>
  <c r="AO488" i="5"/>
  <c r="AW488" i="5"/>
  <c r="AO465" i="5"/>
  <c r="AW465" i="5"/>
  <c r="AX465" i="5" s="1"/>
  <c r="AO457" i="5"/>
  <c r="AW457" i="5"/>
  <c r="BN488" i="5"/>
  <c r="BP488" i="5"/>
  <c r="AO449" i="5"/>
  <c r="AW449" i="5"/>
  <c r="AX449" i="5" s="1"/>
  <c r="AW448" i="5"/>
  <c r="AO448" i="5"/>
  <c r="BB462" i="5"/>
  <c r="AJ463" i="5"/>
  <c r="AD463" i="5"/>
  <c r="AO456" i="5"/>
  <c r="AW456" i="5"/>
  <c r="AX456" i="5" s="1"/>
  <c r="BA431" i="5"/>
  <c r="AW420" i="5"/>
  <c r="AO420" i="5"/>
  <c r="BA424" i="5"/>
  <c r="BA392" i="5"/>
  <c r="AD416" i="5"/>
  <c r="AJ416" i="5"/>
  <c r="BA393" i="5"/>
  <c r="AX393" i="5"/>
  <c r="BP429" i="5"/>
  <c r="BN429" i="5"/>
  <c r="AD391" i="5"/>
  <c r="AJ391" i="5"/>
  <c r="BA442" i="5"/>
  <c r="BA369" i="5"/>
  <c r="BB369" i="5" s="1"/>
  <c r="AX369" i="5"/>
  <c r="BA375" i="5"/>
  <c r="BB375" i="5" s="1"/>
  <c r="AX375" i="5"/>
  <c r="AD365" i="5"/>
  <c r="AJ365" i="5"/>
  <c r="AO343" i="5"/>
  <c r="AW343" i="5"/>
  <c r="AX343" i="5" s="1"/>
  <c r="AO381" i="5"/>
  <c r="AW381" i="5"/>
  <c r="BN471" i="5"/>
  <c r="BP471" i="5"/>
  <c r="AJ375" i="5"/>
  <c r="AD375" i="5"/>
  <c r="AU375" i="5"/>
  <c r="AV375" i="5" s="1"/>
  <c r="AS329" i="5"/>
  <c r="BB329" i="5"/>
  <c r="AX419" i="5"/>
  <c r="BA419" i="5"/>
  <c r="BA364" i="5"/>
  <c r="AJ291" i="5"/>
  <c r="AD291" i="5"/>
  <c r="AY331" i="5"/>
  <c r="BA395" i="5"/>
  <c r="AX395" i="5"/>
  <c r="AJ361" i="5"/>
  <c r="AD361" i="5"/>
  <c r="BN297" i="5"/>
  <c r="BP297" i="5"/>
  <c r="BA302" i="5"/>
  <c r="BA289" i="5"/>
  <c r="AJ308" i="5"/>
  <c r="AD308" i="5"/>
  <c r="AW295" i="5"/>
  <c r="AO295" i="5"/>
  <c r="AD281" i="5"/>
  <c r="AJ281" i="5"/>
  <c r="AD319" i="5"/>
  <c r="AJ319" i="5"/>
  <c r="BA290" i="5"/>
  <c r="AO305" i="5"/>
  <c r="AW305" i="5"/>
  <c r="AX305" i="5" s="1"/>
  <c r="BN197" i="5"/>
  <c r="BP197" i="5"/>
  <c r="AJ188" i="5"/>
  <c r="AD188" i="5"/>
  <c r="AJ169" i="5"/>
  <c r="AD169" i="5"/>
  <c r="AD133" i="5"/>
  <c r="AJ133" i="5"/>
  <c r="BN147" i="5"/>
  <c r="BP147" i="5"/>
  <c r="AD134" i="5"/>
  <c r="AJ134" i="5"/>
  <c r="AJ155" i="5"/>
  <c r="AD155" i="5"/>
  <c r="BP129" i="5"/>
  <c r="BN129" i="5"/>
  <c r="AJ203" i="5"/>
  <c r="AD203" i="5"/>
  <c r="BP90" i="5"/>
  <c r="BN90" i="5"/>
  <c r="AD87" i="5"/>
  <c r="AJ87" i="5"/>
  <c r="BP128" i="5"/>
  <c r="BN128" i="5"/>
  <c r="AJ70" i="5"/>
  <c r="AD70" i="5"/>
  <c r="BP67" i="5"/>
  <c r="BN67" i="5"/>
  <c r="BN16" i="5"/>
  <c r="BP16" i="5"/>
  <c r="BP457" i="5"/>
  <c r="BN457" i="5"/>
  <c r="AW388" i="5"/>
  <c r="AX388" i="5" s="1"/>
  <c r="AO388" i="5"/>
  <c r="AO291" i="5"/>
  <c r="AW291" i="5"/>
  <c r="AX291" i="5" s="1"/>
  <c r="BN309" i="5"/>
  <c r="BP309" i="5"/>
  <c r="BA449" i="5"/>
  <c r="AO470" i="5"/>
  <c r="AW470" i="5"/>
  <c r="AX470" i="5" s="1"/>
  <c r="AJ494" i="5"/>
  <c r="AD494" i="5"/>
  <c r="BP99" i="5"/>
  <c r="BN99" i="5"/>
  <c r="BP39" i="5"/>
  <c r="BN39" i="5"/>
  <c r="AD467" i="5"/>
  <c r="AJ467" i="5"/>
  <c r="BA427" i="5"/>
  <c r="AR461" i="5"/>
  <c r="AS461" i="5" s="1"/>
  <c r="BA460" i="5"/>
  <c r="BA389" i="5"/>
  <c r="AX389" i="5"/>
  <c r="AO407" i="5"/>
  <c r="AW407" i="5"/>
  <c r="AX407" i="5" s="1"/>
  <c r="BA404" i="5"/>
  <c r="AW389" i="5"/>
  <c r="AO389" i="5"/>
  <c r="AO368" i="5"/>
  <c r="AW368" i="5"/>
  <c r="AX368" i="5" s="1"/>
  <c r="BB452" i="5"/>
  <c r="AR452" i="5"/>
  <c r="AS452" i="5" s="1"/>
  <c r="BP408" i="5"/>
  <c r="BN408" i="5"/>
  <c r="BA376" i="5"/>
  <c r="BP379" i="5"/>
  <c r="BN379" i="5"/>
  <c r="AO372" i="5"/>
  <c r="AW372" i="5"/>
  <c r="BA335" i="5"/>
  <c r="AR360" i="5"/>
  <c r="AS360" i="5" s="1"/>
  <c r="BA345" i="5"/>
  <c r="AX411" i="5"/>
  <c r="BA411" i="5"/>
  <c r="BB411" i="5" s="1"/>
  <c r="BA359" i="5"/>
  <c r="AO349" i="5"/>
  <c r="AW349" i="5"/>
  <c r="AX349" i="5" s="1"/>
  <c r="BA328" i="5"/>
  <c r="AX380" i="5"/>
  <c r="BA380" i="5"/>
  <c r="BA340" i="5"/>
  <c r="AO364" i="5"/>
  <c r="AW364" i="5"/>
  <c r="AX364" i="5" s="1"/>
  <c r="AO357" i="5"/>
  <c r="AW357" i="5"/>
  <c r="AX357" i="5" s="1"/>
  <c r="AW330" i="5"/>
  <c r="AX330" i="5" s="1"/>
  <c r="AO330" i="5"/>
  <c r="BB294" i="5"/>
  <c r="BA346" i="5"/>
  <c r="AJ309" i="5"/>
  <c r="AD309" i="5"/>
  <c r="AJ285" i="5"/>
  <c r="AD285" i="5"/>
  <c r="BP304" i="5"/>
  <c r="BN304" i="5"/>
  <c r="BB316" i="5"/>
  <c r="AR316" i="5"/>
  <c r="AS316" i="5" s="1"/>
  <c r="BP292" i="5"/>
  <c r="BN292" i="5"/>
  <c r="AO312" i="5"/>
  <c r="AW312" i="5"/>
  <c r="BA286" i="5"/>
  <c r="BB286" i="5" s="1"/>
  <c r="AX286" i="5"/>
  <c r="AY286" i="5" s="1"/>
  <c r="BN354" i="5"/>
  <c r="BP354" i="5"/>
  <c r="AJ222" i="5"/>
  <c r="AD222" i="5"/>
  <c r="AJ202" i="5"/>
  <c r="AD202" i="5"/>
  <c r="BN201" i="5"/>
  <c r="BP201" i="5"/>
  <c r="AJ225" i="5"/>
  <c r="AD225" i="5"/>
  <c r="AJ162" i="5"/>
  <c r="AD162" i="5"/>
  <c r="BN156" i="5"/>
  <c r="BP156" i="5"/>
  <c r="AJ105" i="5"/>
  <c r="AD105" i="5"/>
  <c r="BP133" i="5"/>
  <c r="BN133" i="5"/>
  <c r="AD111" i="5"/>
  <c r="AJ111" i="5"/>
  <c r="BN92" i="5"/>
  <c r="BP92" i="5"/>
  <c r="AD148" i="5"/>
  <c r="AJ148" i="5"/>
  <c r="AJ102" i="5"/>
  <c r="AD102" i="5"/>
  <c r="BP21" i="5"/>
  <c r="BN21" i="5"/>
  <c r="AJ90" i="5"/>
  <c r="AD90" i="5"/>
  <c r="AD40" i="5"/>
  <c r="AJ40" i="5"/>
  <c r="AJ44" i="5"/>
  <c r="AD44" i="5"/>
  <c r="BN65" i="5"/>
  <c r="BP65" i="5"/>
  <c r="AD61" i="5"/>
  <c r="AJ61" i="5"/>
  <c r="AJ59" i="5"/>
  <c r="AD59" i="5"/>
  <c r="BN60" i="5"/>
  <c r="BP60" i="5"/>
  <c r="BA504" i="5"/>
  <c r="BA394" i="5"/>
  <c r="BA365" i="5"/>
  <c r="BA322" i="5"/>
  <c r="BM298" i="5"/>
  <c r="BF298" i="5"/>
  <c r="BC298" i="5"/>
  <c r="BD298" i="5"/>
  <c r="AJ444" i="5"/>
  <c r="AD444" i="5"/>
  <c r="AR386" i="5"/>
  <c r="AS386" i="5" s="1"/>
  <c r="AO335" i="5"/>
  <c r="AW335" i="5"/>
  <c r="AX335" i="5" s="1"/>
  <c r="AJ411" i="5"/>
  <c r="AD411" i="5"/>
  <c r="AR492" i="5"/>
  <c r="AS492" i="5" s="1"/>
  <c r="BB492" i="5"/>
  <c r="AX295" i="5"/>
  <c r="BA295" i="5"/>
  <c r="BP206" i="5"/>
  <c r="BN206" i="5"/>
  <c r="BN104" i="5"/>
  <c r="BP104" i="5"/>
  <c r="AO427" i="5"/>
  <c r="AW427" i="5"/>
  <c r="AX427" i="5" s="1"/>
  <c r="BA470" i="5"/>
  <c r="AJ457" i="5"/>
  <c r="AD457" i="5"/>
  <c r="BA459" i="5"/>
  <c r="BP428" i="5"/>
  <c r="BN428" i="5"/>
  <c r="BF440" i="5"/>
  <c r="BD440" i="5"/>
  <c r="BC440" i="5"/>
  <c r="BM440" i="5"/>
  <c r="AR422" i="5"/>
  <c r="AS422" i="5" s="1"/>
  <c r="BB422" i="5"/>
  <c r="BB425" i="5"/>
  <c r="AO500" i="5"/>
  <c r="AW500" i="5"/>
  <c r="AX500" i="5" s="1"/>
  <c r="BA487" i="5"/>
  <c r="AO469" i="5"/>
  <c r="AW469" i="5"/>
  <c r="AW471" i="5"/>
  <c r="AX471" i="5" s="1"/>
  <c r="AO471" i="5"/>
  <c r="AY440" i="5"/>
  <c r="AX412" i="5"/>
  <c r="BA412" i="5"/>
  <c r="BM390" i="5"/>
  <c r="BF390" i="5"/>
  <c r="BD390" i="5"/>
  <c r="BC390" i="5"/>
  <c r="BN416" i="5"/>
  <c r="BP416" i="5"/>
  <c r="BA407" i="5"/>
  <c r="AJ389" i="5"/>
  <c r="AD389" i="5"/>
  <c r="BA368" i="5"/>
  <c r="BA441" i="5"/>
  <c r="AO376" i="5"/>
  <c r="AW376" i="5"/>
  <c r="AX376" i="5" s="1"/>
  <c r="BN423" i="5"/>
  <c r="BP423" i="5"/>
  <c r="AJ372" i="5"/>
  <c r="AD372" i="5"/>
  <c r="AO314" i="5"/>
  <c r="AW314" i="5"/>
  <c r="AX314" i="5" s="1"/>
  <c r="BN332" i="5"/>
  <c r="BP332" i="5"/>
  <c r="AR318" i="5"/>
  <c r="AS318" i="5" s="1"/>
  <c r="BB318" i="5"/>
  <c r="AJ328" i="5"/>
  <c r="AD328" i="5"/>
  <c r="AJ340" i="5"/>
  <c r="AD340" i="5"/>
  <c r="BA357" i="5"/>
  <c r="AJ330" i="5"/>
  <c r="AD330" i="5"/>
  <c r="BA319" i="5"/>
  <c r="BA293" i="5"/>
  <c r="BB293" i="5" s="1"/>
  <c r="AX293" i="5"/>
  <c r="AY293" i="5" s="1"/>
  <c r="AO304" i="5"/>
  <c r="AW304" i="5"/>
  <c r="AX304" i="5" s="1"/>
  <c r="BN285" i="5"/>
  <c r="BP285" i="5"/>
  <c r="BA304" i="5"/>
  <c r="BN369" i="5"/>
  <c r="BP369" i="5"/>
  <c r="AS299" i="5"/>
  <c r="AR279" i="5"/>
  <c r="AS279" i="5" s="1"/>
  <c r="BB279" i="5"/>
  <c r="BA312" i="5"/>
  <c r="AX312" i="5"/>
  <c r="AS411" i="5"/>
  <c r="AJ199" i="5"/>
  <c r="AD199" i="5"/>
  <c r="BN202" i="5"/>
  <c r="BP202" i="5"/>
  <c r="BP126" i="5"/>
  <c r="BN126" i="5"/>
  <c r="AJ149" i="5"/>
  <c r="AD149" i="5"/>
  <c r="AD127" i="5"/>
  <c r="AJ127" i="5"/>
  <c r="BN144" i="5"/>
  <c r="BP144" i="5"/>
  <c r="AJ38" i="5"/>
  <c r="AD38" i="5"/>
  <c r="AJ145" i="5"/>
  <c r="AD145" i="5"/>
  <c r="BP70" i="5"/>
  <c r="BN70" i="5"/>
  <c r="AJ25" i="5"/>
  <c r="AD25" i="5"/>
  <c r="BN13" i="5"/>
  <c r="BP13" i="5"/>
  <c r="BP27" i="5"/>
  <c r="BN27" i="5"/>
  <c r="AJ13" i="5"/>
  <c r="AD13" i="5"/>
  <c r="AD8" i="5"/>
  <c r="AJ8" i="5"/>
  <c r="AJ2" i="5"/>
  <c r="AD2" i="5"/>
  <c r="BN48" i="5"/>
  <c r="BP48" i="5"/>
  <c r="BP484" i="5"/>
  <c r="BN484" i="5"/>
  <c r="BA405" i="5"/>
  <c r="BP356" i="5"/>
  <c r="BN356" i="5"/>
  <c r="BA474" i="5"/>
  <c r="BA408" i="5"/>
  <c r="BB408" i="5" s="1"/>
  <c r="AX408" i="5"/>
  <c r="BA381" i="5"/>
  <c r="AX381" i="5"/>
  <c r="AR276" i="5"/>
  <c r="AS276" i="5" s="1"/>
  <c r="AD128" i="5"/>
  <c r="AJ128" i="5"/>
  <c r="AD138" i="5"/>
  <c r="AJ138" i="5"/>
  <c r="BP122" i="5"/>
  <c r="BN122" i="5"/>
  <c r="AD17" i="5"/>
  <c r="AJ17" i="5"/>
  <c r="AD498" i="5"/>
  <c r="AJ498" i="5"/>
  <c r="AO487" i="5"/>
  <c r="AW487" i="5"/>
  <c r="AX487" i="5" s="1"/>
  <c r="BA453" i="5"/>
  <c r="AD426" i="5"/>
  <c r="AJ426" i="5"/>
  <c r="BN401" i="5"/>
  <c r="BP401" i="5"/>
  <c r="AJ427" i="5"/>
  <c r="AD427" i="5"/>
  <c r="AO356" i="5"/>
  <c r="AW356" i="5"/>
  <c r="AX356" i="5" s="1"/>
  <c r="BA373" i="5"/>
  <c r="AW342" i="5"/>
  <c r="AX342" i="5" s="1"/>
  <c r="AO342" i="5"/>
  <c r="AO333" i="5"/>
  <c r="AW333" i="5"/>
  <c r="AX333" i="5" s="1"/>
  <c r="AW354" i="5"/>
  <c r="AX354" i="5" s="1"/>
  <c r="AO354" i="5"/>
  <c r="AR327" i="5"/>
  <c r="AS327" i="5" s="1"/>
  <c r="BB327" i="5"/>
  <c r="BM371" i="5"/>
  <c r="BF371" i="5"/>
  <c r="BD371" i="5"/>
  <c r="BC371" i="5"/>
  <c r="AD364" i="5"/>
  <c r="AJ364" i="5"/>
  <c r="AX317" i="5"/>
  <c r="BA317" i="5"/>
  <c r="BB317" i="5" s="1"/>
  <c r="AD299" i="5"/>
  <c r="AJ299" i="5"/>
  <c r="AJ284" i="5"/>
  <c r="AD284" i="5"/>
  <c r="AJ277" i="5"/>
  <c r="AD277" i="5"/>
  <c r="BM351" i="5"/>
  <c r="BD351" i="5"/>
  <c r="BF351" i="5"/>
  <c r="BC351" i="5"/>
  <c r="AJ223" i="5"/>
  <c r="AD223" i="5"/>
  <c r="BP220" i="5"/>
  <c r="BN220" i="5"/>
  <c r="BN181" i="5"/>
  <c r="BP181" i="5"/>
  <c r="AD172" i="5"/>
  <c r="AJ172" i="5"/>
  <c r="BN187" i="5"/>
  <c r="BP187" i="5"/>
  <c r="AJ142" i="5"/>
  <c r="AD142" i="5"/>
  <c r="AJ160" i="5"/>
  <c r="AD160" i="5"/>
  <c r="BP143" i="5"/>
  <c r="BN143" i="5"/>
  <c r="BP131" i="5"/>
  <c r="BN131" i="5"/>
  <c r="BP134" i="5"/>
  <c r="BN134" i="5"/>
  <c r="AJ140" i="5"/>
  <c r="AD140" i="5"/>
  <c r="BP112" i="5"/>
  <c r="BN112" i="5"/>
  <c r="BP33" i="5"/>
  <c r="BN33" i="5"/>
  <c r="AD85" i="5"/>
  <c r="AJ85" i="5"/>
  <c r="AJ31" i="5"/>
  <c r="AD31" i="5"/>
  <c r="AD58" i="5"/>
  <c r="AJ58" i="5"/>
  <c r="AJ19" i="5"/>
  <c r="AD19" i="5"/>
  <c r="AD23" i="5"/>
  <c r="AJ23" i="5"/>
  <c r="AD415" i="5"/>
  <c r="AJ415" i="5"/>
  <c r="BA494" i="5"/>
  <c r="BP454" i="5"/>
  <c r="BN454" i="5"/>
  <c r="AO459" i="5"/>
  <c r="AW459" i="5"/>
  <c r="AX459" i="5" s="1"/>
  <c r="AW404" i="5"/>
  <c r="AX404" i="5" s="1"/>
  <c r="AO404" i="5"/>
  <c r="AO409" i="5"/>
  <c r="AW409" i="5"/>
  <c r="AX409" i="5" s="1"/>
  <c r="BA349" i="5"/>
  <c r="AJ137" i="5"/>
  <c r="AD137" i="5"/>
  <c r="BA500" i="5"/>
  <c r="AR503" i="5"/>
  <c r="AS503" i="5" s="1"/>
  <c r="BB503" i="5"/>
  <c r="BP486" i="5"/>
  <c r="BN486" i="5"/>
  <c r="BA469" i="5"/>
  <c r="AX469" i="5"/>
  <c r="BA418" i="5"/>
  <c r="AJ432" i="5"/>
  <c r="AD432" i="5"/>
  <c r="AO486" i="5"/>
  <c r="AW486" i="5"/>
  <c r="AX486" i="5" s="1"/>
  <c r="AO476" i="5"/>
  <c r="AW476" i="5"/>
  <c r="AX476" i="5" s="1"/>
  <c r="AW467" i="5"/>
  <c r="AO467" i="5"/>
  <c r="AX480" i="5"/>
  <c r="AY480" i="5" s="1"/>
  <c r="BA480" i="5"/>
  <c r="BB480" i="5" s="1"/>
  <c r="BN477" i="5"/>
  <c r="BP477" i="5"/>
  <c r="BA491" i="5"/>
  <c r="AO497" i="5"/>
  <c r="AW497" i="5"/>
  <c r="AX497" i="5" s="1"/>
  <c r="AD466" i="5"/>
  <c r="AJ466" i="5"/>
  <c r="AW450" i="5"/>
  <c r="AO450" i="5"/>
  <c r="BA435" i="5"/>
  <c r="AJ418" i="5"/>
  <c r="AD418" i="5"/>
  <c r="AO455" i="5"/>
  <c r="AW455" i="5"/>
  <c r="AO406" i="5"/>
  <c r="AW406" i="5"/>
  <c r="AX406" i="5" s="1"/>
  <c r="AJ435" i="5"/>
  <c r="AD435" i="5"/>
  <c r="BA383" i="5"/>
  <c r="AX386" i="5"/>
  <c r="BA386" i="5"/>
  <c r="BB386" i="5" s="1"/>
  <c r="BA391" i="5"/>
  <c r="BA429" i="5"/>
  <c r="AO453" i="5"/>
  <c r="AW453" i="5"/>
  <c r="AX453" i="5" s="1"/>
  <c r="AO366" i="5"/>
  <c r="AW366" i="5"/>
  <c r="AX366" i="5" s="1"/>
  <c r="AW441" i="5"/>
  <c r="AX441" i="5" s="1"/>
  <c r="AO441" i="5"/>
  <c r="AO384" i="5"/>
  <c r="AW384" i="5"/>
  <c r="AX384" i="5" s="1"/>
  <c r="AO373" i="5"/>
  <c r="AW373" i="5"/>
  <c r="AX373" i="5" s="1"/>
  <c r="AJ342" i="5"/>
  <c r="AD342" i="5"/>
  <c r="BA333" i="5"/>
  <c r="BN342" i="5"/>
  <c r="BP342" i="5"/>
  <c r="AO313" i="5"/>
  <c r="AW313" i="5"/>
  <c r="AX313" i="5" s="1"/>
  <c r="BA385" i="5"/>
  <c r="BN403" i="5"/>
  <c r="BP403" i="5"/>
  <c r="AJ354" i="5"/>
  <c r="AD354" i="5"/>
  <c r="BP377" i="5"/>
  <c r="BN377" i="5"/>
  <c r="BM363" i="5"/>
  <c r="BF363" i="5"/>
  <c r="BD363" i="5"/>
  <c r="BC363" i="5"/>
  <c r="BA292" i="5"/>
  <c r="BB292" i="5" s="1"/>
  <c r="AX292" i="5"/>
  <c r="AY292" i="5" s="1"/>
  <c r="BB350" i="5"/>
  <c r="AR350" i="5"/>
  <c r="AS350" i="5" s="1"/>
  <c r="AR378" i="5"/>
  <c r="AS378" i="5" s="1"/>
  <c r="AJ224" i="5"/>
  <c r="AD224" i="5"/>
  <c r="AJ198" i="5"/>
  <c r="AD198" i="5"/>
  <c r="AD214" i="5"/>
  <c r="AJ214" i="5"/>
  <c r="BN185" i="5"/>
  <c r="BP185" i="5"/>
  <c r="AD197" i="5"/>
  <c r="AJ197" i="5"/>
  <c r="BN177" i="5"/>
  <c r="BP177" i="5"/>
  <c r="AJ191" i="5"/>
  <c r="AD191" i="5"/>
  <c r="BP184" i="5"/>
  <c r="BN184" i="5"/>
  <c r="AJ205" i="5"/>
  <c r="AD205" i="5"/>
  <c r="BP178" i="5"/>
  <c r="BN178" i="5"/>
  <c r="BN150" i="5"/>
  <c r="BP150" i="5"/>
  <c r="AJ93" i="5"/>
  <c r="AD93" i="5"/>
  <c r="AD113" i="5"/>
  <c r="AJ113" i="5"/>
  <c r="AD126" i="5"/>
  <c r="AJ126" i="5"/>
  <c r="AD119" i="5"/>
  <c r="AJ119" i="5"/>
  <c r="BP103" i="5"/>
  <c r="BN103" i="5"/>
  <c r="AJ63" i="5"/>
  <c r="AD63" i="5"/>
  <c r="AJ81" i="5"/>
  <c r="AD81" i="5"/>
  <c r="AD129" i="5"/>
  <c r="AJ129" i="5"/>
  <c r="BN82" i="5"/>
  <c r="BP82" i="5"/>
  <c r="AJ66" i="5"/>
  <c r="AD66" i="5"/>
  <c r="BP20" i="5"/>
  <c r="BN20" i="5"/>
  <c r="BP95" i="5"/>
  <c r="BN95" i="5"/>
  <c r="BN140" i="5"/>
  <c r="BP140" i="5"/>
  <c r="BN58" i="5"/>
  <c r="BP58" i="5"/>
  <c r="BP14" i="5"/>
  <c r="BN14" i="5"/>
  <c r="BP56" i="5"/>
  <c r="BN56" i="5"/>
  <c r="BN19" i="5"/>
  <c r="BP19" i="5"/>
  <c r="AO475" i="5"/>
  <c r="AW475" i="5"/>
  <c r="AX475" i="5" s="1"/>
  <c r="BA468" i="5"/>
  <c r="AJ421" i="5"/>
  <c r="AD421" i="5"/>
  <c r="BA378" i="5"/>
  <c r="BB378" i="5" s="1"/>
  <c r="AX378" i="5"/>
  <c r="BM377" i="5"/>
  <c r="BF377" i="5"/>
  <c r="BD377" i="5"/>
  <c r="BC377" i="5"/>
  <c r="AO485" i="5"/>
  <c r="AW485" i="5"/>
  <c r="AX485" i="5" s="1"/>
  <c r="BA457" i="5"/>
  <c r="AX457" i="5"/>
  <c r="AD495" i="5"/>
  <c r="AJ495" i="5"/>
  <c r="AO396" i="5"/>
  <c r="AW396" i="5"/>
  <c r="AX396" i="5" s="1"/>
  <c r="AJ329" i="5"/>
  <c r="AD329" i="5"/>
  <c r="AO359" i="5"/>
  <c r="AW359" i="5"/>
  <c r="AX359" i="5" s="1"/>
  <c r="AO346" i="5"/>
  <c r="AW346" i="5"/>
  <c r="AX346" i="5" s="1"/>
  <c r="BP94" i="5"/>
  <c r="BN94" i="5"/>
  <c r="BA485" i="5"/>
  <c r="AX450" i="5"/>
  <c r="BA450" i="5"/>
  <c r="AR493" i="5"/>
  <c r="AS493" i="5" s="1"/>
  <c r="BB493" i="5"/>
  <c r="AW447" i="5"/>
  <c r="AO447" i="5"/>
  <c r="AO383" i="5"/>
  <c r="AW383" i="5"/>
  <c r="AX383" i="5" s="1"/>
  <c r="BN367" i="5"/>
  <c r="BP367" i="5"/>
  <c r="BN444" i="5"/>
  <c r="BP444" i="5"/>
  <c r="AW443" i="5"/>
  <c r="AX443" i="5" s="1"/>
  <c r="AO443" i="5"/>
  <c r="BA455" i="5"/>
  <c r="AX455" i="5"/>
  <c r="AX447" i="5"/>
  <c r="BA447" i="5"/>
  <c r="BA406" i="5"/>
  <c r="AW434" i="5"/>
  <c r="AO434" i="5"/>
  <c r="AY425" i="5"/>
  <c r="AO429" i="5"/>
  <c r="AW429" i="5"/>
  <c r="AX429" i="5" s="1"/>
  <c r="AD453" i="5"/>
  <c r="AJ453" i="5"/>
  <c r="BA396" i="5"/>
  <c r="BA366" i="5"/>
  <c r="AX399" i="5"/>
  <c r="BA399" i="5"/>
  <c r="BB399" i="5" s="1"/>
  <c r="AW362" i="5"/>
  <c r="AX362" i="5" s="1"/>
  <c r="AO362" i="5"/>
  <c r="AO344" i="5"/>
  <c r="AW344" i="5"/>
  <c r="AX344" i="5" s="1"/>
  <c r="BM331" i="5"/>
  <c r="BF331" i="5"/>
  <c r="BD331" i="5"/>
  <c r="BC331" i="5"/>
  <c r="AD382" i="5"/>
  <c r="AJ382" i="5"/>
  <c r="AR369" i="5"/>
  <c r="AS369" i="5" s="1"/>
  <c r="BN365" i="5"/>
  <c r="BP365" i="5"/>
  <c r="AW341" i="5"/>
  <c r="AX341" i="5" s="1"/>
  <c r="AO341" i="5"/>
  <c r="AO385" i="5"/>
  <c r="AW385" i="5"/>
  <c r="AX385" i="5" s="1"/>
  <c r="AD344" i="5"/>
  <c r="AJ344" i="5"/>
  <c r="AO321" i="5"/>
  <c r="AW321" i="5"/>
  <c r="AX321" i="5" s="1"/>
  <c r="BP344" i="5"/>
  <c r="BN344" i="5"/>
  <c r="AO334" i="5"/>
  <c r="AW334" i="5"/>
  <c r="AX334" i="5" s="1"/>
  <c r="BN382" i="5"/>
  <c r="BP382" i="5"/>
  <c r="BB325" i="5"/>
  <c r="AO301" i="5"/>
  <c r="AW301" i="5"/>
  <c r="AX301" i="5" s="1"/>
  <c r="AW309" i="5"/>
  <c r="AX309" i="5" s="1"/>
  <c r="AO309" i="5"/>
  <c r="AD302" i="5"/>
  <c r="AJ302" i="5"/>
  <c r="AW283" i="5"/>
  <c r="AX283" i="5" s="1"/>
  <c r="AO283" i="5"/>
  <c r="BP311" i="5"/>
  <c r="BN311" i="5"/>
  <c r="BN189" i="5"/>
  <c r="BP189" i="5"/>
  <c r="BP205" i="5"/>
  <c r="BN205" i="5"/>
  <c r="AD176" i="5"/>
  <c r="AJ176" i="5"/>
  <c r="AD161" i="5"/>
  <c r="AJ161" i="5"/>
  <c r="AJ167" i="5"/>
  <c r="AD167" i="5"/>
  <c r="AJ164" i="5"/>
  <c r="AD164" i="5"/>
  <c r="BP124" i="5"/>
  <c r="BN124" i="5"/>
  <c r="AJ83" i="5"/>
  <c r="AD83" i="5"/>
  <c r="AD130" i="5"/>
  <c r="AJ130" i="5"/>
  <c r="AJ152" i="5"/>
  <c r="AD152" i="5"/>
  <c r="AD135" i="5"/>
  <c r="AJ135" i="5"/>
  <c r="AD79" i="5"/>
  <c r="AJ79" i="5"/>
  <c r="BP123" i="5"/>
  <c r="BN123" i="5"/>
  <c r="BN109" i="5"/>
  <c r="BP109" i="5"/>
  <c r="AJ118" i="5"/>
  <c r="AD118" i="5"/>
  <c r="AJ96" i="5"/>
  <c r="AD96" i="5"/>
  <c r="AD45" i="5"/>
  <c r="AJ45" i="5"/>
  <c r="BP130" i="5"/>
  <c r="BN130" i="5"/>
  <c r="BP119" i="5"/>
  <c r="BN119" i="5"/>
  <c r="AD123" i="5"/>
  <c r="AJ123" i="5"/>
  <c r="AD68" i="5"/>
  <c r="AJ68" i="5"/>
  <c r="BP3" i="5"/>
  <c r="BN3" i="5"/>
  <c r="BP52" i="5"/>
  <c r="BN52" i="5"/>
  <c r="AD46" i="5"/>
  <c r="AJ46" i="5"/>
  <c r="AD9" i="5"/>
  <c r="AJ9" i="5"/>
  <c r="AJ442" i="5"/>
  <c r="AD442" i="5"/>
  <c r="AD431" i="5"/>
  <c r="AJ431" i="5"/>
  <c r="AO336" i="5"/>
  <c r="AW336" i="5"/>
  <c r="AX336" i="5" s="1"/>
  <c r="AJ387" i="5"/>
  <c r="AD387" i="5"/>
  <c r="AO337" i="5"/>
  <c r="AW337" i="5"/>
  <c r="AX337" i="5" s="1"/>
  <c r="BA323" i="5"/>
  <c r="BA488" i="5"/>
  <c r="AX488" i="5"/>
  <c r="BP467" i="5"/>
  <c r="BN467" i="5"/>
  <c r="AX436" i="5"/>
  <c r="BA436" i="5"/>
  <c r="AR454" i="5"/>
  <c r="AS454" i="5" s="1"/>
  <c r="BB454" i="5"/>
  <c r="AO424" i="5"/>
  <c r="AW424" i="5"/>
  <c r="AX424" i="5" s="1"/>
  <c r="AJ433" i="5"/>
  <c r="AD433" i="5"/>
  <c r="BA372" i="5"/>
  <c r="AX372" i="5"/>
  <c r="AW340" i="5"/>
  <c r="AX340" i="5" s="1"/>
  <c r="AO340" i="5"/>
  <c r="AW285" i="5"/>
  <c r="AX285" i="5" s="1"/>
  <c r="AO285" i="5"/>
  <c r="AD287" i="5"/>
  <c r="AJ287" i="5"/>
  <c r="BP132" i="5"/>
  <c r="BN132" i="5"/>
  <c r="AO501" i="5"/>
  <c r="AW501" i="5"/>
  <c r="AX501" i="5" s="1"/>
  <c r="BA415" i="5"/>
  <c r="BB415" i="5" s="1"/>
  <c r="AX415" i="5"/>
  <c r="AD390" i="5"/>
  <c r="AJ390" i="5"/>
  <c r="BA476" i="5"/>
  <c r="AO484" i="5"/>
  <c r="AW484" i="5"/>
  <c r="AX484" i="5" s="1"/>
  <c r="AW494" i="5"/>
  <c r="AX494" i="5" s="1"/>
  <c r="AO494" i="5"/>
  <c r="BA477" i="5"/>
  <c r="BB477" i="5" s="1"/>
  <c r="AO498" i="5"/>
  <c r="AW498" i="5"/>
  <c r="AW473" i="5"/>
  <c r="AX473" i="5" s="1"/>
  <c r="AO473" i="5"/>
  <c r="AD486" i="5"/>
  <c r="AJ486" i="5"/>
  <c r="AW491" i="5"/>
  <c r="AX491" i="5" s="1"/>
  <c r="AO491" i="5"/>
  <c r="BA496" i="5"/>
  <c r="AX461" i="5"/>
  <c r="BA461" i="5"/>
  <c r="BB461" i="5" s="1"/>
  <c r="AO483" i="5"/>
  <c r="AW483" i="5"/>
  <c r="AW426" i="5"/>
  <c r="AX426" i="5" s="1"/>
  <c r="AO426" i="5"/>
  <c r="AO414" i="5"/>
  <c r="AW414" i="5"/>
  <c r="AX414" i="5" s="1"/>
  <c r="BP418" i="5"/>
  <c r="BN418" i="5"/>
  <c r="BN417" i="5"/>
  <c r="BP417" i="5"/>
  <c r="AJ443" i="5"/>
  <c r="AD443" i="5"/>
  <c r="AO437" i="5"/>
  <c r="AW437" i="5"/>
  <c r="AX437" i="5" s="1"/>
  <c r="AO382" i="5"/>
  <c r="AW382" i="5"/>
  <c r="AX382" i="5" s="1"/>
  <c r="AO379" i="5"/>
  <c r="AW379" i="5"/>
  <c r="AX379" i="5" s="1"/>
  <c r="BB439" i="5"/>
  <c r="AJ399" i="5"/>
  <c r="AD399" i="5"/>
  <c r="AX360" i="5"/>
  <c r="BA360" i="5"/>
  <c r="BB360" i="5" s="1"/>
  <c r="AW423" i="5"/>
  <c r="AX423" i="5" s="1"/>
  <c r="AO423" i="5"/>
  <c r="BN391" i="5"/>
  <c r="BP391" i="5"/>
  <c r="AS390" i="5"/>
  <c r="AW403" i="5"/>
  <c r="AX403" i="5" s="1"/>
  <c r="AO403" i="5"/>
  <c r="AO315" i="5"/>
  <c r="AW315" i="5"/>
  <c r="AX315" i="5" s="1"/>
  <c r="BA321" i="5"/>
  <c r="AO358" i="5"/>
  <c r="AW358" i="5"/>
  <c r="AX358" i="5" s="1"/>
  <c r="BA334" i="5"/>
  <c r="AW401" i="5"/>
  <c r="AX401" i="5" s="1"/>
  <c r="AO401" i="5"/>
  <c r="BA301" i="5"/>
  <c r="AW284" i="5"/>
  <c r="AX284" i="5" s="1"/>
  <c r="AO284" i="5"/>
  <c r="AR306" i="5"/>
  <c r="AS306" i="5" s="1"/>
  <c r="BB306" i="5"/>
  <c r="AR297" i="5"/>
  <c r="AS297" i="5" s="1"/>
  <c r="BB297" i="5"/>
  <c r="BA283" i="5"/>
  <c r="AW277" i="5"/>
  <c r="AX277" i="5" s="1"/>
  <c r="AO277" i="5"/>
  <c r="AW296" i="5"/>
  <c r="AX296" i="5" s="1"/>
  <c r="AO296" i="5"/>
  <c r="BN223" i="5"/>
  <c r="BP223" i="5"/>
  <c r="BN218" i="5"/>
  <c r="BP218" i="5"/>
  <c r="BN225" i="5"/>
  <c r="BP225" i="5"/>
  <c r="BN183" i="5"/>
  <c r="BP183" i="5"/>
  <c r="AD144" i="5"/>
  <c r="AJ144" i="5"/>
  <c r="BP110" i="5"/>
  <c r="BN110" i="5"/>
  <c r="AJ124" i="5"/>
  <c r="AD124" i="5"/>
  <c r="BP79" i="5"/>
  <c r="BN79" i="5"/>
  <c r="BP100" i="5"/>
  <c r="BN100" i="5"/>
  <c r="BP78" i="5"/>
  <c r="BN78" i="5"/>
  <c r="AD39" i="5"/>
  <c r="AJ39" i="5"/>
  <c r="AD21" i="5"/>
  <c r="AJ21" i="5"/>
  <c r="BN42" i="5"/>
  <c r="BP42" i="5"/>
  <c r="AJ78" i="5"/>
  <c r="AD78" i="5"/>
  <c r="AJ110" i="5"/>
  <c r="AD110" i="5"/>
  <c r="AD57" i="5"/>
  <c r="AJ57" i="5"/>
  <c r="AD98" i="5"/>
  <c r="AJ98" i="5"/>
  <c r="AD484" i="5"/>
  <c r="AJ484" i="5"/>
  <c r="AS415" i="5"/>
  <c r="AD332" i="5"/>
  <c r="AJ332" i="5"/>
  <c r="AJ341" i="5"/>
  <c r="AD341" i="5"/>
  <c r="AJ465" i="5"/>
  <c r="AD465" i="5"/>
  <c r="AX448" i="5"/>
  <c r="BA448" i="5"/>
  <c r="AW460" i="5"/>
  <c r="AX460" i="5" s="1"/>
  <c r="AO460" i="5"/>
  <c r="AO345" i="5"/>
  <c r="AW345" i="5"/>
  <c r="AX345" i="5" s="1"/>
  <c r="AW328" i="5"/>
  <c r="AX328" i="5" s="1"/>
  <c r="AO328" i="5"/>
  <c r="AD300" i="5"/>
  <c r="AJ300" i="5"/>
  <c r="BA305" i="5"/>
  <c r="BP182" i="5"/>
  <c r="BN182" i="5"/>
  <c r="BN153" i="5"/>
  <c r="BP153" i="5"/>
  <c r="AD75" i="5"/>
  <c r="AJ75" i="5"/>
  <c r="AY490" i="5"/>
  <c r="BA482" i="5"/>
  <c r="AJ462" i="5"/>
  <c r="AD462" i="5"/>
  <c r="AU462" i="5"/>
  <c r="AV462" i="5" s="1"/>
  <c r="AY462" i="5" s="1"/>
  <c r="AO435" i="5"/>
  <c r="AW435" i="5"/>
  <c r="AX435" i="5" s="1"/>
  <c r="BB397" i="5"/>
  <c r="AR397" i="5"/>
  <c r="AS397" i="5" s="1"/>
  <c r="BA486" i="5"/>
  <c r="BA467" i="5"/>
  <c r="AX467" i="5"/>
  <c r="BA497" i="5"/>
  <c r="AW482" i="5"/>
  <c r="AX482" i="5" s="1"/>
  <c r="AO482" i="5"/>
  <c r="AW481" i="5"/>
  <c r="AX481" i="5" s="1"/>
  <c r="AO481" i="5"/>
  <c r="BA498" i="5"/>
  <c r="AX498" i="5"/>
  <c r="AW496" i="5"/>
  <c r="AX496" i="5" s="1"/>
  <c r="AO496" i="5"/>
  <c r="AW446" i="5"/>
  <c r="AX446" i="5" s="1"/>
  <c r="AO446" i="5"/>
  <c r="BA483" i="5"/>
  <c r="AX483" i="5"/>
  <c r="AO468" i="5"/>
  <c r="AW468" i="5"/>
  <c r="AX468" i="5" s="1"/>
  <c r="BA484" i="5"/>
  <c r="BA426" i="5"/>
  <c r="AW504" i="5"/>
  <c r="AX504" i="5" s="1"/>
  <c r="AO504" i="5"/>
  <c r="BA443" i="5"/>
  <c r="BA414" i="5"/>
  <c r="BB445" i="5"/>
  <c r="AR445" i="5"/>
  <c r="AS445" i="5" s="1"/>
  <c r="AX434" i="5"/>
  <c r="BA434" i="5"/>
  <c r="AO433" i="5"/>
  <c r="AW433" i="5"/>
  <c r="AX433" i="5" s="1"/>
  <c r="AW418" i="5"/>
  <c r="AX418" i="5" s="1"/>
  <c r="AO418" i="5"/>
  <c r="AW421" i="5"/>
  <c r="AX421" i="5" s="1"/>
  <c r="AO421" i="5"/>
  <c r="BA437" i="5"/>
  <c r="AJ434" i="5"/>
  <c r="AD434" i="5"/>
  <c r="BA382" i="5"/>
  <c r="AO405" i="5"/>
  <c r="AW405" i="5"/>
  <c r="AX405" i="5" s="1"/>
  <c r="AO394" i="5"/>
  <c r="AW394" i="5"/>
  <c r="AX394" i="5" s="1"/>
  <c r="AS416" i="5"/>
  <c r="AD393" i="5"/>
  <c r="AJ393" i="5"/>
  <c r="AO348" i="5"/>
  <c r="AW348" i="5"/>
  <c r="AX348" i="5" s="1"/>
  <c r="AW365" i="5"/>
  <c r="AX365" i="5" s="1"/>
  <c r="AO365" i="5"/>
  <c r="BP393" i="5"/>
  <c r="BN393" i="5"/>
  <c r="BA423" i="5"/>
  <c r="AO332" i="5"/>
  <c r="AW332" i="5"/>
  <c r="AX332" i="5" s="1"/>
  <c r="AW387" i="5"/>
  <c r="AX387" i="5" s="1"/>
  <c r="AO387" i="5"/>
  <c r="BB338" i="5"/>
  <c r="AR338" i="5"/>
  <c r="AS338" i="5" s="1"/>
  <c r="AO303" i="5"/>
  <c r="AW303" i="5"/>
  <c r="AX303" i="5" s="1"/>
  <c r="BN355" i="5"/>
  <c r="BP355" i="5"/>
  <c r="AX320" i="5"/>
  <c r="BA320" i="5"/>
  <c r="AO322" i="5"/>
  <c r="AW322" i="5"/>
  <c r="AX322" i="5" s="1"/>
  <c r="BA358" i="5"/>
  <c r="AO323" i="5"/>
  <c r="AW323" i="5"/>
  <c r="AX323" i="5" s="1"/>
  <c r="BN314" i="5"/>
  <c r="BP314" i="5"/>
  <c r="AW352" i="5"/>
  <c r="AX352" i="5" s="1"/>
  <c r="AO352" i="5"/>
  <c r="AW300" i="5"/>
  <c r="AX300" i="5" s="1"/>
  <c r="AO300" i="5"/>
  <c r="AD208" i="5"/>
  <c r="AJ208" i="5"/>
  <c r="BN224" i="5"/>
  <c r="BP224" i="5"/>
  <c r="AJ194" i="5"/>
  <c r="AD194" i="5"/>
  <c r="BN193" i="5"/>
  <c r="BP193" i="5"/>
  <c r="BP161" i="5"/>
  <c r="BN161" i="5"/>
  <c r="BN116" i="5"/>
  <c r="BP116" i="5"/>
  <c r="AJ108" i="5"/>
  <c r="AD108" i="5"/>
  <c r="BP91" i="5"/>
  <c r="BN91" i="5"/>
  <c r="BP137" i="5"/>
  <c r="BN137" i="5"/>
  <c r="AJ114" i="5"/>
  <c r="AD114" i="5"/>
  <c r="BP125" i="5"/>
  <c r="BN125" i="5"/>
  <c r="BN49" i="5"/>
  <c r="BP49" i="5"/>
  <c r="AD106" i="5"/>
  <c r="AJ106" i="5"/>
  <c r="AJ54" i="5"/>
  <c r="AD54" i="5"/>
  <c r="BN30" i="5"/>
  <c r="BP30" i="5"/>
  <c r="BP127" i="5"/>
  <c r="BN127" i="5"/>
  <c r="BP23" i="5"/>
  <c r="BN23" i="5"/>
  <c r="BN24" i="5"/>
  <c r="BP24" i="5"/>
  <c r="AD53" i="5"/>
  <c r="AJ53" i="5"/>
  <c r="BP18" i="5"/>
  <c r="BN18" i="5"/>
  <c r="AD4" i="5"/>
  <c r="AJ4" i="5"/>
  <c r="AK275" i="5"/>
  <c r="AK274" i="5"/>
  <c r="AK273" i="5"/>
  <c r="AK272" i="5"/>
  <c r="AK271" i="5"/>
  <c r="AK270" i="5"/>
  <c r="AK269" i="5"/>
  <c r="AK268" i="5"/>
  <c r="AK267" i="5"/>
  <c r="AK266" i="5"/>
  <c r="AK265" i="5"/>
  <c r="AK264" i="5"/>
  <c r="AK263" i="5"/>
  <c r="AK262" i="5"/>
  <c r="AK261" i="5"/>
  <c r="AK260" i="5"/>
  <c r="AK259" i="5"/>
  <c r="AK258" i="5"/>
  <c r="AK257" i="5"/>
  <c r="AK256" i="5"/>
  <c r="AK255" i="5"/>
  <c r="AK254" i="5"/>
  <c r="AK253" i="5"/>
  <c r="AK252" i="5"/>
  <c r="AK251" i="5"/>
  <c r="AK250" i="5"/>
  <c r="AK249" i="5"/>
  <c r="AK248" i="5"/>
  <c r="AK247" i="5"/>
  <c r="AK246" i="5"/>
  <c r="AK245" i="5"/>
  <c r="AK244" i="5"/>
  <c r="AK243" i="5"/>
  <c r="AK242" i="5"/>
  <c r="AK241" i="5"/>
  <c r="AK240" i="5"/>
  <c r="AK239" i="5"/>
  <c r="AK238" i="5"/>
  <c r="AK237" i="5"/>
  <c r="AK236" i="5"/>
  <c r="AK235" i="5"/>
  <c r="AK234" i="5"/>
  <c r="AK233" i="5"/>
  <c r="AK232" i="5"/>
  <c r="AK231" i="5"/>
  <c r="AK230" i="5"/>
  <c r="AK229" i="5"/>
  <c r="AK228" i="5"/>
  <c r="AK227" i="5"/>
  <c r="AK226" i="5"/>
  <c r="AK189" i="5" a="1"/>
  <c r="AK118" i="5" a="1"/>
  <c r="AK157" i="5" a="1"/>
  <c r="AK125" i="5" a="1"/>
  <c r="AK201" i="5" a="1"/>
  <c r="AK219" i="5" a="1"/>
  <c r="AK182" i="5" a="1"/>
  <c r="AK185" i="5" a="1"/>
  <c r="AK150" i="5" a="1"/>
  <c r="AK183" i="5" a="1"/>
  <c r="AK165" i="5" a="1"/>
  <c r="AK220" i="5" a="1"/>
  <c r="AK224" i="5" a="1"/>
  <c r="AK162" i="5" a="1"/>
  <c r="AK145" i="5" a="1"/>
  <c r="AK126" i="5" a="1"/>
  <c r="AT48" i="5"/>
  <c r="AK212" i="5" a="1"/>
  <c r="AK30" i="5" a="1"/>
  <c r="AK86" i="5" a="1"/>
  <c r="AK187" i="5" a="1"/>
  <c r="AK18" i="5" a="1"/>
  <c r="AT213" i="5"/>
  <c r="AK177" i="5" a="1"/>
  <c r="AK181" i="5" a="1"/>
  <c r="AK115" i="5" a="1"/>
  <c r="AK96" i="5" a="1"/>
  <c r="AK119" i="5" a="1"/>
  <c r="AK73" i="5" a="1"/>
  <c r="AK81" i="5" a="1"/>
  <c r="AK68" i="5" a="1"/>
  <c r="AK21" i="5" a="1"/>
  <c r="AK13" i="5" a="1"/>
  <c r="AK42" i="5" a="1"/>
  <c r="AK204" i="5" a="1"/>
  <c r="AK97" i="5" a="1"/>
  <c r="AK147" i="5" a="1"/>
  <c r="AT164" i="5"/>
  <c r="AK62" i="5" a="1"/>
  <c r="AK154" i="5" a="1"/>
  <c r="AK221" i="5" a="1"/>
  <c r="AK33" i="5" a="1"/>
  <c r="AK174" i="5" a="1"/>
  <c r="AK44" i="5" a="1"/>
  <c r="AK76" i="5" a="1"/>
  <c r="AK170" i="5" a="1"/>
  <c r="AK222" i="5" a="1"/>
  <c r="AK56" i="5" a="1"/>
  <c r="AK26" i="5" a="1"/>
  <c r="AE69" i="5"/>
  <c r="AK65" i="5" a="1"/>
  <c r="AK105" i="5" a="1"/>
  <c r="AK198" i="5" a="1"/>
  <c r="AK83" i="5" a="1"/>
  <c r="AT294" i="5"/>
  <c r="AT466" i="5"/>
  <c r="AK14" i="5" a="1"/>
  <c r="AK350" i="5"/>
  <c r="AK504" i="5"/>
  <c r="AK32" i="5" a="1"/>
  <c r="AK392" i="5"/>
  <c r="AM158" i="5"/>
  <c r="AK51" i="5" a="1"/>
  <c r="AE504" i="5"/>
  <c r="AK142" i="5" a="1"/>
  <c r="AE134" i="5"/>
  <c r="AK362" i="5"/>
  <c r="AK420" i="5"/>
  <c r="AE225" i="5"/>
  <c r="AE148" i="5"/>
  <c r="AK299" i="5"/>
  <c r="AK375" i="5"/>
  <c r="AE61" i="5"/>
  <c r="AT386" i="5"/>
  <c r="AK327" i="5"/>
  <c r="AM100" i="5"/>
  <c r="AE100" i="5"/>
  <c r="AE48" i="5"/>
  <c r="AM48" i="5"/>
  <c r="AE215" i="5"/>
  <c r="AM215" i="5"/>
  <c r="AK195" i="5" a="1"/>
  <c r="AK122" i="5" a="1"/>
  <c r="AT214" i="5"/>
  <c r="AT311" i="5"/>
  <c r="AE108" i="5"/>
  <c r="AK8" i="5" a="1"/>
  <c r="AK91" i="5" a="1"/>
  <c r="AK278" i="5"/>
  <c r="AK391" i="5"/>
  <c r="AK52" i="5" a="1"/>
  <c r="AK398" i="5"/>
  <c r="AE158" i="5"/>
  <c r="AK344" i="5"/>
  <c r="AT400" i="5"/>
  <c r="AE391" i="5"/>
  <c r="AM134" i="5"/>
  <c r="AK294" i="5"/>
  <c r="AK441" i="5"/>
  <c r="AT360" i="5"/>
  <c r="AM148" i="5"/>
  <c r="AK406" i="5"/>
  <c r="AM61" i="5"/>
  <c r="AK439" i="5"/>
  <c r="AE210" i="5"/>
  <c r="AM210" i="5"/>
  <c r="AM216" i="5"/>
  <c r="AE216" i="5"/>
  <c r="AE11" i="5"/>
  <c r="AM11" i="5"/>
  <c r="AT103" i="5"/>
  <c r="AK57" i="5" a="1"/>
  <c r="AE152" i="5"/>
  <c r="AT210" i="5"/>
  <c r="AK71" i="5" a="1"/>
  <c r="AT430" i="5"/>
  <c r="AK284" i="5"/>
  <c r="AK77" i="5" a="1"/>
  <c r="AK381" i="5"/>
  <c r="AK500" i="5"/>
  <c r="AK7" i="5" a="1"/>
  <c r="AK293" i="5"/>
  <c r="AM391" i="5"/>
  <c r="AK333" i="5"/>
  <c r="AK470" i="5"/>
  <c r="AK49" i="5" a="1"/>
  <c r="AK137" i="5" a="1"/>
  <c r="AK314" i="5"/>
  <c r="AK387" i="5"/>
  <c r="AK505" i="5"/>
  <c r="AK153" i="5" a="1"/>
  <c r="AE34" i="5"/>
  <c r="AK67" i="5" a="1"/>
  <c r="AK50" i="5" a="1"/>
  <c r="AK12" i="5" a="1"/>
  <c r="AT339" i="5"/>
  <c r="AK481" i="5"/>
  <c r="AK35" i="5" a="1"/>
  <c r="AT472" i="5"/>
  <c r="AK338" i="5"/>
  <c r="AK279" i="5"/>
  <c r="AK380" i="5"/>
  <c r="AK80" i="5" a="1"/>
  <c r="AK313" i="5"/>
  <c r="AK218" i="5" a="1"/>
  <c r="AK412" i="5"/>
  <c r="AK347" i="5"/>
  <c r="AK336" i="5"/>
  <c r="AK499" i="5"/>
  <c r="AK440" i="5"/>
  <c r="AM59" i="5"/>
  <c r="AE179" i="5"/>
  <c r="AM179" i="5"/>
  <c r="AK74" i="5" a="1"/>
  <c r="AM69" i="5"/>
  <c r="AK70" i="5" a="1"/>
  <c r="AK114" i="5" a="1"/>
  <c r="AT183" i="5"/>
  <c r="AK430" i="5"/>
  <c r="AK290" i="5"/>
  <c r="AK429" i="5"/>
  <c r="AK415" i="5"/>
  <c r="AK330" i="5"/>
  <c r="AM330" i="5" s="1"/>
  <c r="AK468" i="5"/>
  <c r="AE468" i="5" s="1"/>
  <c r="AK374" i="5"/>
  <c r="AE374" i="5" s="1"/>
  <c r="AE133" i="5"/>
  <c r="AK128" i="5" a="1"/>
  <c r="AM87" i="5"/>
  <c r="AK329" i="5"/>
  <c r="AT162" i="5"/>
  <c r="AK334" i="5"/>
  <c r="AK489" i="5"/>
  <c r="AK40" i="5" a="1"/>
  <c r="AK6" i="5" a="1"/>
  <c r="AK116" i="5" a="1"/>
  <c r="AK10" i="5" a="1"/>
  <c r="AK106" i="5" a="1"/>
  <c r="AK15" i="5" a="1"/>
  <c r="AK66" i="5" a="1"/>
  <c r="AK449" i="5"/>
  <c r="AT451" i="5"/>
  <c r="AT399" i="5"/>
  <c r="AK356" i="5"/>
  <c r="AK411" i="5"/>
  <c r="AM411" i="5" s="1"/>
  <c r="AK469" i="5"/>
  <c r="AK282" i="5"/>
  <c r="AK496" i="5"/>
  <c r="AK465" i="5"/>
  <c r="AM375" i="5"/>
  <c r="AK418" i="5"/>
  <c r="AK373" i="5"/>
  <c r="AK141" i="5" a="1"/>
  <c r="AK303" i="5"/>
  <c r="AK436" i="5"/>
  <c r="AT492" i="5"/>
  <c r="AT422" i="5"/>
  <c r="AT202" i="5"/>
  <c r="AK2" i="5" a="1"/>
  <c r="AK43" i="5" a="1"/>
  <c r="AT163" i="5"/>
  <c r="AK90" i="5" a="1"/>
  <c r="AK205" i="5" a="1"/>
  <c r="AK176" i="5" a="1"/>
  <c r="AM496" i="5"/>
  <c r="AE282" i="5"/>
  <c r="AK296" i="5"/>
  <c r="AK483" i="5"/>
  <c r="AE483" i="5" s="1"/>
  <c r="AM101" i="5"/>
  <c r="AE296" i="5"/>
  <c r="AK171" i="5" a="1"/>
  <c r="AK317" i="5"/>
  <c r="AT329" i="5"/>
  <c r="AM203" i="5"/>
  <c r="AK423" i="5"/>
  <c r="AE423" i="5" s="1"/>
  <c r="AM225" i="5"/>
  <c r="AE102" i="5"/>
  <c r="AK339" i="5"/>
  <c r="AK23" i="5" a="1"/>
  <c r="AM156" i="5"/>
  <c r="AE156" i="5"/>
  <c r="AE36" i="5"/>
  <c r="AM36" i="5"/>
  <c r="AK55" i="5" a="1"/>
  <c r="AM374" i="5"/>
  <c r="AK180" i="5" a="1"/>
  <c r="AT326" i="5"/>
  <c r="AK93" i="5" a="1"/>
  <c r="AK151" i="5" a="1"/>
  <c r="AM423" i="5"/>
  <c r="AK359" i="5"/>
  <c r="AK475" i="5"/>
  <c r="AK417" i="5"/>
  <c r="AM504" i="5"/>
  <c r="AE203" i="5"/>
  <c r="AK310" i="5"/>
  <c r="AK488" i="5"/>
  <c r="AK353" i="5"/>
  <c r="AE353" i="5" s="1"/>
  <c r="AT398" i="5"/>
  <c r="AT317" i="5"/>
  <c r="AK324" i="5"/>
  <c r="AK370" i="5"/>
  <c r="AT279" i="5"/>
  <c r="AM149" i="5"/>
  <c r="AK394" i="5"/>
  <c r="AK82" i="5" a="1"/>
  <c r="AK20" i="5" a="1"/>
  <c r="AT276" i="5"/>
  <c r="AM138" i="5"/>
  <c r="AK367" i="5"/>
  <c r="AK497" i="5"/>
  <c r="AM135" i="5"/>
  <c r="AK328" i="5"/>
  <c r="AE45" i="5"/>
  <c r="AK121" i="5" a="1"/>
  <c r="AK155" i="5" a="1"/>
  <c r="AK92" i="5" a="1"/>
  <c r="AK312" i="5"/>
  <c r="AK431" i="5"/>
  <c r="AK72" i="5" a="1"/>
  <c r="AK354" i="5"/>
  <c r="AK467" i="5"/>
  <c r="AM53" i="5"/>
  <c r="AM282" i="5"/>
  <c r="AK175" i="5" a="1"/>
  <c r="AK390" i="5"/>
  <c r="AK432" i="5"/>
  <c r="AK139" i="5" a="1"/>
  <c r="AK84" i="5" a="1"/>
  <c r="AK379" i="5"/>
  <c r="AM328" i="5"/>
  <c r="AK318" i="5"/>
  <c r="AK399" i="5"/>
  <c r="AM399" i="5" s="1"/>
  <c r="AK372" i="5"/>
  <c r="AK301" i="5"/>
  <c r="AK424" i="5"/>
  <c r="AK405" i="5"/>
  <c r="AM45" i="5"/>
  <c r="AE399" i="5"/>
  <c r="AT306" i="5"/>
  <c r="AK132" i="5" a="1"/>
  <c r="AK316" i="5"/>
  <c r="AK498" i="5"/>
  <c r="AK335" i="5"/>
  <c r="AK462" i="5"/>
  <c r="AE54" i="5"/>
  <c r="AK19" i="5" a="1"/>
  <c r="AT353" i="5"/>
  <c r="AE367" i="5"/>
  <c r="AK463" i="5"/>
  <c r="AK94" i="5" a="1"/>
  <c r="AT479" i="5"/>
  <c r="AE87" i="5"/>
  <c r="AK357" i="5"/>
  <c r="AK111" i="5" a="1"/>
  <c r="AE328" i="5"/>
  <c r="AK169" i="5" a="1"/>
  <c r="AK292" i="5"/>
  <c r="AK409" i="5"/>
  <c r="AK285" i="5"/>
  <c r="AK402" i="5"/>
  <c r="AM191" i="5"/>
  <c r="AK288" i="5"/>
  <c r="AK482" i="5"/>
  <c r="AE130" i="5"/>
  <c r="AK393" i="5"/>
  <c r="AE431" i="5"/>
  <c r="AK297" i="5"/>
  <c r="AK346" i="5"/>
  <c r="AK454" i="5"/>
  <c r="AK326" i="5"/>
  <c r="AK480" i="5"/>
  <c r="AM54" i="5"/>
  <c r="AT477" i="5"/>
  <c r="AK190" i="5" a="1"/>
  <c r="AK206" i="5" a="1"/>
  <c r="AE496" i="5"/>
  <c r="AK377" i="5"/>
  <c r="AM367" i="5"/>
  <c r="AK287" i="5"/>
  <c r="AE380" i="5"/>
  <c r="AK484" i="5"/>
  <c r="AE375" i="5"/>
  <c r="AK325" i="5"/>
  <c r="AE411" i="5"/>
  <c r="AK427" i="5"/>
  <c r="AK401" i="5"/>
  <c r="AM401" i="5" s="1"/>
  <c r="AE415" i="5"/>
  <c r="AK345" i="5"/>
  <c r="AM418" i="5"/>
  <c r="AE191" i="5"/>
  <c r="AK320" i="5"/>
  <c r="AK456" i="5"/>
  <c r="AK85" i="5" a="1"/>
  <c r="AM167" i="5"/>
  <c r="AM130" i="5"/>
  <c r="AK298" i="5"/>
  <c r="AK396" i="5"/>
  <c r="AM431" i="5"/>
  <c r="AK291" i="5"/>
  <c r="AK63" i="5" a="1"/>
  <c r="AK323" i="5"/>
  <c r="AK450" i="5"/>
  <c r="AK46" i="5" a="1"/>
  <c r="AM465" i="5"/>
  <c r="AT416" i="5"/>
  <c r="AK166" i="5" a="1"/>
  <c r="AK352" i="5"/>
  <c r="AM352" i="5" s="1"/>
  <c r="AK22" i="5" a="1"/>
  <c r="AE113" i="5"/>
  <c r="AK223" i="5" a="1"/>
  <c r="AK124" i="5" a="1"/>
  <c r="AK305" i="5"/>
  <c r="AE475" i="5"/>
  <c r="AM353" i="5"/>
  <c r="AT278" i="5"/>
  <c r="AK99" i="5" a="1"/>
  <c r="AK378" i="5"/>
  <c r="AK107" i="5" a="1"/>
  <c r="AK395" i="5"/>
  <c r="AK486" i="5"/>
  <c r="AT411" i="5"/>
  <c r="AK202" i="5" a="1"/>
  <c r="AT198" i="5"/>
  <c r="AK315" i="5"/>
  <c r="AK445" i="5"/>
  <c r="AK277" i="5"/>
  <c r="AE277" i="5" s="1"/>
  <c r="AK458" i="5"/>
  <c r="AM432" i="5"/>
  <c r="AK363" i="5"/>
  <c r="AK461" i="5"/>
  <c r="AM344" i="5"/>
  <c r="AM164" i="5"/>
  <c r="AK131" i="5" a="1"/>
  <c r="AK410" i="5"/>
  <c r="AK435" i="5"/>
  <c r="AE435" i="5" s="1"/>
  <c r="AM390" i="5"/>
  <c r="AK88" i="5" a="1"/>
  <c r="AK340" i="5"/>
  <c r="AE39" i="5"/>
  <c r="AE462" i="5"/>
  <c r="AM393" i="5"/>
  <c r="AK168" i="5" a="1"/>
  <c r="AE149" i="5"/>
  <c r="AK386" i="5"/>
  <c r="AM475" i="5"/>
  <c r="AK459" i="5"/>
  <c r="AK404" i="5"/>
  <c r="AT316" i="5"/>
  <c r="AK460" i="5"/>
  <c r="AE59" i="5"/>
  <c r="AK193" i="5" a="1"/>
  <c r="AK283" i="5"/>
  <c r="AK442" i="5"/>
  <c r="AE442" i="5" s="1"/>
  <c r="AK348" i="5"/>
  <c r="AE299" i="5"/>
  <c r="AK355" i="5"/>
  <c r="AK448" i="5"/>
  <c r="AM354" i="5"/>
  <c r="AK364" i="5"/>
  <c r="AK479" i="5"/>
  <c r="AT493" i="5"/>
  <c r="AE164" i="5"/>
  <c r="AK446" i="5"/>
  <c r="AM387" i="5"/>
  <c r="AT454" i="5"/>
  <c r="AE287" i="5"/>
  <c r="AK485" i="5"/>
  <c r="AE486" i="5"/>
  <c r="AK209" i="5" a="1"/>
  <c r="AK471" i="5"/>
  <c r="AM39" i="5"/>
  <c r="AK9" i="5" a="1"/>
  <c r="AK29" i="5" a="1"/>
  <c r="AK207" i="5" a="1"/>
  <c r="AK309" i="5"/>
  <c r="AK127" i="5" a="1"/>
  <c r="AM199" i="5"/>
  <c r="AK117" i="5" a="1"/>
  <c r="AK366" i="5"/>
  <c r="AM498" i="5"/>
  <c r="AK349" i="5"/>
  <c r="AK502" i="5"/>
  <c r="AK286" i="5"/>
  <c r="AK414" i="5"/>
  <c r="AK58" i="5" a="1"/>
  <c r="AE329" i="5"/>
  <c r="AK104" i="5" a="1"/>
  <c r="AK3" i="5" a="1"/>
  <c r="AM483" i="5"/>
  <c r="AK37" i="5" a="1"/>
  <c r="AM296" i="5"/>
  <c r="AK308" i="5"/>
  <c r="AT318" i="5"/>
  <c r="AT299" i="5"/>
  <c r="AE199" i="5"/>
  <c r="AK371" i="5"/>
  <c r="AE138" i="5"/>
  <c r="AM277" i="5"/>
  <c r="AK361" i="5"/>
  <c r="AE361" i="5" s="1"/>
  <c r="AM435" i="5"/>
  <c r="AK208" i="5" a="1"/>
  <c r="AK280" i="5"/>
  <c r="AK376" i="5"/>
  <c r="AK428" i="5"/>
  <c r="AK491" i="5"/>
  <c r="AM442" i="5"/>
  <c r="AK494" i="5"/>
  <c r="AT160" i="5"/>
  <c r="AK464" i="5"/>
  <c r="AM380" i="5"/>
  <c r="AK60" i="5" a="1"/>
  <c r="AK311" i="5"/>
  <c r="AK95" i="5" a="1"/>
  <c r="AE354" i="5"/>
  <c r="AT350" i="5"/>
  <c r="AK407" i="5"/>
  <c r="AM152" i="5"/>
  <c r="AK451" i="5"/>
  <c r="AK194" i="5" a="1"/>
  <c r="AK200" i="5" a="1"/>
  <c r="AE144" i="5"/>
  <c r="AK79" i="5" a="1"/>
  <c r="AK416" i="5"/>
  <c r="AT445" i="5"/>
  <c r="AK332" i="5"/>
  <c r="AM211" i="5"/>
  <c r="AE211" i="5"/>
  <c r="AE390" i="5"/>
  <c r="AT390" i="5"/>
  <c r="AK159" i="5" a="1"/>
  <c r="AK110" i="5" a="1"/>
  <c r="AM213" i="5"/>
  <c r="AE213" i="5"/>
  <c r="AE401" i="5"/>
  <c r="AE352" i="5"/>
  <c r="AT452" i="5"/>
  <c r="AK492" i="5"/>
  <c r="AT338" i="5"/>
  <c r="AK466" i="5"/>
  <c r="AM466" i="5" s="1"/>
  <c r="AK75" i="5" a="1"/>
  <c r="AK403" i="5"/>
  <c r="AE330" i="5"/>
  <c r="AK38" i="5" a="1"/>
  <c r="AM299" i="5"/>
  <c r="AK319" i="5"/>
  <c r="AT378" i="5"/>
  <c r="AM113" i="5"/>
  <c r="AK382" i="5"/>
  <c r="AE382" i="5" s="1"/>
  <c r="AM382" i="5"/>
  <c r="AK64" i="5" a="1"/>
  <c r="AK473" i="5"/>
  <c r="AM144" i="5"/>
  <c r="AK421" i="5"/>
  <c r="AM108" i="5"/>
  <c r="AK24" i="5" a="1"/>
  <c r="AM102" i="5"/>
  <c r="AK276" i="5"/>
  <c r="AK304" i="5"/>
  <c r="AM186" i="5"/>
  <c r="AE186" i="5"/>
  <c r="AK337" i="5"/>
  <c r="AK306" i="5"/>
  <c r="AK426" i="5"/>
  <c r="AM426" i="5" s="1"/>
  <c r="AK41" i="5" a="1"/>
  <c r="AK143" i="5" a="1"/>
  <c r="AK408" i="5"/>
  <c r="AK425" i="5"/>
  <c r="AK25" i="5" a="1"/>
  <c r="AK388" i="5"/>
  <c r="AK365" i="5"/>
  <c r="AK487" i="5"/>
  <c r="AK434" i="5"/>
  <c r="AT327" i="5"/>
  <c r="AM284" i="5"/>
  <c r="AK295" i="5"/>
  <c r="AK443" i="5"/>
  <c r="AT369" i="5"/>
  <c r="AE135" i="5"/>
  <c r="AE387" i="5"/>
  <c r="AM287" i="5"/>
  <c r="AK503" i="5"/>
  <c r="AM462" i="5"/>
  <c r="AK343" i="5"/>
  <c r="AK4" i="5" a="1"/>
  <c r="AK368" i="5"/>
  <c r="AK98" i="5" a="1"/>
  <c r="AE197" i="5"/>
  <c r="AE53" i="5"/>
  <c r="AK478" i="5"/>
  <c r="AK341" i="5"/>
  <c r="AK192" i="5" a="1"/>
  <c r="AM133" i="5"/>
  <c r="AK31" i="5" a="1"/>
  <c r="AM136" i="5"/>
  <c r="AE136" i="5"/>
  <c r="AK493" i="5"/>
  <c r="AK289" i="5"/>
  <c r="AK27" i="5" a="1"/>
  <c r="AM427" i="5"/>
  <c r="AE284" i="5"/>
  <c r="AK358" i="5"/>
  <c r="AK457" i="5"/>
  <c r="AM457" i="5" s="1"/>
  <c r="AE432" i="5"/>
  <c r="AK160" i="5" a="1"/>
  <c r="AK89" i="5" a="1"/>
  <c r="AM146" i="5"/>
  <c r="AE146" i="5"/>
  <c r="AM28" i="5"/>
  <c r="AE28" i="5"/>
  <c r="AM34" i="5"/>
  <c r="AE427" i="5"/>
  <c r="AK413" i="5"/>
  <c r="AK360" i="5"/>
  <c r="AT503" i="5"/>
  <c r="AE123" i="5"/>
  <c r="AK437" i="5"/>
  <c r="AK109" i="5" a="1"/>
  <c r="AK474" i="5"/>
  <c r="AM361" i="5"/>
  <c r="AK342" i="5"/>
  <c r="AK447" i="5"/>
  <c r="AE466" i="5"/>
  <c r="AM197" i="5"/>
  <c r="AK383" i="5"/>
  <c r="AE161" i="5"/>
  <c r="AK300" i="5"/>
  <c r="AE465" i="5"/>
  <c r="AK172" i="5" a="1"/>
  <c r="AK397" i="5"/>
  <c r="AM217" i="5"/>
  <c r="AE217" i="5"/>
  <c r="AK477" i="5"/>
  <c r="AT167" i="5"/>
  <c r="AT461" i="5"/>
  <c r="AK351" i="5"/>
  <c r="AK214" i="5" a="1"/>
  <c r="AM468" i="5"/>
  <c r="AT478" i="5"/>
  <c r="AE344" i="5"/>
  <c r="AM123" i="5"/>
  <c r="AE484" i="5"/>
  <c r="AK173" i="5" a="1"/>
  <c r="AK188" i="5" a="1"/>
  <c r="AE101" i="5"/>
  <c r="AK400" i="5"/>
  <c r="AK389" i="5"/>
  <c r="AK452" i="5"/>
  <c r="AE498" i="5"/>
  <c r="AK476" i="5"/>
  <c r="AM415" i="5"/>
  <c r="AK140" i="5" a="1"/>
  <c r="AM329" i="5"/>
  <c r="AM161" i="5"/>
  <c r="AK321" i="5"/>
  <c r="AM486" i="5"/>
  <c r="AE393" i="5"/>
  <c r="AK438" i="5"/>
  <c r="AK331" i="5"/>
  <c r="AK384" i="5"/>
  <c r="AT397" i="5"/>
  <c r="AK444" i="5"/>
  <c r="AT297" i="5"/>
  <c r="AK501" i="5"/>
  <c r="AK322" i="5"/>
  <c r="AK472" i="5"/>
  <c r="AK307" i="5"/>
  <c r="AE167" i="5"/>
  <c r="AK112" i="5" a="1"/>
  <c r="AK419" i="5"/>
  <c r="AK196" i="5" a="1"/>
  <c r="AK422" i="5"/>
  <c r="AM484" i="5"/>
  <c r="AM434" i="5"/>
  <c r="AK281" i="5"/>
  <c r="AK455" i="5"/>
  <c r="AK78" i="5" a="1"/>
  <c r="AE178" i="5"/>
  <c r="AM178" i="5"/>
  <c r="AK17" i="5" a="1"/>
  <c r="AK16" i="5" a="1"/>
  <c r="AK129" i="5" a="1"/>
  <c r="AK453" i="5"/>
  <c r="AE457" i="5"/>
  <c r="AK490" i="5"/>
  <c r="AE426" i="5"/>
  <c r="AE418" i="5"/>
  <c r="AK369" i="5"/>
  <c r="AK495" i="5"/>
  <c r="AK385" i="5"/>
  <c r="AT415" i="5"/>
  <c r="AE434" i="5"/>
  <c r="AK163" i="5" a="1"/>
  <c r="AK103" i="5" a="1"/>
  <c r="AK302" i="5"/>
  <c r="AK120" i="5" a="1"/>
  <c r="AK433" i="5"/>
  <c r="AE350" i="5"/>
  <c r="AM350" i="5"/>
  <c r="AM392" i="5"/>
  <c r="AE392" i="5"/>
  <c r="AM362" i="5"/>
  <c r="AE362" i="5"/>
  <c r="AM420" i="5"/>
  <c r="AE420" i="5"/>
  <c r="AE327" i="5"/>
  <c r="AM327" i="5"/>
  <c r="AE278" i="5"/>
  <c r="AM278" i="5"/>
  <c r="AM398" i="5"/>
  <c r="AE398" i="5"/>
  <c r="AM294" i="5"/>
  <c r="AE294" i="5"/>
  <c r="AE441" i="5"/>
  <c r="AM441" i="5"/>
  <c r="AM406" i="5"/>
  <c r="AE406" i="5"/>
  <c r="AE439" i="5"/>
  <c r="AM439" i="5"/>
  <c r="AE381" i="5"/>
  <c r="AM381" i="5"/>
  <c r="AE500" i="5"/>
  <c r="AM500" i="5"/>
  <c r="AE293" i="5"/>
  <c r="AM293" i="5"/>
  <c r="AM333" i="5"/>
  <c r="AE333" i="5"/>
  <c r="AM470" i="5"/>
  <c r="AE470" i="5"/>
  <c r="AM314" i="5"/>
  <c r="AE314" i="5"/>
  <c r="AM505" i="5"/>
  <c r="AE505" i="5"/>
  <c r="AE481" i="5"/>
  <c r="AM481" i="5"/>
  <c r="AM338" i="5"/>
  <c r="AE338" i="5"/>
  <c r="AM279" i="5"/>
  <c r="AE279" i="5"/>
  <c r="AM313" i="5"/>
  <c r="AE313" i="5"/>
  <c r="AM412" i="5"/>
  <c r="AE412" i="5"/>
  <c r="AM347" i="5"/>
  <c r="AE347" i="5"/>
  <c r="AM336" i="5"/>
  <c r="AE336" i="5"/>
  <c r="AM499" i="5"/>
  <c r="AE499" i="5"/>
  <c r="AE440" i="5"/>
  <c r="AM440" i="5"/>
  <c r="AM430" i="5"/>
  <c r="AE430" i="5"/>
  <c r="AM290" i="5"/>
  <c r="AE290" i="5"/>
  <c r="AM429" i="5"/>
  <c r="AE429" i="5"/>
  <c r="AM334" i="5"/>
  <c r="AE334" i="5"/>
  <c r="AE489" i="5"/>
  <c r="AM489" i="5"/>
  <c r="AM449" i="5"/>
  <c r="AE449" i="5"/>
  <c r="AM356" i="5"/>
  <c r="AE356" i="5"/>
  <c r="AE469" i="5"/>
  <c r="AM469" i="5"/>
  <c r="AE373" i="5"/>
  <c r="AM373" i="5"/>
  <c r="AM303" i="5"/>
  <c r="AE303" i="5"/>
  <c r="AM436" i="5"/>
  <c r="AE436" i="5"/>
  <c r="AM317" i="5"/>
  <c r="AE317" i="5"/>
  <c r="AM339" i="5"/>
  <c r="AE339" i="5"/>
  <c r="AM359" i="5"/>
  <c r="AE359" i="5"/>
  <c r="AM417" i="5"/>
  <c r="AE417" i="5"/>
  <c r="AM310" i="5"/>
  <c r="AE310" i="5"/>
  <c r="AM488" i="5"/>
  <c r="AE488" i="5"/>
  <c r="AE324" i="5"/>
  <c r="AM324" i="5"/>
  <c r="AE370" i="5"/>
  <c r="AM370" i="5"/>
  <c r="AM394" i="5"/>
  <c r="AE394" i="5"/>
  <c r="AM497" i="5"/>
  <c r="AE497" i="5"/>
  <c r="AM312" i="5"/>
  <c r="AE312" i="5"/>
  <c r="AM467" i="5"/>
  <c r="AE467" i="5"/>
  <c r="AM379" i="5"/>
  <c r="AE379" i="5"/>
  <c r="AM318" i="5"/>
  <c r="AE318" i="5"/>
  <c r="AE372" i="5"/>
  <c r="AM372" i="5"/>
  <c r="AM301" i="5"/>
  <c r="AE301" i="5"/>
  <c r="AM424" i="5"/>
  <c r="AE424" i="5"/>
  <c r="AM405" i="5"/>
  <c r="AE405" i="5"/>
  <c r="AM316" i="5"/>
  <c r="AE316" i="5"/>
  <c r="AE335" i="5"/>
  <c r="AM335" i="5"/>
  <c r="AE463" i="5"/>
  <c r="AM463" i="5"/>
  <c r="AM357" i="5"/>
  <c r="AE357" i="5"/>
  <c r="AE292" i="5"/>
  <c r="AM292" i="5"/>
  <c r="AE409" i="5"/>
  <c r="AM409" i="5"/>
  <c r="AE285" i="5"/>
  <c r="AM285" i="5"/>
  <c r="AE402" i="5"/>
  <c r="AM402" i="5"/>
  <c r="AM288" i="5"/>
  <c r="AE288" i="5"/>
  <c r="AE482" i="5"/>
  <c r="AM482" i="5"/>
  <c r="AM297" i="5"/>
  <c r="AE297" i="5"/>
  <c r="AM346" i="5"/>
  <c r="AE346" i="5"/>
  <c r="AM454" i="5"/>
  <c r="AE454" i="5"/>
  <c r="AE326" i="5"/>
  <c r="AM326" i="5"/>
  <c r="AM480" i="5"/>
  <c r="AE480" i="5"/>
  <c r="AM377" i="5"/>
  <c r="AE377" i="5"/>
  <c r="AM325" i="5"/>
  <c r="AE325" i="5"/>
  <c r="AM345" i="5"/>
  <c r="AE345" i="5"/>
  <c r="AE320" i="5"/>
  <c r="AM320" i="5"/>
  <c r="AM456" i="5"/>
  <c r="AE456" i="5"/>
  <c r="AE298" i="5"/>
  <c r="AM298" i="5"/>
  <c r="AE396" i="5"/>
  <c r="AM396" i="5"/>
  <c r="AE291" i="5"/>
  <c r="AM291" i="5"/>
  <c r="AM323" i="5"/>
  <c r="AE323" i="5"/>
  <c r="AE450" i="5"/>
  <c r="AM450" i="5"/>
  <c r="AE305" i="5"/>
  <c r="AM305" i="5"/>
  <c r="AE378" i="5"/>
  <c r="AM378" i="5"/>
  <c r="AM395" i="5"/>
  <c r="AE395" i="5"/>
  <c r="AM315" i="5"/>
  <c r="AE315" i="5"/>
  <c r="AE445" i="5"/>
  <c r="AM445" i="5"/>
  <c r="AM458" i="5"/>
  <c r="AE458" i="5"/>
  <c r="AE363" i="5"/>
  <c r="AM363" i="5"/>
  <c r="AE461" i="5"/>
  <c r="AM461" i="5"/>
  <c r="AE410" i="5"/>
  <c r="AM410" i="5"/>
  <c r="AM340" i="5"/>
  <c r="AE340" i="5"/>
  <c r="AE386" i="5"/>
  <c r="AM386" i="5"/>
  <c r="AM459" i="5"/>
  <c r="AE459" i="5"/>
  <c r="AM404" i="5"/>
  <c r="AE404" i="5"/>
  <c r="AE460" i="5"/>
  <c r="AM460" i="5"/>
  <c r="AM283" i="5"/>
  <c r="AE283" i="5"/>
  <c r="AM348" i="5"/>
  <c r="AE348" i="5"/>
  <c r="AM355" i="5"/>
  <c r="AE355" i="5"/>
  <c r="AM448" i="5"/>
  <c r="AE448" i="5"/>
  <c r="AM364" i="5"/>
  <c r="AE364" i="5"/>
  <c r="AM479" i="5"/>
  <c r="AE479" i="5"/>
  <c r="AE446" i="5"/>
  <c r="AM446" i="5"/>
  <c r="AM485" i="5"/>
  <c r="AE485" i="5"/>
  <c r="AM471" i="5"/>
  <c r="AE471" i="5"/>
  <c r="AE309" i="5"/>
  <c r="AM309" i="5"/>
  <c r="AM366" i="5"/>
  <c r="AE366" i="5"/>
  <c r="AE349" i="5"/>
  <c r="AM349" i="5"/>
  <c r="AM502" i="5"/>
  <c r="AE502" i="5"/>
  <c r="AM286" i="5"/>
  <c r="AE286" i="5"/>
  <c r="AM414" i="5"/>
  <c r="AE414" i="5"/>
  <c r="AE308" i="5"/>
  <c r="AM308" i="5"/>
  <c r="AE371" i="5"/>
  <c r="AM371" i="5"/>
  <c r="AM280" i="5"/>
  <c r="AE280" i="5"/>
  <c r="AM376" i="5"/>
  <c r="AE376" i="5"/>
  <c r="AM428" i="5"/>
  <c r="AE428" i="5"/>
  <c r="AM491" i="5"/>
  <c r="AE491" i="5"/>
  <c r="AE494" i="5"/>
  <c r="AM494" i="5"/>
  <c r="AE464" i="5"/>
  <c r="AM464" i="5"/>
  <c r="AM311" i="5"/>
  <c r="AE311" i="5"/>
  <c r="AE407" i="5"/>
  <c r="AM407" i="5"/>
  <c r="AM451" i="5"/>
  <c r="AE451" i="5"/>
  <c r="AM416" i="5"/>
  <c r="AE416" i="5"/>
  <c r="AE332" i="5"/>
  <c r="AM332" i="5"/>
  <c r="AE492" i="5"/>
  <c r="AM492" i="5"/>
  <c r="AE403" i="5"/>
  <c r="AM403" i="5"/>
  <c r="AM319" i="5"/>
  <c r="AE319" i="5"/>
  <c r="AM473" i="5"/>
  <c r="AE473" i="5"/>
  <c r="AE421" i="5"/>
  <c r="AM421" i="5"/>
  <c r="AE276" i="5"/>
  <c r="AM276" i="5"/>
  <c r="AE304" i="5"/>
  <c r="AM304" i="5"/>
  <c r="AM337" i="5"/>
  <c r="AE337" i="5"/>
  <c r="AM306" i="5"/>
  <c r="AE306" i="5"/>
  <c r="AE408" i="5"/>
  <c r="AM408" i="5"/>
  <c r="AM425" i="5"/>
  <c r="AE425" i="5"/>
  <c r="AM388" i="5"/>
  <c r="AE388" i="5"/>
  <c r="AE365" i="5"/>
  <c r="AM365" i="5"/>
  <c r="AE487" i="5"/>
  <c r="AM487" i="5"/>
  <c r="AE295" i="5"/>
  <c r="AM295" i="5"/>
  <c r="AE443" i="5"/>
  <c r="AM443" i="5"/>
  <c r="AM503" i="5"/>
  <c r="AE503" i="5"/>
  <c r="AE343" i="5"/>
  <c r="AM343" i="5"/>
  <c r="AM368" i="5"/>
  <c r="AE368" i="5"/>
  <c r="AM478" i="5"/>
  <c r="AE478" i="5"/>
  <c r="AE341" i="5"/>
  <c r="AM341" i="5"/>
  <c r="AM493" i="5"/>
  <c r="AE493" i="5"/>
  <c r="AM289" i="5"/>
  <c r="AE289" i="5"/>
  <c r="AM358" i="5"/>
  <c r="AE358" i="5"/>
  <c r="AM413" i="5"/>
  <c r="AE413" i="5"/>
  <c r="AE360" i="5"/>
  <c r="AM360" i="5"/>
  <c r="AM437" i="5"/>
  <c r="AE437" i="5"/>
  <c r="AM474" i="5"/>
  <c r="AE474" i="5"/>
  <c r="AE342" i="5"/>
  <c r="AM342" i="5"/>
  <c r="AE447" i="5"/>
  <c r="AM447" i="5"/>
  <c r="AM383" i="5"/>
  <c r="AE383" i="5"/>
  <c r="AM300" i="5"/>
  <c r="AE300" i="5"/>
  <c r="AM397" i="5"/>
  <c r="AE397" i="5"/>
  <c r="AE477" i="5"/>
  <c r="AM477" i="5"/>
  <c r="AM351" i="5"/>
  <c r="AE351" i="5"/>
  <c r="AM400" i="5"/>
  <c r="AE400" i="5"/>
  <c r="AM389" i="5"/>
  <c r="AE389" i="5"/>
  <c r="AM452" i="5"/>
  <c r="AE452" i="5"/>
  <c r="AE476" i="5"/>
  <c r="AM476" i="5"/>
  <c r="AM321" i="5"/>
  <c r="AE321" i="5"/>
  <c r="AM438" i="5"/>
  <c r="AE438" i="5"/>
  <c r="AM331" i="5"/>
  <c r="AE331" i="5"/>
  <c r="AM384" i="5"/>
  <c r="AE384" i="5"/>
  <c r="AM444" i="5"/>
  <c r="AE444" i="5"/>
  <c r="AE501" i="5"/>
  <c r="AM501" i="5"/>
  <c r="AM322" i="5"/>
  <c r="AE322" i="5"/>
  <c r="AM472" i="5"/>
  <c r="AE472" i="5"/>
  <c r="AE307" i="5"/>
  <c r="AM307" i="5"/>
  <c r="AE419" i="5"/>
  <c r="AM419" i="5"/>
  <c r="AE422" i="5"/>
  <c r="AM422" i="5"/>
  <c r="AM281" i="5"/>
  <c r="AE281" i="5"/>
  <c r="AM455" i="5"/>
  <c r="AE455" i="5"/>
  <c r="AM453" i="5"/>
  <c r="AE453" i="5"/>
  <c r="AM490" i="5"/>
  <c r="AE490" i="5"/>
  <c r="AE369" i="5"/>
  <c r="AM369" i="5"/>
  <c r="AE495" i="5"/>
  <c r="AM495" i="5"/>
  <c r="AM385" i="5"/>
  <c r="AE385" i="5"/>
  <c r="AE302" i="5"/>
  <c r="AM302" i="5"/>
  <c r="AM433" i="5"/>
  <c r="AE433" i="5"/>
  <c r="AM226" i="5"/>
  <c r="AE226" i="5"/>
  <c r="AM227" i="5"/>
  <c r="AE227" i="5"/>
  <c r="AM228" i="5"/>
  <c r="AE228" i="5"/>
  <c r="AM229" i="5"/>
  <c r="AE229" i="5"/>
  <c r="AM230" i="5"/>
  <c r="AE230" i="5"/>
  <c r="AM231" i="5"/>
  <c r="AE231" i="5"/>
  <c r="AM232" i="5"/>
  <c r="AE232" i="5"/>
  <c r="AM233" i="5"/>
  <c r="AE233" i="5"/>
  <c r="AM234" i="5"/>
  <c r="AE234" i="5"/>
  <c r="AM235" i="5"/>
  <c r="AE235" i="5"/>
  <c r="AM236" i="5"/>
  <c r="AE236" i="5"/>
  <c r="AM237" i="5"/>
  <c r="AE237" i="5"/>
  <c r="AM238" i="5"/>
  <c r="AE238" i="5"/>
  <c r="AM239" i="5"/>
  <c r="AE239" i="5"/>
  <c r="AM240" i="5"/>
  <c r="AE240" i="5"/>
  <c r="AM241" i="5"/>
  <c r="AE241" i="5"/>
  <c r="AM242" i="5"/>
  <c r="AE242" i="5"/>
  <c r="AM243" i="5"/>
  <c r="AE243" i="5"/>
  <c r="AM244" i="5"/>
  <c r="AE244" i="5"/>
  <c r="AM245" i="5"/>
  <c r="AE245" i="5"/>
  <c r="AM246" i="5"/>
  <c r="AE246" i="5"/>
  <c r="AM247" i="5"/>
  <c r="AE247" i="5"/>
  <c r="AM248" i="5"/>
  <c r="AE248" i="5"/>
  <c r="AM249" i="5"/>
  <c r="AE249" i="5"/>
  <c r="AM250" i="5"/>
  <c r="AE250" i="5"/>
  <c r="AM251" i="5"/>
  <c r="AE251" i="5"/>
  <c r="AM252" i="5"/>
  <c r="AE252" i="5"/>
  <c r="AM253" i="5"/>
  <c r="AE253" i="5"/>
  <c r="AM254" i="5"/>
  <c r="AE254" i="5"/>
  <c r="AM255" i="5"/>
  <c r="AE255" i="5"/>
  <c r="AM256" i="5"/>
  <c r="AE256" i="5"/>
  <c r="AM257" i="5"/>
  <c r="AE257" i="5"/>
  <c r="AM258" i="5"/>
  <c r="AE258" i="5"/>
  <c r="AM259" i="5"/>
  <c r="AE259" i="5"/>
  <c r="AM260" i="5"/>
  <c r="AE260" i="5"/>
  <c r="AM261" i="5"/>
  <c r="AE261" i="5"/>
  <c r="AM262" i="5"/>
  <c r="AE262" i="5"/>
  <c r="AM263" i="5"/>
  <c r="AE263" i="5"/>
  <c r="AM264" i="5"/>
  <c r="AE264" i="5"/>
  <c r="AM265" i="5"/>
  <c r="AE265" i="5"/>
  <c r="AM266" i="5"/>
  <c r="AE266" i="5"/>
  <c r="AM267" i="5"/>
  <c r="AE267" i="5"/>
  <c r="AM268" i="5"/>
  <c r="AE268" i="5"/>
  <c r="AM269" i="5"/>
  <c r="AE269" i="5"/>
  <c r="AM270" i="5"/>
  <c r="AE270" i="5"/>
  <c r="AM271" i="5"/>
  <c r="AE271" i="5"/>
  <c r="AM272" i="5"/>
  <c r="AE272" i="5"/>
  <c r="AM273" i="5"/>
  <c r="AE273" i="5"/>
  <c r="AM274" i="5"/>
  <c r="AE274" i="5"/>
  <c r="AM275" i="5"/>
  <c r="AE275" i="5"/>
  <c r="AF275" i="5" l="1"/>
  <c r="AN275" i="5"/>
  <c r="AF274" i="5"/>
  <c r="AN274" i="5"/>
  <c r="AF273" i="5"/>
  <c r="AN273" i="5"/>
  <c r="AF272" i="5"/>
  <c r="AN272" i="5"/>
  <c r="AF271" i="5"/>
  <c r="AN271" i="5"/>
  <c r="AF270" i="5"/>
  <c r="AN270" i="5"/>
  <c r="AF269" i="5"/>
  <c r="AN269" i="5"/>
  <c r="AF268" i="5"/>
  <c r="AN268" i="5"/>
  <c r="AF267" i="5"/>
  <c r="AN267" i="5"/>
  <c r="AF266" i="5"/>
  <c r="AN266" i="5"/>
  <c r="AF265" i="5"/>
  <c r="AN265" i="5"/>
  <c r="AF264" i="5"/>
  <c r="AN264" i="5"/>
  <c r="AF263" i="5"/>
  <c r="AN263" i="5"/>
  <c r="AF262" i="5"/>
  <c r="AN262" i="5"/>
  <c r="AF261" i="5"/>
  <c r="AN261" i="5"/>
  <c r="AF260" i="5"/>
  <c r="AN260" i="5"/>
  <c r="AF259" i="5"/>
  <c r="AN259" i="5"/>
  <c r="AF258" i="5"/>
  <c r="AN258" i="5"/>
  <c r="AW48" i="5"/>
  <c r="AX48" i="5" s="1"/>
  <c r="AF257" i="5"/>
  <c r="AN257" i="5"/>
  <c r="AF256" i="5"/>
  <c r="AN256" i="5"/>
  <c r="AF255" i="5"/>
  <c r="AN255" i="5"/>
  <c r="AF254" i="5"/>
  <c r="AN254" i="5"/>
  <c r="AF253" i="5"/>
  <c r="AN253" i="5"/>
  <c r="AF252" i="5"/>
  <c r="AN252" i="5"/>
  <c r="AF251" i="5"/>
  <c r="AN251" i="5"/>
  <c r="AF250" i="5"/>
  <c r="AN250" i="5"/>
  <c r="AF249" i="5"/>
  <c r="AN249" i="5"/>
  <c r="AF248" i="5"/>
  <c r="AN248" i="5"/>
  <c r="AF247" i="5"/>
  <c r="AN247" i="5"/>
  <c r="AW113" i="5"/>
  <c r="AX113" i="5" s="1"/>
  <c r="AF246" i="5"/>
  <c r="AN246" i="5"/>
  <c r="AF245" i="5"/>
  <c r="AN245" i="5"/>
  <c r="AF244" i="5"/>
  <c r="AN244" i="5"/>
  <c r="AF243" i="5"/>
  <c r="AN243" i="5"/>
  <c r="AF242" i="5"/>
  <c r="AN242" i="5"/>
  <c r="AF241" i="5"/>
  <c r="AN241" i="5"/>
  <c r="AF240" i="5"/>
  <c r="AN240" i="5"/>
  <c r="AO135" i="5"/>
  <c r="AR135" i="5" s="1"/>
  <c r="AS135" i="5" s="1"/>
  <c r="AF239" i="5"/>
  <c r="AN239" i="5"/>
  <c r="AF238" i="5"/>
  <c r="AN238" i="5"/>
  <c r="AF237" i="5"/>
  <c r="AN237" i="5"/>
  <c r="AO6" i="5"/>
  <c r="AR6" i="5" s="1"/>
  <c r="AS6" i="5" s="1"/>
  <c r="AF236" i="5"/>
  <c r="AN236" i="5"/>
  <c r="AW98" i="5"/>
  <c r="AX98" i="5" s="1"/>
  <c r="AW101" i="5"/>
  <c r="AX101" i="5" s="1"/>
  <c r="AF235" i="5"/>
  <c r="AN235" i="5"/>
  <c r="AW123" i="5"/>
  <c r="AX123" i="5" s="1"/>
  <c r="AO172" i="5"/>
  <c r="AR172" i="5" s="1"/>
  <c r="AS172" i="5" s="1"/>
  <c r="AF234" i="5"/>
  <c r="AN234" i="5"/>
  <c r="AO82" i="5"/>
  <c r="AR82" i="5" s="1"/>
  <c r="AS82" i="5" s="1"/>
  <c r="AW138" i="5"/>
  <c r="AX138" i="5" s="1"/>
  <c r="AW69" i="5"/>
  <c r="AX69" i="5" s="1"/>
  <c r="AW99" i="5"/>
  <c r="AX99" i="5" s="1"/>
  <c r="AW189" i="5"/>
  <c r="AX189" i="5" s="1"/>
  <c r="AO16" i="5"/>
  <c r="AR16" i="5" s="1"/>
  <c r="AS16" i="5" s="1"/>
  <c r="AF233" i="5"/>
  <c r="AN233" i="5"/>
  <c r="AF232" i="5"/>
  <c r="AN232" i="5"/>
  <c r="AF231" i="5"/>
  <c r="AN231" i="5"/>
  <c r="AF230" i="5"/>
  <c r="AN230" i="5"/>
  <c r="AO174" i="5"/>
  <c r="AR174" i="5" s="1"/>
  <c r="AS174" i="5" s="1"/>
  <c r="AF229" i="5"/>
  <c r="AN229" i="5"/>
  <c r="AW157" i="5"/>
  <c r="AX157" i="5" s="1"/>
  <c r="AF228" i="5"/>
  <c r="AN228" i="5"/>
  <c r="AW183" i="5"/>
  <c r="AX183" i="5" s="1"/>
  <c r="AO218" i="5"/>
  <c r="BB218" i="5" s="1"/>
  <c r="AO11" i="5"/>
  <c r="AR11" i="5" s="1"/>
  <c r="AS11" i="5" s="1"/>
  <c r="AX76" i="5"/>
  <c r="AW202" i="5"/>
  <c r="AX202" i="5" s="1"/>
  <c r="AO35" i="5"/>
  <c r="BB35" i="5" s="1"/>
  <c r="AO114" i="5"/>
  <c r="BB114" i="5" s="1"/>
  <c r="AX114" i="5"/>
  <c r="AF227" i="5"/>
  <c r="AN227" i="5"/>
  <c r="AO203" i="5"/>
  <c r="BB203" i="5" s="1"/>
  <c r="BB210" i="5"/>
  <c r="BC210" i="5" s="1"/>
  <c r="AW160" i="5"/>
  <c r="AX160" i="5" s="1"/>
  <c r="AF226" i="5"/>
  <c r="AN226" i="5"/>
  <c r="AW148" i="5"/>
  <c r="AX148" i="5" s="1"/>
  <c r="AX82" i="5"/>
  <c r="AX43" i="5"/>
  <c r="AO95" i="5"/>
  <c r="AR95" i="5" s="1"/>
  <c r="AS95" i="5" s="1"/>
  <c r="AD112" i="5"/>
  <c r="AW165" i="5"/>
  <c r="AX165" i="5" s="1"/>
  <c r="AW149" i="5"/>
  <c r="AX149" i="5" s="1"/>
  <c r="AW145" i="5"/>
  <c r="AX145" i="5" s="1"/>
  <c r="AW141" i="5"/>
  <c r="AX141" i="5" s="1"/>
  <c r="AO90" i="5"/>
  <c r="AR90" i="5" s="1"/>
  <c r="AS90" i="5" s="1"/>
  <c r="AW201" i="5"/>
  <c r="AX201" i="5" s="1"/>
  <c r="AW153" i="5"/>
  <c r="AX153" i="5" s="1"/>
  <c r="AO110" i="5"/>
  <c r="BB110" i="5" s="1"/>
  <c r="BB202" i="5"/>
  <c r="BM202" i="5" s="1"/>
  <c r="AO58" i="5"/>
  <c r="BB58" i="5" s="1"/>
  <c r="AW147" i="5"/>
  <c r="AX147" i="5" s="1"/>
  <c r="AW159" i="5"/>
  <c r="AX159" i="5" s="1"/>
  <c r="AW93" i="5"/>
  <c r="AX93" i="5" s="1"/>
  <c r="AW210" i="5"/>
  <c r="AX210" i="5" s="1"/>
  <c r="AO100" i="5"/>
  <c r="AR100" i="5" s="1"/>
  <c r="AS100" i="5" s="1"/>
  <c r="AS165" i="5"/>
  <c r="AW78" i="5"/>
  <c r="AX78" i="5" s="1"/>
  <c r="AO27" i="5"/>
  <c r="AR27" i="5" s="1"/>
  <c r="AS27" i="5" s="1"/>
  <c r="AW51" i="5"/>
  <c r="AX51" i="5" s="1"/>
  <c r="AJ88" i="5"/>
  <c r="AO49" i="5"/>
  <c r="AR49" i="5" s="1"/>
  <c r="AS49" i="5" s="1"/>
  <c r="AO32" i="5"/>
  <c r="AR32" i="5" s="1"/>
  <c r="AS32" i="5" s="1"/>
  <c r="AW193" i="5"/>
  <c r="AX193" i="5" s="1"/>
  <c r="AX90" i="5"/>
  <c r="AX58" i="5"/>
  <c r="AW215" i="5"/>
  <c r="AX215" i="5" s="1"/>
  <c r="AD95" i="5"/>
  <c r="AD88" i="5"/>
  <c r="AX25" i="5"/>
  <c r="AX52" i="5"/>
  <c r="AW54" i="5"/>
  <c r="AX54" i="5" s="1"/>
  <c r="AX169" i="5"/>
  <c r="AX77" i="5"/>
  <c r="AX118" i="5"/>
  <c r="BB48" i="5"/>
  <c r="BC48" i="5" s="1"/>
  <c r="AW213" i="5"/>
  <c r="AX213" i="5" s="1"/>
  <c r="AX176" i="5"/>
  <c r="AW163" i="5"/>
  <c r="AX163" i="5" s="1"/>
  <c r="AX53" i="5"/>
  <c r="AW186" i="5"/>
  <c r="AX186" i="5" s="1"/>
  <c r="BN111" i="5"/>
  <c r="AO209" i="5"/>
  <c r="AR209" i="5" s="1"/>
  <c r="AS209" i="5" s="1"/>
  <c r="AW134" i="5"/>
  <c r="AX134" i="5" s="1"/>
  <c r="AO127" i="5"/>
  <c r="BB127" i="5" s="1"/>
  <c r="AW217" i="5"/>
  <c r="AX217" i="5" s="1"/>
  <c r="AX225" i="5"/>
  <c r="AX168" i="5"/>
  <c r="AJ193" i="5"/>
  <c r="AW184" i="5"/>
  <c r="AX184" i="5" s="1"/>
  <c r="AJ64" i="5"/>
  <c r="AK189" i="5"/>
  <c r="AX7" i="5"/>
  <c r="AO205" i="5"/>
  <c r="AR205" i="5" s="1"/>
  <c r="AS205" i="5" s="1"/>
  <c r="AW40" i="5"/>
  <c r="AX40" i="5" s="1"/>
  <c r="AW119" i="5"/>
  <c r="AX119" i="5" s="1"/>
  <c r="BP6" i="5"/>
  <c r="AX139" i="5"/>
  <c r="AX88" i="5"/>
  <c r="AX30" i="5"/>
  <c r="AW39" i="5"/>
  <c r="AX39" i="5" s="1"/>
  <c r="AW198" i="5"/>
  <c r="AX198" i="5" s="1"/>
  <c r="AW155" i="5"/>
  <c r="AX155" i="5" s="1"/>
  <c r="AX61" i="5"/>
  <c r="AJ157" i="5"/>
  <c r="BN4" i="5"/>
  <c r="AW86" i="5"/>
  <c r="AX86" i="5" s="1"/>
  <c r="AO92" i="5"/>
  <c r="BB92" i="5" s="1"/>
  <c r="AW65" i="5"/>
  <c r="AX65" i="5" s="1"/>
  <c r="AO225" i="5"/>
  <c r="AR225" i="5" s="1"/>
  <c r="AS225" i="5" s="1"/>
  <c r="AW94" i="5"/>
  <c r="AX94" i="5" s="1"/>
  <c r="AJ189" i="5"/>
  <c r="AX108" i="5"/>
  <c r="AO88" i="5"/>
  <c r="AR88" i="5" s="1"/>
  <c r="AS88" i="5" s="1"/>
  <c r="AD189" i="5"/>
  <c r="AW45" i="5"/>
  <c r="AX45" i="5" s="1"/>
  <c r="AK157" i="5"/>
  <c r="AK118" i="5"/>
  <c r="AW120" i="5"/>
  <c r="AX120" i="5" s="1"/>
  <c r="AO169" i="5"/>
  <c r="AR169" i="5" s="1"/>
  <c r="AS169" i="5" s="1"/>
  <c r="AW116" i="5"/>
  <c r="AX116" i="5" s="1"/>
  <c r="AO61" i="5"/>
  <c r="AR61" i="5" s="1"/>
  <c r="AS61" i="5" s="1"/>
  <c r="AO7" i="5"/>
  <c r="AR7" i="5" s="1"/>
  <c r="AS7" i="5" s="1"/>
  <c r="AO173" i="5"/>
  <c r="AR173" i="5" s="1"/>
  <c r="AS173" i="5" s="1"/>
  <c r="AX129" i="5"/>
  <c r="AO140" i="5"/>
  <c r="AR140" i="5" s="1"/>
  <c r="AS140" i="5" s="1"/>
  <c r="AW206" i="5"/>
  <c r="AX206" i="5" s="1"/>
  <c r="AW34" i="5"/>
  <c r="AX34" i="5" s="1"/>
  <c r="AX137" i="5"/>
  <c r="AX91" i="5"/>
  <c r="AX27" i="5"/>
  <c r="AW28" i="5"/>
  <c r="AX28" i="5" s="1"/>
  <c r="AX179" i="5"/>
  <c r="AO91" i="5"/>
  <c r="BB91" i="5" s="1"/>
  <c r="AW44" i="5"/>
  <c r="AX44" i="5" s="1"/>
  <c r="AD125" i="5"/>
  <c r="AO204" i="5"/>
  <c r="BB204" i="5" s="1"/>
  <c r="AW55" i="5"/>
  <c r="AX55" i="5" s="1"/>
  <c r="AX174" i="5"/>
  <c r="AW124" i="5"/>
  <c r="AX124" i="5" s="1"/>
  <c r="AW133" i="5"/>
  <c r="AX133" i="5" s="1"/>
  <c r="AX4" i="5"/>
  <c r="BB198" i="5"/>
  <c r="BM198" i="5" s="1"/>
  <c r="AW97" i="5"/>
  <c r="AX97" i="5" s="1"/>
  <c r="AX37" i="5"/>
  <c r="AX182" i="5"/>
  <c r="AX49" i="5"/>
  <c r="AO182" i="5"/>
  <c r="BB182" i="5" s="1"/>
  <c r="AW13" i="5"/>
  <c r="AX13" i="5" s="1"/>
  <c r="AW150" i="5"/>
  <c r="AX150" i="5" s="1"/>
  <c r="AW152" i="5"/>
  <c r="AX152" i="5" s="1"/>
  <c r="AX56" i="5"/>
  <c r="AD20" i="5"/>
  <c r="AO59" i="5"/>
  <c r="AR59" i="5" s="1"/>
  <c r="AS59" i="5" s="1"/>
  <c r="AJ204" i="5"/>
  <c r="AX112" i="5"/>
  <c r="AW24" i="5"/>
  <c r="AX24" i="5" s="1"/>
  <c r="AW109" i="5"/>
  <c r="AX109" i="5" s="1"/>
  <c r="AX100" i="5"/>
  <c r="AW96" i="5"/>
  <c r="AX96" i="5" s="1"/>
  <c r="AW10" i="5"/>
  <c r="AX10" i="5" s="1"/>
  <c r="BB103" i="5"/>
  <c r="BF103" i="5" s="1"/>
  <c r="AW103" i="5"/>
  <c r="AX103" i="5" s="1"/>
  <c r="AJ154" i="5"/>
  <c r="AO30" i="5"/>
  <c r="AR30" i="5" s="1"/>
  <c r="AS30" i="5" s="1"/>
  <c r="AW9" i="5"/>
  <c r="AX9" i="5" s="1"/>
  <c r="AO77" i="5"/>
  <c r="AR77" i="5" s="1"/>
  <c r="AS77" i="5" s="1"/>
  <c r="AW211" i="5"/>
  <c r="AX211" i="5" s="1"/>
  <c r="AW57" i="5"/>
  <c r="AX57" i="5" s="1"/>
  <c r="AW214" i="5"/>
  <c r="AX214" i="5" s="1"/>
  <c r="AX196" i="5"/>
  <c r="AX204" i="5"/>
  <c r="AX173" i="5"/>
  <c r="AK219" i="5"/>
  <c r="AK201" i="5"/>
  <c r="AK125" i="5"/>
  <c r="AX140" i="5"/>
  <c r="AX171" i="5"/>
  <c r="AD18" i="5"/>
  <c r="AW162" i="5"/>
  <c r="AX162" i="5" s="1"/>
  <c r="AJ151" i="5"/>
  <c r="AJ72" i="5"/>
  <c r="BA213" i="5"/>
  <c r="BB213" i="5" s="1"/>
  <c r="BF213" i="5" s="1"/>
  <c r="AW106" i="5"/>
  <c r="AX106" i="5" s="1"/>
  <c r="AO22" i="5"/>
  <c r="AR22" i="5" s="1"/>
  <c r="AS22" i="5" s="1"/>
  <c r="AO179" i="5"/>
  <c r="AR179" i="5" s="1"/>
  <c r="AS179" i="5" s="1"/>
  <c r="AX95" i="5"/>
  <c r="AD91" i="5"/>
  <c r="AO112" i="5"/>
  <c r="BB112" i="5" s="1"/>
  <c r="AW47" i="5"/>
  <c r="AX47" i="5" s="1"/>
  <c r="AW197" i="5"/>
  <c r="AX197" i="5" s="1"/>
  <c r="AW130" i="5"/>
  <c r="AX130" i="5" s="1"/>
  <c r="AO200" i="5"/>
  <c r="AR200" i="5" s="1"/>
  <c r="AS200" i="5" s="1"/>
  <c r="AJ201" i="5"/>
  <c r="AO75" i="5"/>
  <c r="AR75" i="5" s="1"/>
  <c r="AS75" i="5" s="1"/>
  <c r="AX75" i="5"/>
  <c r="AW187" i="5"/>
  <c r="AX187" i="5" s="1"/>
  <c r="AJ212" i="5"/>
  <c r="AW132" i="5"/>
  <c r="AX132" i="5" s="1"/>
  <c r="AW136" i="5"/>
  <c r="AX136" i="5" s="1"/>
  <c r="AW178" i="5"/>
  <c r="AX178" i="5" s="1"/>
  <c r="AW31" i="5"/>
  <c r="AX31" i="5" s="1"/>
  <c r="AO37" i="5"/>
  <c r="BB37" i="5" s="1"/>
  <c r="AD219" i="5"/>
  <c r="AW158" i="5"/>
  <c r="AX158" i="5" s="1"/>
  <c r="AO53" i="5"/>
  <c r="AR53" i="5" s="1"/>
  <c r="AS53" i="5" s="1"/>
  <c r="AX59" i="5"/>
  <c r="AD12" i="5"/>
  <c r="AD201" i="5"/>
  <c r="AW161" i="5"/>
  <c r="AX161" i="5" s="1"/>
  <c r="AX3" i="5"/>
  <c r="BB160" i="5"/>
  <c r="BF160" i="5" s="1"/>
  <c r="AX18" i="5"/>
  <c r="AW104" i="5"/>
  <c r="AX104" i="5" s="1"/>
  <c r="AX62" i="5"/>
  <c r="AW46" i="5"/>
  <c r="AX46" i="5" s="1"/>
  <c r="AO108" i="5"/>
  <c r="BB108" i="5" s="1"/>
  <c r="AO168" i="5"/>
  <c r="AR168" i="5" s="1"/>
  <c r="AS168" i="5" s="1"/>
  <c r="AW115" i="5"/>
  <c r="AX115" i="5" s="1"/>
  <c r="AX73" i="5"/>
  <c r="AX92" i="5"/>
  <c r="AJ219" i="5"/>
  <c r="AD14" i="5"/>
  <c r="AO118" i="5"/>
  <c r="BB118" i="5" s="1"/>
  <c r="AO220" i="5"/>
  <c r="AR220" i="5" s="1"/>
  <c r="AS220" i="5" s="1"/>
  <c r="AX142" i="5"/>
  <c r="BB162" i="5"/>
  <c r="BM162" i="5" s="1"/>
  <c r="AX22" i="5"/>
  <c r="AX172" i="5"/>
  <c r="AX205" i="5"/>
  <c r="AX14" i="5"/>
  <c r="AX105" i="5"/>
  <c r="AW164" i="5"/>
  <c r="AX164" i="5" s="1"/>
  <c r="AK212" i="5"/>
  <c r="AU48" i="5"/>
  <c r="AV48" i="5" s="1"/>
  <c r="AK126" i="5"/>
  <c r="AK145" i="5"/>
  <c r="AK162" i="5"/>
  <c r="AK224" i="5"/>
  <c r="AK220" i="5"/>
  <c r="AK165" i="5"/>
  <c r="AK183" i="5"/>
  <c r="AK150" i="5"/>
  <c r="AK185" i="5"/>
  <c r="AK182" i="5"/>
  <c r="AW156" i="5"/>
  <c r="AX156" i="5" s="1"/>
  <c r="BP169" i="5"/>
  <c r="AX81" i="5"/>
  <c r="AD184" i="5"/>
  <c r="AW126" i="5"/>
  <c r="AX126" i="5" s="1"/>
  <c r="AD141" i="5"/>
  <c r="AW154" i="5"/>
  <c r="AX154" i="5" s="1"/>
  <c r="AW20" i="5"/>
  <c r="AX20" i="5" s="1"/>
  <c r="AX218" i="5"/>
  <c r="AW221" i="5"/>
  <c r="AX221" i="5" s="1"/>
  <c r="AX35" i="5"/>
  <c r="AX220" i="5"/>
  <c r="AD165" i="5"/>
  <c r="AW143" i="5"/>
  <c r="AX143" i="5" s="1"/>
  <c r="AO176" i="5"/>
  <c r="AR176" i="5" s="1"/>
  <c r="AS176" i="5" s="1"/>
  <c r="AW222" i="5"/>
  <c r="AX222" i="5" s="1"/>
  <c r="AJ51" i="5"/>
  <c r="AJ159" i="5"/>
  <c r="AW89" i="5"/>
  <c r="AX89" i="5" s="1"/>
  <c r="AX32" i="5"/>
  <c r="BA75" i="5"/>
  <c r="AD195" i="5"/>
  <c r="AW68" i="5"/>
  <c r="AX68" i="5" s="1"/>
  <c r="AX6" i="5"/>
  <c r="AW144" i="5"/>
  <c r="AX144" i="5" s="1"/>
  <c r="AO18" i="5"/>
  <c r="BB18" i="5" s="1"/>
  <c r="AJ209" i="5"/>
  <c r="AW208" i="5"/>
  <c r="AX208" i="5" s="1"/>
  <c r="BA41" i="5"/>
  <c r="BB41" i="5" s="1"/>
  <c r="AW23" i="5"/>
  <c r="AX23" i="5" s="1"/>
  <c r="AW146" i="5"/>
  <c r="AX146" i="5" s="1"/>
  <c r="AW167" i="5"/>
  <c r="AX167" i="5" s="1"/>
  <c r="AX102" i="5"/>
  <c r="AW185" i="5"/>
  <c r="AX185" i="5" s="1"/>
  <c r="AO185" i="5"/>
  <c r="AR185" i="5" s="1"/>
  <c r="AS185" i="5" s="1"/>
  <c r="AX209" i="5"/>
  <c r="AO171" i="5"/>
  <c r="BB171" i="5" s="1"/>
  <c r="AO76" i="5"/>
  <c r="BB76" i="5" s="1"/>
  <c r="AW188" i="5"/>
  <c r="AX188" i="5" s="1"/>
  <c r="AX83" i="5"/>
  <c r="AO62" i="5"/>
  <c r="AR62" i="5" s="1"/>
  <c r="AS62" i="5" s="1"/>
  <c r="AJ33" i="5"/>
  <c r="BN73" i="5"/>
  <c r="AO25" i="5"/>
  <c r="BB25" i="5" s="1"/>
  <c r="AW107" i="5"/>
  <c r="AX107" i="5" s="1"/>
  <c r="AW17" i="5"/>
  <c r="AX17" i="5" s="1"/>
  <c r="BA23" i="5"/>
  <c r="BB23" i="5" s="1"/>
  <c r="AX200" i="5"/>
  <c r="AW207" i="5"/>
  <c r="AX207" i="5" s="1"/>
  <c r="AW212" i="5"/>
  <c r="AX212" i="5" s="1"/>
  <c r="AO4" i="5"/>
  <c r="AR4" i="5" s="1"/>
  <c r="AS4" i="5" s="1"/>
  <c r="AO81" i="5"/>
  <c r="BB81" i="5" s="1"/>
  <c r="AO129" i="5"/>
  <c r="BB129" i="5" s="1"/>
  <c r="AD143" i="5"/>
  <c r="AO196" i="5"/>
  <c r="AR196" i="5" s="1"/>
  <c r="AS196" i="5" s="1"/>
  <c r="AW41" i="5"/>
  <c r="AX41" i="5" s="1"/>
  <c r="AX16" i="5"/>
  <c r="BA165" i="5"/>
  <c r="BB165" i="5" s="1"/>
  <c r="AW195" i="5"/>
  <c r="AX195" i="5" s="1"/>
  <c r="AW85" i="5"/>
  <c r="AX85" i="5" s="1"/>
  <c r="AD166" i="5"/>
  <c r="BB183" i="5"/>
  <c r="BC183" i="5" s="1"/>
  <c r="AX135" i="5"/>
  <c r="BB214" i="5"/>
  <c r="AX19" i="5"/>
  <c r="AS166" i="5"/>
  <c r="AW219" i="5"/>
  <c r="AX219" i="5" s="1"/>
  <c r="AO219" i="5"/>
  <c r="AD182" i="5"/>
  <c r="AJ182" i="5"/>
  <c r="AK26" i="5"/>
  <c r="AK56" i="5"/>
  <c r="AK222" i="5"/>
  <c r="AK170" i="5"/>
  <c r="AK76" i="5"/>
  <c r="AK44" i="5"/>
  <c r="AK174" i="5"/>
  <c r="AK33" i="5"/>
  <c r="AK221" i="5"/>
  <c r="AK154" i="5"/>
  <c r="AK62" i="5"/>
  <c r="AU164" i="5"/>
  <c r="AV164" i="5" s="1"/>
  <c r="AK147" i="5"/>
  <c r="AK97" i="5"/>
  <c r="AK204" i="5"/>
  <c r="AK42" i="5"/>
  <c r="AK13" i="5"/>
  <c r="AK21" i="5"/>
  <c r="AK68" i="5"/>
  <c r="AK81" i="5"/>
  <c r="AK73" i="5"/>
  <c r="AK119" i="5"/>
  <c r="AK96" i="5"/>
  <c r="AK115" i="5"/>
  <c r="AK181" i="5"/>
  <c r="AK177" i="5"/>
  <c r="AU213" i="5"/>
  <c r="AV213" i="5" s="1"/>
  <c r="AK18" i="5"/>
  <c r="AK187" i="5"/>
  <c r="AK86" i="5"/>
  <c r="AK30" i="5"/>
  <c r="AO83" i="5"/>
  <c r="BB83" i="5" s="1"/>
  <c r="AO142" i="5"/>
  <c r="AR142" i="5" s="1"/>
  <c r="AS142" i="5" s="1"/>
  <c r="AW36" i="5"/>
  <c r="AX36" i="5" s="1"/>
  <c r="AW111" i="5"/>
  <c r="AX111" i="5" s="1"/>
  <c r="AD43" i="5"/>
  <c r="AO105" i="5"/>
  <c r="AR105" i="5" s="1"/>
  <c r="AS105" i="5" s="1"/>
  <c r="AW79" i="5"/>
  <c r="AX79" i="5" s="1"/>
  <c r="AJ56" i="5"/>
  <c r="AD56" i="5"/>
  <c r="AW26" i="5"/>
  <c r="AX26" i="5" s="1"/>
  <c r="AO26" i="5"/>
  <c r="AR26" i="5" s="1"/>
  <c r="AS26" i="5" s="1"/>
  <c r="AJ71" i="5"/>
  <c r="AD71" i="5"/>
  <c r="AW181" i="5"/>
  <c r="AX181" i="5" s="1"/>
  <c r="AO181" i="5"/>
  <c r="AR181" i="5" s="1"/>
  <c r="AS181" i="5" s="1"/>
  <c r="AW191" i="5"/>
  <c r="AX191" i="5" s="1"/>
  <c r="AO191" i="5"/>
  <c r="AR191" i="5" s="1"/>
  <c r="AS191" i="5" s="1"/>
  <c r="AD170" i="5"/>
  <c r="AJ170" i="5"/>
  <c r="AO175" i="5"/>
  <c r="AR175" i="5" s="1"/>
  <c r="AS175" i="5" s="1"/>
  <c r="AW175" i="5"/>
  <c r="AX175" i="5" s="1"/>
  <c r="AO19" i="5"/>
  <c r="BB19" i="5" s="1"/>
  <c r="AW170" i="5"/>
  <c r="AX170" i="5" s="1"/>
  <c r="AO170" i="5"/>
  <c r="AO52" i="5"/>
  <c r="AR52" i="5" s="1"/>
  <c r="AS52" i="5" s="1"/>
  <c r="AD168" i="5"/>
  <c r="AJ196" i="5"/>
  <c r="AO87" i="5"/>
  <c r="AR87" i="5" s="1"/>
  <c r="AS87" i="5" s="1"/>
  <c r="AW87" i="5"/>
  <c r="AX87" i="5" s="1"/>
  <c r="AO223" i="5"/>
  <c r="AR223" i="5" s="1"/>
  <c r="AS223" i="5" s="1"/>
  <c r="AW223" i="5"/>
  <c r="AX223" i="5" s="1"/>
  <c r="AX127" i="5"/>
  <c r="AW80" i="5"/>
  <c r="AX80" i="5" s="1"/>
  <c r="AD221" i="5"/>
  <c r="AO43" i="5"/>
  <c r="AR43" i="5" s="1"/>
  <c r="AS43" i="5" s="1"/>
  <c r="AW29" i="5"/>
  <c r="AX29" i="5" s="1"/>
  <c r="BP34" i="5"/>
  <c r="BN155" i="5"/>
  <c r="AO216" i="5"/>
  <c r="AW216" i="5"/>
  <c r="AX216" i="5" s="1"/>
  <c r="AW224" i="5"/>
  <c r="AX224" i="5" s="1"/>
  <c r="AO224" i="5"/>
  <c r="AR224" i="5" s="1"/>
  <c r="AS224" i="5" s="1"/>
  <c r="AW117" i="5"/>
  <c r="AX117" i="5" s="1"/>
  <c r="AO117" i="5"/>
  <c r="AO137" i="5"/>
  <c r="AR137" i="5" s="1"/>
  <c r="AS137" i="5" s="1"/>
  <c r="AO139" i="5"/>
  <c r="AR139" i="5" s="1"/>
  <c r="AS139" i="5" s="1"/>
  <c r="AJ221" i="5"/>
  <c r="AO14" i="5"/>
  <c r="AR14" i="5" s="1"/>
  <c r="AS14" i="5" s="1"/>
  <c r="BA29" i="5"/>
  <c r="BB29" i="5" s="1"/>
  <c r="AW166" i="5"/>
  <c r="AX166" i="5" s="1"/>
  <c r="BA170" i="5"/>
  <c r="AJ97" i="5"/>
  <c r="AD97" i="5"/>
  <c r="AO102" i="5"/>
  <c r="AR102" i="5" s="1"/>
  <c r="AS102" i="5" s="1"/>
  <c r="AJ32" i="5"/>
  <c r="AD139" i="5"/>
  <c r="AJ139" i="5"/>
  <c r="BA159" i="5"/>
  <c r="BB159" i="5" s="1"/>
  <c r="BA164" i="5"/>
  <c r="BB164" i="5" s="1"/>
  <c r="BF164" i="5" s="1"/>
  <c r="AJ27" i="5"/>
  <c r="AO73" i="5"/>
  <c r="AR73" i="5" s="1"/>
  <c r="AS73" i="5" s="1"/>
  <c r="AD180" i="5"/>
  <c r="AJ180" i="5"/>
  <c r="AW131" i="5"/>
  <c r="AX131" i="5" s="1"/>
  <c r="BB166" i="5"/>
  <c r="BD166" i="5" s="1"/>
  <c r="AX11" i="5"/>
  <c r="AW151" i="5"/>
  <c r="AX151" i="5" s="1"/>
  <c r="AO177" i="5"/>
  <c r="AW177" i="5"/>
  <c r="AX177" i="5" s="1"/>
  <c r="AD73" i="5"/>
  <c r="AJ73" i="5"/>
  <c r="AJ107" i="5"/>
  <c r="AD107" i="5"/>
  <c r="AO56" i="5"/>
  <c r="BB56" i="5" s="1"/>
  <c r="AW74" i="5"/>
  <c r="AX74" i="5" s="1"/>
  <c r="AD177" i="5"/>
  <c r="AJ177" i="5"/>
  <c r="AO180" i="5"/>
  <c r="AR180" i="5" s="1"/>
  <c r="AS180" i="5" s="1"/>
  <c r="AW180" i="5"/>
  <c r="AX180" i="5" s="1"/>
  <c r="AD187" i="5"/>
  <c r="AJ187" i="5"/>
  <c r="AO194" i="5"/>
  <c r="AW194" i="5"/>
  <c r="AX194" i="5" s="1"/>
  <c r="AO199" i="5"/>
  <c r="AR199" i="5" s="1"/>
  <c r="AS199" i="5" s="1"/>
  <c r="AW199" i="5"/>
  <c r="AX199" i="5" s="1"/>
  <c r="AX203" i="5"/>
  <c r="AF433" i="5"/>
  <c r="AN433" i="5"/>
  <c r="AN302" i="5"/>
  <c r="AF302" i="5"/>
  <c r="AF385" i="5"/>
  <c r="AN385" i="5"/>
  <c r="AN495" i="5"/>
  <c r="AF495" i="5"/>
  <c r="AN369" i="5"/>
  <c r="AF369" i="5"/>
  <c r="AF490" i="5"/>
  <c r="AN490" i="5"/>
  <c r="AF453" i="5"/>
  <c r="AN453" i="5"/>
  <c r="AF455" i="5"/>
  <c r="AN455" i="5"/>
  <c r="AF281" i="5"/>
  <c r="AN281" i="5"/>
  <c r="AN422" i="5"/>
  <c r="AF422" i="5"/>
  <c r="AN419" i="5"/>
  <c r="AF419" i="5"/>
  <c r="AN307" i="5"/>
  <c r="AF307" i="5"/>
  <c r="AF472" i="5"/>
  <c r="AN472" i="5"/>
  <c r="AF322" i="5"/>
  <c r="AN322" i="5"/>
  <c r="AN501" i="5"/>
  <c r="AF501" i="5"/>
  <c r="AF444" i="5"/>
  <c r="AN444" i="5"/>
  <c r="AF384" i="5"/>
  <c r="AN384" i="5"/>
  <c r="AF331" i="5"/>
  <c r="AN331" i="5"/>
  <c r="AF438" i="5"/>
  <c r="AN438" i="5"/>
  <c r="AF321" i="5"/>
  <c r="AN321" i="5"/>
  <c r="AN476" i="5"/>
  <c r="AF476" i="5"/>
  <c r="AF452" i="5"/>
  <c r="AN452" i="5"/>
  <c r="AF389" i="5"/>
  <c r="AN389" i="5"/>
  <c r="AF400" i="5"/>
  <c r="AN400" i="5"/>
  <c r="AF351" i="5"/>
  <c r="AN351" i="5"/>
  <c r="AN477" i="5"/>
  <c r="AF477" i="5"/>
  <c r="AF397" i="5"/>
  <c r="AN397" i="5"/>
  <c r="AF300" i="5"/>
  <c r="AN300" i="5"/>
  <c r="AF383" i="5"/>
  <c r="AN383" i="5"/>
  <c r="AN447" i="5"/>
  <c r="AF447" i="5"/>
  <c r="AN342" i="5"/>
  <c r="AF342" i="5"/>
  <c r="AF474" i="5"/>
  <c r="AN474" i="5"/>
  <c r="AF437" i="5"/>
  <c r="AN437" i="5"/>
  <c r="AN360" i="5"/>
  <c r="AF360" i="5"/>
  <c r="AF413" i="5"/>
  <c r="AN413" i="5"/>
  <c r="AF358" i="5"/>
  <c r="AN358" i="5"/>
  <c r="AF289" i="5"/>
  <c r="AN289" i="5"/>
  <c r="AF493" i="5"/>
  <c r="AN493" i="5"/>
  <c r="AN341" i="5"/>
  <c r="AF341" i="5"/>
  <c r="AF478" i="5"/>
  <c r="AN478" i="5"/>
  <c r="AF368" i="5"/>
  <c r="AN368" i="5"/>
  <c r="AN343" i="5"/>
  <c r="AF343" i="5"/>
  <c r="AF503" i="5"/>
  <c r="AN503" i="5"/>
  <c r="AN443" i="5"/>
  <c r="AF443" i="5"/>
  <c r="AN295" i="5"/>
  <c r="AF295" i="5"/>
  <c r="AN487" i="5"/>
  <c r="AF487" i="5"/>
  <c r="AN365" i="5"/>
  <c r="AF365" i="5"/>
  <c r="AF388" i="5"/>
  <c r="AN388" i="5"/>
  <c r="AF425" i="5"/>
  <c r="AN425" i="5"/>
  <c r="AN408" i="5"/>
  <c r="AF408" i="5"/>
  <c r="AF306" i="5"/>
  <c r="AN306" i="5"/>
  <c r="AF337" i="5"/>
  <c r="AN337" i="5"/>
  <c r="AN304" i="5"/>
  <c r="AF304" i="5"/>
  <c r="AN276" i="5"/>
  <c r="AF276" i="5"/>
  <c r="AN421" i="5"/>
  <c r="AF421" i="5"/>
  <c r="AF473" i="5"/>
  <c r="AN473" i="5"/>
  <c r="AF319" i="5"/>
  <c r="AN319" i="5"/>
  <c r="AN403" i="5"/>
  <c r="AF403" i="5"/>
  <c r="AN492" i="5"/>
  <c r="AF492" i="5"/>
  <c r="AN332" i="5"/>
  <c r="AF332" i="5"/>
  <c r="AF416" i="5"/>
  <c r="AN416" i="5"/>
  <c r="AF451" i="5"/>
  <c r="AN451" i="5"/>
  <c r="AN407" i="5"/>
  <c r="AF407" i="5"/>
  <c r="AF311" i="5"/>
  <c r="AN311" i="5"/>
  <c r="AN464" i="5"/>
  <c r="AF464" i="5"/>
  <c r="AN494" i="5"/>
  <c r="AF494" i="5"/>
  <c r="AF491" i="5"/>
  <c r="AN491" i="5"/>
  <c r="AF428" i="5"/>
  <c r="AN428" i="5"/>
  <c r="AF376" i="5"/>
  <c r="AN376" i="5"/>
  <c r="AF280" i="5"/>
  <c r="AN280" i="5"/>
  <c r="AN371" i="5"/>
  <c r="AF371" i="5"/>
  <c r="AN308" i="5"/>
  <c r="AF308" i="5"/>
  <c r="AF414" i="5"/>
  <c r="AN414" i="5"/>
  <c r="AF286" i="5"/>
  <c r="AN286" i="5"/>
  <c r="AF502" i="5"/>
  <c r="AN502" i="5"/>
  <c r="AN349" i="5"/>
  <c r="AF349" i="5"/>
  <c r="AF366" i="5"/>
  <c r="AN366" i="5"/>
  <c r="AN309" i="5"/>
  <c r="AF309" i="5"/>
  <c r="AF471" i="5"/>
  <c r="AN471" i="5"/>
  <c r="AF485" i="5"/>
  <c r="AN485" i="5"/>
  <c r="AN446" i="5"/>
  <c r="AF446" i="5"/>
  <c r="AF479" i="5"/>
  <c r="AN479" i="5"/>
  <c r="AF364" i="5"/>
  <c r="AN364" i="5"/>
  <c r="AF448" i="5"/>
  <c r="AN448" i="5"/>
  <c r="AF355" i="5"/>
  <c r="AN355" i="5"/>
  <c r="AF348" i="5"/>
  <c r="AN348" i="5"/>
  <c r="AF283" i="5"/>
  <c r="AN283" i="5"/>
  <c r="AN460" i="5"/>
  <c r="AF460" i="5"/>
  <c r="AF404" i="5"/>
  <c r="AN404" i="5"/>
  <c r="AF459" i="5"/>
  <c r="AN459" i="5"/>
  <c r="AN386" i="5"/>
  <c r="AF386" i="5"/>
  <c r="AF340" i="5"/>
  <c r="AN340" i="5"/>
  <c r="AN410" i="5"/>
  <c r="AF410" i="5"/>
  <c r="AN461" i="5"/>
  <c r="AF461" i="5"/>
  <c r="AN363" i="5"/>
  <c r="AF363" i="5"/>
  <c r="AF458" i="5"/>
  <c r="AN458" i="5"/>
  <c r="AN445" i="5"/>
  <c r="AF445" i="5"/>
  <c r="AF315" i="5"/>
  <c r="AN315" i="5"/>
  <c r="AF395" i="5"/>
  <c r="AN395" i="5"/>
  <c r="AN378" i="5"/>
  <c r="AF378" i="5"/>
  <c r="AN305" i="5"/>
  <c r="AF305" i="5"/>
  <c r="AN450" i="5"/>
  <c r="AF450" i="5"/>
  <c r="AF323" i="5"/>
  <c r="AN323" i="5"/>
  <c r="AN291" i="5"/>
  <c r="AF291" i="5"/>
  <c r="AN396" i="5"/>
  <c r="AF396" i="5"/>
  <c r="AN298" i="5"/>
  <c r="AF298" i="5"/>
  <c r="AF456" i="5"/>
  <c r="AN456" i="5"/>
  <c r="AN320" i="5"/>
  <c r="AF320" i="5"/>
  <c r="AF345" i="5"/>
  <c r="AN345" i="5"/>
  <c r="AF325" i="5"/>
  <c r="AN325" i="5"/>
  <c r="AF377" i="5"/>
  <c r="AN377" i="5"/>
  <c r="AF480" i="5"/>
  <c r="AN480" i="5"/>
  <c r="AN326" i="5"/>
  <c r="AF326" i="5"/>
  <c r="AF454" i="5"/>
  <c r="AN454" i="5"/>
  <c r="AF346" i="5"/>
  <c r="AN346" i="5"/>
  <c r="AF297" i="5"/>
  <c r="AN297" i="5"/>
  <c r="AN482" i="5"/>
  <c r="AF482" i="5"/>
  <c r="AF288" i="5"/>
  <c r="AN288" i="5"/>
  <c r="AN402" i="5"/>
  <c r="AF402" i="5"/>
  <c r="AN285" i="5"/>
  <c r="AF285" i="5"/>
  <c r="AN409" i="5"/>
  <c r="AF409" i="5"/>
  <c r="AN292" i="5"/>
  <c r="AF292" i="5"/>
  <c r="AF357" i="5"/>
  <c r="AN357" i="5"/>
  <c r="AN463" i="5"/>
  <c r="AF463" i="5"/>
  <c r="AN335" i="5"/>
  <c r="AF335" i="5"/>
  <c r="AF316" i="5"/>
  <c r="AN316" i="5"/>
  <c r="AF405" i="5"/>
  <c r="AN405" i="5"/>
  <c r="AF424" i="5"/>
  <c r="AN424" i="5"/>
  <c r="AF301" i="5"/>
  <c r="AN301" i="5"/>
  <c r="AN372" i="5"/>
  <c r="AF372" i="5"/>
  <c r="AF318" i="5"/>
  <c r="AN318" i="5"/>
  <c r="AF379" i="5"/>
  <c r="AN379" i="5"/>
  <c r="AF467" i="5"/>
  <c r="AN467" i="5"/>
  <c r="AF312" i="5"/>
  <c r="AN312" i="5"/>
  <c r="AF497" i="5"/>
  <c r="AN497" i="5"/>
  <c r="AF394" i="5"/>
  <c r="AN394" i="5"/>
  <c r="AN370" i="5"/>
  <c r="AF370" i="5"/>
  <c r="AN324" i="5"/>
  <c r="AF324" i="5"/>
  <c r="AF488" i="5"/>
  <c r="AN488" i="5"/>
  <c r="AF310" i="5"/>
  <c r="AN310" i="5"/>
  <c r="AF417" i="5"/>
  <c r="AN417" i="5"/>
  <c r="AF359" i="5"/>
  <c r="AN359" i="5"/>
  <c r="AF339" i="5"/>
  <c r="AN339" i="5"/>
  <c r="AF317" i="5"/>
  <c r="AN317" i="5"/>
  <c r="AF436" i="5"/>
  <c r="AN436" i="5"/>
  <c r="AF303" i="5"/>
  <c r="AN303" i="5"/>
  <c r="AN373" i="5"/>
  <c r="AF373" i="5"/>
  <c r="AN469" i="5"/>
  <c r="AF469" i="5"/>
  <c r="AF356" i="5"/>
  <c r="AN356" i="5"/>
  <c r="AF449" i="5"/>
  <c r="AN449" i="5"/>
  <c r="AN489" i="5"/>
  <c r="AF489" i="5"/>
  <c r="AF334" i="5"/>
  <c r="AN334" i="5"/>
  <c r="AF429" i="5"/>
  <c r="AN429" i="5"/>
  <c r="AF290" i="5"/>
  <c r="AN290" i="5"/>
  <c r="AF430" i="5"/>
  <c r="AN430" i="5"/>
  <c r="AN440" i="5"/>
  <c r="AF440" i="5"/>
  <c r="AF499" i="5"/>
  <c r="AN499" i="5"/>
  <c r="AF336" i="5"/>
  <c r="AN336" i="5"/>
  <c r="AF347" i="5"/>
  <c r="AN347" i="5"/>
  <c r="AF412" i="5"/>
  <c r="AN412" i="5"/>
  <c r="AF313" i="5"/>
  <c r="AN313" i="5"/>
  <c r="AF279" i="5"/>
  <c r="AN279" i="5"/>
  <c r="AF338" i="5"/>
  <c r="AN338" i="5"/>
  <c r="AN481" i="5"/>
  <c r="AF481" i="5"/>
  <c r="AF505" i="5"/>
  <c r="AN505" i="5"/>
  <c r="AF314" i="5"/>
  <c r="AN314" i="5"/>
  <c r="AF470" i="5"/>
  <c r="AN470" i="5"/>
  <c r="AF333" i="5"/>
  <c r="AN333" i="5"/>
  <c r="AN293" i="5"/>
  <c r="AF293" i="5"/>
  <c r="AN500" i="5"/>
  <c r="AF500" i="5"/>
  <c r="AN381" i="5"/>
  <c r="AF381" i="5"/>
  <c r="AN439" i="5"/>
  <c r="AF439" i="5"/>
  <c r="AF406" i="5"/>
  <c r="AN406" i="5"/>
  <c r="AN441" i="5"/>
  <c r="AF441" i="5"/>
  <c r="AF294" i="5"/>
  <c r="AN294" i="5"/>
  <c r="AF398" i="5"/>
  <c r="AN398" i="5"/>
  <c r="AN278" i="5"/>
  <c r="AF278" i="5"/>
  <c r="AN327" i="5"/>
  <c r="AF327" i="5"/>
  <c r="AF420" i="5"/>
  <c r="AN420" i="5"/>
  <c r="AF362" i="5"/>
  <c r="AN362" i="5"/>
  <c r="AF392" i="5"/>
  <c r="AN392" i="5"/>
  <c r="AN350" i="5"/>
  <c r="AF350" i="5"/>
  <c r="AK120" i="5"/>
  <c r="AK103" i="5"/>
  <c r="AK163" i="5"/>
  <c r="AF434" i="5"/>
  <c r="AU415" i="5"/>
  <c r="AV415" i="5" s="1"/>
  <c r="AF418" i="5"/>
  <c r="AF426" i="5"/>
  <c r="AF457" i="5"/>
  <c r="AK129" i="5"/>
  <c r="AK16" i="5"/>
  <c r="AK17" i="5"/>
  <c r="AN178" i="5"/>
  <c r="AF178" i="5"/>
  <c r="AK78" i="5"/>
  <c r="AN434" i="5"/>
  <c r="AN484" i="5"/>
  <c r="AK196" i="5"/>
  <c r="AK112" i="5"/>
  <c r="AF167" i="5"/>
  <c r="AU297" i="5"/>
  <c r="AV297" i="5" s="1"/>
  <c r="AY297" i="5" s="1"/>
  <c r="AU397" i="5"/>
  <c r="AV397" i="5" s="1"/>
  <c r="AY397" i="5" s="1"/>
  <c r="AF393" i="5"/>
  <c r="AN486" i="5"/>
  <c r="AN161" i="5"/>
  <c r="AN329" i="5"/>
  <c r="AK140" i="5"/>
  <c r="AN415" i="5"/>
  <c r="AF498" i="5"/>
  <c r="AF101" i="5"/>
  <c r="AK188" i="5"/>
  <c r="AK173" i="5"/>
  <c r="AF484" i="5"/>
  <c r="AN123" i="5"/>
  <c r="AF344" i="5"/>
  <c r="AU478" i="5"/>
  <c r="AV478" i="5" s="1"/>
  <c r="AY478" i="5" s="1"/>
  <c r="AN468" i="5"/>
  <c r="AK214" i="5"/>
  <c r="AU461" i="5"/>
  <c r="AV461" i="5" s="1"/>
  <c r="AU167" i="5"/>
  <c r="AV167" i="5" s="1"/>
  <c r="AF217" i="5"/>
  <c r="AN217" i="5"/>
  <c r="AK172" i="5"/>
  <c r="AF465" i="5"/>
  <c r="AF161" i="5"/>
  <c r="AN197" i="5"/>
  <c r="AF466" i="5"/>
  <c r="AN361" i="5"/>
  <c r="AK109" i="5"/>
  <c r="AF123" i="5"/>
  <c r="AU503" i="5"/>
  <c r="AV503" i="5" s="1"/>
  <c r="AY503" i="5" s="1"/>
  <c r="AF427" i="5"/>
  <c r="AN34" i="5"/>
  <c r="AF28" i="5"/>
  <c r="AN28" i="5"/>
  <c r="AF146" i="5"/>
  <c r="AN146" i="5"/>
  <c r="AK89" i="5"/>
  <c r="AK160" i="5"/>
  <c r="AF432" i="5"/>
  <c r="AN457" i="5"/>
  <c r="AF284" i="5"/>
  <c r="AN427" i="5"/>
  <c r="AK27" i="5"/>
  <c r="AF136" i="5"/>
  <c r="AN136" i="5"/>
  <c r="AK31" i="5"/>
  <c r="AN133" i="5"/>
  <c r="AK192" i="5"/>
  <c r="AF53" i="5"/>
  <c r="AF197" i="5"/>
  <c r="AK98" i="5"/>
  <c r="AK4" i="5"/>
  <c r="AN462" i="5"/>
  <c r="AN287" i="5"/>
  <c r="AF387" i="5"/>
  <c r="AF135" i="5"/>
  <c r="AU369" i="5"/>
  <c r="AV369" i="5" s="1"/>
  <c r="AN284" i="5"/>
  <c r="AU327" i="5"/>
  <c r="AV327" i="5" s="1"/>
  <c r="AY327" i="5" s="1"/>
  <c r="AK25" i="5"/>
  <c r="AK143" i="5"/>
  <c r="AK41" i="5"/>
  <c r="AN426" i="5"/>
  <c r="AF186" i="5"/>
  <c r="AN186" i="5"/>
  <c r="AN102" i="5"/>
  <c r="AK24" i="5"/>
  <c r="AN108" i="5"/>
  <c r="AN144" i="5"/>
  <c r="AK64" i="5"/>
  <c r="AN382" i="5"/>
  <c r="AF382" i="5"/>
  <c r="AN113" i="5"/>
  <c r="AU378" i="5"/>
  <c r="AV378" i="5" s="1"/>
  <c r="AN299" i="5"/>
  <c r="AK38" i="5"/>
  <c r="AF330" i="5"/>
  <c r="AK75" i="5"/>
  <c r="AN466" i="5"/>
  <c r="AU338" i="5"/>
  <c r="AV338" i="5" s="1"/>
  <c r="AY338" i="5" s="1"/>
  <c r="AU452" i="5"/>
  <c r="AV452" i="5" s="1"/>
  <c r="AY452" i="5" s="1"/>
  <c r="AF352" i="5"/>
  <c r="AF401" i="5"/>
  <c r="AF213" i="5"/>
  <c r="AN213" i="5"/>
  <c r="AK110" i="5"/>
  <c r="AK159" i="5"/>
  <c r="AU390" i="5"/>
  <c r="AV390" i="5" s="1"/>
  <c r="AY390" i="5" s="1"/>
  <c r="AF390" i="5"/>
  <c r="AF211" i="5"/>
  <c r="AN211" i="5"/>
  <c r="AU445" i="5"/>
  <c r="AV445" i="5" s="1"/>
  <c r="AY445" i="5" s="1"/>
  <c r="AK79" i="5"/>
  <c r="AF144" i="5"/>
  <c r="AK200" i="5"/>
  <c r="AK194" i="5"/>
  <c r="AN152" i="5"/>
  <c r="AU350" i="5"/>
  <c r="AV350" i="5" s="1"/>
  <c r="AY350" i="5" s="1"/>
  <c r="AF354" i="5"/>
  <c r="AK95" i="5"/>
  <c r="AK60" i="5"/>
  <c r="AN380" i="5"/>
  <c r="AU160" i="5"/>
  <c r="AV160" i="5" s="1"/>
  <c r="AN442" i="5"/>
  <c r="AK208" i="5"/>
  <c r="AN435" i="5"/>
  <c r="AF361" i="5"/>
  <c r="AN277" i="5"/>
  <c r="AF138" i="5"/>
  <c r="AF199" i="5"/>
  <c r="AU299" i="5"/>
  <c r="AV299" i="5" s="1"/>
  <c r="AY299" i="5" s="1"/>
  <c r="AU318" i="5"/>
  <c r="AV318" i="5" s="1"/>
  <c r="AY318" i="5" s="1"/>
  <c r="AN296" i="5"/>
  <c r="AK37" i="5"/>
  <c r="AN483" i="5"/>
  <c r="AK3" i="5"/>
  <c r="AK104" i="5"/>
  <c r="AF329" i="5"/>
  <c r="AK58" i="5"/>
  <c r="AN498" i="5"/>
  <c r="AK117" i="5"/>
  <c r="AN199" i="5"/>
  <c r="AK127" i="5"/>
  <c r="AK207" i="5"/>
  <c r="AK29" i="5"/>
  <c r="AK9" i="5"/>
  <c r="AN39" i="5"/>
  <c r="AK209" i="5"/>
  <c r="AF486" i="5"/>
  <c r="AF287" i="5"/>
  <c r="AU454" i="5"/>
  <c r="AV454" i="5" s="1"/>
  <c r="AY454" i="5" s="1"/>
  <c r="AN387" i="5"/>
  <c r="AF164" i="5"/>
  <c r="AU493" i="5"/>
  <c r="AV493" i="5" s="1"/>
  <c r="AY493" i="5" s="1"/>
  <c r="AN354" i="5"/>
  <c r="AF299" i="5"/>
  <c r="AF442" i="5"/>
  <c r="AK193" i="5"/>
  <c r="AF59" i="5"/>
  <c r="AU316" i="5"/>
  <c r="AV316" i="5" s="1"/>
  <c r="AY316" i="5" s="1"/>
  <c r="AN475" i="5"/>
  <c r="AF149" i="5"/>
  <c r="AK168" i="5"/>
  <c r="AN393" i="5"/>
  <c r="AF462" i="5"/>
  <c r="AF39" i="5"/>
  <c r="AK88" i="5"/>
  <c r="AN390" i="5"/>
  <c r="AF435" i="5"/>
  <c r="AK131" i="5"/>
  <c r="AN164" i="5"/>
  <c r="AN344" i="5"/>
  <c r="AN432" i="5"/>
  <c r="AF277" i="5"/>
  <c r="AU198" i="5"/>
  <c r="AV198" i="5" s="1"/>
  <c r="AK202" i="5"/>
  <c r="AU411" i="5"/>
  <c r="AV411" i="5" s="1"/>
  <c r="AK107" i="5"/>
  <c r="AK99" i="5"/>
  <c r="AU278" i="5"/>
  <c r="AV278" i="5" s="1"/>
  <c r="AY278" i="5" s="1"/>
  <c r="AN353" i="5"/>
  <c r="AF475" i="5"/>
  <c r="AK124" i="5"/>
  <c r="AK223" i="5"/>
  <c r="AF113" i="5"/>
  <c r="AK22" i="5"/>
  <c r="AN352" i="5"/>
  <c r="AK166" i="5"/>
  <c r="AU416" i="5"/>
  <c r="AV416" i="5" s="1"/>
  <c r="AY416" i="5" s="1"/>
  <c r="AN465" i="5"/>
  <c r="AK46" i="5"/>
  <c r="AK63" i="5"/>
  <c r="AN431" i="5"/>
  <c r="AN130" i="5"/>
  <c r="AN167" i="5"/>
  <c r="AK85" i="5"/>
  <c r="AF191" i="5"/>
  <c r="AN418" i="5"/>
  <c r="AF415" i="5"/>
  <c r="AN401" i="5"/>
  <c r="AF411" i="5"/>
  <c r="AF375" i="5"/>
  <c r="AF380" i="5"/>
  <c r="AN367" i="5"/>
  <c r="AF496" i="5"/>
  <c r="AK206" i="5"/>
  <c r="AK190" i="5"/>
  <c r="AU477" i="5"/>
  <c r="AV477" i="5" s="1"/>
  <c r="AN54" i="5"/>
  <c r="AF431" i="5"/>
  <c r="AF130" i="5"/>
  <c r="AN191" i="5"/>
  <c r="AK169" i="5"/>
  <c r="AF328" i="5"/>
  <c r="AK111" i="5"/>
  <c r="AF87" i="5"/>
  <c r="AU479" i="5"/>
  <c r="AV479" i="5" s="1"/>
  <c r="AY479" i="5" s="1"/>
  <c r="AK94" i="5"/>
  <c r="AF367" i="5"/>
  <c r="AU353" i="5"/>
  <c r="AV353" i="5" s="1"/>
  <c r="AY353" i="5" s="1"/>
  <c r="AK19" i="5"/>
  <c r="AF54" i="5"/>
  <c r="AK132" i="5"/>
  <c r="AU306" i="5"/>
  <c r="AV306" i="5" s="1"/>
  <c r="AY306" i="5" s="1"/>
  <c r="AF399" i="5"/>
  <c r="AN45" i="5"/>
  <c r="AN399" i="5"/>
  <c r="AN328" i="5"/>
  <c r="AK84" i="5"/>
  <c r="AK139" i="5"/>
  <c r="AK175" i="5"/>
  <c r="AN282" i="5"/>
  <c r="AN53" i="5"/>
  <c r="AK72" i="5"/>
  <c r="AK92" i="5"/>
  <c r="AK155" i="5"/>
  <c r="AK121" i="5"/>
  <c r="AF45" i="5"/>
  <c r="AN135" i="5"/>
  <c r="AN138" i="5"/>
  <c r="AU276" i="5"/>
  <c r="AV276" i="5" s="1"/>
  <c r="AY276" i="5" s="1"/>
  <c r="AK20" i="5"/>
  <c r="AK82" i="5"/>
  <c r="AN149" i="5"/>
  <c r="AU279" i="5"/>
  <c r="AV279" i="5" s="1"/>
  <c r="AY279" i="5" s="1"/>
  <c r="AU317" i="5"/>
  <c r="AV317" i="5" s="1"/>
  <c r="AU398" i="5"/>
  <c r="AV398" i="5" s="1"/>
  <c r="AY398" i="5" s="1"/>
  <c r="AF353" i="5"/>
  <c r="AF203" i="5"/>
  <c r="AN504" i="5"/>
  <c r="AN423" i="5"/>
  <c r="AK151" i="5"/>
  <c r="AK93" i="5"/>
  <c r="AU326" i="5"/>
  <c r="AV326" i="5" s="1"/>
  <c r="AK180" i="5"/>
  <c r="AN374" i="5"/>
  <c r="AK55" i="5"/>
  <c r="AN36" i="5"/>
  <c r="AF36" i="5"/>
  <c r="AF156" i="5"/>
  <c r="AN156" i="5"/>
  <c r="AK23" i="5"/>
  <c r="AF102" i="5"/>
  <c r="AN225" i="5"/>
  <c r="AF423" i="5"/>
  <c r="AN203" i="5"/>
  <c r="AU329" i="5"/>
  <c r="AV329" i="5" s="1"/>
  <c r="AY329" i="5" s="1"/>
  <c r="AK171" i="5"/>
  <c r="AF296" i="5"/>
  <c r="AN101" i="5"/>
  <c r="AF483" i="5"/>
  <c r="AF282" i="5"/>
  <c r="AN496" i="5"/>
  <c r="AK176" i="5"/>
  <c r="AK205" i="5"/>
  <c r="AK90" i="5"/>
  <c r="AU163" i="5"/>
  <c r="AV163" i="5" s="1"/>
  <c r="AK43" i="5"/>
  <c r="AK2" i="5"/>
  <c r="AU202" i="5"/>
  <c r="AV202" i="5" s="1"/>
  <c r="AU422" i="5"/>
  <c r="AV422" i="5" s="1"/>
  <c r="AU492" i="5"/>
  <c r="AV492" i="5" s="1"/>
  <c r="AY492" i="5" s="1"/>
  <c r="AK141" i="5"/>
  <c r="AN375" i="5"/>
  <c r="AN411" i="5"/>
  <c r="AU399" i="5"/>
  <c r="AV399" i="5" s="1"/>
  <c r="AY399" i="5" s="1"/>
  <c r="AU451" i="5"/>
  <c r="AV451" i="5" s="1"/>
  <c r="AY451" i="5" s="1"/>
  <c r="AK66" i="5"/>
  <c r="AK15" i="5"/>
  <c r="AK106" i="5"/>
  <c r="AK10" i="5"/>
  <c r="AK116" i="5"/>
  <c r="AK6" i="5"/>
  <c r="AK40" i="5"/>
  <c r="AU162" i="5"/>
  <c r="AV162" i="5" s="1"/>
  <c r="AN87" i="5"/>
  <c r="AK128" i="5"/>
  <c r="AF133" i="5"/>
  <c r="AF374" i="5"/>
  <c r="AF468" i="5"/>
  <c r="AN330" i="5"/>
  <c r="AU183" i="5"/>
  <c r="AV183" i="5" s="1"/>
  <c r="AK114" i="5"/>
  <c r="AK70" i="5"/>
  <c r="AN69" i="5"/>
  <c r="AK74" i="5"/>
  <c r="AN179" i="5"/>
  <c r="AF179" i="5"/>
  <c r="AN59" i="5"/>
  <c r="AK218" i="5"/>
  <c r="AK80" i="5"/>
  <c r="AU472" i="5"/>
  <c r="AV472" i="5" s="1"/>
  <c r="AY472" i="5" s="1"/>
  <c r="AK35" i="5"/>
  <c r="AU339" i="5"/>
  <c r="AV339" i="5" s="1"/>
  <c r="AY339" i="5" s="1"/>
  <c r="AK12" i="5"/>
  <c r="AK50" i="5"/>
  <c r="AK67" i="5"/>
  <c r="AF34" i="5"/>
  <c r="AK153" i="5"/>
  <c r="AK137" i="5"/>
  <c r="AK49" i="5"/>
  <c r="AN391" i="5"/>
  <c r="AK7" i="5"/>
  <c r="AK77" i="5"/>
  <c r="AU430" i="5"/>
  <c r="AV430" i="5" s="1"/>
  <c r="AK71" i="5"/>
  <c r="AU210" i="5"/>
  <c r="AV210" i="5" s="1"/>
  <c r="AF152" i="5"/>
  <c r="AK57" i="5"/>
  <c r="AU103" i="5"/>
  <c r="AV103" i="5" s="1"/>
  <c r="AN11" i="5"/>
  <c r="AF11" i="5"/>
  <c r="AF216" i="5"/>
  <c r="AN216" i="5"/>
  <c r="AN210" i="5"/>
  <c r="AF210" i="5"/>
  <c r="AN61" i="5"/>
  <c r="AN148" i="5"/>
  <c r="AU360" i="5"/>
  <c r="AV360" i="5" s="1"/>
  <c r="AN134" i="5"/>
  <c r="AF391" i="5"/>
  <c r="AU400" i="5"/>
  <c r="AV400" i="5" s="1"/>
  <c r="AY400" i="5" s="1"/>
  <c r="AF158" i="5"/>
  <c r="AK52" i="5"/>
  <c r="AK91" i="5"/>
  <c r="AK8" i="5"/>
  <c r="AF108" i="5"/>
  <c r="AU311" i="5"/>
  <c r="AV311" i="5" s="1"/>
  <c r="AY311" i="5" s="1"/>
  <c r="AU214" i="5"/>
  <c r="AV214" i="5" s="1"/>
  <c r="AK122" i="5"/>
  <c r="AK195" i="5"/>
  <c r="AN215" i="5"/>
  <c r="AF215" i="5"/>
  <c r="AN48" i="5"/>
  <c r="AF48" i="5"/>
  <c r="AF100" i="5"/>
  <c r="AN100" i="5"/>
  <c r="AU386" i="5"/>
  <c r="AV386" i="5" s="1"/>
  <c r="AF61" i="5"/>
  <c r="AF148" i="5"/>
  <c r="AF225" i="5"/>
  <c r="AF134" i="5"/>
  <c r="AK142" i="5"/>
  <c r="AF504" i="5"/>
  <c r="AK51" i="5"/>
  <c r="AN158" i="5"/>
  <c r="AK32" i="5"/>
  <c r="AK14" i="5"/>
  <c r="AU466" i="5"/>
  <c r="AV466" i="5" s="1"/>
  <c r="AY466" i="5" s="1"/>
  <c r="AU294" i="5"/>
  <c r="AV294" i="5" s="1"/>
  <c r="AY294" i="5" s="1"/>
  <c r="AK83" i="5"/>
  <c r="AK198" i="5"/>
  <c r="AK105" i="5"/>
  <c r="AK65" i="5"/>
  <c r="AF69" i="5"/>
  <c r="AY477" i="5"/>
  <c r="AY317" i="5"/>
  <c r="BP196" i="5"/>
  <c r="BN196" i="5"/>
  <c r="AD3" i="5"/>
  <c r="AJ3" i="5"/>
  <c r="AO33" i="5"/>
  <c r="AR33" i="5" s="1"/>
  <c r="AS33" i="5" s="1"/>
  <c r="AW33" i="5"/>
  <c r="AX33" i="5" s="1"/>
  <c r="AW63" i="5"/>
  <c r="AX63" i="5" s="1"/>
  <c r="AO63" i="5"/>
  <c r="AD109" i="5"/>
  <c r="AJ109" i="5"/>
  <c r="BM299" i="5"/>
  <c r="BD299" i="5"/>
  <c r="BC299" i="5"/>
  <c r="BF299" i="5"/>
  <c r="BN61" i="5"/>
  <c r="BP61" i="5"/>
  <c r="AR310" i="5"/>
  <c r="AS310" i="5" s="1"/>
  <c r="BB310" i="5"/>
  <c r="AW8" i="5"/>
  <c r="AX8" i="5" s="1"/>
  <c r="AO8" i="5"/>
  <c r="AR8" i="5" s="1"/>
  <c r="AS8" i="5" s="1"/>
  <c r="AX110" i="5"/>
  <c r="AW12" i="5"/>
  <c r="AX12" i="5" s="1"/>
  <c r="AO12" i="5"/>
  <c r="BP54" i="5"/>
  <c r="BN54" i="5"/>
  <c r="AY408" i="5"/>
  <c r="BA84" i="5"/>
  <c r="AW64" i="5"/>
  <c r="AX64" i="5" s="1"/>
  <c r="AO64" i="5"/>
  <c r="AR64" i="5" s="1"/>
  <c r="AS64" i="5" s="1"/>
  <c r="AY378" i="5"/>
  <c r="AR502" i="5"/>
  <c r="AS502" i="5" s="1"/>
  <c r="BB502" i="5"/>
  <c r="BM502" i="5" s="1"/>
  <c r="AW72" i="5"/>
  <c r="AX72" i="5" s="1"/>
  <c r="AO72" i="5"/>
  <c r="AO67" i="5"/>
  <c r="AR67" i="5" s="1"/>
  <c r="AS67" i="5" s="1"/>
  <c r="AW67" i="5"/>
  <c r="AX67" i="5" s="1"/>
  <c r="AO3" i="5"/>
  <c r="AR3" i="5" s="1"/>
  <c r="AS3" i="5" s="1"/>
  <c r="AY360" i="5"/>
  <c r="AY386" i="5"/>
  <c r="AD22" i="5"/>
  <c r="AJ22" i="5"/>
  <c r="AY461" i="5"/>
  <c r="BB167" i="5"/>
  <c r="BD167" i="5" s="1"/>
  <c r="BM326" i="5"/>
  <c r="BF326" i="5"/>
  <c r="BD326" i="5"/>
  <c r="BC326" i="5"/>
  <c r="AW38" i="5"/>
  <c r="AX38" i="5" s="1"/>
  <c r="AO38" i="5"/>
  <c r="AR38" i="5" s="1"/>
  <c r="AS38" i="5" s="1"/>
  <c r="BP114" i="5"/>
  <c r="BN114" i="5"/>
  <c r="AO70" i="5"/>
  <c r="AW70" i="5"/>
  <c r="AX70" i="5" s="1"/>
  <c r="AY422" i="5"/>
  <c r="AY326" i="5"/>
  <c r="AW84" i="5"/>
  <c r="AX84" i="5" s="1"/>
  <c r="AO84" i="5"/>
  <c r="AW128" i="5"/>
  <c r="AX128" i="5" s="1"/>
  <c r="AO128" i="5"/>
  <c r="AD55" i="5"/>
  <c r="AJ55" i="5"/>
  <c r="AD24" i="5"/>
  <c r="AJ24" i="5"/>
  <c r="AY369" i="5"/>
  <c r="AO5" i="5"/>
  <c r="AR5" i="5" s="1"/>
  <c r="AS5" i="5" s="1"/>
  <c r="AW5" i="5"/>
  <c r="AX5" i="5" s="1"/>
  <c r="AW71" i="5"/>
  <c r="AX71" i="5" s="1"/>
  <c r="AO71" i="5"/>
  <c r="BP105" i="5"/>
  <c r="BN105" i="5"/>
  <c r="BP2" i="5"/>
  <c r="BN2" i="5"/>
  <c r="AJ6" i="5"/>
  <c r="AD6" i="5"/>
  <c r="AO21" i="5"/>
  <c r="AR21" i="5" s="1"/>
  <c r="AS21" i="5" s="1"/>
  <c r="AW21" i="5"/>
  <c r="AX21" i="5" s="1"/>
  <c r="AJ74" i="5"/>
  <c r="AD74" i="5"/>
  <c r="BP51" i="5"/>
  <c r="BN51" i="5"/>
  <c r="AO190" i="5"/>
  <c r="AW190" i="5"/>
  <c r="AX190" i="5" s="1"/>
  <c r="AW66" i="5"/>
  <c r="AX66" i="5" s="1"/>
  <c r="AO66" i="5"/>
  <c r="AR66" i="5" s="1"/>
  <c r="AS66" i="5" s="1"/>
  <c r="AW121" i="5"/>
  <c r="AX121" i="5" s="1"/>
  <c r="AO121" i="5"/>
  <c r="AR121" i="5" s="1"/>
  <c r="AS121" i="5" s="1"/>
  <c r="AD67" i="5"/>
  <c r="AJ67" i="5"/>
  <c r="BP96" i="5"/>
  <c r="BN96" i="5"/>
  <c r="AO15" i="5"/>
  <c r="AR15" i="5" s="1"/>
  <c r="AS15" i="5" s="1"/>
  <c r="AW15" i="5"/>
  <c r="AX15" i="5" s="1"/>
  <c r="AJ121" i="5"/>
  <c r="AD121" i="5"/>
  <c r="BN157" i="5"/>
  <c r="BP157" i="5"/>
  <c r="AO125" i="5"/>
  <c r="AR125" i="5" s="1"/>
  <c r="AS125" i="5" s="1"/>
  <c r="AW125" i="5"/>
  <c r="AX125" i="5" s="1"/>
  <c r="AW122" i="5"/>
  <c r="AX122" i="5" s="1"/>
  <c r="AO122" i="5"/>
  <c r="AR122" i="5" s="1"/>
  <c r="AS122" i="5" s="1"/>
  <c r="AD16" i="5"/>
  <c r="AJ16" i="5"/>
  <c r="AY430" i="5"/>
  <c r="AW42" i="5"/>
  <c r="AX42" i="5" s="1"/>
  <c r="AO42" i="5"/>
  <c r="AO50" i="5"/>
  <c r="AW50" i="5"/>
  <c r="AX50" i="5" s="1"/>
  <c r="AD122" i="5"/>
  <c r="AJ122" i="5"/>
  <c r="BP11" i="5"/>
  <c r="BN11" i="5"/>
  <c r="AW192" i="5"/>
  <c r="AX192" i="5" s="1"/>
  <c r="AO192" i="5"/>
  <c r="AR192" i="5" s="1"/>
  <c r="AS192" i="5" s="1"/>
  <c r="AD50" i="5"/>
  <c r="AJ50" i="5"/>
  <c r="AW2" i="5"/>
  <c r="AX2" i="5" s="1"/>
  <c r="AO2" i="5"/>
  <c r="AR2" i="5" s="1"/>
  <c r="AS2" i="5" s="1"/>
  <c r="AO60" i="5"/>
  <c r="AW60" i="5"/>
  <c r="AX60" i="5" s="1"/>
  <c r="BC502" i="5"/>
  <c r="BD502" i="5"/>
  <c r="BF502" i="5"/>
  <c r="AR402" i="5"/>
  <c r="AS402" i="5" s="1"/>
  <c r="BB402" i="5"/>
  <c r="BB472" i="5"/>
  <c r="BB430" i="5"/>
  <c r="AR282" i="5"/>
  <c r="AS282" i="5" s="1"/>
  <c r="BB282" i="5"/>
  <c r="BB163" i="5"/>
  <c r="BM163" i="5" s="1"/>
  <c r="BM386" i="5"/>
  <c r="BF386" i="5"/>
  <c r="BD386" i="5"/>
  <c r="BC386" i="5"/>
  <c r="BM360" i="5"/>
  <c r="BF360" i="5"/>
  <c r="BD360" i="5"/>
  <c r="BC360" i="5"/>
  <c r="BM461" i="5"/>
  <c r="BF461" i="5"/>
  <c r="BD461" i="5"/>
  <c r="BC461" i="5"/>
  <c r="BM415" i="5"/>
  <c r="BF415" i="5"/>
  <c r="BD415" i="5"/>
  <c r="BC415" i="5"/>
  <c r="BM317" i="5"/>
  <c r="BF317" i="5"/>
  <c r="BD317" i="5"/>
  <c r="BC317" i="5"/>
  <c r="BM399" i="5"/>
  <c r="BF399" i="5"/>
  <c r="BD399" i="5"/>
  <c r="BC399" i="5"/>
  <c r="BF293" i="5"/>
  <c r="BM293" i="5"/>
  <c r="BC293" i="5"/>
  <c r="BD293" i="5"/>
  <c r="AR315" i="5"/>
  <c r="AS315" i="5" s="1"/>
  <c r="BB315" i="5"/>
  <c r="AR385" i="5"/>
  <c r="AS385" i="5" s="1"/>
  <c r="BB385" i="5"/>
  <c r="AR153" i="5"/>
  <c r="AS153" i="5" s="1"/>
  <c r="BB153" i="5"/>
  <c r="AR136" i="5"/>
  <c r="AS136" i="5" s="1"/>
  <c r="BB136" i="5"/>
  <c r="AR184" i="5"/>
  <c r="AS184" i="5" s="1"/>
  <c r="BB184" i="5"/>
  <c r="BM294" i="5"/>
  <c r="BD294" i="5"/>
  <c r="BF294" i="5"/>
  <c r="BC294" i="5"/>
  <c r="AR295" i="5"/>
  <c r="AS295" i="5" s="1"/>
  <c r="BB295" i="5"/>
  <c r="AR343" i="5"/>
  <c r="AS343" i="5" s="1"/>
  <c r="BB343" i="5"/>
  <c r="AR464" i="5"/>
  <c r="AS464" i="5" s="1"/>
  <c r="BB464" i="5"/>
  <c r="BM479" i="5"/>
  <c r="BF479" i="5"/>
  <c r="BC479" i="5"/>
  <c r="BD479" i="5"/>
  <c r="AR149" i="5"/>
  <c r="AS149" i="5" s="1"/>
  <c r="BB149" i="5"/>
  <c r="AR133" i="5"/>
  <c r="AS133" i="5" s="1"/>
  <c r="BB133" i="5"/>
  <c r="AR419" i="5"/>
  <c r="AS419" i="5" s="1"/>
  <c r="BB419" i="5"/>
  <c r="BB410" i="5"/>
  <c r="AR410" i="5"/>
  <c r="AS410" i="5" s="1"/>
  <c r="AR45" i="5"/>
  <c r="AS45" i="5" s="1"/>
  <c r="BB45" i="5"/>
  <c r="AR132" i="5"/>
  <c r="AS132" i="5" s="1"/>
  <c r="BB132" i="5"/>
  <c r="BM338" i="5"/>
  <c r="BF338" i="5"/>
  <c r="BC338" i="5"/>
  <c r="BD338" i="5"/>
  <c r="AR348" i="5"/>
  <c r="AS348" i="5" s="1"/>
  <c r="BB348" i="5"/>
  <c r="AR221" i="5"/>
  <c r="AS221" i="5" s="1"/>
  <c r="BB221" i="5"/>
  <c r="AR401" i="5"/>
  <c r="AS401" i="5" s="1"/>
  <c r="BB401" i="5"/>
  <c r="AR403" i="5"/>
  <c r="AS403" i="5" s="1"/>
  <c r="BB403" i="5"/>
  <c r="BD439" i="5"/>
  <c r="BC439" i="5"/>
  <c r="BM439" i="5"/>
  <c r="BF439" i="5"/>
  <c r="BM477" i="5"/>
  <c r="BD477" i="5"/>
  <c r="BC477" i="5"/>
  <c r="BF477" i="5"/>
  <c r="AR340" i="5"/>
  <c r="AS340" i="5" s="1"/>
  <c r="BB340" i="5"/>
  <c r="AR336" i="5"/>
  <c r="AS336" i="5" s="1"/>
  <c r="BB336" i="5"/>
  <c r="AR341" i="5"/>
  <c r="AS341" i="5" s="1"/>
  <c r="BB341" i="5"/>
  <c r="BB383" i="5"/>
  <c r="AR383" i="5"/>
  <c r="AS383" i="5" s="1"/>
  <c r="AR373" i="5"/>
  <c r="AS373" i="5" s="1"/>
  <c r="BB373" i="5"/>
  <c r="AR178" i="5"/>
  <c r="AS178" i="5" s="1"/>
  <c r="BB178" i="5"/>
  <c r="AR304" i="5"/>
  <c r="AS304" i="5" s="1"/>
  <c r="BB304" i="5"/>
  <c r="AR330" i="5"/>
  <c r="AS330" i="5" s="1"/>
  <c r="BB330" i="5"/>
  <c r="AR54" i="5"/>
  <c r="AS54" i="5" s="1"/>
  <c r="BB54" i="5"/>
  <c r="AR431" i="5"/>
  <c r="AS431" i="5" s="1"/>
  <c r="BB431" i="5"/>
  <c r="AR138" i="5"/>
  <c r="AS138" i="5" s="1"/>
  <c r="BB138" i="5"/>
  <c r="AR124" i="5"/>
  <c r="AS124" i="5" s="1"/>
  <c r="BB124" i="5"/>
  <c r="AR201" i="5"/>
  <c r="AS201" i="5" s="1"/>
  <c r="BB201" i="5"/>
  <c r="AR217" i="5"/>
  <c r="AS217" i="5" s="1"/>
  <c r="BB217" i="5"/>
  <c r="AR289" i="5"/>
  <c r="AS289" i="5" s="1"/>
  <c r="BB289" i="5"/>
  <c r="AR392" i="5"/>
  <c r="AS392" i="5" s="1"/>
  <c r="BB392" i="5"/>
  <c r="BB188" i="5"/>
  <c r="AR188" i="5"/>
  <c r="AS188" i="5" s="1"/>
  <c r="AR361" i="5"/>
  <c r="AS361" i="5" s="1"/>
  <c r="BB361" i="5"/>
  <c r="AR314" i="5"/>
  <c r="AS314" i="5" s="1"/>
  <c r="BB314" i="5"/>
  <c r="AR333" i="5"/>
  <c r="AS333" i="5" s="1"/>
  <c r="BB333" i="5"/>
  <c r="BM316" i="5"/>
  <c r="BF316" i="5"/>
  <c r="BD316" i="5"/>
  <c r="BC316" i="5"/>
  <c r="AR101" i="5"/>
  <c r="AS101" i="5" s="1"/>
  <c r="BB101" i="5"/>
  <c r="AR57" i="5"/>
  <c r="AS57" i="5" s="1"/>
  <c r="BB57" i="5"/>
  <c r="BM286" i="5"/>
  <c r="BF286" i="5"/>
  <c r="BC286" i="5"/>
  <c r="BD286" i="5"/>
  <c r="AR186" i="5"/>
  <c r="AS186" i="5" s="1"/>
  <c r="BB186" i="5"/>
  <c r="AR148" i="5"/>
  <c r="AS148" i="5" s="1"/>
  <c r="BB148" i="5"/>
  <c r="AR291" i="5"/>
  <c r="AS291" i="5" s="1"/>
  <c r="BB291" i="5"/>
  <c r="AR126" i="5"/>
  <c r="AS126" i="5" s="1"/>
  <c r="BB126" i="5"/>
  <c r="AR300" i="5"/>
  <c r="AS300" i="5" s="1"/>
  <c r="BB300" i="5"/>
  <c r="AR481" i="5"/>
  <c r="AS481" i="5" s="1"/>
  <c r="BB481" i="5"/>
  <c r="AR379" i="5"/>
  <c r="AS379" i="5" s="1"/>
  <c r="BB379" i="5"/>
  <c r="BB491" i="5"/>
  <c r="AR491" i="5"/>
  <c r="AS491" i="5" s="1"/>
  <c r="AR309" i="5"/>
  <c r="AS309" i="5" s="1"/>
  <c r="BB309" i="5"/>
  <c r="AR334" i="5"/>
  <c r="AS334" i="5" s="1"/>
  <c r="BB334" i="5"/>
  <c r="AR47" i="5"/>
  <c r="AS47" i="5" s="1"/>
  <c r="BB47" i="5"/>
  <c r="AR384" i="5"/>
  <c r="AS384" i="5" s="1"/>
  <c r="BB384" i="5"/>
  <c r="AR342" i="5"/>
  <c r="AS342" i="5" s="1"/>
  <c r="BB342" i="5"/>
  <c r="AY411" i="5"/>
  <c r="AR150" i="5"/>
  <c r="AS150" i="5" s="1"/>
  <c r="BB150" i="5"/>
  <c r="BC452" i="5"/>
  <c r="BM452" i="5"/>
  <c r="BD452" i="5"/>
  <c r="BF452" i="5"/>
  <c r="AR388" i="5"/>
  <c r="AS388" i="5" s="1"/>
  <c r="BB388" i="5"/>
  <c r="AR157" i="5"/>
  <c r="AS157" i="5" s="1"/>
  <c r="BB157" i="5"/>
  <c r="AR305" i="5"/>
  <c r="AS305" i="5" s="1"/>
  <c r="BB305" i="5"/>
  <c r="AY375" i="5"/>
  <c r="AR456" i="5"/>
  <c r="AS456" i="5" s="1"/>
  <c r="BB456" i="5"/>
  <c r="AR457" i="5"/>
  <c r="AS457" i="5" s="1"/>
  <c r="BB457" i="5"/>
  <c r="AR391" i="5"/>
  <c r="AS391" i="5" s="1"/>
  <c r="BB391" i="5"/>
  <c r="AR474" i="5"/>
  <c r="AS474" i="5" s="1"/>
  <c r="BB474" i="5"/>
  <c r="AR85" i="5"/>
  <c r="AS85" i="5" s="1"/>
  <c r="BB85" i="5"/>
  <c r="BM353" i="5"/>
  <c r="BF353" i="5"/>
  <c r="BD353" i="5"/>
  <c r="BC353" i="5"/>
  <c r="BM416" i="5"/>
  <c r="BF416" i="5"/>
  <c r="BC416" i="5"/>
  <c r="BD416" i="5"/>
  <c r="AR215" i="5"/>
  <c r="AS215" i="5" s="1"/>
  <c r="BB215" i="5"/>
  <c r="BF492" i="5"/>
  <c r="BM492" i="5"/>
  <c r="BD492" i="5"/>
  <c r="BC492" i="5"/>
  <c r="AR40" i="5"/>
  <c r="AS40" i="5" s="1"/>
  <c r="BB40" i="5"/>
  <c r="AR187" i="5"/>
  <c r="AS187" i="5" s="1"/>
  <c r="BB187" i="5"/>
  <c r="AR429" i="5"/>
  <c r="AS429" i="5" s="1"/>
  <c r="BB429" i="5"/>
  <c r="BM493" i="5"/>
  <c r="BD493" i="5"/>
  <c r="BC493" i="5"/>
  <c r="BF493" i="5"/>
  <c r="AR359" i="5"/>
  <c r="AS359" i="5" s="1"/>
  <c r="BB359" i="5"/>
  <c r="AR55" i="5"/>
  <c r="AS55" i="5" s="1"/>
  <c r="BB55" i="5"/>
  <c r="AR207" i="5"/>
  <c r="AS207" i="5" s="1"/>
  <c r="BB207" i="5"/>
  <c r="AR313" i="5"/>
  <c r="AS313" i="5" s="1"/>
  <c r="BB313" i="5"/>
  <c r="AR441" i="5"/>
  <c r="AS441" i="5" s="1"/>
  <c r="BB441" i="5"/>
  <c r="BB455" i="5"/>
  <c r="AR455" i="5"/>
  <c r="AS455" i="5" s="1"/>
  <c r="AR20" i="5"/>
  <c r="AS20" i="5" s="1"/>
  <c r="BB20" i="5"/>
  <c r="BB500" i="5"/>
  <c r="AR500" i="5"/>
  <c r="AS500" i="5" s="1"/>
  <c r="AR357" i="5"/>
  <c r="AS357" i="5" s="1"/>
  <c r="BB357" i="5"/>
  <c r="AR34" i="5"/>
  <c r="AS34" i="5" s="1"/>
  <c r="BB34" i="5"/>
  <c r="AR9" i="5"/>
  <c r="AS9" i="5" s="1"/>
  <c r="BB9" i="5"/>
  <c r="AR106" i="5"/>
  <c r="AS106" i="5" s="1"/>
  <c r="BB106" i="5"/>
  <c r="BM278" i="5"/>
  <c r="BF278" i="5"/>
  <c r="BD278" i="5"/>
  <c r="BC278" i="5"/>
  <c r="AR107" i="5"/>
  <c r="AS107" i="5" s="1"/>
  <c r="BB107" i="5"/>
  <c r="AR134" i="5"/>
  <c r="AS134" i="5" s="1"/>
  <c r="BB134" i="5"/>
  <c r="AR307" i="5"/>
  <c r="AS307" i="5" s="1"/>
  <c r="BB307" i="5"/>
  <c r="BM398" i="5"/>
  <c r="BF398" i="5"/>
  <c r="BD398" i="5"/>
  <c r="BC398" i="5"/>
  <c r="AR468" i="5"/>
  <c r="AS468" i="5" s="1"/>
  <c r="BB468" i="5"/>
  <c r="AR494" i="5"/>
  <c r="AS494" i="5" s="1"/>
  <c r="BB494" i="5"/>
  <c r="AR346" i="5"/>
  <c r="AS346" i="5" s="1"/>
  <c r="BB346" i="5"/>
  <c r="AR485" i="5"/>
  <c r="AS485" i="5" s="1"/>
  <c r="BB485" i="5"/>
  <c r="BD378" i="5"/>
  <c r="BC378" i="5"/>
  <c r="BM378" i="5"/>
  <c r="BF378" i="5"/>
  <c r="AR476" i="5"/>
  <c r="AS476" i="5" s="1"/>
  <c r="BB476" i="5"/>
  <c r="BM503" i="5"/>
  <c r="BD503" i="5"/>
  <c r="BC503" i="5"/>
  <c r="BF503" i="5"/>
  <c r="BF408" i="5"/>
  <c r="BM408" i="5"/>
  <c r="BD408" i="5"/>
  <c r="BC408" i="5"/>
  <c r="AR93" i="5"/>
  <c r="AS93" i="5" s="1"/>
  <c r="BB93" i="5"/>
  <c r="AR115" i="5"/>
  <c r="AS115" i="5" s="1"/>
  <c r="BB115" i="5"/>
  <c r="AR147" i="5"/>
  <c r="AS147" i="5" s="1"/>
  <c r="BB147" i="5"/>
  <c r="AR368" i="5"/>
  <c r="AS368" i="5" s="1"/>
  <c r="BB368" i="5"/>
  <c r="BD375" i="5"/>
  <c r="BC375" i="5"/>
  <c r="BM375" i="5"/>
  <c r="BF375" i="5"/>
  <c r="AR465" i="5"/>
  <c r="AS465" i="5" s="1"/>
  <c r="BB465" i="5"/>
  <c r="BM400" i="5"/>
  <c r="BF400" i="5"/>
  <c r="BD400" i="5"/>
  <c r="BC400" i="5"/>
  <c r="AR463" i="5"/>
  <c r="AS463" i="5" s="1"/>
  <c r="BB463" i="5"/>
  <c r="AR161" i="5"/>
  <c r="AS161" i="5" s="1"/>
  <c r="BB161" i="5"/>
  <c r="AR146" i="5"/>
  <c r="AS146" i="5" s="1"/>
  <c r="BB146" i="5"/>
  <c r="AR211" i="5"/>
  <c r="AS211" i="5" s="1"/>
  <c r="BB211" i="5"/>
  <c r="AR280" i="5"/>
  <c r="AS280" i="5" s="1"/>
  <c r="BB280" i="5"/>
  <c r="AR387" i="5"/>
  <c r="AS387" i="5" s="1"/>
  <c r="BB387" i="5"/>
  <c r="AR467" i="5"/>
  <c r="AS467" i="5" s="1"/>
  <c r="BB467" i="5"/>
  <c r="AR296" i="5"/>
  <c r="AS296" i="5" s="1"/>
  <c r="BB296" i="5"/>
  <c r="AR426" i="5"/>
  <c r="AS426" i="5" s="1"/>
  <c r="BB426" i="5"/>
  <c r="AR352" i="5"/>
  <c r="AS352" i="5" s="1"/>
  <c r="BB352" i="5"/>
  <c r="AR144" i="5"/>
  <c r="AS144" i="5" s="1"/>
  <c r="BB144" i="5"/>
  <c r="AR155" i="5"/>
  <c r="AS155" i="5" s="1"/>
  <c r="BB155" i="5"/>
  <c r="AR358" i="5"/>
  <c r="AS358" i="5" s="1"/>
  <c r="BB358" i="5"/>
  <c r="AR423" i="5"/>
  <c r="AS423" i="5" s="1"/>
  <c r="BB423" i="5"/>
  <c r="AR484" i="5"/>
  <c r="AS484" i="5" s="1"/>
  <c r="BB484" i="5"/>
  <c r="AR443" i="5"/>
  <c r="AS443" i="5" s="1"/>
  <c r="BB443" i="5"/>
  <c r="AR158" i="5"/>
  <c r="AS158" i="5" s="1"/>
  <c r="BB158" i="5"/>
  <c r="AY415" i="5"/>
  <c r="AR130" i="5"/>
  <c r="AS130" i="5" s="1"/>
  <c r="BB130" i="5"/>
  <c r="BB471" i="5"/>
  <c r="AR471" i="5"/>
  <c r="AS471" i="5" s="1"/>
  <c r="BF425" i="5"/>
  <c r="BD425" i="5"/>
  <c r="BM425" i="5"/>
  <c r="BC425" i="5"/>
  <c r="AR96" i="5"/>
  <c r="AS96" i="5" s="1"/>
  <c r="BB96" i="5"/>
  <c r="AR86" i="5"/>
  <c r="AS86" i="5" s="1"/>
  <c r="BB86" i="5"/>
  <c r="AR364" i="5"/>
  <c r="AS364" i="5" s="1"/>
  <c r="BB364" i="5"/>
  <c r="AR349" i="5"/>
  <c r="AS349" i="5" s="1"/>
  <c r="BB349" i="5"/>
  <c r="AR389" i="5"/>
  <c r="AS389" i="5" s="1"/>
  <c r="BB389" i="5"/>
  <c r="AR51" i="5"/>
  <c r="AS51" i="5" s="1"/>
  <c r="BB51" i="5"/>
  <c r="AR143" i="5"/>
  <c r="AS143" i="5" s="1"/>
  <c r="BB143" i="5"/>
  <c r="BF462" i="5"/>
  <c r="BD462" i="5"/>
  <c r="BC462" i="5"/>
  <c r="BM462" i="5"/>
  <c r="AR308" i="5"/>
  <c r="AS308" i="5" s="1"/>
  <c r="BB308" i="5"/>
  <c r="AR428" i="5"/>
  <c r="AS428" i="5" s="1"/>
  <c r="BB428" i="5"/>
  <c r="BB460" i="5"/>
  <c r="AR460" i="5"/>
  <c r="AS460" i="5" s="1"/>
  <c r="AR322" i="5"/>
  <c r="AS322" i="5" s="1"/>
  <c r="BB322" i="5"/>
  <c r="BM297" i="5"/>
  <c r="BD297" i="5"/>
  <c r="BF297" i="5"/>
  <c r="BC297" i="5"/>
  <c r="BB501" i="5"/>
  <c r="AR501" i="5"/>
  <c r="AS501" i="5" s="1"/>
  <c r="AR446" i="5"/>
  <c r="AS446" i="5" s="1"/>
  <c r="BB446" i="5"/>
  <c r="AR382" i="5"/>
  <c r="AS382" i="5" s="1"/>
  <c r="BB382" i="5"/>
  <c r="AR394" i="5"/>
  <c r="AS394" i="5" s="1"/>
  <c r="BB394" i="5"/>
  <c r="AR418" i="5"/>
  <c r="AS418" i="5" s="1"/>
  <c r="BB418" i="5"/>
  <c r="AR504" i="5"/>
  <c r="AS504" i="5" s="1"/>
  <c r="BB504" i="5"/>
  <c r="AR435" i="5"/>
  <c r="AS435" i="5" s="1"/>
  <c r="BB435" i="5"/>
  <c r="BB328" i="5"/>
  <c r="AR328" i="5"/>
  <c r="AS328" i="5" s="1"/>
  <c r="AR89" i="5"/>
  <c r="AS89" i="5" s="1"/>
  <c r="BB89" i="5"/>
  <c r="AR131" i="5"/>
  <c r="AS131" i="5" s="1"/>
  <c r="BB131" i="5"/>
  <c r="BM306" i="5"/>
  <c r="BF306" i="5"/>
  <c r="BD306" i="5"/>
  <c r="BC306" i="5"/>
  <c r="AR437" i="5"/>
  <c r="AS437" i="5" s="1"/>
  <c r="BB437" i="5"/>
  <c r="AR119" i="5"/>
  <c r="AS119" i="5" s="1"/>
  <c r="BB119" i="5"/>
  <c r="AR154" i="5"/>
  <c r="AS154" i="5" s="1"/>
  <c r="BB154" i="5"/>
  <c r="AR78" i="5"/>
  <c r="AS78" i="5" s="1"/>
  <c r="BB78" i="5"/>
  <c r="AR321" i="5"/>
  <c r="AS321" i="5" s="1"/>
  <c r="BB321" i="5"/>
  <c r="BM369" i="5"/>
  <c r="BF369" i="5"/>
  <c r="BD369" i="5"/>
  <c r="BC369" i="5"/>
  <c r="AR475" i="5"/>
  <c r="AS475" i="5" s="1"/>
  <c r="BB475" i="5"/>
  <c r="AR36" i="5"/>
  <c r="AS36" i="5" s="1"/>
  <c r="BB36" i="5"/>
  <c r="BM350" i="5"/>
  <c r="BF350" i="5"/>
  <c r="BD350" i="5"/>
  <c r="BC350" i="5"/>
  <c r="AR366" i="5"/>
  <c r="AS366" i="5" s="1"/>
  <c r="BB366" i="5"/>
  <c r="AR497" i="5"/>
  <c r="AS497" i="5" s="1"/>
  <c r="BB497" i="5"/>
  <c r="AR486" i="5"/>
  <c r="AS486" i="5" s="1"/>
  <c r="BB486" i="5"/>
  <c r="AR409" i="5"/>
  <c r="AS409" i="5" s="1"/>
  <c r="BB409" i="5"/>
  <c r="AR13" i="5"/>
  <c r="AS13" i="5" s="1"/>
  <c r="BB13" i="5"/>
  <c r="AR111" i="5"/>
  <c r="AS111" i="5" s="1"/>
  <c r="BB111" i="5"/>
  <c r="AR212" i="5"/>
  <c r="AS212" i="5" s="1"/>
  <c r="BB212" i="5"/>
  <c r="AR487" i="5"/>
  <c r="AS487" i="5" s="1"/>
  <c r="BB487" i="5"/>
  <c r="BM318" i="5"/>
  <c r="BF318" i="5"/>
  <c r="BD318" i="5"/>
  <c r="BC318" i="5"/>
  <c r="BM422" i="5"/>
  <c r="BF422" i="5"/>
  <c r="BD422" i="5"/>
  <c r="BC422" i="5"/>
  <c r="AR335" i="5"/>
  <c r="AS335" i="5" s="1"/>
  <c r="BB335" i="5"/>
  <c r="AR372" i="5"/>
  <c r="AS372" i="5" s="1"/>
  <c r="BB372" i="5"/>
  <c r="AR156" i="5"/>
  <c r="AS156" i="5" s="1"/>
  <c r="BB156" i="5"/>
  <c r="AR448" i="5"/>
  <c r="AS448" i="5" s="1"/>
  <c r="BB448" i="5"/>
  <c r="AR488" i="5"/>
  <c r="AS488" i="5" s="1"/>
  <c r="BB488" i="5"/>
  <c r="AR145" i="5"/>
  <c r="AS145" i="5" s="1"/>
  <c r="BB145" i="5"/>
  <c r="AR302" i="5"/>
  <c r="AS302" i="5" s="1"/>
  <c r="BB302" i="5"/>
  <c r="BB444" i="5"/>
  <c r="AR444" i="5"/>
  <c r="AS444" i="5" s="1"/>
  <c r="AR499" i="5"/>
  <c r="AS499" i="5" s="1"/>
  <c r="BB499" i="5"/>
  <c r="AR29" i="5"/>
  <c r="AS29" i="5" s="1"/>
  <c r="AR28" i="5"/>
  <c r="AS28" i="5" s="1"/>
  <c r="BB28" i="5"/>
  <c r="AR281" i="5"/>
  <c r="AS281" i="5" s="1"/>
  <c r="BB281" i="5"/>
  <c r="AR367" i="5"/>
  <c r="AS367" i="5" s="1"/>
  <c r="BB367" i="5"/>
  <c r="AR438" i="5"/>
  <c r="AS438" i="5" s="1"/>
  <c r="BB438" i="5"/>
  <c r="AR450" i="5"/>
  <c r="AS450" i="5" s="1"/>
  <c r="BB450" i="5"/>
  <c r="BM279" i="5"/>
  <c r="BF279" i="5"/>
  <c r="BD279" i="5"/>
  <c r="BC279" i="5"/>
  <c r="AR206" i="5"/>
  <c r="AS206" i="5" s="1"/>
  <c r="BB206" i="5"/>
  <c r="BM445" i="5"/>
  <c r="BF445" i="5"/>
  <c r="BC445" i="5"/>
  <c r="BD445" i="5"/>
  <c r="AR447" i="5"/>
  <c r="AS447" i="5" s="1"/>
  <c r="BB447" i="5"/>
  <c r="AR94" i="5"/>
  <c r="AS94" i="5" s="1"/>
  <c r="BB94" i="5"/>
  <c r="AR344" i="5"/>
  <c r="AS344" i="5" s="1"/>
  <c r="BB344" i="5"/>
  <c r="AR421" i="5"/>
  <c r="AS421" i="5" s="1"/>
  <c r="BB421" i="5"/>
  <c r="AR482" i="5"/>
  <c r="AS482" i="5" s="1"/>
  <c r="BB482" i="5"/>
  <c r="AR496" i="5"/>
  <c r="AS496" i="5" s="1"/>
  <c r="BB496" i="5"/>
  <c r="AR193" i="5"/>
  <c r="AS193" i="5" s="1"/>
  <c r="BB193" i="5"/>
  <c r="AR483" i="5"/>
  <c r="AS483" i="5" s="1"/>
  <c r="BB483" i="5"/>
  <c r="AR473" i="5"/>
  <c r="AS473" i="5" s="1"/>
  <c r="BB473" i="5"/>
  <c r="AR424" i="5"/>
  <c r="AS424" i="5" s="1"/>
  <c r="BB424" i="5"/>
  <c r="AR337" i="5"/>
  <c r="AS337" i="5" s="1"/>
  <c r="BB337" i="5"/>
  <c r="AR109" i="5"/>
  <c r="AS109" i="5" s="1"/>
  <c r="BB109" i="5"/>
  <c r="AR396" i="5"/>
  <c r="AS396" i="5" s="1"/>
  <c r="BB396" i="5"/>
  <c r="AR404" i="5"/>
  <c r="AS404" i="5" s="1"/>
  <c r="BB404" i="5"/>
  <c r="AR356" i="5"/>
  <c r="AS356" i="5" s="1"/>
  <c r="BB356" i="5"/>
  <c r="BM276" i="5"/>
  <c r="BD276" i="5"/>
  <c r="BC276" i="5"/>
  <c r="BF276" i="5"/>
  <c r="AR376" i="5"/>
  <c r="AS376" i="5" s="1"/>
  <c r="BB376" i="5"/>
  <c r="AR312" i="5"/>
  <c r="AS312" i="5" s="1"/>
  <c r="BB312" i="5"/>
  <c r="AR470" i="5"/>
  <c r="AS470" i="5" s="1"/>
  <c r="BB470" i="5"/>
  <c r="AR393" i="5"/>
  <c r="AS393" i="5" s="1"/>
  <c r="BB393" i="5"/>
  <c r="AR74" i="5"/>
  <c r="AS74" i="5" s="1"/>
  <c r="BB74" i="5"/>
  <c r="AR222" i="5"/>
  <c r="AS222" i="5" s="1"/>
  <c r="BB222" i="5"/>
  <c r="AR287" i="5"/>
  <c r="AS287" i="5" s="1"/>
  <c r="BB287" i="5"/>
  <c r="AR442" i="5"/>
  <c r="AS442" i="5" s="1"/>
  <c r="BB442" i="5"/>
  <c r="BD458" i="5"/>
  <c r="BF458" i="5"/>
  <c r="BC458" i="5"/>
  <c r="BM458" i="5"/>
  <c r="AR24" i="5"/>
  <c r="AS24" i="5" s="1"/>
  <c r="BB24" i="5"/>
  <c r="AR41" i="5"/>
  <c r="AS41" i="5" s="1"/>
  <c r="AR414" i="5"/>
  <c r="AS414" i="5" s="1"/>
  <c r="BB414" i="5"/>
  <c r="AR332" i="5"/>
  <c r="AS332" i="5" s="1"/>
  <c r="BB332" i="5"/>
  <c r="BM397" i="5"/>
  <c r="BF397" i="5"/>
  <c r="BD397" i="5"/>
  <c r="BC397" i="5"/>
  <c r="AR68" i="5"/>
  <c r="AS68" i="5" s="1"/>
  <c r="BB68" i="5"/>
  <c r="AR362" i="5"/>
  <c r="AS362" i="5" s="1"/>
  <c r="BB362" i="5"/>
  <c r="AR405" i="5"/>
  <c r="AS405" i="5" s="1"/>
  <c r="BB405" i="5"/>
  <c r="AR284" i="5"/>
  <c r="AS284" i="5" s="1"/>
  <c r="BB284" i="5"/>
  <c r="BD454" i="5"/>
  <c r="BC454" i="5"/>
  <c r="BM454" i="5"/>
  <c r="BF454" i="5"/>
  <c r="AR98" i="5"/>
  <c r="AS98" i="5" s="1"/>
  <c r="BB98" i="5"/>
  <c r="AR301" i="5"/>
  <c r="AS301" i="5" s="1"/>
  <c r="BB301" i="5"/>
  <c r="BM327" i="5"/>
  <c r="BD327" i="5"/>
  <c r="BF327" i="5"/>
  <c r="BC327" i="5"/>
  <c r="AR31" i="5"/>
  <c r="AS31" i="5" s="1"/>
  <c r="BB31" i="5"/>
  <c r="AR39" i="5"/>
  <c r="AS39" i="5" s="1"/>
  <c r="BB39" i="5"/>
  <c r="AR79" i="5"/>
  <c r="AS79" i="5" s="1"/>
  <c r="BB79" i="5"/>
  <c r="AR189" i="5"/>
  <c r="AS189" i="5" s="1"/>
  <c r="BB189" i="5"/>
  <c r="BD411" i="5"/>
  <c r="BM411" i="5"/>
  <c r="BF411" i="5"/>
  <c r="BC411" i="5"/>
  <c r="AR381" i="5"/>
  <c r="AS381" i="5" s="1"/>
  <c r="BB381" i="5"/>
  <c r="BM478" i="5"/>
  <c r="BD478" i="5"/>
  <c r="BC478" i="5"/>
  <c r="BF478" i="5"/>
  <c r="BB195" i="5"/>
  <c r="AR195" i="5"/>
  <c r="AS195" i="5" s="1"/>
  <c r="AR489" i="5"/>
  <c r="AS489" i="5" s="1"/>
  <c r="BB489" i="5"/>
  <c r="AR355" i="5"/>
  <c r="AS355" i="5" s="1"/>
  <c r="BB355" i="5"/>
  <c r="AR436" i="5"/>
  <c r="AS436" i="5" s="1"/>
  <c r="BB436" i="5"/>
  <c r="AR120" i="5"/>
  <c r="AS120" i="5" s="1"/>
  <c r="BB120" i="5"/>
  <c r="AR208" i="5"/>
  <c r="AS208" i="5" s="1"/>
  <c r="BB208" i="5"/>
  <c r="AR406" i="5"/>
  <c r="AS406" i="5" s="1"/>
  <c r="BB406" i="5"/>
  <c r="AR365" i="5"/>
  <c r="AS365" i="5" s="1"/>
  <c r="BB365" i="5"/>
  <c r="AR433" i="5"/>
  <c r="AS433" i="5" s="1"/>
  <c r="BB433" i="5"/>
  <c r="AR345" i="5"/>
  <c r="AS345" i="5" s="1"/>
  <c r="BB345" i="5"/>
  <c r="AR10" i="5"/>
  <c r="AS10" i="5" s="1"/>
  <c r="BB10" i="5"/>
  <c r="AR283" i="5"/>
  <c r="AS283" i="5" s="1"/>
  <c r="BB283" i="5"/>
  <c r="BD325" i="5"/>
  <c r="BC325" i="5"/>
  <c r="BM325" i="5"/>
  <c r="BF325" i="5"/>
  <c r="AR434" i="5"/>
  <c r="AS434" i="5" s="1"/>
  <c r="BB434" i="5"/>
  <c r="AR99" i="5"/>
  <c r="AS99" i="5" s="1"/>
  <c r="BB99" i="5"/>
  <c r="AR197" i="5"/>
  <c r="AS197" i="5" s="1"/>
  <c r="BB197" i="5"/>
  <c r="BM292" i="5"/>
  <c r="BF292" i="5"/>
  <c r="BC292" i="5"/>
  <c r="BD292" i="5"/>
  <c r="AR453" i="5"/>
  <c r="AS453" i="5" s="1"/>
  <c r="BB453" i="5"/>
  <c r="BB97" i="5"/>
  <c r="AR97" i="5"/>
  <c r="AS97" i="5" s="1"/>
  <c r="BB65" i="5"/>
  <c r="AR65" i="5"/>
  <c r="AS65" i="5" s="1"/>
  <c r="AR116" i="5"/>
  <c r="AS116" i="5" s="1"/>
  <c r="BB116" i="5"/>
  <c r="AR469" i="5"/>
  <c r="AS469" i="5" s="1"/>
  <c r="BB469" i="5"/>
  <c r="AR427" i="5"/>
  <c r="AS427" i="5" s="1"/>
  <c r="BB427" i="5"/>
  <c r="AR23" i="5"/>
  <c r="AS23" i="5" s="1"/>
  <c r="AR420" i="5"/>
  <c r="AS420" i="5" s="1"/>
  <c r="BB420" i="5"/>
  <c r="AR449" i="5"/>
  <c r="AS449" i="5" s="1"/>
  <c r="BB449" i="5"/>
  <c r="AR495" i="5"/>
  <c r="AS495" i="5" s="1"/>
  <c r="BB495" i="5"/>
  <c r="AR113" i="5"/>
  <c r="AS113" i="5" s="1"/>
  <c r="BB113" i="5"/>
  <c r="AR319" i="5"/>
  <c r="AS319" i="5" s="1"/>
  <c r="BB319" i="5"/>
  <c r="AR347" i="5"/>
  <c r="AS347" i="5" s="1"/>
  <c r="BB347" i="5"/>
  <c r="AR324" i="5"/>
  <c r="AS324" i="5" s="1"/>
  <c r="BB324" i="5"/>
  <c r="AR432" i="5"/>
  <c r="AS432" i="5" s="1"/>
  <c r="BB432" i="5"/>
  <c r="BM451" i="5"/>
  <c r="BD451" i="5"/>
  <c r="BC451" i="5"/>
  <c r="BF451" i="5"/>
  <c r="AR17" i="5"/>
  <c r="AS17" i="5" s="1"/>
  <c r="BB17" i="5"/>
  <c r="BF480" i="5"/>
  <c r="BM480" i="5"/>
  <c r="BC480" i="5"/>
  <c r="BD480" i="5"/>
  <c r="AR141" i="5"/>
  <c r="AS141" i="5" s="1"/>
  <c r="BB141" i="5"/>
  <c r="AR46" i="5"/>
  <c r="AS46" i="5" s="1"/>
  <c r="BB46" i="5"/>
  <c r="AR323" i="5"/>
  <c r="AS323" i="5" s="1"/>
  <c r="BB323" i="5"/>
  <c r="AR303" i="5"/>
  <c r="AS303" i="5" s="1"/>
  <c r="BB303" i="5"/>
  <c r="AR277" i="5"/>
  <c r="AS277" i="5" s="1"/>
  <c r="BB277" i="5"/>
  <c r="AR498" i="5"/>
  <c r="AS498" i="5" s="1"/>
  <c r="BB498" i="5"/>
  <c r="AR285" i="5"/>
  <c r="AS285" i="5" s="1"/>
  <c r="BB285" i="5"/>
  <c r="AR44" i="5"/>
  <c r="AS44" i="5" s="1"/>
  <c r="BB44" i="5"/>
  <c r="AR123" i="5"/>
  <c r="AS123" i="5" s="1"/>
  <c r="BB123" i="5"/>
  <c r="BB459" i="5"/>
  <c r="AR459" i="5"/>
  <c r="AS459" i="5" s="1"/>
  <c r="AR80" i="5"/>
  <c r="AS80" i="5" s="1"/>
  <c r="BB80" i="5"/>
  <c r="AR354" i="5"/>
  <c r="AS354" i="5" s="1"/>
  <c r="BB354" i="5"/>
  <c r="AR151" i="5"/>
  <c r="AS151" i="5" s="1"/>
  <c r="BB151" i="5"/>
  <c r="AR407" i="5"/>
  <c r="AS407" i="5" s="1"/>
  <c r="BB407" i="5"/>
  <c r="AR104" i="5"/>
  <c r="AS104" i="5" s="1"/>
  <c r="BB104" i="5"/>
  <c r="BM329" i="5"/>
  <c r="BF329" i="5"/>
  <c r="BD329" i="5"/>
  <c r="BC329" i="5"/>
  <c r="AR505" i="5"/>
  <c r="AS505" i="5" s="1"/>
  <c r="BB505" i="5"/>
  <c r="BM490" i="5"/>
  <c r="BF490" i="5"/>
  <c r="BD490" i="5"/>
  <c r="BC490" i="5"/>
  <c r="AR69" i="5"/>
  <c r="AS69" i="5" s="1"/>
  <c r="BB69" i="5"/>
  <c r="AR159" i="5"/>
  <c r="AS159" i="5" s="1"/>
  <c r="AR290" i="5"/>
  <c r="AS290" i="5" s="1"/>
  <c r="BB290" i="5"/>
  <c r="BB395" i="5"/>
  <c r="AR395" i="5"/>
  <c r="AS395" i="5" s="1"/>
  <c r="AR152" i="5"/>
  <c r="AS152" i="5" s="1"/>
  <c r="BB152" i="5"/>
  <c r="AR380" i="5"/>
  <c r="AS380" i="5" s="1"/>
  <c r="BB380" i="5"/>
  <c r="AR288" i="5"/>
  <c r="AS288" i="5" s="1"/>
  <c r="BB288" i="5"/>
  <c r="AR320" i="5"/>
  <c r="AS320" i="5" s="1"/>
  <c r="BB320" i="5"/>
  <c r="AR412" i="5"/>
  <c r="AS412" i="5" s="1"/>
  <c r="BB412" i="5"/>
  <c r="AT82" i="5"/>
  <c r="AT165" i="5"/>
  <c r="AM189" i="5"/>
  <c r="AE189" i="5"/>
  <c r="AM157" i="5"/>
  <c r="AE157" i="5"/>
  <c r="AT173" i="5"/>
  <c r="AE118" i="5"/>
  <c r="AM118" i="5"/>
  <c r="AT95" i="5"/>
  <c r="AT75" i="5"/>
  <c r="AM125" i="5"/>
  <c r="AE125" i="5"/>
  <c r="AE219" i="5"/>
  <c r="AT220" i="5"/>
  <c r="AE201" i="5"/>
  <c r="AM219" i="5"/>
  <c r="AM201" i="5"/>
  <c r="AE212" i="5"/>
  <c r="AM212" i="5"/>
  <c r="AE162" i="5"/>
  <c r="AM162" i="5"/>
  <c r="AM224" i="5"/>
  <c r="AE224" i="5"/>
  <c r="AE220" i="5"/>
  <c r="AM220" i="5"/>
  <c r="AE185" i="5"/>
  <c r="AM185" i="5"/>
  <c r="AM126" i="5"/>
  <c r="AE126" i="5"/>
  <c r="AE182" i="5"/>
  <c r="AM145" i="5"/>
  <c r="AE145" i="5"/>
  <c r="AM182" i="5"/>
  <c r="AE165" i="5"/>
  <c r="AT185" i="5"/>
  <c r="AM165" i="5"/>
  <c r="AE183" i="5"/>
  <c r="AM183" i="5"/>
  <c r="AM150" i="5"/>
  <c r="AE150" i="5"/>
  <c r="AT166" i="5"/>
  <c r="AM26" i="5"/>
  <c r="AE26" i="5"/>
  <c r="AM147" i="5"/>
  <c r="AE147" i="5"/>
  <c r="AE181" i="5"/>
  <c r="AM181" i="5"/>
  <c r="AM170" i="5"/>
  <c r="AT180" i="5"/>
  <c r="AM56" i="5"/>
  <c r="AT175" i="5"/>
  <c r="AT87" i="5"/>
  <c r="AM222" i="5"/>
  <c r="AE222" i="5"/>
  <c r="AM204" i="5"/>
  <c r="AE204" i="5"/>
  <c r="AE56" i="5"/>
  <c r="AE187" i="5"/>
  <c r="AM21" i="5"/>
  <c r="AE21" i="5"/>
  <c r="AM42" i="5"/>
  <c r="AE42" i="5"/>
  <c r="AE18" i="5"/>
  <c r="AM18" i="5"/>
  <c r="AT223" i="5"/>
  <c r="AE73" i="5"/>
  <c r="AM187" i="5"/>
  <c r="AE86" i="5"/>
  <c r="AM86" i="5"/>
  <c r="AE97" i="5"/>
  <c r="AE76" i="5"/>
  <c r="AM76" i="5"/>
  <c r="AE13" i="5"/>
  <c r="AM13" i="5"/>
  <c r="AT26" i="5"/>
  <c r="AT224" i="5"/>
  <c r="AM97" i="5"/>
  <c r="AT73" i="5"/>
  <c r="AM73" i="5"/>
  <c r="AE44" i="5"/>
  <c r="AM44" i="5"/>
  <c r="AE174" i="5"/>
  <c r="AM174" i="5"/>
  <c r="AE68" i="5"/>
  <c r="AM68" i="5"/>
  <c r="AM30" i="5"/>
  <c r="AE30" i="5"/>
  <c r="AT199" i="5"/>
  <c r="AM33" i="5"/>
  <c r="AE33" i="5"/>
  <c r="AE81" i="5"/>
  <c r="AM81" i="5"/>
  <c r="AT181" i="5"/>
  <c r="AE221" i="5"/>
  <c r="AM154" i="5"/>
  <c r="AE154" i="5"/>
  <c r="AM119" i="5"/>
  <c r="AE119" i="5"/>
  <c r="AM221" i="5"/>
  <c r="AE62" i="5"/>
  <c r="AM62" i="5"/>
  <c r="AM96" i="5"/>
  <c r="AE96" i="5"/>
  <c r="AT191" i="5"/>
  <c r="AE177" i="5"/>
  <c r="AM115" i="5"/>
  <c r="AE115" i="5"/>
  <c r="AE170" i="5"/>
  <c r="AM177" i="5"/>
  <c r="AM159" i="5"/>
  <c r="AE159" i="5"/>
  <c r="AE104" i="5"/>
  <c r="AM104" i="5"/>
  <c r="AM9" i="5"/>
  <c r="AE9" i="5"/>
  <c r="AM131" i="5"/>
  <c r="AE131" i="5"/>
  <c r="AM107" i="5"/>
  <c r="AE107" i="5"/>
  <c r="AM72" i="5"/>
  <c r="AE72" i="5"/>
  <c r="AE2" i="5"/>
  <c r="AM2" i="5"/>
  <c r="AM153" i="5"/>
  <c r="AE153" i="5"/>
  <c r="AM77" i="5"/>
  <c r="AE77" i="5"/>
  <c r="AT121" i="5"/>
  <c r="AT385" i="5"/>
  <c r="AT45" i="5"/>
  <c r="AT225" i="5"/>
  <c r="AT307" i="5"/>
  <c r="AT296" i="5"/>
  <c r="AT53" i="5"/>
  <c r="AT212" i="5"/>
  <c r="AT372" i="5"/>
  <c r="AT337" i="5"/>
  <c r="AT100" i="5"/>
  <c r="AT436" i="5"/>
  <c r="AT99" i="5"/>
  <c r="AT65" i="5"/>
  <c r="AT113" i="5"/>
  <c r="AT303" i="5"/>
  <c r="AT209" i="5"/>
  <c r="AT123" i="5"/>
  <c r="AM168" i="5"/>
  <c r="AE168" i="5"/>
  <c r="AE63" i="5"/>
  <c r="AM63" i="5"/>
  <c r="AM70" i="5"/>
  <c r="AE70" i="5"/>
  <c r="AE71" i="5"/>
  <c r="AM71" i="5"/>
  <c r="AT132" i="5"/>
  <c r="AT280" i="5"/>
  <c r="AT200" i="5"/>
  <c r="AT382" i="5"/>
  <c r="AT442" i="5"/>
  <c r="AT365" i="5"/>
  <c r="AT31" i="5"/>
  <c r="AM85" i="5"/>
  <c r="AE85" i="5"/>
  <c r="AM52" i="5"/>
  <c r="AE52" i="5"/>
  <c r="AT464" i="5"/>
  <c r="AT187" i="5"/>
  <c r="AT3" i="5"/>
  <c r="AT111" i="5"/>
  <c r="AT142" i="5"/>
  <c r="AM38" i="5"/>
  <c r="AE38" i="5"/>
  <c r="AT67" i="5"/>
  <c r="AM112" i="5"/>
  <c r="AE112" i="5"/>
  <c r="AM214" i="5"/>
  <c r="AE214" i="5"/>
  <c r="AE25" i="5"/>
  <c r="AM25" i="5"/>
  <c r="AM75" i="5"/>
  <c r="AE75" i="5"/>
  <c r="AM99" i="5"/>
  <c r="AE99" i="5"/>
  <c r="AE92" i="5"/>
  <c r="AM92" i="5"/>
  <c r="AE180" i="5"/>
  <c r="AM180" i="5"/>
  <c r="AM66" i="5"/>
  <c r="AE66" i="5"/>
  <c r="AK184" i="5" a="1"/>
  <c r="AT502" i="5"/>
  <c r="AM6" i="5"/>
  <c r="AE67" i="5"/>
  <c r="AT122" i="5"/>
  <c r="AT383" i="5"/>
  <c r="AT217" i="5"/>
  <c r="AT314" i="5"/>
  <c r="AT57" i="5"/>
  <c r="AT186" i="5"/>
  <c r="AT481" i="5"/>
  <c r="AT379" i="5"/>
  <c r="AT384" i="5"/>
  <c r="AT61" i="5"/>
  <c r="AT474" i="5"/>
  <c r="AT207" i="5"/>
  <c r="AT357" i="5"/>
  <c r="AT368" i="5"/>
  <c r="AT364" i="5"/>
  <c r="AT501" i="5"/>
  <c r="AT504" i="5"/>
  <c r="AT13" i="5"/>
  <c r="AT302" i="5"/>
  <c r="AT28" i="5"/>
  <c r="AT438" i="5"/>
  <c r="AT404" i="5"/>
  <c r="AT470" i="5"/>
  <c r="AT189" i="5"/>
  <c r="AT453" i="5"/>
  <c r="AT116" i="5"/>
  <c r="AT347" i="5"/>
  <c r="AT141" i="5"/>
  <c r="AT505" i="5"/>
  <c r="AT288" i="5"/>
  <c r="AE198" i="5"/>
  <c r="AM198" i="5"/>
  <c r="AT149" i="5"/>
  <c r="AT423" i="5"/>
  <c r="AT444" i="5"/>
  <c r="AT193" i="5"/>
  <c r="AT476" i="5"/>
  <c r="AT176" i="5"/>
  <c r="AM172" i="5"/>
  <c r="AE172" i="5"/>
  <c r="AE51" i="5"/>
  <c r="AM51" i="5"/>
  <c r="AT431" i="5"/>
  <c r="AT455" i="5"/>
  <c r="AT475" i="5"/>
  <c r="AT172" i="5"/>
  <c r="AT449" i="5"/>
  <c r="AT43" i="5"/>
  <c r="AE27" i="5"/>
  <c r="AM27" i="5"/>
  <c r="AE143" i="5"/>
  <c r="AM143" i="5"/>
  <c r="AE64" i="5"/>
  <c r="AM64" i="5"/>
  <c r="AM95" i="5"/>
  <c r="AE95" i="5"/>
  <c r="AM58" i="5"/>
  <c r="AE58" i="5"/>
  <c r="AE209" i="5"/>
  <c r="AM209" i="5"/>
  <c r="AE94" i="5"/>
  <c r="AM94" i="5"/>
  <c r="AE155" i="5"/>
  <c r="AM155" i="5"/>
  <c r="AE23" i="5"/>
  <c r="AM23" i="5"/>
  <c r="AE15" i="5"/>
  <c r="AM15" i="5"/>
  <c r="AM218" i="5"/>
  <c r="AE218" i="5"/>
  <c r="AM83" i="5"/>
  <c r="AE83" i="5"/>
  <c r="AE6" i="5"/>
  <c r="AM67" i="5"/>
  <c r="AT15" i="5"/>
  <c r="AE16" i="5"/>
  <c r="AT153" i="5"/>
  <c r="AT179" i="5"/>
  <c r="AT221" i="5"/>
  <c r="AT135" i="5"/>
  <c r="AT346" i="5"/>
  <c r="AT426" i="5"/>
  <c r="AT358" i="5"/>
  <c r="AT130" i="5"/>
  <c r="AT460" i="5"/>
  <c r="AT446" i="5"/>
  <c r="AT321" i="5"/>
  <c r="AT487" i="5"/>
  <c r="AT14" i="5"/>
  <c r="AT496" i="5"/>
  <c r="AT11" i="5"/>
  <c r="AT287" i="5"/>
  <c r="AT24" i="5"/>
  <c r="AT120" i="5"/>
  <c r="AT23" i="5"/>
  <c r="AT395" i="5"/>
  <c r="AE188" i="5"/>
  <c r="AM188" i="5"/>
  <c r="AE109" i="5"/>
  <c r="AT136" i="5"/>
  <c r="AT340" i="5"/>
  <c r="AT491" i="5"/>
  <c r="AT140" i="5"/>
  <c r="AT283" i="5"/>
  <c r="AT7" i="5"/>
  <c r="AE78" i="5"/>
  <c r="AM78" i="5"/>
  <c r="AM206" i="5"/>
  <c r="AE206" i="5"/>
  <c r="AE205" i="5"/>
  <c r="AM205" i="5"/>
  <c r="AT188" i="5"/>
  <c r="AT468" i="5"/>
  <c r="AT473" i="5"/>
  <c r="AM132" i="5"/>
  <c r="AE132" i="5"/>
  <c r="AM129" i="5"/>
  <c r="AE129" i="5"/>
  <c r="AM98" i="5"/>
  <c r="AE98" i="5"/>
  <c r="AE41" i="5"/>
  <c r="AM41" i="5"/>
  <c r="AE60" i="5"/>
  <c r="AM60" i="5"/>
  <c r="AM46" i="5"/>
  <c r="AE46" i="5"/>
  <c r="AE106" i="5"/>
  <c r="AM106" i="5"/>
  <c r="AE114" i="5"/>
  <c r="AM114" i="5"/>
  <c r="AM80" i="5"/>
  <c r="AE80" i="5"/>
  <c r="AT38" i="5"/>
  <c r="AT5" i="5"/>
  <c r="AM16" i="5"/>
  <c r="AT289" i="5"/>
  <c r="AT333" i="5"/>
  <c r="AT429" i="5"/>
  <c r="AT313" i="5"/>
  <c r="AT4" i="5"/>
  <c r="AT463" i="5"/>
  <c r="AT471" i="5"/>
  <c r="AT349" i="5"/>
  <c r="AT450" i="5"/>
  <c r="AT447" i="5"/>
  <c r="AT393" i="5"/>
  <c r="AT284" i="5"/>
  <c r="AT324" i="5"/>
  <c r="AT46" i="5"/>
  <c r="AT407" i="5"/>
  <c r="AT152" i="5"/>
  <c r="AT320" i="5"/>
  <c r="AM40" i="5"/>
  <c r="AE40" i="5"/>
  <c r="AM121" i="5"/>
  <c r="AT295" i="5"/>
  <c r="AT401" i="5"/>
  <c r="AT40" i="5"/>
  <c r="AT30" i="5"/>
  <c r="AT362" i="5"/>
  <c r="AM24" i="5"/>
  <c r="AT419" i="5"/>
  <c r="AT345" i="5"/>
  <c r="AT44" i="5"/>
  <c r="AK47" i="5" a="1"/>
  <c r="AM17" i="5"/>
  <c r="AE17" i="5"/>
  <c r="AM173" i="5"/>
  <c r="AE173" i="5"/>
  <c r="AM4" i="5"/>
  <c r="AE4" i="5"/>
  <c r="AM117" i="5"/>
  <c r="AE117" i="5"/>
  <c r="AE124" i="5"/>
  <c r="AM124" i="5"/>
  <c r="AM19" i="5"/>
  <c r="AE19" i="5"/>
  <c r="AE10" i="5"/>
  <c r="AM10" i="5"/>
  <c r="AE35" i="5"/>
  <c r="AM35" i="5"/>
  <c r="AM137" i="5"/>
  <c r="AE137" i="5"/>
  <c r="AE195" i="5"/>
  <c r="AM195" i="5"/>
  <c r="AE105" i="5"/>
  <c r="AM105" i="5"/>
  <c r="AM109" i="5"/>
  <c r="AE55" i="5"/>
  <c r="AE121" i="5"/>
  <c r="AT192" i="5"/>
  <c r="AT330" i="5"/>
  <c r="AT124" i="5"/>
  <c r="AT392" i="5"/>
  <c r="AT148" i="5"/>
  <c r="AT88" i="5"/>
  <c r="AT342" i="5"/>
  <c r="AT388" i="5"/>
  <c r="AT85" i="5"/>
  <c r="AT441" i="5"/>
  <c r="AT32" i="5"/>
  <c r="AT34" i="5"/>
  <c r="AT168" i="5"/>
  <c r="AT93" i="5"/>
  <c r="AT161" i="5"/>
  <c r="AT443" i="5"/>
  <c r="AT389" i="5"/>
  <c r="AT437" i="5"/>
  <c r="AT366" i="5"/>
  <c r="AT156" i="5"/>
  <c r="AT499" i="5"/>
  <c r="AT94" i="5"/>
  <c r="AT16" i="5"/>
  <c r="AT68" i="5"/>
  <c r="AT301" i="5"/>
  <c r="AT197" i="5"/>
  <c r="AT97" i="5"/>
  <c r="AT469" i="5"/>
  <c r="AT432" i="5"/>
  <c r="AT277" i="5"/>
  <c r="AT62" i="5"/>
  <c r="AT22" i="5"/>
  <c r="AT412" i="5"/>
  <c r="AE103" i="5"/>
  <c r="AM103" i="5"/>
  <c r="AM127" i="5"/>
  <c r="AE127" i="5"/>
  <c r="AE193" i="5"/>
  <c r="AM193" i="5"/>
  <c r="AE12" i="5"/>
  <c r="AM12" i="5"/>
  <c r="AE57" i="5"/>
  <c r="AM57" i="5"/>
  <c r="AT8" i="5"/>
  <c r="AE24" i="5"/>
  <c r="AM50" i="5"/>
  <c r="AT282" i="5"/>
  <c r="AT137" i="5"/>
  <c r="AT9" i="5"/>
  <c r="AT115" i="5"/>
  <c r="AT51" i="5"/>
  <c r="AT328" i="5"/>
  <c r="AT69" i="5"/>
  <c r="AM192" i="5"/>
  <c r="AE192" i="5"/>
  <c r="AE3" i="5"/>
  <c r="AM22" i="5"/>
  <c r="AT356" i="5"/>
  <c r="AM175" i="5"/>
  <c r="AE175" i="5"/>
  <c r="AM3" i="5"/>
  <c r="AT2" i="5"/>
  <c r="AM120" i="5"/>
  <c r="AE120" i="5"/>
  <c r="AM31" i="5"/>
  <c r="AE31" i="5"/>
  <c r="AE223" i="5"/>
  <c r="AM223" i="5"/>
  <c r="AM116" i="5"/>
  <c r="AE116" i="5"/>
  <c r="AE142" i="5"/>
  <c r="AM142" i="5"/>
  <c r="AE65" i="5"/>
  <c r="AM65" i="5"/>
  <c r="AM55" i="5"/>
  <c r="AT21" i="5"/>
  <c r="AE122" i="5"/>
  <c r="AE50" i="5"/>
  <c r="AT184" i="5"/>
  <c r="AT343" i="5"/>
  <c r="AT133" i="5"/>
  <c r="AT403" i="5"/>
  <c r="AT336" i="5"/>
  <c r="AT457" i="5"/>
  <c r="AT102" i="5"/>
  <c r="AT387" i="5"/>
  <c r="AT484" i="5"/>
  <c r="AT308" i="5"/>
  <c r="AT322" i="5"/>
  <c r="AT483" i="5"/>
  <c r="AT376" i="5"/>
  <c r="AT195" i="5"/>
  <c r="AT406" i="5"/>
  <c r="AT433" i="5"/>
  <c r="AT420" i="5"/>
  <c r="AT169" i="5"/>
  <c r="AT354" i="5"/>
  <c r="AE89" i="5"/>
  <c r="AM89" i="5"/>
  <c r="AM79" i="5"/>
  <c r="AE79" i="5"/>
  <c r="AE84" i="5"/>
  <c r="AM84" i="5"/>
  <c r="AM176" i="5"/>
  <c r="AE176" i="5"/>
  <c r="AM128" i="5"/>
  <c r="AE128" i="5"/>
  <c r="AE49" i="5"/>
  <c r="AM49" i="5"/>
  <c r="AE22" i="5"/>
  <c r="AM122" i="5"/>
  <c r="AT373" i="5"/>
  <c r="AT54" i="5"/>
  <c r="AT291" i="5"/>
  <c r="AT309" i="5"/>
  <c r="AT52" i="5"/>
  <c r="AT119" i="5"/>
  <c r="AT448" i="5"/>
  <c r="AT405" i="5"/>
  <c r="AE160" i="5"/>
  <c r="AM160" i="5"/>
  <c r="AE88" i="5"/>
  <c r="AM88" i="5"/>
  <c r="AE139" i="5"/>
  <c r="AM139" i="5"/>
  <c r="AT96" i="5"/>
  <c r="AM37" i="5"/>
  <c r="AE37" i="5"/>
  <c r="AE190" i="5"/>
  <c r="AM190" i="5"/>
  <c r="AE90" i="5"/>
  <c r="AM90" i="5"/>
  <c r="AM7" i="5"/>
  <c r="AE7" i="5"/>
  <c r="AM91" i="5"/>
  <c r="AE91" i="5"/>
  <c r="AE140" i="5"/>
  <c r="AM140" i="5"/>
  <c r="AE194" i="5"/>
  <c r="AM194" i="5"/>
  <c r="AE207" i="5"/>
  <c r="AM207" i="5"/>
  <c r="AM202" i="5"/>
  <c r="AE202" i="5"/>
  <c r="AM111" i="5"/>
  <c r="AE111" i="5"/>
  <c r="AE82" i="5"/>
  <c r="AM82" i="5"/>
  <c r="AM151" i="5"/>
  <c r="AE151" i="5"/>
  <c r="AM8" i="5"/>
  <c r="AE8" i="5"/>
  <c r="AE32" i="5"/>
  <c r="AM32" i="5"/>
  <c r="AT64" i="5"/>
  <c r="AT66" i="5"/>
  <c r="AT125" i="5"/>
  <c r="AT402" i="5"/>
  <c r="AT315" i="5"/>
  <c r="AT348" i="5"/>
  <c r="AT341" i="5"/>
  <c r="AT106" i="5"/>
  <c r="AT134" i="5"/>
  <c r="AT494" i="5"/>
  <c r="AT86" i="5"/>
  <c r="AT428" i="5"/>
  <c r="AT131" i="5"/>
  <c r="AT36" i="5"/>
  <c r="AT174" i="5"/>
  <c r="AT424" i="5"/>
  <c r="AT312" i="5"/>
  <c r="AT355" i="5"/>
  <c r="AT10" i="5"/>
  <c r="AT434" i="5"/>
  <c r="AT495" i="5"/>
  <c r="AT323" i="5"/>
  <c r="AT80" i="5"/>
  <c r="AT145" i="5"/>
  <c r="AT367" i="5"/>
  <c r="AT482" i="5"/>
  <c r="AT222" i="5"/>
  <c r="AT332" i="5"/>
  <c r="AT98" i="5"/>
  <c r="AT79" i="5"/>
  <c r="AT319" i="5"/>
  <c r="AT17" i="5"/>
  <c r="AT151" i="5"/>
  <c r="AT290" i="5"/>
  <c r="AT380" i="5"/>
  <c r="AT435" i="5"/>
  <c r="AT497" i="5"/>
  <c r="AT49" i="5"/>
  <c r="AT109" i="5"/>
  <c r="AT41" i="5"/>
  <c r="AT489" i="5"/>
  <c r="AT427" i="5"/>
  <c r="AT498" i="5"/>
  <c r="AT104" i="5"/>
  <c r="AE163" i="5"/>
  <c r="AM163" i="5"/>
  <c r="AM74" i="5"/>
  <c r="AT391" i="5"/>
  <c r="AT500" i="5"/>
  <c r="AT467" i="5"/>
  <c r="AT89" i="5"/>
  <c r="AM208" i="5"/>
  <c r="AE208" i="5"/>
  <c r="AE74" i="5"/>
  <c r="AM196" i="5"/>
  <c r="AE196" i="5"/>
  <c r="AE110" i="5"/>
  <c r="AM110" i="5"/>
  <c r="AM29" i="5"/>
  <c r="AE29" i="5"/>
  <c r="AM166" i="5"/>
  <c r="AE166" i="5"/>
  <c r="AE93" i="5"/>
  <c r="AM93" i="5"/>
  <c r="AE171" i="5"/>
  <c r="AM171" i="5"/>
  <c r="AM43" i="5"/>
  <c r="AE43" i="5"/>
  <c r="AE14" i="5"/>
  <c r="AM14" i="5"/>
  <c r="AT310" i="5"/>
  <c r="AK5" i="5" a="1"/>
  <c r="AT410" i="5"/>
  <c r="AT178" i="5"/>
  <c r="AT304" i="5"/>
  <c r="AT138" i="5"/>
  <c r="AT201" i="5"/>
  <c r="AT101" i="5"/>
  <c r="AT300" i="5"/>
  <c r="AT47" i="5"/>
  <c r="AT150" i="5"/>
  <c r="AT305" i="5"/>
  <c r="AT55" i="5"/>
  <c r="AT196" i="5"/>
  <c r="AT211" i="5"/>
  <c r="AT155" i="5"/>
  <c r="AT418" i="5"/>
  <c r="AT78" i="5"/>
  <c r="AT409" i="5"/>
  <c r="AT90" i="5"/>
  <c r="AT77" i="5"/>
  <c r="AT139" i="5"/>
  <c r="AT381" i="5"/>
  <c r="AT456" i="5"/>
  <c r="AT335" i="5"/>
  <c r="AT205" i="5"/>
  <c r="AT208" i="5"/>
  <c r="AT352" i="5"/>
  <c r="AT344" i="5"/>
  <c r="AT6" i="5"/>
  <c r="AM169" i="5"/>
  <c r="AE169" i="5"/>
  <c r="AE141" i="5"/>
  <c r="AM141" i="5"/>
  <c r="AT107" i="5"/>
  <c r="AT59" i="5"/>
  <c r="AM200" i="5"/>
  <c r="AE200" i="5"/>
  <c r="AE20" i="5"/>
  <c r="AM20" i="5"/>
  <c r="AT396" i="5"/>
  <c r="AT414" i="5"/>
  <c r="AT394" i="5"/>
  <c r="AT27" i="5"/>
  <c r="AT158" i="5"/>
  <c r="AT281" i="5"/>
  <c r="AT206" i="5"/>
  <c r="AT421" i="5"/>
  <c r="AT159" i="5"/>
  <c r="AT74" i="5"/>
  <c r="AT126" i="5"/>
  <c r="AT334" i="5"/>
  <c r="AT215" i="5"/>
  <c r="AT361" i="5"/>
  <c r="AT105" i="5"/>
  <c r="AT143" i="5"/>
  <c r="AT486" i="5"/>
  <c r="AT39" i="5"/>
  <c r="AT488" i="5"/>
  <c r="AT29" i="5"/>
  <c r="AT157" i="5"/>
  <c r="AT459" i="5"/>
  <c r="AT146" i="5"/>
  <c r="AT33" i="5"/>
  <c r="AT144" i="5"/>
  <c r="AT20" i="5"/>
  <c r="AT285" i="5"/>
  <c r="AT359" i="5"/>
  <c r="AT485" i="5"/>
  <c r="AT147" i="5"/>
  <c r="AT465" i="5"/>
  <c r="AT154" i="5"/>
  <c r="BB135" i="5" l="1"/>
  <c r="BD135" i="5" s="1"/>
  <c r="BB6" i="5"/>
  <c r="BM6" i="5" s="1"/>
  <c r="BB172" i="5"/>
  <c r="BD172" i="5" s="1"/>
  <c r="BB82" i="5"/>
  <c r="BM82" i="5" s="1"/>
  <c r="AU82" i="5"/>
  <c r="AV82" i="5" s="1"/>
  <c r="AY82" i="5" s="1"/>
  <c r="BB16" i="5"/>
  <c r="BC16" i="5" s="1"/>
  <c r="BB174" i="5"/>
  <c r="BD174" i="5" s="1"/>
  <c r="AR218" i="5"/>
  <c r="AS218" i="5" s="1"/>
  <c r="AR114" i="5"/>
  <c r="AS114" i="5" s="1"/>
  <c r="BB11" i="5"/>
  <c r="BM11" i="5" s="1"/>
  <c r="AR35" i="5"/>
  <c r="AS35" i="5" s="1"/>
  <c r="AR203" i="5"/>
  <c r="AS203" i="5" s="1"/>
  <c r="BD210" i="5"/>
  <c r="BF210" i="5"/>
  <c r="BM210" i="5"/>
  <c r="BB95" i="5"/>
  <c r="BF95" i="5" s="1"/>
  <c r="AR56" i="5"/>
  <c r="AS56" i="5" s="1"/>
  <c r="BB90" i="5"/>
  <c r="BF90" i="5" s="1"/>
  <c r="AR110" i="5"/>
  <c r="AS110" i="5" s="1"/>
  <c r="BB209" i="5"/>
  <c r="BF209" i="5" s="1"/>
  <c r="BB100" i="5"/>
  <c r="BC100" i="5" s="1"/>
  <c r="BF202" i="5"/>
  <c r="AR58" i="5"/>
  <c r="AS58" i="5" s="1"/>
  <c r="BD202" i="5"/>
  <c r="BC202" i="5"/>
  <c r="AR83" i="5"/>
  <c r="AS83" i="5" s="1"/>
  <c r="BB88" i="5"/>
  <c r="BM88" i="5" s="1"/>
  <c r="AU165" i="5"/>
  <c r="AV165" i="5" s="1"/>
  <c r="AY165" i="5" s="1"/>
  <c r="AR182" i="5"/>
  <c r="AS182" i="5" s="1"/>
  <c r="AY183" i="5"/>
  <c r="BB225" i="5"/>
  <c r="BC225" i="5" s="1"/>
  <c r="AR112" i="5"/>
  <c r="AS112" i="5" s="1"/>
  <c r="BF48" i="5"/>
  <c r="BB169" i="5"/>
  <c r="BD169" i="5" s="1"/>
  <c r="BB27" i="5"/>
  <c r="BC27" i="5" s="1"/>
  <c r="BB205" i="5"/>
  <c r="BM205" i="5" s="1"/>
  <c r="AY167" i="5"/>
  <c r="BB49" i="5"/>
  <c r="BM49" i="5" s="1"/>
  <c r="AY213" i="5"/>
  <c r="BB32" i="5"/>
  <c r="BD32" i="5" s="1"/>
  <c r="BD48" i="5"/>
  <c r="AY163" i="5"/>
  <c r="BM48" i="5"/>
  <c r="BB168" i="5"/>
  <c r="BC168" i="5" s="1"/>
  <c r="AY48" i="5"/>
  <c r="AR127" i="5"/>
  <c r="AS127" i="5" s="1"/>
  <c r="AR91" i="5"/>
  <c r="AS91" i="5" s="1"/>
  <c r="AR92" i="5"/>
  <c r="AS92" i="5" s="1"/>
  <c r="BB3" i="5"/>
  <c r="BF3" i="5" s="1"/>
  <c r="AY162" i="5"/>
  <c r="AF189" i="5"/>
  <c r="AN189" i="5"/>
  <c r="BC198" i="5"/>
  <c r="BC213" i="5"/>
  <c r="BM213" i="5"/>
  <c r="BD103" i="5"/>
  <c r="AY198" i="5"/>
  <c r="BD213" i="5"/>
  <c r="BC160" i="5"/>
  <c r="BM103" i="5"/>
  <c r="BB61" i="5"/>
  <c r="BC61" i="5" s="1"/>
  <c r="BC103" i="5"/>
  <c r="BF198" i="5"/>
  <c r="BM160" i="5"/>
  <c r="AU95" i="5"/>
  <c r="AV95" i="5" s="1"/>
  <c r="AY95" i="5" s="1"/>
  <c r="AN118" i="5"/>
  <c r="AF118" i="5"/>
  <c r="AU173" i="5"/>
  <c r="AV173" i="5" s="1"/>
  <c r="AY173" i="5" s="1"/>
  <c r="AF157" i="5"/>
  <c r="AN157" i="5"/>
  <c r="BB140" i="5"/>
  <c r="BC140" i="5" s="1"/>
  <c r="BD198" i="5"/>
  <c r="AY214" i="5"/>
  <c r="BB173" i="5"/>
  <c r="BM173" i="5" s="1"/>
  <c r="AR204" i="5"/>
  <c r="AS204" i="5" s="1"/>
  <c r="BB7" i="5"/>
  <c r="BM7" i="5" s="1"/>
  <c r="BD183" i="5"/>
  <c r="AY210" i="5"/>
  <c r="AR171" i="5"/>
  <c r="AS171" i="5" s="1"/>
  <c r="AR76" i="5"/>
  <c r="AS76" i="5" s="1"/>
  <c r="AR118" i="5"/>
  <c r="AS118" i="5" s="1"/>
  <c r="BB59" i="5"/>
  <c r="BD59" i="5" s="1"/>
  <c r="AY202" i="5"/>
  <c r="BB75" i="5"/>
  <c r="AR129" i="5"/>
  <c r="AS129" i="5" s="1"/>
  <c r="AR81" i="5"/>
  <c r="AS81" i="5" s="1"/>
  <c r="AR37" i="5"/>
  <c r="AS37" i="5" s="1"/>
  <c r="AR108" i="5"/>
  <c r="AS108" i="5" s="1"/>
  <c r="AY160" i="5"/>
  <c r="BB77" i="5"/>
  <c r="BF77" i="5" s="1"/>
  <c r="BB200" i="5"/>
  <c r="BF200" i="5" s="1"/>
  <c r="BB4" i="5"/>
  <c r="BD4" i="5" s="1"/>
  <c r="BB105" i="5"/>
  <c r="BF105" i="5" s="1"/>
  <c r="BB179" i="5"/>
  <c r="BF179" i="5" s="1"/>
  <c r="AR25" i="5"/>
  <c r="AS25" i="5" s="1"/>
  <c r="BF183" i="5"/>
  <c r="BB30" i="5"/>
  <c r="BM30" i="5" s="1"/>
  <c r="BB22" i="5"/>
  <c r="BD22" i="5" s="1"/>
  <c r="BB62" i="5"/>
  <c r="BF62" i="5" s="1"/>
  <c r="BB43" i="5"/>
  <c r="BF43" i="5" s="1"/>
  <c r="BM183" i="5"/>
  <c r="BB125" i="5"/>
  <c r="BC125" i="5" s="1"/>
  <c r="AR19" i="5"/>
  <c r="AS19" i="5" s="1"/>
  <c r="BD160" i="5"/>
  <c r="AN201" i="5"/>
  <c r="AN219" i="5"/>
  <c r="AF201" i="5"/>
  <c r="AU220" i="5"/>
  <c r="AV220" i="5" s="1"/>
  <c r="AY220" i="5" s="1"/>
  <c r="AF219" i="5"/>
  <c r="AF125" i="5"/>
  <c r="AN125" i="5"/>
  <c r="AU75" i="5"/>
  <c r="AV75" i="5" s="1"/>
  <c r="AY75" i="5" s="1"/>
  <c r="BM167" i="5"/>
  <c r="BB176" i="5"/>
  <c r="BF176" i="5" s="1"/>
  <c r="BB175" i="5"/>
  <c r="BC175" i="5" s="1"/>
  <c r="BF167" i="5"/>
  <c r="BC164" i="5"/>
  <c r="BB53" i="5"/>
  <c r="BM53" i="5" s="1"/>
  <c r="BD164" i="5"/>
  <c r="BM164" i="5"/>
  <c r="BC162" i="5"/>
  <c r="BD162" i="5"/>
  <c r="AY103" i="5"/>
  <c r="BB87" i="5"/>
  <c r="BB223" i="5"/>
  <c r="BB220" i="5"/>
  <c r="BF162" i="5"/>
  <c r="BB199" i="5"/>
  <c r="BM199" i="5" s="1"/>
  <c r="BB73" i="5"/>
  <c r="BC73" i="5" s="1"/>
  <c r="AY164" i="5"/>
  <c r="BC167" i="5"/>
  <c r="AU166" i="5"/>
  <c r="AV166" i="5" s="1"/>
  <c r="AY166" i="5" s="1"/>
  <c r="AF150" i="5"/>
  <c r="AN150" i="5"/>
  <c r="AN183" i="5"/>
  <c r="AF183" i="5"/>
  <c r="AN165" i="5"/>
  <c r="AU185" i="5"/>
  <c r="AV185" i="5" s="1"/>
  <c r="AY185" i="5" s="1"/>
  <c r="AF165" i="5"/>
  <c r="AN182" i="5"/>
  <c r="AF145" i="5"/>
  <c r="AN145" i="5"/>
  <c r="AF182" i="5"/>
  <c r="AF126" i="5"/>
  <c r="AN126" i="5"/>
  <c r="AN185" i="5"/>
  <c r="AF185" i="5"/>
  <c r="AN220" i="5"/>
  <c r="AF220" i="5"/>
  <c r="AF224" i="5"/>
  <c r="AN224" i="5"/>
  <c r="AN162" i="5"/>
  <c r="AF162" i="5"/>
  <c r="AN212" i="5"/>
  <c r="AF212" i="5"/>
  <c r="BF165" i="5"/>
  <c r="BC165" i="5"/>
  <c r="BD165" i="5"/>
  <c r="BM165" i="5"/>
  <c r="BB191" i="5"/>
  <c r="BC191" i="5" s="1"/>
  <c r="BC214" i="5"/>
  <c r="BF214" i="5"/>
  <c r="BD214" i="5"/>
  <c r="BM214" i="5"/>
  <c r="BF166" i="5"/>
  <c r="BB185" i="5"/>
  <c r="BB142" i="5"/>
  <c r="BC142" i="5" s="1"/>
  <c r="BB139" i="5"/>
  <c r="BM139" i="5" s="1"/>
  <c r="BB14" i="5"/>
  <c r="BM14" i="5" s="1"/>
  <c r="BB180" i="5"/>
  <c r="BB137" i="5"/>
  <c r="BC137" i="5" s="1"/>
  <c r="AR18" i="5"/>
  <c r="AS18" i="5" s="1"/>
  <c r="BB196" i="5"/>
  <c r="BM196" i="5" s="1"/>
  <c r="BB102" i="5"/>
  <c r="BF102" i="5" s="1"/>
  <c r="BB181" i="5"/>
  <c r="BB219" i="5"/>
  <c r="AR219" i="5"/>
  <c r="AS219" i="5" s="1"/>
  <c r="BB52" i="5"/>
  <c r="BM52" i="5" s="1"/>
  <c r="AN177" i="5"/>
  <c r="AF170" i="5"/>
  <c r="AF115" i="5"/>
  <c r="AN115" i="5"/>
  <c r="AF177" i="5"/>
  <c r="AU191" i="5"/>
  <c r="AV191" i="5" s="1"/>
  <c r="AY191" i="5" s="1"/>
  <c r="AF96" i="5"/>
  <c r="AN96" i="5"/>
  <c r="AN62" i="5"/>
  <c r="AF62" i="5"/>
  <c r="AN221" i="5"/>
  <c r="AF119" i="5"/>
  <c r="AN119" i="5"/>
  <c r="AF154" i="5"/>
  <c r="AN154" i="5"/>
  <c r="AF221" i="5"/>
  <c r="AU181" i="5"/>
  <c r="AV181" i="5" s="1"/>
  <c r="AY181" i="5" s="1"/>
  <c r="AN81" i="5"/>
  <c r="AF81" i="5"/>
  <c r="AF33" i="5"/>
  <c r="AN33" i="5"/>
  <c r="AU199" i="5"/>
  <c r="AV199" i="5" s="1"/>
  <c r="AY199" i="5" s="1"/>
  <c r="AF30" i="5"/>
  <c r="AN30" i="5"/>
  <c r="AN68" i="5"/>
  <c r="AF68" i="5"/>
  <c r="AN174" i="5"/>
  <c r="AF174" i="5"/>
  <c r="AN44" i="5"/>
  <c r="AF44" i="5"/>
  <c r="AN73" i="5"/>
  <c r="AU73" i="5"/>
  <c r="AV73" i="5" s="1"/>
  <c r="AY73" i="5" s="1"/>
  <c r="AN97" i="5"/>
  <c r="AU224" i="5"/>
  <c r="AV224" i="5" s="1"/>
  <c r="AY224" i="5" s="1"/>
  <c r="AU26" i="5"/>
  <c r="AV26" i="5" s="1"/>
  <c r="AY26" i="5" s="1"/>
  <c r="AN13" i="5"/>
  <c r="AF13" i="5"/>
  <c r="AN76" i="5"/>
  <c r="AF76" i="5"/>
  <c r="AF97" i="5"/>
  <c r="AN86" i="5"/>
  <c r="AF86" i="5"/>
  <c r="AN187" i="5"/>
  <c r="AF73" i="5"/>
  <c r="AU223" i="5"/>
  <c r="AV223" i="5" s="1"/>
  <c r="AY223" i="5" s="1"/>
  <c r="AN18" i="5"/>
  <c r="AF18" i="5"/>
  <c r="AF42" i="5"/>
  <c r="AN42" i="5"/>
  <c r="AF21" i="5"/>
  <c r="AN21" i="5"/>
  <c r="AF187" i="5"/>
  <c r="AF56" i="5"/>
  <c r="AF204" i="5"/>
  <c r="AN204" i="5"/>
  <c r="AF222" i="5"/>
  <c r="AN222" i="5"/>
  <c r="AU87" i="5"/>
  <c r="AV87" i="5" s="1"/>
  <c r="AY87" i="5" s="1"/>
  <c r="AU175" i="5"/>
  <c r="AV175" i="5" s="1"/>
  <c r="AY175" i="5" s="1"/>
  <c r="AN56" i="5"/>
  <c r="AU180" i="5"/>
  <c r="AV180" i="5" s="1"/>
  <c r="AY180" i="5" s="1"/>
  <c r="AN170" i="5"/>
  <c r="AN181" i="5"/>
  <c r="AF181" i="5"/>
  <c r="AF147" i="5"/>
  <c r="AN147" i="5"/>
  <c r="AF26" i="5"/>
  <c r="AN26" i="5"/>
  <c r="BM166" i="5"/>
  <c r="BB122" i="5"/>
  <c r="BM122" i="5" s="1"/>
  <c r="BB121" i="5"/>
  <c r="BM121" i="5" s="1"/>
  <c r="AR170" i="5"/>
  <c r="AS170" i="5" s="1"/>
  <c r="BB170" i="5"/>
  <c r="BB26" i="5"/>
  <c r="AR117" i="5"/>
  <c r="AS117" i="5" s="1"/>
  <c r="BB117" i="5"/>
  <c r="AR194" i="5"/>
  <c r="AS194" i="5" s="1"/>
  <c r="BB194" i="5"/>
  <c r="BC166" i="5"/>
  <c r="BB66" i="5"/>
  <c r="BM66" i="5" s="1"/>
  <c r="AR177" i="5"/>
  <c r="AS177" i="5" s="1"/>
  <c r="BB177" i="5"/>
  <c r="AR216" i="5"/>
  <c r="AS216" i="5" s="1"/>
  <c r="BB216" i="5"/>
  <c r="BB38" i="5"/>
  <c r="BB224" i="5"/>
  <c r="AU154" i="5"/>
  <c r="AV154" i="5" s="1"/>
  <c r="AY154" i="5" s="1"/>
  <c r="AU465" i="5"/>
  <c r="AV465" i="5" s="1"/>
  <c r="AY465" i="5" s="1"/>
  <c r="AU147" i="5"/>
  <c r="AV147" i="5" s="1"/>
  <c r="AY147" i="5" s="1"/>
  <c r="AU485" i="5"/>
  <c r="AV485" i="5" s="1"/>
  <c r="AY485" i="5" s="1"/>
  <c r="AU359" i="5"/>
  <c r="AV359" i="5" s="1"/>
  <c r="AY359" i="5" s="1"/>
  <c r="AU285" i="5"/>
  <c r="AV285" i="5" s="1"/>
  <c r="AY285" i="5" s="1"/>
  <c r="AU20" i="5"/>
  <c r="AV20" i="5" s="1"/>
  <c r="AY20" i="5" s="1"/>
  <c r="AU144" i="5"/>
  <c r="AV144" i="5" s="1"/>
  <c r="AY144" i="5" s="1"/>
  <c r="AU33" i="5"/>
  <c r="AV33" i="5" s="1"/>
  <c r="AY33" i="5" s="1"/>
  <c r="AU146" i="5"/>
  <c r="AV146" i="5" s="1"/>
  <c r="AY146" i="5" s="1"/>
  <c r="AU459" i="5"/>
  <c r="AV459" i="5" s="1"/>
  <c r="AY459" i="5" s="1"/>
  <c r="AU157" i="5"/>
  <c r="AV157" i="5" s="1"/>
  <c r="AY157" i="5" s="1"/>
  <c r="AU29" i="5"/>
  <c r="AV29" i="5" s="1"/>
  <c r="AY29" i="5" s="1"/>
  <c r="AU488" i="5"/>
  <c r="AV488" i="5" s="1"/>
  <c r="AY488" i="5" s="1"/>
  <c r="AU39" i="5"/>
  <c r="AV39" i="5" s="1"/>
  <c r="AY39" i="5" s="1"/>
  <c r="AU486" i="5"/>
  <c r="AV486" i="5" s="1"/>
  <c r="AY486" i="5" s="1"/>
  <c r="AU143" i="5"/>
  <c r="AV143" i="5" s="1"/>
  <c r="AY143" i="5" s="1"/>
  <c r="AU105" i="5"/>
  <c r="AV105" i="5" s="1"/>
  <c r="AY105" i="5" s="1"/>
  <c r="AU361" i="5"/>
  <c r="AV361" i="5" s="1"/>
  <c r="AY361" i="5" s="1"/>
  <c r="AU215" i="5"/>
  <c r="AV215" i="5" s="1"/>
  <c r="AY215" i="5" s="1"/>
  <c r="AU334" i="5"/>
  <c r="AV334" i="5" s="1"/>
  <c r="AY334" i="5" s="1"/>
  <c r="AU126" i="5"/>
  <c r="AV126" i="5" s="1"/>
  <c r="AY126" i="5" s="1"/>
  <c r="AU74" i="5"/>
  <c r="AV74" i="5" s="1"/>
  <c r="AY74" i="5" s="1"/>
  <c r="AU159" i="5"/>
  <c r="AV159" i="5" s="1"/>
  <c r="AY159" i="5" s="1"/>
  <c r="AU421" i="5"/>
  <c r="AV421" i="5" s="1"/>
  <c r="AY421" i="5" s="1"/>
  <c r="AU206" i="5"/>
  <c r="AV206" i="5" s="1"/>
  <c r="AY206" i="5" s="1"/>
  <c r="AU281" i="5"/>
  <c r="AV281" i="5" s="1"/>
  <c r="AY281" i="5" s="1"/>
  <c r="AU158" i="5"/>
  <c r="AV158" i="5" s="1"/>
  <c r="AY158" i="5" s="1"/>
  <c r="AU27" i="5"/>
  <c r="AV27" i="5" s="1"/>
  <c r="AY27" i="5" s="1"/>
  <c r="AU394" i="5"/>
  <c r="AV394" i="5" s="1"/>
  <c r="AY394" i="5" s="1"/>
  <c r="AU414" i="5"/>
  <c r="AV414" i="5" s="1"/>
  <c r="AY414" i="5" s="1"/>
  <c r="AU396" i="5"/>
  <c r="AV396" i="5" s="1"/>
  <c r="AY396" i="5" s="1"/>
  <c r="AN20" i="5"/>
  <c r="AF20" i="5"/>
  <c r="AF200" i="5"/>
  <c r="AN200" i="5"/>
  <c r="AU59" i="5"/>
  <c r="AV59" i="5" s="1"/>
  <c r="AY59" i="5" s="1"/>
  <c r="AU107" i="5"/>
  <c r="AV107" i="5" s="1"/>
  <c r="AY107" i="5" s="1"/>
  <c r="AN141" i="5"/>
  <c r="AF141" i="5"/>
  <c r="AF169" i="5"/>
  <c r="AN169" i="5"/>
  <c r="AU6" i="5"/>
  <c r="AV6" i="5" s="1"/>
  <c r="AY6" i="5" s="1"/>
  <c r="AU344" i="5"/>
  <c r="AV344" i="5" s="1"/>
  <c r="AY344" i="5" s="1"/>
  <c r="AU352" i="5"/>
  <c r="AV352" i="5" s="1"/>
  <c r="AY352" i="5" s="1"/>
  <c r="AU208" i="5"/>
  <c r="AV208" i="5" s="1"/>
  <c r="AY208" i="5" s="1"/>
  <c r="AU205" i="5"/>
  <c r="AV205" i="5" s="1"/>
  <c r="AY205" i="5" s="1"/>
  <c r="AU335" i="5"/>
  <c r="AV335" i="5" s="1"/>
  <c r="AY335" i="5" s="1"/>
  <c r="AU456" i="5"/>
  <c r="AV456" i="5" s="1"/>
  <c r="AY456" i="5" s="1"/>
  <c r="AU381" i="5"/>
  <c r="AV381" i="5" s="1"/>
  <c r="AY381" i="5" s="1"/>
  <c r="AU139" i="5"/>
  <c r="AV139" i="5" s="1"/>
  <c r="AY139" i="5" s="1"/>
  <c r="AU77" i="5"/>
  <c r="AV77" i="5" s="1"/>
  <c r="AY77" i="5" s="1"/>
  <c r="AU90" i="5"/>
  <c r="AV90" i="5" s="1"/>
  <c r="AY90" i="5" s="1"/>
  <c r="AU409" i="5"/>
  <c r="AV409" i="5" s="1"/>
  <c r="AY409" i="5" s="1"/>
  <c r="AU78" i="5"/>
  <c r="AV78" i="5" s="1"/>
  <c r="AY78" i="5" s="1"/>
  <c r="AU418" i="5"/>
  <c r="AV418" i="5" s="1"/>
  <c r="AY418" i="5" s="1"/>
  <c r="AU155" i="5"/>
  <c r="AV155" i="5" s="1"/>
  <c r="AY155" i="5" s="1"/>
  <c r="AU211" i="5"/>
  <c r="AV211" i="5" s="1"/>
  <c r="AY211" i="5" s="1"/>
  <c r="AU196" i="5"/>
  <c r="AV196" i="5" s="1"/>
  <c r="AY196" i="5" s="1"/>
  <c r="AU55" i="5"/>
  <c r="AV55" i="5" s="1"/>
  <c r="AY55" i="5" s="1"/>
  <c r="AU305" i="5"/>
  <c r="AV305" i="5" s="1"/>
  <c r="AY305" i="5" s="1"/>
  <c r="AU150" i="5"/>
  <c r="AV150" i="5" s="1"/>
  <c r="AY150" i="5" s="1"/>
  <c r="AU47" i="5"/>
  <c r="AV47" i="5" s="1"/>
  <c r="AY47" i="5" s="1"/>
  <c r="AU300" i="5"/>
  <c r="AV300" i="5" s="1"/>
  <c r="AY300" i="5" s="1"/>
  <c r="AU101" i="5"/>
  <c r="AV101" i="5" s="1"/>
  <c r="AY101" i="5" s="1"/>
  <c r="AU201" i="5"/>
  <c r="AV201" i="5" s="1"/>
  <c r="AY201" i="5" s="1"/>
  <c r="AU138" i="5"/>
  <c r="AV138" i="5" s="1"/>
  <c r="AY138" i="5" s="1"/>
  <c r="AU304" i="5"/>
  <c r="AV304" i="5" s="1"/>
  <c r="AY304" i="5" s="1"/>
  <c r="AU178" i="5"/>
  <c r="AV178" i="5" s="1"/>
  <c r="AY178" i="5" s="1"/>
  <c r="AU410" i="5"/>
  <c r="AV410" i="5" s="1"/>
  <c r="AY410" i="5" s="1"/>
  <c r="AK5" i="5"/>
  <c r="AU310" i="5"/>
  <c r="AV310" i="5" s="1"/>
  <c r="AY310" i="5" s="1"/>
  <c r="AN14" i="5"/>
  <c r="AF14" i="5"/>
  <c r="AF43" i="5"/>
  <c r="AN43" i="5"/>
  <c r="AN171" i="5"/>
  <c r="AF171" i="5"/>
  <c r="AN93" i="5"/>
  <c r="AF93" i="5"/>
  <c r="AF166" i="5"/>
  <c r="AN166" i="5"/>
  <c r="AF29" i="5"/>
  <c r="AN29" i="5"/>
  <c r="AN110" i="5"/>
  <c r="AF110" i="5"/>
  <c r="AF196" i="5"/>
  <c r="AN196" i="5"/>
  <c r="AF74" i="5"/>
  <c r="AF208" i="5"/>
  <c r="AN208" i="5"/>
  <c r="AU89" i="5"/>
  <c r="AV89" i="5" s="1"/>
  <c r="AY89" i="5" s="1"/>
  <c r="AU467" i="5"/>
  <c r="AV467" i="5" s="1"/>
  <c r="AY467" i="5" s="1"/>
  <c r="AU500" i="5"/>
  <c r="AV500" i="5" s="1"/>
  <c r="AY500" i="5" s="1"/>
  <c r="AU391" i="5"/>
  <c r="AV391" i="5" s="1"/>
  <c r="AY391" i="5" s="1"/>
  <c r="AN74" i="5"/>
  <c r="AN163" i="5"/>
  <c r="AF163" i="5"/>
  <c r="AU104" i="5"/>
  <c r="AV104" i="5" s="1"/>
  <c r="AY104" i="5" s="1"/>
  <c r="AU498" i="5"/>
  <c r="AV498" i="5" s="1"/>
  <c r="AY498" i="5" s="1"/>
  <c r="AU427" i="5"/>
  <c r="AV427" i="5" s="1"/>
  <c r="AY427" i="5" s="1"/>
  <c r="AU489" i="5"/>
  <c r="AV489" i="5" s="1"/>
  <c r="AY489" i="5" s="1"/>
  <c r="AU41" i="5"/>
  <c r="AV41" i="5" s="1"/>
  <c r="AY41" i="5" s="1"/>
  <c r="AU109" i="5"/>
  <c r="AV109" i="5" s="1"/>
  <c r="AY109" i="5" s="1"/>
  <c r="AU49" i="5"/>
  <c r="AV49" i="5" s="1"/>
  <c r="AY49" i="5" s="1"/>
  <c r="AU497" i="5"/>
  <c r="AV497" i="5" s="1"/>
  <c r="AY497" i="5" s="1"/>
  <c r="AU435" i="5"/>
  <c r="AV435" i="5" s="1"/>
  <c r="AY435" i="5" s="1"/>
  <c r="AU380" i="5"/>
  <c r="AV380" i="5" s="1"/>
  <c r="AY380" i="5" s="1"/>
  <c r="AU290" i="5"/>
  <c r="AV290" i="5" s="1"/>
  <c r="AY290" i="5" s="1"/>
  <c r="AU151" i="5"/>
  <c r="AV151" i="5" s="1"/>
  <c r="AY151" i="5" s="1"/>
  <c r="AU17" i="5"/>
  <c r="AV17" i="5" s="1"/>
  <c r="AY17" i="5" s="1"/>
  <c r="AU319" i="5"/>
  <c r="AV319" i="5" s="1"/>
  <c r="AY319" i="5" s="1"/>
  <c r="AU79" i="5"/>
  <c r="AV79" i="5" s="1"/>
  <c r="AY79" i="5" s="1"/>
  <c r="AU98" i="5"/>
  <c r="AV98" i="5" s="1"/>
  <c r="AY98" i="5" s="1"/>
  <c r="AU332" i="5"/>
  <c r="AV332" i="5" s="1"/>
  <c r="AY332" i="5" s="1"/>
  <c r="AU222" i="5"/>
  <c r="AV222" i="5" s="1"/>
  <c r="AY222" i="5" s="1"/>
  <c r="AU482" i="5"/>
  <c r="AV482" i="5" s="1"/>
  <c r="AY482" i="5" s="1"/>
  <c r="AU367" i="5"/>
  <c r="AV367" i="5" s="1"/>
  <c r="AY367" i="5" s="1"/>
  <c r="AU145" i="5"/>
  <c r="AV145" i="5" s="1"/>
  <c r="AY145" i="5" s="1"/>
  <c r="AU80" i="5"/>
  <c r="AV80" i="5" s="1"/>
  <c r="AY80" i="5" s="1"/>
  <c r="AU323" i="5"/>
  <c r="AV323" i="5" s="1"/>
  <c r="AY323" i="5" s="1"/>
  <c r="AU495" i="5"/>
  <c r="AV495" i="5" s="1"/>
  <c r="AY495" i="5" s="1"/>
  <c r="AU434" i="5"/>
  <c r="AV434" i="5" s="1"/>
  <c r="AY434" i="5" s="1"/>
  <c r="AU10" i="5"/>
  <c r="AV10" i="5" s="1"/>
  <c r="AY10" i="5" s="1"/>
  <c r="AU355" i="5"/>
  <c r="AV355" i="5" s="1"/>
  <c r="AY355" i="5" s="1"/>
  <c r="AU312" i="5"/>
  <c r="AV312" i="5" s="1"/>
  <c r="AY312" i="5" s="1"/>
  <c r="AU424" i="5"/>
  <c r="AV424" i="5" s="1"/>
  <c r="AY424" i="5" s="1"/>
  <c r="AU174" i="5"/>
  <c r="AV174" i="5" s="1"/>
  <c r="AY174" i="5" s="1"/>
  <c r="AU36" i="5"/>
  <c r="AV36" i="5" s="1"/>
  <c r="AY36" i="5" s="1"/>
  <c r="AU131" i="5"/>
  <c r="AV131" i="5" s="1"/>
  <c r="AY131" i="5" s="1"/>
  <c r="AU428" i="5"/>
  <c r="AV428" i="5" s="1"/>
  <c r="AY428" i="5" s="1"/>
  <c r="AU86" i="5"/>
  <c r="AV86" i="5" s="1"/>
  <c r="AY86" i="5" s="1"/>
  <c r="AU494" i="5"/>
  <c r="AV494" i="5" s="1"/>
  <c r="AY494" i="5" s="1"/>
  <c r="AU134" i="5"/>
  <c r="AV134" i="5" s="1"/>
  <c r="AY134" i="5" s="1"/>
  <c r="AU106" i="5"/>
  <c r="AV106" i="5" s="1"/>
  <c r="AY106" i="5" s="1"/>
  <c r="AU341" i="5"/>
  <c r="AV341" i="5" s="1"/>
  <c r="AY341" i="5" s="1"/>
  <c r="AU348" i="5"/>
  <c r="AV348" i="5" s="1"/>
  <c r="AY348" i="5" s="1"/>
  <c r="AU315" i="5"/>
  <c r="AV315" i="5" s="1"/>
  <c r="AY315" i="5" s="1"/>
  <c r="AU402" i="5"/>
  <c r="AV402" i="5" s="1"/>
  <c r="AY402" i="5" s="1"/>
  <c r="AU125" i="5"/>
  <c r="AV125" i="5" s="1"/>
  <c r="AY125" i="5" s="1"/>
  <c r="AU66" i="5"/>
  <c r="AV66" i="5" s="1"/>
  <c r="AY66" i="5" s="1"/>
  <c r="AU64" i="5"/>
  <c r="AV64" i="5" s="1"/>
  <c r="AY64" i="5" s="1"/>
  <c r="AN32" i="5"/>
  <c r="AF32" i="5"/>
  <c r="AF8" i="5"/>
  <c r="AN8" i="5"/>
  <c r="AF151" i="5"/>
  <c r="AN151" i="5"/>
  <c r="AN82" i="5"/>
  <c r="AF82" i="5"/>
  <c r="AF111" i="5"/>
  <c r="AN111" i="5"/>
  <c r="AF202" i="5"/>
  <c r="AN202" i="5"/>
  <c r="AN207" i="5"/>
  <c r="AF207" i="5"/>
  <c r="AN194" i="5"/>
  <c r="AF194" i="5"/>
  <c r="AN140" i="5"/>
  <c r="AF140" i="5"/>
  <c r="AF91" i="5"/>
  <c r="AN91" i="5"/>
  <c r="AF7" i="5"/>
  <c r="AN7" i="5"/>
  <c r="AN90" i="5"/>
  <c r="AF90" i="5"/>
  <c r="AN190" i="5"/>
  <c r="AF190" i="5"/>
  <c r="AF37" i="5"/>
  <c r="AN37" i="5"/>
  <c r="AU96" i="5"/>
  <c r="AV96" i="5" s="1"/>
  <c r="AY96" i="5" s="1"/>
  <c r="AN139" i="5"/>
  <c r="AF139" i="5"/>
  <c r="AN88" i="5"/>
  <c r="AF88" i="5"/>
  <c r="AN160" i="5"/>
  <c r="AF160" i="5"/>
  <c r="AU405" i="5"/>
  <c r="AV405" i="5" s="1"/>
  <c r="AY405" i="5" s="1"/>
  <c r="AU448" i="5"/>
  <c r="AV448" i="5" s="1"/>
  <c r="AY448" i="5" s="1"/>
  <c r="AU119" i="5"/>
  <c r="AV119" i="5" s="1"/>
  <c r="AY119" i="5" s="1"/>
  <c r="AU52" i="5"/>
  <c r="AV52" i="5" s="1"/>
  <c r="AY52" i="5" s="1"/>
  <c r="AU309" i="5"/>
  <c r="AV309" i="5" s="1"/>
  <c r="AY309" i="5" s="1"/>
  <c r="AU291" i="5"/>
  <c r="AV291" i="5" s="1"/>
  <c r="AY291" i="5" s="1"/>
  <c r="AU54" i="5"/>
  <c r="AV54" i="5" s="1"/>
  <c r="AY54" i="5" s="1"/>
  <c r="AU373" i="5"/>
  <c r="AV373" i="5" s="1"/>
  <c r="AY373" i="5" s="1"/>
  <c r="AN122" i="5"/>
  <c r="AF22" i="5"/>
  <c r="AN49" i="5"/>
  <c r="AF49" i="5"/>
  <c r="AF128" i="5"/>
  <c r="AN128" i="5"/>
  <c r="AF176" i="5"/>
  <c r="AN176" i="5"/>
  <c r="AN84" i="5"/>
  <c r="AF84" i="5"/>
  <c r="AF79" i="5"/>
  <c r="AN79" i="5"/>
  <c r="AN89" i="5"/>
  <c r="AF89" i="5"/>
  <c r="AU354" i="5"/>
  <c r="AV354" i="5" s="1"/>
  <c r="AY354" i="5" s="1"/>
  <c r="AU169" i="5"/>
  <c r="AV169" i="5" s="1"/>
  <c r="AY169" i="5" s="1"/>
  <c r="AU420" i="5"/>
  <c r="AV420" i="5" s="1"/>
  <c r="AY420" i="5" s="1"/>
  <c r="AU433" i="5"/>
  <c r="AV433" i="5" s="1"/>
  <c r="AY433" i="5" s="1"/>
  <c r="AU406" i="5"/>
  <c r="AV406" i="5" s="1"/>
  <c r="AY406" i="5" s="1"/>
  <c r="AU195" i="5"/>
  <c r="AV195" i="5" s="1"/>
  <c r="AY195" i="5" s="1"/>
  <c r="AU376" i="5"/>
  <c r="AV376" i="5" s="1"/>
  <c r="AY376" i="5" s="1"/>
  <c r="AU483" i="5"/>
  <c r="AV483" i="5" s="1"/>
  <c r="AY483" i="5" s="1"/>
  <c r="AU322" i="5"/>
  <c r="AV322" i="5" s="1"/>
  <c r="AY322" i="5" s="1"/>
  <c r="AU308" i="5"/>
  <c r="AV308" i="5" s="1"/>
  <c r="AY308" i="5" s="1"/>
  <c r="AU484" i="5"/>
  <c r="AV484" i="5" s="1"/>
  <c r="AY484" i="5" s="1"/>
  <c r="AU387" i="5"/>
  <c r="AV387" i="5" s="1"/>
  <c r="AY387" i="5" s="1"/>
  <c r="AU102" i="5"/>
  <c r="AV102" i="5" s="1"/>
  <c r="AY102" i="5" s="1"/>
  <c r="AU457" i="5"/>
  <c r="AV457" i="5" s="1"/>
  <c r="AY457" i="5" s="1"/>
  <c r="AU336" i="5"/>
  <c r="AV336" i="5" s="1"/>
  <c r="AY336" i="5" s="1"/>
  <c r="AU403" i="5"/>
  <c r="AV403" i="5" s="1"/>
  <c r="AY403" i="5" s="1"/>
  <c r="AU133" i="5"/>
  <c r="AV133" i="5" s="1"/>
  <c r="AY133" i="5" s="1"/>
  <c r="AU343" i="5"/>
  <c r="AV343" i="5" s="1"/>
  <c r="AY343" i="5" s="1"/>
  <c r="AU184" i="5"/>
  <c r="AV184" i="5" s="1"/>
  <c r="AY184" i="5" s="1"/>
  <c r="AF50" i="5"/>
  <c r="AF122" i="5"/>
  <c r="AU21" i="5"/>
  <c r="AV21" i="5" s="1"/>
  <c r="AY21" i="5" s="1"/>
  <c r="AN55" i="5"/>
  <c r="AN65" i="5"/>
  <c r="AF65" i="5"/>
  <c r="AN142" i="5"/>
  <c r="AF142" i="5"/>
  <c r="AF116" i="5"/>
  <c r="AN116" i="5"/>
  <c r="AN223" i="5"/>
  <c r="AF223" i="5"/>
  <c r="AF31" i="5"/>
  <c r="AN31" i="5"/>
  <c r="AF120" i="5"/>
  <c r="AN120" i="5"/>
  <c r="AU2" i="5"/>
  <c r="AV2" i="5" s="1"/>
  <c r="AY2" i="5" s="1"/>
  <c r="AN3" i="5"/>
  <c r="AF175" i="5"/>
  <c r="AN175" i="5"/>
  <c r="AU356" i="5"/>
  <c r="AV356" i="5" s="1"/>
  <c r="AY356" i="5" s="1"/>
  <c r="AN22" i="5"/>
  <c r="AF3" i="5"/>
  <c r="AF192" i="5"/>
  <c r="AN192" i="5"/>
  <c r="AU69" i="5"/>
  <c r="AV69" i="5" s="1"/>
  <c r="AY69" i="5" s="1"/>
  <c r="AU328" i="5"/>
  <c r="AV328" i="5" s="1"/>
  <c r="AY328" i="5" s="1"/>
  <c r="AU51" i="5"/>
  <c r="AV51" i="5" s="1"/>
  <c r="AY51" i="5" s="1"/>
  <c r="AU115" i="5"/>
  <c r="AV115" i="5" s="1"/>
  <c r="AY115" i="5" s="1"/>
  <c r="AU9" i="5"/>
  <c r="AV9" i="5" s="1"/>
  <c r="AY9" i="5" s="1"/>
  <c r="AU137" i="5"/>
  <c r="AV137" i="5" s="1"/>
  <c r="AY137" i="5" s="1"/>
  <c r="AU282" i="5"/>
  <c r="AV282" i="5" s="1"/>
  <c r="AY282" i="5" s="1"/>
  <c r="AN50" i="5"/>
  <c r="AF24" i="5"/>
  <c r="AU8" i="5"/>
  <c r="AV8" i="5" s="1"/>
  <c r="AY8" i="5" s="1"/>
  <c r="AN57" i="5"/>
  <c r="AF57" i="5"/>
  <c r="AN12" i="5"/>
  <c r="AF12" i="5"/>
  <c r="AN193" i="5"/>
  <c r="AF193" i="5"/>
  <c r="AF127" i="5"/>
  <c r="AN127" i="5"/>
  <c r="AN103" i="5"/>
  <c r="AF103" i="5"/>
  <c r="AU412" i="5"/>
  <c r="AV412" i="5" s="1"/>
  <c r="AY412" i="5" s="1"/>
  <c r="AU22" i="5"/>
  <c r="AV22" i="5" s="1"/>
  <c r="AY22" i="5" s="1"/>
  <c r="AU62" i="5"/>
  <c r="AV62" i="5" s="1"/>
  <c r="AY62" i="5" s="1"/>
  <c r="AU277" i="5"/>
  <c r="AV277" i="5" s="1"/>
  <c r="AY277" i="5" s="1"/>
  <c r="AU432" i="5"/>
  <c r="AV432" i="5" s="1"/>
  <c r="AY432" i="5" s="1"/>
  <c r="AU469" i="5"/>
  <c r="AV469" i="5" s="1"/>
  <c r="AY469" i="5" s="1"/>
  <c r="AU97" i="5"/>
  <c r="AV97" i="5" s="1"/>
  <c r="AY97" i="5" s="1"/>
  <c r="AU197" i="5"/>
  <c r="AV197" i="5" s="1"/>
  <c r="AY197" i="5" s="1"/>
  <c r="AU301" i="5"/>
  <c r="AV301" i="5" s="1"/>
  <c r="AY301" i="5" s="1"/>
  <c r="AU68" i="5"/>
  <c r="AV68" i="5" s="1"/>
  <c r="AY68" i="5" s="1"/>
  <c r="AU16" i="5"/>
  <c r="AV16" i="5" s="1"/>
  <c r="AY16" i="5" s="1"/>
  <c r="AU94" i="5"/>
  <c r="AV94" i="5" s="1"/>
  <c r="AY94" i="5" s="1"/>
  <c r="AU499" i="5"/>
  <c r="AV499" i="5" s="1"/>
  <c r="AY499" i="5" s="1"/>
  <c r="AU156" i="5"/>
  <c r="AV156" i="5" s="1"/>
  <c r="AY156" i="5" s="1"/>
  <c r="AU366" i="5"/>
  <c r="AV366" i="5" s="1"/>
  <c r="AY366" i="5" s="1"/>
  <c r="AU437" i="5"/>
  <c r="AV437" i="5" s="1"/>
  <c r="AY437" i="5" s="1"/>
  <c r="AU389" i="5"/>
  <c r="AV389" i="5" s="1"/>
  <c r="AY389" i="5" s="1"/>
  <c r="AU443" i="5"/>
  <c r="AV443" i="5" s="1"/>
  <c r="AY443" i="5" s="1"/>
  <c r="AU161" i="5"/>
  <c r="AV161" i="5" s="1"/>
  <c r="AY161" i="5" s="1"/>
  <c r="AU93" i="5"/>
  <c r="AV93" i="5" s="1"/>
  <c r="AY93" i="5" s="1"/>
  <c r="AU168" i="5"/>
  <c r="AV168" i="5" s="1"/>
  <c r="AY168" i="5" s="1"/>
  <c r="AU34" i="5"/>
  <c r="AV34" i="5" s="1"/>
  <c r="AY34" i="5" s="1"/>
  <c r="AU32" i="5"/>
  <c r="AV32" i="5" s="1"/>
  <c r="AY32" i="5" s="1"/>
  <c r="AU441" i="5"/>
  <c r="AV441" i="5" s="1"/>
  <c r="AY441" i="5" s="1"/>
  <c r="AU85" i="5"/>
  <c r="AV85" i="5" s="1"/>
  <c r="AY85" i="5" s="1"/>
  <c r="AU388" i="5"/>
  <c r="AV388" i="5" s="1"/>
  <c r="AY388" i="5" s="1"/>
  <c r="AU342" i="5"/>
  <c r="AV342" i="5" s="1"/>
  <c r="AY342" i="5" s="1"/>
  <c r="AU88" i="5"/>
  <c r="AV88" i="5" s="1"/>
  <c r="AY88" i="5" s="1"/>
  <c r="AU148" i="5"/>
  <c r="AV148" i="5" s="1"/>
  <c r="AY148" i="5" s="1"/>
  <c r="AU392" i="5"/>
  <c r="AV392" i="5" s="1"/>
  <c r="AY392" i="5" s="1"/>
  <c r="AU124" i="5"/>
  <c r="AV124" i="5" s="1"/>
  <c r="AY124" i="5" s="1"/>
  <c r="AU330" i="5"/>
  <c r="AV330" i="5" s="1"/>
  <c r="AY330" i="5" s="1"/>
  <c r="AU192" i="5"/>
  <c r="AV192" i="5" s="1"/>
  <c r="AY192" i="5" s="1"/>
  <c r="AF121" i="5"/>
  <c r="AF55" i="5"/>
  <c r="AN109" i="5"/>
  <c r="AN105" i="5"/>
  <c r="AF105" i="5"/>
  <c r="AN195" i="5"/>
  <c r="AF195" i="5"/>
  <c r="AF137" i="5"/>
  <c r="AN137" i="5"/>
  <c r="AN35" i="5"/>
  <c r="AF35" i="5"/>
  <c r="AN10" i="5"/>
  <c r="AF10" i="5"/>
  <c r="AF19" i="5"/>
  <c r="AN19" i="5"/>
  <c r="AN124" i="5"/>
  <c r="AF124" i="5"/>
  <c r="AF117" i="5"/>
  <c r="AN117" i="5"/>
  <c r="AF4" i="5"/>
  <c r="AN4" i="5"/>
  <c r="AF173" i="5"/>
  <c r="AN173" i="5"/>
  <c r="AF17" i="5"/>
  <c r="AN17" i="5"/>
  <c r="AK47" i="5"/>
  <c r="AU44" i="5"/>
  <c r="AV44" i="5" s="1"/>
  <c r="AY44" i="5" s="1"/>
  <c r="AU345" i="5"/>
  <c r="AV345" i="5" s="1"/>
  <c r="AY345" i="5" s="1"/>
  <c r="AU419" i="5"/>
  <c r="AV419" i="5" s="1"/>
  <c r="AY419" i="5" s="1"/>
  <c r="AN24" i="5"/>
  <c r="AU362" i="5"/>
  <c r="AV362" i="5" s="1"/>
  <c r="AY362" i="5" s="1"/>
  <c r="AU30" i="5"/>
  <c r="AV30" i="5" s="1"/>
  <c r="AY30" i="5" s="1"/>
  <c r="AU40" i="5"/>
  <c r="AV40" i="5" s="1"/>
  <c r="AY40" i="5" s="1"/>
  <c r="AU401" i="5"/>
  <c r="AV401" i="5" s="1"/>
  <c r="AY401" i="5" s="1"/>
  <c r="AU295" i="5"/>
  <c r="AV295" i="5" s="1"/>
  <c r="AY295" i="5" s="1"/>
  <c r="AN121" i="5"/>
  <c r="AF40" i="5"/>
  <c r="AN40" i="5"/>
  <c r="AU320" i="5"/>
  <c r="AV320" i="5" s="1"/>
  <c r="AY320" i="5" s="1"/>
  <c r="AU152" i="5"/>
  <c r="AV152" i="5" s="1"/>
  <c r="AY152" i="5" s="1"/>
  <c r="AU407" i="5"/>
  <c r="AV407" i="5" s="1"/>
  <c r="AY407" i="5" s="1"/>
  <c r="AU46" i="5"/>
  <c r="AV46" i="5" s="1"/>
  <c r="AY46" i="5" s="1"/>
  <c r="AU324" i="5"/>
  <c r="AV324" i="5" s="1"/>
  <c r="AY324" i="5" s="1"/>
  <c r="AU284" i="5"/>
  <c r="AV284" i="5" s="1"/>
  <c r="AY284" i="5" s="1"/>
  <c r="AU393" i="5"/>
  <c r="AV393" i="5" s="1"/>
  <c r="AY393" i="5" s="1"/>
  <c r="AU447" i="5"/>
  <c r="AV447" i="5" s="1"/>
  <c r="AY447" i="5" s="1"/>
  <c r="AU450" i="5"/>
  <c r="AV450" i="5" s="1"/>
  <c r="AY450" i="5" s="1"/>
  <c r="AU349" i="5"/>
  <c r="AV349" i="5" s="1"/>
  <c r="AY349" i="5" s="1"/>
  <c r="AU471" i="5"/>
  <c r="AV471" i="5" s="1"/>
  <c r="AY471" i="5" s="1"/>
  <c r="AU463" i="5"/>
  <c r="AV463" i="5" s="1"/>
  <c r="AY463" i="5" s="1"/>
  <c r="AU4" i="5"/>
  <c r="AV4" i="5" s="1"/>
  <c r="AY4" i="5" s="1"/>
  <c r="AU313" i="5"/>
  <c r="AV313" i="5" s="1"/>
  <c r="AY313" i="5" s="1"/>
  <c r="AU429" i="5"/>
  <c r="AV429" i="5" s="1"/>
  <c r="AY429" i="5" s="1"/>
  <c r="AU333" i="5"/>
  <c r="AV333" i="5" s="1"/>
  <c r="AY333" i="5" s="1"/>
  <c r="AU289" i="5"/>
  <c r="AV289" i="5" s="1"/>
  <c r="AY289" i="5" s="1"/>
  <c r="AN16" i="5"/>
  <c r="AU5" i="5"/>
  <c r="AV5" i="5" s="1"/>
  <c r="AY5" i="5" s="1"/>
  <c r="AU38" i="5"/>
  <c r="AV38" i="5" s="1"/>
  <c r="AY38" i="5" s="1"/>
  <c r="AF80" i="5"/>
  <c r="AN80" i="5"/>
  <c r="AN114" i="5"/>
  <c r="AF114" i="5"/>
  <c r="AN106" i="5"/>
  <c r="AF106" i="5"/>
  <c r="AF46" i="5"/>
  <c r="AN46" i="5"/>
  <c r="AN60" i="5"/>
  <c r="AF60" i="5"/>
  <c r="AN41" i="5"/>
  <c r="AF41" i="5"/>
  <c r="AF98" i="5"/>
  <c r="AN98" i="5"/>
  <c r="AF129" i="5"/>
  <c r="AN129" i="5"/>
  <c r="AF132" i="5"/>
  <c r="AN132" i="5"/>
  <c r="AU473" i="5"/>
  <c r="AV473" i="5" s="1"/>
  <c r="AY473" i="5" s="1"/>
  <c r="AU468" i="5"/>
  <c r="AV468" i="5" s="1"/>
  <c r="AY468" i="5" s="1"/>
  <c r="AU188" i="5"/>
  <c r="AV188" i="5" s="1"/>
  <c r="AY188" i="5" s="1"/>
  <c r="AN205" i="5"/>
  <c r="AF205" i="5"/>
  <c r="AF206" i="5"/>
  <c r="AN206" i="5"/>
  <c r="AN78" i="5"/>
  <c r="AF78" i="5"/>
  <c r="AU7" i="5"/>
  <c r="AV7" i="5" s="1"/>
  <c r="AY7" i="5" s="1"/>
  <c r="AU283" i="5"/>
  <c r="AV283" i="5" s="1"/>
  <c r="AY283" i="5" s="1"/>
  <c r="AU140" i="5"/>
  <c r="AV140" i="5" s="1"/>
  <c r="AY140" i="5" s="1"/>
  <c r="AU491" i="5"/>
  <c r="AV491" i="5" s="1"/>
  <c r="AY491" i="5" s="1"/>
  <c r="AU340" i="5"/>
  <c r="AV340" i="5" s="1"/>
  <c r="AY340" i="5" s="1"/>
  <c r="AU136" i="5"/>
  <c r="AV136" i="5" s="1"/>
  <c r="AY136" i="5" s="1"/>
  <c r="AF109" i="5"/>
  <c r="AN188" i="5"/>
  <c r="AF188" i="5"/>
  <c r="AU395" i="5"/>
  <c r="AV395" i="5" s="1"/>
  <c r="AY395" i="5" s="1"/>
  <c r="AU23" i="5"/>
  <c r="AV23" i="5" s="1"/>
  <c r="AY23" i="5" s="1"/>
  <c r="AU120" i="5"/>
  <c r="AV120" i="5" s="1"/>
  <c r="AY120" i="5" s="1"/>
  <c r="AU24" i="5"/>
  <c r="AV24" i="5" s="1"/>
  <c r="AY24" i="5" s="1"/>
  <c r="AU287" i="5"/>
  <c r="AV287" i="5" s="1"/>
  <c r="AY287" i="5" s="1"/>
  <c r="AU11" i="5"/>
  <c r="AV11" i="5" s="1"/>
  <c r="AY11" i="5" s="1"/>
  <c r="AU496" i="5"/>
  <c r="AV496" i="5" s="1"/>
  <c r="AY496" i="5" s="1"/>
  <c r="AU14" i="5"/>
  <c r="AV14" i="5" s="1"/>
  <c r="AY14" i="5" s="1"/>
  <c r="AU487" i="5"/>
  <c r="AV487" i="5" s="1"/>
  <c r="AY487" i="5" s="1"/>
  <c r="AU321" i="5"/>
  <c r="AV321" i="5" s="1"/>
  <c r="AY321" i="5" s="1"/>
  <c r="AU446" i="5"/>
  <c r="AV446" i="5" s="1"/>
  <c r="AY446" i="5" s="1"/>
  <c r="AU460" i="5"/>
  <c r="AV460" i="5" s="1"/>
  <c r="AY460" i="5" s="1"/>
  <c r="AU130" i="5"/>
  <c r="AV130" i="5" s="1"/>
  <c r="AY130" i="5" s="1"/>
  <c r="AU358" i="5"/>
  <c r="AV358" i="5" s="1"/>
  <c r="AY358" i="5" s="1"/>
  <c r="AU426" i="5"/>
  <c r="AV426" i="5" s="1"/>
  <c r="AY426" i="5" s="1"/>
  <c r="AU346" i="5"/>
  <c r="AV346" i="5" s="1"/>
  <c r="AY346" i="5" s="1"/>
  <c r="AU135" i="5"/>
  <c r="AV135" i="5" s="1"/>
  <c r="AY135" i="5" s="1"/>
  <c r="AU221" i="5"/>
  <c r="AV221" i="5" s="1"/>
  <c r="AY221" i="5" s="1"/>
  <c r="AU179" i="5"/>
  <c r="AV179" i="5" s="1"/>
  <c r="AY179" i="5" s="1"/>
  <c r="AU153" i="5"/>
  <c r="AV153" i="5" s="1"/>
  <c r="AY153" i="5" s="1"/>
  <c r="AF16" i="5"/>
  <c r="AU15" i="5"/>
  <c r="AV15" i="5" s="1"/>
  <c r="AY15" i="5" s="1"/>
  <c r="AN67" i="5"/>
  <c r="AF6" i="5"/>
  <c r="AF83" i="5"/>
  <c r="AN83" i="5"/>
  <c r="AF218" i="5"/>
  <c r="AN218" i="5"/>
  <c r="AN15" i="5"/>
  <c r="AF15" i="5"/>
  <c r="AN23" i="5"/>
  <c r="AF23" i="5"/>
  <c r="AN155" i="5"/>
  <c r="AF155" i="5"/>
  <c r="AN94" i="5"/>
  <c r="AF94" i="5"/>
  <c r="AN209" i="5"/>
  <c r="AF209" i="5"/>
  <c r="AF58" i="5"/>
  <c r="AN58" i="5"/>
  <c r="AF95" i="5"/>
  <c r="AN95" i="5"/>
  <c r="AN64" i="5"/>
  <c r="AF64" i="5"/>
  <c r="AN143" i="5"/>
  <c r="AF143" i="5"/>
  <c r="AN27" i="5"/>
  <c r="AF27" i="5"/>
  <c r="AU43" i="5"/>
  <c r="AV43" i="5" s="1"/>
  <c r="AY43" i="5" s="1"/>
  <c r="AU449" i="5"/>
  <c r="AV449" i="5" s="1"/>
  <c r="AY449" i="5" s="1"/>
  <c r="AU172" i="5"/>
  <c r="AV172" i="5" s="1"/>
  <c r="AY172" i="5" s="1"/>
  <c r="AU475" i="5"/>
  <c r="AV475" i="5" s="1"/>
  <c r="AY475" i="5" s="1"/>
  <c r="AU455" i="5"/>
  <c r="AV455" i="5" s="1"/>
  <c r="AY455" i="5" s="1"/>
  <c r="AU431" i="5"/>
  <c r="AV431" i="5" s="1"/>
  <c r="AY431" i="5" s="1"/>
  <c r="AN51" i="5"/>
  <c r="AF51" i="5"/>
  <c r="AF172" i="5"/>
  <c r="AN172" i="5"/>
  <c r="AU176" i="5"/>
  <c r="AV176" i="5" s="1"/>
  <c r="AY176" i="5" s="1"/>
  <c r="AU476" i="5"/>
  <c r="AV476" i="5" s="1"/>
  <c r="AY476" i="5" s="1"/>
  <c r="AU193" i="5"/>
  <c r="AV193" i="5" s="1"/>
  <c r="AY193" i="5" s="1"/>
  <c r="AU444" i="5"/>
  <c r="AV444" i="5" s="1"/>
  <c r="AY444" i="5" s="1"/>
  <c r="AU423" i="5"/>
  <c r="AV423" i="5" s="1"/>
  <c r="AY423" i="5" s="1"/>
  <c r="AU149" i="5"/>
  <c r="AV149" i="5" s="1"/>
  <c r="AY149" i="5" s="1"/>
  <c r="AN198" i="5"/>
  <c r="AF198" i="5"/>
  <c r="AU288" i="5"/>
  <c r="AV288" i="5" s="1"/>
  <c r="AY288" i="5" s="1"/>
  <c r="AU505" i="5"/>
  <c r="AV505" i="5" s="1"/>
  <c r="AY505" i="5" s="1"/>
  <c r="AU141" i="5"/>
  <c r="AV141" i="5" s="1"/>
  <c r="AY141" i="5" s="1"/>
  <c r="AU347" i="5"/>
  <c r="AV347" i="5" s="1"/>
  <c r="AY347" i="5" s="1"/>
  <c r="AU116" i="5"/>
  <c r="AV116" i="5" s="1"/>
  <c r="AY116" i="5" s="1"/>
  <c r="AU453" i="5"/>
  <c r="AV453" i="5" s="1"/>
  <c r="AY453" i="5" s="1"/>
  <c r="AU189" i="5"/>
  <c r="AV189" i="5" s="1"/>
  <c r="AY189" i="5" s="1"/>
  <c r="AU470" i="5"/>
  <c r="AV470" i="5" s="1"/>
  <c r="AY470" i="5" s="1"/>
  <c r="AU404" i="5"/>
  <c r="AV404" i="5" s="1"/>
  <c r="AY404" i="5" s="1"/>
  <c r="AU438" i="5"/>
  <c r="AV438" i="5" s="1"/>
  <c r="AY438" i="5" s="1"/>
  <c r="AU28" i="5"/>
  <c r="AV28" i="5" s="1"/>
  <c r="AY28" i="5" s="1"/>
  <c r="AU302" i="5"/>
  <c r="AV302" i="5" s="1"/>
  <c r="AY302" i="5" s="1"/>
  <c r="AU13" i="5"/>
  <c r="AV13" i="5" s="1"/>
  <c r="AY13" i="5" s="1"/>
  <c r="AU504" i="5"/>
  <c r="AV504" i="5" s="1"/>
  <c r="AY504" i="5" s="1"/>
  <c r="AU501" i="5"/>
  <c r="AV501" i="5" s="1"/>
  <c r="AY501" i="5" s="1"/>
  <c r="AU364" i="5"/>
  <c r="AV364" i="5" s="1"/>
  <c r="AY364" i="5" s="1"/>
  <c r="AU368" i="5"/>
  <c r="AV368" i="5" s="1"/>
  <c r="AY368" i="5" s="1"/>
  <c r="AU357" i="5"/>
  <c r="AV357" i="5" s="1"/>
  <c r="AY357" i="5" s="1"/>
  <c r="AU207" i="5"/>
  <c r="AV207" i="5" s="1"/>
  <c r="AY207" i="5" s="1"/>
  <c r="AU474" i="5"/>
  <c r="AV474" i="5" s="1"/>
  <c r="AY474" i="5" s="1"/>
  <c r="AU61" i="5"/>
  <c r="AV61" i="5" s="1"/>
  <c r="AY61" i="5" s="1"/>
  <c r="AU384" i="5"/>
  <c r="AV384" i="5" s="1"/>
  <c r="AY384" i="5" s="1"/>
  <c r="AU379" i="5"/>
  <c r="AV379" i="5" s="1"/>
  <c r="AY379" i="5" s="1"/>
  <c r="AU481" i="5"/>
  <c r="AV481" i="5" s="1"/>
  <c r="AY481" i="5" s="1"/>
  <c r="AU186" i="5"/>
  <c r="AV186" i="5" s="1"/>
  <c r="AY186" i="5" s="1"/>
  <c r="AU57" i="5"/>
  <c r="AV57" i="5" s="1"/>
  <c r="AY57" i="5" s="1"/>
  <c r="AU314" i="5"/>
  <c r="AV314" i="5" s="1"/>
  <c r="AY314" i="5" s="1"/>
  <c r="AU217" i="5"/>
  <c r="AV217" i="5" s="1"/>
  <c r="AY217" i="5" s="1"/>
  <c r="AU383" i="5"/>
  <c r="AV383" i="5" s="1"/>
  <c r="AY383" i="5" s="1"/>
  <c r="AU122" i="5"/>
  <c r="AV122" i="5" s="1"/>
  <c r="AY122" i="5" s="1"/>
  <c r="AF67" i="5"/>
  <c r="AN6" i="5"/>
  <c r="AU502" i="5"/>
  <c r="AV502" i="5" s="1"/>
  <c r="AY502" i="5" s="1"/>
  <c r="AK184" i="5"/>
  <c r="AF66" i="5"/>
  <c r="AN66" i="5"/>
  <c r="AN180" i="5"/>
  <c r="AF180" i="5"/>
  <c r="AN92" i="5"/>
  <c r="AF92" i="5"/>
  <c r="AF99" i="5"/>
  <c r="AN99" i="5"/>
  <c r="AF75" i="5"/>
  <c r="AN75" i="5"/>
  <c r="AN25" i="5"/>
  <c r="AF25" i="5"/>
  <c r="AF214" i="5"/>
  <c r="AN214" i="5"/>
  <c r="AF112" i="5"/>
  <c r="AN112" i="5"/>
  <c r="AU67" i="5"/>
  <c r="AV67" i="5" s="1"/>
  <c r="AY67" i="5" s="1"/>
  <c r="AF38" i="5"/>
  <c r="AN38" i="5"/>
  <c r="AU142" i="5"/>
  <c r="AV142" i="5" s="1"/>
  <c r="AY142" i="5" s="1"/>
  <c r="AU111" i="5"/>
  <c r="AV111" i="5" s="1"/>
  <c r="AY111" i="5" s="1"/>
  <c r="AU3" i="5"/>
  <c r="AV3" i="5" s="1"/>
  <c r="AY3" i="5" s="1"/>
  <c r="AU187" i="5"/>
  <c r="AV187" i="5" s="1"/>
  <c r="AY187" i="5" s="1"/>
  <c r="AU464" i="5"/>
  <c r="AV464" i="5" s="1"/>
  <c r="AY464" i="5" s="1"/>
  <c r="AF52" i="5"/>
  <c r="AN52" i="5"/>
  <c r="AF85" i="5"/>
  <c r="AN85" i="5"/>
  <c r="AU31" i="5"/>
  <c r="AV31" i="5" s="1"/>
  <c r="AY31" i="5" s="1"/>
  <c r="AU365" i="5"/>
  <c r="AV365" i="5" s="1"/>
  <c r="AY365" i="5" s="1"/>
  <c r="AU442" i="5"/>
  <c r="AV442" i="5" s="1"/>
  <c r="AY442" i="5" s="1"/>
  <c r="AU382" i="5"/>
  <c r="AV382" i="5" s="1"/>
  <c r="AY382" i="5" s="1"/>
  <c r="AU200" i="5"/>
  <c r="AV200" i="5" s="1"/>
  <c r="AY200" i="5" s="1"/>
  <c r="AU280" i="5"/>
  <c r="AV280" i="5" s="1"/>
  <c r="AY280" i="5" s="1"/>
  <c r="AU132" i="5"/>
  <c r="AV132" i="5" s="1"/>
  <c r="AY132" i="5" s="1"/>
  <c r="AN71" i="5"/>
  <c r="AF71" i="5"/>
  <c r="AF70" i="5"/>
  <c r="AN70" i="5"/>
  <c r="AN63" i="5"/>
  <c r="AF63" i="5"/>
  <c r="AF168" i="5"/>
  <c r="AN168" i="5"/>
  <c r="AU123" i="5"/>
  <c r="AV123" i="5" s="1"/>
  <c r="AY123" i="5" s="1"/>
  <c r="AU209" i="5"/>
  <c r="AV209" i="5" s="1"/>
  <c r="AY209" i="5" s="1"/>
  <c r="AU303" i="5"/>
  <c r="AV303" i="5" s="1"/>
  <c r="AY303" i="5" s="1"/>
  <c r="AU113" i="5"/>
  <c r="AV113" i="5" s="1"/>
  <c r="AY113" i="5" s="1"/>
  <c r="AU65" i="5"/>
  <c r="AV65" i="5" s="1"/>
  <c r="AY65" i="5" s="1"/>
  <c r="AU99" i="5"/>
  <c r="AV99" i="5" s="1"/>
  <c r="AY99" i="5" s="1"/>
  <c r="AU436" i="5"/>
  <c r="AV436" i="5" s="1"/>
  <c r="AY436" i="5" s="1"/>
  <c r="AU100" i="5"/>
  <c r="AV100" i="5" s="1"/>
  <c r="AY100" i="5" s="1"/>
  <c r="AU337" i="5"/>
  <c r="AV337" i="5" s="1"/>
  <c r="AY337" i="5" s="1"/>
  <c r="AU372" i="5"/>
  <c r="AV372" i="5" s="1"/>
  <c r="AY372" i="5" s="1"/>
  <c r="AU212" i="5"/>
  <c r="AV212" i="5" s="1"/>
  <c r="AY212" i="5" s="1"/>
  <c r="AU53" i="5"/>
  <c r="AV53" i="5" s="1"/>
  <c r="AY53" i="5" s="1"/>
  <c r="AU296" i="5"/>
  <c r="AV296" i="5" s="1"/>
  <c r="AY296" i="5" s="1"/>
  <c r="AU307" i="5"/>
  <c r="AV307" i="5" s="1"/>
  <c r="AY307" i="5" s="1"/>
  <c r="AU225" i="5"/>
  <c r="AV225" i="5" s="1"/>
  <c r="AY225" i="5" s="1"/>
  <c r="AU45" i="5"/>
  <c r="AV45" i="5" s="1"/>
  <c r="AY45" i="5" s="1"/>
  <c r="AU385" i="5"/>
  <c r="AV385" i="5" s="1"/>
  <c r="AY385" i="5" s="1"/>
  <c r="AU121" i="5"/>
  <c r="AV121" i="5" s="1"/>
  <c r="AY121" i="5" s="1"/>
  <c r="AF77" i="5"/>
  <c r="AN77" i="5"/>
  <c r="AF153" i="5"/>
  <c r="AN153" i="5"/>
  <c r="AN2" i="5"/>
  <c r="AF2" i="5"/>
  <c r="AF72" i="5"/>
  <c r="AN72" i="5"/>
  <c r="AF107" i="5"/>
  <c r="AN107" i="5"/>
  <c r="AF131" i="5"/>
  <c r="AN131" i="5"/>
  <c r="AF9" i="5"/>
  <c r="AN9" i="5"/>
  <c r="AN104" i="5"/>
  <c r="AF104" i="5"/>
  <c r="AF159" i="5"/>
  <c r="AN159" i="5"/>
  <c r="AR60" i="5"/>
  <c r="AS60" i="5" s="1"/>
  <c r="BB60" i="5"/>
  <c r="BB5" i="5"/>
  <c r="AR12" i="5"/>
  <c r="AS12" i="5" s="1"/>
  <c r="BB12" i="5"/>
  <c r="AR71" i="5"/>
  <c r="AS71" i="5" s="1"/>
  <c r="BB71" i="5"/>
  <c r="AR70" i="5"/>
  <c r="AS70" i="5" s="1"/>
  <c r="BB70" i="5"/>
  <c r="BB192" i="5"/>
  <c r="BB8" i="5"/>
  <c r="AR190" i="5"/>
  <c r="AS190" i="5" s="1"/>
  <c r="BB190" i="5"/>
  <c r="BB67" i="5"/>
  <c r="AR72" i="5"/>
  <c r="AS72" i="5" s="1"/>
  <c r="BB72" i="5"/>
  <c r="AR128" i="5"/>
  <c r="AS128" i="5" s="1"/>
  <c r="BB128" i="5"/>
  <c r="BB42" i="5"/>
  <c r="AR42" i="5"/>
  <c r="AS42" i="5" s="1"/>
  <c r="AR63" i="5"/>
  <c r="AS63" i="5" s="1"/>
  <c r="BB63" i="5"/>
  <c r="AR84" i="5"/>
  <c r="AS84" i="5" s="1"/>
  <c r="BB84" i="5"/>
  <c r="BB15" i="5"/>
  <c r="BB64" i="5"/>
  <c r="BB33" i="5"/>
  <c r="BD33" i="5" s="1"/>
  <c r="BB21" i="5"/>
  <c r="BB2" i="5"/>
  <c r="AR50" i="5"/>
  <c r="AS50" i="5" s="1"/>
  <c r="BB50" i="5"/>
  <c r="BM310" i="5"/>
  <c r="BD310" i="5"/>
  <c r="BC310" i="5"/>
  <c r="BF310" i="5"/>
  <c r="BM402" i="5"/>
  <c r="BF402" i="5"/>
  <c r="BD402" i="5"/>
  <c r="BC402" i="5"/>
  <c r="BM282" i="5"/>
  <c r="BD282" i="5"/>
  <c r="BF282" i="5"/>
  <c r="BC282" i="5"/>
  <c r="BC163" i="5"/>
  <c r="BF430" i="5"/>
  <c r="BD430" i="5"/>
  <c r="BM430" i="5"/>
  <c r="BC430" i="5"/>
  <c r="BD163" i="5"/>
  <c r="BF163" i="5"/>
  <c r="BM472" i="5"/>
  <c r="BF472" i="5"/>
  <c r="BD472" i="5"/>
  <c r="BC472" i="5"/>
  <c r="BM482" i="5"/>
  <c r="BC482" i="5"/>
  <c r="BF482" i="5"/>
  <c r="BD482" i="5"/>
  <c r="BM78" i="5"/>
  <c r="BF78" i="5"/>
  <c r="BD78" i="5"/>
  <c r="BC78" i="5"/>
  <c r="BM304" i="5"/>
  <c r="BF304" i="5"/>
  <c r="BD304" i="5"/>
  <c r="BC304" i="5"/>
  <c r="BM332" i="5"/>
  <c r="BF332" i="5"/>
  <c r="BD332" i="5"/>
  <c r="BC332" i="5"/>
  <c r="BF418" i="5"/>
  <c r="BC418" i="5"/>
  <c r="BD418" i="5"/>
  <c r="BM418" i="5"/>
  <c r="BF305" i="5"/>
  <c r="BM305" i="5"/>
  <c r="BD305" i="5"/>
  <c r="BC305" i="5"/>
  <c r="BM47" i="5"/>
  <c r="BF47" i="5"/>
  <c r="BD47" i="5"/>
  <c r="BC47" i="5"/>
  <c r="BM58" i="5"/>
  <c r="BF58" i="5"/>
  <c r="BD58" i="5"/>
  <c r="BC58" i="5"/>
  <c r="BM201" i="5"/>
  <c r="BF201" i="5"/>
  <c r="BD201" i="5"/>
  <c r="BC201" i="5"/>
  <c r="BC383" i="5"/>
  <c r="BF383" i="5"/>
  <c r="BD383" i="5"/>
  <c r="BM383" i="5"/>
  <c r="BM354" i="5"/>
  <c r="BF354" i="5"/>
  <c r="BD354" i="5"/>
  <c r="BC354" i="5"/>
  <c r="BM420" i="5"/>
  <c r="BC420" i="5"/>
  <c r="BF420" i="5"/>
  <c r="BD420" i="5"/>
  <c r="BM433" i="5"/>
  <c r="BF433" i="5"/>
  <c r="BD433" i="5"/>
  <c r="BC433" i="5"/>
  <c r="BD406" i="5"/>
  <c r="BC406" i="5"/>
  <c r="BM406" i="5"/>
  <c r="BF406" i="5"/>
  <c r="BF312" i="5"/>
  <c r="BD312" i="5"/>
  <c r="BC312" i="5"/>
  <c r="BM312" i="5"/>
  <c r="BF424" i="5"/>
  <c r="BM424" i="5"/>
  <c r="BD424" i="5"/>
  <c r="BC424" i="5"/>
  <c r="BM81" i="5"/>
  <c r="BF81" i="5"/>
  <c r="BD81" i="5"/>
  <c r="BC81" i="5"/>
  <c r="BM36" i="5"/>
  <c r="BF36" i="5"/>
  <c r="BD36" i="5"/>
  <c r="BC36" i="5"/>
  <c r="BF131" i="5"/>
  <c r="BC131" i="5"/>
  <c r="BM131" i="5"/>
  <c r="BD131" i="5"/>
  <c r="BM428" i="5"/>
  <c r="BF428" i="5"/>
  <c r="BC428" i="5"/>
  <c r="BD428" i="5"/>
  <c r="BF86" i="5"/>
  <c r="BD86" i="5"/>
  <c r="BC86" i="5"/>
  <c r="BM86" i="5"/>
  <c r="BM494" i="5"/>
  <c r="BC494" i="5"/>
  <c r="BF494" i="5"/>
  <c r="BD494" i="5"/>
  <c r="BF134" i="5"/>
  <c r="BD134" i="5"/>
  <c r="BC134" i="5"/>
  <c r="BM134" i="5"/>
  <c r="BF106" i="5"/>
  <c r="BD106" i="5"/>
  <c r="BC106" i="5"/>
  <c r="BM106" i="5"/>
  <c r="BM341" i="5"/>
  <c r="BF341" i="5"/>
  <c r="BD341" i="5"/>
  <c r="BC341" i="5"/>
  <c r="BC348" i="5"/>
  <c r="BM348" i="5"/>
  <c r="BF348" i="5"/>
  <c r="BD348" i="5"/>
  <c r="BC315" i="5"/>
  <c r="BM315" i="5"/>
  <c r="BF315" i="5"/>
  <c r="BD315" i="5"/>
  <c r="BD409" i="5"/>
  <c r="BM409" i="5"/>
  <c r="BF409" i="5"/>
  <c r="BC409" i="5"/>
  <c r="BD501" i="5"/>
  <c r="BC501" i="5"/>
  <c r="BF501" i="5"/>
  <c r="BM501" i="5"/>
  <c r="BM155" i="5"/>
  <c r="BF155" i="5"/>
  <c r="BC155" i="5"/>
  <c r="BD155" i="5"/>
  <c r="BD182" i="5"/>
  <c r="BC182" i="5"/>
  <c r="BM182" i="5"/>
  <c r="BF182" i="5"/>
  <c r="BC55" i="5"/>
  <c r="BM55" i="5"/>
  <c r="BF55" i="5"/>
  <c r="BD55" i="5"/>
  <c r="BM150" i="5"/>
  <c r="BF150" i="5"/>
  <c r="BD150" i="5"/>
  <c r="BC150" i="5"/>
  <c r="BF101" i="5"/>
  <c r="BD101" i="5"/>
  <c r="BC101" i="5"/>
  <c r="BM101" i="5"/>
  <c r="BM138" i="5"/>
  <c r="BF138" i="5"/>
  <c r="BD138" i="5"/>
  <c r="BC138" i="5"/>
  <c r="BD178" i="5"/>
  <c r="BC178" i="5"/>
  <c r="BF178" i="5"/>
  <c r="BM178" i="5"/>
  <c r="BF412" i="5"/>
  <c r="BC412" i="5"/>
  <c r="BM412" i="5"/>
  <c r="BD412" i="5"/>
  <c r="BM277" i="5"/>
  <c r="BC277" i="5"/>
  <c r="BF277" i="5"/>
  <c r="BD277" i="5"/>
  <c r="BC432" i="5"/>
  <c r="BF432" i="5"/>
  <c r="BD432" i="5"/>
  <c r="BM432" i="5"/>
  <c r="BC469" i="5"/>
  <c r="BD469" i="5"/>
  <c r="BF469" i="5"/>
  <c r="BM469" i="5"/>
  <c r="BM197" i="5"/>
  <c r="BF197" i="5"/>
  <c r="BD197" i="5"/>
  <c r="BC197" i="5"/>
  <c r="BF301" i="5"/>
  <c r="BD301" i="5"/>
  <c r="BC301" i="5"/>
  <c r="BM301" i="5"/>
  <c r="BM37" i="5"/>
  <c r="BC37" i="5"/>
  <c r="BF37" i="5"/>
  <c r="BD37" i="5"/>
  <c r="BD108" i="5"/>
  <c r="BC108" i="5"/>
  <c r="BM108" i="5"/>
  <c r="BF108" i="5"/>
  <c r="BC414" i="5"/>
  <c r="BF414" i="5"/>
  <c r="BD414" i="5"/>
  <c r="BM414" i="5"/>
  <c r="BF74" i="5"/>
  <c r="BD74" i="5"/>
  <c r="BC74" i="5"/>
  <c r="BM74" i="5"/>
  <c r="BM396" i="5"/>
  <c r="BF396" i="5"/>
  <c r="BD396" i="5"/>
  <c r="BC396" i="5"/>
  <c r="BM421" i="5"/>
  <c r="BF421" i="5"/>
  <c r="BD421" i="5"/>
  <c r="BC421" i="5"/>
  <c r="BM206" i="5"/>
  <c r="BF206" i="5"/>
  <c r="BD206" i="5"/>
  <c r="BC206" i="5"/>
  <c r="BM281" i="5"/>
  <c r="BF281" i="5"/>
  <c r="BD281" i="5"/>
  <c r="BC281" i="5"/>
  <c r="BM29" i="5"/>
  <c r="BF29" i="5"/>
  <c r="BD29" i="5"/>
  <c r="BC29" i="5"/>
  <c r="BC488" i="5"/>
  <c r="BM488" i="5"/>
  <c r="BF488" i="5"/>
  <c r="BD488" i="5"/>
  <c r="BF486" i="5"/>
  <c r="BD486" i="5"/>
  <c r="BC486" i="5"/>
  <c r="BM486" i="5"/>
  <c r="BM154" i="5"/>
  <c r="BF154" i="5"/>
  <c r="BC154" i="5"/>
  <c r="BD154" i="5"/>
  <c r="BD394" i="5"/>
  <c r="BC394" i="5"/>
  <c r="BF394" i="5"/>
  <c r="BM394" i="5"/>
  <c r="BM143" i="5"/>
  <c r="BF143" i="5"/>
  <c r="BD143" i="5"/>
  <c r="BC143" i="5"/>
  <c r="BM158" i="5"/>
  <c r="BF158" i="5"/>
  <c r="BC158" i="5"/>
  <c r="BD158" i="5"/>
  <c r="BM144" i="5"/>
  <c r="BF144" i="5"/>
  <c r="BD144" i="5"/>
  <c r="BC144" i="5"/>
  <c r="BM146" i="5"/>
  <c r="BF146" i="5"/>
  <c r="BC146" i="5"/>
  <c r="BD146" i="5"/>
  <c r="BM465" i="5"/>
  <c r="BF465" i="5"/>
  <c r="BC465" i="5"/>
  <c r="BD465" i="5"/>
  <c r="BM147" i="5"/>
  <c r="BF147" i="5"/>
  <c r="BD147" i="5"/>
  <c r="BC147" i="5"/>
  <c r="BF485" i="5"/>
  <c r="BD485" i="5"/>
  <c r="BC485" i="5"/>
  <c r="BM485" i="5"/>
  <c r="BF20" i="5"/>
  <c r="BD20" i="5"/>
  <c r="BM20" i="5"/>
  <c r="BC20" i="5"/>
  <c r="BD359" i="5"/>
  <c r="BC359" i="5"/>
  <c r="BM359" i="5"/>
  <c r="BF359" i="5"/>
  <c r="BF215" i="5"/>
  <c r="BM215" i="5"/>
  <c r="BD215" i="5"/>
  <c r="BC215" i="5"/>
  <c r="BM157" i="5"/>
  <c r="BF157" i="5"/>
  <c r="BC157" i="5"/>
  <c r="BD157" i="5"/>
  <c r="BF129" i="5"/>
  <c r="BC129" i="5"/>
  <c r="BM129" i="5"/>
  <c r="BD129" i="5"/>
  <c r="BF334" i="5"/>
  <c r="BD334" i="5"/>
  <c r="BC334" i="5"/>
  <c r="BM334" i="5"/>
  <c r="BF126" i="5"/>
  <c r="BC126" i="5"/>
  <c r="BM126" i="5"/>
  <c r="BD126" i="5"/>
  <c r="BM361" i="5"/>
  <c r="BC361" i="5"/>
  <c r="BF361" i="5"/>
  <c r="BD361" i="5"/>
  <c r="BM91" i="5"/>
  <c r="BF91" i="5"/>
  <c r="BD91" i="5"/>
  <c r="BC91" i="5"/>
  <c r="BF410" i="5"/>
  <c r="BC410" i="5"/>
  <c r="BM410" i="5"/>
  <c r="BD410" i="5"/>
  <c r="BM489" i="5"/>
  <c r="BF489" i="5"/>
  <c r="BD489" i="5"/>
  <c r="BC489" i="5"/>
  <c r="BM222" i="5"/>
  <c r="BF222" i="5"/>
  <c r="BD222" i="5"/>
  <c r="BC222" i="5"/>
  <c r="BM211" i="5"/>
  <c r="BF211" i="5"/>
  <c r="BC211" i="5"/>
  <c r="BD211" i="5"/>
  <c r="BF300" i="5"/>
  <c r="BD300" i="5"/>
  <c r="BC300" i="5"/>
  <c r="BM300" i="5"/>
  <c r="BC283" i="5"/>
  <c r="BM283" i="5"/>
  <c r="BD283" i="5"/>
  <c r="BF283" i="5"/>
  <c r="BF365" i="5"/>
  <c r="BD365" i="5"/>
  <c r="BC365" i="5"/>
  <c r="BM365" i="5"/>
  <c r="BM208" i="5"/>
  <c r="BF208" i="5"/>
  <c r="BC208" i="5"/>
  <c r="BD208" i="5"/>
  <c r="BM195" i="5"/>
  <c r="BF195" i="5"/>
  <c r="BD195" i="5"/>
  <c r="BC195" i="5"/>
  <c r="BM19" i="5"/>
  <c r="BC19" i="5"/>
  <c r="BF19" i="5"/>
  <c r="BD19" i="5"/>
  <c r="BM356" i="5"/>
  <c r="BF356" i="5"/>
  <c r="BD356" i="5"/>
  <c r="BC356" i="5"/>
  <c r="BM473" i="5"/>
  <c r="BF473" i="5"/>
  <c r="BD473" i="5"/>
  <c r="BC473" i="5"/>
  <c r="BM111" i="5"/>
  <c r="BF111" i="5"/>
  <c r="BD111" i="5"/>
  <c r="BC111" i="5"/>
  <c r="BD475" i="5"/>
  <c r="BC475" i="5"/>
  <c r="BM475" i="5"/>
  <c r="BF475" i="5"/>
  <c r="BM89" i="5"/>
  <c r="BF89" i="5"/>
  <c r="BD89" i="5"/>
  <c r="BC89" i="5"/>
  <c r="BD96" i="5"/>
  <c r="BC96" i="5"/>
  <c r="BM96" i="5"/>
  <c r="BF96" i="5"/>
  <c r="BF467" i="5"/>
  <c r="BD467" i="5"/>
  <c r="BC467" i="5"/>
  <c r="BM467" i="5"/>
  <c r="BD468" i="5"/>
  <c r="BC468" i="5"/>
  <c r="BM468" i="5"/>
  <c r="BF468" i="5"/>
  <c r="BM107" i="5"/>
  <c r="BF107" i="5"/>
  <c r="BC107" i="5"/>
  <c r="BD107" i="5"/>
  <c r="BM187" i="5"/>
  <c r="BF187" i="5"/>
  <c r="BC187" i="5"/>
  <c r="BD187" i="5"/>
  <c r="BM391" i="5"/>
  <c r="BF391" i="5"/>
  <c r="BD391" i="5"/>
  <c r="BC391" i="5"/>
  <c r="BD431" i="5"/>
  <c r="BC431" i="5"/>
  <c r="BF431" i="5"/>
  <c r="BM431" i="5"/>
  <c r="BF419" i="5"/>
  <c r="BD419" i="5"/>
  <c r="BC419" i="5"/>
  <c r="BM419" i="5"/>
  <c r="BM464" i="5"/>
  <c r="BD464" i="5"/>
  <c r="BF464" i="5"/>
  <c r="BC464" i="5"/>
  <c r="BD367" i="5"/>
  <c r="BC367" i="5"/>
  <c r="BM367" i="5"/>
  <c r="BF367" i="5"/>
  <c r="BM320" i="5"/>
  <c r="BF320" i="5"/>
  <c r="BD320" i="5"/>
  <c r="BC320" i="5"/>
  <c r="BC324" i="5"/>
  <c r="BM324" i="5"/>
  <c r="BF324" i="5"/>
  <c r="BD324" i="5"/>
  <c r="BF405" i="5"/>
  <c r="BD405" i="5"/>
  <c r="BC405" i="5"/>
  <c r="BM405" i="5"/>
  <c r="BC476" i="5"/>
  <c r="BM476" i="5"/>
  <c r="BF476" i="5"/>
  <c r="BD476" i="5"/>
  <c r="BC9" i="5"/>
  <c r="BM9" i="5"/>
  <c r="BF9" i="5"/>
  <c r="BD9" i="5"/>
  <c r="BM23" i="5"/>
  <c r="BF23" i="5"/>
  <c r="BD23" i="5"/>
  <c r="BC23" i="5"/>
  <c r="BM112" i="5"/>
  <c r="BD112" i="5"/>
  <c r="BC112" i="5"/>
  <c r="BF112" i="5"/>
  <c r="BM120" i="5"/>
  <c r="BF120" i="5"/>
  <c r="BD120" i="5"/>
  <c r="BC120" i="5"/>
  <c r="BM203" i="5"/>
  <c r="BF203" i="5"/>
  <c r="BD203" i="5"/>
  <c r="BC203" i="5"/>
  <c r="BM376" i="5"/>
  <c r="BF376" i="5"/>
  <c r="BD376" i="5"/>
  <c r="BC376" i="5"/>
  <c r="BM483" i="5"/>
  <c r="BF483" i="5"/>
  <c r="BD483" i="5"/>
  <c r="BC483" i="5"/>
  <c r="BF322" i="5"/>
  <c r="BD322" i="5"/>
  <c r="BC322" i="5"/>
  <c r="BM322" i="5"/>
  <c r="BM308" i="5"/>
  <c r="BF308" i="5"/>
  <c r="BC308" i="5"/>
  <c r="BD308" i="5"/>
  <c r="BM484" i="5"/>
  <c r="BF484" i="5"/>
  <c r="BD484" i="5"/>
  <c r="BC484" i="5"/>
  <c r="BF387" i="5"/>
  <c r="BM387" i="5"/>
  <c r="BD387" i="5"/>
  <c r="BC387" i="5"/>
  <c r="BC500" i="5"/>
  <c r="BM500" i="5"/>
  <c r="BF500" i="5"/>
  <c r="BD500" i="5"/>
  <c r="BF455" i="5"/>
  <c r="BC455" i="5"/>
  <c r="BD455" i="5"/>
  <c r="BM455" i="5"/>
  <c r="BC457" i="5"/>
  <c r="BF457" i="5"/>
  <c r="BD457" i="5"/>
  <c r="BM457" i="5"/>
  <c r="BM188" i="5"/>
  <c r="BD188" i="5"/>
  <c r="BF188" i="5"/>
  <c r="BC188" i="5"/>
  <c r="BC336" i="5"/>
  <c r="BM336" i="5"/>
  <c r="BD336" i="5"/>
  <c r="BF336" i="5"/>
  <c r="BM403" i="5"/>
  <c r="BF403" i="5"/>
  <c r="BD403" i="5"/>
  <c r="BC403" i="5"/>
  <c r="BF133" i="5"/>
  <c r="BD133" i="5"/>
  <c r="BC133" i="5"/>
  <c r="BM133" i="5"/>
  <c r="BM343" i="5"/>
  <c r="BF343" i="5"/>
  <c r="BD343" i="5"/>
  <c r="BC343" i="5"/>
  <c r="BD184" i="5"/>
  <c r="BC184" i="5"/>
  <c r="BM184" i="5"/>
  <c r="BF184" i="5"/>
  <c r="BM104" i="5"/>
  <c r="BF104" i="5"/>
  <c r="BD104" i="5"/>
  <c r="BC104" i="5"/>
  <c r="BM152" i="5"/>
  <c r="BF152" i="5"/>
  <c r="BC152" i="5"/>
  <c r="BD152" i="5"/>
  <c r="BM97" i="5"/>
  <c r="BD97" i="5"/>
  <c r="BC97" i="5"/>
  <c r="BF97" i="5"/>
  <c r="BM119" i="5"/>
  <c r="BF119" i="5"/>
  <c r="BC119" i="5"/>
  <c r="BD119" i="5"/>
  <c r="BM309" i="5"/>
  <c r="BD309" i="5"/>
  <c r="BF309" i="5"/>
  <c r="BC309" i="5"/>
  <c r="BF288" i="5"/>
  <c r="BD288" i="5"/>
  <c r="BC288" i="5"/>
  <c r="BM288" i="5"/>
  <c r="BM141" i="5"/>
  <c r="BC141" i="5"/>
  <c r="BF141" i="5"/>
  <c r="BD141" i="5"/>
  <c r="BD347" i="5"/>
  <c r="BC347" i="5"/>
  <c r="BM347" i="5"/>
  <c r="BF347" i="5"/>
  <c r="BM116" i="5"/>
  <c r="BF116" i="5"/>
  <c r="BD116" i="5"/>
  <c r="BC116" i="5"/>
  <c r="BM453" i="5"/>
  <c r="BF453" i="5"/>
  <c r="BD453" i="5"/>
  <c r="BC453" i="5"/>
  <c r="BM189" i="5"/>
  <c r="BF189" i="5"/>
  <c r="BD189" i="5"/>
  <c r="BC189" i="5"/>
  <c r="BF56" i="5"/>
  <c r="BD56" i="5"/>
  <c r="BC56" i="5"/>
  <c r="BM56" i="5"/>
  <c r="BF68" i="5"/>
  <c r="BC68" i="5"/>
  <c r="BM68" i="5"/>
  <c r="BD68" i="5"/>
  <c r="BF94" i="5"/>
  <c r="BD94" i="5"/>
  <c r="BC94" i="5"/>
  <c r="BM94" i="5"/>
  <c r="BD499" i="5"/>
  <c r="BC499" i="5"/>
  <c r="BM499" i="5"/>
  <c r="BF499" i="5"/>
  <c r="BM156" i="5"/>
  <c r="BF156" i="5"/>
  <c r="BD156" i="5"/>
  <c r="BC156" i="5"/>
  <c r="BF366" i="5"/>
  <c r="BD366" i="5"/>
  <c r="BC366" i="5"/>
  <c r="BM366" i="5"/>
  <c r="BD437" i="5"/>
  <c r="BC437" i="5"/>
  <c r="BM437" i="5"/>
  <c r="BF437" i="5"/>
  <c r="BM328" i="5"/>
  <c r="BF328" i="5"/>
  <c r="BC328" i="5"/>
  <c r="BD328" i="5"/>
  <c r="BM389" i="5"/>
  <c r="BF389" i="5"/>
  <c r="BC389" i="5"/>
  <c r="BD389" i="5"/>
  <c r="BM443" i="5"/>
  <c r="BF443" i="5"/>
  <c r="BD443" i="5"/>
  <c r="BC443" i="5"/>
  <c r="BM161" i="5"/>
  <c r="BF161" i="5"/>
  <c r="BD161" i="5"/>
  <c r="BC161" i="5"/>
  <c r="BM93" i="5"/>
  <c r="BF93" i="5"/>
  <c r="BD93" i="5"/>
  <c r="BC93" i="5"/>
  <c r="BF34" i="5"/>
  <c r="BD34" i="5"/>
  <c r="BC34" i="5"/>
  <c r="BM34" i="5"/>
  <c r="BD441" i="5"/>
  <c r="BC441" i="5"/>
  <c r="BM441" i="5"/>
  <c r="BF441" i="5"/>
  <c r="BC85" i="5"/>
  <c r="BM85" i="5"/>
  <c r="BF85" i="5"/>
  <c r="BD85" i="5"/>
  <c r="BM388" i="5"/>
  <c r="BD388" i="5"/>
  <c r="BF388" i="5"/>
  <c r="BC388" i="5"/>
  <c r="BM342" i="5"/>
  <c r="BF342" i="5"/>
  <c r="BD342" i="5"/>
  <c r="BC342" i="5"/>
  <c r="BM148" i="5"/>
  <c r="BF148" i="5"/>
  <c r="BC148" i="5"/>
  <c r="BD148" i="5"/>
  <c r="BF392" i="5"/>
  <c r="BD392" i="5"/>
  <c r="BC392" i="5"/>
  <c r="BM392" i="5"/>
  <c r="BF124" i="5"/>
  <c r="BC124" i="5"/>
  <c r="BM124" i="5"/>
  <c r="BD124" i="5"/>
  <c r="BM330" i="5"/>
  <c r="BF330" i="5"/>
  <c r="BD330" i="5"/>
  <c r="BC330" i="5"/>
  <c r="BM69" i="5"/>
  <c r="BF69" i="5"/>
  <c r="BD69" i="5"/>
  <c r="BC69" i="5"/>
  <c r="BM284" i="5"/>
  <c r="BF284" i="5"/>
  <c r="BD284" i="5"/>
  <c r="BC284" i="5"/>
  <c r="BC115" i="5"/>
  <c r="BM115" i="5"/>
  <c r="BF115" i="5"/>
  <c r="BD115" i="5"/>
  <c r="BM373" i="5"/>
  <c r="BF373" i="5"/>
  <c r="BD373" i="5"/>
  <c r="BC373" i="5"/>
  <c r="BM505" i="5"/>
  <c r="BF505" i="5"/>
  <c r="BD505" i="5"/>
  <c r="BC505" i="5"/>
  <c r="BC395" i="5"/>
  <c r="BF395" i="5"/>
  <c r="BD395" i="5"/>
  <c r="BM395" i="5"/>
  <c r="BC303" i="5"/>
  <c r="BM303" i="5"/>
  <c r="BF303" i="5"/>
  <c r="BD303" i="5"/>
  <c r="BM99" i="5"/>
  <c r="BF99" i="5"/>
  <c r="BD99" i="5"/>
  <c r="BC99" i="5"/>
  <c r="BF436" i="5"/>
  <c r="BD436" i="5"/>
  <c r="BM436" i="5"/>
  <c r="BC436" i="5"/>
  <c r="BC442" i="5"/>
  <c r="BM442" i="5"/>
  <c r="BF442" i="5"/>
  <c r="BD442" i="5"/>
  <c r="BM193" i="5"/>
  <c r="BF193" i="5"/>
  <c r="BD193" i="5"/>
  <c r="BC193" i="5"/>
  <c r="BD335" i="5"/>
  <c r="BC335" i="5"/>
  <c r="BM335" i="5"/>
  <c r="BF335" i="5"/>
  <c r="BM35" i="5"/>
  <c r="BF35" i="5"/>
  <c r="BD35" i="5"/>
  <c r="BC35" i="5"/>
  <c r="BF435" i="5"/>
  <c r="BM435" i="5"/>
  <c r="BD435" i="5"/>
  <c r="BC435" i="5"/>
  <c r="BD382" i="5"/>
  <c r="BC382" i="5"/>
  <c r="BM382" i="5"/>
  <c r="BF382" i="5"/>
  <c r="BM423" i="5"/>
  <c r="BF423" i="5"/>
  <c r="BD423" i="5"/>
  <c r="BC423" i="5"/>
  <c r="BM280" i="5"/>
  <c r="BF280" i="5"/>
  <c r="BD280" i="5"/>
  <c r="BC280" i="5"/>
  <c r="BF40" i="5"/>
  <c r="BD40" i="5"/>
  <c r="BC40" i="5"/>
  <c r="BM40" i="5"/>
  <c r="BD456" i="5"/>
  <c r="BM456" i="5"/>
  <c r="BF456" i="5"/>
  <c r="BC456" i="5"/>
  <c r="BM340" i="5"/>
  <c r="BF340" i="5"/>
  <c r="BC340" i="5"/>
  <c r="BD340" i="5"/>
  <c r="BM401" i="5"/>
  <c r="BF401" i="5"/>
  <c r="BD401" i="5"/>
  <c r="BC401" i="5"/>
  <c r="BF132" i="5"/>
  <c r="BD132" i="5"/>
  <c r="BC132" i="5"/>
  <c r="BM132" i="5"/>
  <c r="BM149" i="5"/>
  <c r="BF149" i="5"/>
  <c r="BC149" i="5"/>
  <c r="BD149" i="5"/>
  <c r="BC295" i="5"/>
  <c r="BF295" i="5"/>
  <c r="BD295" i="5"/>
  <c r="BM295" i="5"/>
  <c r="BM136" i="5"/>
  <c r="BF136" i="5"/>
  <c r="BD136" i="5"/>
  <c r="BC136" i="5"/>
  <c r="BF459" i="5"/>
  <c r="BD459" i="5"/>
  <c r="BC459" i="5"/>
  <c r="BM459" i="5"/>
  <c r="BC427" i="5"/>
  <c r="BM427" i="5"/>
  <c r="BD427" i="5"/>
  <c r="BF427" i="5"/>
  <c r="BF46" i="5"/>
  <c r="BD46" i="5"/>
  <c r="BC46" i="5"/>
  <c r="BM46" i="5"/>
  <c r="BM362" i="5"/>
  <c r="BF362" i="5"/>
  <c r="BD362" i="5"/>
  <c r="BC362" i="5"/>
  <c r="BM109" i="5"/>
  <c r="BF109" i="5"/>
  <c r="BD109" i="5"/>
  <c r="BC109" i="5"/>
  <c r="BF448" i="5"/>
  <c r="BD448" i="5"/>
  <c r="BC448" i="5"/>
  <c r="BM448" i="5"/>
  <c r="BM54" i="5"/>
  <c r="BD54" i="5"/>
  <c r="BC54" i="5"/>
  <c r="BF54" i="5"/>
  <c r="BF123" i="5"/>
  <c r="BM123" i="5"/>
  <c r="BD123" i="5"/>
  <c r="BC123" i="5"/>
  <c r="BF113" i="5"/>
  <c r="BD113" i="5"/>
  <c r="BC113" i="5"/>
  <c r="BM113" i="5"/>
  <c r="BD380" i="5"/>
  <c r="BM380" i="5"/>
  <c r="BF380" i="5"/>
  <c r="BC380" i="5"/>
  <c r="BM151" i="5"/>
  <c r="BF151" i="5"/>
  <c r="BC151" i="5"/>
  <c r="BD151" i="5"/>
  <c r="BM17" i="5"/>
  <c r="BF17" i="5"/>
  <c r="BD17" i="5"/>
  <c r="BC17" i="5"/>
  <c r="BF381" i="5"/>
  <c r="BC381" i="5"/>
  <c r="BM381" i="5"/>
  <c r="BD381" i="5"/>
  <c r="BC79" i="5"/>
  <c r="BM79" i="5"/>
  <c r="BF79" i="5"/>
  <c r="BD79" i="5"/>
  <c r="BF98" i="5"/>
  <c r="BM98" i="5"/>
  <c r="BD98" i="5"/>
  <c r="BC98" i="5"/>
  <c r="BF393" i="5"/>
  <c r="BD393" i="5"/>
  <c r="BC393" i="5"/>
  <c r="BM393" i="5"/>
  <c r="BF447" i="5"/>
  <c r="BD447" i="5"/>
  <c r="BM447" i="5"/>
  <c r="BC447" i="5"/>
  <c r="BM450" i="5"/>
  <c r="BF450" i="5"/>
  <c r="BC450" i="5"/>
  <c r="BD450" i="5"/>
  <c r="BM171" i="5"/>
  <c r="BD171" i="5"/>
  <c r="BC171" i="5"/>
  <c r="BF171" i="5"/>
  <c r="BM349" i="5"/>
  <c r="BF349" i="5"/>
  <c r="BC349" i="5"/>
  <c r="BD349" i="5"/>
  <c r="BM463" i="5"/>
  <c r="BF463" i="5"/>
  <c r="BC463" i="5"/>
  <c r="BD463" i="5"/>
  <c r="BF313" i="5"/>
  <c r="BD313" i="5"/>
  <c r="BC313" i="5"/>
  <c r="BM313" i="5"/>
  <c r="BF429" i="5"/>
  <c r="BM429" i="5"/>
  <c r="BC429" i="5"/>
  <c r="BD429" i="5"/>
  <c r="BM76" i="5"/>
  <c r="BD76" i="5"/>
  <c r="BF76" i="5"/>
  <c r="BC76" i="5"/>
  <c r="BF118" i="5"/>
  <c r="BD118" i="5"/>
  <c r="BM118" i="5"/>
  <c r="BC118" i="5"/>
  <c r="BF333" i="5"/>
  <c r="BD333" i="5"/>
  <c r="BC333" i="5"/>
  <c r="BM333" i="5"/>
  <c r="BF289" i="5"/>
  <c r="BD289" i="5"/>
  <c r="BC289" i="5"/>
  <c r="BM289" i="5"/>
  <c r="BM25" i="5"/>
  <c r="BC25" i="5"/>
  <c r="BD25" i="5"/>
  <c r="BF25" i="5"/>
  <c r="BM145" i="5"/>
  <c r="BF145" i="5"/>
  <c r="BC145" i="5"/>
  <c r="BD145" i="5"/>
  <c r="BF497" i="5"/>
  <c r="BD497" i="5"/>
  <c r="BC497" i="5"/>
  <c r="BM497" i="5"/>
  <c r="BM352" i="5"/>
  <c r="BF352" i="5"/>
  <c r="BC352" i="5"/>
  <c r="BD352" i="5"/>
  <c r="BD290" i="5"/>
  <c r="BC290" i="5"/>
  <c r="BF290" i="5"/>
  <c r="BM290" i="5"/>
  <c r="BM319" i="5"/>
  <c r="BF319" i="5"/>
  <c r="BD319" i="5"/>
  <c r="BC319" i="5"/>
  <c r="BF80" i="5"/>
  <c r="BD80" i="5"/>
  <c r="BC80" i="5"/>
  <c r="BM80" i="5"/>
  <c r="BF110" i="5"/>
  <c r="BD110" i="5"/>
  <c r="BM110" i="5"/>
  <c r="BC110" i="5"/>
  <c r="BD323" i="5"/>
  <c r="BC323" i="5"/>
  <c r="BF323" i="5"/>
  <c r="BM323" i="5"/>
  <c r="BM495" i="5"/>
  <c r="BF495" i="5"/>
  <c r="BC495" i="5"/>
  <c r="BD495" i="5"/>
  <c r="BC65" i="5"/>
  <c r="BM65" i="5"/>
  <c r="BF65" i="5"/>
  <c r="BD65" i="5"/>
  <c r="BM434" i="5"/>
  <c r="BF434" i="5"/>
  <c r="BD434" i="5"/>
  <c r="BC434" i="5"/>
  <c r="BF10" i="5"/>
  <c r="BC10" i="5"/>
  <c r="BM10" i="5"/>
  <c r="BD10" i="5"/>
  <c r="BM204" i="5"/>
  <c r="BD204" i="5"/>
  <c r="BC204" i="5"/>
  <c r="BF204" i="5"/>
  <c r="BM355" i="5"/>
  <c r="BF355" i="5"/>
  <c r="BD355" i="5"/>
  <c r="BC355" i="5"/>
  <c r="BM24" i="5"/>
  <c r="BF24" i="5"/>
  <c r="BD24" i="5"/>
  <c r="BC24" i="5"/>
  <c r="BM287" i="5"/>
  <c r="BF287" i="5"/>
  <c r="BD287" i="5"/>
  <c r="BC287" i="5"/>
  <c r="BM92" i="5"/>
  <c r="BF92" i="5"/>
  <c r="BC92" i="5"/>
  <c r="BD92" i="5"/>
  <c r="BM496" i="5"/>
  <c r="BF496" i="5"/>
  <c r="BD496" i="5"/>
  <c r="BC496" i="5"/>
  <c r="BM444" i="5"/>
  <c r="BF444" i="5"/>
  <c r="BC444" i="5"/>
  <c r="BD444" i="5"/>
  <c r="BD487" i="5"/>
  <c r="BC487" i="5"/>
  <c r="BM487" i="5"/>
  <c r="BF487" i="5"/>
  <c r="BF321" i="5"/>
  <c r="BD321" i="5"/>
  <c r="BC321" i="5"/>
  <c r="BM321" i="5"/>
  <c r="BM446" i="5"/>
  <c r="BF446" i="5"/>
  <c r="BC446" i="5"/>
  <c r="BD446" i="5"/>
  <c r="BF130" i="5"/>
  <c r="BC130" i="5"/>
  <c r="BM130" i="5"/>
  <c r="BD130" i="5"/>
  <c r="BF358" i="5"/>
  <c r="BD358" i="5"/>
  <c r="BC358" i="5"/>
  <c r="BM358" i="5"/>
  <c r="BD426" i="5"/>
  <c r="BC426" i="5"/>
  <c r="BF426" i="5"/>
  <c r="BM426" i="5"/>
  <c r="BF346" i="5"/>
  <c r="BD346" i="5"/>
  <c r="BC346" i="5"/>
  <c r="BM346" i="5"/>
  <c r="BM491" i="5"/>
  <c r="BF491" i="5"/>
  <c r="BD491" i="5"/>
  <c r="BC491" i="5"/>
  <c r="BM221" i="5"/>
  <c r="BF221" i="5"/>
  <c r="BD221" i="5"/>
  <c r="BC221" i="5"/>
  <c r="BM153" i="5"/>
  <c r="BF153" i="5"/>
  <c r="BD153" i="5"/>
  <c r="BC153" i="5"/>
  <c r="BF498" i="5"/>
  <c r="BD498" i="5"/>
  <c r="BC498" i="5"/>
  <c r="BM498" i="5"/>
  <c r="BM31" i="5"/>
  <c r="BC31" i="5"/>
  <c r="BF31" i="5"/>
  <c r="BD31" i="5"/>
  <c r="BM51" i="5"/>
  <c r="BF51" i="5"/>
  <c r="BD51" i="5"/>
  <c r="BC51" i="5"/>
  <c r="BC291" i="5"/>
  <c r="BM291" i="5"/>
  <c r="BF291" i="5"/>
  <c r="BD291" i="5"/>
  <c r="BM159" i="5"/>
  <c r="BF159" i="5"/>
  <c r="BD159" i="5"/>
  <c r="BC159" i="5"/>
  <c r="BC39" i="5"/>
  <c r="BM39" i="5"/>
  <c r="BF39" i="5"/>
  <c r="BD39" i="5"/>
  <c r="BD470" i="5"/>
  <c r="BC470" i="5"/>
  <c r="BM470" i="5"/>
  <c r="BF470" i="5"/>
  <c r="BF404" i="5"/>
  <c r="BD404" i="5"/>
  <c r="BC404" i="5"/>
  <c r="BM404" i="5"/>
  <c r="BC438" i="5"/>
  <c r="BF438" i="5"/>
  <c r="BD438" i="5"/>
  <c r="BM438" i="5"/>
  <c r="BF28" i="5"/>
  <c r="BD28" i="5"/>
  <c r="BC28" i="5"/>
  <c r="BM28" i="5"/>
  <c r="BD302" i="5"/>
  <c r="BC302" i="5"/>
  <c r="BM302" i="5"/>
  <c r="BF302" i="5"/>
  <c r="BM13" i="5"/>
  <c r="BC13" i="5"/>
  <c r="BD13" i="5"/>
  <c r="BF13" i="5"/>
  <c r="BM504" i="5"/>
  <c r="BF504" i="5"/>
  <c r="BD504" i="5"/>
  <c r="BC504" i="5"/>
  <c r="BM364" i="5"/>
  <c r="BF364" i="5"/>
  <c r="BD364" i="5"/>
  <c r="BC364" i="5"/>
  <c r="BC471" i="5"/>
  <c r="BM471" i="5"/>
  <c r="BD471" i="5"/>
  <c r="BF471" i="5"/>
  <c r="BC368" i="5"/>
  <c r="BM368" i="5"/>
  <c r="BF368" i="5"/>
  <c r="BD368" i="5"/>
  <c r="BF357" i="5"/>
  <c r="BD357" i="5"/>
  <c r="BC357" i="5"/>
  <c r="BM357" i="5"/>
  <c r="BM207" i="5"/>
  <c r="BF207" i="5"/>
  <c r="BC207" i="5"/>
  <c r="BD207" i="5"/>
  <c r="BF474" i="5"/>
  <c r="BD474" i="5"/>
  <c r="BC474" i="5"/>
  <c r="BM474" i="5"/>
  <c r="BF384" i="5"/>
  <c r="BD384" i="5"/>
  <c r="BC384" i="5"/>
  <c r="BM384" i="5"/>
  <c r="BM379" i="5"/>
  <c r="BF379" i="5"/>
  <c r="BD379" i="5"/>
  <c r="BC379" i="5"/>
  <c r="BM481" i="5"/>
  <c r="BD481" i="5"/>
  <c r="BF481" i="5"/>
  <c r="BC481" i="5"/>
  <c r="BD186" i="5"/>
  <c r="BC186" i="5"/>
  <c r="BM186" i="5"/>
  <c r="BF186" i="5"/>
  <c r="BM57" i="5"/>
  <c r="BF57" i="5"/>
  <c r="BD57" i="5"/>
  <c r="BC57" i="5"/>
  <c r="BD314" i="5"/>
  <c r="BC314" i="5"/>
  <c r="BM314" i="5"/>
  <c r="BF314" i="5"/>
  <c r="BM217" i="5"/>
  <c r="BF217" i="5"/>
  <c r="BD217" i="5"/>
  <c r="BC217" i="5"/>
  <c r="BC407" i="5"/>
  <c r="BM407" i="5"/>
  <c r="BD407" i="5"/>
  <c r="BF407" i="5"/>
  <c r="BM41" i="5"/>
  <c r="BF41" i="5"/>
  <c r="BD41" i="5"/>
  <c r="BC41" i="5"/>
  <c r="BM344" i="5"/>
  <c r="BF344" i="5"/>
  <c r="BD344" i="5"/>
  <c r="BC344" i="5"/>
  <c r="BF83" i="5"/>
  <c r="BC83" i="5"/>
  <c r="BM83" i="5"/>
  <c r="BD83" i="5"/>
  <c r="BM218" i="5"/>
  <c r="BF218" i="5"/>
  <c r="BC218" i="5"/>
  <c r="BD218" i="5"/>
  <c r="BM285" i="5"/>
  <c r="BD285" i="5"/>
  <c r="BC285" i="5"/>
  <c r="BF285" i="5"/>
  <c r="BF127" i="5"/>
  <c r="BC127" i="5"/>
  <c r="BM127" i="5"/>
  <c r="BD127" i="5"/>
  <c r="BF44" i="5"/>
  <c r="BD44" i="5"/>
  <c r="BC44" i="5"/>
  <c r="BM44" i="5"/>
  <c r="BM114" i="5"/>
  <c r="BF114" i="5"/>
  <c r="BD114" i="5"/>
  <c r="BC114" i="5"/>
  <c r="BD449" i="5"/>
  <c r="BC449" i="5"/>
  <c r="BF449" i="5"/>
  <c r="BM449" i="5"/>
  <c r="BF345" i="5"/>
  <c r="BD345" i="5"/>
  <c r="BC345" i="5"/>
  <c r="BM345" i="5"/>
  <c r="BF337" i="5"/>
  <c r="BD337" i="5"/>
  <c r="BC337" i="5"/>
  <c r="BM337" i="5"/>
  <c r="BC372" i="5"/>
  <c r="BM372" i="5"/>
  <c r="BF372" i="5"/>
  <c r="BD372" i="5"/>
  <c r="BF212" i="5"/>
  <c r="BC212" i="5"/>
  <c r="BD212" i="5"/>
  <c r="BM212" i="5"/>
  <c r="BD460" i="5"/>
  <c r="BM460" i="5"/>
  <c r="BF460" i="5"/>
  <c r="BC460" i="5"/>
  <c r="BM296" i="5"/>
  <c r="BF296" i="5"/>
  <c r="BD296" i="5"/>
  <c r="BC296" i="5"/>
  <c r="BM18" i="5"/>
  <c r="BF18" i="5"/>
  <c r="BD18" i="5"/>
  <c r="BC18" i="5"/>
  <c r="BD307" i="5"/>
  <c r="BC307" i="5"/>
  <c r="BM307" i="5"/>
  <c r="BF307" i="5"/>
  <c r="BC45" i="5"/>
  <c r="BM45" i="5"/>
  <c r="BF45" i="5"/>
  <c r="BD45" i="5"/>
  <c r="BM385" i="5"/>
  <c r="BF385" i="5"/>
  <c r="BD385" i="5"/>
  <c r="BC385" i="5"/>
  <c r="AT218" i="5"/>
  <c r="AT114" i="5"/>
  <c r="AT35" i="5"/>
  <c r="AT203" i="5"/>
  <c r="AT56" i="5"/>
  <c r="AT110" i="5"/>
  <c r="AT58" i="5"/>
  <c r="AT83" i="5"/>
  <c r="AT182" i="5"/>
  <c r="AT112" i="5"/>
  <c r="AT127" i="5"/>
  <c r="AT91" i="5"/>
  <c r="AT92" i="5"/>
  <c r="AT171" i="5"/>
  <c r="AT76" i="5"/>
  <c r="AT118" i="5"/>
  <c r="AT204" i="5"/>
  <c r="AT19" i="5"/>
  <c r="AT129" i="5"/>
  <c r="AT108" i="5"/>
  <c r="AT81" i="5"/>
  <c r="AT25" i="5"/>
  <c r="AT37" i="5"/>
  <c r="AT219" i="5"/>
  <c r="AT18" i="5"/>
  <c r="AT117" i="5"/>
  <c r="AT170" i="5"/>
  <c r="AT177" i="5"/>
  <c r="AT194" i="5"/>
  <c r="AT216" i="5"/>
  <c r="AT42" i="5"/>
  <c r="AE5" i="5"/>
  <c r="AM5" i="5"/>
  <c r="AT60" i="5"/>
  <c r="AT190" i="5"/>
  <c r="AT63" i="5"/>
  <c r="AT50" i="5"/>
  <c r="AE47" i="5"/>
  <c r="AM47" i="5"/>
  <c r="AT12" i="5"/>
  <c r="AT84" i="5"/>
  <c r="AE184" i="5"/>
  <c r="AM184" i="5"/>
  <c r="AT72" i="5"/>
  <c r="AT70" i="5"/>
  <c r="AT71" i="5"/>
  <c r="AT128" i="5"/>
  <c r="BM135" i="5" l="1"/>
  <c r="BF135" i="5"/>
  <c r="BC135" i="5"/>
  <c r="BF6" i="5"/>
  <c r="BF172" i="5"/>
  <c r="BC6" i="5"/>
  <c r="BD6" i="5"/>
  <c r="BC172" i="5"/>
  <c r="BC82" i="5"/>
  <c r="BM172" i="5"/>
  <c r="BD82" i="5"/>
  <c r="BF82" i="5"/>
  <c r="BM16" i="5"/>
  <c r="BD16" i="5"/>
  <c r="BF16" i="5"/>
  <c r="BM174" i="5"/>
  <c r="BC174" i="5"/>
  <c r="BF174" i="5"/>
  <c r="AU218" i="5"/>
  <c r="AV218" i="5" s="1"/>
  <c r="AY218" i="5" s="1"/>
  <c r="BC11" i="5"/>
  <c r="BD11" i="5"/>
  <c r="BF11" i="5"/>
  <c r="AU114" i="5"/>
  <c r="AV114" i="5" s="1"/>
  <c r="AY114" i="5" s="1"/>
  <c r="AU35" i="5"/>
  <c r="AV35" i="5" s="1"/>
  <c r="AY35" i="5" s="1"/>
  <c r="AU203" i="5"/>
  <c r="AV203" i="5" s="1"/>
  <c r="AY203" i="5" s="1"/>
  <c r="BD95" i="5"/>
  <c r="BD209" i="5"/>
  <c r="BC95" i="5"/>
  <c r="BM90" i="5"/>
  <c r="BC90" i="5"/>
  <c r="BM95" i="5"/>
  <c r="BF100" i="5"/>
  <c r="BM209" i="5"/>
  <c r="BC209" i="5"/>
  <c r="BM100" i="5"/>
  <c r="BD90" i="5"/>
  <c r="BF27" i="5"/>
  <c r="BM27" i="5"/>
  <c r="AU56" i="5"/>
  <c r="AV56" i="5" s="1"/>
  <c r="AY56" i="5" s="1"/>
  <c r="BC88" i="5"/>
  <c r="BD88" i="5"/>
  <c r="BD100" i="5"/>
  <c r="AU110" i="5"/>
  <c r="AV110" i="5" s="1"/>
  <c r="AY110" i="5" s="1"/>
  <c r="BF88" i="5"/>
  <c r="BF169" i="5"/>
  <c r="BD3" i="5"/>
  <c r="BF225" i="5"/>
  <c r="BM3" i="5"/>
  <c r="BC3" i="5"/>
  <c r="BD225" i="5"/>
  <c r="BD140" i="5"/>
  <c r="BM140" i="5"/>
  <c r="BD27" i="5"/>
  <c r="BD49" i="5"/>
  <c r="AU83" i="5"/>
  <c r="AV83" i="5" s="1"/>
  <c r="AY83" i="5" s="1"/>
  <c r="AU58" i="5"/>
  <c r="AV58" i="5" s="1"/>
  <c r="AY58" i="5" s="1"/>
  <c r="BF49" i="5"/>
  <c r="BF168" i="5"/>
  <c r="BD168" i="5"/>
  <c r="BC49" i="5"/>
  <c r="BM225" i="5"/>
  <c r="BM168" i="5"/>
  <c r="BC139" i="5"/>
  <c r="BC32" i="5"/>
  <c r="BF32" i="5"/>
  <c r="AU112" i="5"/>
  <c r="AV112" i="5" s="1"/>
  <c r="AY112" i="5" s="1"/>
  <c r="AU182" i="5"/>
  <c r="AV182" i="5" s="1"/>
  <c r="AY182" i="5" s="1"/>
  <c r="BM169" i="5"/>
  <c r="BC205" i="5"/>
  <c r="BC169" i="5"/>
  <c r="BD205" i="5"/>
  <c r="BC59" i="5"/>
  <c r="BF205" i="5"/>
  <c r="BM32" i="5"/>
  <c r="AU91" i="5"/>
  <c r="AV91" i="5" s="1"/>
  <c r="AY91" i="5" s="1"/>
  <c r="AU127" i="5"/>
  <c r="AV127" i="5" s="1"/>
  <c r="AY127" i="5" s="1"/>
  <c r="BC53" i="5"/>
  <c r="BD53" i="5"/>
  <c r="BF59" i="5"/>
  <c r="AU92" i="5"/>
  <c r="AV92" i="5" s="1"/>
  <c r="AY92" i="5" s="1"/>
  <c r="BM77" i="5"/>
  <c r="BD77" i="5"/>
  <c r="BM22" i="5"/>
  <c r="BD139" i="5"/>
  <c r="BF53" i="5"/>
  <c r="BC30" i="5"/>
  <c r="BM59" i="5"/>
  <c r="BF52" i="5"/>
  <c r="BD30" i="5"/>
  <c r="BC52" i="5"/>
  <c r="BF30" i="5"/>
  <c r="BD52" i="5"/>
  <c r="BC22" i="5"/>
  <c r="BC105" i="5"/>
  <c r="BC77" i="5"/>
  <c r="BD105" i="5"/>
  <c r="BF22" i="5"/>
  <c r="BF73" i="5"/>
  <c r="BF61" i="5"/>
  <c r="BM179" i="5"/>
  <c r="BM105" i="5"/>
  <c r="BM61" i="5"/>
  <c r="BC179" i="5"/>
  <c r="BD61" i="5"/>
  <c r="BD179" i="5"/>
  <c r="BM125" i="5"/>
  <c r="AU204" i="5"/>
  <c r="AV204" i="5" s="1"/>
  <c r="AY204" i="5" s="1"/>
  <c r="AU118" i="5"/>
  <c r="AV118" i="5" s="1"/>
  <c r="AY118" i="5" s="1"/>
  <c r="AU76" i="5"/>
  <c r="AV76" i="5" s="1"/>
  <c r="AY76" i="5" s="1"/>
  <c r="AU171" i="5"/>
  <c r="AV171" i="5" s="1"/>
  <c r="AY171" i="5" s="1"/>
  <c r="BM73" i="5"/>
  <c r="BC173" i="5"/>
  <c r="BD173" i="5"/>
  <c r="BD199" i="5"/>
  <c r="BF7" i="5"/>
  <c r="BF173" i="5"/>
  <c r="BD122" i="5"/>
  <c r="BD7" i="5"/>
  <c r="BD73" i="5"/>
  <c r="BM142" i="5"/>
  <c r="BC7" i="5"/>
  <c r="BF140" i="5"/>
  <c r="BF199" i="5"/>
  <c r="AU37" i="5"/>
  <c r="AV37" i="5" s="1"/>
  <c r="AY37" i="5" s="1"/>
  <c r="AU25" i="5"/>
  <c r="AV25" i="5" s="1"/>
  <c r="AY25" i="5" s="1"/>
  <c r="AU81" i="5"/>
  <c r="AV81" i="5" s="1"/>
  <c r="AY81" i="5" s="1"/>
  <c r="AU108" i="5"/>
  <c r="AV108" i="5" s="1"/>
  <c r="AY108" i="5" s="1"/>
  <c r="AU129" i="5"/>
  <c r="AV129" i="5" s="1"/>
  <c r="AY129" i="5" s="1"/>
  <c r="AU19" i="5"/>
  <c r="AV19" i="5" s="1"/>
  <c r="AY19" i="5" s="1"/>
  <c r="BD200" i="5"/>
  <c r="BM200" i="5"/>
  <c r="BM176" i="5"/>
  <c r="BM4" i="5"/>
  <c r="BD62" i="5"/>
  <c r="BD196" i="5"/>
  <c r="BD125" i="5"/>
  <c r="BD142" i="5"/>
  <c r="BD43" i="5"/>
  <c r="BC176" i="5"/>
  <c r="BC14" i="5"/>
  <c r="BC4" i="5"/>
  <c r="BM62" i="5"/>
  <c r="BF196" i="5"/>
  <c r="BF142" i="5"/>
  <c r="BC43" i="5"/>
  <c r="BD176" i="5"/>
  <c r="BF14" i="5"/>
  <c r="BF4" i="5"/>
  <c r="BC62" i="5"/>
  <c r="BC199" i="5"/>
  <c r="BD137" i="5"/>
  <c r="BF137" i="5"/>
  <c r="BD14" i="5"/>
  <c r="BM137" i="5"/>
  <c r="BM43" i="5"/>
  <c r="BF125" i="5"/>
  <c r="BC200" i="5"/>
  <c r="BF75" i="5"/>
  <c r="BD75" i="5"/>
  <c r="BC75" i="5"/>
  <c r="BM75" i="5"/>
  <c r="BM223" i="5"/>
  <c r="BF223" i="5"/>
  <c r="BC223" i="5"/>
  <c r="BF87" i="5"/>
  <c r="BM87" i="5"/>
  <c r="BC87" i="5"/>
  <c r="BD87" i="5"/>
  <c r="BD223" i="5"/>
  <c r="BF175" i="5"/>
  <c r="BF139" i="5"/>
  <c r="BM175" i="5"/>
  <c r="BM220" i="5"/>
  <c r="BF220" i="5"/>
  <c r="BC220" i="5"/>
  <c r="BD220" i="5"/>
  <c r="BD175" i="5"/>
  <c r="AU18" i="5"/>
  <c r="AV18" i="5" s="1"/>
  <c r="AY18" i="5" s="1"/>
  <c r="AU219" i="5"/>
  <c r="AV219" i="5" s="1"/>
  <c r="AY219" i="5" s="1"/>
  <c r="BM102" i="5"/>
  <c r="BM181" i="5"/>
  <c r="BD181" i="5"/>
  <c r="BC181" i="5"/>
  <c r="BF181" i="5"/>
  <c r="BC196" i="5"/>
  <c r="BF33" i="5"/>
  <c r="BC102" i="5"/>
  <c r="BD180" i="5"/>
  <c r="BM180" i="5"/>
  <c r="BC180" i="5"/>
  <c r="BF180" i="5"/>
  <c r="BD102" i="5"/>
  <c r="BD191" i="5"/>
  <c r="BF191" i="5"/>
  <c r="BM191" i="5"/>
  <c r="BF219" i="5"/>
  <c r="BM219" i="5"/>
  <c r="BD219" i="5"/>
  <c r="BC219" i="5"/>
  <c r="BF185" i="5"/>
  <c r="BD185" i="5"/>
  <c r="BC185" i="5"/>
  <c r="BM185" i="5"/>
  <c r="AU216" i="5"/>
  <c r="AV216" i="5" s="1"/>
  <c r="AY216" i="5" s="1"/>
  <c r="AU194" i="5"/>
  <c r="AV194" i="5" s="1"/>
  <c r="AY194" i="5" s="1"/>
  <c r="AU177" i="5"/>
  <c r="AV177" i="5" s="1"/>
  <c r="AY177" i="5" s="1"/>
  <c r="AU170" i="5"/>
  <c r="AV170" i="5" s="1"/>
  <c r="AY170" i="5" s="1"/>
  <c r="AU117" i="5"/>
  <c r="AV117" i="5" s="1"/>
  <c r="AY117" i="5" s="1"/>
  <c r="BD177" i="5"/>
  <c r="BC177" i="5"/>
  <c r="BM177" i="5"/>
  <c r="BF177" i="5"/>
  <c r="BF66" i="5"/>
  <c r="BD66" i="5"/>
  <c r="BF117" i="5"/>
  <c r="BD117" i="5"/>
  <c r="BC117" i="5"/>
  <c r="BM117" i="5"/>
  <c r="BC170" i="5"/>
  <c r="BM170" i="5"/>
  <c r="BF170" i="5"/>
  <c r="BD170" i="5"/>
  <c r="BF26" i="5"/>
  <c r="BD26" i="5"/>
  <c r="BC26" i="5"/>
  <c r="BM26" i="5"/>
  <c r="BF121" i="5"/>
  <c r="BD121" i="5"/>
  <c r="BC66" i="5"/>
  <c r="BD224" i="5"/>
  <c r="BC224" i="5"/>
  <c r="BM224" i="5"/>
  <c r="BF224" i="5"/>
  <c r="BC121" i="5"/>
  <c r="BF38" i="5"/>
  <c r="BD38" i="5"/>
  <c r="BC38" i="5"/>
  <c r="BM38" i="5"/>
  <c r="BF122" i="5"/>
  <c r="BC122" i="5"/>
  <c r="BM216" i="5"/>
  <c r="BD216" i="5"/>
  <c r="BF216" i="5"/>
  <c r="BC216" i="5"/>
  <c r="BM194" i="5"/>
  <c r="BF194" i="5"/>
  <c r="BC194" i="5"/>
  <c r="BD194" i="5"/>
  <c r="AU128" i="5"/>
  <c r="AV128" i="5" s="1"/>
  <c r="AY128" i="5" s="1"/>
  <c r="AU71" i="5"/>
  <c r="AV71" i="5" s="1"/>
  <c r="AY71" i="5" s="1"/>
  <c r="AU70" i="5"/>
  <c r="AV70" i="5" s="1"/>
  <c r="AY70" i="5" s="1"/>
  <c r="AU72" i="5"/>
  <c r="AV72" i="5" s="1"/>
  <c r="AY72" i="5" s="1"/>
  <c r="AN184" i="5"/>
  <c r="AF184" i="5"/>
  <c r="AU84" i="5"/>
  <c r="AV84" i="5" s="1"/>
  <c r="AY84" i="5" s="1"/>
  <c r="AU12" i="5"/>
  <c r="AV12" i="5" s="1"/>
  <c r="AY12" i="5" s="1"/>
  <c r="AN47" i="5"/>
  <c r="AF47" i="5"/>
  <c r="AU50" i="5"/>
  <c r="AV50" i="5" s="1"/>
  <c r="AY50" i="5" s="1"/>
  <c r="AU63" i="5"/>
  <c r="AV63" i="5" s="1"/>
  <c r="AY63" i="5" s="1"/>
  <c r="AU190" i="5"/>
  <c r="AV190" i="5" s="1"/>
  <c r="AY190" i="5" s="1"/>
  <c r="AU60" i="5"/>
  <c r="AV60" i="5" s="1"/>
  <c r="AY60" i="5" s="1"/>
  <c r="AN5" i="5"/>
  <c r="AF5" i="5"/>
  <c r="AU42" i="5"/>
  <c r="AV42" i="5" s="1"/>
  <c r="AY42" i="5" s="1"/>
  <c r="BF71" i="5"/>
  <c r="BM71" i="5"/>
  <c r="BD71" i="5"/>
  <c r="BC71" i="5"/>
  <c r="BC33" i="5"/>
  <c r="BC64" i="5"/>
  <c r="BF64" i="5"/>
  <c r="BM64" i="5"/>
  <c r="BD64" i="5"/>
  <c r="BM33" i="5"/>
  <c r="BF128" i="5"/>
  <c r="BC128" i="5"/>
  <c r="BM128" i="5"/>
  <c r="BD128" i="5"/>
  <c r="BF15" i="5"/>
  <c r="BC15" i="5"/>
  <c r="BM15" i="5"/>
  <c r="BD15" i="5"/>
  <c r="BF72" i="5"/>
  <c r="BD72" i="5"/>
  <c r="BM72" i="5"/>
  <c r="BC72" i="5"/>
  <c r="BM84" i="5"/>
  <c r="BF84" i="5"/>
  <c r="BD84" i="5"/>
  <c r="BC84" i="5"/>
  <c r="BM12" i="5"/>
  <c r="BD12" i="5"/>
  <c r="BC12" i="5"/>
  <c r="BF12" i="5"/>
  <c r="BD67" i="5"/>
  <c r="BM67" i="5"/>
  <c r="BF67" i="5"/>
  <c r="BC67" i="5"/>
  <c r="BM50" i="5"/>
  <c r="BD50" i="5"/>
  <c r="BF50" i="5"/>
  <c r="BC50" i="5"/>
  <c r="BF63" i="5"/>
  <c r="BD63" i="5"/>
  <c r="BC63" i="5"/>
  <c r="BM63" i="5"/>
  <c r="BD190" i="5"/>
  <c r="BF190" i="5"/>
  <c r="BM190" i="5"/>
  <c r="BC190" i="5"/>
  <c r="BM5" i="5"/>
  <c r="BD5" i="5"/>
  <c r="BF5" i="5"/>
  <c r="BC5" i="5"/>
  <c r="BD60" i="5"/>
  <c r="BC60" i="5"/>
  <c r="BM60" i="5"/>
  <c r="BF60" i="5"/>
  <c r="BC2" i="5"/>
  <c r="BF2" i="5"/>
  <c r="BM2" i="5"/>
  <c r="BD2" i="5"/>
  <c r="BF192" i="5"/>
  <c r="BM192" i="5"/>
  <c r="BC192" i="5"/>
  <c r="BD192" i="5"/>
  <c r="BF8" i="5"/>
  <c r="BM8" i="5"/>
  <c r="BD8" i="5"/>
  <c r="BC8" i="5"/>
  <c r="BC21" i="5"/>
  <c r="BF21" i="5"/>
  <c r="BD21" i="5"/>
  <c r="BM21" i="5"/>
  <c r="BM42" i="5"/>
  <c r="BD42" i="5"/>
  <c r="BF42" i="5"/>
  <c r="BC42" i="5"/>
  <c r="BM70" i="5"/>
  <c r="BF70" i="5"/>
  <c r="BC70" i="5"/>
  <c r="BD70" i="5"/>
</calcChain>
</file>

<file path=xl/sharedStrings.xml><?xml version="1.0" encoding="utf-8"?>
<sst xmlns="http://schemas.openxmlformats.org/spreadsheetml/2006/main" count="2907" uniqueCount="497">
  <si>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</si>
  <si>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</si>
  <si>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</si>
  <si>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</si>
  <si>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</si>
  <si>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</si>
  <si>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</si>
  <si>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</si>
  <si>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</si>
  <si>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</si>
  <si>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</si>
  <si>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</si>
  <si>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</si>
  <si>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</si>
  <si>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</si>
  <si>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</si>
  <si>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</si>
  <si>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</si>
  <si>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</si>
  <si>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</si>
  <si>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</si>
  <si>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</si>
  <si>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</si>
  <si>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</si>
  <si>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</si>
  <si>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</si>
  <si>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</si>
  <si>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</si>
  <si>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</si>
  <si>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</si>
  <si>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</si>
  <si>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</si>
  <si>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</si>
  <si>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</si>
  <si>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</si>
  <si>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</si>
  <si>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</si>
  <si>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</si>
  <si>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</si>
  <si>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</si>
  <si>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</si>
  <si>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</si>
  <si>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</si>
  <si>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</si>
  <si>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</si>
  <si>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</si>
  <si>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</si>
  <si>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</si>
  <si>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</si>
  <si>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</si>
  <si>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</si>
  <si>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</si>
  <si>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</si>
  <si>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</si>
  <si>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</si>
  <si>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</si>
  <si>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</si>
  <si>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</si>
  <si>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</si>
  <si>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</si>
  <si>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</si>
  <si>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</si>
  <si>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</si>
  <si>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</si>
  <si>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</si>
  <si>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</si>
  <si>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</si>
  <si>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</si>
  <si>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</si>
  <si>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</si>
  <si>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</si>
  <si>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</si>
  <si>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</si>
  <si>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</si>
  <si>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</si>
  <si>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</si>
  <si>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</si>
  <si>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</si>
  <si>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</si>
  <si>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</si>
  <si>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</si>
  <si>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</si>
  <si>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</si>
  <si>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</si>
  <si>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</si>
  <si>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</si>
  <si>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</si>
  <si>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</si>
  <si>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</si>
  <si>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</si>
  <si>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</si>
  <si>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</si>
  <si>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</si>
  <si>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</si>
  <si>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</si>
  <si>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</si>
  <si>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</si>
  <si>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</si>
  <si>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</si>
  <si>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</si>
  <si>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</si>
  <si>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</si>
  <si>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</si>
  <si>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</si>
  <si>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</si>
  <si>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</si>
  <si>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</si>
  <si>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</si>
  <si>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</si>
  <si>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</si>
  <si>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</si>
  <si>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</si>
  <si>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</si>
  <si>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</si>
  <si>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</si>
  <si>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</si>
  <si>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</si>
  <si>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</si>
  <si>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</si>
  <si>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</si>
  <si>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</si>
  <si>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</si>
  <si>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</si>
  <si>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</si>
  <si>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</si>
  <si>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</si>
  <si>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</si>
  <si>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</si>
  <si>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</si>
  <si>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</si>
  <si>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</si>
  <si>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</si>
  <si>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</si>
  <si>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</si>
  <si>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</si>
  <si>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</si>
  <si>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</si>
  <si>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</si>
  <si>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</si>
  <si>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</si>
  <si>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</si>
  <si>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</si>
  <si>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</si>
  <si>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</si>
  <si>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</si>
  <si>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</si>
  <si>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</si>
  <si>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</si>
  <si>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</si>
  <si>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</si>
  <si>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</si>
  <si>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</si>
  <si>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</si>
  <si>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</si>
  <si>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</si>
  <si>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</si>
  <si>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</si>
  <si>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</si>
  <si>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</si>
  <si>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</si>
  <si>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</si>
  <si>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</si>
  <si>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</si>
  <si>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</si>
  <si>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</si>
  <si>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</si>
  <si>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</si>
  <si>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</si>
  <si>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</si>
  <si>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</si>
  <si>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</si>
  <si>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</si>
  <si>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</si>
  <si>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</si>
  <si>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</si>
  <si>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</si>
  <si>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</si>
  <si>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</si>
  <si>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</si>
  <si>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</si>
  <si>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</si>
  <si>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</si>
  <si>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</si>
  <si>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</si>
  <si>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</si>
  <si>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</si>
  <si>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</si>
  <si>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</si>
  <si>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</si>
  <si>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</si>
  <si>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</si>
  <si>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</si>
  <si>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</si>
  <si>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</si>
  <si>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</si>
  <si>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</si>
  <si>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</si>
  <si>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</si>
  <si>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</si>
  <si>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</si>
  <si>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</si>
  <si>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</si>
  <si>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</si>
  <si>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</si>
  <si>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</si>
  <si>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</si>
  <si>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</si>
  <si>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</si>
  <si>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</si>
  <si>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</si>
  <si>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</si>
  <si>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</si>
  <si>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</si>
  <si>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</si>
  <si>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</si>
  <si>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</si>
  <si>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</si>
  <si>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</si>
  <si>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</si>
  <si>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</si>
  <si>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</si>
  <si>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</si>
  <si>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</si>
  <si>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</si>
  <si>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</si>
  <si>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</si>
  <si>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</si>
  <si>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</si>
  <si>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</si>
  <si>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</si>
  <si>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</si>
  <si>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</si>
  <si>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</si>
  <si>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</si>
  <si>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</si>
  <si>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</si>
  <si>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</si>
  <si>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</si>
  <si>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</si>
  <si>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</si>
  <si>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</si>
  <si>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</si>
  <si>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</si>
  <si>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</si>
  <si>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</si>
  <si>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</si>
  <si>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</si>
  <si>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</si>
  <si>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</si>
  <si>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</si>
  <si>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</si>
  <si>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</si>
  <si>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</si>
  <si>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</si>
  <si>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</si>
  <si>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</si>
  <si>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</si>
  <si>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</si>
  <si>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</si>
  <si>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</si>
  <si>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</si>
  <si>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</si>
  <si>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</si>
  <si>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</si>
  <si>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</si>
  <si>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</si>
  <si>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</si>
  <si>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</si>
  <si>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</si>
  <si>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</si>
  <si>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</si>
  <si>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</si>
  <si>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</si>
  <si>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</si>
  <si>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</si>
  <si>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</si>
  <si>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</si>
  <si>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</si>
  <si>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</si>
  <si>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</si>
  <si>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</si>
  <si>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</si>
  <si>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</si>
  <si>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</si>
  <si>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</si>
  <si>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</si>
  <si>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</si>
  <si>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</si>
  <si>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</si>
  <si>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</si>
  <si>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</si>
  <si>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</si>
  <si>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</si>
  <si>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</si>
  <si>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1.01_10</t>
  </si>
  <si>
    <t>119.01_10</t>
  </si>
  <si>
    <t>121.01_10</t>
  </si>
  <si>
    <t>126.01_10</t>
  </si>
  <si>
    <t>128.01_10</t>
  </si>
  <si>
    <t>145.01_10</t>
  </si>
  <si>
    <t>146.01_10</t>
  </si>
  <si>
    <t>147.01_10</t>
  </si>
  <si>
    <t>148.01_10</t>
  </si>
  <si>
    <t>149.01_10</t>
  </si>
  <si>
    <t>150.01_10</t>
  </si>
  <si>
    <t>152.01_10</t>
  </si>
  <si>
    <t>154.01_10</t>
  </si>
  <si>
    <t>161.01_10</t>
  </si>
  <si>
    <t>164.01_10</t>
  </si>
  <si>
    <t>165.01_10</t>
  </si>
  <si>
    <t>167.01_10</t>
  </si>
  <si>
    <t>169.01_10</t>
  </si>
  <si>
    <t>170.01_10</t>
  </si>
  <si>
    <t>171.01_10</t>
  </si>
  <si>
    <t>180.01_10</t>
  </si>
  <si>
    <t>182.01_10</t>
  </si>
  <si>
    <t>183.01_10</t>
  </si>
  <si>
    <t>184.01_10</t>
  </si>
  <si>
    <t>185.01_10</t>
  </si>
  <si>
    <t>186.01_10</t>
  </si>
  <si>
    <t>187.01_10</t>
  </si>
  <si>
    <t>188.01_10</t>
  </si>
  <si>
    <t>2.01_10</t>
  </si>
  <si>
    <t>216.01_10</t>
  </si>
  <si>
    <t>218.01_10</t>
  </si>
  <si>
    <t>219.01_10</t>
  </si>
  <si>
    <t>22.01_10</t>
  </si>
  <si>
    <t>220.01_10</t>
  </si>
  <si>
    <t>221.01_10</t>
  </si>
  <si>
    <t>222.01_10</t>
  </si>
  <si>
    <t>224.01_10</t>
  </si>
  <si>
    <t>225.01_10</t>
  </si>
  <si>
    <t>228.01_10</t>
  </si>
  <si>
    <t>23.01_10</t>
  </si>
  <si>
    <t>230.01_10</t>
  </si>
  <si>
    <t>232.01_10</t>
  </si>
  <si>
    <t>233.01_10</t>
  </si>
  <si>
    <t>234.01_10</t>
  </si>
  <si>
    <t>235.01_10</t>
  </si>
  <si>
    <t>236.01_10</t>
  </si>
  <si>
    <t>237.01_10</t>
  </si>
  <si>
    <t>238.01_10</t>
  </si>
  <si>
    <t>24.01_10</t>
  </si>
  <si>
    <t>240.01_10</t>
  </si>
  <si>
    <t>241.01_10</t>
  </si>
  <si>
    <t>242.01_10</t>
  </si>
  <si>
    <t>243.01_10</t>
  </si>
  <si>
    <t>244.01_10</t>
  </si>
  <si>
    <t>245.01_10</t>
  </si>
  <si>
    <t>246.01_10</t>
  </si>
  <si>
    <t>247.01_10</t>
  </si>
  <si>
    <t>248.01_10</t>
  </si>
  <si>
    <t>249.01_10</t>
  </si>
  <si>
    <t>25.01_10</t>
  </si>
  <si>
    <t>250.01_10</t>
  </si>
  <si>
    <t>252.01_10</t>
  </si>
  <si>
    <t>253.01_10</t>
  </si>
  <si>
    <t>254.01_10</t>
  </si>
  <si>
    <t>255.01_10</t>
  </si>
  <si>
    <t>256.01_10</t>
  </si>
  <si>
    <t>257.01_10</t>
  </si>
  <si>
    <t>258.01_10</t>
  </si>
  <si>
    <t>259.01_10</t>
  </si>
  <si>
    <t>26.01_10</t>
  </si>
  <si>
    <t>260.01_10</t>
  </si>
  <si>
    <t>262.01_10</t>
  </si>
  <si>
    <t>263.01_10</t>
  </si>
  <si>
    <t>264.01_10</t>
  </si>
  <si>
    <t>265.01_10</t>
  </si>
  <si>
    <t>266.01_10</t>
  </si>
  <si>
    <t>267.01_10</t>
  </si>
  <si>
    <t>268.01_10</t>
  </si>
  <si>
    <t>269.01_10</t>
  </si>
  <si>
    <t>27.01_10</t>
  </si>
  <si>
    <t>270.01_10</t>
  </si>
  <si>
    <t>271.01_10</t>
  </si>
  <si>
    <t>272.01_10</t>
  </si>
  <si>
    <t>273.01_10</t>
  </si>
  <si>
    <t>274.01_10</t>
  </si>
  <si>
    <t>275.01_10</t>
  </si>
  <si>
    <t>276.01_10</t>
  </si>
  <si>
    <t>277.01_10</t>
  </si>
  <si>
    <t>278.01_10</t>
  </si>
  <si>
    <t>279.01_10</t>
  </si>
  <si>
    <t>28.01_10</t>
  </si>
  <si>
    <t>280.01_10</t>
  </si>
  <si>
    <t>281.01_10</t>
  </si>
  <si>
    <t>282.01_10</t>
  </si>
  <si>
    <t>283.01_10</t>
  </si>
  <si>
    <t>284.01_10</t>
  </si>
  <si>
    <t>285.01_10</t>
  </si>
  <si>
    <t>286.01_10</t>
  </si>
  <si>
    <t>287.01_10</t>
  </si>
  <si>
    <t>288.01_10</t>
  </si>
  <si>
    <t>289.01_10</t>
  </si>
  <si>
    <t>29.01_10</t>
  </si>
  <si>
    <t>3.01_10</t>
  </si>
  <si>
    <t>30.01_10</t>
  </si>
  <si>
    <t>35.01_10</t>
  </si>
  <si>
    <t>36.01_10</t>
  </si>
  <si>
    <t>37.01_10</t>
  </si>
  <si>
    <t>38.01_10</t>
  </si>
  <si>
    <t>39.01_10</t>
  </si>
  <si>
    <t>4.01_10</t>
  </si>
  <si>
    <t>40.01_10</t>
  </si>
  <si>
    <t>41.01_10</t>
  </si>
  <si>
    <t>42.01_10</t>
  </si>
  <si>
    <t>44.01_10</t>
  </si>
  <si>
    <t>442.01_10</t>
  </si>
  <si>
    <t>449.01_10</t>
  </si>
  <si>
    <t>45.01_10</t>
  </si>
  <si>
    <t>450.01_10</t>
  </si>
  <si>
    <t>451.01_10</t>
  </si>
  <si>
    <t>452.01_10</t>
  </si>
  <si>
    <t>453.01_10</t>
  </si>
  <si>
    <t>456.01_10</t>
  </si>
  <si>
    <t>46.01_10</t>
  </si>
  <si>
    <t>461.01_10</t>
  </si>
  <si>
    <t>462.01_10</t>
  </si>
  <si>
    <t>463.01_10</t>
  </si>
  <si>
    <t>469.01_10</t>
  </si>
  <si>
    <t>474.01_10</t>
  </si>
  <si>
    <t>479.01_10</t>
  </si>
  <si>
    <t>483.01_10</t>
  </si>
  <si>
    <t>489.01_10</t>
  </si>
  <si>
    <t>5.01_10</t>
  </si>
  <si>
    <t>6.01_10</t>
  </si>
  <si>
    <t>7.01_10</t>
  </si>
  <si>
    <t>8.01_10</t>
  </si>
  <si>
    <t>80.01_10</t>
  </si>
  <si>
    <t>81.01_10</t>
  </si>
  <si>
    <t>82.01_10</t>
  </si>
  <si>
    <t>83.01_10</t>
  </si>
  <si>
    <t>84.01_10</t>
  </si>
  <si>
    <t>85.01_10</t>
  </si>
  <si>
    <t>86.01_10</t>
  </si>
  <si>
    <t>87.01_10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</si>
  <si>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</si>
  <si>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</si>
  <si>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</si>
  <si>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</si>
  <si>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</si>
  <si>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</si>
  <si>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</si>
  <si>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</si>
  <si>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</si>
  <si>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</si>
  <si>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</si>
  <si>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</si>
  <si>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</si>
  <si>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</si>
  <si>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</si>
  <si>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</si>
  <si>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phase</t>
  </si>
  <si>
    <t>iter</t>
  </si>
  <si>
    <t>q_low</t>
  </si>
  <si>
    <t>q_high</t>
  </si>
  <si>
    <t>dq_ratio_pct</t>
  </si>
  <si>
    <t>solver_max_code</t>
  </si>
  <si>
    <t>status</t>
  </si>
  <si>
    <t>note</t>
  </si>
  <si>
    <t>BRACKET</t>
  </si>
  <si>
    <t>q_low eval</t>
  </si>
  <si>
    <t>q_high eval (init)</t>
  </si>
  <si>
    <t>BISECT</t>
  </si>
  <si>
    <t>SUMMARY</t>
  </si>
  <si>
    <t>OK</t>
  </si>
  <si>
    <t>収束 (|dq_ratio|&lt;1%)  (f_solver=0)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</si>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</sst>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4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  <xf numFmtId="49" fontId="6" fillId="0" borderId="0" xfId="0" applyNumberFormat="1" applyFont="1">
      <alignment vertical="center"/>
    </xf>
    <xf numFmtId="0" fontId="6" fillId="0" borderId="0" xfId="0" applyFont="1">
      <alignment vertical="center"/>
    </xf>
    <xf numFmtId="11" fontId="6" fillId="0" borderId="0" xfId="0" applyNumberFormat="1" applyFont="1">
      <alignment vertical="center"/>
    </xf>
    <xf numFmtId="1" fontId="6" fillId="0" borderId="0" xfId="0" applyNumberFormat="1" applyFont="1">
      <alignment vertical="center"/>
    </xf>
    <xf numFmtId="177" fontId="6" fillId="0" borderId="0" xfId="0" applyNumberFormat="1" applyFont="1">
      <alignment vertical="center"/>
    </xf>
    <xf numFmtId="1" fontId="6" fillId="10" borderId="0" xfId="0" applyNumberFormat="1" applyFont="1" applyFill="1">
      <alignment vertical="center"/>
    </xf>
    <xf numFmtId="2" fontId="6" fillId="10" borderId="0" xfId="0" applyNumberFormat="1" applyFont="1" applyFill="1">
      <alignment vertical="center"/>
    </xf>
    <xf numFmtId="0" fontId="6" fillId="9" borderId="0" xfId="0" applyFont="1" applyFill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505" totalsRowShown="0">
  <autoFilter ref="A1:BR505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437</v>
      </c>
      <c r="B1" s="31" t="s">
        <v>438</v>
      </c>
      <c r="C1" s="31" t="s">
        <v>439</v>
      </c>
      <c r="D1" s="31" t="s">
        <v>440</v>
      </c>
      <c r="E1" s="31" t="s">
        <v>441</v>
      </c>
      <c r="F1" s="31" t="s">
        <v>442</v>
      </c>
      <c r="G1" s="31" t="s">
        <v>443</v>
      </c>
      <c r="H1" s="31" t="s">
        <v>444</v>
      </c>
      <c r="I1" s="31" t="s">
        <v>445</v>
      </c>
      <c r="J1" s="31" t="s">
        <v>446</v>
      </c>
      <c r="K1" s="31" t="s">
        <v>11</v>
      </c>
      <c r="M1" s="32" t="s">
        <v>447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448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449</v>
      </c>
      <c r="B1" s="31" t="s">
        <v>450</v>
      </c>
      <c r="D1" s="32" t="s">
        <v>447</v>
      </c>
    </row>
    <row r="2" spans="1:4" x14ac:dyDescent="0.15">
      <c r="A2">
        <v>278</v>
      </c>
      <c r="B2">
        <v>4205.4014337612389</v>
      </c>
      <c r="D2" t="s">
        <v>451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449</v>
      </c>
      <c r="B1" s="31" t="s">
        <v>450</v>
      </c>
      <c r="D1" s="32" t="s">
        <v>447</v>
      </c>
    </row>
    <row r="2" spans="1:4" x14ac:dyDescent="0.15">
      <c r="A2">
        <v>278</v>
      </c>
      <c r="B2">
        <v>4176.5923150780054</v>
      </c>
      <c r="D2" t="s">
        <v>451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449</v>
      </c>
      <c r="B1" s="31" t="s">
        <v>450</v>
      </c>
      <c r="D1" s="32" t="s">
        <v>447</v>
      </c>
    </row>
    <row r="2" spans="1:4" x14ac:dyDescent="0.15">
      <c r="A2">
        <v>278</v>
      </c>
      <c r="B2">
        <v>4145.4990259833339</v>
      </c>
      <c r="D2" t="s">
        <v>451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505"/>
  <sheetViews>
    <sheetView tabSelected="1" topLeftCell="AW234" zoomScaleNormal="100" workbookViewId="0">
      <selection activeCell="C226" sqref="C226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51" si="56">PI()*Q88^2/4</f>
        <v>6.8620353649299532E-5</v>
      </c>
      <c r="P88" s="8">
        <f t="shared" ref="P88:P151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si="56"/>
        <v>2.8502295699234246E-6</v>
      </c>
      <c r="P120" s="8">
        <f t="shared" si="57"/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6"/>
        <v>2.8502295699234246E-6</v>
      </c>
      <c r="P121" s="8">
        <f t="shared" si="57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6"/>
        <v>2.8502295699234246E-6</v>
      </c>
      <c r="P122" s="8">
        <f t="shared" si="57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6"/>
        <v>2.8502295699234246E-6</v>
      </c>
      <c r="P123" s="8">
        <f t="shared" si="57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6"/>
        <v>2.8502295699234246E-6</v>
      </c>
      <c r="P124" s="8">
        <f t="shared" si="57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6"/>
        <v>2.8502295699234246E-6</v>
      </c>
      <c r="P125" s="8">
        <f t="shared" si="57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6"/>
        <v>2.8502295699234246E-6</v>
      </c>
      <c r="P126" s="8">
        <f t="shared" si="57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6"/>
        <v>2.8502295699234246E-6</v>
      </c>
      <c r="P127" s="8">
        <f t="shared" si="57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6"/>
        <v>2.8502295699234246E-6</v>
      </c>
      <c r="P128" s="8">
        <f t="shared" si="57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6"/>
        <v>2.8502295699234246E-6</v>
      </c>
      <c r="P129" s="8">
        <f t="shared" si="57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6"/>
        <v>2.8502295699234246E-6</v>
      </c>
      <c r="P130" s="8">
        <f t="shared" si="57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58">+N130*Q130/I130</f>
        <v>86604.185438244895</v>
      </c>
      <c r="X130">
        <v>3.2280713915647422E-2</v>
      </c>
      <c r="Y130">
        <f t="shared" ref="Y130:Y193" si="59">IF(X130&gt;0,1/X130^0.5,1)</f>
        <v>5.5658107404926085</v>
      </c>
      <c r="Z130">
        <f t="shared" ref="Z130:Z193" si="60">IF(X130&gt;0,1.14-2*LOG((0.72*L130*E130)/(X130*Q130*N130^2)+9.35/(W130*X130^0.5)),0)</f>
        <v>5.5658107462575783</v>
      </c>
      <c r="AA130">
        <f t="shared" ref="AA130:AA193" si="61">+Y130-Z130</f>
        <v>-5.7649698348427592E-9</v>
      </c>
      <c r="AB130">
        <f t="shared" ref="AB130:AB193" si="62">32/X130*L130*V130*E130/N130^2</f>
        <v>1.4030806913641187E-5</v>
      </c>
      <c r="AC130">
        <v>666.99369060809352</v>
      </c>
      <c r="AD130">
        <f t="shared" ref="AD130:AD193" si="63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4">+AE130-U130</f>
        <v>6.699367531837197E-7</v>
      </c>
      <c r="AG130">
        <v>1.408776719755435E-5</v>
      </c>
      <c r="AH130">
        <f t="shared" ref="AH130:AH193" si="65">+X130*N130^2/(8*E130)</f>
        <v>74.36766028766057</v>
      </c>
      <c r="AI130">
        <f t="shared" ref="AI130:AI193" si="66">+(AH130/E130)^0.5</f>
        <v>0.33719743815596592</v>
      </c>
      <c r="AJ130">
        <f t="shared" ref="AJ130:AJ193" si="67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68">+K130*I130/J130</f>
        <v>1.023604738117011</v>
      </c>
      <c r="AM130">
        <f t="shared" ref="AM130:AM193" si="69">+gettyp(AC130,AJ130,AK130,AL130)</f>
        <v>598.16775840431637</v>
      </c>
      <c r="AN130">
        <f t="shared" ref="AN130:AN193" si="70">+C130-AM130</f>
        <v>7.9136270869639702E-9</v>
      </c>
      <c r="AO130">
        <f t="shared" ref="AO130:AO193" si="71">+AG130-AB130</f>
        <v>5.696028391316385E-8</v>
      </c>
      <c r="AP130">
        <v>4.3784762305645311</v>
      </c>
      <c r="AQ130">
        <f t="shared" ref="AQ130:AQ193" si="72">2*PI()*L130*(D130+E130)/(D130*E130*AP130^2)</f>
        <v>4.4655071343375088E-5</v>
      </c>
      <c r="AR130">
        <f t="shared" ref="AR130:AR193" si="73">+AO130+AB130/2</f>
        <v>7.0723637407337571E-6</v>
      </c>
      <c r="AS130">
        <f t="shared" ref="AS130:AS193" si="74">+AR130*AI130/I130*E130</f>
        <v>20.423730076950772</v>
      </c>
      <c r="AT130">
        <f t="shared" ref="AT130:AT193" si="75">+getublp(AS130)</f>
        <v>12.033487319390172</v>
      </c>
      <c r="AU130">
        <f t="shared" ref="AU130:AU193" si="76">+AT130*AI130</f>
        <v>4.0576610961806674</v>
      </c>
      <c r="AV130">
        <f t="shared" ref="AV130:AV193" si="77">+AP130-AU130</f>
        <v>0.32081513438386366</v>
      </c>
      <c r="AW130">
        <f t="shared" ref="AW130:AW193" si="78">2/3*AB130/(L130/(9.8*(E130-D130)))^0.5</f>
        <v>7.5844090275535882E-3</v>
      </c>
      <c r="AX130">
        <f t="shared" ref="AX130:AX193" si="79">+(2*AQ130*9.8*(E130-D130)/(E130*AW130))^0.5</f>
        <v>0.32081513100826758</v>
      </c>
      <c r="AY130">
        <f t="shared" ref="AY130:AY193" si="80">+AV130-AX130</f>
        <v>3.3755960804349172E-9</v>
      </c>
      <c r="AZ130">
        <f t="shared" ref="AZ130:AZ193" si="81">+F130-G130</f>
        <v>1189751.8930438254</v>
      </c>
      <c r="BA130">
        <f t="shared" ref="BA130:BA193" si="82">+AQ130/AP130</f>
        <v>1.0198769844096553E-5</v>
      </c>
      <c r="BB130" s="15">
        <f t="shared" ref="BB130:BB193" si="83">+E130*AO130*AZ130/BA130</f>
        <v>4346066.2670651497</v>
      </c>
      <c r="BC130" s="20">
        <f t="shared" ref="BC130:BC193" si="84">BB130-S130</f>
        <v>2870.6615963997319</v>
      </c>
      <c r="BD130" s="19">
        <f t="shared" ref="BD130:BD193" si="85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6"/>
        <v>2.8502295699234246E-6</v>
      </c>
      <c r="P131" s="8">
        <f t="shared" si="57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58"/>
        <v>99797.791813602395</v>
      </c>
      <c r="X131">
        <v>3.0280138556132801E-2</v>
      </c>
      <c r="Y131">
        <f t="shared" si="59"/>
        <v>5.7467336773813669</v>
      </c>
      <c r="Z131">
        <f t="shared" si="60"/>
        <v>5.7467337191382422</v>
      </c>
      <c r="AA131">
        <f t="shared" si="61"/>
        <v>-4.1756875290843709E-8</v>
      </c>
      <c r="AB131">
        <f t="shared" si="62"/>
        <v>1.1264289915258989E-5</v>
      </c>
      <c r="AC131">
        <v>665.75739785602002</v>
      </c>
      <c r="AD131">
        <f t="shared" si="63"/>
        <v>3069.9045449326177</v>
      </c>
      <c r="AE131">
        <f>+gettm2(AD131,AC131,AK131,AL131,テーブル2[[#This Row],[Fcorr]])</f>
        <v>558.70357782108022</v>
      </c>
      <c r="AF131" s="14">
        <f t="shared" si="64"/>
        <v>0</v>
      </c>
      <c r="AG131">
        <v>1.1316655590398E-5</v>
      </c>
      <c r="AH131">
        <f t="shared" si="65"/>
        <v>92.63240647792189</v>
      </c>
      <c r="AI131">
        <f t="shared" si="66"/>
        <v>0.37633419420364228</v>
      </c>
      <c r="AJ131">
        <f t="shared" si="67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68"/>
        <v>1.023604738117011</v>
      </c>
      <c r="AM131">
        <f t="shared" si="69"/>
        <v>598.16775840942444</v>
      </c>
      <c r="AN131">
        <f t="shared" si="70"/>
        <v>2.8055637812940404E-9</v>
      </c>
      <c r="AO131">
        <f t="shared" si="71"/>
        <v>5.236567513901062E-8</v>
      </c>
      <c r="AP131">
        <v>4.6605653767108697</v>
      </c>
      <c r="AQ131">
        <f t="shared" si="72"/>
        <v>3.941300708465171E-5</v>
      </c>
      <c r="AR131">
        <f t="shared" si="73"/>
        <v>5.6845106327685054E-6</v>
      </c>
      <c r="AS131">
        <f t="shared" si="74"/>
        <v>18.321160133599815</v>
      </c>
      <c r="AT131">
        <f t="shared" si="75"/>
        <v>11.49028341655416</v>
      </c>
      <c r="AU131">
        <f t="shared" si="76"/>
        <v>4.3241865507403832</v>
      </c>
      <c r="AV131">
        <f t="shared" si="77"/>
        <v>0.33637882597048652</v>
      </c>
      <c r="AW131">
        <f t="shared" si="78"/>
        <v>6.0889571532204978E-3</v>
      </c>
      <c r="AX131">
        <f t="shared" si="79"/>
        <v>0.33637882516474449</v>
      </c>
      <c r="AY131">
        <f t="shared" si="80"/>
        <v>8.0574202865335565E-10</v>
      </c>
      <c r="AZ131">
        <f t="shared" si="81"/>
        <v>1189751.8930438254</v>
      </c>
      <c r="BA131">
        <f t="shared" si="82"/>
        <v>8.4567008289597052E-6</v>
      </c>
      <c r="BB131" s="15">
        <f t="shared" si="83"/>
        <v>4818565.0919966819</v>
      </c>
      <c r="BC131" s="20">
        <f t="shared" si="84"/>
        <v>-34470.08847206831</v>
      </c>
      <c r="BD131" s="19">
        <f t="shared" si="85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6"/>
        <v>2.8502295699234246E-6</v>
      </c>
      <c r="P132" s="8">
        <f t="shared" si="57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58"/>
        <v>100474.38701233879</v>
      </c>
      <c r="X132">
        <v>3.0189353342588428E-2</v>
      </c>
      <c r="Y132">
        <f t="shared" si="59"/>
        <v>5.7553679598019443</v>
      </c>
      <c r="Z132">
        <f t="shared" si="60"/>
        <v>5.7553679983791914</v>
      </c>
      <c r="AA132">
        <f t="shared" si="61"/>
        <v>-3.8577247174487184E-8</v>
      </c>
      <c r="AB132">
        <f t="shared" si="62"/>
        <v>1.1146512323351711E-5</v>
      </c>
      <c r="AC132">
        <v>666.43737555555037</v>
      </c>
      <c r="AD132">
        <f t="shared" si="63"/>
        <v>3086.0807201296298</v>
      </c>
      <c r="AE132">
        <f>+gettm2(AD132,AC132,AK132,AL132,テーブル2[[#This Row],[Fcorr]])</f>
        <v>558.15021942768135</v>
      </c>
      <c r="AF132" s="14">
        <f t="shared" si="64"/>
        <v>6.6437371515348786E-7</v>
      </c>
      <c r="AG132">
        <v>1.1199773376919701E-5</v>
      </c>
      <c r="AH132">
        <f t="shared" si="65"/>
        <v>93.611189926148086</v>
      </c>
      <c r="AI132">
        <f t="shared" si="66"/>
        <v>0.37831720304608762</v>
      </c>
      <c r="AJ132">
        <f t="shared" si="67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68"/>
        <v>1.023604738117011</v>
      </c>
      <c r="AM132">
        <f t="shared" si="69"/>
        <v>598.167758401073</v>
      </c>
      <c r="AN132">
        <f t="shared" si="70"/>
        <v>1.1156998880323954E-8</v>
      </c>
      <c r="AO132">
        <f t="shared" si="71"/>
        <v>5.3261053567989851E-8</v>
      </c>
      <c r="AP132">
        <v>4.67464848359805</v>
      </c>
      <c r="AQ132">
        <f t="shared" si="72"/>
        <v>3.9175889151730965E-5</v>
      </c>
      <c r="AR132">
        <f t="shared" si="73"/>
        <v>5.6265172152438452E-6</v>
      </c>
      <c r="AS132">
        <f t="shared" si="74"/>
        <v>18.229801889177409</v>
      </c>
      <c r="AT132">
        <f t="shared" si="75"/>
        <v>11.465288606673083</v>
      </c>
      <c r="AU132">
        <f t="shared" si="76"/>
        <v>4.3375159177927358</v>
      </c>
      <c r="AV132">
        <f t="shared" si="77"/>
        <v>0.33713256580531414</v>
      </c>
      <c r="AW132">
        <f t="shared" si="78"/>
        <v>6.025292002897845E-3</v>
      </c>
      <c r="AX132">
        <f t="shared" si="79"/>
        <v>0.33713256465785951</v>
      </c>
      <c r="AY132">
        <f t="shared" si="80"/>
        <v>1.1474546313117173E-9</v>
      </c>
      <c r="AZ132">
        <f t="shared" si="81"/>
        <v>1189751.8930438254</v>
      </c>
      <c r="BA132">
        <f t="shared" si="82"/>
        <v>8.3804994726742554E-6</v>
      </c>
      <c r="BB132" s="15">
        <f t="shared" si="83"/>
        <v>4945518.6022956828</v>
      </c>
      <c r="BC132" s="20">
        <f t="shared" si="84"/>
        <v>18171.785889432766</v>
      </c>
      <c r="BD132" s="19">
        <f t="shared" si="85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6"/>
        <v>2.8502295699234246E-6</v>
      </c>
      <c r="P133" s="8">
        <f t="shared" si="57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58"/>
        <v>102504.17260854747</v>
      </c>
      <c r="X133">
        <v>2.9922937230895039E-2</v>
      </c>
      <c r="Y133">
        <f t="shared" si="59"/>
        <v>5.7809323771818422</v>
      </c>
      <c r="Z133">
        <f t="shared" si="60"/>
        <v>5.7809324053556983</v>
      </c>
      <c r="AA133">
        <f t="shared" si="61"/>
        <v>-2.817385613695933E-8</v>
      </c>
      <c r="AB133">
        <f t="shared" si="62"/>
        <v>1.0804787528474191E-5</v>
      </c>
      <c r="AC133">
        <v>666.32049253885225</v>
      </c>
      <c r="AD133">
        <f t="shared" si="63"/>
        <v>3134.5028285365606</v>
      </c>
      <c r="AE133">
        <f>+gettm2(AD133,AC133,AK133,AL133,テーブル2[[#This Row],[Fcorr]])</f>
        <v>557.74964151386382</v>
      </c>
      <c r="AF133" s="14">
        <f t="shared" si="64"/>
        <v>6.6320490077487193E-7</v>
      </c>
      <c r="AG133">
        <v>1.0857536782913491E-5</v>
      </c>
      <c r="AH133">
        <f t="shared" si="65"/>
        <v>96.571846449143194</v>
      </c>
      <c r="AI133">
        <f t="shared" si="66"/>
        <v>0.38425318407815057</v>
      </c>
      <c r="AJ133">
        <f t="shared" si="67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68"/>
        <v>1.023604738117011</v>
      </c>
      <c r="AM133">
        <f t="shared" si="69"/>
        <v>598.16775840445052</v>
      </c>
      <c r="AN133">
        <f t="shared" si="70"/>
        <v>7.7794766184524633E-9</v>
      </c>
      <c r="AO133">
        <f t="shared" si="71"/>
        <v>5.2749254439299754E-8</v>
      </c>
      <c r="AP133">
        <v>4.7155119710003879</v>
      </c>
      <c r="AQ133">
        <f t="shared" si="72"/>
        <v>3.8499853499744613E-5</v>
      </c>
      <c r="AR133">
        <f t="shared" si="73"/>
        <v>5.4551430186763953E-6</v>
      </c>
      <c r="AS133">
        <f t="shared" si="74"/>
        <v>17.951875298805913</v>
      </c>
      <c r="AT133">
        <f t="shared" si="75"/>
        <v>11.388472914741982</v>
      </c>
      <c r="AU133">
        <f t="shared" si="76"/>
        <v>4.3760569792773829</v>
      </c>
      <c r="AV133">
        <f t="shared" si="77"/>
        <v>0.33945499172300497</v>
      </c>
      <c r="AW133">
        <f t="shared" si="78"/>
        <v>5.8405712925951358E-3</v>
      </c>
      <c r="AX133">
        <f t="shared" si="79"/>
        <v>0.33945498941766583</v>
      </c>
      <c r="AY133">
        <f t="shared" si="80"/>
        <v>2.3053391418059732E-9</v>
      </c>
      <c r="AZ133">
        <f t="shared" si="81"/>
        <v>1189751.8930438254</v>
      </c>
      <c r="BA133">
        <f t="shared" si="82"/>
        <v>8.16451187835219E-6</v>
      </c>
      <c r="BB133" s="15">
        <f t="shared" si="83"/>
        <v>5027569.585226899</v>
      </c>
      <c r="BC133" s="20">
        <f t="shared" si="84"/>
        <v>18111.15257064905</v>
      </c>
      <c r="BD133" s="19">
        <f t="shared" si="85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6"/>
        <v>2.8502295699234246E-6</v>
      </c>
      <c r="P134" s="8">
        <f t="shared" si="57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58"/>
        <v>56824.026819463106</v>
      </c>
      <c r="X134">
        <v>3.5196888733325868E-2</v>
      </c>
      <c r="Y134">
        <f t="shared" si="59"/>
        <v>5.3302534800051387</v>
      </c>
      <c r="Z134">
        <f t="shared" si="60"/>
        <v>5.3302535319536952</v>
      </c>
      <c r="AA134">
        <f t="shared" si="61"/>
        <v>-5.1948556567538162E-8</v>
      </c>
      <c r="AB134">
        <f t="shared" si="62"/>
        <v>1.8175884064821805E-5</v>
      </c>
      <c r="AC134">
        <v>692.46511502385511</v>
      </c>
      <c r="AD134">
        <f t="shared" si="63"/>
        <v>1884.5564685194799</v>
      </c>
      <c r="AE134">
        <f>+gettm2(AD134,AC134,AK134,AL134,テーブル2[[#This Row],[Fcorr]])</f>
        <v>585.89262610251512</v>
      </c>
      <c r="AF134" s="14">
        <f t="shared" si="64"/>
        <v>0</v>
      </c>
      <c r="AG134">
        <v>1.8254897812804101E-5</v>
      </c>
      <c r="AH134">
        <f t="shared" si="65"/>
        <v>30.6534006167511</v>
      </c>
      <c r="AI134">
        <f t="shared" si="66"/>
        <v>0.22716787271669706</v>
      </c>
      <c r="AJ134">
        <f t="shared" si="67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68"/>
        <v>1.3019406270656069</v>
      </c>
      <c r="AM134">
        <f t="shared" si="69"/>
        <v>617.97483342764679</v>
      </c>
      <c r="AN134">
        <f t="shared" si="70"/>
        <v>7.3737282946240157E-9</v>
      </c>
      <c r="AO134">
        <f t="shared" si="71"/>
        <v>7.9013747982296066E-8</v>
      </c>
      <c r="AP134">
        <v>2.832824390793208</v>
      </c>
      <c r="AQ134">
        <f t="shared" si="72"/>
        <v>4.1681528526361128E-5</v>
      </c>
      <c r="AR134">
        <f t="shared" si="73"/>
        <v>9.1669557803931984E-6</v>
      </c>
      <c r="AS134">
        <f t="shared" si="74"/>
        <v>18.13716095808088</v>
      </c>
      <c r="AT134">
        <f t="shared" si="75"/>
        <v>11.439814625830858</v>
      </c>
      <c r="AU134">
        <f t="shared" si="76"/>
        <v>2.5987583528233538</v>
      </c>
      <c r="AV134">
        <f t="shared" si="77"/>
        <v>0.23406603796985426</v>
      </c>
      <c r="AW134">
        <f t="shared" si="78"/>
        <v>1.2345354442456491E-2</v>
      </c>
      <c r="AX134">
        <f t="shared" si="79"/>
        <v>0.23406602139217045</v>
      </c>
      <c r="AY134">
        <f t="shared" si="80"/>
        <v>1.6577683809027022E-8</v>
      </c>
      <c r="AZ134">
        <f t="shared" si="81"/>
        <v>964852.16359160375</v>
      </c>
      <c r="BA134">
        <f t="shared" si="82"/>
        <v>1.4713770702422555E-5</v>
      </c>
      <c r="BB134" s="15">
        <f t="shared" si="83"/>
        <v>3077685.8864232074</v>
      </c>
      <c r="BC134" s="20">
        <f t="shared" si="84"/>
        <v>21820.163766957354</v>
      </c>
      <c r="BD134" s="19">
        <f t="shared" si="85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6"/>
        <v>2.8502295699234246E-6</v>
      </c>
      <c r="P135" s="8">
        <f t="shared" si="57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58"/>
        <v>57581.680510389277</v>
      </c>
      <c r="X135">
        <v>3.4978260181261399E-2</v>
      </c>
      <c r="Y135">
        <f t="shared" si="59"/>
        <v>5.3468856722663531</v>
      </c>
      <c r="Z135">
        <f t="shared" si="60"/>
        <v>5.3468857046363132</v>
      </c>
      <c r="AA135">
        <f t="shared" si="61"/>
        <v>-3.2369960045741664E-8</v>
      </c>
      <c r="AB135">
        <f t="shared" si="62"/>
        <v>1.7811354909090326E-5</v>
      </c>
      <c r="AC135">
        <v>696.71605467574113</v>
      </c>
      <c r="AD135">
        <f t="shared" si="63"/>
        <v>1903.743564791582</v>
      </c>
      <c r="AE135">
        <f>+gettm2(AD135,AC135,AK135,AL135,テーブル2[[#This Row],[Fcorr]])</f>
        <v>583.77918421735399</v>
      </c>
      <c r="AF135" s="14">
        <f t="shared" si="64"/>
        <v>9.6716053121781442E-7</v>
      </c>
      <c r="AG135">
        <v>1.789304330498579E-5</v>
      </c>
      <c r="AH135">
        <f t="shared" si="65"/>
        <v>31.280756497544875</v>
      </c>
      <c r="AI135">
        <f t="shared" si="66"/>
        <v>0.22948072028404431</v>
      </c>
      <c r="AJ135">
        <f t="shared" si="67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68"/>
        <v>1.3019406270656069</v>
      </c>
      <c r="AM135">
        <f t="shared" si="69"/>
        <v>617.97483340397457</v>
      </c>
      <c r="AN135">
        <f t="shared" si="70"/>
        <v>3.104594270553207E-8</v>
      </c>
      <c r="AO135">
        <f t="shared" si="71"/>
        <v>8.1688395895464531E-8</v>
      </c>
      <c r="AP135">
        <v>2.8492258973269848</v>
      </c>
      <c r="AQ135">
        <f t="shared" si="72"/>
        <v>4.1203032115004143E-5</v>
      </c>
      <c r="AR135">
        <f t="shared" si="73"/>
        <v>8.9873658504406275E-6</v>
      </c>
      <c r="AS135">
        <f t="shared" si="74"/>
        <v>17.962876537746947</v>
      </c>
      <c r="AT135">
        <f t="shared" si="75"/>
        <v>11.391536068104472</v>
      </c>
      <c r="AU135">
        <f t="shared" si="76"/>
        <v>2.6141379020502842</v>
      </c>
      <c r="AV135">
        <f t="shared" si="77"/>
        <v>0.23508799527670066</v>
      </c>
      <c r="AW135">
        <f t="shared" si="78"/>
        <v>1.2097760343810998E-2</v>
      </c>
      <c r="AX135">
        <f t="shared" si="79"/>
        <v>0.23508798649997814</v>
      </c>
      <c r="AY135">
        <f t="shared" si="80"/>
        <v>8.7767225154244954E-9</v>
      </c>
      <c r="AZ135">
        <f t="shared" si="81"/>
        <v>964852.16359160375</v>
      </c>
      <c r="BA135">
        <f t="shared" si="82"/>
        <v>1.4461132110886317E-5</v>
      </c>
      <c r="BB135" s="15">
        <f t="shared" si="83"/>
        <v>3237454.6097342651</v>
      </c>
      <c r="BC135" s="20">
        <f t="shared" si="84"/>
        <v>4474.7113905153237</v>
      </c>
      <c r="BD135" s="19">
        <f t="shared" si="85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6"/>
        <v>2.8502295699234246E-6</v>
      </c>
      <c r="P136" s="8">
        <f t="shared" si="57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58"/>
        <v>59096.987892241639</v>
      </c>
      <c r="X136">
        <v>3.4555174610075408E-2</v>
      </c>
      <c r="Y136">
        <f t="shared" si="59"/>
        <v>5.3795191032892387</v>
      </c>
      <c r="Z136">
        <f t="shared" si="60"/>
        <v>5.3795191594520224</v>
      </c>
      <c r="AA136">
        <f t="shared" si="61"/>
        <v>-5.6162783756974477E-8</v>
      </c>
      <c r="AB136">
        <f t="shared" si="62"/>
        <v>1.7116700383670199E-5</v>
      </c>
      <c r="AC136">
        <v>709.63670370418276</v>
      </c>
      <c r="AD136">
        <f t="shared" si="63"/>
        <v>1941.9896130098641</v>
      </c>
      <c r="AE136">
        <f>+gettm2(AD136,AC136,AK136,AL136,テーブル2[[#This Row],[Fcorr]])</f>
        <v>577.52406634710462</v>
      </c>
      <c r="AF136" s="14">
        <f t="shared" si="64"/>
        <v>0</v>
      </c>
      <c r="AG136">
        <v>1.7207445615557651E-5</v>
      </c>
      <c r="AH136">
        <f t="shared" si="65"/>
        <v>32.550237096756334</v>
      </c>
      <c r="AI136">
        <f t="shared" si="66"/>
        <v>0.23409096866805426</v>
      </c>
      <c r="AJ136">
        <f t="shared" si="67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68"/>
        <v>1.3019406270656069</v>
      </c>
      <c r="AM136">
        <f t="shared" si="69"/>
        <v>617.97483341692134</v>
      </c>
      <c r="AN136">
        <f t="shared" si="70"/>
        <v>1.8099171938956715E-8</v>
      </c>
      <c r="AO136">
        <f t="shared" si="71"/>
        <v>9.0745231887451772E-8</v>
      </c>
      <c r="AP136">
        <v>2.8821073289421908</v>
      </c>
      <c r="AQ136">
        <f t="shared" si="72"/>
        <v>4.0268239538943363E-5</v>
      </c>
      <c r="AR136">
        <f t="shared" si="73"/>
        <v>8.6490954237225512E-6</v>
      </c>
      <c r="AS136">
        <f t="shared" si="74"/>
        <v>17.634071889554168</v>
      </c>
      <c r="AT136">
        <f t="shared" si="75"/>
        <v>11.299164667073647</v>
      </c>
      <c r="AU136">
        <f t="shared" si="76"/>
        <v>2.645032402055123</v>
      </c>
      <c r="AV136">
        <f t="shared" si="77"/>
        <v>0.23707492688706777</v>
      </c>
      <c r="AW136">
        <f t="shared" si="78"/>
        <v>1.1625939754463948E-2</v>
      </c>
      <c r="AX136">
        <f t="shared" si="79"/>
        <v>0.23707492618553155</v>
      </c>
      <c r="AY136">
        <f t="shared" si="80"/>
        <v>7.015362180062823E-10</v>
      </c>
      <c r="AZ136">
        <f t="shared" si="81"/>
        <v>964852.16359160375</v>
      </c>
      <c r="BA136">
        <f t="shared" si="82"/>
        <v>1.3971804288677502E-5</v>
      </c>
      <c r="BB136" s="15">
        <f t="shared" si="83"/>
        <v>3722347.6780566778</v>
      </c>
      <c r="BC136" s="20">
        <f t="shared" si="84"/>
        <v>-19652.575849572197</v>
      </c>
      <c r="BD136" s="19">
        <f t="shared" si="85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6"/>
        <v>2.8502295699234246E-6</v>
      </c>
      <c r="P137" s="8">
        <f t="shared" si="57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58"/>
        <v>60233.468428630891</v>
      </c>
      <c r="X137">
        <v>3.4249617312816838E-2</v>
      </c>
      <c r="Y137">
        <f t="shared" si="59"/>
        <v>5.4034624570516518</v>
      </c>
      <c r="Z137">
        <f t="shared" si="60"/>
        <v>5.4034625052942005</v>
      </c>
      <c r="AA137">
        <f t="shared" si="61"/>
        <v>-4.8242548622567938E-8</v>
      </c>
      <c r="AB137">
        <f t="shared" si="62"/>
        <v>1.6623878854372252E-5</v>
      </c>
      <c r="AC137">
        <v>710.45461029609339</v>
      </c>
      <c r="AD137">
        <f t="shared" si="63"/>
        <v>1970.5649071683551</v>
      </c>
      <c r="AE137">
        <f>+gettm2(AD137,AC137,AK137,AL137,テーブル2[[#This Row],[Fcorr]])</f>
        <v>576.67676096405637</v>
      </c>
      <c r="AF137" s="14">
        <f t="shared" si="64"/>
        <v>1.1045460723835276E-6</v>
      </c>
      <c r="AG137">
        <v>1.671485875793634E-5</v>
      </c>
      <c r="AH137">
        <f t="shared" si="65"/>
        <v>33.515201878174665</v>
      </c>
      <c r="AI137">
        <f t="shared" si="66"/>
        <v>0.23753548672557787</v>
      </c>
      <c r="AJ137">
        <f t="shared" si="67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68"/>
        <v>1.3019406270656069</v>
      </c>
      <c r="AM137">
        <f t="shared" si="69"/>
        <v>617.97483340140627</v>
      </c>
      <c r="AN137">
        <f t="shared" si="70"/>
        <v>3.3614242056501098E-8</v>
      </c>
      <c r="AO137">
        <f t="shared" si="71"/>
        <v>9.097990356408763E-8</v>
      </c>
      <c r="AP137">
        <v>2.9056228638069861</v>
      </c>
      <c r="AQ137">
        <f t="shared" si="72"/>
        <v>3.9619086202504324E-5</v>
      </c>
      <c r="AR137">
        <f t="shared" si="73"/>
        <v>8.4029193307502138E-6</v>
      </c>
      <c r="AS137">
        <f t="shared" si="74"/>
        <v>17.384249817262965</v>
      </c>
      <c r="AT137">
        <f t="shared" si="75"/>
        <v>11.227823066895578</v>
      </c>
      <c r="AU137">
        <f t="shared" si="76"/>
        <v>2.6670064170637113</v>
      </c>
      <c r="AV137">
        <f t="shared" si="77"/>
        <v>0.23861644674327476</v>
      </c>
      <c r="AW137">
        <f t="shared" si="78"/>
        <v>1.1291207400628578E-2</v>
      </c>
      <c r="AX137">
        <f t="shared" si="79"/>
        <v>0.2386164450690455</v>
      </c>
      <c r="AY137">
        <f t="shared" si="80"/>
        <v>1.6742292552329729E-9</v>
      </c>
      <c r="AZ137">
        <f t="shared" si="81"/>
        <v>964852.16359160375</v>
      </c>
      <c r="BA137">
        <f t="shared" si="82"/>
        <v>1.3635316095563367E-5</v>
      </c>
      <c r="BB137" s="15">
        <f t="shared" si="83"/>
        <v>3824070.3723689271</v>
      </c>
      <c r="BC137" s="20">
        <f t="shared" si="84"/>
        <v>-5205.5886623230763</v>
      </c>
      <c r="BD137" s="19">
        <f t="shared" si="85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6"/>
        <v>2.8502295699234246E-6</v>
      </c>
      <c r="P138" s="8">
        <f t="shared" si="57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58"/>
        <v>62885.256346872506</v>
      </c>
      <c r="X138">
        <v>3.357281400257757E-2</v>
      </c>
      <c r="Y138">
        <f t="shared" si="59"/>
        <v>5.4576556165522208</v>
      </c>
      <c r="Z138">
        <f t="shared" si="60"/>
        <v>5.4576556280147015</v>
      </c>
      <c r="AA138">
        <f t="shared" si="61"/>
        <v>-1.1462480742352454E-8</v>
      </c>
      <c r="AB138">
        <f t="shared" si="62"/>
        <v>1.5558883062568597E-5</v>
      </c>
      <c r="AC138">
        <v>748.0677459354248</v>
      </c>
      <c r="AD138">
        <f t="shared" si="63"/>
        <v>2036.8906689837515</v>
      </c>
      <c r="AE138">
        <f>+gettm2(AD138,AC138,AK138,AL138,テーブル2[[#This Row],[Fcorr]])</f>
        <v>558.36635580792722</v>
      </c>
      <c r="AF138" s="14">
        <f t="shared" si="64"/>
        <v>1.4806773833697662E-6</v>
      </c>
      <c r="AG138">
        <v>1.567645819645786E-5</v>
      </c>
      <c r="AH138">
        <f t="shared" si="65"/>
        <v>35.809296436130261</v>
      </c>
      <c r="AI138">
        <f t="shared" si="66"/>
        <v>0.24553051498268005</v>
      </c>
      <c r="AJ138">
        <f t="shared" si="67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68"/>
        <v>1.3019406270656069</v>
      </c>
      <c r="AM138">
        <f t="shared" si="69"/>
        <v>617.97483337116626</v>
      </c>
      <c r="AN138">
        <f t="shared" si="70"/>
        <v>6.3854258769424632E-8</v>
      </c>
      <c r="AO138">
        <f t="shared" si="71"/>
        <v>1.1757513388926331E-7</v>
      </c>
      <c r="AP138">
        <v>2.9630510890262389</v>
      </c>
      <c r="AQ138">
        <f t="shared" si="72"/>
        <v>3.8098218097777583E-5</v>
      </c>
      <c r="AR138">
        <f t="shared" si="73"/>
        <v>7.8970166651735619E-6</v>
      </c>
      <c r="AS138">
        <f t="shared" si="74"/>
        <v>16.887516596431716</v>
      </c>
      <c r="AT138">
        <f t="shared" si="75"/>
        <v>11.082873430250554</v>
      </c>
      <c r="AU138">
        <f t="shared" si="76"/>
        <v>2.7211836208172806</v>
      </c>
      <c r="AV138">
        <f t="shared" si="77"/>
        <v>0.24186746820895832</v>
      </c>
      <c r="AW138">
        <f t="shared" si="78"/>
        <v>1.0567845033073247E-2</v>
      </c>
      <c r="AX138">
        <f t="shared" si="79"/>
        <v>0.24186746350075236</v>
      </c>
      <c r="AY138">
        <f t="shared" si="80"/>
        <v>4.7082059639880214E-9</v>
      </c>
      <c r="AZ138">
        <f t="shared" si="81"/>
        <v>964852.16359160375</v>
      </c>
      <c r="BA138">
        <f t="shared" si="82"/>
        <v>1.2857766185293139E-5</v>
      </c>
      <c r="BB138" s="15">
        <f t="shared" si="83"/>
        <v>5240775.6896851519</v>
      </c>
      <c r="BC138" s="20">
        <f t="shared" si="84"/>
        <v>-27784.792346097529</v>
      </c>
      <c r="BD138" s="19">
        <f t="shared" si="85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6"/>
        <v>2.8502295699234246E-6</v>
      </c>
      <c r="P139" s="8">
        <f t="shared" si="57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58"/>
        <v>63264.083192335595</v>
      </c>
      <c r="X139">
        <v>3.348001219959474E-2</v>
      </c>
      <c r="Y139">
        <f t="shared" si="59"/>
        <v>5.4652143024798709</v>
      </c>
      <c r="Z139">
        <f t="shared" si="60"/>
        <v>5.4652143120479932</v>
      </c>
      <c r="AA139">
        <f t="shared" si="61"/>
        <v>-9.5681222944676847E-9</v>
      </c>
      <c r="AB139">
        <f t="shared" si="62"/>
        <v>1.5415719072528481E-5</v>
      </c>
      <c r="AC139">
        <v>750.68728547593764</v>
      </c>
      <c r="AD139">
        <f t="shared" si="63"/>
        <v>2046.3269944671649</v>
      </c>
      <c r="AE139">
        <f>+gettm2(AD139,AC139,AK139,AL139,テーブル2[[#This Row],[Fcorr]])</f>
        <v>556.94756939946478</v>
      </c>
      <c r="AF139" s="14">
        <f t="shared" si="64"/>
        <v>0</v>
      </c>
      <c r="AG139">
        <v>1.5535727609215432E-5</v>
      </c>
      <c r="AH139">
        <f t="shared" si="65"/>
        <v>36.141853207190096</v>
      </c>
      <c r="AI139">
        <f t="shared" si="66"/>
        <v>0.24666798686114988</v>
      </c>
      <c r="AJ139">
        <f t="shared" si="67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68"/>
        <v>1.3019406270656069</v>
      </c>
      <c r="AM139">
        <f t="shared" si="69"/>
        <v>617.97483332881131</v>
      </c>
      <c r="AN139">
        <f t="shared" si="70"/>
        <v>1.0620919965731446E-7</v>
      </c>
      <c r="AO139">
        <f t="shared" si="71"/>
        <v>1.2000853668695067E-7</v>
      </c>
      <c r="AP139">
        <v>2.970982804204839</v>
      </c>
      <c r="AQ139">
        <f t="shared" si="72"/>
        <v>3.78950659021151E-5</v>
      </c>
      <c r="AR139">
        <f t="shared" si="73"/>
        <v>7.8278680729511912E-6</v>
      </c>
      <c r="AS139">
        <f t="shared" si="74"/>
        <v>16.817194484837469</v>
      </c>
      <c r="AT139">
        <f t="shared" si="75"/>
        <v>11.062009221248552</v>
      </c>
      <c r="AU139">
        <f t="shared" si="76"/>
        <v>2.7286435452448567</v>
      </c>
      <c r="AV139">
        <f t="shared" si="77"/>
        <v>0.24233925895998221</v>
      </c>
      <c r="AW139">
        <f t="shared" si="78"/>
        <v>1.0470605735433675E-2</v>
      </c>
      <c r="AX139">
        <f t="shared" si="79"/>
        <v>0.2423392538112342</v>
      </c>
      <c r="AY139">
        <f t="shared" si="80"/>
        <v>5.1487480112744066E-9</v>
      </c>
      <c r="AZ139">
        <f t="shared" si="81"/>
        <v>964852.16359160375</v>
      </c>
      <c r="BA139">
        <f t="shared" si="82"/>
        <v>1.2755060664936237E-5</v>
      </c>
      <c r="BB139" s="15">
        <f t="shared" si="83"/>
        <v>5392314.6447791234</v>
      </c>
      <c r="BC139" s="20">
        <f t="shared" si="84"/>
        <v>8124.8986853733659</v>
      </c>
      <c r="BD139" s="19">
        <f t="shared" si="85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6"/>
        <v>2.8502295699234246E-6</v>
      </c>
      <c r="P140" s="8">
        <f t="shared" si="57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58"/>
        <v>64400.563728724846</v>
      </c>
      <c r="X140">
        <v>3.3207089835678563E-2</v>
      </c>
      <c r="Y140">
        <f t="shared" si="59"/>
        <v>5.4876270913902703</v>
      </c>
      <c r="Z140">
        <f t="shared" si="60"/>
        <v>5.4876271449188492</v>
      </c>
      <c r="AA140">
        <f t="shared" si="61"/>
        <v>-5.3528578902728441E-8</v>
      </c>
      <c r="AB140">
        <f t="shared" si="62"/>
        <v>1.4998702032369333E-5</v>
      </c>
      <c r="AC140">
        <v>725.58266289322194</v>
      </c>
      <c r="AD140">
        <f t="shared" si="63"/>
        <v>2074.5795298419616</v>
      </c>
      <c r="AE140">
        <f>+gettm2(AD140,AC140,AK140,AL140,テーブル2[[#This Row],[Fcorr]])</f>
        <v>567.92336456300836</v>
      </c>
      <c r="AF140" s="14">
        <f t="shared" si="64"/>
        <v>0</v>
      </c>
      <c r="AG140">
        <v>1.5098848155741961E-5</v>
      </c>
      <c r="AH140">
        <f t="shared" si="65"/>
        <v>37.146724736593228</v>
      </c>
      <c r="AI140">
        <f t="shared" si="66"/>
        <v>0.25007359898641984</v>
      </c>
      <c r="AJ140">
        <f t="shared" si="67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68"/>
        <v>1.3019406270656069</v>
      </c>
      <c r="AM140">
        <f t="shared" si="69"/>
        <v>617.97483339387452</v>
      </c>
      <c r="AN140">
        <f t="shared" si="70"/>
        <v>4.114599505555816E-8</v>
      </c>
      <c r="AO140">
        <f t="shared" si="71"/>
        <v>1.0014612337262739E-7</v>
      </c>
      <c r="AP140">
        <v>2.9905204849496538</v>
      </c>
      <c r="AQ140">
        <f t="shared" si="72"/>
        <v>3.740153096682221E-5</v>
      </c>
      <c r="AR140">
        <f t="shared" si="73"/>
        <v>7.599497139557294E-6</v>
      </c>
      <c r="AS140">
        <f t="shared" si="74"/>
        <v>16.551980265425829</v>
      </c>
      <c r="AT140">
        <f t="shared" si="75"/>
        <v>10.982528740826066</v>
      </c>
      <c r="AU140">
        <f t="shared" si="76"/>
        <v>2.7464404881901681</v>
      </c>
      <c r="AV140">
        <f t="shared" si="77"/>
        <v>0.24407999675948577</v>
      </c>
      <c r="AW140">
        <f t="shared" si="78"/>
        <v>1.0187361016720221E-2</v>
      </c>
      <c r="AX140">
        <f t="shared" si="79"/>
        <v>0.24407999053290896</v>
      </c>
      <c r="AY140">
        <f t="shared" si="80"/>
        <v>6.2265768097091723E-9</v>
      </c>
      <c r="AZ140">
        <f t="shared" si="81"/>
        <v>964852.16359160375</v>
      </c>
      <c r="BA140">
        <f t="shared" si="82"/>
        <v>1.2506696126996059E-5</v>
      </c>
      <c r="BB140" s="15">
        <f t="shared" si="83"/>
        <v>4589201.8334892411</v>
      </c>
      <c r="BC140" s="20">
        <f t="shared" si="84"/>
        <v>1507.0092704910785</v>
      </c>
      <c r="BD140" s="19">
        <f t="shared" si="85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6"/>
        <v>2.8502295699234246E-6</v>
      </c>
      <c r="P141" s="8">
        <f t="shared" si="57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58"/>
        <v>64779.390574187935</v>
      </c>
      <c r="X141">
        <v>3.3117894312529747E-2</v>
      </c>
      <c r="Y141">
        <f t="shared" si="59"/>
        <v>5.4950119606918042</v>
      </c>
      <c r="Z141">
        <f t="shared" si="60"/>
        <v>5.4950120000108633</v>
      </c>
      <c r="AA141">
        <f t="shared" si="61"/>
        <v>-3.9319059119691246E-8</v>
      </c>
      <c r="AB141">
        <f t="shared" si="62"/>
        <v>1.4863716064969792E-5</v>
      </c>
      <c r="AC141">
        <v>707.95557526356708</v>
      </c>
      <c r="AD141">
        <f t="shared" si="63"/>
        <v>2083.9784646425678</v>
      </c>
      <c r="AE141">
        <f>+gettm2(AD141,AC141,AK141,AL141,テーブル2[[#This Row],[Fcorr]])</f>
        <v>575.9555066399987</v>
      </c>
      <c r="AF141" s="14">
        <f t="shared" si="64"/>
        <v>1.0795555454023997E-6</v>
      </c>
      <c r="AG141">
        <v>1.4950249454311011E-5</v>
      </c>
      <c r="AH141">
        <f t="shared" si="65"/>
        <v>37.484075541222154</v>
      </c>
      <c r="AI141">
        <f t="shared" si="66"/>
        <v>0.25120656372381184</v>
      </c>
      <c r="AJ141">
        <f t="shared" si="67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68"/>
        <v>1.3019406270656069</v>
      </c>
      <c r="AM141">
        <f t="shared" si="69"/>
        <v>617.97483339716996</v>
      </c>
      <c r="AN141">
        <f t="shared" si="70"/>
        <v>3.7850554690521676E-8</v>
      </c>
      <c r="AO141">
        <f t="shared" si="71"/>
        <v>8.6533389341218573E-8</v>
      </c>
      <c r="AP141">
        <v>2.995834749079509</v>
      </c>
      <c r="AQ141">
        <f t="shared" si="72"/>
        <v>3.7268956682189688E-5</v>
      </c>
      <c r="AR141">
        <f t="shared" si="73"/>
        <v>7.5183914218261146E-6</v>
      </c>
      <c r="AS141">
        <f t="shared" si="74"/>
        <v>16.449517912691903</v>
      </c>
      <c r="AT141">
        <f t="shared" si="75"/>
        <v>10.95148085281304</v>
      </c>
      <c r="AU141">
        <f t="shared" si="76"/>
        <v>2.7510838727222842</v>
      </c>
      <c r="AV141">
        <f t="shared" si="77"/>
        <v>0.24475087635722481</v>
      </c>
      <c r="AW141">
        <f t="shared" si="78"/>
        <v>1.0095676364333462E-2</v>
      </c>
      <c r="AX141">
        <f t="shared" si="79"/>
        <v>0.24475086984109634</v>
      </c>
      <c r="AY141">
        <f t="shared" si="80"/>
        <v>6.516128470135385E-9</v>
      </c>
      <c r="AZ141">
        <f t="shared" si="81"/>
        <v>964852.16359160375</v>
      </c>
      <c r="BA141">
        <f t="shared" si="82"/>
        <v>1.2440257825849986E-5</v>
      </c>
      <c r="BB141" s="15">
        <f t="shared" si="83"/>
        <v>3986575.0750578656</v>
      </c>
      <c r="BC141" s="20">
        <f t="shared" si="84"/>
        <v>9943.6727141155861</v>
      </c>
      <c r="BD141" s="19">
        <f t="shared" si="85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6"/>
        <v>2.8502295699234246E-6</v>
      </c>
      <c r="P142" s="8">
        <f t="shared" si="57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58"/>
        <v>64779.390574187935</v>
      </c>
      <c r="X142">
        <v>3.3117894312529747E-2</v>
      </c>
      <c r="Y142">
        <f t="shared" si="59"/>
        <v>5.4950119606918042</v>
      </c>
      <c r="Z142">
        <f t="shared" si="60"/>
        <v>5.4950120000108633</v>
      </c>
      <c r="AA142">
        <f t="shared" si="61"/>
        <v>-3.9319059119691246E-8</v>
      </c>
      <c r="AB142">
        <f t="shared" si="62"/>
        <v>1.4863716064969792E-5</v>
      </c>
      <c r="AC142">
        <v>709.71482261536221</v>
      </c>
      <c r="AD142">
        <f t="shared" si="63"/>
        <v>2083.9784646425678</v>
      </c>
      <c r="AE142">
        <f>+gettm2(AD142,AC142,AK142,AL142,テーブル2[[#This Row],[Fcorr]])</f>
        <v>575.13541241044652</v>
      </c>
      <c r="AF142" s="14">
        <f t="shared" si="64"/>
        <v>0</v>
      </c>
      <c r="AG142">
        <v>1.495132599444377E-5</v>
      </c>
      <c r="AH142">
        <f t="shared" si="65"/>
        <v>37.484075541222154</v>
      </c>
      <c r="AI142">
        <f t="shared" si="66"/>
        <v>0.25120656372381184</v>
      </c>
      <c r="AJ142">
        <f t="shared" si="67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68"/>
        <v>1.3019406270656069</v>
      </c>
      <c r="AM142">
        <f t="shared" si="69"/>
        <v>617.97483339634493</v>
      </c>
      <c r="AN142">
        <f t="shared" si="70"/>
        <v>3.8675580071867444E-8</v>
      </c>
      <c r="AO142">
        <f t="shared" si="71"/>
        <v>8.7609929473978179E-8</v>
      </c>
      <c r="AP142">
        <v>2.996001002801028</v>
      </c>
      <c r="AQ142">
        <f t="shared" si="72"/>
        <v>3.7264820548174337E-5</v>
      </c>
      <c r="AR142">
        <f t="shared" si="73"/>
        <v>7.5194679619588742E-6</v>
      </c>
      <c r="AS142">
        <f t="shared" si="74"/>
        <v>16.451873279046751</v>
      </c>
      <c r="AT142">
        <f t="shared" si="75"/>
        <v>10.952196739367851</v>
      </c>
      <c r="AU142">
        <f t="shared" si="76"/>
        <v>2.7512637081237346</v>
      </c>
      <c r="AV142">
        <f t="shared" si="77"/>
        <v>0.24473729467729344</v>
      </c>
      <c r="AW142">
        <f t="shared" si="78"/>
        <v>1.0095676364333462E-2</v>
      </c>
      <c r="AX142">
        <f t="shared" si="79"/>
        <v>0.24473728815573706</v>
      </c>
      <c r="AY142">
        <f t="shared" si="80"/>
        <v>6.521556378258353E-9</v>
      </c>
      <c r="AZ142">
        <f t="shared" si="81"/>
        <v>964852.16359160375</v>
      </c>
      <c r="BA142">
        <f t="shared" si="82"/>
        <v>1.2438186940970523E-5</v>
      </c>
      <c r="BB142" s="15">
        <f t="shared" si="83"/>
        <v>4036843.051614196</v>
      </c>
      <c r="BC142" s="20">
        <f t="shared" si="84"/>
        <v>-3704.3663545539603</v>
      </c>
      <c r="BD142" s="19">
        <f t="shared" si="85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6"/>
        <v>2.8502295699234246E-6</v>
      </c>
      <c r="P143" s="8">
        <f t="shared" si="57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58"/>
        <v>64779.390574187935</v>
      </c>
      <c r="X143">
        <v>3.3117894312529747E-2</v>
      </c>
      <c r="Y143">
        <f t="shared" si="59"/>
        <v>5.4950119606918042</v>
      </c>
      <c r="Z143">
        <f t="shared" si="60"/>
        <v>5.4950120000108633</v>
      </c>
      <c r="AA143">
        <f t="shared" si="61"/>
        <v>-3.9319059119691246E-8</v>
      </c>
      <c r="AB143">
        <f t="shared" si="62"/>
        <v>1.4863716064969792E-5</v>
      </c>
      <c r="AC143">
        <v>721.83828906281917</v>
      </c>
      <c r="AD143">
        <f t="shared" si="63"/>
        <v>2083.9784646425678</v>
      </c>
      <c r="AE143">
        <f>+gettm2(AD143,AC143,AK143,AL143,テーブル2[[#This Row],[Fcorr]])</f>
        <v>569.48950969961129</v>
      </c>
      <c r="AF143" s="14">
        <f t="shared" si="64"/>
        <v>1.2183828630440985E-6</v>
      </c>
      <c r="AG143">
        <v>1.496144984130562E-5</v>
      </c>
      <c r="AH143">
        <f t="shared" si="65"/>
        <v>37.484075541222154</v>
      </c>
      <c r="AI143">
        <f t="shared" si="66"/>
        <v>0.25120656372381184</v>
      </c>
      <c r="AJ143">
        <f t="shared" si="67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68"/>
        <v>1.3019406270656069</v>
      </c>
      <c r="AM143">
        <f t="shared" si="69"/>
        <v>617.97483339039434</v>
      </c>
      <c r="AN143">
        <f t="shared" si="70"/>
        <v>4.462617653189227E-8</v>
      </c>
      <c r="AO143">
        <f t="shared" si="71"/>
        <v>9.7733776335827866E-8</v>
      </c>
      <c r="AP143">
        <v>2.9975633672561228</v>
      </c>
      <c r="AQ143">
        <f t="shared" si="72"/>
        <v>3.7225984966649275E-5</v>
      </c>
      <c r="AR143">
        <f t="shared" si="73"/>
        <v>7.5295918088207239E-6</v>
      </c>
      <c r="AS143">
        <f t="shared" si="74"/>
        <v>16.474023283077653</v>
      </c>
      <c r="AT143">
        <f t="shared" si="75"/>
        <v>10.958923969203637</v>
      </c>
      <c r="AU143">
        <f t="shared" si="76"/>
        <v>2.7529536324141626</v>
      </c>
      <c r="AV143">
        <f t="shared" si="77"/>
        <v>0.24460973484196025</v>
      </c>
      <c r="AW143">
        <f t="shared" si="78"/>
        <v>1.0095676364333462E-2</v>
      </c>
      <c r="AX143">
        <f t="shared" si="79"/>
        <v>0.24460972827025554</v>
      </c>
      <c r="AY143">
        <f t="shared" si="80"/>
        <v>6.5717047081914615E-9</v>
      </c>
      <c r="AZ143">
        <f t="shared" si="81"/>
        <v>964852.16359160375</v>
      </c>
      <c r="BA143">
        <f t="shared" si="82"/>
        <v>1.241874829846376E-5</v>
      </c>
      <c r="BB143" s="15">
        <f t="shared" si="83"/>
        <v>4510373.1035318328</v>
      </c>
      <c r="BC143" s="20">
        <f t="shared" si="84"/>
        <v>33638.669938082807</v>
      </c>
      <c r="BD143" s="19">
        <f t="shared" si="85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6"/>
        <v>2.8502295699234246E-6</v>
      </c>
      <c r="P144" s="8">
        <f t="shared" si="57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58"/>
        <v>80311.291238174526</v>
      </c>
      <c r="X144">
        <v>3.007705250927251E-2</v>
      </c>
      <c r="Y144">
        <f t="shared" si="59"/>
        <v>5.766102562650592</v>
      </c>
      <c r="Z144">
        <f t="shared" si="60"/>
        <v>5.7661025972645295</v>
      </c>
      <c r="AA144">
        <f t="shared" si="61"/>
        <v>-3.4613937494043512E-8</v>
      </c>
      <c r="AB144">
        <f t="shared" si="62"/>
        <v>1.0648178955476381E-5</v>
      </c>
      <c r="AC144">
        <v>705.99038471433153</v>
      </c>
      <c r="AD144">
        <f t="shared" si="63"/>
        <v>2462.1769220775036</v>
      </c>
      <c r="AE144">
        <f>+gettm2(AD144,AC144,AK144,AL144,テーブル2[[#This Row],[Fcorr]])</f>
        <v>569.5726847829585</v>
      </c>
      <c r="AF144" s="14">
        <f t="shared" si="64"/>
        <v>1.0599037523206789E-6</v>
      </c>
      <c r="AG144">
        <v>1.072608329483176E-5</v>
      </c>
      <c r="AH144">
        <f t="shared" si="65"/>
        <v>52.32375020482354</v>
      </c>
      <c r="AI144">
        <f t="shared" si="66"/>
        <v>0.29679529533010102</v>
      </c>
      <c r="AJ144">
        <f t="shared" si="67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68"/>
        <v>1.3019406270656069</v>
      </c>
      <c r="AM144">
        <f t="shared" si="69"/>
        <v>617.97483342096871</v>
      </c>
      <c r="AN144">
        <f t="shared" si="70"/>
        <v>1.4051806829229463E-8</v>
      </c>
      <c r="AO144">
        <f t="shared" si="71"/>
        <v>7.7904339355378913E-8</v>
      </c>
      <c r="AP144">
        <v>3.2720082532854802</v>
      </c>
      <c r="AQ144">
        <f t="shared" si="72"/>
        <v>3.1243103106385787E-5</v>
      </c>
      <c r="AR144">
        <f t="shared" si="73"/>
        <v>5.4019938170935692E-6</v>
      </c>
      <c r="AS144">
        <f t="shared" si="74"/>
        <v>13.96395224110567</v>
      </c>
      <c r="AT144">
        <f t="shared" si="75"/>
        <v>10.132395845463446</v>
      </c>
      <c r="AU144">
        <f t="shared" si="76"/>
        <v>3.0072474173558121</v>
      </c>
      <c r="AV144">
        <f t="shared" si="77"/>
        <v>0.26476083592966804</v>
      </c>
      <c r="AW144">
        <f t="shared" si="78"/>
        <v>7.2324153754086363E-3</v>
      </c>
      <c r="AX144">
        <f t="shared" si="79"/>
        <v>0.2647608319023802</v>
      </c>
      <c r="AY144">
        <f t="shared" si="80"/>
        <v>4.0272878365499309E-9</v>
      </c>
      <c r="AZ144">
        <f t="shared" si="81"/>
        <v>964852.16359160375</v>
      </c>
      <c r="BA144">
        <f t="shared" si="82"/>
        <v>9.5486015583897278E-6</v>
      </c>
      <c r="BB144" s="15">
        <f t="shared" si="83"/>
        <v>4675924.5119666252</v>
      </c>
      <c r="BC144" s="20">
        <f t="shared" si="84"/>
        <v>-37469.070064624771</v>
      </c>
      <c r="BD144" s="19">
        <f t="shared" si="85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6"/>
        <v>2.8502295699234246E-6</v>
      </c>
      <c r="P145" s="8">
        <f t="shared" si="57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58"/>
        <v>81826.598620026867</v>
      </c>
      <c r="X145">
        <v>2.9832242040537481E-2</v>
      </c>
      <c r="Y145">
        <f t="shared" si="59"/>
        <v>5.7897132269993108</v>
      </c>
      <c r="Z145">
        <f t="shared" si="60"/>
        <v>5.7897132518930503</v>
      </c>
      <c r="AA145">
        <f t="shared" si="61"/>
        <v>-2.4893739514197932E-8</v>
      </c>
      <c r="AB145">
        <f t="shared" si="62"/>
        <v>1.0341628698207303E-5</v>
      </c>
      <c r="AC145">
        <v>678.80558435211685</v>
      </c>
      <c r="AD145">
        <f t="shared" si="63"/>
        <v>2498.4027920342492</v>
      </c>
      <c r="AE145">
        <f>+gettm2(AD145,AC145,AK145,AL145,テーブル2[[#This Row],[Fcorr]])</f>
        <v>583.88475389804012</v>
      </c>
      <c r="AF145" s="14">
        <f t="shared" si="64"/>
        <v>0</v>
      </c>
      <c r="AG145">
        <v>1.0399852669285069E-5</v>
      </c>
      <c r="AH145">
        <f t="shared" si="65"/>
        <v>53.874749525593217</v>
      </c>
      <c r="AI145">
        <f t="shared" si="66"/>
        <v>0.30116202774319267</v>
      </c>
      <c r="AJ145">
        <f t="shared" si="67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68"/>
        <v>1.3019406270656069</v>
      </c>
      <c r="AM145">
        <f t="shared" si="69"/>
        <v>617.97483343461909</v>
      </c>
      <c r="AN145">
        <f t="shared" si="70"/>
        <v>4.014282239950262E-10</v>
      </c>
      <c r="AO145">
        <f t="shared" si="71"/>
        <v>5.8223971077766472E-8</v>
      </c>
      <c r="AP145">
        <v>3.2915476613267729</v>
      </c>
      <c r="AQ145">
        <f t="shared" si="72"/>
        <v>3.08732711305876E-5</v>
      </c>
      <c r="AR145">
        <f t="shared" si="73"/>
        <v>5.2290383201814179E-6</v>
      </c>
      <c r="AS145">
        <f t="shared" si="74"/>
        <v>13.715741668026597</v>
      </c>
      <c r="AT145">
        <f t="shared" si="75"/>
        <v>10.042721000356027</v>
      </c>
      <c r="AU145">
        <f t="shared" si="76"/>
        <v>3.0244862205263652</v>
      </c>
      <c r="AV145">
        <f t="shared" si="77"/>
        <v>0.26706144080040772</v>
      </c>
      <c r="AW145">
        <f t="shared" si="78"/>
        <v>7.0242014823778389E-3</v>
      </c>
      <c r="AX145">
        <f t="shared" si="79"/>
        <v>0.26706143585063419</v>
      </c>
      <c r="AY145">
        <f t="shared" si="80"/>
        <v>4.9497735354897543E-9</v>
      </c>
      <c r="AZ145">
        <f t="shared" si="81"/>
        <v>964852.16359160375</v>
      </c>
      <c r="BA145">
        <f t="shared" si="82"/>
        <v>9.3795607134374756E-6</v>
      </c>
      <c r="BB145" s="15">
        <f t="shared" si="83"/>
        <v>3557664.0679743527</v>
      </c>
      <c r="BC145" s="20">
        <f t="shared" si="84"/>
        <v>13058.247818102594</v>
      </c>
      <c r="BD145" s="19">
        <f t="shared" si="85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6"/>
        <v>2.8502295699234246E-6</v>
      </c>
      <c r="P146" s="8">
        <f t="shared" si="57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58"/>
        <v>82584.252310953045</v>
      </c>
      <c r="X146">
        <v>2.9712616755100299E-2</v>
      </c>
      <c r="Y146">
        <f t="shared" si="59"/>
        <v>5.8013564355317948</v>
      </c>
      <c r="Z146">
        <f t="shared" si="60"/>
        <v>5.8013564559704935</v>
      </c>
      <c r="AA146">
        <f t="shared" si="61"/>
        <v>-2.0438698733471483E-8</v>
      </c>
      <c r="AB146">
        <f t="shared" si="62"/>
        <v>1.0193620209276483E-5</v>
      </c>
      <c r="AC146">
        <v>675.14618475048269</v>
      </c>
      <c r="AD146">
        <f t="shared" si="63"/>
        <v>2516.4754776415803</v>
      </c>
      <c r="AE146">
        <f>+gettm2(AD146,AC146,AK146,AL146,テーブル2[[#This Row],[Fcorr]])</f>
        <v>585.65546869276977</v>
      </c>
      <c r="AF146" s="14">
        <f t="shared" si="64"/>
        <v>0</v>
      </c>
      <c r="AG146">
        <v>1.0248915798472461E-5</v>
      </c>
      <c r="AH146">
        <f t="shared" si="65"/>
        <v>54.656995685946825</v>
      </c>
      <c r="AI146">
        <f t="shared" si="66"/>
        <v>0.30334054221716883</v>
      </c>
      <c r="AJ146">
        <f t="shared" si="67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68"/>
        <v>1.3019406270656069</v>
      </c>
      <c r="AM146">
        <f t="shared" si="69"/>
        <v>617.97483343260865</v>
      </c>
      <c r="AN146">
        <f t="shared" si="70"/>
        <v>2.4118662622640841E-9</v>
      </c>
      <c r="AO146">
        <f t="shared" si="71"/>
        <v>5.5295589195978131E-8</v>
      </c>
      <c r="AP146">
        <v>3.3028858052805461</v>
      </c>
      <c r="AQ146">
        <f t="shared" si="72"/>
        <v>3.0661671459949148E-5</v>
      </c>
      <c r="AR146">
        <f t="shared" si="73"/>
        <v>5.1521056938342194E-6</v>
      </c>
      <c r="AS146">
        <f t="shared" si="74"/>
        <v>13.611703555644485</v>
      </c>
      <c r="AT146">
        <f t="shared" si="75"/>
        <v>10.00464989119228</v>
      </c>
      <c r="AU146">
        <f t="shared" si="76"/>
        <v>3.0348159226872053</v>
      </c>
      <c r="AV146">
        <f t="shared" si="77"/>
        <v>0.26806988259334075</v>
      </c>
      <c r="AW146">
        <f t="shared" si="78"/>
        <v>6.9236717227344098E-3</v>
      </c>
      <c r="AX146">
        <f t="shared" si="79"/>
        <v>0.26806987709591751</v>
      </c>
      <c r="AY146">
        <f t="shared" si="80"/>
        <v>5.4974232388538269E-9</v>
      </c>
      <c r="AZ146">
        <f t="shared" si="81"/>
        <v>964852.16359160375</v>
      </c>
      <c r="BA146">
        <f t="shared" si="82"/>
        <v>9.2832974760823607E-6</v>
      </c>
      <c r="BB146" s="15">
        <f t="shared" si="83"/>
        <v>3413766.6910962756</v>
      </c>
      <c r="BC146" s="20">
        <f t="shared" si="84"/>
        <v>14678.702815025579</v>
      </c>
      <c r="BD146" s="19">
        <f t="shared" si="85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6"/>
        <v>2.8502295699234246E-6</v>
      </c>
      <c r="P147" s="8">
        <f t="shared" si="57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58"/>
        <v>83341.906001879222</v>
      </c>
      <c r="X147">
        <v>2.9594784018131641E-2</v>
      </c>
      <c r="Y147">
        <f t="shared" si="59"/>
        <v>5.8128941210789371</v>
      </c>
      <c r="Z147">
        <f t="shared" si="60"/>
        <v>5.8128941374986907</v>
      </c>
      <c r="AA147">
        <f t="shared" si="61"/>
        <v>-1.6419753556817795E-8</v>
      </c>
      <c r="AB147">
        <f t="shared" si="62"/>
        <v>1.0048975809118475E-5</v>
      </c>
      <c r="AC147">
        <v>708.70983593068502</v>
      </c>
      <c r="AD147">
        <f t="shared" si="63"/>
        <v>2534.5217744995784</v>
      </c>
      <c r="AE147">
        <f>+gettm2(AD147,AC147,AK147,AL147,テーブル2[[#This Row],[Fcorr]])</f>
        <v>566.36166494885958</v>
      </c>
      <c r="AF147" s="14">
        <f t="shared" si="64"/>
        <v>1.0870980986510403E-6</v>
      </c>
      <c r="AG147">
        <v>1.012819253051503E-5</v>
      </c>
      <c r="AH147">
        <f t="shared" si="65"/>
        <v>55.443725448820643</v>
      </c>
      <c r="AI147">
        <f t="shared" si="66"/>
        <v>0.30551587574318734</v>
      </c>
      <c r="AJ147">
        <f t="shared" si="67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68"/>
        <v>1.3019406270656069</v>
      </c>
      <c r="AM147">
        <f t="shared" si="69"/>
        <v>617.97483343479962</v>
      </c>
      <c r="AN147">
        <f t="shared" si="70"/>
        <v>2.2089352569309995E-10</v>
      </c>
      <c r="AO147">
        <f t="shared" si="71"/>
        <v>7.9216721396554575E-8</v>
      </c>
      <c r="AP147">
        <v>3.3215514313724772</v>
      </c>
      <c r="AQ147">
        <f t="shared" si="72"/>
        <v>3.0318030111609576E-5</v>
      </c>
      <c r="AR147">
        <f t="shared" si="73"/>
        <v>5.1037046259557921E-6</v>
      </c>
      <c r="AS147">
        <f t="shared" si="74"/>
        <v>13.580525464671055</v>
      </c>
      <c r="AT147">
        <f t="shared" si="75"/>
        <v>9.993184076965397</v>
      </c>
      <c r="AU147">
        <f t="shared" si="76"/>
        <v>3.0530763847369586</v>
      </c>
      <c r="AV147">
        <f t="shared" si="77"/>
        <v>0.26847504663551858</v>
      </c>
      <c r="AW147">
        <f t="shared" si="78"/>
        <v>6.8254269065978895E-3</v>
      </c>
      <c r="AX147">
        <f t="shared" si="79"/>
        <v>0.26847504032108882</v>
      </c>
      <c r="AY147">
        <f t="shared" si="80"/>
        <v>6.3144297568484831E-9</v>
      </c>
      <c r="AZ147">
        <f t="shared" si="81"/>
        <v>964852.16359160375</v>
      </c>
      <c r="BA147">
        <f t="shared" si="82"/>
        <v>9.1276714324673449E-6</v>
      </c>
      <c r="BB147" s="15">
        <f t="shared" si="83"/>
        <v>4973962.1873237807</v>
      </c>
      <c r="BC147" s="20">
        <f t="shared" si="84"/>
        <v>-28436.73845746927</v>
      </c>
      <c r="BD147" s="19">
        <f t="shared" si="85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6"/>
        <v>2.8502295699234246E-6</v>
      </c>
      <c r="P148" s="8">
        <f t="shared" si="57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58"/>
        <v>83720.732847342311</v>
      </c>
      <c r="X148">
        <v>2.9536526159325539E-2</v>
      </c>
      <c r="Y148">
        <f t="shared" si="59"/>
        <v>5.8186239746990411</v>
      </c>
      <c r="Z148">
        <f t="shared" si="60"/>
        <v>5.8186239892910878</v>
      </c>
      <c r="AA148">
        <f t="shared" si="61"/>
        <v>-1.4592046682082582E-8</v>
      </c>
      <c r="AB148">
        <f t="shared" si="62"/>
        <v>9.9778822390283174E-6</v>
      </c>
      <c r="AC148">
        <v>709.86129122428724</v>
      </c>
      <c r="AD148">
        <f t="shared" si="63"/>
        <v>2543.5351287382805</v>
      </c>
      <c r="AE148">
        <f>+gettm2(AD148,AC148,AK148,AL148,テーブル2[[#This Row],[Fcorr]])</f>
        <v>565.49788448625657</v>
      </c>
      <c r="AF148" s="14">
        <f t="shared" si="64"/>
        <v>1.0986128700096742E-6</v>
      </c>
      <c r="AG148">
        <v>1.005861786816685E-5</v>
      </c>
      <c r="AH148">
        <f t="shared" si="65"/>
        <v>55.838768433577201</v>
      </c>
      <c r="AI148">
        <f t="shared" si="66"/>
        <v>0.30660236189664103</v>
      </c>
      <c r="AJ148">
        <f t="shared" si="67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68"/>
        <v>1.3019406270656069</v>
      </c>
      <c r="AM148">
        <f t="shared" si="69"/>
        <v>617.97483343411091</v>
      </c>
      <c r="AN148">
        <f t="shared" si="70"/>
        <v>9.0960838861064985E-10</v>
      </c>
      <c r="AO148">
        <f t="shared" si="71"/>
        <v>8.073562913853255E-8</v>
      </c>
      <c r="AP148">
        <v>3.3280262779848999</v>
      </c>
      <c r="AQ148">
        <f t="shared" si="72"/>
        <v>3.0200174290873562E-5</v>
      </c>
      <c r="AR148">
        <f t="shared" si="73"/>
        <v>5.0696767486526913E-6</v>
      </c>
      <c r="AS148">
        <f t="shared" si="74"/>
        <v>13.537953702410281</v>
      </c>
      <c r="AT148">
        <f t="shared" si="75"/>
        <v>9.9774856312782596</v>
      </c>
      <c r="AU148">
        <f t="shared" si="76"/>
        <v>3.0591206603397127</v>
      </c>
      <c r="AV148">
        <f t="shared" si="77"/>
        <v>0.26890561764518717</v>
      </c>
      <c r="AW148">
        <f t="shared" si="78"/>
        <v>6.7771390038905161E-3</v>
      </c>
      <c r="AX148">
        <f t="shared" si="79"/>
        <v>0.26890561101057903</v>
      </c>
      <c r="AY148">
        <f t="shared" si="80"/>
        <v>6.6346081406543078E-9</v>
      </c>
      <c r="AZ148">
        <f t="shared" si="81"/>
        <v>964852.16359160375</v>
      </c>
      <c r="BA148">
        <f t="shared" si="82"/>
        <v>9.0744999493091702E-6</v>
      </c>
      <c r="BB148" s="15">
        <f t="shared" si="83"/>
        <v>5099036.7873276975</v>
      </c>
      <c r="BC148" s="20">
        <f t="shared" si="84"/>
        <v>22956.025608947501</v>
      </c>
      <c r="BD148" s="19">
        <f t="shared" si="85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6"/>
        <v>2.8502295699234246E-6</v>
      </c>
      <c r="P149" s="8">
        <f t="shared" si="57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58"/>
        <v>84478.386538268489</v>
      </c>
      <c r="X149">
        <v>2.9421300873239079E-2</v>
      </c>
      <c r="Y149">
        <f t="shared" si="59"/>
        <v>5.8300068407870205</v>
      </c>
      <c r="Z149">
        <f t="shared" si="60"/>
        <v>5.8300068521006256</v>
      </c>
      <c r="AA149">
        <f t="shared" si="61"/>
        <v>-1.1313605163820739E-8</v>
      </c>
      <c r="AB149">
        <f t="shared" si="62"/>
        <v>9.8380888363249655E-6</v>
      </c>
      <c r="AC149">
        <v>746.92101927760314</v>
      </c>
      <c r="AD149">
        <f t="shared" si="63"/>
        <v>2561.542448243682</v>
      </c>
      <c r="AE149">
        <f>+gettm2(AD149,AC149,AK149,AL149,テーブル2[[#This Row],[Fcorr]])</f>
        <v>543.89441153484836</v>
      </c>
      <c r="AF149" s="14">
        <f t="shared" si="64"/>
        <v>1.4692101331092999E-6</v>
      </c>
      <c r="AG149">
        <v>9.9435833207945902E-6</v>
      </c>
      <c r="AH149">
        <f t="shared" si="65"/>
        <v>56.632204188423465</v>
      </c>
      <c r="AI149">
        <f t="shared" si="66"/>
        <v>0.3087729970215124</v>
      </c>
      <c r="AJ149">
        <f t="shared" si="67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68"/>
        <v>1.3019406270656069</v>
      </c>
      <c r="AM149">
        <f t="shared" si="69"/>
        <v>617.97483343617807</v>
      </c>
      <c r="AN149">
        <f t="shared" si="70"/>
        <v>-1.1575593816814944E-9</v>
      </c>
      <c r="AO149">
        <f t="shared" si="71"/>
        <v>1.054944844696247E-7</v>
      </c>
      <c r="AP149">
        <v>3.3471263183201452</v>
      </c>
      <c r="AQ149">
        <f t="shared" si="72"/>
        <v>2.9856489173134122E-5</v>
      </c>
      <c r="AR149">
        <f t="shared" si="73"/>
        <v>5.0245389026321074E-6</v>
      </c>
      <c r="AS149">
        <f t="shared" si="74"/>
        <v>13.512409114901702</v>
      </c>
      <c r="AT149">
        <f t="shared" si="75"/>
        <v>9.9680422847049144</v>
      </c>
      <c r="AU149">
        <f t="shared" si="76"/>
        <v>3.0778622906855002</v>
      </c>
      <c r="AV149">
        <f t="shared" si="77"/>
        <v>0.26926402763464496</v>
      </c>
      <c r="AW149">
        <f t="shared" si="78"/>
        <v>6.682189063687601E-3</v>
      </c>
      <c r="AX149">
        <f t="shared" si="79"/>
        <v>0.26926402014870021</v>
      </c>
      <c r="AY149">
        <f t="shared" si="80"/>
        <v>7.4859447529718182E-9</v>
      </c>
      <c r="AZ149">
        <f t="shared" si="81"/>
        <v>964852.16359160375</v>
      </c>
      <c r="BA149">
        <f t="shared" si="82"/>
        <v>8.9200365727811815E-6</v>
      </c>
      <c r="BB149" s="15">
        <f t="shared" si="83"/>
        <v>6778111.8795138942</v>
      </c>
      <c r="BC149" s="20">
        <f t="shared" si="84"/>
        <v>-11530.210329855792</v>
      </c>
      <c r="BD149" s="19">
        <f t="shared" si="85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6"/>
        <v>2.8502295699234246E-6</v>
      </c>
      <c r="P150" s="8">
        <f t="shared" si="57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58"/>
        <v>84478.386538268489</v>
      </c>
      <c r="X150">
        <v>2.9421300873239079E-2</v>
      </c>
      <c r="Y150">
        <f t="shared" si="59"/>
        <v>5.8300068407870205</v>
      </c>
      <c r="Z150">
        <f t="shared" si="60"/>
        <v>5.8300068521006256</v>
      </c>
      <c r="AA150">
        <f t="shared" si="61"/>
        <v>-1.1313605163820739E-8</v>
      </c>
      <c r="AB150">
        <f t="shared" si="62"/>
        <v>9.8380888363249655E-6</v>
      </c>
      <c r="AC150">
        <v>745.90025500633055</v>
      </c>
      <c r="AD150">
        <f t="shared" si="63"/>
        <v>2561.542448243682</v>
      </c>
      <c r="AE150">
        <f>+gettm2(AD150,AC150,AK150,AL150,テーブル2[[#This Row],[Fcorr]])</f>
        <v>544.47615343759674</v>
      </c>
      <c r="AF150" s="14">
        <f t="shared" si="64"/>
        <v>0</v>
      </c>
      <c r="AG150">
        <v>9.9428744009127979E-6</v>
      </c>
      <c r="AH150">
        <f t="shared" si="65"/>
        <v>56.632204188423465</v>
      </c>
      <c r="AI150">
        <f t="shared" si="66"/>
        <v>0.3087729970215124</v>
      </c>
      <c r="AJ150">
        <f t="shared" si="67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68"/>
        <v>1.3019406270656069</v>
      </c>
      <c r="AM150">
        <f t="shared" si="69"/>
        <v>617.97483343622616</v>
      </c>
      <c r="AN150">
        <f t="shared" si="70"/>
        <v>-1.205648914037738E-9</v>
      </c>
      <c r="AO150">
        <f t="shared" si="71"/>
        <v>1.0478556458783237E-7</v>
      </c>
      <c r="AP150">
        <v>3.3469246973187352</v>
      </c>
      <c r="AQ150">
        <f t="shared" si="72"/>
        <v>2.986008643157602E-5</v>
      </c>
      <c r="AR150">
        <f t="shared" si="73"/>
        <v>5.0238299827503151E-6</v>
      </c>
      <c r="AS150">
        <f t="shared" si="74"/>
        <v>13.510502628424417</v>
      </c>
      <c r="AT150">
        <f t="shared" si="75"/>
        <v>9.9673367772827106</v>
      </c>
      <c r="AU150">
        <f t="shared" si="76"/>
        <v>3.0776444490443255</v>
      </c>
      <c r="AV150">
        <f t="shared" si="77"/>
        <v>0.26928024827440966</v>
      </c>
      <c r="AW150">
        <f t="shared" si="78"/>
        <v>6.682189063687601E-3</v>
      </c>
      <c r="AX150">
        <f t="shared" si="79"/>
        <v>0.26928024079490409</v>
      </c>
      <c r="AY150">
        <f t="shared" si="80"/>
        <v>7.4795055704512947E-9</v>
      </c>
      <c r="AZ150">
        <f t="shared" si="81"/>
        <v>964852.16359160375</v>
      </c>
      <c r="BA150">
        <f t="shared" si="82"/>
        <v>8.9216487169541999E-6</v>
      </c>
      <c r="BB150" s="15">
        <f t="shared" si="83"/>
        <v>6731346.5880341148</v>
      </c>
      <c r="BC150" s="20">
        <f t="shared" si="84"/>
        <v>-13013.7635283852</v>
      </c>
      <c r="BD150" s="19">
        <f t="shared" si="85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6"/>
        <v>2.8502295699234246E-6</v>
      </c>
      <c r="P151" s="8">
        <f t="shared" si="57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58"/>
        <v>99252.633511328895</v>
      </c>
      <c r="X151">
        <v>2.7468199435430069E-2</v>
      </c>
      <c r="Y151">
        <f t="shared" si="59"/>
        <v>6.0337165478324737</v>
      </c>
      <c r="Z151">
        <f t="shared" si="60"/>
        <v>6.0337165682810801</v>
      </c>
      <c r="AA151">
        <f t="shared" si="61"/>
        <v>-2.0448606363743238E-8</v>
      </c>
      <c r="AB151">
        <f t="shared" si="62"/>
        <v>7.6339544209671053E-6</v>
      </c>
      <c r="AC151">
        <v>667.8142841403901</v>
      </c>
      <c r="AD151">
        <f t="shared" si="63"/>
        <v>2907.9179329237704</v>
      </c>
      <c r="AE151">
        <f>+gettm2(AD151,AC151,AK151,AL151,テーブル2[[#This Row],[Fcorr]])</f>
        <v>584.76531175250659</v>
      </c>
      <c r="AF151" s="14">
        <f t="shared" si="64"/>
        <v>6.7814278281730367E-7</v>
      </c>
      <c r="AG151">
        <v>7.6808897476370321E-6</v>
      </c>
      <c r="AH151">
        <f t="shared" si="65"/>
        <v>72.983492575270361</v>
      </c>
      <c r="AI151">
        <f t="shared" si="66"/>
        <v>0.3505257294709711</v>
      </c>
      <c r="AJ151">
        <f t="shared" si="67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68"/>
        <v>1.3019406270656069</v>
      </c>
      <c r="AM151">
        <f t="shared" si="69"/>
        <v>617.97483340313624</v>
      </c>
      <c r="AN151">
        <f t="shared" si="70"/>
        <v>3.1884269446891267E-8</v>
      </c>
      <c r="AO151">
        <f t="shared" si="71"/>
        <v>4.6935326669926783E-8</v>
      </c>
      <c r="AP151">
        <v>3.5446445559082989</v>
      </c>
      <c r="AQ151">
        <f t="shared" si="72"/>
        <v>2.6621808710776569E-5</v>
      </c>
      <c r="AR151">
        <f t="shared" si="73"/>
        <v>3.8639125371534794E-6</v>
      </c>
      <c r="AS151">
        <f t="shared" si="74"/>
        <v>11.796263053057835</v>
      </c>
      <c r="AT151">
        <f t="shared" si="75"/>
        <v>9.2889139544789572</v>
      </c>
      <c r="AU151">
        <f t="shared" si="76"/>
        <v>3.2560033398868193</v>
      </c>
      <c r="AV151">
        <f t="shared" si="77"/>
        <v>0.28864121602147952</v>
      </c>
      <c r="AW151">
        <f t="shared" si="78"/>
        <v>5.185105318029579E-3</v>
      </c>
      <c r="AX151">
        <f t="shared" si="79"/>
        <v>0.28864120212984018</v>
      </c>
      <c r="AY151">
        <f t="shared" si="80"/>
        <v>1.3891639338847739E-8</v>
      </c>
      <c r="AZ151">
        <f t="shared" si="81"/>
        <v>964852.16359160375</v>
      </c>
      <c r="BA151">
        <f t="shared" si="82"/>
        <v>7.5104310998976461E-6</v>
      </c>
      <c r="BB151" s="15">
        <f t="shared" si="83"/>
        <v>3581628.9560783198</v>
      </c>
      <c r="BC151" s="20">
        <f t="shared" si="84"/>
        <v>-31679.26657793019</v>
      </c>
      <c r="BD151" s="19">
        <f t="shared" si="85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215" si="86">PI()*Q152^2/4</f>
        <v>2.8502295699234246E-6</v>
      </c>
      <c r="P152" s="8">
        <f t="shared" ref="P152:P215" si="87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58"/>
        <v>102662.07512049668</v>
      </c>
      <c r="X152">
        <v>2.708359145704433E-2</v>
      </c>
      <c r="Y152">
        <f t="shared" si="59"/>
        <v>6.0764072462979852</v>
      </c>
      <c r="Z152">
        <f t="shared" si="60"/>
        <v>6.0764072546537502</v>
      </c>
      <c r="AA152">
        <f t="shared" si="61"/>
        <v>-8.3557649688259517E-9</v>
      </c>
      <c r="AB152">
        <f t="shared" si="62"/>
        <v>7.2366488824017176E-6</v>
      </c>
      <c r="AC152">
        <v>672.75768533763062</v>
      </c>
      <c r="AD152">
        <f t="shared" si="63"/>
        <v>2986.6764416017722</v>
      </c>
      <c r="AE152">
        <f>+gettm2(AD152,AC152,AK152,AL152,テーブル2[[#This Row],[Fcorr]])</f>
        <v>580.40923413832365</v>
      </c>
      <c r="AF152" s="14">
        <f t="shared" si="64"/>
        <v>0</v>
      </c>
      <c r="AG152">
        <v>7.2876711654072331E-6</v>
      </c>
      <c r="AH152">
        <f t="shared" si="65"/>
        <v>76.990422619163439</v>
      </c>
      <c r="AI152">
        <f t="shared" si="66"/>
        <v>0.36001942370279044</v>
      </c>
      <c r="AJ152">
        <f t="shared" si="67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68"/>
        <v>1.3019406270656069</v>
      </c>
      <c r="AM152">
        <f t="shared" si="69"/>
        <v>617.9748334212976</v>
      </c>
      <c r="AN152">
        <f t="shared" si="70"/>
        <v>1.3722910807700828E-8</v>
      </c>
      <c r="AO152">
        <f t="shared" si="71"/>
        <v>5.1022283005515521E-8</v>
      </c>
      <c r="AP152">
        <v>3.591852487816217</v>
      </c>
      <c r="AQ152">
        <f t="shared" si="72"/>
        <v>2.5926623316764372E-5</v>
      </c>
      <c r="AR152">
        <f t="shared" si="73"/>
        <v>3.6693467242063743E-6</v>
      </c>
      <c r="AS152">
        <f t="shared" si="74"/>
        <v>11.505670779271197</v>
      </c>
      <c r="AT152">
        <f t="shared" si="75"/>
        <v>9.1642001253539185</v>
      </c>
      <c r="AU152">
        <f t="shared" si="76"/>
        <v>3.2992900478269576</v>
      </c>
      <c r="AV152">
        <f t="shared" si="77"/>
        <v>0.29256243998925946</v>
      </c>
      <c r="AW152">
        <f t="shared" si="78"/>
        <v>4.9152489700220649E-3</v>
      </c>
      <c r="AX152">
        <f t="shared" si="79"/>
        <v>0.29256243024165468</v>
      </c>
      <c r="AY152">
        <f t="shared" si="80"/>
        <v>9.7476047788980225E-9</v>
      </c>
      <c r="AZ152">
        <f t="shared" si="81"/>
        <v>964852.16359160375</v>
      </c>
      <c r="BA152">
        <f t="shared" si="82"/>
        <v>7.2181759703966304E-6</v>
      </c>
      <c r="BB152" s="15">
        <f t="shared" si="83"/>
        <v>4051147.3124386272</v>
      </c>
      <c r="BC152" s="20">
        <f t="shared" si="84"/>
        <v>22220.988219877239</v>
      </c>
      <c r="BD152" s="19">
        <f t="shared" si="85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6"/>
        <v>2.8502295699234246E-6</v>
      </c>
      <c r="P153" s="8">
        <f t="shared" si="87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58"/>
        <v>104556.20934781212</v>
      </c>
      <c r="X153">
        <v>2.6878779410128451E-2</v>
      </c>
      <c r="Y153">
        <f t="shared" si="59"/>
        <v>6.0995139434554897</v>
      </c>
      <c r="Z153">
        <f t="shared" si="60"/>
        <v>6.0995139494937094</v>
      </c>
      <c r="AA153">
        <f t="shared" si="61"/>
        <v>-6.0382197020203421E-9</v>
      </c>
      <c r="AB153">
        <f t="shared" si="62"/>
        <v>7.0299887495018681E-6</v>
      </c>
      <c r="AC153">
        <v>675.83911673614705</v>
      </c>
      <c r="AD153">
        <f t="shared" si="63"/>
        <v>3030.2580390165544</v>
      </c>
      <c r="AE153">
        <f>+gettm2(AD153,AC153,AK153,AL153,テーブル2[[#This Row],[Fcorr]])</f>
        <v>577.67736985044371</v>
      </c>
      <c r="AF153" s="14">
        <f t="shared" si="64"/>
        <v>0</v>
      </c>
      <c r="AG153">
        <v>7.0826251157525323E-6</v>
      </c>
      <c r="AH153">
        <f t="shared" si="65"/>
        <v>79.253705184390782</v>
      </c>
      <c r="AI153">
        <f t="shared" si="66"/>
        <v>0.36527282891494062</v>
      </c>
      <c r="AJ153">
        <f t="shared" si="67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68"/>
        <v>1.3019406270656069</v>
      </c>
      <c r="AM153">
        <f t="shared" si="69"/>
        <v>617.97483338798406</v>
      </c>
      <c r="AN153">
        <f t="shared" si="70"/>
        <v>4.7036451178428251E-8</v>
      </c>
      <c r="AO153">
        <f t="shared" si="71"/>
        <v>5.2636366250664286E-8</v>
      </c>
      <c r="AP153">
        <v>3.6172923743649958</v>
      </c>
      <c r="AQ153">
        <f t="shared" si="72"/>
        <v>2.556322939834163E-5</v>
      </c>
      <c r="AR153">
        <f t="shared" si="73"/>
        <v>3.5676307410015983E-6</v>
      </c>
      <c r="AS153">
        <f t="shared" si="74"/>
        <v>11.349965074186544</v>
      </c>
      <c r="AT153">
        <f t="shared" si="75"/>
        <v>9.0960733337924804</v>
      </c>
      <c r="AU153">
        <f t="shared" si="76"/>
        <v>3.3225484386521345</v>
      </c>
      <c r="AV153">
        <f t="shared" si="77"/>
        <v>0.29474393571286139</v>
      </c>
      <c r="AW153">
        <f t="shared" si="78"/>
        <v>4.7748820651345248E-3</v>
      </c>
      <c r="AX153">
        <f t="shared" si="79"/>
        <v>0.29474393026351431</v>
      </c>
      <c r="AY153">
        <f t="shared" si="80"/>
        <v>5.44934708468503E-9</v>
      </c>
      <c r="AZ153">
        <f t="shared" si="81"/>
        <v>964852.16359160375</v>
      </c>
      <c r="BA153">
        <f t="shared" si="82"/>
        <v>7.0669513969904557E-6</v>
      </c>
      <c r="BB153" s="15">
        <f t="shared" si="83"/>
        <v>4268737.1093809735</v>
      </c>
      <c r="BC153" s="20">
        <f t="shared" si="84"/>
        <v>-17840.950775275938</v>
      </c>
      <c r="BD153" s="19">
        <f t="shared" si="85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6"/>
        <v>2.8502295699234246E-6</v>
      </c>
      <c r="P154" s="8">
        <f t="shared" si="87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58"/>
        <v>106450.34357512755</v>
      </c>
      <c r="X154">
        <v>2.667991224564829E-2</v>
      </c>
      <c r="Y154">
        <f t="shared" si="59"/>
        <v>6.1222040681412571</v>
      </c>
      <c r="Z154">
        <f t="shared" si="60"/>
        <v>6.1222040707463092</v>
      </c>
      <c r="AA154">
        <f t="shared" si="61"/>
        <v>-2.6050521739762189E-9</v>
      </c>
      <c r="AB154">
        <f t="shared" si="62"/>
        <v>6.8325890505261315E-6</v>
      </c>
      <c r="AC154">
        <v>671.87819721699577</v>
      </c>
      <c r="AD154">
        <f t="shared" si="63"/>
        <v>3073.7198141315603</v>
      </c>
      <c r="AE154">
        <f>+gettm2(AD154,AC154,AK154,AL154,テーブル2[[#This Row],[Fcorr]])</f>
        <v>579.84086372052525</v>
      </c>
      <c r="AF154" s="14">
        <f t="shared" si="64"/>
        <v>0</v>
      </c>
      <c r="AG154">
        <v>6.8819209187382773E-6</v>
      </c>
      <c r="AH154">
        <f t="shared" si="65"/>
        <v>81.543416658389901</v>
      </c>
      <c r="AI154">
        <f t="shared" si="66"/>
        <v>0.37051179052861077</v>
      </c>
      <c r="AJ154">
        <f t="shared" si="67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68"/>
        <v>1.3019406270656069</v>
      </c>
      <c r="AM154">
        <f t="shared" si="69"/>
        <v>617.9748334183588</v>
      </c>
      <c r="AN154">
        <f t="shared" si="70"/>
        <v>1.6661715562804602E-8</v>
      </c>
      <c r="AO154">
        <f t="shared" si="71"/>
        <v>4.9331868212145839E-8</v>
      </c>
      <c r="AP154">
        <v>3.6399545050422062</v>
      </c>
      <c r="AQ154">
        <f t="shared" si="72"/>
        <v>2.5245910130882246E-5</v>
      </c>
      <c r="AR154">
        <f t="shared" si="73"/>
        <v>3.4656263934752116E-6</v>
      </c>
      <c r="AS154">
        <f t="shared" si="74"/>
        <v>11.183584791603209</v>
      </c>
      <c r="AT154">
        <f t="shared" si="75"/>
        <v>9.0222352979399574</v>
      </c>
      <c r="AU154">
        <f t="shared" si="76"/>
        <v>3.3428445548101675</v>
      </c>
      <c r="AV154">
        <f t="shared" si="77"/>
        <v>0.29710995023203868</v>
      </c>
      <c r="AW154">
        <f t="shared" si="78"/>
        <v>4.6408049967510238E-3</v>
      </c>
      <c r="AX154">
        <f t="shared" si="79"/>
        <v>0.29710994728886525</v>
      </c>
      <c r="AY154">
        <f t="shared" si="80"/>
        <v>2.9431734271945231E-9</v>
      </c>
      <c r="AZ154">
        <f t="shared" si="81"/>
        <v>964852.16359160375</v>
      </c>
      <c r="BA154">
        <f t="shared" si="82"/>
        <v>6.9357762839921849E-6</v>
      </c>
      <c r="BB154" s="15">
        <f t="shared" si="83"/>
        <v>4076412.2699817535</v>
      </c>
      <c r="BC154" s="20">
        <f t="shared" si="84"/>
        <v>-40228.257361996453</v>
      </c>
      <c r="BD154" s="19">
        <f t="shared" si="85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6"/>
        <v>2.8502295699234246E-6</v>
      </c>
      <c r="P155" s="8">
        <f t="shared" si="87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58"/>
        <v>58718.16104677855</v>
      </c>
      <c r="X155">
        <v>3.4659226492567419E-2</v>
      </c>
      <c r="Y155">
        <f t="shared" si="59"/>
        <v>5.3714379963301013</v>
      </c>
      <c r="Z155">
        <f t="shared" si="60"/>
        <v>5.3714380084148781</v>
      </c>
      <c r="AA155">
        <f t="shared" si="61"/>
        <v>-1.2084776734866409E-8</v>
      </c>
      <c r="AB155">
        <f t="shared" si="62"/>
        <v>1.7286221546981502E-5</v>
      </c>
      <c r="AC155">
        <v>719.48438545954878</v>
      </c>
      <c r="AD155">
        <f t="shared" si="63"/>
        <v>1932.4438764511658</v>
      </c>
      <c r="AE155">
        <f>+gettm2(AD155,AC155,AK155,AL155,テーブル2[[#This Row],[Fcorr]])</f>
        <v>573.35351538122916</v>
      </c>
      <c r="AF155" s="14">
        <f t="shared" si="64"/>
        <v>0</v>
      </c>
      <c r="AG155">
        <v>1.7373379540586281E-5</v>
      </c>
      <c r="AH155">
        <f t="shared" si="65"/>
        <v>32.231025981493005</v>
      </c>
      <c r="AI155">
        <f t="shared" si="66"/>
        <v>0.23294030817908676</v>
      </c>
      <c r="AJ155">
        <f t="shared" si="67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68"/>
        <v>1.3019406270656069</v>
      </c>
      <c r="AM155">
        <f t="shared" si="69"/>
        <v>617.97483342564988</v>
      </c>
      <c r="AN155">
        <f t="shared" si="70"/>
        <v>9.3706375992042013E-9</v>
      </c>
      <c r="AO155">
        <f t="shared" si="71"/>
        <v>8.7157993604779162E-8</v>
      </c>
      <c r="AP155">
        <v>2.8737660613968492</v>
      </c>
      <c r="AQ155">
        <f t="shared" si="72"/>
        <v>4.0502340450096499E-5</v>
      </c>
      <c r="AR155">
        <f t="shared" si="73"/>
        <v>8.73026876709553E-6</v>
      </c>
      <c r="AS155">
        <f t="shared" si="74"/>
        <v>17.712078129917717</v>
      </c>
      <c r="AT155">
        <f t="shared" si="75"/>
        <v>11.321233935428005</v>
      </c>
      <c r="AU155">
        <f t="shared" si="76"/>
        <v>2.6371717218861348</v>
      </c>
      <c r="AV155">
        <f t="shared" si="77"/>
        <v>0.2365943395107144</v>
      </c>
      <c r="AW155">
        <f t="shared" si="78"/>
        <v>1.1741081270503106E-2</v>
      </c>
      <c r="AX155">
        <f t="shared" si="79"/>
        <v>0.2365943390983978</v>
      </c>
      <c r="AY155">
        <f t="shared" si="80"/>
        <v>4.1231659753115935E-10</v>
      </c>
      <c r="AZ155">
        <f t="shared" si="81"/>
        <v>964852.16359160375</v>
      </c>
      <c r="BA155">
        <f t="shared" si="82"/>
        <v>1.409381960284184E-5</v>
      </c>
      <c r="BB155" s="15">
        <f t="shared" si="83"/>
        <v>3544248.2180104521</v>
      </c>
      <c r="BC155" s="20">
        <f t="shared" si="84"/>
        <v>-5987.7390207978897</v>
      </c>
      <c r="BD155" s="19">
        <f t="shared" si="85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6"/>
        <v>2.8502295699234246E-6</v>
      </c>
      <c r="P156" s="8">
        <f t="shared" si="87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58"/>
        <v>61369.94896502015</v>
      </c>
      <c r="X156">
        <v>3.395356844651478E-2</v>
      </c>
      <c r="Y156">
        <f t="shared" si="59"/>
        <v>5.426968337501763</v>
      </c>
      <c r="Z156">
        <f t="shared" si="60"/>
        <v>5.4269683533117252</v>
      </c>
      <c r="AA156">
        <f t="shared" si="61"/>
        <v>-1.5809962228274799E-8</v>
      </c>
      <c r="AB156">
        <f t="shared" si="62"/>
        <v>1.6153509213842976E-5</v>
      </c>
      <c r="AC156">
        <v>720.17893479896577</v>
      </c>
      <c r="AD156">
        <f t="shared" si="63"/>
        <v>1999.0492101440236</v>
      </c>
      <c r="AE156">
        <f>+gettm2(AD156,AC156,AK156,AL156,テーブル2[[#This Row],[Fcorr]])</f>
        <v>571.79741735812763</v>
      </c>
      <c r="AF156" s="14">
        <f t="shared" si="64"/>
        <v>1.2017890185234137E-6</v>
      </c>
      <c r="AG156">
        <v>1.6239787556377458E-5</v>
      </c>
      <c r="AH156">
        <f t="shared" si="65"/>
        <v>34.491121924463648</v>
      </c>
      <c r="AI156">
        <f t="shared" si="66"/>
        <v>0.24096903654002516</v>
      </c>
      <c r="AJ156">
        <f t="shared" si="67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68"/>
        <v>1.3019406270656069</v>
      </c>
      <c r="AM156">
        <f t="shared" si="69"/>
        <v>617.97483341704879</v>
      </c>
      <c r="AN156">
        <f t="shared" si="70"/>
        <v>1.7971728993870784E-8</v>
      </c>
      <c r="AO156">
        <f t="shared" si="71"/>
        <v>8.6278342534481942E-8</v>
      </c>
      <c r="AP156">
        <v>2.9281554229991809</v>
      </c>
      <c r="AQ156">
        <f t="shared" si="72"/>
        <v>3.9011683604514849E-5</v>
      </c>
      <c r="AR156">
        <f t="shared" si="73"/>
        <v>8.1630329494559701E-6</v>
      </c>
      <c r="AS156">
        <f t="shared" si="74"/>
        <v>17.132078288702992</v>
      </c>
      <c r="AT156">
        <f t="shared" si="75"/>
        <v>11.154763147389284</v>
      </c>
      <c r="AU156">
        <f t="shared" si="76"/>
        <v>2.6879525284585744</v>
      </c>
      <c r="AV156">
        <f t="shared" si="77"/>
        <v>0.2402028945406065</v>
      </c>
      <c r="AW156">
        <f t="shared" si="78"/>
        <v>1.0971724732792707E-2</v>
      </c>
      <c r="AX156">
        <f t="shared" si="79"/>
        <v>0.2402028917407209</v>
      </c>
      <c r="AY156">
        <f t="shared" si="80"/>
        <v>2.7998856011457463E-9</v>
      </c>
      <c r="AZ156">
        <f t="shared" si="81"/>
        <v>964852.16359160375</v>
      </c>
      <c r="BA156">
        <f t="shared" si="82"/>
        <v>1.3322955229117209E-5</v>
      </c>
      <c r="BB156" s="15">
        <f t="shared" si="83"/>
        <v>3711477.5575580467</v>
      </c>
      <c r="BC156" s="20">
        <f t="shared" si="84"/>
        <v>-844.46437320346013</v>
      </c>
      <c r="BD156" s="19">
        <f t="shared" si="85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6"/>
        <v>2.8502295699234246E-6</v>
      </c>
      <c r="P157" s="8">
        <f t="shared" si="87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58"/>
        <v>68567.659028818816</v>
      </c>
      <c r="X157">
        <v>3.2271405788035647E-2</v>
      </c>
      <c r="Y157">
        <f t="shared" si="59"/>
        <v>5.5666133634366881</v>
      </c>
      <c r="Z157">
        <f t="shared" si="60"/>
        <v>5.56661336910736</v>
      </c>
      <c r="AA157">
        <f t="shared" si="61"/>
        <v>-5.6706719320231969E-9</v>
      </c>
      <c r="AB157">
        <f t="shared" si="62"/>
        <v>1.3614675770691901E-5</v>
      </c>
      <c r="AC157">
        <v>720.35473162469407</v>
      </c>
      <c r="AD157">
        <f t="shared" si="63"/>
        <v>2177.4754911050431</v>
      </c>
      <c r="AE157">
        <f>+gettm2(AD157,AC157,AK157,AL157,テーブル2[[#This Row],[Fcorr]])</f>
        <v>568.50204941612878</v>
      </c>
      <c r="AF157" s="14">
        <f t="shared" si="64"/>
        <v>1.2035470717819408E-6</v>
      </c>
      <c r="AG157">
        <v>1.3697685591680461E-5</v>
      </c>
      <c r="AH157">
        <f t="shared" si="65"/>
        <v>40.922947059964436</v>
      </c>
      <c r="AI157">
        <f t="shared" si="66"/>
        <v>0.26247686576124729</v>
      </c>
      <c r="AJ157">
        <f t="shared" si="67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68"/>
        <v>1.3019406270656069</v>
      </c>
      <c r="AM157">
        <f t="shared" si="69"/>
        <v>617.97483341916723</v>
      </c>
      <c r="AN157">
        <f t="shared" si="70"/>
        <v>1.585328845976619E-8</v>
      </c>
      <c r="AO157">
        <f t="shared" si="71"/>
        <v>8.30098209885598E-8</v>
      </c>
      <c r="AP157">
        <v>3.0673929998221841</v>
      </c>
      <c r="AQ157">
        <f t="shared" si="72"/>
        <v>3.5550367838739255E-5</v>
      </c>
      <c r="AR157">
        <f t="shared" si="73"/>
        <v>6.8903477063345102E-6</v>
      </c>
      <c r="AS157">
        <f t="shared" si="74"/>
        <v>15.751772446966136</v>
      </c>
      <c r="AT157">
        <f t="shared" si="75"/>
        <v>10.734764476276082</v>
      </c>
      <c r="AU157">
        <f t="shared" si="76"/>
        <v>2.8176273344181233</v>
      </c>
      <c r="AV157">
        <f t="shared" si="77"/>
        <v>0.24976566540406075</v>
      </c>
      <c r="AW157">
        <f t="shared" si="78"/>
        <v>9.2473079938719237E-3</v>
      </c>
      <c r="AX157">
        <f t="shared" si="79"/>
        <v>0.24976565824287233</v>
      </c>
      <c r="AY157">
        <f t="shared" si="80"/>
        <v>7.1611884200351028E-9</v>
      </c>
      <c r="AZ157">
        <f t="shared" si="81"/>
        <v>964852.16359160375</v>
      </c>
      <c r="BA157">
        <f t="shared" si="82"/>
        <v>1.1589766241495662E-5</v>
      </c>
      <c r="BB157" s="15">
        <f t="shared" si="83"/>
        <v>4104879.5169026474</v>
      </c>
      <c r="BC157" s="20">
        <f t="shared" si="84"/>
        <v>7010.23018389754</v>
      </c>
      <c r="BD157" s="19">
        <f t="shared" si="85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6"/>
        <v>2.8502295699234246E-6</v>
      </c>
      <c r="P158" s="8">
        <f t="shared" si="87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58"/>
        <v>69704.139565208083</v>
      </c>
      <c r="X158">
        <v>3.2032461781834103E-2</v>
      </c>
      <c r="Y158">
        <f t="shared" si="59"/>
        <v>5.5873366792250394</v>
      </c>
      <c r="Z158">
        <f t="shared" si="60"/>
        <v>5.5873367167956172</v>
      </c>
      <c r="AA158">
        <f t="shared" si="61"/>
        <v>-3.7570577759993284E-8</v>
      </c>
      <c r="AB158">
        <f t="shared" si="62"/>
        <v>1.3272611259668662E-5</v>
      </c>
      <c r="AC158">
        <v>719.77887078297954</v>
      </c>
      <c r="AD158">
        <f t="shared" si="63"/>
        <v>2205.3561738366739</v>
      </c>
      <c r="AE158">
        <f>+gettm2(AD158,AC158,AK158,AL158,テーブル2[[#This Row],[Fcorr]])</f>
        <v>568.29629245881961</v>
      </c>
      <c r="AF158" s="14">
        <f t="shared" si="64"/>
        <v>1.1977886060776655E-6</v>
      </c>
      <c r="AG158">
        <v>1.335424669371587E-5</v>
      </c>
      <c r="AH158">
        <f t="shared" si="65"/>
        <v>41.977621803451655</v>
      </c>
      <c r="AI158">
        <f t="shared" si="66"/>
        <v>0.26583765409093291</v>
      </c>
      <c r="AJ158">
        <f t="shared" si="67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68"/>
        <v>1.3019406270656069</v>
      </c>
      <c r="AM158">
        <f t="shared" si="69"/>
        <v>617.97483343217152</v>
      </c>
      <c r="AN158">
        <f t="shared" si="70"/>
        <v>2.8489921533036977E-9</v>
      </c>
      <c r="AO158">
        <f t="shared" si="71"/>
        <v>8.1635434047207464E-8</v>
      </c>
      <c r="AP158">
        <v>3.0881940792648139</v>
      </c>
      <c r="AQ158">
        <f t="shared" si="72"/>
        <v>3.5073069108794453E-5</v>
      </c>
      <c r="AR158">
        <f t="shared" si="73"/>
        <v>6.7179410638815386E-6</v>
      </c>
      <c r="AS158">
        <f t="shared" si="74"/>
        <v>15.554281155592722</v>
      </c>
      <c r="AT158">
        <f t="shared" si="75"/>
        <v>10.671679581025471</v>
      </c>
      <c r="AU158">
        <f t="shared" si="76"/>
        <v>2.836934265029921</v>
      </c>
      <c r="AV158">
        <f t="shared" si="77"/>
        <v>0.25125981423489296</v>
      </c>
      <c r="AW158">
        <f t="shared" si="78"/>
        <v>9.0149722452664074E-3</v>
      </c>
      <c r="AX158">
        <f t="shared" si="79"/>
        <v>0.25125980875417403</v>
      </c>
      <c r="AY158">
        <f t="shared" si="80"/>
        <v>5.4807189342476192E-9</v>
      </c>
      <c r="AZ158">
        <f t="shared" si="81"/>
        <v>964852.16359160375</v>
      </c>
      <c r="BA158">
        <f t="shared" si="82"/>
        <v>1.1357145376414965E-5</v>
      </c>
      <c r="BB158" s="15">
        <f t="shared" si="83"/>
        <v>4119600.8121529077</v>
      </c>
      <c r="BC158" s="20">
        <f t="shared" si="84"/>
        <v>-17105.029253342189</v>
      </c>
      <c r="BD158" s="19">
        <f t="shared" si="85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6"/>
        <v>2.8502295699234246E-6</v>
      </c>
      <c r="P159" s="8">
        <f t="shared" si="87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58"/>
        <v>85614.867074657741</v>
      </c>
      <c r="X159">
        <v>2.9251612220244621E-2</v>
      </c>
      <c r="Y159">
        <f t="shared" si="59"/>
        <v>5.8468923278880744</v>
      </c>
      <c r="Z159">
        <f t="shared" si="60"/>
        <v>5.8468923760100653</v>
      </c>
      <c r="AA159">
        <f t="shared" si="61"/>
        <v>-4.8121990836591522E-8</v>
      </c>
      <c r="AB159">
        <f t="shared" si="62"/>
        <v>9.6341998605828018E-6</v>
      </c>
      <c r="AC159">
        <v>717.52337276572791</v>
      </c>
      <c r="AD159">
        <f t="shared" si="63"/>
        <v>2588.5055549134036</v>
      </c>
      <c r="AE159">
        <f>+gettm2(AD159,AC159,AK159,AL159,テーブル2[[#This Row],[Fcorr]])</f>
        <v>559.93794098538206</v>
      </c>
      <c r="AF159" s="14">
        <f t="shared" si="64"/>
        <v>1.1752335922210477E-6</v>
      </c>
      <c r="AG159">
        <v>9.7108609667429814E-6</v>
      </c>
      <c r="AH159">
        <f t="shared" si="65"/>
        <v>57.830713901019386</v>
      </c>
      <c r="AI159">
        <f t="shared" si="66"/>
        <v>0.31202317905973276</v>
      </c>
      <c r="AJ159">
        <f t="shared" si="67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68"/>
        <v>1.3019406270656069</v>
      </c>
      <c r="AM159">
        <f t="shared" si="69"/>
        <v>617.97483343534213</v>
      </c>
      <c r="AN159">
        <f t="shared" si="70"/>
        <v>-3.2162006391445175E-10</v>
      </c>
      <c r="AO159">
        <f t="shared" si="71"/>
        <v>7.6661106160179636E-8</v>
      </c>
      <c r="AP159">
        <v>3.3567688582593882</v>
      </c>
      <c r="AQ159">
        <f t="shared" si="72"/>
        <v>2.968520606935284E-5</v>
      </c>
      <c r="AR159">
        <f t="shared" si="73"/>
        <v>4.8937610364515805E-6</v>
      </c>
      <c r="AS159">
        <f t="shared" si="74"/>
        <v>13.299241603436945</v>
      </c>
      <c r="AT159">
        <f t="shared" si="75"/>
        <v>9.8885350565195047</v>
      </c>
      <c r="AU159">
        <f t="shared" si="76"/>
        <v>3.0854521445788299</v>
      </c>
      <c r="AV159">
        <f t="shared" si="77"/>
        <v>0.27131671368055832</v>
      </c>
      <c r="AW159">
        <f t="shared" si="78"/>
        <v>6.5437043735636106E-3</v>
      </c>
      <c r="AX159">
        <f t="shared" si="79"/>
        <v>0.27131670551443909</v>
      </c>
      <c r="AY159">
        <f t="shared" si="80"/>
        <v>8.1661192252724391E-9</v>
      </c>
      <c r="AZ159">
        <f t="shared" si="81"/>
        <v>964852.16359160375</v>
      </c>
      <c r="BA159">
        <f t="shared" si="82"/>
        <v>8.8433869958939453E-6</v>
      </c>
      <c r="BB159" s="15">
        <f t="shared" si="83"/>
        <v>4968234.2536732154</v>
      </c>
      <c r="BC159" s="20">
        <f t="shared" si="84"/>
        <v>13313.702891965397</v>
      </c>
      <c r="BD159" s="19">
        <f t="shared" si="85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6"/>
        <v>2.8502295699234246E-6</v>
      </c>
      <c r="P160" s="8">
        <f t="shared" si="87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58"/>
        <v>88645.481838362437</v>
      </c>
      <c r="X160">
        <v>2.8816656506257129E-2</v>
      </c>
      <c r="Y160">
        <f t="shared" si="59"/>
        <v>5.8908532659419297</v>
      </c>
      <c r="Z160">
        <f t="shared" si="60"/>
        <v>5.8908532754526926</v>
      </c>
      <c r="AA160">
        <f t="shared" si="61"/>
        <v>-9.5107628439450309E-9</v>
      </c>
      <c r="AB160">
        <f t="shared" si="62"/>
        <v>9.1223563377912512E-6</v>
      </c>
      <c r="AC160">
        <v>717.06123854595194</v>
      </c>
      <c r="AD160">
        <f t="shared" si="63"/>
        <v>2660.1333669203354</v>
      </c>
      <c r="AE160">
        <f>+gettm2(AD160,AC160,AK160,AL160,テーブル2[[#This Row],[Fcorr]])</f>
        <v>558.37015874537417</v>
      </c>
      <c r="AF160" s="14">
        <f t="shared" si="64"/>
        <v>1.1706123359545018E-6</v>
      </c>
      <c r="AG160">
        <v>9.1977920845103017E-6</v>
      </c>
      <c r="AH160">
        <f t="shared" si="65"/>
        <v>61.075519873575288</v>
      </c>
      <c r="AI160">
        <f t="shared" si="66"/>
        <v>0.32065732611383996</v>
      </c>
      <c r="AJ160">
        <f t="shared" si="67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68"/>
        <v>1.3019406270656069</v>
      </c>
      <c r="AM160">
        <f t="shared" si="69"/>
        <v>617.97483342798398</v>
      </c>
      <c r="AN160">
        <f t="shared" si="70"/>
        <v>7.0365331339417025E-9</v>
      </c>
      <c r="AO160">
        <f t="shared" si="71"/>
        <v>7.5435746719050524E-8</v>
      </c>
      <c r="AP160">
        <v>3.4030833130258</v>
      </c>
      <c r="AQ160">
        <f t="shared" si="72"/>
        <v>2.8882699383155131E-5</v>
      </c>
      <c r="AR160">
        <f t="shared" si="73"/>
        <v>4.6366139156146761E-6</v>
      </c>
      <c r="AS160">
        <f t="shared" si="74"/>
        <v>12.949093319111544</v>
      </c>
      <c r="AT160">
        <f t="shared" si="75"/>
        <v>9.7551288586311706</v>
      </c>
      <c r="AU160">
        <f t="shared" si="76"/>
        <v>3.1280535357046269</v>
      </c>
      <c r="AV160">
        <f t="shared" si="77"/>
        <v>0.27502977732117317</v>
      </c>
      <c r="AW160">
        <f t="shared" si="78"/>
        <v>6.1960519740763675E-3</v>
      </c>
      <c r="AX160">
        <f t="shared" si="79"/>
        <v>0.2750297666600291</v>
      </c>
      <c r="AY160">
        <f t="shared" si="80"/>
        <v>1.0661144078660811E-8</v>
      </c>
      <c r="AZ160">
        <f t="shared" si="81"/>
        <v>964852.16359160375</v>
      </c>
      <c r="BA160">
        <f t="shared" si="82"/>
        <v>8.4872148949754972E-6</v>
      </c>
      <c r="BB160" s="15">
        <f t="shared" si="83"/>
        <v>5093984.3804119835</v>
      </c>
      <c r="BC160" s="20">
        <f t="shared" si="84"/>
        <v>-16659.662556766532</v>
      </c>
      <c r="BD160" s="19">
        <f t="shared" si="85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6"/>
        <v>2.8502295699234246E-6</v>
      </c>
      <c r="P161" s="8">
        <f t="shared" si="87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58"/>
        <v>103040.90196595977</v>
      </c>
      <c r="X161">
        <v>2.7042139441522312E-2</v>
      </c>
      <c r="Y161">
        <f t="shared" si="59"/>
        <v>6.0810626264231198</v>
      </c>
      <c r="Z161">
        <f t="shared" si="60"/>
        <v>6.0810626347094354</v>
      </c>
      <c r="AA161">
        <f t="shared" si="61"/>
        <v>-8.2863156336543398E-9</v>
      </c>
      <c r="AB161">
        <f t="shared" si="62"/>
        <v>7.1945474511830241E-6</v>
      </c>
      <c r="AC161">
        <v>713.16603775011481</v>
      </c>
      <c r="AD161">
        <f t="shared" si="63"/>
        <v>2995.4024894891272</v>
      </c>
      <c r="AE161">
        <f>+gettm2(AD161,AC161,AK161,AL161,テーブル2[[#This Row],[Fcorr]])</f>
        <v>552.64827869604483</v>
      </c>
      <c r="AF161" s="14">
        <f t="shared" si="64"/>
        <v>1.1316601558064576E-6</v>
      </c>
      <c r="AG161">
        <v>7.2656645744083946E-6</v>
      </c>
      <c r="AH161">
        <f t="shared" si="65"/>
        <v>77.440959224056627</v>
      </c>
      <c r="AI161">
        <f t="shared" si="66"/>
        <v>0.36107127742482392</v>
      </c>
      <c r="AJ161">
        <f t="shared" si="67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68"/>
        <v>1.3019406270656069</v>
      </c>
      <c r="AM161">
        <f t="shared" si="69"/>
        <v>617.97483340516374</v>
      </c>
      <c r="AN161">
        <f t="shared" si="70"/>
        <v>2.9856778382963967E-8</v>
      </c>
      <c r="AO161">
        <f t="shared" si="71"/>
        <v>7.111712322537049E-8</v>
      </c>
      <c r="AP161">
        <v>3.605992657081579</v>
      </c>
      <c r="AQ161">
        <f t="shared" si="72"/>
        <v>2.5723689983414494E-5</v>
      </c>
      <c r="AR161">
        <f t="shared" si="73"/>
        <v>3.6683908488168825E-6</v>
      </c>
      <c r="AS161">
        <f t="shared" si="74"/>
        <v>11.536280399963491</v>
      </c>
      <c r="AT161">
        <f t="shared" si="75"/>
        <v>9.1774844338137687</v>
      </c>
      <c r="AU161">
        <f t="shared" si="76"/>
        <v>3.3137260280635745</v>
      </c>
      <c r="AV161">
        <f t="shared" si="77"/>
        <v>0.29226662901800449</v>
      </c>
      <c r="AW161">
        <f t="shared" si="78"/>
        <v>4.8866529969692086E-3</v>
      </c>
      <c r="AX161">
        <f t="shared" si="79"/>
        <v>0.29226662161707001</v>
      </c>
      <c r="AY161">
        <f t="shared" si="80"/>
        <v>7.4009344763759088E-9</v>
      </c>
      <c r="AZ161">
        <f t="shared" si="81"/>
        <v>964852.16359160375</v>
      </c>
      <c r="BA161">
        <f t="shared" si="82"/>
        <v>7.133594665784296E-6</v>
      </c>
      <c r="BB161" s="15">
        <f t="shared" si="83"/>
        <v>5713620.164557592</v>
      </c>
      <c r="BC161" s="20">
        <f t="shared" si="84"/>
        <v>-34304.034661157988</v>
      </c>
      <c r="BD161" s="19">
        <f t="shared" si="85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6"/>
        <v>2.8502295699234246E-6</v>
      </c>
      <c r="P162" s="8">
        <f t="shared" si="87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58"/>
        <v>104556.20934781212</v>
      </c>
      <c r="X162">
        <v>2.6878779410128451E-2</v>
      </c>
      <c r="Y162">
        <f t="shared" si="59"/>
        <v>6.0995139434554897</v>
      </c>
      <c r="Z162">
        <f t="shared" si="60"/>
        <v>6.0995139494937094</v>
      </c>
      <c r="AA162">
        <f t="shared" si="61"/>
        <v>-6.0382197020203421E-9</v>
      </c>
      <c r="AB162">
        <f t="shared" si="62"/>
        <v>7.0299887495018681E-6</v>
      </c>
      <c r="AC162">
        <v>712.86880973518782</v>
      </c>
      <c r="AD162">
        <f t="shared" si="63"/>
        <v>3030.2580390165544</v>
      </c>
      <c r="AE162">
        <f>+gettm2(AD162,AC162,AK162,AL162,テーブル2[[#This Row],[Fcorr]])</f>
        <v>552.04039175870685</v>
      </c>
      <c r="AF162" s="14">
        <f t="shared" si="64"/>
        <v>1.1286879271210637E-6</v>
      </c>
      <c r="AG162">
        <v>7.1016910830762254E-6</v>
      </c>
      <c r="AH162">
        <f t="shared" si="65"/>
        <v>79.253705184390782</v>
      </c>
      <c r="AI162">
        <f t="shared" si="66"/>
        <v>0.36527282891494062</v>
      </c>
      <c r="AJ162">
        <f t="shared" si="67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68"/>
        <v>1.3019406270656069</v>
      </c>
      <c r="AM162">
        <f t="shared" si="69"/>
        <v>617.97483335695813</v>
      </c>
      <c r="AN162">
        <f t="shared" si="70"/>
        <v>7.8062385000521317E-8</v>
      </c>
      <c r="AO162">
        <f t="shared" si="71"/>
        <v>7.1702333574357351E-8</v>
      </c>
      <c r="AP162">
        <v>3.6262950232636841</v>
      </c>
      <c r="AQ162">
        <f t="shared" si="72"/>
        <v>2.543646028085395E-5</v>
      </c>
      <c r="AR162">
        <f t="shared" si="73"/>
        <v>3.5866967083252914E-6</v>
      </c>
      <c r="AS162">
        <f t="shared" si="74"/>
        <v>11.410621032983654</v>
      </c>
      <c r="AT162">
        <f t="shared" si="75"/>
        <v>9.1227229561285608</v>
      </c>
      <c r="AU162">
        <f t="shared" si="76"/>
        <v>3.332282821592349</v>
      </c>
      <c r="AV162">
        <f t="shared" si="77"/>
        <v>0.29401220167133513</v>
      </c>
      <c r="AW162">
        <f t="shared" si="78"/>
        <v>4.7748820651345248E-3</v>
      </c>
      <c r="AX162">
        <f t="shared" si="79"/>
        <v>0.29401219826097202</v>
      </c>
      <c r="AY162">
        <f t="shared" si="80"/>
        <v>3.4103631030291126E-9</v>
      </c>
      <c r="AZ162">
        <f t="shared" si="81"/>
        <v>964852.16359160375</v>
      </c>
      <c r="BA162">
        <f t="shared" si="82"/>
        <v>7.0144486639040765E-6</v>
      </c>
      <c r="BB162" s="15">
        <f t="shared" si="83"/>
        <v>5858485.5475918157</v>
      </c>
      <c r="BC162" s="20">
        <f t="shared" si="84"/>
        <v>40054.785873065703</v>
      </c>
      <c r="BD162" s="19">
        <f t="shared" si="85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6"/>
        <v>2.8502295699234246E-6</v>
      </c>
      <c r="P163" s="8">
        <f t="shared" si="87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58"/>
        <v>108344.477802443</v>
      </c>
      <c r="X163">
        <v>2.648671141585706E-2</v>
      </c>
      <c r="Y163">
        <f t="shared" si="59"/>
        <v>6.1444919577194019</v>
      </c>
      <c r="Z163">
        <f t="shared" si="60"/>
        <v>6.1444919840770256</v>
      </c>
      <c r="AA163">
        <f t="shared" si="61"/>
        <v>-2.6357623639228223E-8</v>
      </c>
      <c r="AB163">
        <f t="shared" si="62"/>
        <v>6.6438869072487288E-6</v>
      </c>
      <c r="AC163">
        <v>711.93507646885996</v>
      </c>
      <c r="AD163">
        <f t="shared" si="63"/>
        <v>3117.064660731442</v>
      </c>
      <c r="AE163">
        <f>+gettm2(AD163,AC163,AK163,AL163,テーブル2[[#This Row],[Fcorr]])</f>
        <v>550.67499673512816</v>
      </c>
      <c r="AF163" s="14">
        <f t="shared" si="64"/>
        <v>0</v>
      </c>
      <c r="AG163">
        <v>6.7140034023537437E-6</v>
      </c>
      <c r="AH163">
        <f t="shared" si="65"/>
        <v>83.85944306106876</v>
      </c>
      <c r="AI163">
        <f t="shared" si="66"/>
        <v>0.37573665736587897</v>
      </c>
      <c r="AJ163">
        <f t="shared" si="67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68"/>
        <v>1.3019406270656069</v>
      </c>
      <c r="AM163">
        <f t="shared" si="69"/>
        <v>617.97483348010792</v>
      </c>
      <c r="AN163">
        <f t="shared" si="70"/>
        <v>-4.5087404032528866E-8</v>
      </c>
      <c r="AO163">
        <f t="shared" si="71"/>
        <v>7.0116495105014919E-8</v>
      </c>
      <c r="AP163">
        <v>3.6744540006590549</v>
      </c>
      <c r="AQ163">
        <f t="shared" si="72"/>
        <v>2.4774067301422926E-5</v>
      </c>
      <c r="AR163">
        <f t="shared" si="73"/>
        <v>3.3920599487293793E-6</v>
      </c>
      <c r="AS163">
        <f t="shared" si="74"/>
        <v>11.100546134663364</v>
      </c>
      <c r="AT163">
        <f t="shared" si="75"/>
        <v>8.9849715421448337</v>
      </c>
      <c r="AU163">
        <f t="shared" si="76"/>
        <v>3.3759831737730464</v>
      </c>
      <c r="AV163">
        <f t="shared" si="77"/>
        <v>0.29847082688600857</v>
      </c>
      <c r="AW163">
        <f t="shared" si="78"/>
        <v>4.5126354488763485E-3</v>
      </c>
      <c r="AX163">
        <f t="shared" si="79"/>
        <v>0.29847081233000694</v>
      </c>
      <c r="AY163">
        <f t="shared" si="80"/>
        <v>1.455600162625359E-8</v>
      </c>
      <c r="AZ163">
        <f t="shared" si="81"/>
        <v>964852.16359160375</v>
      </c>
      <c r="BA163">
        <f t="shared" si="82"/>
        <v>6.7422445067973137E-6</v>
      </c>
      <c r="BB163" s="15">
        <f t="shared" si="83"/>
        <v>5960206.6097889021</v>
      </c>
      <c r="BC163" s="20">
        <f t="shared" si="84"/>
        <v>-22972.101148597896</v>
      </c>
      <c r="BD163" s="19">
        <f t="shared" si="85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6"/>
        <v>2.8502295699234246E-6</v>
      </c>
      <c r="P164" s="8">
        <f t="shared" si="87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58"/>
        <v>57668.242700231327</v>
      </c>
      <c r="X164">
        <v>3.2357785104266172E-2</v>
      </c>
      <c r="Y164">
        <f t="shared" si="59"/>
        <v>5.5591783430067494</v>
      </c>
      <c r="Z164">
        <f t="shared" si="60"/>
        <v>5.5591783497804945</v>
      </c>
      <c r="AA164">
        <f t="shared" si="61"/>
        <v>-6.7737451203697674E-9</v>
      </c>
      <c r="AB164">
        <f t="shared" si="62"/>
        <v>1.3386948195257642E-5</v>
      </c>
      <c r="AC164">
        <v>708.54185219529393</v>
      </c>
      <c r="AD164">
        <f t="shared" si="63"/>
        <v>1833.7964244186364</v>
      </c>
      <c r="AE164">
        <f>+gettm2(AD164,AC164,AK164,AL164,テーブル2[[#This Row],[Fcorr]])</f>
        <v>588.05400821605872</v>
      </c>
      <c r="AF164" s="14">
        <f t="shared" si="64"/>
        <v>1.0854186029973789E-6</v>
      </c>
      <c r="AG164">
        <v>1.347637951341768E-5</v>
      </c>
      <c r="AH164">
        <f t="shared" si="65"/>
        <v>27.154095021494712</v>
      </c>
      <c r="AI164">
        <f t="shared" si="66"/>
        <v>0.22015144959272953</v>
      </c>
      <c r="AJ164">
        <f t="shared" si="67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68"/>
        <v>1.5871354414155836</v>
      </c>
      <c r="AM164">
        <f t="shared" si="69"/>
        <v>626.57723578563912</v>
      </c>
      <c r="AN164">
        <f t="shared" si="70"/>
        <v>5.2328914534882642E-8</v>
      </c>
      <c r="AO164">
        <f t="shared" si="71"/>
        <v>8.9431318160038237E-8</v>
      </c>
      <c r="AP164">
        <v>2.3766704722242471</v>
      </c>
      <c r="AQ164">
        <f t="shared" si="72"/>
        <v>3.3502437731486527E-5</v>
      </c>
      <c r="AR164">
        <f t="shared" si="73"/>
        <v>6.7829054157888593E-6</v>
      </c>
      <c r="AS164">
        <f t="shared" si="74"/>
        <v>13.058758738733246</v>
      </c>
      <c r="AT164">
        <f t="shared" si="75"/>
        <v>9.7972953817770012</v>
      </c>
      <c r="AU164">
        <f t="shared" si="76"/>
        <v>2.1568887803863612</v>
      </c>
      <c r="AV164">
        <f t="shared" si="77"/>
        <v>0.21978169183788587</v>
      </c>
      <c r="AW164">
        <f t="shared" si="78"/>
        <v>1.0619737236195359E-2</v>
      </c>
      <c r="AX164">
        <f t="shared" si="79"/>
        <v>0.21978167647482566</v>
      </c>
      <c r="AY164">
        <f t="shared" si="80"/>
        <v>1.5363060212880697E-8</v>
      </c>
      <c r="AZ164">
        <f t="shared" si="81"/>
        <v>839091.99888317985</v>
      </c>
      <c r="BA164">
        <f t="shared" si="82"/>
        <v>1.409637479113068E-5</v>
      </c>
      <c r="BB164" s="15">
        <f t="shared" si="83"/>
        <v>2982524.4208808709</v>
      </c>
      <c r="BC164" s="20">
        <f t="shared" si="84"/>
        <v>13326.901349620894</v>
      </c>
      <c r="BD164" s="19">
        <f t="shared" si="85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6"/>
        <v>2.8502295699234246E-6</v>
      </c>
      <c r="P165" s="8">
        <f t="shared" si="87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58"/>
        <v>58071.517124708465</v>
      </c>
      <c r="X165">
        <v>3.2256724925706207E-2</v>
      </c>
      <c r="Y165">
        <f t="shared" si="59"/>
        <v>5.5678799735499487</v>
      </c>
      <c r="Z165">
        <f t="shared" si="60"/>
        <v>5.5678799790447515</v>
      </c>
      <c r="AA165">
        <f t="shared" si="61"/>
        <v>-5.4948028349599554E-9</v>
      </c>
      <c r="AB165">
        <f t="shared" si="62"/>
        <v>1.3243024704516485E-5</v>
      </c>
      <c r="AC165">
        <v>712.09615945868052</v>
      </c>
      <c r="AD165">
        <f t="shared" si="63"/>
        <v>1843.7342286354742</v>
      </c>
      <c r="AE165">
        <f>+gettm2(AD165,AC165,AK165,AL165,テーブル2[[#This Row],[Fcorr]])</f>
        <v>586.12511078669388</v>
      </c>
      <c r="AF165" s="14">
        <f t="shared" si="64"/>
        <v>0</v>
      </c>
      <c r="AG165">
        <v>1.333474752495543E-5</v>
      </c>
      <c r="AH165">
        <f t="shared" si="65"/>
        <v>27.44920223684845</v>
      </c>
      <c r="AI165">
        <f t="shared" si="66"/>
        <v>0.22134450568934569</v>
      </c>
      <c r="AJ165">
        <f t="shared" si="67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68"/>
        <v>1.5871354414155836</v>
      </c>
      <c r="AM165">
        <f t="shared" si="69"/>
        <v>626.57723581118228</v>
      </c>
      <c r="AN165">
        <f t="shared" si="70"/>
        <v>2.6785755835589953E-8</v>
      </c>
      <c r="AO165">
        <f t="shared" si="71"/>
        <v>9.172282043894485E-8</v>
      </c>
      <c r="AP165">
        <v>2.3834744407135511</v>
      </c>
      <c r="AQ165">
        <f t="shared" si="72"/>
        <v>3.3311435747582406E-5</v>
      </c>
      <c r="AR165">
        <f t="shared" si="73"/>
        <v>6.7132351726971874E-6</v>
      </c>
      <c r="AS165">
        <f t="shared" si="74"/>
        <v>12.99466821289384</v>
      </c>
      <c r="AT165">
        <f t="shared" si="75"/>
        <v>9.7726956793122817</v>
      </c>
      <c r="AU165">
        <f t="shared" si="76"/>
        <v>2.1631324943897812</v>
      </c>
      <c r="AV165">
        <f t="shared" si="77"/>
        <v>0.22034194632376991</v>
      </c>
      <c r="AW165">
        <f t="shared" si="78"/>
        <v>1.0505564115369469E-2</v>
      </c>
      <c r="AX165">
        <f t="shared" si="79"/>
        <v>0.22034193043761352</v>
      </c>
      <c r="AY165">
        <f t="shared" si="80"/>
        <v>1.5886156390365613E-8</v>
      </c>
      <c r="AZ165">
        <f t="shared" si="81"/>
        <v>839091.99888317985</v>
      </c>
      <c r="BA165">
        <f t="shared" si="82"/>
        <v>1.3975998726300507E-5</v>
      </c>
      <c r="BB165" s="15">
        <f t="shared" si="83"/>
        <v>3085292.6369310822</v>
      </c>
      <c r="BC165" s="20">
        <f t="shared" si="84"/>
        <v>-3156.0935376677662</v>
      </c>
      <c r="BD165" s="19">
        <f t="shared" si="85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6"/>
        <v>2.8502295699234246E-6</v>
      </c>
      <c r="P166" s="8">
        <f t="shared" si="87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58"/>
        <v>59684.614822617033</v>
      </c>
      <c r="X166">
        <v>3.1863876118458423E-2</v>
      </c>
      <c r="Y166">
        <f t="shared" si="59"/>
        <v>5.602097944140076</v>
      </c>
      <c r="Z166">
        <f t="shared" si="60"/>
        <v>5.6020979701971116</v>
      </c>
      <c r="AA166">
        <f t="shared" si="61"/>
        <v>-2.605703564029227E-8</v>
      </c>
      <c r="AB166">
        <f t="shared" si="62"/>
        <v>1.2691425606134011E-5</v>
      </c>
      <c r="AC166">
        <v>730.49172157212945</v>
      </c>
      <c r="AD166">
        <f t="shared" si="63"/>
        <v>1883.3745988735059</v>
      </c>
      <c r="AE166">
        <f>+gettm2(AD166,AC166,AK166,AL166,テーブル2[[#This Row],[Fcorr]])</f>
        <v>576.19630570055449</v>
      </c>
      <c r="AF166" s="14">
        <f t="shared" si="64"/>
        <v>0</v>
      </c>
      <c r="AG166">
        <v>1.279675794529488E-5</v>
      </c>
      <c r="AH166">
        <f t="shared" si="65"/>
        <v>28.642208891502428</v>
      </c>
      <c r="AI166">
        <f t="shared" si="66"/>
        <v>0.22610342268475964</v>
      </c>
      <c r="AJ166">
        <f t="shared" si="67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68"/>
        <v>1.5871354414155836</v>
      </c>
      <c r="AM166">
        <f t="shared" si="69"/>
        <v>626.57723577304887</v>
      </c>
      <c r="AN166">
        <f t="shared" si="70"/>
        <v>6.491916337836301E-8</v>
      </c>
      <c r="AO166">
        <f t="shared" si="71"/>
        <v>1.0533233916086867E-7</v>
      </c>
      <c r="AP166">
        <v>2.4111461855606469</v>
      </c>
      <c r="AQ166">
        <f t="shared" si="72"/>
        <v>3.2551219650426639E-5</v>
      </c>
      <c r="AR166">
        <f t="shared" si="73"/>
        <v>6.4510451422278741E-6</v>
      </c>
      <c r="AS166">
        <f t="shared" si="74"/>
        <v>12.755626831557272</v>
      </c>
      <c r="AT166">
        <f t="shared" si="75"/>
        <v>9.6798624718674517</v>
      </c>
      <c r="AU166">
        <f t="shared" si="76"/>
        <v>2.1886500360069885</v>
      </c>
      <c r="AV166">
        <f t="shared" si="77"/>
        <v>0.22249614955365837</v>
      </c>
      <c r="AW166">
        <f t="shared" si="78"/>
        <v>1.0067985856373942E-2</v>
      </c>
      <c r="AX166">
        <f t="shared" si="79"/>
        <v>0.22249614846022828</v>
      </c>
      <c r="AY166">
        <f t="shared" si="80"/>
        <v>1.0934300964660082E-9</v>
      </c>
      <c r="AZ166">
        <f t="shared" si="81"/>
        <v>839091.99888317985</v>
      </c>
      <c r="BA166">
        <f t="shared" si="82"/>
        <v>1.350030945670668E-5</v>
      </c>
      <c r="BB166" s="15">
        <f t="shared" si="83"/>
        <v>3667919.7037320295</v>
      </c>
      <c r="BC166" s="20">
        <f t="shared" si="84"/>
        <v>-22745.628299220465</v>
      </c>
      <c r="BD166" s="19">
        <f t="shared" si="85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6"/>
        <v>2.8502295699234246E-6</v>
      </c>
      <c r="P167" s="8">
        <f t="shared" si="87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58"/>
        <v>59684.614822617033</v>
      </c>
      <c r="X167">
        <v>3.1863876118458423E-2</v>
      </c>
      <c r="Y167">
        <f t="shared" si="59"/>
        <v>5.602097944140076</v>
      </c>
      <c r="Z167">
        <f t="shared" si="60"/>
        <v>5.6020979701971116</v>
      </c>
      <c r="AA167">
        <f t="shared" si="61"/>
        <v>-2.605703564029227E-8</v>
      </c>
      <c r="AB167">
        <f t="shared" si="62"/>
        <v>1.2691425606134011E-5</v>
      </c>
      <c r="AC167">
        <v>729.20850350399155</v>
      </c>
      <c r="AD167">
        <f t="shared" si="63"/>
        <v>1883.3745988735059</v>
      </c>
      <c r="AE167">
        <f>+gettm2(AD167,AC167,AK167,AL167,テーブル2[[#This Row],[Fcorr]])</f>
        <v>576.81388794275972</v>
      </c>
      <c r="AF167" s="14">
        <f t="shared" si="64"/>
        <v>1.2920850167574827E-6</v>
      </c>
      <c r="AG167">
        <v>1.279548186620126E-5</v>
      </c>
      <c r="AH167">
        <f t="shared" si="65"/>
        <v>28.642208891502428</v>
      </c>
      <c r="AI167">
        <f t="shared" si="66"/>
        <v>0.22610342268475964</v>
      </c>
      <c r="AJ167">
        <f t="shared" si="67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68"/>
        <v>1.5871354414155836</v>
      </c>
      <c r="AM167">
        <f t="shared" si="69"/>
        <v>626.57723577374293</v>
      </c>
      <c r="AN167">
        <f t="shared" si="70"/>
        <v>6.4225105234072544E-8</v>
      </c>
      <c r="AO167">
        <f t="shared" si="71"/>
        <v>1.0405626006724905E-7</v>
      </c>
      <c r="AP167">
        <v>2.410941432104019</v>
      </c>
      <c r="AQ167">
        <f t="shared" si="72"/>
        <v>3.2556748824772804E-5</v>
      </c>
      <c r="AR167">
        <f t="shared" si="73"/>
        <v>6.4497690631342545E-6</v>
      </c>
      <c r="AS167">
        <f t="shared" si="74"/>
        <v>12.75310364525693</v>
      </c>
      <c r="AT167">
        <f t="shared" si="75"/>
        <v>9.6788733256961592</v>
      </c>
      <c r="AU167">
        <f t="shared" si="76"/>
        <v>2.1884263866721239</v>
      </c>
      <c r="AV167">
        <f t="shared" si="77"/>
        <v>0.22251504543189515</v>
      </c>
      <c r="AW167">
        <f t="shared" si="78"/>
        <v>1.0067985856373942E-2</v>
      </c>
      <c r="AX167">
        <f t="shared" si="79"/>
        <v>0.22251504433835992</v>
      </c>
      <c r="AY167">
        <f t="shared" si="80"/>
        <v>1.0935352345864402E-9</v>
      </c>
      <c r="AZ167">
        <f t="shared" si="81"/>
        <v>839091.99888317985</v>
      </c>
      <c r="BA167">
        <f t="shared" si="82"/>
        <v>1.3503749361659382E-5</v>
      </c>
      <c r="BB167" s="15">
        <f t="shared" si="83"/>
        <v>3622560.5939707039</v>
      </c>
      <c r="BC167" s="20">
        <f t="shared" si="84"/>
        <v>-31791.456810546108</v>
      </c>
      <c r="BD167" s="19">
        <f t="shared" si="85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6"/>
        <v>2.8502295699234246E-6</v>
      </c>
      <c r="P168" s="8">
        <f t="shared" si="87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58"/>
        <v>64927.182340819876</v>
      </c>
      <c r="X168">
        <v>3.0700163138612249E-2</v>
      </c>
      <c r="Y168">
        <f t="shared" si="59"/>
        <v>5.7072862912243698</v>
      </c>
      <c r="Z168">
        <f t="shared" si="60"/>
        <v>5.7072863391106621</v>
      </c>
      <c r="AA168">
        <f t="shared" si="61"/>
        <v>-4.788629226482044E-8</v>
      </c>
      <c r="AB168">
        <f t="shared" si="62"/>
        <v>1.1131149322071773E-5</v>
      </c>
      <c r="AC168">
        <v>778.01270934136153</v>
      </c>
      <c r="AD168">
        <f t="shared" si="63"/>
        <v>2011.0455553597324</v>
      </c>
      <c r="AE168">
        <f>+gettm2(AD168,AC168,AK168,AL168,テーブル2[[#This Row],[Fcorr]])</f>
        <v>547.48662058970979</v>
      </c>
      <c r="AF168" s="14">
        <f t="shared" si="64"/>
        <v>1.7801271496864501E-6</v>
      </c>
      <c r="AG168">
        <v>1.126997378032779E-5</v>
      </c>
      <c r="AH168">
        <f t="shared" si="65"/>
        <v>32.657046709548162</v>
      </c>
      <c r="AI168">
        <f t="shared" si="66"/>
        <v>0.24143061264274185</v>
      </c>
      <c r="AJ168">
        <f t="shared" si="67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68"/>
        <v>1.5871354414155836</v>
      </c>
      <c r="AM168">
        <f t="shared" si="69"/>
        <v>626.57723582210258</v>
      </c>
      <c r="AN168">
        <f t="shared" si="70"/>
        <v>1.5865452951402403E-8</v>
      </c>
      <c r="AO168">
        <f t="shared" si="71"/>
        <v>1.3882445825601724E-7</v>
      </c>
      <c r="AP168">
        <v>2.4971069189148181</v>
      </c>
      <c r="AQ168">
        <f t="shared" si="72"/>
        <v>3.0348698682702282E-5</v>
      </c>
      <c r="AR168">
        <f t="shared" si="73"/>
        <v>5.7043991192919035E-6</v>
      </c>
      <c r="AS168">
        <f t="shared" si="74"/>
        <v>12.043891333175806</v>
      </c>
      <c r="AT168">
        <f t="shared" si="75"/>
        <v>9.3927879404627568</v>
      </c>
      <c r="AU168">
        <f t="shared" si="76"/>
        <v>2.267706546889281</v>
      </c>
      <c r="AV168">
        <f t="shared" si="77"/>
        <v>0.22940037202553709</v>
      </c>
      <c r="AW168">
        <f t="shared" si="78"/>
        <v>8.8302336882974172E-3</v>
      </c>
      <c r="AX168">
        <f t="shared" si="79"/>
        <v>0.22940036330495284</v>
      </c>
      <c r="AY168">
        <f t="shared" si="80"/>
        <v>8.7205842547177781E-9</v>
      </c>
      <c r="AZ168">
        <f t="shared" si="81"/>
        <v>839091.99888317985</v>
      </c>
      <c r="BA168">
        <f t="shared" si="82"/>
        <v>1.2153543948326845E-5</v>
      </c>
      <c r="BB168" s="15">
        <f t="shared" si="83"/>
        <v>5369883.5286895614</v>
      </c>
      <c r="BC168" s="20">
        <f t="shared" si="84"/>
        <v>-28122.584591688588</v>
      </c>
      <c r="BD168" s="19">
        <f t="shared" si="85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6"/>
        <v>2.8502295699234246E-6</v>
      </c>
      <c r="P169" s="8">
        <f t="shared" si="87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58"/>
        <v>64927.182340819876</v>
      </c>
      <c r="X169">
        <v>3.0700163138612249E-2</v>
      </c>
      <c r="Y169">
        <f t="shared" si="59"/>
        <v>5.7072862912243698</v>
      </c>
      <c r="Z169">
        <f t="shared" si="60"/>
        <v>5.7072863391106621</v>
      </c>
      <c r="AA169">
        <f t="shared" si="61"/>
        <v>-4.788629226482044E-8</v>
      </c>
      <c r="AB169">
        <f t="shared" si="62"/>
        <v>1.1131149322071773E-5</v>
      </c>
      <c r="AC169">
        <v>776.03732814966133</v>
      </c>
      <c r="AD169">
        <f t="shared" si="63"/>
        <v>2011.0455553597324</v>
      </c>
      <c r="AE169">
        <f>+gettm2(AD169,AC169,AK169,AL169,テーブル2[[#This Row],[Fcorr]])</f>
        <v>548.51234060289164</v>
      </c>
      <c r="AF169" s="14">
        <f t="shared" si="64"/>
        <v>1.7603731521376176E-6</v>
      </c>
      <c r="AG169">
        <v>1.1269011981684499E-5</v>
      </c>
      <c r="AH169">
        <f t="shared" si="65"/>
        <v>32.657046709548162</v>
      </c>
      <c r="AI169">
        <f t="shared" si="66"/>
        <v>0.24143061264274185</v>
      </c>
      <c r="AJ169">
        <f t="shared" si="67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68"/>
        <v>1.5871354414155836</v>
      </c>
      <c r="AM169">
        <f t="shared" si="69"/>
        <v>626.57723582241465</v>
      </c>
      <c r="AN169">
        <f t="shared" si="70"/>
        <v>1.5553382581856567E-8</v>
      </c>
      <c r="AO169">
        <f t="shared" si="71"/>
        <v>1.3786265961272685E-7</v>
      </c>
      <c r="AP169">
        <v>2.4969204953411959</v>
      </c>
      <c r="AQ169">
        <f t="shared" si="72"/>
        <v>3.0353230604387527E-5</v>
      </c>
      <c r="AR169">
        <f t="shared" si="73"/>
        <v>5.7034373206486131E-6</v>
      </c>
      <c r="AS169">
        <f t="shared" si="74"/>
        <v>12.041860655079491</v>
      </c>
      <c r="AT169">
        <f t="shared" si="75"/>
        <v>9.3919448369955632</v>
      </c>
      <c r="AU169">
        <f t="shared" si="76"/>
        <v>2.2675029959026749</v>
      </c>
      <c r="AV169">
        <f t="shared" si="77"/>
        <v>0.22941749943852097</v>
      </c>
      <c r="AW169">
        <f t="shared" si="78"/>
        <v>8.8302336882974172E-3</v>
      </c>
      <c r="AX169">
        <f t="shared" si="79"/>
        <v>0.22941749065666359</v>
      </c>
      <c r="AY169">
        <f t="shared" si="80"/>
        <v>8.7818573801801136E-9</v>
      </c>
      <c r="AZ169">
        <f t="shared" si="81"/>
        <v>839091.99888317985</v>
      </c>
      <c r="BA169">
        <f t="shared" si="82"/>
        <v>1.2156266353302475E-5</v>
      </c>
      <c r="BB169" s="15">
        <f t="shared" si="83"/>
        <v>5331485.8360989643</v>
      </c>
      <c r="BC169" s="20">
        <f t="shared" si="84"/>
        <v>-8414.8084322856739</v>
      </c>
      <c r="BD169" s="19">
        <f t="shared" si="85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6"/>
        <v>2.8502295699234246E-6</v>
      </c>
      <c r="P170" s="8">
        <f t="shared" si="87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58"/>
        <v>64927.182340819876</v>
      </c>
      <c r="X170">
        <v>3.0700163138612249E-2</v>
      </c>
      <c r="Y170">
        <f t="shared" si="59"/>
        <v>5.7072862912243698</v>
      </c>
      <c r="Z170">
        <f t="shared" si="60"/>
        <v>5.7072863391106621</v>
      </c>
      <c r="AA170">
        <f t="shared" si="61"/>
        <v>-4.788629226482044E-8</v>
      </c>
      <c r="AB170">
        <f t="shared" si="62"/>
        <v>1.1131149322071773E-5</v>
      </c>
      <c r="AC170">
        <v>747.91536386283485</v>
      </c>
      <c r="AD170">
        <f t="shared" si="63"/>
        <v>2011.0455553597324</v>
      </c>
      <c r="AE170">
        <f>+gettm2(AD170,AC170,AK170,AL170,テーブル2[[#This Row],[Fcorr]])</f>
        <v>563.09433933529408</v>
      </c>
      <c r="AF170" s="14">
        <f t="shared" si="64"/>
        <v>0</v>
      </c>
      <c r="AG170">
        <v>1.1247912836838169E-5</v>
      </c>
      <c r="AH170">
        <f t="shared" si="65"/>
        <v>32.657046709548162</v>
      </c>
      <c r="AI170">
        <f t="shared" si="66"/>
        <v>0.24143061264274185</v>
      </c>
      <c r="AJ170">
        <f t="shared" si="67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68"/>
        <v>1.5871354414155836</v>
      </c>
      <c r="AM170">
        <f t="shared" si="69"/>
        <v>626.57723582712742</v>
      </c>
      <c r="AN170">
        <f t="shared" si="70"/>
        <v>1.0840608410944697E-8</v>
      </c>
      <c r="AO170">
        <f t="shared" si="71"/>
        <v>1.1676351476639698E-7</v>
      </c>
      <c r="AP170">
        <v>2.4928235524922542</v>
      </c>
      <c r="AQ170">
        <f t="shared" si="72"/>
        <v>3.0453083351461134E-5</v>
      </c>
      <c r="AR170">
        <f t="shared" si="73"/>
        <v>5.6823381758022832E-6</v>
      </c>
      <c r="AS170">
        <f t="shared" si="74"/>
        <v>11.997313314958648</v>
      </c>
      <c r="AT170">
        <f t="shared" si="75"/>
        <v>9.37341367150343</v>
      </c>
      <c r="AU170">
        <f t="shared" si="76"/>
        <v>2.2630290052649253</v>
      </c>
      <c r="AV170">
        <f t="shared" si="77"/>
        <v>0.22979454722732884</v>
      </c>
      <c r="AW170">
        <f t="shared" si="78"/>
        <v>8.8302336882974172E-3</v>
      </c>
      <c r="AX170">
        <f t="shared" si="79"/>
        <v>0.22979453713748182</v>
      </c>
      <c r="AY170">
        <f t="shared" si="80"/>
        <v>1.0089847013450282E-8</v>
      </c>
      <c r="AZ170">
        <f t="shared" si="81"/>
        <v>839091.99888317985</v>
      </c>
      <c r="BA170">
        <f t="shared" si="82"/>
        <v>1.2216301198299818E-5</v>
      </c>
      <c r="BB170" s="15">
        <f t="shared" si="83"/>
        <v>4493339.5882711979</v>
      </c>
      <c r="BC170" s="20">
        <f t="shared" si="84"/>
        <v>-11607.579697552137</v>
      </c>
      <c r="BD170" s="19">
        <f t="shared" si="85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6"/>
        <v>2.8502295699234246E-6</v>
      </c>
      <c r="P171" s="8">
        <f t="shared" si="87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58"/>
        <v>65330.456765297022</v>
      </c>
      <c r="X171">
        <v>3.0617085003356879E-2</v>
      </c>
      <c r="Y171">
        <f t="shared" si="59"/>
        <v>5.7150242827932436</v>
      </c>
      <c r="Z171">
        <f t="shared" si="60"/>
        <v>5.7150243315446012</v>
      </c>
      <c r="AA171">
        <f t="shared" si="61"/>
        <v>-4.8751357617504709E-8</v>
      </c>
      <c r="AB171">
        <f t="shared" si="62"/>
        <v>1.1023984021569312E-5</v>
      </c>
      <c r="AC171">
        <v>726.94150230071614</v>
      </c>
      <c r="AD171">
        <f t="shared" si="63"/>
        <v>2020.7967066667375</v>
      </c>
      <c r="AE171">
        <f>+gettm2(AD171,AC171,AK171,AL171,テーブル2[[#This Row],[Fcorr]])</f>
        <v>573.70800508318109</v>
      </c>
      <c r="AF171" s="14">
        <f t="shared" si="64"/>
        <v>0</v>
      </c>
      <c r="AG171">
        <v>1.1125087009633061E-5</v>
      </c>
      <c r="AH171">
        <f t="shared" si="65"/>
        <v>32.974509272747106</v>
      </c>
      <c r="AI171">
        <f t="shared" si="66"/>
        <v>0.24260126063117154</v>
      </c>
      <c r="AJ171">
        <f t="shared" si="67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68"/>
        <v>1.5871354414155836</v>
      </c>
      <c r="AM171">
        <f t="shared" si="69"/>
        <v>626.57723581229743</v>
      </c>
      <c r="AN171">
        <f t="shared" si="70"/>
        <v>2.5670601644378621E-8</v>
      </c>
      <c r="AO171">
        <f t="shared" si="71"/>
        <v>1.0110298806374856E-7</v>
      </c>
      <c r="AP171">
        <v>2.4956449915818411</v>
      </c>
      <c r="AQ171">
        <f t="shared" si="72"/>
        <v>3.0384265109298066E-5</v>
      </c>
      <c r="AR171">
        <f t="shared" si="73"/>
        <v>5.6130949988484047E-6</v>
      </c>
      <c r="AS171">
        <f t="shared" si="74"/>
        <v>11.908581509585712</v>
      </c>
      <c r="AT171">
        <f t="shared" si="75"/>
        <v>9.3362963774184706</v>
      </c>
      <c r="AU171">
        <f t="shared" si="76"/>
        <v>2.2649972707879611</v>
      </c>
      <c r="AV171">
        <f t="shared" si="77"/>
        <v>0.23064772079387996</v>
      </c>
      <c r="AW171">
        <f t="shared" si="78"/>
        <v>8.7452204862162129E-3</v>
      </c>
      <c r="AX171">
        <f t="shared" si="79"/>
        <v>0.23064771139980864</v>
      </c>
      <c r="AY171">
        <f t="shared" si="80"/>
        <v>9.394071326385145E-9</v>
      </c>
      <c r="AZ171">
        <f t="shared" si="81"/>
        <v>839091.99888317985</v>
      </c>
      <c r="BA171">
        <f t="shared" si="82"/>
        <v>1.2174914786273061E-5</v>
      </c>
      <c r="BB171" s="15">
        <f t="shared" si="83"/>
        <v>3903910.7056132867</v>
      </c>
      <c r="BC171" s="20">
        <f t="shared" si="84"/>
        <v>13981.5063945367</v>
      </c>
      <c r="BD171" s="19">
        <f t="shared" si="85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6"/>
        <v>2.8502295699234246E-6</v>
      </c>
      <c r="P172" s="8">
        <f t="shared" si="87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58"/>
        <v>65733.73118977416</v>
      </c>
      <c r="X172">
        <v>3.0534849970872351E-2</v>
      </c>
      <c r="Y172">
        <f t="shared" si="59"/>
        <v>5.7227148266235046</v>
      </c>
      <c r="Z172">
        <f t="shared" si="60"/>
        <v>5.7227148750663437</v>
      </c>
      <c r="AA172">
        <f t="shared" si="61"/>
        <v>-4.8442839073459254E-8</v>
      </c>
      <c r="AB172">
        <f t="shared" si="62"/>
        <v>1.091846144392627E-5</v>
      </c>
      <c r="AC172">
        <v>742.96715502209327</v>
      </c>
      <c r="AD172">
        <f t="shared" si="63"/>
        <v>2030.5383233820594</v>
      </c>
      <c r="AE172">
        <f>+gettm2(AD172,AC172,AK172,AL172,テーブル2[[#This Row],[Fcorr]])</f>
        <v>564.98541206768834</v>
      </c>
      <c r="AF172" s="14">
        <f t="shared" si="64"/>
        <v>0</v>
      </c>
      <c r="AG172">
        <v>1.103148532235502E-5</v>
      </c>
      <c r="AH172">
        <f t="shared" si="65"/>
        <v>33.2931947608852</v>
      </c>
      <c r="AI172">
        <f t="shared" si="66"/>
        <v>0.24377076397009029</v>
      </c>
      <c r="AJ172">
        <f t="shared" si="67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68"/>
        <v>1.5871354414155836</v>
      </c>
      <c r="AM172">
        <f t="shared" si="69"/>
        <v>626.57723583270365</v>
      </c>
      <c r="AN172">
        <f t="shared" si="70"/>
        <v>5.2643827075371519E-9</v>
      </c>
      <c r="AO172">
        <f t="shared" si="71"/>
        <v>1.1302387842875032E-7</v>
      </c>
      <c r="AP172">
        <v>2.503874833350225</v>
      </c>
      <c r="AQ172">
        <f t="shared" si="72"/>
        <v>3.0184856783716305E-5</v>
      </c>
      <c r="AR172">
        <f t="shared" si="73"/>
        <v>5.5722546003918854E-6</v>
      </c>
      <c r="AS172">
        <f t="shared" si="74"/>
        <v>11.878925473740374</v>
      </c>
      <c r="AT172">
        <f t="shared" si="75"/>
        <v>9.3238293075272445</v>
      </c>
      <c r="AU172">
        <f t="shared" si="76"/>
        <v>2.2728769934226345</v>
      </c>
      <c r="AV172">
        <f t="shared" si="77"/>
        <v>0.23099783992759049</v>
      </c>
      <c r="AW172">
        <f t="shared" si="78"/>
        <v>8.6615104403782745E-3</v>
      </c>
      <c r="AX172">
        <f t="shared" si="79"/>
        <v>0.23099783325825934</v>
      </c>
      <c r="AY172">
        <f t="shared" si="80"/>
        <v>6.6693311429055768E-9</v>
      </c>
      <c r="AZ172">
        <f t="shared" si="81"/>
        <v>839091.99888317985</v>
      </c>
      <c r="BA172">
        <f t="shared" si="82"/>
        <v>1.2055257867394466E-5</v>
      </c>
      <c r="BB172" s="15">
        <f t="shared" si="83"/>
        <v>4407532.4253070801</v>
      </c>
      <c r="BC172" s="20">
        <f t="shared" si="84"/>
        <v>2913.8276508301497</v>
      </c>
      <c r="BD172" s="19">
        <f t="shared" si="85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6"/>
        <v>2.8502295699234246E-6</v>
      </c>
      <c r="P173" s="8">
        <f t="shared" si="87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58"/>
        <v>65733.73118977416</v>
      </c>
      <c r="X173">
        <v>3.0534849970872351E-2</v>
      </c>
      <c r="Y173">
        <f t="shared" si="59"/>
        <v>5.7227148266235046</v>
      </c>
      <c r="Z173">
        <f t="shared" si="60"/>
        <v>5.7227148750663437</v>
      </c>
      <c r="AA173">
        <f t="shared" si="61"/>
        <v>-4.8442839073459254E-8</v>
      </c>
      <c r="AB173">
        <f t="shared" si="62"/>
        <v>1.091846144392627E-5</v>
      </c>
      <c r="AC173">
        <v>726.65993029131664</v>
      </c>
      <c r="AD173">
        <f t="shared" si="63"/>
        <v>2030.5383233820594</v>
      </c>
      <c r="AE173">
        <f>+gettm2(AD173,AC173,AK173,AL173,テーブル2[[#This Row],[Fcorr]])</f>
        <v>573.56233296332073</v>
      </c>
      <c r="AF173" s="14">
        <f t="shared" si="64"/>
        <v>1.2665992699112394E-6</v>
      </c>
      <c r="AG173">
        <v>1.10192118964619E-5</v>
      </c>
      <c r="AH173">
        <f t="shared" si="65"/>
        <v>33.2931947608852</v>
      </c>
      <c r="AI173">
        <f t="shared" si="66"/>
        <v>0.24377076397009029</v>
      </c>
      <c r="AJ173">
        <f t="shared" si="67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68"/>
        <v>1.5871354414155836</v>
      </c>
      <c r="AM173">
        <f t="shared" si="69"/>
        <v>626.57723581179516</v>
      </c>
      <c r="AN173">
        <f t="shared" si="70"/>
        <v>2.6172870093432721E-8</v>
      </c>
      <c r="AO173">
        <f t="shared" si="71"/>
        <v>1.0075045253562996E-7</v>
      </c>
      <c r="AP173">
        <v>2.5014144403560001</v>
      </c>
      <c r="AQ173">
        <f t="shared" si="72"/>
        <v>3.0244265679186361E-5</v>
      </c>
      <c r="AR173">
        <f t="shared" si="73"/>
        <v>5.559981174498765E-6</v>
      </c>
      <c r="AS173">
        <f t="shared" si="74"/>
        <v>11.852760999582713</v>
      </c>
      <c r="AT173">
        <f t="shared" si="75"/>
        <v>9.3128041809361175</v>
      </c>
      <c r="AU173">
        <f t="shared" si="76"/>
        <v>2.2701893898906484</v>
      </c>
      <c r="AV173">
        <f t="shared" si="77"/>
        <v>0.23122505046535169</v>
      </c>
      <c r="AW173">
        <f t="shared" si="78"/>
        <v>8.6615104403782745E-3</v>
      </c>
      <c r="AX173">
        <f t="shared" si="79"/>
        <v>0.231225042888723</v>
      </c>
      <c r="AY173">
        <f t="shared" si="80"/>
        <v>7.5766286855571963E-9</v>
      </c>
      <c r="AZ173">
        <f t="shared" si="81"/>
        <v>839091.99888317985</v>
      </c>
      <c r="BA173">
        <f t="shared" si="82"/>
        <v>1.209086554840629E-5</v>
      </c>
      <c r="BB173" s="15">
        <f t="shared" si="83"/>
        <v>3917341.4525249451</v>
      </c>
      <c r="BC173" s="20">
        <f t="shared" si="84"/>
        <v>14691.15955619514</v>
      </c>
      <c r="BD173" s="19">
        <f t="shared" si="85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6"/>
        <v>2.8502295699234246E-6</v>
      </c>
      <c r="P174" s="8">
        <f t="shared" si="87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58"/>
        <v>82267.982593336987</v>
      </c>
      <c r="X174">
        <v>2.7749153624474179E-2</v>
      </c>
      <c r="Y174">
        <f t="shared" si="59"/>
        <v>6.0030937998120235</v>
      </c>
      <c r="Z174">
        <f t="shared" si="60"/>
        <v>6.0030938065793782</v>
      </c>
      <c r="AA174">
        <f t="shared" si="61"/>
        <v>-6.767354676640025E-9</v>
      </c>
      <c r="AB174">
        <f t="shared" si="62"/>
        <v>7.6704769287397069E-6</v>
      </c>
      <c r="AC174">
        <v>720.37071138322631</v>
      </c>
      <c r="AD174">
        <f t="shared" si="63"/>
        <v>2422.5945115211684</v>
      </c>
      <c r="AE174">
        <f>+gettm2(AD174,AC174,AK174,AL174,テーブル2[[#This Row],[Fcorr]])</f>
        <v>566.15034492094946</v>
      </c>
      <c r="AF174" s="14">
        <f t="shared" si="64"/>
        <v>0</v>
      </c>
      <c r="AG174">
        <v>7.7617947172481563E-6</v>
      </c>
      <c r="AH174">
        <f t="shared" si="65"/>
        <v>47.390855447313051</v>
      </c>
      <c r="AI174">
        <f t="shared" si="66"/>
        <v>0.29083800490878275</v>
      </c>
      <c r="AJ174">
        <f t="shared" si="67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68"/>
        <v>1.5871354414155836</v>
      </c>
      <c r="AM174">
        <f t="shared" si="69"/>
        <v>626.57723581479127</v>
      </c>
      <c r="AN174">
        <f t="shared" si="70"/>
        <v>2.3176767172117252E-8</v>
      </c>
      <c r="AO174">
        <f t="shared" si="71"/>
        <v>9.1317788508449337E-8</v>
      </c>
      <c r="AP174">
        <v>2.7137118997028788</v>
      </c>
      <c r="AQ174">
        <f t="shared" si="72"/>
        <v>2.5697263135685243E-5</v>
      </c>
      <c r="AR174">
        <f t="shared" si="73"/>
        <v>3.9265562528783028E-6</v>
      </c>
      <c r="AS174">
        <f t="shared" si="74"/>
        <v>9.9868279552777963</v>
      </c>
      <c r="AT174">
        <f t="shared" si="75"/>
        <v>8.4563351012273298</v>
      </c>
      <c r="AU174">
        <f t="shared" si="76"/>
        <v>2.4594236296810661</v>
      </c>
      <c r="AV174">
        <f t="shared" si="77"/>
        <v>0.25428827002181276</v>
      </c>
      <c r="AW174">
        <f t="shared" si="78"/>
        <v>6.0849155663701858E-3</v>
      </c>
      <c r="AX174">
        <f t="shared" si="79"/>
        <v>0.25428826619946304</v>
      </c>
      <c r="AY174">
        <f t="shared" si="80"/>
        <v>3.8223497145217777E-9</v>
      </c>
      <c r="AZ174">
        <f t="shared" si="81"/>
        <v>839091.99888317985</v>
      </c>
      <c r="BA174">
        <f t="shared" si="82"/>
        <v>9.4694146193259519E-6</v>
      </c>
      <c r="BB174" s="15">
        <f t="shared" si="83"/>
        <v>4533504.668405964</v>
      </c>
      <c r="BC174" s="20">
        <f t="shared" si="84"/>
        <v>-11563.690969035961</v>
      </c>
      <c r="BD174" s="19">
        <f t="shared" si="85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6"/>
        <v>2.8502295699234246E-6</v>
      </c>
      <c r="P175" s="8">
        <f t="shared" si="87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58"/>
        <v>83881.080291245555</v>
      </c>
      <c r="X175">
        <v>2.7526308797267519E-2</v>
      </c>
      <c r="Y175">
        <f t="shared" si="59"/>
        <v>6.0273444501828584</v>
      </c>
      <c r="Z175">
        <f t="shared" si="60"/>
        <v>6.0273444803686127</v>
      </c>
      <c r="AA175">
        <f t="shared" si="61"/>
        <v>-3.0185754340550375E-8</v>
      </c>
      <c r="AB175">
        <f t="shared" si="62"/>
        <v>7.4380277893052746E-6</v>
      </c>
      <c r="AC175">
        <v>689.56169051886479</v>
      </c>
      <c r="AD175">
        <f t="shared" si="63"/>
        <v>2460.1580836065191</v>
      </c>
      <c r="AE175">
        <f>+gettm2(AD175,AC175,AK175,AL175,テーブル2[[#This Row],[Fcorr]])</f>
        <v>585.22110890237968</v>
      </c>
      <c r="AF175" s="14">
        <f t="shared" si="64"/>
        <v>0</v>
      </c>
      <c r="AG175">
        <v>7.5056050981652022E-6</v>
      </c>
      <c r="AH175">
        <f t="shared" si="65"/>
        <v>48.871888306806888</v>
      </c>
      <c r="AI175">
        <f t="shared" si="66"/>
        <v>0.29534759754205048</v>
      </c>
      <c r="AJ175">
        <f t="shared" si="67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68"/>
        <v>1.5871354414155836</v>
      </c>
      <c r="AM175">
        <f t="shared" si="69"/>
        <v>626.57723582204869</v>
      </c>
      <c r="AN175">
        <f t="shared" si="70"/>
        <v>1.5919340512482449E-8</v>
      </c>
      <c r="AO175">
        <f t="shared" si="71"/>
        <v>6.7577308859927597E-8</v>
      </c>
      <c r="AP175">
        <v>2.7239410138607738</v>
      </c>
      <c r="AQ175">
        <f t="shared" si="72"/>
        <v>2.5504625569601364E-5</v>
      </c>
      <c r="AR175">
        <f t="shared" si="73"/>
        <v>3.7865912035125649E-6</v>
      </c>
      <c r="AS175">
        <f t="shared" si="74"/>
        <v>9.7801710851808661</v>
      </c>
      <c r="AT175">
        <f t="shared" si="75"/>
        <v>8.3517848863299768</v>
      </c>
      <c r="AU175">
        <f t="shared" si="76"/>
        <v>2.4666796013655659</v>
      </c>
      <c r="AV175">
        <f t="shared" si="77"/>
        <v>0.25726141249520795</v>
      </c>
      <c r="AW175">
        <f t="shared" si="78"/>
        <v>5.9005158999512249E-3</v>
      </c>
      <c r="AX175">
        <f t="shared" si="79"/>
        <v>0.25726141060186225</v>
      </c>
      <c r="AY175">
        <f t="shared" si="80"/>
        <v>1.8933457024417066E-9</v>
      </c>
      <c r="AZ175">
        <f t="shared" si="81"/>
        <v>839091.99888317985</v>
      </c>
      <c r="BA175">
        <f t="shared" si="82"/>
        <v>9.3631343115805664E-6</v>
      </c>
      <c r="BB175" s="15">
        <f t="shared" si="83"/>
        <v>3392981.2057726914</v>
      </c>
      <c r="BC175" s="20">
        <f t="shared" si="84"/>
        <v>12094.858116441406</v>
      </c>
      <c r="BD175" s="19">
        <f t="shared" si="85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6"/>
        <v>2.8502295699234246E-6</v>
      </c>
      <c r="P176" s="8">
        <f t="shared" si="87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58"/>
        <v>84687.629140199861</v>
      </c>
      <c r="X176">
        <v>2.7417489253573679E-2</v>
      </c>
      <c r="Y176">
        <f t="shared" si="59"/>
        <v>6.0392938184881579</v>
      </c>
      <c r="Z176">
        <f t="shared" si="60"/>
        <v>6.0392938316842111</v>
      </c>
      <c r="AA176">
        <f t="shared" si="61"/>
        <v>-1.319605313909733E-8</v>
      </c>
      <c r="AB176">
        <f t="shared" si="62"/>
        <v>7.3259874902453786E-6</v>
      </c>
      <c r="AC176">
        <v>761.59762223365487</v>
      </c>
      <c r="AD176">
        <f t="shared" si="63"/>
        <v>2478.8989676378092</v>
      </c>
      <c r="AE176">
        <f>+gettm2(AD176,AC176,AK176,AL176,テーブル2[[#This Row],[Fcorr]])</f>
        <v>537.74387614745763</v>
      </c>
      <c r="AF176" s="14">
        <f t="shared" si="64"/>
        <v>0</v>
      </c>
      <c r="AG176">
        <v>7.4468232207589724E-6</v>
      </c>
      <c r="AH176">
        <f t="shared" si="65"/>
        <v>49.619312594496073</v>
      </c>
      <c r="AI176">
        <f t="shared" si="66"/>
        <v>0.29759748347878728</v>
      </c>
      <c r="AJ176">
        <f t="shared" si="67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68"/>
        <v>1.5871354414155836</v>
      </c>
      <c r="AM176">
        <f t="shared" si="69"/>
        <v>626.57723587827422</v>
      </c>
      <c r="AN176">
        <f t="shared" si="70"/>
        <v>-4.0306190385308582E-8</v>
      </c>
      <c r="AO176">
        <f t="shared" si="71"/>
        <v>1.2083573051359375E-7</v>
      </c>
      <c r="AP176">
        <v>2.752233140949587</v>
      </c>
      <c r="AQ176">
        <f t="shared" si="72"/>
        <v>2.4982960973471004E-5</v>
      </c>
      <c r="AR176">
        <f t="shared" si="73"/>
        <v>3.7838294756362831E-6</v>
      </c>
      <c r="AS176">
        <f t="shared" si="74"/>
        <v>9.8474865940916469</v>
      </c>
      <c r="AT176">
        <f t="shared" si="75"/>
        <v>8.3860812725527634</v>
      </c>
      <c r="AU176">
        <f t="shared" si="76"/>
        <v>2.4956766829602883</v>
      </c>
      <c r="AV176">
        <f t="shared" si="77"/>
        <v>0.25655645798929871</v>
      </c>
      <c r="AW176">
        <f t="shared" si="78"/>
        <v>5.8116354084063087E-3</v>
      </c>
      <c r="AX176">
        <f t="shared" si="79"/>
        <v>0.25655644981672587</v>
      </c>
      <c r="AY176">
        <f t="shared" si="80"/>
        <v>8.1725728406922826E-9</v>
      </c>
      <c r="AZ176">
        <f t="shared" si="81"/>
        <v>839091.99888317985</v>
      </c>
      <c r="BA176">
        <f t="shared" si="82"/>
        <v>9.07734181445518E-6</v>
      </c>
      <c r="BB176" s="15">
        <f t="shared" si="83"/>
        <v>6258042.3378954269</v>
      </c>
      <c r="BC176" s="20">
        <f t="shared" si="84"/>
        <v>-20021.626948323101</v>
      </c>
      <c r="BD176" s="19">
        <f t="shared" si="85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6"/>
        <v>2.8502295699234246E-6</v>
      </c>
      <c r="P177" s="8">
        <f t="shared" si="87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58"/>
        <v>84687.629140199861</v>
      </c>
      <c r="X177">
        <v>2.7417489253573679E-2</v>
      </c>
      <c r="Y177">
        <f t="shared" si="59"/>
        <v>6.0392938184881579</v>
      </c>
      <c r="Z177">
        <f t="shared" si="60"/>
        <v>6.0392938316842111</v>
      </c>
      <c r="AA177">
        <f t="shared" si="61"/>
        <v>-1.319605313909733E-8</v>
      </c>
      <c r="AB177">
        <f t="shared" si="62"/>
        <v>7.3259874902453786E-6</v>
      </c>
      <c r="AC177">
        <v>688.80484788828153</v>
      </c>
      <c r="AD177">
        <f t="shared" si="63"/>
        <v>2478.8989676378092</v>
      </c>
      <c r="AE177">
        <f>+gettm2(AD177,AC177,AK177,AL177,テーブル2[[#This Row],[Fcorr]])</f>
        <v>585.38547523747764</v>
      </c>
      <c r="AF177" s="14">
        <f t="shared" si="64"/>
        <v>0</v>
      </c>
      <c r="AG177">
        <v>7.3931100003053836E-6</v>
      </c>
      <c r="AH177">
        <f t="shared" si="65"/>
        <v>49.619312594496073</v>
      </c>
      <c r="AI177">
        <f t="shared" si="66"/>
        <v>0.29759748347878728</v>
      </c>
      <c r="AJ177">
        <f t="shared" si="67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68"/>
        <v>1.5871354414155836</v>
      </c>
      <c r="AM177">
        <f t="shared" si="69"/>
        <v>626.57723589312366</v>
      </c>
      <c r="AN177">
        <f t="shared" si="70"/>
        <v>-5.5155624067992903E-8</v>
      </c>
      <c r="AO177">
        <f t="shared" si="71"/>
        <v>6.712251006000496E-8</v>
      </c>
      <c r="AP177">
        <v>2.7327849201010288</v>
      </c>
      <c r="AQ177">
        <f t="shared" si="72"/>
        <v>2.5339815281526499E-5</v>
      </c>
      <c r="AR177">
        <f t="shared" si="73"/>
        <v>3.7301162551826943E-6</v>
      </c>
      <c r="AS177">
        <f t="shared" si="74"/>
        <v>9.7076969387311198</v>
      </c>
      <c r="AT177">
        <f t="shared" si="75"/>
        <v>8.3145953484691706</v>
      </c>
      <c r="AU177">
        <f t="shared" si="76"/>
        <v>2.4744026518488558</v>
      </c>
      <c r="AV177">
        <f t="shared" si="77"/>
        <v>0.25838226825217303</v>
      </c>
      <c r="AW177">
        <f t="shared" si="78"/>
        <v>5.8116354084063087E-3</v>
      </c>
      <c r="AX177">
        <f t="shared" si="79"/>
        <v>0.25838226730402863</v>
      </c>
      <c r="AY177">
        <f t="shared" si="80"/>
        <v>9.4814439632884273E-10</v>
      </c>
      <c r="AZ177">
        <f t="shared" si="81"/>
        <v>839091.99888317985</v>
      </c>
      <c r="BA177">
        <f t="shared" si="82"/>
        <v>9.2725245573258313E-6</v>
      </c>
      <c r="BB177" s="15">
        <f t="shared" si="83"/>
        <v>3403078.842527444</v>
      </c>
      <c r="BC177" s="20">
        <f t="shared" si="84"/>
        <v>24227.768308694009</v>
      </c>
      <c r="BD177" s="19">
        <f t="shared" si="85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6"/>
        <v>2.8502295699234246E-6</v>
      </c>
      <c r="P178" s="8">
        <f t="shared" si="87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58"/>
        <v>85494.177989154137</v>
      </c>
      <c r="X178">
        <v>2.7310346611720542E-2</v>
      </c>
      <c r="Y178">
        <f t="shared" si="59"/>
        <v>6.0511287561987661</v>
      </c>
      <c r="Z178">
        <f t="shared" si="60"/>
        <v>6.0511287704394805</v>
      </c>
      <c r="AA178">
        <f t="shared" si="61"/>
        <v>-1.4240714385493902E-8</v>
      </c>
      <c r="AB178">
        <f t="shared" si="62"/>
        <v>7.2166145598045175E-6</v>
      </c>
      <c r="AC178">
        <v>727.57907428259307</v>
      </c>
      <c r="AD178">
        <f t="shared" si="63"/>
        <v>2497.613067073316</v>
      </c>
      <c r="AE178">
        <f>+gettm2(AD178,AC178,AK178,AL178,テーブル2[[#This Row],[Fcorr]])</f>
        <v>559.41317057263575</v>
      </c>
      <c r="AF178" s="14">
        <f t="shared" si="64"/>
        <v>1.2757906233673566E-6</v>
      </c>
      <c r="AG178">
        <v>7.3132384476773629E-6</v>
      </c>
      <c r="AH178">
        <f t="shared" si="65"/>
        <v>50.371328595897729</v>
      </c>
      <c r="AI178">
        <f t="shared" si="66"/>
        <v>0.29984415386361774</v>
      </c>
      <c r="AJ178">
        <f t="shared" si="67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68"/>
        <v>1.5871354414155836</v>
      </c>
      <c r="AM178">
        <f t="shared" si="69"/>
        <v>626.57723581205835</v>
      </c>
      <c r="AN178">
        <f t="shared" si="70"/>
        <v>2.590968506410718E-8</v>
      </c>
      <c r="AO178">
        <f t="shared" si="71"/>
        <v>9.6623887872845422E-8</v>
      </c>
      <c r="AP178">
        <v>2.7526553045083459</v>
      </c>
      <c r="AQ178">
        <f t="shared" si="72"/>
        <v>2.4975298490683309E-5</v>
      </c>
      <c r="AR178">
        <f t="shared" si="73"/>
        <v>3.7049311677751041E-6</v>
      </c>
      <c r="AS178">
        <f t="shared" si="74"/>
        <v>9.7149443540601581</v>
      </c>
      <c r="AT178">
        <f t="shared" si="75"/>
        <v>8.318326774878253</v>
      </c>
      <c r="AU178">
        <f t="shared" si="76"/>
        <v>2.494201653374446</v>
      </c>
      <c r="AV178">
        <f t="shared" si="77"/>
        <v>0.25845365113389995</v>
      </c>
      <c r="AW178">
        <f t="shared" si="78"/>
        <v>5.7248709147298413E-3</v>
      </c>
      <c r="AX178">
        <f t="shared" si="79"/>
        <v>0.25845364261977266</v>
      </c>
      <c r="AY178">
        <f t="shared" si="80"/>
        <v>8.5141272920807864E-9</v>
      </c>
      <c r="AZ178">
        <f t="shared" si="81"/>
        <v>839091.99888317985</v>
      </c>
      <c r="BA178">
        <f t="shared" si="82"/>
        <v>9.0731659898638008E-6</v>
      </c>
      <c r="BB178" s="15">
        <f t="shared" si="83"/>
        <v>5006422.1420712713</v>
      </c>
      <c r="BC178" s="20">
        <f t="shared" si="84"/>
        <v>7578.4897275213152</v>
      </c>
      <c r="BD178" s="19">
        <f t="shared" si="85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6"/>
        <v>2.8502295699234246E-6</v>
      </c>
      <c r="P179" s="8">
        <f t="shared" si="87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58"/>
        <v>85897.452413631268</v>
      </c>
      <c r="X179">
        <v>2.725739080054396E-2</v>
      </c>
      <c r="Y179">
        <f t="shared" si="59"/>
        <v>6.0570039873577297</v>
      </c>
      <c r="Z179">
        <f t="shared" si="60"/>
        <v>6.0570039906741773</v>
      </c>
      <c r="AA179">
        <f t="shared" si="61"/>
        <v>-3.3164475610192312E-9</v>
      </c>
      <c r="AB179">
        <f t="shared" si="62"/>
        <v>7.1629011260640252E-6</v>
      </c>
      <c r="AC179">
        <v>760.13715317234971</v>
      </c>
      <c r="AD179">
        <f t="shared" si="63"/>
        <v>2506.9601743329754</v>
      </c>
      <c r="AE179">
        <f>+gettm2(AD179,AC179,AK179,AL179,テーブル2[[#This Row],[Fcorr]])</f>
        <v>537.65718989493678</v>
      </c>
      <c r="AF179" s="14">
        <f t="shared" si="64"/>
        <v>0</v>
      </c>
      <c r="AG179">
        <v>7.2831778316785646E-6</v>
      </c>
      <c r="AH179">
        <f t="shared" si="65"/>
        <v>50.749055018940382</v>
      </c>
      <c r="AI179">
        <f t="shared" si="66"/>
        <v>0.30096629544122777</v>
      </c>
      <c r="AJ179">
        <f t="shared" si="67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68"/>
        <v>1.5871354414155836</v>
      </c>
      <c r="AM179">
        <f t="shared" si="69"/>
        <v>626.57723578996365</v>
      </c>
      <c r="AN179">
        <f t="shared" si="70"/>
        <v>4.800438091479009E-8</v>
      </c>
      <c r="AO179">
        <f t="shared" si="71"/>
        <v>1.2027670561453937E-7</v>
      </c>
      <c r="AP179">
        <v>2.766022505835688</v>
      </c>
      <c r="AQ179">
        <f t="shared" si="72"/>
        <v>2.4734488335482665E-5</v>
      </c>
      <c r="AR179">
        <f t="shared" si="73"/>
        <v>3.701727268646552E-6</v>
      </c>
      <c r="AS179">
        <f t="shared" si="74"/>
        <v>9.7428691220359998</v>
      </c>
      <c r="AT179">
        <f t="shared" si="75"/>
        <v>8.3326782266391692</v>
      </c>
      <c r="AU179">
        <f t="shared" si="76"/>
        <v>2.5078552969753702</v>
      </c>
      <c r="AV179">
        <f t="shared" si="77"/>
        <v>0.25816720886031774</v>
      </c>
      <c r="AW179">
        <f t="shared" si="78"/>
        <v>5.6822605644051951E-3</v>
      </c>
      <c r="AX179">
        <f t="shared" si="79"/>
        <v>0.25816719497561214</v>
      </c>
      <c r="AY179">
        <f t="shared" si="80"/>
        <v>1.3884705607480896E-8</v>
      </c>
      <c r="AZ179">
        <f t="shared" si="81"/>
        <v>839091.99888317985</v>
      </c>
      <c r="BA179">
        <f t="shared" si="82"/>
        <v>8.9422585258429504E-6</v>
      </c>
      <c r="BB179" s="15">
        <f t="shared" si="83"/>
        <v>6323188.3337698299</v>
      </c>
      <c r="BC179" s="20">
        <f t="shared" si="84"/>
        <v>17524.271269829944</v>
      </c>
      <c r="BD179" s="19">
        <f t="shared" si="85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6"/>
        <v>2.8502295699234246E-6</v>
      </c>
      <c r="P180" s="8">
        <f t="shared" si="87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58"/>
        <v>85897.452413631268</v>
      </c>
      <c r="X180">
        <v>2.725739080054396E-2</v>
      </c>
      <c r="Y180">
        <f t="shared" si="59"/>
        <v>6.0570039873577297</v>
      </c>
      <c r="Z180">
        <f t="shared" si="60"/>
        <v>6.0570039906741773</v>
      </c>
      <c r="AA180">
        <f t="shared" si="61"/>
        <v>-3.3164475610192312E-9</v>
      </c>
      <c r="AB180">
        <f t="shared" si="62"/>
        <v>7.1629011260640252E-6</v>
      </c>
      <c r="AC180">
        <v>727.34081168522437</v>
      </c>
      <c r="AD180">
        <f t="shared" si="63"/>
        <v>2506.9601743329754</v>
      </c>
      <c r="AE180">
        <f>+gettm2(AD180,AC180,AK180,AL180,テーブル2[[#This Row],[Fcorr]])</f>
        <v>559.3039879396822</v>
      </c>
      <c r="AF180" s="14">
        <f t="shared" si="64"/>
        <v>1.2734080883092247E-6</v>
      </c>
      <c r="AG180">
        <v>7.2589916374258428E-6</v>
      </c>
      <c r="AH180">
        <f t="shared" si="65"/>
        <v>50.749055018940382</v>
      </c>
      <c r="AI180">
        <f t="shared" si="66"/>
        <v>0.30096629544122777</v>
      </c>
      <c r="AJ180">
        <f t="shared" si="67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68"/>
        <v>1.5871354414155836</v>
      </c>
      <c r="AM180">
        <f t="shared" si="69"/>
        <v>626.57723579169783</v>
      </c>
      <c r="AN180">
        <f t="shared" si="70"/>
        <v>4.6270201892184559E-8</v>
      </c>
      <c r="AO180">
        <f t="shared" si="71"/>
        <v>9.6090511361817544E-8</v>
      </c>
      <c r="AP180">
        <v>2.757002658031952</v>
      </c>
      <c r="AQ180">
        <f t="shared" si="72"/>
        <v>2.4896596464259274E-5</v>
      </c>
      <c r="AR180">
        <f t="shared" si="73"/>
        <v>3.6775410743938302E-6</v>
      </c>
      <c r="AS180">
        <f t="shared" si="74"/>
        <v>9.6792115621827133</v>
      </c>
      <c r="AT180">
        <f t="shared" si="75"/>
        <v>8.2999022389175128</v>
      </c>
      <c r="AU180">
        <f t="shared" si="76"/>
        <v>2.4979908293713562</v>
      </c>
      <c r="AV180">
        <f t="shared" si="77"/>
        <v>0.2590118286605958</v>
      </c>
      <c r="AW180">
        <f t="shared" si="78"/>
        <v>5.6822605644051951E-3</v>
      </c>
      <c r="AX180">
        <f t="shared" si="79"/>
        <v>0.25901181832039327</v>
      </c>
      <c r="AY180">
        <f t="shared" si="80"/>
        <v>1.0340202527547859E-8</v>
      </c>
      <c r="AZ180">
        <f t="shared" si="81"/>
        <v>839091.99888317985</v>
      </c>
      <c r="BA180">
        <f t="shared" si="82"/>
        <v>9.0303128260425273E-6</v>
      </c>
      <c r="BB180" s="15">
        <f t="shared" si="83"/>
        <v>5002412.7631623624</v>
      </c>
      <c r="BC180" s="20">
        <f t="shared" si="84"/>
        <v>-8951.9829313876107</v>
      </c>
      <c r="BD180" s="19">
        <f t="shared" si="85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6"/>
        <v>2.8502295699234246E-6</v>
      </c>
      <c r="P181" s="8">
        <f t="shared" si="87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58"/>
        <v>102431.70381719411</v>
      </c>
      <c r="X181">
        <v>2.5384208624571459E-2</v>
      </c>
      <c r="Y181">
        <f t="shared" si="59"/>
        <v>6.2765094318285328</v>
      </c>
      <c r="Z181">
        <f t="shared" si="60"/>
        <v>6.2765094327444357</v>
      </c>
      <c r="AA181">
        <f t="shared" si="61"/>
        <v>-9.1590290907106464E-10</v>
      </c>
      <c r="AB181">
        <f t="shared" si="62"/>
        <v>5.4088057229598882E-6</v>
      </c>
      <c r="AC181">
        <v>680.92368076684011</v>
      </c>
      <c r="AD181">
        <f t="shared" si="63"/>
        <v>2884.969470862759</v>
      </c>
      <c r="AE181">
        <f>+gettm2(AD181,AC181,AK181,AL181,テーブル2[[#This Row],[Fcorr]])</f>
        <v>584.43623605931248</v>
      </c>
      <c r="AF181" s="14">
        <f t="shared" si="64"/>
        <v>8.0923666700982722E-7</v>
      </c>
      <c r="AG181">
        <v>5.4678948822404113E-6</v>
      </c>
      <c r="AH181">
        <f t="shared" si="65"/>
        <v>67.207158467309014</v>
      </c>
      <c r="AI181">
        <f t="shared" si="66"/>
        <v>0.34634717495567147</v>
      </c>
      <c r="AJ181">
        <f t="shared" si="67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68"/>
        <v>1.5871354414155836</v>
      </c>
      <c r="AM181">
        <f t="shared" si="69"/>
        <v>626.57723592647744</v>
      </c>
      <c r="AN181">
        <f t="shared" si="70"/>
        <v>-8.8509409579273779E-8</v>
      </c>
      <c r="AO181">
        <f t="shared" si="71"/>
        <v>5.9089159280523073E-8</v>
      </c>
      <c r="AP181">
        <v>2.9058181096176119</v>
      </c>
      <c r="AQ181">
        <f t="shared" si="72"/>
        <v>2.2411839189928783E-5</v>
      </c>
      <c r="AR181">
        <f t="shared" si="73"/>
        <v>2.7634920207604672E-6</v>
      </c>
      <c r="AS181">
        <f t="shared" si="74"/>
        <v>8.3701733468417654</v>
      </c>
      <c r="AT181">
        <f t="shared" si="75"/>
        <v>7.5733729739087963</v>
      </c>
      <c r="AU181">
        <f t="shared" si="76"/>
        <v>2.6230163343989439</v>
      </c>
      <c r="AV181">
        <f t="shared" si="77"/>
        <v>0.28280177521866801</v>
      </c>
      <c r="AW181">
        <f t="shared" si="78"/>
        <v>4.2907535535105738E-3</v>
      </c>
      <c r="AX181">
        <f t="shared" si="79"/>
        <v>0.28280177206185142</v>
      </c>
      <c r="AY181">
        <f t="shared" si="80"/>
        <v>3.1568165859141573E-9</v>
      </c>
      <c r="AZ181">
        <f t="shared" si="81"/>
        <v>839091.99888317985</v>
      </c>
      <c r="BA181">
        <f t="shared" si="82"/>
        <v>7.7127467530574529E-6</v>
      </c>
      <c r="BB181" s="15">
        <f t="shared" si="83"/>
        <v>3601642.0963915493</v>
      </c>
      <c r="BC181" s="20">
        <f t="shared" si="84"/>
        <v>-30317.766889700666</v>
      </c>
      <c r="BD181" s="19">
        <f t="shared" si="85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6"/>
        <v>2.8502295699234246E-6</v>
      </c>
      <c r="P182" s="8">
        <f t="shared" si="87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58"/>
        <v>106464.44806196552</v>
      </c>
      <c r="X182">
        <v>2.4999929916971461E-2</v>
      </c>
      <c r="Y182">
        <f t="shared" si="59"/>
        <v>6.324564185235217</v>
      </c>
      <c r="Z182">
        <f t="shared" si="60"/>
        <v>6.324564225480195</v>
      </c>
      <c r="AA182">
        <f t="shared" si="61"/>
        <v>-4.0244978016801269E-8</v>
      </c>
      <c r="AB182">
        <f t="shared" si="62"/>
        <v>5.0837688903806506E-6</v>
      </c>
      <c r="AC182">
        <v>689.4761393360692</v>
      </c>
      <c r="AD182">
        <f t="shared" si="63"/>
        <v>2975.7676171444768</v>
      </c>
      <c r="AE182">
        <f>+gettm2(AD182,AC182,AK182,AL182,テーブル2[[#This Row],[Fcorr]])</f>
        <v>576.31123845080799</v>
      </c>
      <c r="AF182" s="14">
        <f t="shared" si="64"/>
        <v>0</v>
      </c>
      <c r="AG182">
        <v>5.1501890422709151E-6</v>
      </c>
      <c r="AH182">
        <f t="shared" si="65"/>
        <v>71.50412837013036</v>
      </c>
      <c r="AI182">
        <f t="shared" si="66"/>
        <v>0.35724769982205085</v>
      </c>
      <c r="AJ182">
        <f t="shared" si="67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68"/>
        <v>1.5871354414155836</v>
      </c>
      <c r="AM182">
        <f t="shared" si="69"/>
        <v>626.57723580084667</v>
      </c>
      <c r="AN182">
        <f t="shared" si="70"/>
        <v>3.7121367313375231E-8</v>
      </c>
      <c r="AO182">
        <f t="shared" si="71"/>
        <v>6.6420151890264503E-8</v>
      </c>
      <c r="AP182">
        <v>2.9454626210874451</v>
      </c>
      <c r="AQ182">
        <f t="shared" si="72"/>
        <v>2.1812594117314753E-5</v>
      </c>
      <c r="AR182">
        <f t="shared" si="73"/>
        <v>2.6083045970805898E-6</v>
      </c>
      <c r="AS182">
        <f t="shared" si="74"/>
        <v>8.1487751765265006</v>
      </c>
      <c r="AT182">
        <f t="shared" si="75"/>
        <v>7.4393381543503141</v>
      </c>
      <c r="AU182">
        <f t="shared" si="76"/>
        <v>2.6576864438400709</v>
      </c>
      <c r="AV182">
        <f t="shared" si="77"/>
        <v>0.28777617724737414</v>
      </c>
      <c r="AW182">
        <f t="shared" si="78"/>
        <v>4.0329049607073586E-3</v>
      </c>
      <c r="AX182">
        <f t="shared" si="79"/>
        <v>0.28777617006115402</v>
      </c>
      <c r="AY182">
        <f t="shared" si="80"/>
        <v>7.1862201189709651E-9</v>
      </c>
      <c r="AZ182">
        <f t="shared" si="81"/>
        <v>839091.99888317985</v>
      </c>
      <c r="BA182">
        <f t="shared" si="82"/>
        <v>7.4054900446374325E-6</v>
      </c>
      <c r="BB182" s="15">
        <f t="shared" si="83"/>
        <v>4216458.9490732066</v>
      </c>
      <c r="BC182" s="20">
        <f t="shared" si="84"/>
        <v>-4921.4220205433667</v>
      </c>
      <c r="BD182" s="19">
        <f t="shared" si="85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6"/>
        <v>2.8502295699234246E-6</v>
      </c>
      <c r="P183" s="8">
        <f t="shared" si="87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58"/>
        <v>107270.99691091981</v>
      </c>
      <c r="X183">
        <v>2.4925881209394141E-2</v>
      </c>
      <c r="Y183">
        <f t="shared" si="59"/>
        <v>6.3339515865322156</v>
      </c>
      <c r="Z183">
        <f t="shared" si="60"/>
        <v>6.3339516227231965</v>
      </c>
      <c r="AA183">
        <f t="shared" si="61"/>
        <v>-3.6190980878814116E-8</v>
      </c>
      <c r="AB183">
        <f t="shared" si="62"/>
        <v>5.0224850177624719E-6</v>
      </c>
      <c r="AC183">
        <v>686.90439531517939</v>
      </c>
      <c r="AD183">
        <f t="shared" si="63"/>
        <v>2993.8675842437615</v>
      </c>
      <c r="AE183">
        <f>+gettm2(AD183,AC183,AK183,AL183,テーブル2[[#This Row],[Fcorr]])</f>
        <v>578.05598719493173</v>
      </c>
      <c r="AF183" s="14">
        <f t="shared" si="64"/>
        <v>0</v>
      </c>
      <c r="AG183">
        <v>5.0868674831858452E-6</v>
      </c>
      <c r="AH183">
        <f t="shared" si="65"/>
        <v>72.376614774611681</v>
      </c>
      <c r="AI183">
        <f t="shared" si="66"/>
        <v>0.35942064221708875</v>
      </c>
      <c r="AJ183">
        <f t="shared" si="67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68"/>
        <v>1.5871354414155836</v>
      </c>
      <c r="AM183">
        <f t="shared" si="69"/>
        <v>626.57723578871332</v>
      </c>
      <c r="AN183">
        <f t="shared" si="70"/>
        <v>4.9254708756052423E-8</v>
      </c>
      <c r="AO183">
        <f t="shared" si="71"/>
        <v>6.4382465423373318E-8</v>
      </c>
      <c r="AP183">
        <v>2.9510677638246881</v>
      </c>
      <c r="AQ183">
        <f t="shared" si="72"/>
        <v>2.1729812830829328E-5</v>
      </c>
      <c r="AR183">
        <f t="shared" si="73"/>
        <v>2.5756249743046093E-6</v>
      </c>
      <c r="AS183">
        <f t="shared" si="74"/>
        <v>8.0956221729545828</v>
      </c>
      <c r="AT183">
        <f t="shared" si="75"/>
        <v>7.4066172154787742</v>
      </c>
      <c r="AU183">
        <f t="shared" si="76"/>
        <v>2.6620911162435266</v>
      </c>
      <c r="AV183">
        <f t="shared" si="77"/>
        <v>0.28897664758116148</v>
      </c>
      <c r="AW183">
        <f t="shared" si="78"/>
        <v>3.9842890540399906E-3</v>
      </c>
      <c r="AX183">
        <f t="shared" si="79"/>
        <v>0.28897663971192433</v>
      </c>
      <c r="AY183">
        <f t="shared" si="80"/>
        <v>7.869237150792685E-9</v>
      </c>
      <c r="AZ183">
        <f t="shared" si="81"/>
        <v>839091.99888317985</v>
      </c>
      <c r="BA183">
        <f t="shared" si="82"/>
        <v>7.3633730465974534E-6</v>
      </c>
      <c r="BB183" s="15">
        <f t="shared" si="83"/>
        <v>4110480.7085093278</v>
      </c>
      <c r="BC183" s="20">
        <f t="shared" si="84"/>
        <v>-4859.8188344221562</v>
      </c>
      <c r="BD183" s="19">
        <f t="shared" si="85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si="86"/>
        <v>2.8502295699234246E-6</v>
      </c>
      <c r="P184" s="8">
        <f t="shared" si="87"/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58"/>
        <v>107674.27133539696</v>
      </c>
      <c r="X184">
        <v>2.4889192575288509E-2</v>
      </c>
      <c r="Y184">
        <f t="shared" si="59"/>
        <v>6.3386182396680733</v>
      </c>
      <c r="Z184">
        <f t="shared" si="60"/>
        <v>6.3386182738389287</v>
      </c>
      <c r="AA184">
        <f t="shared" si="61"/>
        <v>-3.4170855478521389E-8</v>
      </c>
      <c r="AB184">
        <f t="shared" si="62"/>
        <v>4.992282045515813E-6</v>
      </c>
      <c r="AC184">
        <v>680.81293541784623</v>
      </c>
      <c r="AD184">
        <f t="shared" si="63"/>
        <v>3002.9102771997223</v>
      </c>
      <c r="AE184">
        <f>+gettm2(AD184,AC184,AK184,AL184,テーブル2[[#This Row],[Fcorr]])</f>
        <v>582.7894257303285</v>
      </c>
      <c r="AF184" s="14">
        <f t="shared" si="64"/>
        <v>0</v>
      </c>
      <c r="AG184">
        <v>5.05193082825389E-6</v>
      </c>
      <c r="AH184">
        <f t="shared" si="65"/>
        <v>72.81448844989977</v>
      </c>
      <c r="AI184">
        <f t="shared" si="66"/>
        <v>0.36050623816218275</v>
      </c>
      <c r="AJ184">
        <f t="shared" si="67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68"/>
        <v>1.5871354414155836</v>
      </c>
      <c r="AM184">
        <f t="shared" si="69"/>
        <v>626.57723579623746</v>
      </c>
      <c r="AN184">
        <f t="shared" si="70"/>
        <v>4.173057277512271E-8</v>
      </c>
      <c r="AO184">
        <f t="shared" si="71"/>
        <v>5.9648782738076939E-8</v>
      </c>
      <c r="AP184">
        <v>2.9514450813664541</v>
      </c>
      <c r="AQ184">
        <f t="shared" si="72"/>
        <v>2.172425723670843E-5</v>
      </c>
      <c r="AR184">
        <f t="shared" si="73"/>
        <v>2.5557898054959834E-6</v>
      </c>
      <c r="AS184">
        <f t="shared" si="74"/>
        <v>8.0575406543686796</v>
      </c>
      <c r="AT184">
        <f t="shared" si="75"/>
        <v>7.3830419011302784</v>
      </c>
      <c r="AU184">
        <f t="shared" si="76"/>
        <v>2.6616326619702466</v>
      </c>
      <c r="AV184">
        <f t="shared" si="77"/>
        <v>0.2898124193962075</v>
      </c>
      <c r="AW184">
        <f t="shared" si="78"/>
        <v>3.9603293266747023E-3</v>
      </c>
      <c r="AX184">
        <f t="shared" si="79"/>
        <v>0.28981241140434177</v>
      </c>
      <c r="AY184">
        <f t="shared" si="80"/>
        <v>7.9918657247546321E-9</v>
      </c>
      <c r="AZ184">
        <f t="shared" si="81"/>
        <v>839091.99888317985</v>
      </c>
      <c r="BA184">
        <f t="shared" si="82"/>
        <v>7.360549370835854E-6</v>
      </c>
      <c r="BB184" s="15">
        <f t="shared" si="83"/>
        <v>3809720.9819438104</v>
      </c>
      <c r="BC184" s="20">
        <f t="shared" si="84"/>
        <v>7849.9858500603586</v>
      </c>
      <c r="BD184" s="19">
        <f t="shared" si="85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86"/>
        <v>2.8502295699234246E-6</v>
      </c>
      <c r="P185" s="8">
        <f t="shared" si="87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58"/>
        <v>62104.261369479893</v>
      </c>
      <c r="X185">
        <v>3.1306557834014398E-2</v>
      </c>
      <c r="Y185">
        <f t="shared" si="59"/>
        <v>5.6517421567611947</v>
      </c>
      <c r="Z185">
        <f t="shared" si="60"/>
        <v>5.6517422024560648</v>
      </c>
      <c r="AA185">
        <f t="shared" si="61"/>
        <v>-4.5694870109969088E-8</v>
      </c>
      <c r="AB185">
        <f t="shared" si="62"/>
        <v>1.1930418629880729E-5</v>
      </c>
      <c r="AC185">
        <v>760.85989092691727</v>
      </c>
      <c r="AD185">
        <f t="shared" si="63"/>
        <v>1942.5136151339686</v>
      </c>
      <c r="AE185">
        <f>+gettm2(AD185,AC185,AK185,AL185,テーブル2[[#This Row],[Fcorr]])</f>
        <v>559.09173068124289</v>
      </c>
      <c r="AF185" s="14">
        <f t="shared" si="64"/>
        <v>0</v>
      </c>
      <c r="AG185">
        <v>1.2045656399718649E-5</v>
      </c>
      <c r="AH185">
        <f t="shared" si="65"/>
        <v>30.469212742578112</v>
      </c>
      <c r="AI185">
        <f t="shared" si="66"/>
        <v>0.23320319667486131</v>
      </c>
      <c r="AJ185">
        <f t="shared" si="67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68"/>
        <v>1.5871354414155836</v>
      </c>
      <c r="AM185">
        <f t="shared" si="69"/>
        <v>626.57723582087169</v>
      </c>
      <c r="AN185">
        <f t="shared" si="70"/>
        <v>1.709634034341434E-8</v>
      </c>
      <c r="AO185">
        <f t="shared" si="71"/>
        <v>1.1523776983792001E-7</v>
      </c>
      <c r="AP185">
        <v>2.4502587750761191</v>
      </c>
      <c r="AQ185">
        <f t="shared" si="72"/>
        <v>3.1520307331782463E-5</v>
      </c>
      <c r="AR185">
        <f t="shared" si="73"/>
        <v>6.0804470847782847E-6</v>
      </c>
      <c r="AS185">
        <f t="shared" si="74"/>
        <v>12.400368764602065</v>
      </c>
      <c r="AT185">
        <f t="shared" si="75"/>
        <v>9.5386310562480254</v>
      </c>
      <c r="AU185">
        <f t="shared" si="76"/>
        <v>2.2244392542191482</v>
      </c>
      <c r="AV185">
        <f t="shared" si="77"/>
        <v>0.22581952085697088</v>
      </c>
      <c r="AW185">
        <f t="shared" si="78"/>
        <v>9.4642863421273444E-3</v>
      </c>
      <c r="AX185">
        <f t="shared" si="79"/>
        <v>0.22581950392406064</v>
      </c>
      <c r="AY185">
        <f t="shared" si="80"/>
        <v>1.693291024063015E-8</v>
      </c>
      <c r="AZ185">
        <f t="shared" si="81"/>
        <v>839091.99888317985</v>
      </c>
      <c r="BA185">
        <f t="shared" si="82"/>
        <v>1.2864072828717147E-5</v>
      </c>
      <c r="BB185" s="15">
        <f t="shared" si="83"/>
        <v>4211319.2866349528</v>
      </c>
      <c r="BC185" s="20">
        <f t="shared" si="84"/>
        <v>2136.4092912022024</v>
      </c>
      <c r="BD185" s="19">
        <f t="shared" si="85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86"/>
        <v>2.8502295699234246E-6</v>
      </c>
      <c r="P186" s="8">
        <f t="shared" si="87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58"/>
        <v>62104.261369479893</v>
      </c>
      <c r="X186">
        <v>3.1306557834014398E-2</v>
      </c>
      <c r="Y186">
        <f t="shared" si="59"/>
        <v>5.6517421567611947</v>
      </c>
      <c r="Z186">
        <f t="shared" si="60"/>
        <v>5.6517422024560648</v>
      </c>
      <c r="AA186">
        <f t="shared" si="61"/>
        <v>-4.5694870109969088E-8</v>
      </c>
      <c r="AB186">
        <f t="shared" si="62"/>
        <v>1.1930418629880729E-5</v>
      </c>
      <c r="AC186">
        <v>759.63413465095618</v>
      </c>
      <c r="AD186">
        <f t="shared" si="63"/>
        <v>1942.5136151339686</v>
      </c>
      <c r="AE186">
        <f>+gettm2(AD186,AC186,AK186,AL186,テーブル2[[#This Row],[Fcorr]])</f>
        <v>559.7058433437586</v>
      </c>
      <c r="AF186" s="14">
        <f t="shared" si="64"/>
        <v>0</v>
      </c>
      <c r="AG186">
        <v>1.204527784765983E-5</v>
      </c>
      <c r="AH186">
        <f t="shared" si="65"/>
        <v>30.469212742578112</v>
      </c>
      <c r="AI186">
        <f t="shared" si="66"/>
        <v>0.23320319667486131</v>
      </c>
      <c r="AJ186">
        <f t="shared" si="67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68"/>
        <v>1.5871354414155836</v>
      </c>
      <c r="AM186">
        <f t="shared" si="69"/>
        <v>626.57723582118433</v>
      </c>
      <c r="AN186">
        <f t="shared" si="70"/>
        <v>1.6783701539679896E-8</v>
      </c>
      <c r="AO186">
        <f t="shared" si="71"/>
        <v>1.1485921777910019E-7</v>
      </c>
      <c r="AP186">
        <v>2.450192305911981</v>
      </c>
      <c r="AQ186">
        <f t="shared" si="72"/>
        <v>3.152201752970867E-5</v>
      </c>
      <c r="AR186">
        <f t="shared" si="73"/>
        <v>6.0800685327194649E-6</v>
      </c>
      <c r="AS186">
        <f t="shared" si="74"/>
        <v>12.399596751449002</v>
      </c>
      <c r="AT186">
        <f t="shared" si="75"/>
        <v>9.5383197601888376</v>
      </c>
      <c r="AU186">
        <f t="shared" si="76"/>
        <v>2.2243666589830333</v>
      </c>
      <c r="AV186">
        <f t="shared" si="77"/>
        <v>0.22582564692894769</v>
      </c>
      <c r="AW186">
        <f t="shared" si="78"/>
        <v>9.4642863421273444E-3</v>
      </c>
      <c r="AX186">
        <f t="shared" si="79"/>
        <v>0.22582562998756825</v>
      </c>
      <c r="AY186">
        <f t="shared" si="80"/>
        <v>1.6941379438195625E-8</v>
      </c>
      <c r="AZ186">
        <f t="shared" si="81"/>
        <v>839091.99888317985</v>
      </c>
      <c r="BA186">
        <f t="shared" si="82"/>
        <v>1.2865119792291537E-5</v>
      </c>
      <c r="BB186" s="15">
        <f t="shared" si="83"/>
        <v>4197143.6581179211</v>
      </c>
      <c r="BC186" s="20">
        <f t="shared" si="84"/>
        <v>22307.662024171092</v>
      </c>
      <c r="BD186" s="19">
        <f t="shared" si="85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86"/>
        <v>2.8502295699234246E-6</v>
      </c>
      <c r="P187" s="8">
        <f t="shared" si="87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58"/>
        <v>65330.456765297022</v>
      </c>
      <c r="X187">
        <v>3.0617085003356879E-2</v>
      </c>
      <c r="Y187">
        <f t="shared" si="59"/>
        <v>5.7150242827932436</v>
      </c>
      <c r="Z187">
        <f t="shared" si="60"/>
        <v>5.7150243315446012</v>
      </c>
      <c r="AA187">
        <f t="shared" si="61"/>
        <v>-4.8751357617504709E-8</v>
      </c>
      <c r="AB187">
        <f t="shared" si="62"/>
        <v>1.1023984021569312E-5</v>
      </c>
      <c r="AC187">
        <v>758.5844649407918</v>
      </c>
      <c r="AD187">
        <f t="shared" si="63"/>
        <v>2020.7967066667375</v>
      </c>
      <c r="AE187">
        <f>+gettm2(AD187,AC187,AK187,AL187,テーブル2[[#This Row],[Fcorr]])</f>
        <v>557.1083749511356</v>
      </c>
      <c r="AF187" s="14">
        <f t="shared" si="64"/>
        <v>0</v>
      </c>
      <c r="AG187">
        <v>1.1137460209164249E-5</v>
      </c>
      <c r="AH187">
        <f t="shared" si="65"/>
        <v>32.974509272747106</v>
      </c>
      <c r="AI187">
        <f t="shared" si="66"/>
        <v>0.24260126063117154</v>
      </c>
      <c r="AJ187">
        <f t="shared" si="67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68"/>
        <v>1.5871354414155836</v>
      </c>
      <c r="AM187">
        <f t="shared" si="69"/>
        <v>626.57723579927404</v>
      </c>
      <c r="AN187">
        <f t="shared" si="70"/>
        <v>3.8693997339578345E-8</v>
      </c>
      <c r="AO187">
        <f t="shared" si="71"/>
        <v>1.1347618759493727E-7</v>
      </c>
      <c r="AP187">
        <v>2.4980901703179881</v>
      </c>
      <c r="AQ187">
        <f t="shared" si="72"/>
        <v>3.0324812813161446E-5</v>
      </c>
      <c r="AR187">
        <f t="shared" si="73"/>
        <v>5.6254681983795934E-6</v>
      </c>
      <c r="AS187">
        <f t="shared" si="74"/>
        <v>11.934832135164251</v>
      </c>
      <c r="AT187">
        <f t="shared" si="75"/>
        <v>9.3473059738528939</v>
      </c>
      <c r="AU187">
        <f t="shared" si="76"/>
        <v>2.2676682127619925</v>
      </c>
      <c r="AV187">
        <f t="shared" si="77"/>
        <v>0.23042195755599559</v>
      </c>
      <c r="AW187">
        <f t="shared" si="78"/>
        <v>8.7452204862162129E-3</v>
      </c>
      <c r="AX187">
        <f t="shared" si="79"/>
        <v>0.23042194898091883</v>
      </c>
      <c r="AY187">
        <f t="shared" si="80"/>
        <v>8.5750767597758681E-9</v>
      </c>
      <c r="AZ187">
        <f t="shared" si="81"/>
        <v>839091.99888317985</v>
      </c>
      <c r="BA187">
        <f t="shared" si="82"/>
        <v>1.2139198646020582E-5</v>
      </c>
      <c r="BB187" s="15">
        <f t="shared" si="83"/>
        <v>4394571.478896793</v>
      </c>
      <c r="BC187" s="20">
        <f t="shared" si="84"/>
        <v>38137.256240542978</v>
      </c>
      <c r="BD187" s="19">
        <f t="shared" si="85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86"/>
        <v>2.8502295699234246E-6</v>
      </c>
      <c r="P188" s="8">
        <f t="shared" si="87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58"/>
        <v>71782.847556931287</v>
      </c>
      <c r="X188">
        <v>2.9393729578222751E-2</v>
      </c>
      <c r="Y188">
        <f t="shared" si="59"/>
        <v>5.832740470796443</v>
      </c>
      <c r="Z188">
        <f t="shared" si="60"/>
        <v>5.8327404814836816</v>
      </c>
      <c r="AA188">
        <f t="shared" si="61"/>
        <v>-1.0687238649609299E-8</v>
      </c>
      <c r="AB188">
        <f t="shared" si="62"/>
        <v>9.511253242064767E-6</v>
      </c>
      <c r="AC188">
        <v>756.56315202428323</v>
      </c>
      <c r="AD188">
        <f t="shared" si="63"/>
        <v>2175.5698943971465</v>
      </c>
      <c r="AE188">
        <f>+gettm2(AD188,AC188,AK188,AL188,テーブル2[[#This Row],[Fcorr]])</f>
        <v>552.19483876594302</v>
      </c>
      <c r="AF188" s="14">
        <f t="shared" si="64"/>
        <v>0</v>
      </c>
      <c r="AG188">
        <v>9.6199826835191831E-6</v>
      </c>
      <c r="AH188">
        <f t="shared" si="65"/>
        <v>38.218986929522636</v>
      </c>
      <c r="AI188">
        <f t="shared" si="66"/>
        <v>0.26118213535816825</v>
      </c>
      <c r="AJ188">
        <f t="shared" si="67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68"/>
        <v>1.5871354414155836</v>
      </c>
      <c r="AM188">
        <f t="shared" si="69"/>
        <v>626.57723583961092</v>
      </c>
      <c r="AN188">
        <f t="shared" si="70"/>
        <v>-1.6428884919150732E-9</v>
      </c>
      <c r="AO188">
        <f t="shared" si="71"/>
        <v>1.0872944145441611E-7</v>
      </c>
      <c r="AP188">
        <v>2.5873920324436628</v>
      </c>
      <c r="AQ188">
        <f t="shared" si="72"/>
        <v>2.8267661157676302E-5</v>
      </c>
      <c r="AR188">
        <f t="shared" si="73"/>
        <v>4.8643560624867996E-6</v>
      </c>
      <c r="AS188">
        <f t="shared" si="74"/>
        <v>11.110495123542808</v>
      </c>
      <c r="AT188">
        <f t="shared" si="75"/>
        <v>8.9894508411696652</v>
      </c>
      <c r="AU188">
        <f t="shared" si="76"/>
        <v>2.347883966393975</v>
      </c>
      <c r="AV188">
        <f t="shared" si="77"/>
        <v>0.23950806604968777</v>
      </c>
      <c r="AW188">
        <f t="shared" si="78"/>
        <v>7.5451857095720307E-3</v>
      </c>
      <c r="AX188">
        <f t="shared" si="79"/>
        <v>0.23950806093247401</v>
      </c>
      <c r="AY188">
        <f t="shared" si="80"/>
        <v>5.1172137638388904E-9</v>
      </c>
      <c r="AZ188">
        <f t="shared" si="81"/>
        <v>839091.99888317985</v>
      </c>
      <c r="BA188">
        <f t="shared" si="82"/>
        <v>1.0925155833837404E-5</v>
      </c>
      <c r="BB188" s="15">
        <f t="shared" si="83"/>
        <v>4678658.3321262561</v>
      </c>
      <c r="BC188" s="20">
        <f t="shared" si="84"/>
        <v>-37821.160061243922</v>
      </c>
      <c r="BD188" s="19">
        <f t="shared" si="85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86"/>
        <v>2.8502295699234246E-6</v>
      </c>
      <c r="P189" s="8">
        <f t="shared" si="87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58"/>
        <v>88720.373384971273</v>
      </c>
      <c r="X189">
        <v>2.68977240407712E-2</v>
      </c>
      <c r="Y189">
        <f t="shared" si="59"/>
        <v>6.0973655573623216</v>
      </c>
      <c r="Z189">
        <f t="shared" si="60"/>
        <v>6.0973655637760196</v>
      </c>
      <c r="AA189">
        <f t="shared" si="61"/>
        <v>-6.4136980171269897E-9</v>
      </c>
      <c r="AB189">
        <f t="shared" si="62"/>
        <v>6.8041134902182196E-6</v>
      </c>
      <c r="AC189">
        <v>750.16719900555916</v>
      </c>
      <c r="AD189">
        <f t="shared" si="63"/>
        <v>2572.2083193029971</v>
      </c>
      <c r="AE189">
        <f>+gettm2(AD189,AC189,AK189,AL189,テーブル2[[#This Row],[Fcorr]])</f>
        <v>541.89637898541935</v>
      </c>
      <c r="AF189" s="14">
        <f t="shared" si="64"/>
        <v>0</v>
      </c>
      <c r="AG189">
        <v>6.9078010527555756E-6</v>
      </c>
      <c r="AH189">
        <f t="shared" si="65"/>
        <v>53.425102897599487</v>
      </c>
      <c r="AI189">
        <f t="shared" si="66"/>
        <v>0.30879948428766191</v>
      </c>
      <c r="AJ189">
        <f t="shared" si="67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68"/>
        <v>1.5871354414155836</v>
      </c>
      <c r="AM189">
        <f t="shared" si="69"/>
        <v>626.57723580032848</v>
      </c>
      <c r="AN189">
        <f t="shared" si="70"/>
        <v>3.7639551919710357E-8</v>
      </c>
      <c r="AO189">
        <f t="shared" si="71"/>
        <v>1.0368756253735595E-7</v>
      </c>
      <c r="AP189">
        <v>2.7912975824504809</v>
      </c>
      <c r="AQ189">
        <f t="shared" si="72"/>
        <v>2.4288576967285169E-5</v>
      </c>
      <c r="AR189">
        <f t="shared" si="73"/>
        <v>3.5057443076464658E-6</v>
      </c>
      <c r="AS189">
        <f t="shared" si="74"/>
        <v>9.4671965075877846</v>
      </c>
      <c r="AT189">
        <f t="shared" si="75"/>
        <v>8.1891641202211218</v>
      </c>
      <c r="AU189">
        <f t="shared" si="76"/>
        <v>2.528809657071307</v>
      </c>
      <c r="AV189">
        <f t="shared" si="77"/>
        <v>0.26248792537917387</v>
      </c>
      <c r="AW189">
        <f t="shared" si="78"/>
        <v>5.397637784014666E-3</v>
      </c>
      <c r="AX189">
        <f t="shared" si="79"/>
        <v>0.26248792507192842</v>
      </c>
      <c r="AY189">
        <f t="shared" si="80"/>
        <v>3.0724545130311753E-10</v>
      </c>
      <c r="AZ189">
        <f t="shared" si="81"/>
        <v>839091.99888317985</v>
      </c>
      <c r="BA189">
        <f t="shared" si="82"/>
        <v>8.7015362030881073E-6</v>
      </c>
      <c r="BB189" s="15">
        <f t="shared" si="83"/>
        <v>5601863.83726029</v>
      </c>
      <c r="BC189" s="20">
        <f t="shared" si="84"/>
        <v>21305.497416540049</v>
      </c>
      <c r="BD189" s="19">
        <f t="shared" si="85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86"/>
        <v>2.8502295699234246E-6</v>
      </c>
      <c r="P190" s="8">
        <f t="shared" si="87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58"/>
        <v>90736.745507356973</v>
      </c>
      <c r="X190">
        <v>2.6652018899410639E-2</v>
      </c>
      <c r="Y190">
        <f t="shared" si="59"/>
        <v>6.1254069043171313</v>
      </c>
      <c r="Z190">
        <f t="shared" si="60"/>
        <v>6.1254069065535965</v>
      </c>
      <c r="AA190">
        <f t="shared" si="61"/>
        <v>-2.2364652352280245E-9</v>
      </c>
      <c r="AB190">
        <f t="shared" si="62"/>
        <v>6.5650387724955883E-6</v>
      </c>
      <c r="AC190">
        <v>749.7000742647823</v>
      </c>
      <c r="AD190">
        <f t="shared" si="63"/>
        <v>2618.6247319272097</v>
      </c>
      <c r="AE190">
        <f>+gettm2(AD190,AC190,AK190,AL190,テーブル2[[#This Row],[Fcorr]])</f>
        <v>540.63261042140516</v>
      </c>
      <c r="AF190" s="14">
        <f t="shared" si="64"/>
        <v>1.4970007669035112E-6</v>
      </c>
      <c r="AG190">
        <v>6.6681128485160114E-6</v>
      </c>
      <c r="AH190">
        <f t="shared" si="65"/>
        <v>55.370649883255879</v>
      </c>
      <c r="AI190">
        <f t="shared" si="66"/>
        <v>0.31437188064968136</v>
      </c>
      <c r="AJ190">
        <f t="shared" si="67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68"/>
        <v>1.5871354414155836</v>
      </c>
      <c r="AM190">
        <f t="shared" si="69"/>
        <v>626.57723599291603</v>
      </c>
      <c r="AN190">
        <f t="shared" si="70"/>
        <v>-1.5494799754378619E-7</v>
      </c>
      <c r="AO190">
        <f t="shared" si="71"/>
        <v>1.0307407602042313E-7</v>
      </c>
      <c r="AP190">
        <v>2.8129098029560899</v>
      </c>
      <c r="AQ190">
        <f t="shared" si="72"/>
        <v>2.3916781538561846E-5</v>
      </c>
      <c r="AR190">
        <f t="shared" si="73"/>
        <v>3.3855934622682173E-6</v>
      </c>
      <c r="AS190">
        <f t="shared" si="74"/>
        <v>9.3077152467681099</v>
      </c>
      <c r="AT190">
        <f t="shared" si="75"/>
        <v>8.1042182633048618</v>
      </c>
      <c r="AU190">
        <f t="shared" si="76"/>
        <v>2.5477383366306441</v>
      </c>
      <c r="AV190">
        <f t="shared" si="77"/>
        <v>0.26517146632544586</v>
      </c>
      <c r="AW190">
        <f t="shared" si="78"/>
        <v>5.2079821100701491E-3</v>
      </c>
      <c r="AX190">
        <f t="shared" si="79"/>
        <v>0.26517146592365504</v>
      </c>
      <c r="AY190">
        <f t="shared" si="80"/>
        <v>4.0179082283486878E-10</v>
      </c>
      <c r="AZ190">
        <f t="shared" si="81"/>
        <v>839091.99888317985</v>
      </c>
      <c r="BA190">
        <f t="shared" si="82"/>
        <v>8.5025056663486603E-6</v>
      </c>
      <c r="BB190" s="15">
        <f t="shared" si="83"/>
        <v>5699074.5076451264</v>
      </c>
      <c r="BC190" s="20">
        <f t="shared" si="84"/>
        <v>8115.7771763764322</v>
      </c>
      <c r="BD190" s="19">
        <f t="shared" si="85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86"/>
        <v>2.8502295699234246E-6</v>
      </c>
      <c r="P191" s="8">
        <f t="shared" si="87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58"/>
        <v>107270.99691091981</v>
      </c>
      <c r="X191">
        <v>2.4925881209394141E-2</v>
      </c>
      <c r="Y191">
        <f t="shared" si="59"/>
        <v>6.3339515865322156</v>
      </c>
      <c r="Z191">
        <f t="shared" si="60"/>
        <v>6.3339516227231965</v>
      </c>
      <c r="AA191">
        <f t="shared" si="61"/>
        <v>-3.6190980878814116E-8</v>
      </c>
      <c r="AB191">
        <f t="shared" si="62"/>
        <v>5.0224850177624719E-6</v>
      </c>
      <c r="AC191">
        <v>743.45448910430184</v>
      </c>
      <c r="AD191">
        <f t="shared" si="63"/>
        <v>2993.8675842437615</v>
      </c>
      <c r="AE191">
        <f>+gettm2(AD191,AC191,AK191,AL191,テーブル2[[#This Row],[Fcorr]])</f>
        <v>533.09467289866939</v>
      </c>
      <c r="AF191" s="14">
        <f t="shared" si="64"/>
        <v>1.4345448562380625E-6</v>
      </c>
      <c r="AG191">
        <v>5.1214787246236224E-6</v>
      </c>
      <c r="AH191">
        <f t="shared" si="65"/>
        <v>72.376614774611681</v>
      </c>
      <c r="AI191">
        <f t="shared" si="66"/>
        <v>0.35942064221708875</v>
      </c>
      <c r="AJ191">
        <f t="shared" si="67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68"/>
        <v>1.5871354414155836</v>
      </c>
      <c r="AM191">
        <f t="shared" si="69"/>
        <v>626.57723575488569</v>
      </c>
      <c r="AN191">
        <f t="shared" si="70"/>
        <v>8.3082341006956995E-8</v>
      </c>
      <c r="AO191">
        <f t="shared" si="71"/>
        <v>9.899370686115051E-8</v>
      </c>
      <c r="AP191">
        <v>2.9729312272618471</v>
      </c>
      <c r="AQ191">
        <f t="shared" si="72"/>
        <v>2.1411378270539368E-5</v>
      </c>
      <c r="AR191">
        <f t="shared" si="73"/>
        <v>2.6102362157423865E-6</v>
      </c>
      <c r="AS191">
        <f t="shared" si="74"/>
        <v>8.2044111218165217</v>
      </c>
      <c r="AT191">
        <f t="shared" si="75"/>
        <v>7.4733597565819494</v>
      </c>
      <c r="AU191">
        <f t="shared" si="76"/>
        <v>2.6860797632300302</v>
      </c>
      <c r="AV191">
        <f t="shared" si="77"/>
        <v>0.28685146403181694</v>
      </c>
      <c r="AW191">
        <f t="shared" si="78"/>
        <v>3.9842890540399906E-3</v>
      </c>
      <c r="AX191">
        <f t="shared" si="79"/>
        <v>0.28685145425906278</v>
      </c>
      <c r="AY191">
        <f t="shared" si="80"/>
        <v>9.772754161474495E-9</v>
      </c>
      <c r="AZ191">
        <f t="shared" si="81"/>
        <v>839091.99888317985</v>
      </c>
      <c r="BA191">
        <f t="shared" si="82"/>
        <v>7.2021101847888517E-6</v>
      </c>
      <c r="BB191" s="15">
        <f t="shared" si="83"/>
        <v>6461742.390108306</v>
      </c>
      <c r="BC191" s="20">
        <f t="shared" si="84"/>
        <v>3301.4721395559609</v>
      </c>
      <c r="BD191" s="19">
        <f t="shared" si="85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86"/>
        <v>2.8502295699234246E-6</v>
      </c>
      <c r="P192" s="8">
        <f t="shared" si="87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58"/>
        <v>108480.82018435124</v>
      </c>
      <c r="X192">
        <v>2.481647567960062E-2</v>
      </c>
      <c r="Y192">
        <f t="shared" si="59"/>
        <v>6.3478981126908902</v>
      </c>
      <c r="Z192">
        <f t="shared" si="60"/>
        <v>6.3478981428997647</v>
      </c>
      <c r="AA192">
        <f t="shared" si="61"/>
        <v>-3.0208874512993589E-8</v>
      </c>
      <c r="AB192">
        <f t="shared" si="62"/>
        <v>4.9327349369830435E-6</v>
      </c>
      <c r="AC192">
        <v>744.36519528989686</v>
      </c>
      <c r="AD192">
        <f t="shared" si="63"/>
        <v>3020.981205876536</v>
      </c>
      <c r="AE192">
        <f>+gettm2(AD192,AC192,AK192,AL192,テーブル2[[#This Row],[Fcorr]])</f>
        <v>531.53206594622395</v>
      </c>
      <c r="AF192" s="14">
        <f t="shared" si="64"/>
        <v>0</v>
      </c>
      <c r="AG192">
        <v>5.0325441469783717E-6</v>
      </c>
      <c r="AH192">
        <f t="shared" si="65"/>
        <v>73.693492147012307</v>
      </c>
      <c r="AI192">
        <f t="shared" si="66"/>
        <v>0.36267569442827213</v>
      </c>
      <c r="AJ192">
        <f t="shared" si="67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68"/>
        <v>1.5871354414155836</v>
      </c>
      <c r="AM192">
        <f t="shared" si="69"/>
        <v>626.57723576589979</v>
      </c>
      <c r="AN192">
        <f t="shared" si="70"/>
        <v>7.2068246481649112E-8</v>
      </c>
      <c r="AO192">
        <f t="shared" si="71"/>
        <v>9.9809209995328228E-8</v>
      </c>
      <c r="AP192">
        <v>2.984237150321718</v>
      </c>
      <c r="AQ192">
        <f t="shared" si="72"/>
        <v>2.1249449559018832E-5</v>
      </c>
      <c r="AR192">
        <f t="shared" si="73"/>
        <v>2.56617667848685E-6</v>
      </c>
      <c r="AS192">
        <f t="shared" si="74"/>
        <v>8.1389727209107061</v>
      </c>
      <c r="AT192">
        <f t="shared" si="75"/>
        <v>7.4333198534403291</v>
      </c>
      <c r="AU192">
        <f t="shared" si="76"/>
        <v>2.6958844397539332</v>
      </c>
      <c r="AV192">
        <f t="shared" si="77"/>
        <v>0.28835271056778478</v>
      </c>
      <c r="AW192">
        <f t="shared" si="78"/>
        <v>3.9130911782506101E-3</v>
      </c>
      <c r="AX192">
        <f t="shared" si="79"/>
        <v>0.28835269958340237</v>
      </c>
      <c r="AY192">
        <f t="shared" si="80"/>
        <v>1.0984382403655957E-8</v>
      </c>
      <c r="AZ192">
        <f t="shared" si="81"/>
        <v>839091.99888317985</v>
      </c>
      <c r="BA192">
        <f t="shared" si="82"/>
        <v>7.1205633093630034E-6</v>
      </c>
      <c r="BB192" s="15">
        <f t="shared" si="83"/>
        <v>6589585.2436905373</v>
      </c>
      <c r="BC192" s="20">
        <f t="shared" si="84"/>
        <v>9122.8413467872888</v>
      </c>
      <c r="BD192" s="19">
        <f t="shared" si="85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86"/>
        <v>2.8502295699234246E-6</v>
      </c>
      <c r="P193" s="8">
        <f t="shared" si="87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58"/>
        <v>108884.09460882838</v>
      </c>
      <c r="X193">
        <v>2.4780443082083239E-2</v>
      </c>
      <c r="Y193">
        <f t="shared" si="59"/>
        <v>6.352511592953789</v>
      </c>
      <c r="Z193">
        <f t="shared" si="60"/>
        <v>6.35251162124099</v>
      </c>
      <c r="AA193">
        <f t="shared" si="61"/>
        <v>-2.8287201025989361E-8</v>
      </c>
      <c r="AB193">
        <f t="shared" si="62"/>
        <v>4.9033833539040133E-6</v>
      </c>
      <c r="AC193">
        <v>743.37492086809175</v>
      </c>
      <c r="AD193">
        <f t="shared" si="63"/>
        <v>3030.0094905242086</v>
      </c>
      <c r="AE193">
        <f>+gettm2(AD193,AC193,AK193,AL193,テーブル2[[#This Row],[Fcorr]])</f>
        <v>532.04418410014091</v>
      </c>
      <c r="AF193" s="14">
        <f t="shared" si="64"/>
        <v>0</v>
      </c>
      <c r="AG193">
        <v>5.0026834255610364E-6</v>
      </c>
      <c r="AH193">
        <f t="shared" si="65"/>
        <v>74.134620343814376</v>
      </c>
      <c r="AI193">
        <f t="shared" si="66"/>
        <v>0.36375956062304399</v>
      </c>
      <c r="AJ193">
        <f t="shared" si="67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68"/>
        <v>1.5871354414155836</v>
      </c>
      <c r="AM193">
        <f t="shared" si="69"/>
        <v>626.57723567066819</v>
      </c>
      <c r="AN193">
        <f t="shared" si="70"/>
        <v>1.6729984508856433E-7</v>
      </c>
      <c r="AO193">
        <f t="shared" si="71"/>
        <v>9.9300071657023117E-8</v>
      </c>
      <c r="AP193">
        <v>2.9874751695952142</v>
      </c>
      <c r="AQ193">
        <f t="shared" si="72"/>
        <v>2.1203411459922706E-5</v>
      </c>
      <c r="AR193">
        <f t="shared" si="73"/>
        <v>2.5509917486090298E-6</v>
      </c>
      <c r="AS193">
        <f t="shared" si="74"/>
        <v>8.1149912950491405</v>
      </c>
      <c r="AT193">
        <f t="shared" si="75"/>
        <v>7.418565641335837</v>
      </c>
      <c r="AU193">
        <f t="shared" si="76"/>
        <v>2.6985741781455346</v>
      </c>
      <c r="AV193">
        <f t="shared" si="77"/>
        <v>0.28890099144967962</v>
      </c>
      <c r="AW193">
        <f t="shared" si="78"/>
        <v>3.8898068497226121E-3</v>
      </c>
      <c r="AX193">
        <f t="shared" si="79"/>
        <v>0.28890098011220278</v>
      </c>
      <c r="AY193">
        <f t="shared" si="80"/>
        <v>1.1337476846229322E-8</v>
      </c>
      <c r="AZ193">
        <f t="shared" si="81"/>
        <v>839091.99888317985</v>
      </c>
      <c r="BA193">
        <f t="shared" si="82"/>
        <v>7.0974352107487632E-6</v>
      </c>
      <c r="BB193" s="15">
        <f t="shared" si="83"/>
        <v>6577334.6594030866</v>
      </c>
      <c r="BC193" s="20">
        <f t="shared" si="84"/>
        <v>21264.44455933664</v>
      </c>
      <c r="BD193" s="19">
        <f t="shared" si="85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86"/>
        <v>7.0553949389535604E-6</v>
      </c>
      <c r="P194" s="8">
        <f t="shared" si="87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57" si="88">+N194*Q194/I194</f>
        <v>133916.67451589441</v>
      </c>
      <c r="X194">
        <v>2.358706090902573E-2</v>
      </c>
      <c r="Y194">
        <f t="shared" ref="Y194:Y257" si="89">IF(X194&gt;0,1/X194^0.5,1)</f>
        <v>6.511230738825815</v>
      </c>
      <c r="Z194">
        <f t="shared" ref="Z194:Z257" si="90">IF(X194&gt;0,1.14-2*LOG((0.72*L194*E194)/(X194*Q194*N194^2)+9.35/(W194*X194^0.5)),0)</f>
        <v>6.5112307565456247</v>
      </c>
      <c r="AA194">
        <f t="shared" ref="AA194:AA257" si="91">+Y194-Z194</f>
        <v>-1.7719809619620719E-8</v>
      </c>
      <c r="AB194">
        <f t="shared" ref="AB194:AB257" si="92">32/X194*L194*V194*E194/N194^2</f>
        <v>6.425375621253804E-6</v>
      </c>
      <c r="AC194">
        <v>648.62974004930015</v>
      </c>
      <c r="AD194">
        <f t="shared" ref="AD194:AD257" si="93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57" si="94">+AE194-U194</f>
        <v>4.8629738103045383E-7</v>
      </c>
      <c r="AG194">
        <v>6.4566217237366081E-6</v>
      </c>
      <c r="AH194">
        <f t="shared" ref="AH194:AH257" si="95">+X194*N194^2/(8*E194)</f>
        <v>41.258804146735869</v>
      </c>
      <c r="AI194">
        <f t="shared" ref="AI194:AI257" si="96">+(AH194/E194)^0.5</f>
        <v>0.27735755430529702</v>
      </c>
      <c r="AJ194">
        <f t="shared" ref="AJ194:AJ257" si="97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57" si="98">+K194*I194/J194</f>
        <v>1.9545987150045083</v>
      </c>
      <c r="AM194">
        <f t="shared" ref="AM194:AM257" si="99">+gettyp(AC194,AJ194,AK194,AL194)</f>
        <v>631.29983470218883</v>
      </c>
      <c r="AN194">
        <f t="shared" ref="AN194:AN257" si="100">+C194-AM194</f>
        <v>-1.6005856195988599E-8</v>
      </c>
      <c r="AO194">
        <f t="shared" ref="AO194:AO257" si="101">+AG194-AB194</f>
        <v>3.1246102482804082E-8</v>
      </c>
      <c r="AP194">
        <v>2.265618810104193</v>
      </c>
      <c r="AQ194">
        <f t="shared" ref="AQ194:AQ257" si="102">2*PI()*L194*(D194+E194)/(D194*E194*AP194^2)</f>
        <v>2.4563706858024477E-5</v>
      </c>
      <c r="AR194">
        <f t="shared" ref="AR194:AR257" si="103">+AO194+AB194/2</f>
        <v>3.2439339131097061E-6</v>
      </c>
      <c r="AS194">
        <f t="shared" ref="AS194:AS257" si="104">+AR194*AI194/I194*E194</f>
        <v>7.8701471220361698</v>
      </c>
      <c r="AT194">
        <f t="shared" ref="AT194:AT257" si="105">+getublp(AS194)</f>
        <v>7.2653837814356539</v>
      </c>
      <c r="AU194">
        <f t="shared" ref="AU194:AU257" si="106">+AT194*AI194</f>
        <v>2.0151090767083635</v>
      </c>
      <c r="AV194">
        <f t="shared" ref="AV194:AV257" si="107">+AP194-AU194</f>
        <v>0.25050973339582949</v>
      </c>
      <c r="AW194">
        <f t="shared" ref="AW194:AW257" si="108">2/3*AB194/(L194/(9.8*(E194-D194)))^0.5</f>
        <v>5.6903963802360158E-3</v>
      </c>
      <c r="AX194">
        <f t="shared" ref="AX194:AX257" si="109">+(2*AQ194*9.8*(E194-D194)/(E194*AW194))^0.5</f>
        <v>0.25050972202862032</v>
      </c>
      <c r="AY194">
        <f t="shared" ref="AY194:AY257" si="110">+AV194-AX194</f>
        <v>1.1367209173940296E-8</v>
      </c>
      <c r="AZ194">
        <f t="shared" ref="AZ194:AZ257" si="111">+F194-G194</f>
        <v>750991.36315881251</v>
      </c>
      <c r="BA194">
        <f t="shared" ref="BA194:BA257" si="112">+AQ194/AP194</f>
        <v>1.0841941613688678E-5</v>
      </c>
      <c r="BB194" s="15">
        <f t="shared" ref="BB194:BB257" si="113">+E194*AO194*AZ194/BA194</f>
        <v>1160807.9371140187</v>
      </c>
      <c r="BC194" s="20">
        <f t="shared" ref="BC194:BC257" si="114">BB194-S194</f>
        <v>9639.0894577687141</v>
      </c>
      <c r="BD194" s="19">
        <f t="shared" ref="BD194:BD257" si="115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86"/>
        <v>7.0553949389535604E-6</v>
      </c>
      <c r="P195" s="8">
        <f t="shared" si="87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88"/>
        <v>134579.62835013153</v>
      </c>
      <c r="X195">
        <v>2.3542434183711519E-2</v>
      </c>
      <c r="Y195">
        <f t="shared" si="89"/>
        <v>6.5173991182561126</v>
      </c>
      <c r="Z195">
        <f t="shared" si="90"/>
        <v>6.5173991374830242</v>
      </c>
      <c r="AA195">
        <f t="shared" si="91"/>
        <v>-1.9226911618375198E-8</v>
      </c>
      <c r="AB195">
        <f t="shared" si="92"/>
        <v>6.3742875031969743E-6</v>
      </c>
      <c r="AC195">
        <v>648.58215201655344</v>
      </c>
      <c r="AD195">
        <f t="shared" si="93"/>
        <v>3650.3122675647296</v>
      </c>
      <c r="AE195">
        <f>+gettm2(AD195,AC195,AK195,AL195,テーブル2[[#This Row],[Fcorr]])</f>
        <v>618.62824158440321</v>
      </c>
      <c r="AF195" s="14">
        <f t="shared" si="94"/>
        <v>4.8582137424091343E-7</v>
      </c>
      <c r="AG195">
        <v>6.4053696486596969E-6</v>
      </c>
      <c r="AH195">
        <f t="shared" si="95"/>
        <v>41.589481835195159</v>
      </c>
      <c r="AI195">
        <f t="shared" si="96"/>
        <v>0.2784668074720531</v>
      </c>
      <c r="AJ195">
        <f t="shared" si="97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98"/>
        <v>1.9545987150045083</v>
      </c>
      <c r="AM195">
        <f t="shared" si="99"/>
        <v>631.29983468052592</v>
      </c>
      <c r="AN195">
        <f t="shared" si="100"/>
        <v>5.6570570450276136E-9</v>
      </c>
      <c r="AO195">
        <f t="shared" si="101"/>
        <v>3.1082145462722595E-8</v>
      </c>
      <c r="AP195">
        <v>2.2688057548090712</v>
      </c>
      <c r="AQ195">
        <f t="shared" si="102"/>
        <v>2.4494747059279634E-5</v>
      </c>
      <c r="AR195">
        <f t="shared" si="103"/>
        <v>3.2182258970612098E-6</v>
      </c>
      <c r="AS195">
        <f t="shared" si="104"/>
        <v>7.8390027170939804</v>
      </c>
      <c r="AT195">
        <f t="shared" si="105"/>
        <v>7.2455581090942278</v>
      </c>
      <c r="AU195">
        <f t="shared" si="106"/>
        <v>2.0176474349927154</v>
      </c>
      <c r="AV195">
        <f t="shared" si="107"/>
        <v>0.25115831981635584</v>
      </c>
      <c r="AW195">
        <f t="shared" si="108"/>
        <v>5.6451520771477973E-3</v>
      </c>
      <c r="AX195">
        <f t="shared" si="109"/>
        <v>0.25115830783988741</v>
      </c>
      <c r="AY195">
        <f t="shared" si="110"/>
        <v>1.1976468428098741E-8</v>
      </c>
      <c r="AZ195">
        <f t="shared" si="111"/>
        <v>750991.36315881251</v>
      </c>
      <c r="BA195">
        <f t="shared" si="112"/>
        <v>1.0796317405030984E-5</v>
      </c>
      <c r="BB195" s="15">
        <f t="shared" si="113"/>
        <v>1159596.577303299</v>
      </c>
      <c r="BC195" s="20">
        <f t="shared" si="114"/>
        <v>5484.9562095489819</v>
      </c>
      <c r="BD195" s="19">
        <f t="shared" si="115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86"/>
        <v>2.8502295699234246E-6</v>
      </c>
      <c r="P196" s="8">
        <f t="shared" si="87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88"/>
        <v>59073.218113266514</v>
      </c>
      <c r="X196">
        <v>2.890389008300534E-2</v>
      </c>
      <c r="Y196">
        <f t="shared" si="89"/>
        <v>5.881957084232539</v>
      </c>
      <c r="Z196">
        <f t="shared" si="90"/>
        <v>5.8819570995297781</v>
      </c>
      <c r="AA196">
        <f t="shared" si="91"/>
        <v>-1.5297239031042409E-8</v>
      </c>
      <c r="AB196">
        <f t="shared" si="92"/>
        <v>8.4460309260993839E-6</v>
      </c>
      <c r="AC196">
        <v>718.69196718017213</v>
      </c>
      <c r="AD196">
        <f t="shared" si="93"/>
        <v>1775.3900834458789</v>
      </c>
      <c r="AE196">
        <f>+gettm2(AD196,AC196,AK196,AL196,テーブル2[[#This Row],[Fcorr]])</f>
        <v>586.37594725565225</v>
      </c>
      <c r="AF196" s="14">
        <f t="shared" si="94"/>
        <v>0</v>
      </c>
      <c r="AG196">
        <v>8.557930864843843E-6</v>
      </c>
      <c r="AH196">
        <f t="shared" si="95"/>
        <v>23.620390460545245</v>
      </c>
      <c r="AI196">
        <f t="shared" si="96"/>
        <v>0.21305006072789628</v>
      </c>
      <c r="AJ196">
        <f t="shared" si="97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98"/>
        <v>2.1883527698787133</v>
      </c>
      <c r="AM196">
        <f t="shared" si="99"/>
        <v>634.44823394892057</v>
      </c>
      <c r="AN196">
        <f t="shared" si="100"/>
        <v>-3.0594605959777255E-8</v>
      </c>
      <c r="AO196">
        <f t="shared" si="101"/>
        <v>1.1189993874445909E-7</v>
      </c>
      <c r="AP196">
        <v>1.7928478619781869</v>
      </c>
      <c r="AQ196">
        <f t="shared" si="102"/>
        <v>2.8033538538420466E-5</v>
      </c>
      <c r="AR196">
        <f t="shared" si="103"/>
        <v>4.334915401794151E-6</v>
      </c>
      <c r="AS196">
        <f t="shared" si="104"/>
        <v>8.0799641122542187</v>
      </c>
      <c r="AT196">
        <f t="shared" si="105"/>
        <v>7.3969371548522229</v>
      </c>
      <c r="AU196">
        <f t="shared" si="106"/>
        <v>1.5759179100416985</v>
      </c>
      <c r="AV196">
        <f t="shared" si="107"/>
        <v>0.21692995193648845</v>
      </c>
      <c r="AW196">
        <f t="shared" si="108"/>
        <v>8.3295048522171993E-3</v>
      </c>
      <c r="AX196">
        <f t="shared" si="109"/>
        <v>0.21692994960171219</v>
      </c>
      <c r="AY196">
        <f t="shared" si="110"/>
        <v>2.3347762612146994E-9</v>
      </c>
      <c r="AZ196">
        <f t="shared" si="111"/>
        <v>692257.60600924003</v>
      </c>
      <c r="BA196">
        <f t="shared" si="112"/>
        <v>1.5636317577716221E-5</v>
      </c>
      <c r="BB196" s="15">
        <f t="shared" si="113"/>
        <v>2578023.372101312</v>
      </c>
      <c r="BC196" s="20">
        <f t="shared" si="114"/>
        <v>-6194.0536799379624</v>
      </c>
      <c r="BD196" s="19">
        <f t="shared" si="115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86"/>
        <v>2.8502295699234246E-6</v>
      </c>
      <c r="P197" s="8">
        <f t="shared" si="87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88"/>
        <v>59507.580011158185</v>
      </c>
      <c r="X197">
        <v>2.8815898793205751E-2</v>
      </c>
      <c r="Y197">
        <f t="shared" si="89"/>
        <v>5.8909307153231438</v>
      </c>
      <c r="Z197">
        <f t="shared" si="90"/>
        <v>5.8909307249756404</v>
      </c>
      <c r="AA197">
        <f t="shared" si="91"/>
        <v>-9.6524965798039375E-9</v>
      </c>
      <c r="AB197">
        <f t="shared" si="92"/>
        <v>8.3485965985073606E-6</v>
      </c>
      <c r="AC197">
        <v>721.07172439070189</v>
      </c>
      <c r="AD197">
        <f t="shared" si="93"/>
        <v>1785.7200920917137</v>
      </c>
      <c r="AE197">
        <f>+gettm2(AD197,AC197,AK197,AL197,テーブル2[[#This Row],[Fcorr]])</f>
        <v>584.72507505976887</v>
      </c>
      <c r="AF197" s="14">
        <f t="shared" si="94"/>
        <v>0</v>
      </c>
      <c r="AG197">
        <v>8.4620804080939452E-6</v>
      </c>
      <c r="AH197">
        <f t="shared" si="95"/>
        <v>23.896057973621129</v>
      </c>
      <c r="AI197">
        <f t="shared" si="96"/>
        <v>0.21428968067949769</v>
      </c>
      <c r="AJ197">
        <f t="shared" si="97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98"/>
        <v>2.1883527698787133</v>
      </c>
      <c r="AM197">
        <f t="shared" si="99"/>
        <v>634.44823392881597</v>
      </c>
      <c r="AN197">
        <f t="shared" si="100"/>
        <v>-1.0489998203411233E-8</v>
      </c>
      <c r="AO197">
        <f t="shared" si="101"/>
        <v>1.1348380958658459E-7</v>
      </c>
      <c r="AP197">
        <v>1.7972477854974711</v>
      </c>
      <c r="AQ197">
        <f t="shared" si="102"/>
        <v>2.7896446210047063E-5</v>
      </c>
      <c r="AR197">
        <f t="shared" si="103"/>
        <v>4.2877821088402649E-6</v>
      </c>
      <c r="AS197">
        <f t="shared" si="104"/>
        <v>8.0386127687847129</v>
      </c>
      <c r="AT197">
        <f t="shared" si="105"/>
        <v>7.3712826355399965</v>
      </c>
      <c r="AU197">
        <f t="shared" si="106"/>
        <v>1.579589802168192</v>
      </c>
      <c r="AV197">
        <f t="shared" si="107"/>
        <v>0.2176579833292791</v>
      </c>
      <c r="AW197">
        <f t="shared" si="108"/>
        <v>8.2334147820349573E-3</v>
      </c>
      <c r="AX197">
        <f t="shared" si="109"/>
        <v>0.21765797842260901</v>
      </c>
      <c r="AY197">
        <f t="shared" si="110"/>
        <v>4.9066700980038291E-9</v>
      </c>
      <c r="AZ197">
        <f t="shared" si="111"/>
        <v>692257.60600924003</v>
      </c>
      <c r="BA197">
        <f t="shared" si="112"/>
        <v>1.5521758566154213E-5</v>
      </c>
      <c r="BB197" s="15">
        <f t="shared" si="113"/>
        <v>2633810.1469452311</v>
      </c>
      <c r="BC197" s="20">
        <f t="shared" si="114"/>
        <v>-20877.841336018872</v>
      </c>
      <c r="BD197" s="19">
        <f t="shared" si="115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86"/>
        <v>2.8502295699234246E-6</v>
      </c>
      <c r="P198" s="8">
        <f t="shared" si="87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88"/>
        <v>59941.941909049849</v>
      </c>
      <c r="X198">
        <v>2.872895543349727E-2</v>
      </c>
      <c r="Y198">
        <f t="shared" si="89"/>
        <v>5.8998379376894636</v>
      </c>
      <c r="Z198">
        <f t="shared" si="90"/>
        <v>5.8998379765319902</v>
      </c>
      <c r="AA198">
        <f t="shared" si="91"/>
        <v>-3.8842526528526378E-8</v>
      </c>
      <c r="AB198">
        <f t="shared" si="92"/>
        <v>8.252941613511316E-6</v>
      </c>
      <c r="AC198">
        <v>742.63182352334468</v>
      </c>
      <c r="AD198">
        <f t="shared" si="93"/>
        <v>1796.0388933148606</v>
      </c>
      <c r="AE198">
        <f>+gettm2(AD198,AC198,AK198,AL198,テーブル2[[#This Row],[Fcorr]])</f>
        <v>572.110777943789</v>
      </c>
      <c r="AF198" s="14">
        <f t="shared" si="94"/>
        <v>0</v>
      </c>
      <c r="AG198">
        <v>8.3881602138876922E-6</v>
      </c>
      <c r="AH198">
        <f t="shared" si="95"/>
        <v>24.173023106052103</v>
      </c>
      <c r="AI198">
        <f t="shared" si="96"/>
        <v>0.21552795571985592</v>
      </c>
      <c r="AJ198">
        <f t="shared" si="97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98"/>
        <v>2.1883527698787133</v>
      </c>
      <c r="AM198">
        <f t="shared" si="99"/>
        <v>634.44823391253783</v>
      </c>
      <c r="AN198">
        <f t="shared" si="100"/>
        <v>5.7881379689206369E-9</v>
      </c>
      <c r="AO198">
        <f t="shared" si="101"/>
        <v>1.3521860037637625E-7</v>
      </c>
      <c r="AP198">
        <v>1.80618173777312</v>
      </c>
      <c r="AQ198">
        <f t="shared" si="102"/>
        <v>2.7621159244891151E-5</v>
      </c>
      <c r="AR198">
        <f t="shared" si="103"/>
        <v>4.2616894071320342E-6</v>
      </c>
      <c r="AS198">
        <f t="shared" si="104"/>
        <v>8.0358634398289581</v>
      </c>
      <c r="AT198">
        <f t="shared" si="105"/>
        <v>7.3695722662894632</v>
      </c>
      <c r="AU198">
        <f t="shared" si="106"/>
        <v>1.5883488450831136</v>
      </c>
      <c r="AV198">
        <f t="shared" si="107"/>
        <v>0.21783289269000639</v>
      </c>
      <c r="AW198">
        <f t="shared" si="108"/>
        <v>8.1390795056625696E-3</v>
      </c>
      <c r="AX198">
        <f t="shared" si="109"/>
        <v>0.2178328900844822</v>
      </c>
      <c r="AY198">
        <f t="shared" si="110"/>
        <v>2.6055241852951383E-9</v>
      </c>
      <c r="AZ198">
        <f t="shared" si="111"/>
        <v>692257.60600924003</v>
      </c>
      <c r="BA198">
        <f t="shared" si="112"/>
        <v>1.5292569217838438E-5</v>
      </c>
      <c r="BB198" s="15">
        <f t="shared" si="113"/>
        <v>3185278.9049469265</v>
      </c>
      <c r="BC198" s="20">
        <f t="shared" si="114"/>
        <v>27718.611978176516</v>
      </c>
      <c r="BD198" s="19">
        <f t="shared" si="115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86"/>
        <v>2.8502295699234246E-6</v>
      </c>
      <c r="P199" s="8">
        <f t="shared" si="87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88"/>
        <v>60376.303806941512</v>
      </c>
      <c r="X199">
        <v>2.8643038996504239E-2</v>
      </c>
      <c r="Y199">
        <f t="shared" si="89"/>
        <v>5.9086797632693653</v>
      </c>
      <c r="Z199">
        <f t="shared" si="90"/>
        <v>5.9086797749799116</v>
      </c>
      <c r="AA199">
        <f t="shared" si="91"/>
        <v>-1.171054631043944E-8</v>
      </c>
      <c r="AB199">
        <f t="shared" si="92"/>
        <v>8.1590216640322346E-6</v>
      </c>
      <c r="AC199">
        <v>743.62628600811388</v>
      </c>
      <c r="AD199">
        <f t="shared" si="93"/>
        <v>1806.3465763646784</v>
      </c>
      <c r="AE199">
        <f>+gettm2(AD199,AC199,AK199,AL199,テーブル2[[#This Row],[Fcorr]])</f>
        <v>571.16045253786228</v>
      </c>
      <c r="AF199" s="14">
        <f t="shared" si="94"/>
        <v>1.4362627780428738E-6</v>
      </c>
      <c r="AG199">
        <v>8.2938048507331152E-6</v>
      </c>
      <c r="AH199">
        <f t="shared" si="95"/>
        <v>24.45128307426441</v>
      </c>
      <c r="AI199">
        <f t="shared" si="96"/>
        <v>0.21676489655905742</v>
      </c>
      <c r="AJ199">
        <f t="shared" si="97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98"/>
        <v>2.1883527698787133</v>
      </c>
      <c r="AM199">
        <f t="shared" si="99"/>
        <v>634.44823389710189</v>
      </c>
      <c r="AN199">
        <f t="shared" si="100"/>
        <v>2.1224082047410775E-8</v>
      </c>
      <c r="AO199">
        <f t="shared" si="101"/>
        <v>1.3478318670088055E-7</v>
      </c>
      <c r="AP199">
        <v>1.810148878374978</v>
      </c>
      <c r="AQ199">
        <f t="shared" si="102"/>
        <v>2.7500222289303824E-5</v>
      </c>
      <c r="AR199">
        <f t="shared" si="103"/>
        <v>4.2142940187169979E-6</v>
      </c>
      <c r="AS199">
        <f t="shared" si="104"/>
        <v>7.9921003385864466</v>
      </c>
      <c r="AT199">
        <f t="shared" si="105"/>
        <v>7.3422679807281224</v>
      </c>
      <c r="AU199">
        <f t="shared" si="106"/>
        <v>1.591545959351411</v>
      </c>
      <c r="AV199">
        <f t="shared" si="107"/>
        <v>0.21860291902356699</v>
      </c>
      <c r="AW199">
        <f t="shared" si="108"/>
        <v>8.0464553273057789E-3</v>
      </c>
      <c r="AX199">
        <f t="shared" si="109"/>
        <v>0.21860291456913764</v>
      </c>
      <c r="AY199">
        <f t="shared" si="110"/>
        <v>4.4544293531512125E-9</v>
      </c>
      <c r="AZ199">
        <f t="shared" si="111"/>
        <v>692257.60600924003</v>
      </c>
      <c r="BA199">
        <f t="shared" si="112"/>
        <v>1.5192243366187401E-5</v>
      </c>
      <c r="BB199" s="15">
        <f t="shared" si="113"/>
        <v>3195989.144047997</v>
      </c>
      <c r="BC199" s="20">
        <f t="shared" si="114"/>
        <v>-3937.6137645030394</v>
      </c>
      <c r="BD199" s="19">
        <f t="shared" si="115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86"/>
        <v>2.8502295699234246E-6</v>
      </c>
      <c r="P200" s="8">
        <f t="shared" si="87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88"/>
        <v>65154.284683749836</v>
      </c>
      <c r="X200">
        <v>2.7760466389436762E-2</v>
      </c>
      <c r="Y200">
        <f t="shared" si="89"/>
        <v>6.0018705042739482</v>
      </c>
      <c r="Z200">
        <f t="shared" si="90"/>
        <v>6.0018705113914557</v>
      </c>
      <c r="AA200">
        <f t="shared" si="91"/>
        <v>-7.1175074722873433E-9</v>
      </c>
      <c r="AB200">
        <f t="shared" si="92"/>
        <v>7.2289880152804128E-6</v>
      </c>
      <c r="AC200">
        <v>794.18426519942875</v>
      </c>
      <c r="AD200">
        <f t="shared" si="93"/>
        <v>1919.0282633735189</v>
      </c>
      <c r="AE200">
        <f>+gettm2(AD200,AC200,AK200,AL200,テーブル2[[#This Row],[Fcorr]])</f>
        <v>536.38710837813585</v>
      </c>
      <c r="AF200" s="14">
        <f t="shared" si="94"/>
        <v>0</v>
      </c>
      <c r="AG200">
        <v>7.4058109777987824E-6</v>
      </c>
      <c r="AH200">
        <f t="shared" si="95"/>
        <v>27.59702297121175</v>
      </c>
      <c r="AI200">
        <f t="shared" si="96"/>
        <v>0.23028690531870988</v>
      </c>
      <c r="AJ200">
        <f t="shared" si="97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98"/>
        <v>2.1883527698787133</v>
      </c>
      <c r="AM200">
        <f t="shared" si="99"/>
        <v>634.44823389904138</v>
      </c>
      <c r="AN200">
        <f t="shared" si="100"/>
        <v>1.9284584595880006E-8</v>
      </c>
      <c r="AO200">
        <f t="shared" si="101"/>
        <v>1.7682296251836957E-7</v>
      </c>
      <c r="AP200">
        <v>1.8642221082684549</v>
      </c>
      <c r="AQ200">
        <f t="shared" si="102"/>
        <v>2.592802801282354E-5</v>
      </c>
      <c r="AR200">
        <f t="shared" si="103"/>
        <v>3.791316970158576E-6</v>
      </c>
      <c r="AS200">
        <f t="shared" si="104"/>
        <v>7.6384718332199091</v>
      </c>
      <c r="AT200">
        <f t="shared" si="105"/>
        <v>7.115987806707702</v>
      </c>
      <c r="AU200">
        <f t="shared" si="106"/>
        <v>1.6387188102923906</v>
      </c>
      <c r="AV200">
        <f t="shared" si="107"/>
        <v>0.22550329797606428</v>
      </c>
      <c r="AW200">
        <f t="shared" si="108"/>
        <v>7.1292529327389824E-3</v>
      </c>
      <c r="AX200">
        <f t="shared" si="109"/>
        <v>0.22550328883776638</v>
      </c>
      <c r="AY200">
        <f t="shared" si="110"/>
        <v>9.1382978961718209E-9</v>
      </c>
      <c r="AZ200">
        <f t="shared" si="111"/>
        <v>692257.60600924003</v>
      </c>
      <c r="BA200">
        <f t="shared" si="112"/>
        <v>1.3908229012961479E-5</v>
      </c>
      <c r="BB200" s="15">
        <f t="shared" si="113"/>
        <v>4579924.4434871785</v>
      </c>
      <c r="BC200" s="20">
        <f t="shared" si="114"/>
        <v>-37775.751825321466</v>
      </c>
      <c r="BD200" s="19">
        <f t="shared" si="115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86"/>
        <v>2.8502295699234246E-6</v>
      </c>
      <c r="P201" s="8">
        <f t="shared" si="87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88"/>
        <v>65154.284683749836</v>
      </c>
      <c r="X201">
        <v>2.7760466389436762E-2</v>
      </c>
      <c r="Y201">
        <f t="shared" si="89"/>
        <v>6.0018705042739482</v>
      </c>
      <c r="Z201">
        <f t="shared" si="90"/>
        <v>6.0018705113914557</v>
      </c>
      <c r="AA201">
        <f t="shared" si="91"/>
        <v>-7.1175074722873433E-9</v>
      </c>
      <c r="AB201">
        <f t="shared" si="92"/>
        <v>7.2289880152804128E-6</v>
      </c>
      <c r="AC201">
        <v>763.56078518722359</v>
      </c>
      <c r="AD201">
        <f t="shared" si="93"/>
        <v>1919.0282633735189</v>
      </c>
      <c r="AE201">
        <f>+gettm2(AD201,AC201,AK201,AL201,テーブル2[[#This Row],[Fcorr]])</f>
        <v>554.95732154530219</v>
      </c>
      <c r="AF201" s="14">
        <f t="shared" si="94"/>
        <v>1.6356077594537055E-6</v>
      </c>
      <c r="AG201">
        <v>7.3801253999512326E-6</v>
      </c>
      <c r="AH201">
        <f t="shared" si="95"/>
        <v>27.59702297121175</v>
      </c>
      <c r="AI201">
        <f t="shared" si="96"/>
        <v>0.23028690531870988</v>
      </c>
      <c r="AJ201">
        <f t="shared" si="97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98"/>
        <v>2.1883527698787133</v>
      </c>
      <c r="AM201">
        <f t="shared" si="99"/>
        <v>634.44823389356088</v>
      </c>
      <c r="AN201">
        <f t="shared" si="100"/>
        <v>2.4765085981925949E-8</v>
      </c>
      <c r="AO201">
        <f t="shared" si="101"/>
        <v>1.5113738467081981E-7</v>
      </c>
      <c r="AP201">
        <v>1.857242256433528</v>
      </c>
      <c r="AQ201">
        <f t="shared" si="102"/>
        <v>2.6123278642486726E-5</v>
      </c>
      <c r="AR201">
        <f t="shared" si="103"/>
        <v>3.7656313923110262E-6</v>
      </c>
      <c r="AS201">
        <f t="shared" si="104"/>
        <v>7.5867223845579366</v>
      </c>
      <c r="AT201">
        <f t="shared" si="105"/>
        <v>7.0819983237453599</v>
      </c>
      <c r="AU201">
        <f t="shared" si="106"/>
        <v>1.6308914774476098</v>
      </c>
      <c r="AV201">
        <f t="shared" si="107"/>
        <v>0.22635077898591827</v>
      </c>
      <c r="AW201">
        <f t="shared" si="108"/>
        <v>7.1292529327389824E-3</v>
      </c>
      <c r="AX201">
        <f t="shared" si="109"/>
        <v>0.22635077092521297</v>
      </c>
      <c r="AY201">
        <f t="shared" si="110"/>
        <v>8.0607052976855442E-9</v>
      </c>
      <c r="AZ201">
        <f t="shared" si="111"/>
        <v>692257.60600924003</v>
      </c>
      <c r="BA201">
        <f t="shared" si="112"/>
        <v>1.4065627977176975E-5</v>
      </c>
      <c r="BB201" s="15">
        <f t="shared" si="113"/>
        <v>3870831.4433764899</v>
      </c>
      <c r="BC201" s="20">
        <f t="shared" si="114"/>
        <v>-27813.576154760085</v>
      </c>
      <c r="BD201" s="19">
        <f t="shared" si="115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86"/>
        <v>2.8502295699234246E-6</v>
      </c>
      <c r="P202" s="8">
        <f t="shared" si="87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88"/>
        <v>65588.6465816415</v>
      </c>
      <c r="X202">
        <v>2.7685474811265761E-2</v>
      </c>
      <c r="Y202">
        <f t="shared" si="89"/>
        <v>6.0099936332252639</v>
      </c>
      <c r="Z202">
        <f t="shared" si="90"/>
        <v>6.0099936385649277</v>
      </c>
      <c r="AA202">
        <f t="shared" si="91"/>
        <v>-5.3396638222125148E-9</v>
      </c>
      <c r="AB202">
        <f t="shared" si="92"/>
        <v>7.1528795247520302E-6</v>
      </c>
      <c r="AC202">
        <v>793.61708673720523</v>
      </c>
      <c r="AD202">
        <f t="shared" si="93"/>
        <v>1929.210727875502</v>
      </c>
      <c r="AE202">
        <f>+gettm2(AD202,AC202,AK202,AL202,テーブル2[[#This Row],[Fcorr]])</f>
        <v>536.22895911556827</v>
      </c>
      <c r="AF202" s="14">
        <f t="shared" si="94"/>
        <v>1.9361706335985218E-6</v>
      </c>
      <c r="AG202">
        <v>7.3311103597214086E-6</v>
      </c>
      <c r="AH202">
        <f t="shared" si="95"/>
        <v>27.890662442441183</v>
      </c>
      <c r="AI202">
        <f t="shared" si="96"/>
        <v>0.23150881970289783</v>
      </c>
      <c r="AJ202">
        <f t="shared" si="97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98"/>
        <v>2.1883527698787133</v>
      </c>
      <c r="AM202">
        <f t="shared" si="99"/>
        <v>634.44823385595294</v>
      </c>
      <c r="AN202">
        <f t="shared" si="100"/>
        <v>6.2373032960749697E-8</v>
      </c>
      <c r="AO202">
        <f t="shared" si="101"/>
        <v>1.7823083496937848E-7</v>
      </c>
      <c r="AP202">
        <v>1.8684798425493141</v>
      </c>
      <c r="AQ202">
        <f t="shared" si="102"/>
        <v>2.5809997438255887E-5</v>
      </c>
      <c r="AR202">
        <f t="shared" si="103"/>
        <v>3.7546705973453936E-6</v>
      </c>
      <c r="AS202">
        <f t="shared" si="104"/>
        <v>7.6047777386219977</v>
      </c>
      <c r="AT202">
        <f t="shared" si="105"/>
        <v>7.0938834979672372</v>
      </c>
      <c r="AU202">
        <f t="shared" si="106"/>
        <v>1.6422965957242592</v>
      </c>
      <c r="AV202">
        <f t="shared" si="107"/>
        <v>0.22618324682505486</v>
      </c>
      <c r="AW202">
        <f t="shared" si="108"/>
        <v>7.0541944766786208E-3</v>
      </c>
      <c r="AX202">
        <f t="shared" si="109"/>
        <v>0.22618323666943713</v>
      </c>
      <c r="AY202">
        <f t="shared" si="110"/>
        <v>1.01556177356521E-8</v>
      </c>
      <c r="AZ202">
        <f t="shared" si="111"/>
        <v>692257.60600924003</v>
      </c>
      <c r="BA202">
        <f t="shared" si="112"/>
        <v>1.3813366807875903E-5</v>
      </c>
      <c r="BB202" s="15">
        <f t="shared" si="113"/>
        <v>4648092.7033490408</v>
      </c>
      <c r="BC202" s="20">
        <f t="shared" si="114"/>
        <v>15866.140849040821</v>
      </c>
      <c r="BD202" s="19">
        <f t="shared" si="115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86"/>
        <v>2.8502295699234246E-6</v>
      </c>
      <c r="P203" s="8">
        <f t="shared" si="87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88"/>
        <v>65588.6465816415</v>
      </c>
      <c r="X203">
        <v>2.7685474811265761E-2</v>
      </c>
      <c r="Y203">
        <f t="shared" si="89"/>
        <v>6.0099936332252639</v>
      </c>
      <c r="Z203">
        <f t="shared" si="90"/>
        <v>6.0099936385649277</v>
      </c>
      <c r="AA203">
        <f t="shared" si="91"/>
        <v>-5.3396638222125148E-9</v>
      </c>
      <c r="AB203">
        <f t="shared" si="92"/>
        <v>7.1528795247520302E-6</v>
      </c>
      <c r="AC203">
        <v>761.79574948842162</v>
      </c>
      <c r="AD203">
        <f t="shared" si="93"/>
        <v>1929.210727875502</v>
      </c>
      <c r="AE203">
        <f>+gettm2(AD203,AC203,AK203,AL203,テーブル2[[#This Row],[Fcorr]])</f>
        <v>555.62197361148742</v>
      </c>
      <c r="AF203" s="14">
        <f t="shared" si="94"/>
        <v>1.6179574231500737E-6</v>
      </c>
      <c r="AG203">
        <v>7.3039135526401753E-6</v>
      </c>
      <c r="AH203">
        <f t="shared" si="95"/>
        <v>27.890662442441183</v>
      </c>
      <c r="AI203">
        <f t="shared" si="96"/>
        <v>0.23150881970289783</v>
      </c>
      <c r="AJ203">
        <f t="shared" si="97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98"/>
        <v>2.1883527698787133</v>
      </c>
      <c r="AM203">
        <f t="shared" si="99"/>
        <v>634.44823384830488</v>
      </c>
      <c r="AN203">
        <f t="shared" si="100"/>
        <v>7.0021087594795972E-8</v>
      </c>
      <c r="AO203">
        <f t="shared" si="101"/>
        <v>1.5103402788814517E-7</v>
      </c>
      <c r="AP203">
        <v>1.8609766419723821</v>
      </c>
      <c r="AQ203">
        <f t="shared" si="102"/>
        <v>2.6018541687124837E-5</v>
      </c>
      <c r="AR203">
        <f t="shared" si="103"/>
        <v>3.7274737902641602E-6</v>
      </c>
      <c r="AS203">
        <f t="shared" si="104"/>
        <v>7.5496928336507887</v>
      </c>
      <c r="AT203">
        <f t="shared" si="105"/>
        <v>7.0575343907432089</v>
      </c>
      <c r="AU203">
        <f t="shared" si="106"/>
        <v>1.6338814568135704</v>
      </c>
      <c r="AV203">
        <f t="shared" si="107"/>
        <v>0.22709518515881166</v>
      </c>
      <c r="AW203">
        <f t="shared" si="108"/>
        <v>7.0541944766786208E-3</v>
      </c>
      <c r="AX203">
        <f t="shared" si="109"/>
        <v>0.22709517621429448</v>
      </c>
      <c r="AY203">
        <f t="shared" si="110"/>
        <v>8.9445171824742431E-9</v>
      </c>
      <c r="AZ203">
        <f t="shared" si="111"/>
        <v>692257.60600924003</v>
      </c>
      <c r="BA203">
        <f t="shared" si="112"/>
        <v>1.3981122116368276E-5</v>
      </c>
      <c r="BB203" s="15">
        <f t="shared" si="113"/>
        <v>3891564.7387400735</v>
      </c>
      <c r="BC203" s="20">
        <f t="shared" si="114"/>
        <v>11803.996552573517</v>
      </c>
      <c r="BD203" s="19">
        <f t="shared" si="115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86"/>
        <v>2.8502295699234246E-6</v>
      </c>
      <c r="P204" s="8">
        <f t="shared" si="87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88"/>
        <v>66023.008479533164</v>
      </c>
      <c r="X204">
        <v>2.761129022690777E-2</v>
      </c>
      <c r="Y204">
        <f t="shared" si="89"/>
        <v>6.0180618873112151</v>
      </c>
      <c r="Z204">
        <f t="shared" si="90"/>
        <v>6.018061934142847</v>
      </c>
      <c r="AA204">
        <f t="shared" si="91"/>
        <v>-4.6831631905774884E-8</v>
      </c>
      <c r="AB204">
        <f t="shared" si="92"/>
        <v>7.0780382335173812E-6</v>
      </c>
      <c r="AC204">
        <v>742.28489107037728</v>
      </c>
      <c r="AD204">
        <f t="shared" si="93"/>
        <v>1939.3833880575614</v>
      </c>
      <c r="AE204">
        <f>+gettm2(AD204,AC204,AK204,AL204,テーブル2[[#This Row],[Fcorr]])</f>
        <v>567.20325345200536</v>
      </c>
      <c r="AF204" s="14">
        <f t="shared" si="94"/>
        <v>0</v>
      </c>
      <c r="AG204">
        <v>7.2109691790268723E-6</v>
      </c>
      <c r="AH204">
        <f t="shared" si="95"/>
        <v>28.185570879174044</v>
      </c>
      <c r="AI204">
        <f t="shared" si="96"/>
        <v>0.23272955755074334</v>
      </c>
      <c r="AJ204">
        <f t="shared" si="97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98"/>
        <v>2.1883527698787133</v>
      </c>
      <c r="AM204">
        <f t="shared" si="99"/>
        <v>634.44823393768081</v>
      </c>
      <c r="AN204">
        <f t="shared" si="100"/>
        <v>-1.9354843061591964E-8</v>
      </c>
      <c r="AO204">
        <f t="shared" si="101"/>
        <v>1.3293094550949111E-7</v>
      </c>
      <c r="AP204">
        <v>1.8596128204093281</v>
      </c>
      <c r="AQ204">
        <f t="shared" si="102"/>
        <v>2.6056719161324536E-5</v>
      </c>
      <c r="AR204">
        <f t="shared" si="103"/>
        <v>3.6719500622681817E-6</v>
      </c>
      <c r="AS204">
        <f t="shared" si="104"/>
        <v>7.4764503438738474</v>
      </c>
      <c r="AT204">
        <f t="shared" si="105"/>
        <v>7.0087906319622668</v>
      </c>
      <c r="AU204">
        <f t="shared" si="106"/>
        <v>1.6311527427423731</v>
      </c>
      <c r="AV204">
        <f t="shared" si="107"/>
        <v>0.22846007766695497</v>
      </c>
      <c r="AW204">
        <f t="shared" si="108"/>
        <v>6.9803857369356908E-3</v>
      </c>
      <c r="AX204">
        <f t="shared" si="109"/>
        <v>0.22846006862992704</v>
      </c>
      <c r="AY204">
        <f t="shared" si="110"/>
        <v>9.0370279315354907E-9</v>
      </c>
      <c r="AZ204">
        <f t="shared" si="111"/>
        <v>692257.60600924003</v>
      </c>
      <c r="BA204">
        <f t="shared" si="112"/>
        <v>1.401190552966239E-5</v>
      </c>
      <c r="BB204" s="15">
        <f t="shared" si="113"/>
        <v>3417593.2813150208</v>
      </c>
      <c r="BC204" s="20">
        <f t="shared" si="114"/>
        <v>-12702.714778729249</v>
      </c>
      <c r="BD204" s="19">
        <f t="shared" si="115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86"/>
        <v>2.8502295699234246E-6</v>
      </c>
      <c r="P205" s="8">
        <f t="shared" si="87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88"/>
        <v>66457.370377424828</v>
      </c>
      <c r="X205">
        <v>2.7537897758732419E-2</v>
      </c>
      <c r="Y205">
        <f t="shared" si="89"/>
        <v>6.0260760524703603</v>
      </c>
      <c r="Z205">
        <f t="shared" si="90"/>
        <v>6.0260760849766344</v>
      </c>
      <c r="AA205">
        <f t="shared" si="91"/>
        <v>-3.250627411688356E-8</v>
      </c>
      <c r="AB205">
        <f t="shared" si="92"/>
        <v>7.0044354320592796E-6</v>
      </c>
      <c r="AC205">
        <v>737.3785646291351</v>
      </c>
      <c r="AD205">
        <f t="shared" si="93"/>
        <v>1949.5463069387731</v>
      </c>
      <c r="AE205">
        <f>+gettm2(AD205,AC205,AK205,AL205,テーブル2[[#This Row],[Fcorr]])</f>
        <v>569.88828393948211</v>
      </c>
      <c r="AF205" s="14">
        <f t="shared" si="94"/>
        <v>0</v>
      </c>
      <c r="AG205">
        <v>7.1328723961948813E-6</v>
      </c>
      <c r="AH205">
        <f t="shared" si="95"/>
        <v>28.481745638371329</v>
      </c>
      <c r="AI205">
        <f t="shared" si="96"/>
        <v>0.23394912642465096</v>
      </c>
      <c r="AJ205">
        <f t="shared" si="97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98"/>
        <v>2.1883527698787133</v>
      </c>
      <c r="AM205">
        <f t="shared" si="99"/>
        <v>634.44823395019762</v>
      </c>
      <c r="AN205">
        <f t="shared" si="100"/>
        <v>-3.1871650207904167E-8</v>
      </c>
      <c r="AO205">
        <f t="shared" si="101"/>
        <v>1.2843696413560167E-7</v>
      </c>
      <c r="AP205">
        <v>1.861953158499333</v>
      </c>
      <c r="AQ205">
        <f t="shared" si="102"/>
        <v>2.5991257570707715E-5</v>
      </c>
      <c r="AR205">
        <f t="shared" si="103"/>
        <v>3.6306546801652415E-6</v>
      </c>
      <c r="AS205">
        <f t="shared" si="104"/>
        <v>7.4311070062846394</v>
      </c>
      <c r="AT205">
        <f t="shared" si="105"/>
        <v>6.9783741952806455</v>
      </c>
      <c r="AU205">
        <f t="shared" si="106"/>
        <v>1.6325845468502336</v>
      </c>
      <c r="AV205">
        <f t="shared" si="107"/>
        <v>0.22936861164909939</v>
      </c>
      <c r="AW205">
        <f t="shared" si="108"/>
        <v>6.9077984000852476E-3</v>
      </c>
      <c r="AX205">
        <f t="shared" si="109"/>
        <v>0.22936860189177832</v>
      </c>
      <c r="AY205">
        <f t="shared" si="110"/>
        <v>9.7573210622314832E-9</v>
      </c>
      <c r="AZ205">
        <f t="shared" si="111"/>
        <v>692257.60600924003</v>
      </c>
      <c r="BA205">
        <f t="shared" si="112"/>
        <v>1.3959136110414148E-5</v>
      </c>
      <c r="BB205" s="15">
        <f t="shared" si="113"/>
        <v>3314537.7806892479</v>
      </c>
      <c r="BC205" s="20">
        <f t="shared" si="114"/>
        <v>-14913.645092002116</v>
      </c>
      <c r="BD205" s="19">
        <f t="shared" si="115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86"/>
        <v>2.8502295699234246E-6</v>
      </c>
      <c r="P206" s="8">
        <f t="shared" si="87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88"/>
        <v>86003.655782549788</v>
      </c>
      <c r="X206">
        <v>2.4878380745810669E-2</v>
      </c>
      <c r="Y206">
        <f t="shared" si="89"/>
        <v>6.3399954316979432</v>
      </c>
      <c r="Z206">
        <f t="shared" si="90"/>
        <v>6.3399954657620112</v>
      </c>
      <c r="AA206">
        <f t="shared" si="91"/>
        <v>-3.4064068010764004E-8</v>
      </c>
      <c r="AB206">
        <f t="shared" si="92"/>
        <v>4.6295021533103351E-6</v>
      </c>
      <c r="AC206">
        <v>700.19218316204831</v>
      </c>
      <c r="AD206">
        <f t="shared" si="93"/>
        <v>2398.0209791092771</v>
      </c>
      <c r="AE206">
        <f>+gettm2(AD206,AC206,AK206,AL206,テーブル2[[#This Row],[Fcorr]])</f>
        <v>583.56221761103211</v>
      </c>
      <c r="AF206" s="14">
        <f t="shared" si="94"/>
        <v>0</v>
      </c>
      <c r="AG206">
        <v>4.7256519565741301E-6</v>
      </c>
      <c r="AH206">
        <f t="shared" si="95"/>
        <v>43.092872993623338</v>
      </c>
      <c r="AI206">
        <f t="shared" si="96"/>
        <v>0.28776690823595841</v>
      </c>
      <c r="AJ206">
        <f t="shared" si="97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98"/>
        <v>2.1883527698787133</v>
      </c>
      <c r="AM206">
        <f t="shared" si="99"/>
        <v>634.44823401952613</v>
      </c>
      <c r="AN206">
        <f t="shared" si="100"/>
        <v>-1.0120015758730005E-7</v>
      </c>
      <c r="AO206">
        <f t="shared" si="101"/>
        <v>9.6149803263795015E-8</v>
      </c>
      <c r="AP206">
        <v>1.982016925628435</v>
      </c>
      <c r="AQ206">
        <f t="shared" si="102"/>
        <v>2.2937711055083859E-5</v>
      </c>
      <c r="AR206">
        <f t="shared" si="103"/>
        <v>2.4109008799189625E-6</v>
      </c>
      <c r="AS206">
        <f t="shared" si="104"/>
        <v>6.0697017203135832</v>
      </c>
      <c r="AT206">
        <f t="shared" si="105"/>
        <v>5.9665473194135537</v>
      </c>
      <c r="AU206">
        <f t="shared" si="106"/>
        <v>1.7169748749511837</v>
      </c>
      <c r="AV206">
        <f t="shared" si="107"/>
        <v>0.26504205067725128</v>
      </c>
      <c r="AW206">
        <f t="shared" si="108"/>
        <v>4.5656310031009064E-3</v>
      </c>
      <c r="AX206">
        <f t="shared" si="109"/>
        <v>0.26504205034881945</v>
      </c>
      <c r="AY206">
        <f t="shared" si="110"/>
        <v>3.284318372820394E-10</v>
      </c>
      <c r="AZ206">
        <f t="shared" si="111"/>
        <v>692257.60600924003</v>
      </c>
      <c r="BA206">
        <f t="shared" si="112"/>
        <v>1.1572913812434289E-5</v>
      </c>
      <c r="BB206" s="15">
        <f t="shared" si="113"/>
        <v>2992934.1739844298</v>
      </c>
      <c r="BC206" s="20">
        <f t="shared" si="114"/>
        <v>-9433.990078070201</v>
      </c>
      <c r="BD206" s="19">
        <f t="shared" si="115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86"/>
        <v>2.8502295699234246E-6</v>
      </c>
      <c r="P207" s="8">
        <f t="shared" si="87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88"/>
        <v>86438.017680441451</v>
      </c>
      <c r="X207">
        <v>2.4830525859102271E-2</v>
      </c>
      <c r="Y207">
        <f t="shared" si="89"/>
        <v>6.3461019016727107</v>
      </c>
      <c r="Z207">
        <f t="shared" si="90"/>
        <v>6.346101933090341</v>
      </c>
      <c r="AA207">
        <f t="shared" si="91"/>
        <v>-3.1417630275143438E-8</v>
      </c>
      <c r="AB207">
        <f t="shared" si="92"/>
        <v>4.5919242072455085E-6</v>
      </c>
      <c r="AC207">
        <v>735.4534969647093</v>
      </c>
      <c r="AD207">
        <f t="shared" si="93"/>
        <v>2407.8130717556137</v>
      </c>
      <c r="AE207">
        <f>+gettm2(AD207,AC207,AK207,AL207,テーブル2[[#This Row],[Fcorr]])</f>
        <v>556.42488400592731</v>
      </c>
      <c r="AF207" s="14">
        <f t="shared" si="94"/>
        <v>0</v>
      </c>
      <c r="AG207">
        <v>4.7219781386298901E-6</v>
      </c>
      <c r="AH207">
        <f t="shared" si="95"/>
        <v>43.445522903344767</v>
      </c>
      <c r="AI207">
        <f t="shared" si="96"/>
        <v>0.28894197728270338</v>
      </c>
      <c r="AJ207">
        <f t="shared" si="97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98"/>
        <v>2.1883527698787133</v>
      </c>
      <c r="AM207">
        <f t="shared" si="99"/>
        <v>634.4482340835458</v>
      </c>
      <c r="AN207">
        <f t="shared" si="100"/>
        <v>-1.6521983070560964E-7</v>
      </c>
      <c r="AO207">
        <f t="shared" si="101"/>
        <v>1.3005393138438154E-7</v>
      </c>
      <c r="AP207">
        <v>2.0023275411607102</v>
      </c>
      <c r="AQ207">
        <f t="shared" si="102"/>
        <v>2.247473364682511E-5</v>
      </c>
      <c r="AR207">
        <f t="shared" si="103"/>
        <v>2.4260160350071358E-6</v>
      </c>
      <c r="AS207">
        <f t="shared" si="104"/>
        <v>6.1326961904240491</v>
      </c>
      <c r="AT207">
        <f t="shared" si="105"/>
        <v>6.0181724427732153</v>
      </c>
      <c r="AU207">
        <f t="shared" si="106"/>
        <v>1.73890264524317</v>
      </c>
      <c r="AV207">
        <f t="shared" si="107"/>
        <v>0.26342489591754026</v>
      </c>
      <c r="AW207">
        <f t="shared" si="108"/>
        <v>4.528571502985166E-3</v>
      </c>
      <c r="AX207">
        <f t="shared" si="109"/>
        <v>0.26342489168070349</v>
      </c>
      <c r="AY207">
        <f t="shared" si="110"/>
        <v>4.2368367703105037E-9</v>
      </c>
      <c r="AZ207">
        <f t="shared" si="111"/>
        <v>692257.60600924003</v>
      </c>
      <c r="BA207">
        <f t="shared" si="112"/>
        <v>1.1224304308273633E-5</v>
      </c>
      <c r="BB207" s="15">
        <f t="shared" si="113"/>
        <v>4174029.7140213419</v>
      </c>
      <c r="BC207" s="20">
        <f t="shared" si="114"/>
        <v>2288.9913650918752</v>
      </c>
      <c r="BD207" s="19">
        <f t="shared" si="115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86"/>
        <v>2.8502295699234246E-6</v>
      </c>
      <c r="P208" s="8">
        <f t="shared" si="87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88"/>
        <v>87306.741476224779</v>
      </c>
      <c r="X208">
        <v>2.4735969360292959E-2</v>
      </c>
      <c r="Y208">
        <f t="shared" si="89"/>
        <v>6.3582197371331333</v>
      </c>
      <c r="Z208">
        <f t="shared" si="90"/>
        <v>6.3582197634838256</v>
      </c>
      <c r="AA208">
        <f t="shared" si="91"/>
        <v>-2.6350692294840883E-8</v>
      </c>
      <c r="AB208">
        <f t="shared" si="92"/>
        <v>4.518202920192045E-6</v>
      </c>
      <c r="AC208">
        <v>779.03964791992109</v>
      </c>
      <c r="AD208">
        <f t="shared" si="93"/>
        <v>2427.3771390989714</v>
      </c>
      <c r="AE208">
        <f>+gettm2(AD208,AC208,AK208,AL208,テーブル2[[#This Row],[Fcorr]])</f>
        <v>522.65403768029614</v>
      </c>
      <c r="AF208" s="14">
        <f t="shared" si="94"/>
        <v>0</v>
      </c>
      <c r="AG208">
        <v>4.6871749131914986E-6</v>
      </c>
      <c r="AH208">
        <f t="shared" si="95"/>
        <v>44.154402057672165</v>
      </c>
      <c r="AI208">
        <f t="shared" si="96"/>
        <v>0.29128970118543973</v>
      </c>
      <c r="AJ208">
        <f t="shared" si="97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98"/>
        <v>2.1883527698787133</v>
      </c>
      <c r="AM208">
        <f t="shared" si="99"/>
        <v>634.44823388160466</v>
      </c>
      <c r="AN208">
        <f t="shared" si="100"/>
        <v>3.6721303331432864E-8</v>
      </c>
      <c r="AO208">
        <f t="shared" si="101"/>
        <v>1.689719929994536E-7</v>
      </c>
      <c r="AP208">
        <v>2.0282266702596732</v>
      </c>
      <c r="AQ208">
        <f t="shared" si="102"/>
        <v>2.1904422969598713E-5</v>
      </c>
      <c r="AR208">
        <f t="shared" si="103"/>
        <v>2.4280734530954761E-6</v>
      </c>
      <c r="AS208">
        <f t="shared" si="104"/>
        <v>6.1877690205743381</v>
      </c>
      <c r="AT208">
        <f t="shared" si="105"/>
        <v>6.0628730251114256</v>
      </c>
      <c r="AU208">
        <f t="shared" si="106"/>
        <v>1.7660524718099702</v>
      </c>
      <c r="AV208">
        <f t="shared" si="107"/>
        <v>0.26217419844970302</v>
      </c>
      <c r="AW208">
        <f t="shared" si="108"/>
        <v>4.4558673152316035E-3</v>
      </c>
      <c r="AX208">
        <f t="shared" si="109"/>
        <v>0.2621741879381001</v>
      </c>
      <c r="AY208">
        <f t="shared" si="110"/>
        <v>1.0511602921425833E-8</v>
      </c>
      <c r="AZ208">
        <f t="shared" si="111"/>
        <v>692257.60600924003</v>
      </c>
      <c r="BA208">
        <f t="shared" si="112"/>
        <v>1.0799790423224392E-5</v>
      </c>
      <c r="BB208" s="15">
        <f t="shared" si="113"/>
        <v>5636258.2334838584</v>
      </c>
      <c r="BC208" s="20">
        <f t="shared" si="114"/>
        <v>36575.616296358407</v>
      </c>
      <c r="BD208" s="19">
        <f t="shared" si="115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86"/>
        <v>2.8502295699234246E-6</v>
      </c>
      <c r="P209" s="8">
        <f t="shared" si="87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88"/>
        <v>87306.741476224779</v>
      </c>
      <c r="X209">
        <v>2.4735969360292959E-2</v>
      </c>
      <c r="Y209">
        <f t="shared" si="89"/>
        <v>6.3582197371331333</v>
      </c>
      <c r="Z209">
        <f t="shared" si="90"/>
        <v>6.3582197634838256</v>
      </c>
      <c r="AA209">
        <f t="shared" si="91"/>
        <v>-2.6350692294840883E-8</v>
      </c>
      <c r="AB209">
        <f t="shared" si="92"/>
        <v>4.518202920192045E-6</v>
      </c>
      <c r="AC209">
        <v>778.42953571381645</v>
      </c>
      <c r="AD209">
        <f t="shared" si="93"/>
        <v>2427.3771390989714</v>
      </c>
      <c r="AE209">
        <f>+gettm2(AD209,AC209,AK209,AL209,テーブル2[[#This Row],[Fcorr]])</f>
        <v>523.09218869690767</v>
      </c>
      <c r="AF209" s="14">
        <f t="shared" si="94"/>
        <v>0</v>
      </c>
      <c r="AG209">
        <v>4.6854684467396084E-6</v>
      </c>
      <c r="AH209">
        <f t="shared" si="95"/>
        <v>44.154402057672165</v>
      </c>
      <c r="AI209">
        <f t="shared" si="96"/>
        <v>0.29128970118543973</v>
      </c>
      <c r="AJ209">
        <f t="shared" si="97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98"/>
        <v>2.1883527698787133</v>
      </c>
      <c r="AM209">
        <f t="shared" si="99"/>
        <v>634.44823388054135</v>
      </c>
      <c r="AN209">
        <f t="shared" si="100"/>
        <v>3.7784616324643139E-8</v>
      </c>
      <c r="AO209">
        <f t="shared" si="101"/>
        <v>1.6726552654756335E-7</v>
      </c>
      <c r="AP209">
        <v>2.0273199640725679</v>
      </c>
      <c r="AQ209">
        <f t="shared" si="102"/>
        <v>2.1924020583699959E-5</v>
      </c>
      <c r="AR209">
        <f t="shared" si="103"/>
        <v>2.4263669866435859E-6</v>
      </c>
      <c r="AS209">
        <f t="shared" si="104"/>
        <v>6.1834202146384252</v>
      </c>
      <c r="AT209">
        <f t="shared" si="105"/>
        <v>6.059357755857711</v>
      </c>
      <c r="AU209">
        <f t="shared" si="106"/>
        <v>1.7650285100794694</v>
      </c>
      <c r="AV209">
        <f t="shared" si="107"/>
        <v>0.2622914539930985</v>
      </c>
      <c r="AW209">
        <f t="shared" si="108"/>
        <v>4.4558673152316035E-3</v>
      </c>
      <c r="AX209">
        <f t="shared" si="109"/>
        <v>0.26229144370557417</v>
      </c>
      <c r="AY209">
        <f t="shared" si="110"/>
        <v>1.0287524332408537E-8</v>
      </c>
      <c r="AZ209">
        <f t="shared" si="111"/>
        <v>692257.60600924003</v>
      </c>
      <c r="BA209">
        <f t="shared" si="112"/>
        <v>1.081428732130573E-5</v>
      </c>
      <c r="BB209" s="15">
        <f t="shared" si="113"/>
        <v>5571857.7715575127</v>
      </c>
      <c r="BC209" s="20">
        <f t="shared" si="114"/>
        <v>-8940.5682862373069</v>
      </c>
      <c r="BD209" s="19">
        <f t="shared" si="115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86"/>
        <v>2.8502295699234246E-6</v>
      </c>
      <c r="P210" s="8">
        <f t="shared" si="87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88"/>
        <v>87306.741476224779</v>
      </c>
      <c r="X210">
        <v>2.4735969360292959E-2</v>
      </c>
      <c r="Y210">
        <f t="shared" si="89"/>
        <v>6.3582197371331333</v>
      </c>
      <c r="Z210">
        <f t="shared" si="90"/>
        <v>6.3582197634838256</v>
      </c>
      <c r="AA210">
        <f t="shared" si="91"/>
        <v>-2.6350692294840883E-8</v>
      </c>
      <c r="AB210">
        <f t="shared" si="92"/>
        <v>4.518202920192045E-6</v>
      </c>
      <c r="AC210">
        <v>701.28132171557729</v>
      </c>
      <c r="AD210">
        <f t="shared" si="93"/>
        <v>2427.3771390989714</v>
      </c>
      <c r="AE210">
        <f>+gettm2(AD210,AC210,AK210,AL210,テーブル2[[#This Row],[Fcorr]])</f>
        <v>582.12073943012081</v>
      </c>
      <c r="AF210" s="14">
        <f t="shared" si="94"/>
        <v>0</v>
      </c>
      <c r="AG210">
        <v>4.6166259228747248E-6</v>
      </c>
      <c r="AH210">
        <f t="shared" si="95"/>
        <v>44.154402057672165</v>
      </c>
      <c r="AI210">
        <f t="shared" si="96"/>
        <v>0.29128970118543973</v>
      </c>
      <c r="AJ210">
        <f t="shared" si="97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98"/>
        <v>2.1883527698787133</v>
      </c>
      <c r="AM210">
        <f t="shared" si="99"/>
        <v>634.44823386674284</v>
      </c>
      <c r="AN210">
        <f t="shared" si="100"/>
        <v>5.1583128879428841E-8</v>
      </c>
      <c r="AO210">
        <f t="shared" si="101"/>
        <v>9.8423002682679744E-8</v>
      </c>
      <c r="AP210">
        <v>1.990280364754464</v>
      </c>
      <c r="AQ210">
        <f t="shared" si="102"/>
        <v>2.2747636432460722E-5</v>
      </c>
      <c r="AR210">
        <f t="shared" si="103"/>
        <v>2.3575244627787023E-6</v>
      </c>
      <c r="AS210">
        <f t="shared" si="104"/>
        <v>6.0079800376016852</v>
      </c>
      <c r="AT210">
        <f t="shared" si="105"/>
        <v>5.9154429591005471</v>
      </c>
      <c r="AU210">
        <f t="shared" si="106"/>
        <v>1.7231076119359117</v>
      </c>
      <c r="AV210">
        <f t="shared" si="107"/>
        <v>0.26717275281855235</v>
      </c>
      <c r="AW210">
        <f t="shared" si="108"/>
        <v>4.4558673152316035E-3</v>
      </c>
      <c r="AX210">
        <f t="shared" si="109"/>
        <v>0.26717275095829379</v>
      </c>
      <c r="AY210">
        <f t="shared" si="110"/>
        <v>1.8602585583060716E-9</v>
      </c>
      <c r="AZ210">
        <f t="shared" si="111"/>
        <v>692257.60600924003</v>
      </c>
      <c r="BA210">
        <f t="shared" si="112"/>
        <v>1.1429362835153651E-5</v>
      </c>
      <c r="BB210" s="15">
        <f t="shared" si="113"/>
        <v>3102173.4337624102</v>
      </c>
      <c r="BC210" s="20">
        <f t="shared" si="114"/>
        <v>21362.88688741019</v>
      </c>
      <c r="BD210" s="19">
        <f t="shared" si="115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86"/>
        <v>2.8502295699234246E-6</v>
      </c>
      <c r="P211" s="8">
        <f t="shared" si="87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88"/>
        <v>87741.103374116457</v>
      </c>
      <c r="X211">
        <v>2.468925762544872E-2</v>
      </c>
      <c r="Y211">
        <f t="shared" si="89"/>
        <v>6.3642317268426769</v>
      </c>
      <c r="Z211">
        <f t="shared" si="90"/>
        <v>6.3642317508062174</v>
      </c>
      <c r="AA211">
        <f t="shared" si="91"/>
        <v>-2.3963540485283374E-8</v>
      </c>
      <c r="AB211">
        <f t="shared" si="92"/>
        <v>4.4820429169196439E-6</v>
      </c>
      <c r="AC211">
        <v>743.97533892875151</v>
      </c>
      <c r="AD211">
        <f t="shared" si="93"/>
        <v>2437.1492054158384</v>
      </c>
      <c r="AE211">
        <f>+gettm2(AD211,AC211,AK211,AL211,テーブル2[[#This Row],[Fcorr]])</f>
        <v>548.95406008820964</v>
      </c>
      <c r="AF211" s="14">
        <f t="shared" si="94"/>
        <v>1.4397531913346029E-6</v>
      </c>
      <c r="AG211">
        <v>4.619110652165609E-6</v>
      </c>
      <c r="AH211">
        <f t="shared" si="95"/>
        <v>44.510628749939897</v>
      </c>
      <c r="AI211">
        <f t="shared" si="96"/>
        <v>0.29246236703598044</v>
      </c>
      <c r="AJ211">
        <f t="shared" si="97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98"/>
        <v>2.1883527698787133</v>
      </c>
      <c r="AM211">
        <f t="shared" si="99"/>
        <v>634.44823383720404</v>
      </c>
      <c r="AN211">
        <f t="shared" si="100"/>
        <v>8.1121925177285448E-8</v>
      </c>
      <c r="AO211">
        <f t="shared" si="101"/>
        <v>1.3706773524596512E-7</v>
      </c>
      <c r="AP211">
        <v>2.013742939234977</v>
      </c>
      <c r="AQ211">
        <f t="shared" si="102"/>
        <v>2.2220648733605146E-5</v>
      </c>
      <c r="AR211">
        <f t="shared" si="103"/>
        <v>2.378089193705787E-6</v>
      </c>
      <c r="AS211">
        <f t="shared" si="104"/>
        <v>6.0847855001029405</v>
      </c>
      <c r="AT211">
        <f t="shared" si="105"/>
        <v>5.9789573760941055</v>
      </c>
      <c r="AU211">
        <f t="shared" si="106"/>
        <v>1.7486200266197169</v>
      </c>
      <c r="AV211">
        <f t="shared" si="107"/>
        <v>0.26512291261526011</v>
      </c>
      <c r="AW211">
        <f t="shared" si="108"/>
        <v>4.4202061951920217E-3</v>
      </c>
      <c r="AX211">
        <f t="shared" si="109"/>
        <v>0.26512290553248474</v>
      </c>
      <c r="AY211">
        <f t="shared" si="110"/>
        <v>7.0827753662072723E-9</v>
      </c>
      <c r="AZ211">
        <f t="shared" si="111"/>
        <v>692257.60600924003</v>
      </c>
      <c r="BA211">
        <f t="shared" si="112"/>
        <v>1.1034501127560399E-5</v>
      </c>
      <c r="BB211" s="15">
        <f t="shared" si="113"/>
        <v>4474804.0003333921</v>
      </c>
      <c r="BC211" s="20">
        <f t="shared" si="114"/>
        <v>-32495.804354107939</v>
      </c>
      <c r="BD211" s="19">
        <f t="shared" si="115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86"/>
        <v>2.8502295699234246E-6</v>
      </c>
      <c r="P212" s="8">
        <f t="shared" si="87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88"/>
        <v>88609.827169899771</v>
      </c>
      <c r="X212">
        <v>2.459694256493547E-2</v>
      </c>
      <c r="Y212">
        <f t="shared" si="89"/>
        <v>6.3761633767970558</v>
      </c>
      <c r="Z212">
        <f t="shared" si="90"/>
        <v>6.3761633963344897</v>
      </c>
      <c r="AA212">
        <f t="shared" si="91"/>
        <v>-1.9537433892935496E-8</v>
      </c>
      <c r="AB212">
        <f t="shared" si="92"/>
        <v>4.411083909332042E-6</v>
      </c>
      <c r="AC212">
        <v>743.35466623393108</v>
      </c>
      <c r="AD212">
        <f t="shared" si="93"/>
        <v>2456.6736283613895</v>
      </c>
      <c r="AE212">
        <f>+gettm2(AD212,AC212,AK212,AL212,テーブル2[[#This Row],[Fcorr]])</f>
        <v>548.78962655413113</v>
      </c>
      <c r="AF212" s="14">
        <f t="shared" si="94"/>
        <v>0</v>
      </c>
      <c r="AG212">
        <v>4.5485534710139848E-6</v>
      </c>
      <c r="AH212">
        <f t="shared" si="95"/>
        <v>45.226650051759606</v>
      </c>
      <c r="AI212">
        <f t="shared" si="96"/>
        <v>0.29480533353839167</v>
      </c>
      <c r="AJ212">
        <f t="shared" si="97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98"/>
        <v>2.1883527698787133</v>
      </c>
      <c r="AM212">
        <f t="shared" si="99"/>
        <v>634.44823379382638</v>
      </c>
      <c r="AN212">
        <f t="shared" si="100"/>
        <v>1.2449959285731893E-7</v>
      </c>
      <c r="AO212">
        <f t="shared" si="101"/>
        <v>1.3746956168194281E-7</v>
      </c>
      <c r="AP212">
        <v>2.0190324935065709</v>
      </c>
      <c r="AQ212">
        <f t="shared" si="102"/>
        <v>2.2104371890163183E-5</v>
      </c>
      <c r="AR212">
        <f t="shared" si="103"/>
        <v>2.3430115163479638E-6</v>
      </c>
      <c r="AS212">
        <f t="shared" si="104"/>
        <v>6.0430599508231735</v>
      </c>
      <c r="AT212">
        <f t="shared" si="105"/>
        <v>5.9445524901784239</v>
      </c>
      <c r="AU212">
        <f t="shared" si="106"/>
        <v>1.7524857796035269</v>
      </c>
      <c r="AV212">
        <f t="shared" si="107"/>
        <v>0.26654671390304396</v>
      </c>
      <c r="AW212">
        <f t="shared" si="108"/>
        <v>4.3502261769821646E-3</v>
      </c>
      <c r="AX212">
        <f t="shared" si="109"/>
        <v>0.26654670528736879</v>
      </c>
      <c r="AY212">
        <f t="shared" si="110"/>
        <v>8.6156751732957559E-9</v>
      </c>
      <c r="AZ212">
        <f t="shared" si="111"/>
        <v>692257.60600924003</v>
      </c>
      <c r="BA212">
        <f t="shared" si="112"/>
        <v>1.0948002056060642E-5</v>
      </c>
      <c r="BB212" s="15">
        <f t="shared" si="113"/>
        <v>4523380.9181830715</v>
      </c>
      <c r="BC212" s="20">
        <f t="shared" si="114"/>
        <v>-5708.4372856784612</v>
      </c>
      <c r="BD212" s="19">
        <f t="shared" si="115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86"/>
        <v>2.8502295699234246E-6</v>
      </c>
      <c r="P213" s="8">
        <f t="shared" si="87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88"/>
        <v>108156.11257502473</v>
      </c>
      <c r="X213">
        <v>2.2842853749085991E-2</v>
      </c>
      <c r="Y213">
        <f t="shared" si="89"/>
        <v>6.6164467317851292</v>
      </c>
      <c r="Z213">
        <f t="shared" si="90"/>
        <v>6.6164467598196168</v>
      </c>
      <c r="AA213">
        <f t="shared" si="91"/>
        <v>-2.8034487620232085E-8</v>
      </c>
      <c r="AB213">
        <f t="shared" si="92"/>
        <v>3.1881425212607506E-6</v>
      </c>
      <c r="AC213">
        <v>694.2883105142472</v>
      </c>
      <c r="AD213">
        <f t="shared" si="93"/>
        <v>2889.6900303443431</v>
      </c>
      <c r="AE213">
        <f>+gettm2(AD213,AC213,AK213,AL213,テーブル2[[#This Row],[Fcorr]])</f>
        <v>578.9342212207556</v>
      </c>
      <c r="AF213" s="14">
        <f t="shared" si="94"/>
        <v>9.4288304808287648E-7</v>
      </c>
      <c r="AG213">
        <v>3.2848665206392089E-6</v>
      </c>
      <c r="AH213">
        <f t="shared" si="95"/>
        <v>62.575166256186158</v>
      </c>
      <c r="AI213">
        <f t="shared" si="96"/>
        <v>0.34676809462331676</v>
      </c>
      <c r="AJ213">
        <f t="shared" si="97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98"/>
        <v>2.1883527698787133</v>
      </c>
      <c r="AM213">
        <f t="shared" si="99"/>
        <v>634.44823386842995</v>
      </c>
      <c r="AN213">
        <f t="shared" si="100"/>
        <v>4.9896016207640059E-8</v>
      </c>
      <c r="AO213">
        <f t="shared" si="101"/>
        <v>9.6723999378458327E-8</v>
      </c>
      <c r="AP213">
        <v>2.0813508315570259</v>
      </c>
      <c r="AQ213">
        <f t="shared" si="102"/>
        <v>2.0800521028343358E-5</v>
      </c>
      <c r="AR213">
        <f t="shared" si="103"/>
        <v>1.6907952600088336E-6</v>
      </c>
      <c r="AS213">
        <f t="shared" si="104"/>
        <v>5.1295267256703383</v>
      </c>
      <c r="AT213">
        <f t="shared" si="105"/>
        <v>5.1250669936110018</v>
      </c>
      <c r="AU213">
        <f t="shared" si="106"/>
        <v>1.7772097161913374</v>
      </c>
      <c r="AV213">
        <f t="shared" si="107"/>
        <v>0.30414111536568855</v>
      </c>
      <c r="AW213">
        <f t="shared" si="108"/>
        <v>3.1441571588781228E-3</v>
      </c>
      <c r="AX213">
        <f t="shared" si="109"/>
        <v>0.30414111373362585</v>
      </c>
      <c r="AY213">
        <f t="shared" si="110"/>
        <v>1.6320627072019533E-9</v>
      </c>
      <c r="AZ213">
        <f t="shared" si="111"/>
        <v>692257.60600924003</v>
      </c>
      <c r="BA213">
        <f t="shared" si="112"/>
        <v>9.9937601642981131E-6</v>
      </c>
      <c r="BB213" s="15">
        <f t="shared" si="113"/>
        <v>3486557.2980555505</v>
      </c>
      <c r="BC213" s="20">
        <f t="shared" si="114"/>
        <v>16692.747274300549</v>
      </c>
      <c r="BD213" s="19">
        <f t="shared" si="115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86"/>
        <v>2.8502295699234246E-6</v>
      </c>
      <c r="P214" s="8">
        <f t="shared" si="87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88"/>
        <v>110762.28396237471</v>
      </c>
      <c r="X214">
        <v>2.264701976543209E-2</v>
      </c>
      <c r="Y214">
        <f t="shared" si="89"/>
        <v>6.6449921225727904</v>
      </c>
      <c r="Z214">
        <f t="shared" si="90"/>
        <v>6.6449921260745981</v>
      </c>
      <c r="AA214">
        <f t="shared" si="91"/>
        <v>-3.5018077326753883E-9</v>
      </c>
      <c r="AB214">
        <f t="shared" si="92"/>
        <v>3.0661638644763181E-6</v>
      </c>
      <c r="AC214">
        <v>697.63178377571069</v>
      </c>
      <c r="AD214">
        <f t="shared" si="93"/>
        <v>2946.6085378586245</v>
      </c>
      <c r="AE214">
        <f>+gettm2(AD214,AC214,AK214,AL214,テーブル2[[#This Row],[Fcorr]])</f>
        <v>574.77877015964202</v>
      </c>
      <c r="AF214" s="14">
        <f t="shared" si="94"/>
        <v>9.7631766493577743E-7</v>
      </c>
      <c r="AG214">
        <v>3.1667926678027158E-6</v>
      </c>
      <c r="AH214">
        <f t="shared" si="95"/>
        <v>65.064542253478393</v>
      </c>
      <c r="AI214">
        <f t="shared" si="96"/>
        <v>0.35359841974202105</v>
      </c>
      <c r="AJ214">
        <f t="shared" si="97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98"/>
        <v>2.1883527698787133</v>
      </c>
      <c r="AM214">
        <f t="shared" si="99"/>
        <v>634.44823405418833</v>
      </c>
      <c r="AN214">
        <f t="shared" si="100"/>
        <v>-1.3586236491391901E-7</v>
      </c>
      <c r="AO214">
        <f t="shared" si="101"/>
        <v>1.0062880332639771E-7</v>
      </c>
      <c r="AP214">
        <v>2.0942074905509638</v>
      </c>
      <c r="AQ214">
        <f t="shared" si="102"/>
        <v>2.0545909844962193E-5</v>
      </c>
      <c r="AR214">
        <f t="shared" si="103"/>
        <v>1.6337107355645568E-6</v>
      </c>
      <c r="AS214">
        <f t="shared" si="104"/>
        <v>5.0539695557016451</v>
      </c>
      <c r="AT214">
        <f t="shared" si="105"/>
        <v>5.0508699257262819</v>
      </c>
      <c r="AU214">
        <f t="shared" si="106"/>
        <v>1.7859796240593124</v>
      </c>
      <c r="AV214">
        <f t="shared" si="107"/>
        <v>0.30822786649165135</v>
      </c>
      <c r="AW214">
        <f t="shared" si="108"/>
        <v>3.0238613865274412E-3</v>
      </c>
      <c r="AX214">
        <f t="shared" si="109"/>
        <v>0.30822786457552914</v>
      </c>
      <c r="AY214">
        <f t="shared" si="110"/>
        <v>1.9161222053476479E-9</v>
      </c>
      <c r="AZ214">
        <f t="shared" si="111"/>
        <v>692257.60600924003</v>
      </c>
      <c r="BA214">
        <f t="shared" si="112"/>
        <v>9.8108281713560215E-6</v>
      </c>
      <c r="BB214" s="15">
        <f t="shared" si="113"/>
        <v>3694946.2287502117</v>
      </c>
      <c r="BC214" s="20">
        <f t="shared" si="114"/>
        <v>-929.65015603834763</v>
      </c>
      <c r="BD214" s="19">
        <f t="shared" si="115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86"/>
        <v>2.8502295699234246E-6</v>
      </c>
      <c r="P215" s="8">
        <f t="shared" si="87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88"/>
        <v>111631.00775815806</v>
      </c>
      <c r="X215">
        <v>2.2583366906340469E-2</v>
      </c>
      <c r="Y215">
        <f t="shared" si="89"/>
        <v>6.6543502294361172</v>
      </c>
      <c r="Z215">
        <f t="shared" si="90"/>
        <v>6.6543502370940963</v>
      </c>
      <c r="AA215">
        <f t="shared" si="91"/>
        <v>-7.6579791397080044E-9</v>
      </c>
      <c r="AB215">
        <f t="shared" si="92"/>
        <v>3.0271353797416429E-6</v>
      </c>
      <c r="AC215">
        <v>698.30483455653734</v>
      </c>
      <c r="AD215">
        <f t="shared" si="93"/>
        <v>2965.5428349452282</v>
      </c>
      <c r="AE215">
        <f>+gettm2(AD215,AC215,AK215,AL215,テーブル2[[#This Row],[Fcorr]])</f>
        <v>573.78005031173211</v>
      </c>
      <c r="AF215" s="14">
        <f t="shared" si="94"/>
        <v>0</v>
      </c>
      <c r="AG215">
        <v>3.128421966787275E-6</v>
      </c>
      <c r="AH215">
        <f t="shared" si="95"/>
        <v>65.903411407168264</v>
      </c>
      <c r="AI215">
        <f t="shared" si="96"/>
        <v>0.35587057006084638</v>
      </c>
      <c r="AJ215">
        <f t="shared" si="97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98"/>
        <v>2.1883527698787133</v>
      </c>
      <c r="AM215">
        <f t="shared" si="99"/>
        <v>634.4482338708782</v>
      </c>
      <c r="AN215">
        <f t="shared" si="100"/>
        <v>4.7447770157305058E-8</v>
      </c>
      <c r="AO215">
        <f t="shared" si="101"/>
        <v>1.0128658704563214E-7</v>
      </c>
      <c r="AP215">
        <v>2.0978640071565589</v>
      </c>
      <c r="AQ215">
        <f t="shared" si="102"/>
        <v>2.0474350402939727E-5</v>
      </c>
      <c r="AR215">
        <f t="shared" si="103"/>
        <v>1.6148542769164536E-6</v>
      </c>
      <c r="AS215">
        <f t="shared" si="104"/>
        <v>5.0277370397797849</v>
      </c>
      <c r="AT215">
        <f t="shared" si="105"/>
        <v>5.0248499509582674</v>
      </c>
      <c r="AU215">
        <f t="shared" si="106"/>
        <v>1.7881962165177345</v>
      </c>
      <c r="AV215">
        <f t="shared" si="107"/>
        <v>0.30966779063882433</v>
      </c>
      <c r="AW215">
        <f t="shared" si="108"/>
        <v>2.985371360168717E-3</v>
      </c>
      <c r="AX215">
        <f t="shared" si="109"/>
        <v>0.3096677886463734</v>
      </c>
      <c r="AY215">
        <f t="shared" si="110"/>
        <v>1.9924509264690471E-9</v>
      </c>
      <c r="AZ215">
        <f t="shared" si="111"/>
        <v>692257.60600924003</v>
      </c>
      <c r="BA215">
        <f t="shared" si="112"/>
        <v>9.7596175600965794E-6</v>
      </c>
      <c r="BB215" s="15">
        <f t="shared" si="113"/>
        <v>3738613.9456288228</v>
      </c>
      <c r="BC215" s="20">
        <f t="shared" si="114"/>
        <v>-14767.402027427219</v>
      </c>
      <c r="BD215" s="19">
        <f t="shared" si="115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79" si="116">PI()*Q216^2/4</f>
        <v>2.8502295699234246E-6</v>
      </c>
      <c r="P216" s="8">
        <f t="shared" ref="P216:P279" si="117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88"/>
        <v>112065.36965604972</v>
      </c>
      <c r="X216">
        <v>2.2551835812529709E-2</v>
      </c>
      <c r="Y216">
        <f t="shared" si="89"/>
        <v>6.6590005305057609</v>
      </c>
      <c r="Z216">
        <f t="shared" si="90"/>
        <v>6.6590005392263913</v>
      </c>
      <c r="AA216">
        <f t="shared" si="91"/>
        <v>-8.7206304399956025E-9</v>
      </c>
      <c r="AB216">
        <f t="shared" si="92"/>
        <v>3.007914367342506E-6</v>
      </c>
      <c r="AC216">
        <v>699.4912749550258</v>
      </c>
      <c r="AD216">
        <f t="shared" si="93"/>
        <v>2975.0028723136088</v>
      </c>
      <c r="AE216">
        <f>+gettm2(AD216,AC216,AK216,AL216,テーブル2[[#This Row],[Fcorr]])</f>
        <v>572.4881707752628</v>
      </c>
      <c r="AF216" s="14">
        <f t="shared" si="94"/>
        <v>9.9491273886087583E-7</v>
      </c>
      <c r="AG216">
        <v>3.1106916129621949E-6</v>
      </c>
      <c r="AH216">
        <f t="shared" si="95"/>
        <v>66.324543837517922</v>
      </c>
      <c r="AI216">
        <f t="shared" si="96"/>
        <v>0.35700579186624803</v>
      </c>
      <c r="AJ216">
        <f t="shared" si="97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98"/>
        <v>2.1883527698787133</v>
      </c>
      <c r="AM216">
        <f t="shared" si="99"/>
        <v>634.44823385057759</v>
      </c>
      <c r="AN216">
        <f t="shared" si="100"/>
        <v>6.7748374021903146E-8</v>
      </c>
      <c r="AO216">
        <f t="shared" si="101"/>
        <v>1.0277724561968892E-7</v>
      </c>
      <c r="AP216">
        <v>2.10080783312518</v>
      </c>
      <c r="AQ216">
        <f t="shared" si="102"/>
        <v>2.0417009894446049E-5</v>
      </c>
      <c r="AR216">
        <f t="shared" si="103"/>
        <v>1.6067344292909419E-6</v>
      </c>
      <c r="AS216">
        <f t="shared" si="104"/>
        <v>5.0184142175178152</v>
      </c>
      <c r="AT216">
        <f t="shared" si="105"/>
        <v>5.0155699543710988</v>
      </c>
      <c r="AU216">
        <f t="shared" si="106"/>
        <v>1.7905875232208157</v>
      </c>
      <c r="AV216">
        <f t="shared" si="107"/>
        <v>0.31022030990436433</v>
      </c>
      <c r="AW216">
        <f t="shared" si="108"/>
        <v>2.9664155313961272E-3</v>
      </c>
      <c r="AX216">
        <f t="shared" si="109"/>
        <v>0.31022030787314103</v>
      </c>
      <c r="AY216">
        <f t="shared" si="110"/>
        <v>2.0312233006691827E-9</v>
      </c>
      <c r="AZ216">
        <f t="shared" si="111"/>
        <v>692257.60600924003</v>
      </c>
      <c r="BA216">
        <f t="shared" si="112"/>
        <v>9.7186470711476393E-6</v>
      </c>
      <c r="BB216" s="15">
        <f t="shared" si="113"/>
        <v>3809628.6789195514</v>
      </c>
      <c r="BC216" s="20">
        <f t="shared" si="114"/>
        <v>-9973.9577991985716</v>
      </c>
      <c r="BD216" s="19">
        <f t="shared" si="115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16"/>
        <v>2.8502295699234246E-6</v>
      </c>
      <c r="P217" s="8">
        <f t="shared" si="117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88"/>
        <v>62113.751398508175</v>
      </c>
      <c r="X217">
        <v>2.8309260195252369E-2</v>
      </c>
      <c r="Y217">
        <f t="shared" si="89"/>
        <v>5.943410674618657</v>
      </c>
      <c r="Z217">
        <f t="shared" si="90"/>
        <v>5.9434106924163812</v>
      </c>
      <c r="AA217">
        <f t="shared" si="91"/>
        <v>-1.7797724183310493E-8</v>
      </c>
      <c r="AB217">
        <f t="shared" si="92"/>
        <v>7.799848836613821E-6</v>
      </c>
      <c r="AC217">
        <v>824.76654334572231</v>
      </c>
      <c r="AD217">
        <f t="shared" si="93"/>
        <v>1847.4684496557447</v>
      </c>
      <c r="AE217">
        <f>+gettm2(AD217,AC217,AK217,AL217,テーブル2[[#This Row],[Fcorr]])</f>
        <v>522.19509074405119</v>
      </c>
      <c r="AF217" s="14">
        <f t="shared" si="94"/>
        <v>2.2476654066849733E-6</v>
      </c>
      <c r="AG217">
        <v>7.9907672512179862E-6</v>
      </c>
      <c r="AH217">
        <f t="shared" si="95"/>
        <v>25.577232648385159</v>
      </c>
      <c r="AI217">
        <f t="shared" si="96"/>
        <v>0.22169959664755975</v>
      </c>
      <c r="AJ217">
        <f t="shared" si="97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98"/>
        <v>2.1883527698787133</v>
      </c>
      <c r="AM217">
        <f t="shared" si="99"/>
        <v>634.44823391337695</v>
      </c>
      <c r="AN217">
        <f t="shared" si="100"/>
        <v>4.949015419697389E-9</v>
      </c>
      <c r="AO217">
        <f t="shared" si="101"/>
        <v>1.9091841460416513E-7</v>
      </c>
      <c r="AP217">
        <v>1.8397548148463749</v>
      </c>
      <c r="AQ217">
        <f t="shared" si="102"/>
        <v>2.6622258678238806E-5</v>
      </c>
      <c r="AR217">
        <f t="shared" si="103"/>
        <v>4.0908428329110756E-6</v>
      </c>
      <c r="AS217">
        <f t="shared" si="104"/>
        <v>7.9345963950693328</v>
      </c>
      <c r="AT217">
        <f t="shared" si="105"/>
        <v>7.3061624439967954</v>
      </c>
      <c r="AU217">
        <f t="shared" si="106"/>
        <v>1.6197732668756388</v>
      </c>
      <c r="AV217">
        <f t="shared" si="107"/>
        <v>0.2199815479707361</v>
      </c>
      <c r="AW217">
        <f t="shared" si="108"/>
        <v>7.6922378451602441E-3</v>
      </c>
      <c r="AX217">
        <f t="shared" si="109"/>
        <v>0.21998154374930939</v>
      </c>
      <c r="AY217">
        <f t="shared" si="110"/>
        <v>4.2214267081952528E-9</v>
      </c>
      <c r="AZ217">
        <f t="shared" si="111"/>
        <v>692257.60600924003</v>
      </c>
      <c r="BA217">
        <f t="shared" si="112"/>
        <v>1.4470547087798678E-5</v>
      </c>
      <c r="BB217" s="15">
        <f t="shared" si="113"/>
        <v>4752852.6740098186</v>
      </c>
      <c r="BC217" s="20">
        <f t="shared" si="114"/>
        <v>-4953.2830214314163</v>
      </c>
      <c r="BD217" s="19">
        <f t="shared" si="115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16"/>
        <v>2.8502295699234246E-6</v>
      </c>
      <c r="P218" s="8">
        <f t="shared" si="117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88"/>
        <v>63416.837092183174</v>
      </c>
      <c r="X218">
        <v>2.8068795115359171E-2</v>
      </c>
      <c r="Y218">
        <f t="shared" si="89"/>
        <v>5.968814950259774</v>
      </c>
      <c r="Z218">
        <f t="shared" si="90"/>
        <v>5.9688149656214256</v>
      </c>
      <c r="AA218">
        <f t="shared" si="91"/>
        <v>-1.5361651506395901E-8</v>
      </c>
      <c r="AB218">
        <f t="shared" si="92"/>
        <v>7.5467037009651267E-6</v>
      </c>
      <c r="AC218">
        <v>825.31097339210407</v>
      </c>
      <c r="AD218">
        <f t="shared" si="93"/>
        <v>1878.1984331468373</v>
      </c>
      <c r="AE218">
        <f>+gettm2(AD218,AC218,AK218,AL218,テーブル2[[#This Row],[Fcorr]])</f>
        <v>519.97022270798607</v>
      </c>
      <c r="AF218" s="14">
        <f t="shared" si="94"/>
        <v>0</v>
      </c>
      <c r="AG218">
        <v>7.7373697165469102E-6</v>
      </c>
      <c r="AH218">
        <f t="shared" si="95"/>
        <v>26.435190279273151</v>
      </c>
      <c r="AI218">
        <f t="shared" si="96"/>
        <v>0.22538725093266049</v>
      </c>
      <c r="AJ218">
        <f t="shared" si="97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98"/>
        <v>2.1883527698787133</v>
      </c>
      <c r="AM218">
        <f t="shared" si="99"/>
        <v>634.44823380953187</v>
      </c>
      <c r="AN218">
        <f t="shared" si="100"/>
        <v>1.0879409728659084E-7</v>
      </c>
      <c r="AO218">
        <f t="shared" si="101"/>
        <v>1.9066601558178352E-7</v>
      </c>
      <c r="AP218">
        <v>1.8519804458428031</v>
      </c>
      <c r="AQ218">
        <f t="shared" si="102"/>
        <v>2.6271931413437306E-5</v>
      </c>
      <c r="AR218">
        <f t="shared" si="103"/>
        <v>3.9640178660643473E-6</v>
      </c>
      <c r="AS218">
        <f t="shared" si="104"/>
        <v>7.8164956902972458</v>
      </c>
      <c r="AT218">
        <f t="shared" si="105"/>
        <v>7.2311816633771677</v>
      </c>
      <c r="AU218">
        <f t="shared" si="106"/>
        <v>1.6298161561032429</v>
      </c>
      <c r="AV218">
        <f t="shared" si="107"/>
        <v>0.22216428973956015</v>
      </c>
      <c r="AW218">
        <f t="shared" si="108"/>
        <v>7.4425852386104377E-3</v>
      </c>
      <c r="AX218">
        <f t="shared" si="109"/>
        <v>0.22216428345028794</v>
      </c>
      <c r="AY218">
        <f t="shared" si="110"/>
        <v>6.2892722141327795E-9</v>
      </c>
      <c r="AZ218">
        <f t="shared" si="111"/>
        <v>692257.60600924003</v>
      </c>
      <c r="BA218">
        <f t="shared" si="112"/>
        <v>1.4185857886572567E-5</v>
      </c>
      <c r="BB218" s="15">
        <f t="shared" si="113"/>
        <v>4841825.9114256492</v>
      </c>
      <c r="BC218" s="20">
        <f t="shared" si="114"/>
        <v>-27420.436230600812</v>
      </c>
      <c r="BD218" s="19">
        <f t="shared" si="115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16"/>
        <v>2.8502295699234246E-6</v>
      </c>
      <c r="P219" s="8">
        <f t="shared" si="117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88"/>
        <v>69932.265560558153</v>
      </c>
      <c r="X219">
        <v>2.6977699453061811E-2</v>
      </c>
      <c r="Y219">
        <f t="shared" si="89"/>
        <v>6.0883210266442163</v>
      </c>
      <c r="Z219">
        <f t="shared" si="90"/>
        <v>6.0883210344052818</v>
      </c>
      <c r="AA219">
        <f t="shared" si="91"/>
        <v>-7.7610655679904994E-9</v>
      </c>
      <c r="AB219">
        <f t="shared" si="92"/>
        <v>6.4569900462768678E-6</v>
      </c>
      <c r="AC219">
        <v>818.92667708811109</v>
      </c>
      <c r="AD219">
        <f t="shared" si="93"/>
        <v>2030.509683425191</v>
      </c>
      <c r="AE219">
        <f>+gettm2(AD219,AC219,AK219,AL219,テーブル2[[#This Row],[Fcorr]])</f>
        <v>514.79157500145857</v>
      </c>
      <c r="AF219" s="14">
        <f t="shared" si="94"/>
        <v>2.1892666381972958E-6</v>
      </c>
      <c r="AG219">
        <v>6.6449034299615249E-6</v>
      </c>
      <c r="AH219">
        <f t="shared" si="95"/>
        <v>30.896524059432281</v>
      </c>
      <c r="AI219">
        <f t="shared" si="96"/>
        <v>0.24366487984583013</v>
      </c>
      <c r="AJ219">
        <f t="shared" si="97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98"/>
        <v>2.1883527698787133</v>
      </c>
      <c r="AM219">
        <f t="shared" si="99"/>
        <v>634.44823397229902</v>
      </c>
      <c r="AN219">
        <f t="shared" si="100"/>
        <v>-5.3973053582012653E-8</v>
      </c>
      <c r="AO219">
        <f t="shared" si="101"/>
        <v>1.8791338368465703E-7</v>
      </c>
      <c r="AP219">
        <v>1.9088777488394839</v>
      </c>
      <c r="AQ219">
        <f t="shared" si="102"/>
        <v>2.4729114434388177E-5</v>
      </c>
      <c r="AR219">
        <f t="shared" si="103"/>
        <v>3.4164084068230909E-6</v>
      </c>
      <c r="AS219">
        <f t="shared" si="104"/>
        <v>7.2829924961569716</v>
      </c>
      <c r="AT219">
        <f t="shared" si="105"/>
        <v>6.8777091745608114</v>
      </c>
      <c r="AU219">
        <f t="shared" si="106"/>
        <v>1.6758561796339235</v>
      </c>
      <c r="AV219">
        <f t="shared" si="107"/>
        <v>0.23302156920556039</v>
      </c>
      <c r="AW219">
        <f t="shared" si="108"/>
        <v>6.3679058710266979E-3</v>
      </c>
      <c r="AX219">
        <f t="shared" si="109"/>
        <v>0.23302156388499778</v>
      </c>
      <c r="AY219">
        <f t="shared" si="110"/>
        <v>5.3205626016072927E-9</v>
      </c>
      <c r="AZ219">
        <f t="shared" si="111"/>
        <v>692257.60600924003</v>
      </c>
      <c r="BA219">
        <f t="shared" si="112"/>
        <v>1.2954792128213774E-5</v>
      </c>
      <c r="BB219" s="15">
        <f t="shared" si="113"/>
        <v>5225390.4604399959</v>
      </c>
      <c r="BC219" s="20">
        <f t="shared" si="114"/>
        <v>19372.394033745863</v>
      </c>
      <c r="BD219" s="19">
        <f t="shared" si="115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16"/>
        <v>2.8502295699234246E-6</v>
      </c>
      <c r="P220" s="8">
        <f t="shared" si="117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88"/>
        <v>71669.713152124823</v>
      </c>
      <c r="X220">
        <v>2.6714291734591781E-2</v>
      </c>
      <c r="Y220">
        <f t="shared" si="89"/>
        <v>6.1182633683354553</v>
      </c>
      <c r="Z220">
        <f t="shared" si="90"/>
        <v>6.1182633714951056</v>
      </c>
      <c r="AA220">
        <f t="shared" si="91"/>
        <v>-3.1596503191622105E-9</v>
      </c>
      <c r="AB220">
        <f t="shared" si="92"/>
        <v>6.2083362143430346E-6</v>
      </c>
      <c r="AC220">
        <v>817.88575613791932</v>
      </c>
      <c r="AD220">
        <f t="shared" si="93"/>
        <v>2070.7730741799423</v>
      </c>
      <c r="AE220">
        <f>+gettm2(AD220,AC220,AK220,AL220,テーブル2[[#This Row],[Fcorr]])</f>
        <v>513.14887331007878</v>
      </c>
      <c r="AF220" s="14">
        <f t="shared" si="94"/>
        <v>0</v>
      </c>
      <c r="AG220">
        <v>6.3966377394363868E-6</v>
      </c>
      <c r="AH220">
        <f t="shared" si="95"/>
        <v>32.133979447731782</v>
      </c>
      <c r="AI220">
        <f t="shared" si="96"/>
        <v>0.24849656045810511</v>
      </c>
      <c r="AJ220">
        <f t="shared" si="97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98"/>
        <v>2.1883527698787133</v>
      </c>
      <c r="AM220">
        <f t="shared" si="99"/>
        <v>634.44823382026959</v>
      </c>
      <c r="AN220">
        <f t="shared" si="100"/>
        <v>9.8056375463784207E-8</v>
      </c>
      <c r="AO220">
        <f t="shared" si="101"/>
        <v>1.8830152509335223E-7</v>
      </c>
      <c r="AP220">
        <v>1.92341716461832</v>
      </c>
      <c r="AQ220">
        <f t="shared" si="102"/>
        <v>2.4356664871989077E-5</v>
      </c>
      <c r="AR220">
        <f t="shared" si="103"/>
        <v>3.2924696322648695E-6</v>
      </c>
      <c r="AS220">
        <f t="shared" si="104"/>
        <v>7.157960590077928</v>
      </c>
      <c r="AT220">
        <f t="shared" si="105"/>
        <v>6.7911255330585369</v>
      </c>
      <c r="AU220">
        <f t="shared" si="106"/>
        <v>1.687571336604262</v>
      </c>
      <c r="AV220">
        <f t="shared" si="107"/>
        <v>0.23584582801405807</v>
      </c>
      <c r="AW220">
        <f t="shared" si="108"/>
        <v>6.1226826037029799E-3</v>
      </c>
      <c r="AX220">
        <f t="shared" si="109"/>
        <v>0.23584582091738984</v>
      </c>
      <c r="AY220">
        <f t="shared" si="110"/>
        <v>7.0966682252926461E-9</v>
      </c>
      <c r="AZ220">
        <f t="shared" si="111"/>
        <v>692257.60600924003</v>
      </c>
      <c r="BA220">
        <f t="shared" si="112"/>
        <v>1.2663225284683563E-5</v>
      </c>
      <c r="BB220" s="15">
        <f t="shared" si="113"/>
        <v>5356745.1889211992</v>
      </c>
      <c r="BC220" s="20">
        <f t="shared" si="114"/>
        <v>47942.55220244918</v>
      </c>
      <c r="BD220" s="19">
        <f t="shared" si="115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16"/>
        <v>2.8502295699234246E-6</v>
      </c>
      <c r="P221" s="8">
        <f t="shared" si="117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88"/>
        <v>89478.550965683113</v>
      </c>
      <c r="X221">
        <v>2.4506073586138089E-2</v>
      </c>
      <c r="Y221">
        <f t="shared" si="89"/>
        <v>6.3879739049883169</v>
      </c>
      <c r="Z221">
        <f t="shared" si="90"/>
        <v>6.3879739206029766</v>
      </c>
      <c r="AA221">
        <f t="shared" si="91"/>
        <v>-1.5614659787388518E-8</v>
      </c>
      <c r="AB221">
        <f t="shared" si="92"/>
        <v>4.3418879052211344E-6</v>
      </c>
      <c r="AC221">
        <v>804.34668939333199</v>
      </c>
      <c r="AD221">
        <f t="shared" si="93"/>
        <v>2476.1720656518692</v>
      </c>
      <c r="AE221">
        <f>+gettm2(AD221,AC221,AK221,AL221,テーブル2[[#This Row],[Fcorr]])</f>
        <v>500.89519821428627</v>
      </c>
      <c r="AF221" s="14">
        <f t="shared" si="94"/>
        <v>0</v>
      </c>
      <c r="AG221">
        <v>4.5237369909956687E-6</v>
      </c>
      <c r="AH221">
        <f t="shared" si="95"/>
        <v>45.947420263063528</v>
      </c>
      <c r="AI221">
        <f t="shared" si="96"/>
        <v>0.29714518171461496</v>
      </c>
      <c r="AJ221">
        <f t="shared" si="97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98"/>
        <v>2.1883527698787133</v>
      </c>
      <c r="AM221">
        <f t="shared" si="99"/>
        <v>634.44823377510977</v>
      </c>
      <c r="AN221">
        <f t="shared" si="100"/>
        <v>1.4321619801194174E-7</v>
      </c>
      <c r="AO221">
        <f t="shared" si="101"/>
        <v>1.8184908577453431E-7</v>
      </c>
      <c r="AP221">
        <v>2.0490560465612608</v>
      </c>
      <c r="AQ221">
        <f t="shared" si="102"/>
        <v>2.1461354103123956E-5</v>
      </c>
      <c r="AR221">
        <f t="shared" si="103"/>
        <v>2.3527930383851015E-6</v>
      </c>
      <c r="AS221">
        <f t="shared" si="104"/>
        <v>6.1164518613221777</v>
      </c>
      <c r="AT221">
        <f t="shared" si="105"/>
        <v>6.0049108358792296</v>
      </c>
      <c r="AU221">
        <f t="shared" si="106"/>
        <v>1.784330321507394</v>
      </c>
      <c r="AV221">
        <f t="shared" si="107"/>
        <v>0.26472572505386682</v>
      </c>
      <c r="AW221">
        <f t="shared" si="108"/>
        <v>4.2819848388863276E-3</v>
      </c>
      <c r="AX221">
        <f t="shared" si="109"/>
        <v>0.26472572450722531</v>
      </c>
      <c r="AY221">
        <f t="shared" si="110"/>
        <v>5.4664150983541049E-10</v>
      </c>
      <c r="AZ221">
        <f t="shared" si="111"/>
        <v>692257.60600924003</v>
      </c>
      <c r="BA221">
        <f t="shared" si="112"/>
        <v>1.0473776029279697E-5</v>
      </c>
      <c r="BB221" s="15">
        <f t="shared" si="113"/>
        <v>6254596.8717347672</v>
      </c>
      <c r="BC221" s="20">
        <f t="shared" si="114"/>
        <v>37543.649078517221</v>
      </c>
      <c r="BD221" s="19">
        <f t="shared" si="115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16"/>
        <v>2.8502295699234246E-6</v>
      </c>
      <c r="P222" s="8">
        <f t="shared" si="117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88"/>
        <v>91650.360455141446</v>
      </c>
      <c r="X222">
        <v>2.428498830340196E-2</v>
      </c>
      <c r="Y222">
        <f t="shared" si="89"/>
        <v>6.416985392635616</v>
      </c>
      <c r="Z222">
        <f t="shared" si="90"/>
        <v>6.416985400684486</v>
      </c>
      <c r="AA222">
        <f t="shared" si="91"/>
        <v>-8.0488700149317083E-9</v>
      </c>
      <c r="AB222">
        <f t="shared" si="92"/>
        <v>4.1762257979177299E-6</v>
      </c>
      <c r="AC222">
        <v>803.22431206662066</v>
      </c>
      <c r="AD222">
        <f t="shared" si="93"/>
        <v>2524.8067203953942</v>
      </c>
      <c r="AE222">
        <f>+gettm2(AD222,AC222,AK222,AL222,テーブル2[[#This Row],[Fcorr]])</f>
        <v>499.32176043104204</v>
      </c>
      <c r="AF222" s="14">
        <f t="shared" si="94"/>
        <v>0</v>
      </c>
      <c r="AG222">
        <v>4.3579957719578812E-6</v>
      </c>
      <c r="AH222">
        <f t="shared" si="95"/>
        <v>47.770057935032668</v>
      </c>
      <c r="AI222">
        <f t="shared" si="96"/>
        <v>0.30298142933320998</v>
      </c>
      <c r="AJ222">
        <f t="shared" si="97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98"/>
        <v>2.1883527698787133</v>
      </c>
      <c r="AM222">
        <f t="shared" si="99"/>
        <v>634.44823371085658</v>
      </c>
      <c r="AN222">
        <f t="shared" si="100"/>
        <v>2.0746938389493152E-7</v>
      </c>
      <c r="AO222">
        <f t="shared" si="101"/>
        <v>1.817699740401513E-7</v>
      </c>
      <c r="AP222">
        <v>2.0626425005871099</v>
      </c>
      <c r="AQ222">
        <f t="shared" si="102"/>
        <v>2.11795569598776E-5</v>
      </c>
      <c r="AR222">
        <f t="shared" si="103"/>
        <v>2.2698828729990163E-6</v>
      </c>
      <c r="AS222">
        <f t="shared" si="104"/>
        <v>6.0168142070953499</v>
      </c>
      <c r="AT222">
        <f t="shared" si="105"/>
        <v>5.9227895888251387</v>
      </c>
      <c r="AU222">
        <f t="shared" si="106"/>
        <v>1.7944952552620956</v>
      </c>
      <c r="AV222">
        <f t="shared" si="107"/>
        <v>0.26814724532501422</v>
      </c>
      <c r="AW222">
        <f t="shared" si="108"/>
        <v>4.1186082968530501E-3</v>
      </c>
      <c r="AX222">
        <f t="shared" si="109"/>
        <v>0.26814724458671307</v>
      </c>
      <c r="AY222">
        <f t="shared" si="110"/>
        <v>7.3830114244444189E-10</v>
      </c>
      <c r="AZ222">
        <f t="shared" si="111"/>
        <v>692257.60600924003</v>
      </c>
      <c r="BA222">
        <f t="shared" si="112"/>
        <v>1.0268166661866542E-5</v>
      </c>
      <c r="BB222" s="15">
        <f t="shared" si="113"/>
        <v>6377063.1859234963</v>
      </c>
      <c r="BC222" s="20">
        <f t="shared" si="114"/>
        <v>40893.752329746261</v>
      </c>
      <c r="BD222" s="19">
        <f t="shared" si="115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16"/>
        <v>2.8502295699234246E-6</v>
      </c>
      <c r="P223" s="8">
        <f t="shared" si="117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88"/>
        <v>111196.64586026638</v>
      </c>
      <c r="X223">
        <v>2.2615094215070311E-2</v>
      </c>
      <c r="Y223">
        <f t="shared" si="89"/>
        <v>6.6496808099286682</v>
      </c>
      <c r="Z223">
        <f t="shared" si="90"/>
        <v>6.6496808158942153</v>
      </c>
      <c r="AA223">
        <f t="shared" si="91"/>
        <v>-5.9655471673636384E-9</v>
      </c>
      <c r="AB223">
        <f t="shared" si="92"/>
        <v>3.0465509744099373E-6</v>
      </c>
      <c r="AC223">
        <v>790.92049740726429</v>
      </c>
      <c r="AD223">
        <f t="shared" si="93"/>
        <v>2956.0780652656936</v>
      </c>
      <c r="AE223">
        <f>+gettm2(AD223,AC223,AK223,AL223,テーブル2[[#This Row],[Fcorr]])</f>
        <v>489.26121660837094</v>
      </c>
      <c r="AF223" s="14">
        <f t="shared" si="94"/>
        <v>0</v>
      </c>
      <c r="AG223">
        <v>3.224412197281791E-6</v>
      </c>
      <c r="AH223">
        <f t="shared" si="95"/>
        <v>65.483410582009824</v>
      </c>
      <c r="AI223">
        <f t="shared" si="96"/>
        <v>0.3547347803694415</v>
      </c>
      <c r="AJ223">
        <f t="shared" si="97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98"/>
        <v>2.1883527698787133</v>
      </c>
      <c r="AM223">
        <f t="shared" si="99"/>
        <v>634.44823399622726</v>
      </c>
      <c r="AN223">
        <f t="shared" si="100"/>
        <v>-7.7901290751469787E-8</v>
      </c>
      <c r="AO223">
        <f t="shared" si="101"/>
        <v>1.7786122287185373E-7</v>
      </c>
      <c r="AP223">
        <v>2.167855753000727</v>
      </c>
      <c r="AQ223">
        <f t="shared" si="102"/>
        <v>1.9173616331603264E-5</v>
      </c>
      <c r="AR223">
        <f t="shared" si="103"/>
        <v>1.7011367100768224E-6</v>
      </c>
      <c r="AS223">
        <f t="shared" si="104"/>
        <v>5.2794676269567891</v>
      </c>
      <c r="AT223">
        <f t="shared" si="105"/>
        <v>5.2691263220339088</v>
      </c>
      <c r="AU223">
        <f t="shared" si="106"/>
        <v>1.8691423685855417</v>
      </c>
      <c r="AV223">
        <f t="shared" si="107"/>
        <v>0.29871338441518525</v>
      </c>
      <c r="AW223">
        <f t="shared" si="108"/>
        <v>3.0045190866467833E-3</v>
      </c>
      <c r="AX223">
        <f t="shared" si="109"/>
        <v>0.29871338330912067</v>
      </c>
      <c r="AY223">
        <f t="shared" si="110"/>
        <v>1.1060645732641206E-9</v>
      </c>
      <c r="AZ223">
        <f t="shared" si="111"/>
        <v>692257.60600924003</v>
      </c>
      <c r="BA223">
        <f t="shared" si="112"/>
        <v>8.8445074378511177E-6</v>
      </c>
      <c r="BB223" s="15">
        <f t="shared" si="113"/>
        <v>7244344.6957942601</v>
      </c>
      <c r="BC223" s="20">
        <f t="shared" si="114"/>
        <v>-16201.690924489871</v>
      </c>
      <c r="BD223" s="19">
        <f t="shared" si="115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16"/>
        <v>2.8502295699234246E-6</v>
      </c>
      <c r="P224" s="8">
        <f t="shared" si="117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88"/>
        <v>116843.35053285804</v>
      </c>
      <c r="X224">
        <v>2.2217391970833882E-2</v>
      </c>
      <c r="Y224">
        <f t="shared" si="89"/>
        <v>6.7089331033772375</v>
      </c>
      <c r="Z224">
        <f t="shared" si="90"/>
        <v>6.7089331074216236</v>
      </c>
      <c r="AA224">
        <f t="shared" si="91"/>
        <v>-4.0443861593075781E-9</v>
      </c>
      <c r="AB224">
        <f t="shared" si="92"/>
        <v>2.8085951652339211E-6</v>
      </c>
      <c r="AC224">
        <v>789.22604747791456</v>
      </c>
      <c r="AD224">
        <f t="shared" si="93"/>
        <v>3078.7579867486661</v>
      </c>
      <c r="AE224">
        <f>+gettm2(AD224,AC224,AK224,AL224,テーブル2[[#This Row],[Fcorr]])</f>
        <v>485.37357309828798</v>
      </c>
      <c r="AF224" s="14">
        <f t="shared" si="94"/>
        <v>0</v>
      </c>
      <c r="AG224">
        <v>2.9866244859684379E-6</v>
      </c>
      <c r="AH224">
        <f t="shared" si="95"/>
        <v>71.031436209031654</v>
      </c>
      <c r="AI224">
        <f t="shared" si="96"/>
        <v>0.36945659557261706</v>
      </c>
      <c r="AJ224">
        <f t="shared" si="97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98"/>
        <v>2.1883527698787133</v>
      </c>
      <c r="AM224">
        <f t="shared" si="99"/>
        <v>634.44823392618332</v>
      </c>
      <c r="AN224">
        <f t="shared" si="100"/>
        <v>-7.8573521022917703E-9</v>
      </c>
      <c r="AO224">
        <f t="shared" si="101"/>
        <v>1.7802932073451678E-7</v>
      </c>
      <c r="AP224">
        <v>2.1953057784014569</v>
      </c>
      <c r="AQ224">
        <f t="shared" si="102"/>
        <v>1.8697121675960991E-5</v>
      </c>
      <c r="AR224">
        <f t="shared" si="103"/>
        <v>1.5823269033514773E-6</v>
      </c>
      <c r="AS224">
        <f t="shared" si="104"/>
        <v>5.1145423531135386</v>
      </c>
      <c r="AT224">
        <f t="shared" si="105"/>
        <v>5.1104396193435928</v>
      </c>
      <c r="AU224">
        <f t="shared" si="106"/>
        <v>1.8880856236421049</v>
      </c>
      <c r="AV224">
        <f t="shared" si="107"/>
        <v>0.30722015475935205</v>
      </c>
      <c r="AW224">
        <f t="shared" si="108"/>
        <v>2.7698462462928514E-3</v>
      </c>
      <c r="AX224">
        <f t="shared" si="109"/>
        <v>0.30722014808514947</v>
      </c>
      <c r="AY224">
        <f t="shared" si="110"/>
        <v>6.6742025794930271E-9</v>
      </c>
      <c r="AZ224">
        <f t="shared" si="111"/>
        <v>692257.60600924003</v>
      </c>
      <c r="BA224">
        <f t="shared" si="112"/>
        <v>8.5168644203977657E-6</v>
      </c>
      <c r="BB224" s="15">
        <f t="shared" si="113"/>
        <v>7530144.0635849703</v>
      </c>
      <c r="BC224" s="20">
        <f t="shared" si="114"/>
        <v>-53840.31141502969</v>
      </c>
      <c r="BD224" s="19">
        <f t="shared" si="115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16"/>
        <v>2.8502295699234246E-6</v>
      </c>
      <c r="P225" s="8">
        <f t="shared" si="117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88"/>
        <v>121186.96951177469</v>
      </c>
      <c r="X225">
        <v>2.193170298710009E-2</v>
      </c>
      <c r="Y225">
        <f t="shared" si="89"/>
        <v>6.7524880163745191</v>
      </c>
      <c r="Z225">
        <f t="shared" si="90"/>
        <v>6.7524880375115002</v>
      </c>
      <c r="AA225">
        <f t="shared" si="91"/>
        <v>-2.1136981054326043E-8</v>
      </c>
      <c r="AB225">
        <f t="shared" si="92"/>
        <v>2.6448802811588884E-6</v>
      </c>
      <c r="AC225">
        <v>785.38105102733152</v>
      </c>
      <c r="AD225">
        <f t="shared" si="93"/>
        <v>3172.6131066587318</v>
      </c>
      <c r="AE225">
        <f>+gettm2(AD225,AC225,AK225,AL225,テーブル2[[#This Row],[Fcorr]])</f>
        <v>484.99073347646271</v>
      </c>
      <c r="AF225" s="14">
        <f t="shared" si="94"/>
        <v>0</v>
      </c>
      <c r="AG225">
        <v>2.8221507772346971E-6</v>
      </c>
      <c r="AH225">
        <f t="shared" si="95"/>
        <v>75.428196027419119</v>
      </c>
      <c r="AI225">
        <f t="shared" si="96"/>
        <v>0.38071938180923576</v>
      </c>
      <c r="AJ225">
        <f t="shared" si="97"/>
        <v>9.4000971599180332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98"/>
        <v>2.1883527698787133</v>
      </c>
      <c r="AM225">
        <f t="shared" si="99"/>
        <v>634.44823376319073</v>
      </c>
      <c r="AN225">
        <f t="shared" si="100"/>
        <v>1.5513523976551369E-7</v>
      </c>
      <c r="AO225">
        <f t="shared" si="101"/>
        <v>1.7727049607580871E-7</v>
      </c>
      <c r="AP225">
        <v>2.2154990355576492</v>
      </c>
      <c r="AQ225">
        <f t="shared" si="102"/>
        <v>1.835784356644748E-5</v>
      </c>
      <c r="AR225">
        <f t="shared" si="103"/>
        <v>1.4997106366552529E-6</v>
      </c>
      <c r="AS225">
        <f t="shared" si="104"/>
        <v>4.9952772934886784</v>
      </c>
      <c r="AT225">
        <f t="shared" si="105"/>
        <v>4.9952772934886784</v>
      </c>
      <c r="AU225">
        <f t="shared" si="106"/>
        <v>1.9017988831427219</v>
      </c>
      <c r="AV225">
        <f t="shared" si="107"/>
        <v>0.31370015241492721</v>
      </c>
      <c r="AW225">
        <f t="shared" si="108"/>
        <v>2.6083900625285634E-3</v>
      </c>
      <c r="AX225">
        <f t="shared" si="109"/>
        <v>0.31370013959615861</v>
      </c>
      <c r="AY225">
        <f t="shared" si="110"/>
        <v>1.281876860215192E-8</v>
      </c>
      <c r="AZ225">
        <f t="shared" si="111"/>
        <v>692257.60600924003</v>
      </c>
      <c r="BA225">
        <f t="shared" si="112"/>
        <v>8.2860986494750345E-6</v>
      </c>
      <c r="BB225" s="15">
        <f t="shared" si="113"/>
        <v>7706866.650425992</v>
      </c>
      <c r="BC225" s="20">
        <f t="shared" si="114"/>
        <v>-4949.7558240080252</v>
      </c>
      <c r="BD225" s="19">
        <f t="shared" si="115"/>
        <v>-6.418404644587393E-2</v>
      </c>
      <c r="BE225" s="15">
        <v>3564686.7</v>
      </c>
      <c r="BF225" s="16">
        <f>テーブル2[[#This Row],[q_P]]/テーブル2[[#This Row],[q_M]]</f>
        <v>2.1620039288238124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7.7068666504259919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s="35" t="s">
        <v>172</v>
      </c>
      <c r="B226" s="36">
        <v>12065825.263044</v>
      </c>
      <c r="C226" s="22">
        <f>TsatFromP(テーブル2[[#This Row],[P]])</f>
        <v>598.16775841222602</v>
      </c>
      <c r="D226" s="36">
        <f>RhoGFromP(テーブル2[[#This Row],[P]])</f>
        <v>70.719127092768275</v>
      </c>
      <c r="E226" s="36">
        <f>RhoFFromP(テーブル2[[#This Row],[P]])</f>
        <v>654.05698086007123</v>
      </c>
      <c r="F226" s="36">
        <f>HgFromP(テーブル2[[#This Row],[P]])</f>
        <v>2683685.0883769183</v>
      </c>
      <c r="G226" s="36">
        <f>HfFromP(テーブル2[[#This Row],[P]])</f>
        <v>1493933.1953330557</v>
      </c>
      <c r="H226" s="36">
        <f>MuGFromP(テーブル2[[#This Row],[P]])</f>
        <v>2.1145404359091978E-5</v>
      </c>
      <c r="I226" s="36">
        <f>MuFFromP(テーブル2[[#This Row],[P]])</f>
        <v>7.6371158483289308E-5</v>
      </c>
      <c r="J226" s="36">
        <f>KfFromP(テーブル2[[#This Row],[P]])</f>
        <v>0.51093471001104362</v>
      </c>
      <c r="K226" s="36">
        <f>CpFFromP(テーブル2[[#This Row],[P]])</f>
        <v>6848.0719740576842</v>
      </c>
      <c r="L226" s="36">
        <f>SigmaFromP(テーブル2[[#This Row],[P]])</f>
        <v>8.6953190176294083E-3</v>
      </c>
      <c r="M226" s="36">
        <v>1.01</v>
      </c>
      <c r="N226" s="36">
        <v>2305.5909999999999</v>
      </c>
      <c r="O226" s="37">
        <f t="shared" si="116"/>
        <v>2.8502295699234246E-6</v>
      </c>
      <c r="P226" s="37">
        <f t="shared" si="117"/>
        <v>5.9847340050885557E-3</v>
      </c>
      <c r="Q226" s="37">
        <v>1.905E-3</v>
      </c>
      <c r="R226" s="36">
        <v>0.15240000000000001</v>
      </c>
      <c r="S226" s="38">
        <v>3731614.4943237305</v>
      </c>
      <c r="T226" s="36">
        <v>509.74524427839719</v>
      </c>
      <c r="U226" s="12">
        <f>+T226+BG226*S226*テーブル2[[#This Row],[Pw]]*R226/(N226*O226*K226)</f>
        <v>585.37560386235907</v>
      </c>
      <c r="V226" s="36">
        <v>0.03</v>
      </c>
      <c r="W226" s="37">
        <f t="shared" si="88"/>
        <v>57510.596175662853</v>
      </c>
      <c r="X226" s="36">
        <v>3.9249801292481394E-2</v>
      </c>
      <c r="Y226" s="36">
        <f t="shared" si="89"/>
        <v>5.0475574281791085</v>
      </c>
      <c r="Z226" s="36">
        <f t="shared" si="90"/>
        <v>5.0475574398034828</v>
      </c>
      <c r="AA226" s="36">
        <f t="shared" si="91"/>
        <v>-1.1624374351981714E-8</v>
      </c>
      <c r="AB226" s="36">
        <f t="shared" si="92"/>
        <v>2.6167988472448132E-5</v>
      </c>
      <c r="AC226" s="36">
        <v>629.34792292689303</v>
      </c>
      <c r="AD226" s="36">
        <f t="shared" si="93"/>
        <v>2014.1490772776865</v>
      </c>
      <c r="AE226" s="36">
        <f>+gettm2(AD226,AC226,AK226,AL226,テーブル2[[#This Row],[Fcorr]])</f>
        <v>585.37560415583823</v>
      </c>
      <c r="AF226" s="39">
        <f t="shared" si="94"/>
        <v>2.9347916097322013E-7</v>
      </c>
      <c r="AG226" s="36">
        <v>2.625405944580158E-5</v>
      </c>
      <c r="AH226" s="36">
        <f t="shared" si="95"/>
        <v>39.874607985789545</v>
      </c>
      <c r="AI226" s="36">
        <f t="shared" si="96"/>
        <v>0.24691098987247131</v>
      </c>
      <c r="AJ226" s="36">
        <f t="shared" si="97"/>
        <v>55.516629509243863</v>
      </c>
      <c r="AK226" s="36">
        <f>+S88*テーブル2[[#This Row],[F_form]]/(E88*CpFromTP((テーブル2[[#This Row],[Tin]]+テーブル2[[#This Row],[Tf]])/2,テーブル2[[#This Row],[P]])*AI88)</f>
        <v>1.9843631878967436</v>
      </c>
      <c r="AL226" s="36">
        <f t="shared" si="98"/>
        <v>1.0236047381169835</v>
      </c>
      <c r="AM226" s="36">
        <f t="shared" si="99"/>
        <v>598.16775841135518</v>
      </c>
      <c r="AN226" s="36">
        <f t="shared" si="100"/>
        <v>8.7084117694757879E-10</v>
      </c>
      <c r="AO226" s="36">
        <f t="shared" si="101"/>
        <v>8.6070973353447749E-8</v>
      </c>
      <c r="AP226" s="36">
        <v>3.6368670214264585</v>
      </c>
      <c r="AQ226" s="36">
        <f t="shared" si="102"/>
        <v>6.4723491438922553E-5</v>
      </c>
      <c r="AR226" s="36">
        <f t="shared" si="103"/>
        <v>1.3170065209577514E-5</v>
      </c>
      <c r="AS226" s="36">
        <f t="shared" si="104"/>
        <v>27.849317259377958</v>
      </c>
      <c r="AT226" s="36">
        <f t="shared" si="105"/>
        <v>13.584042255746027</v>
      </c>
      <c r="AU226" s="36">
        <f t="shared" si="106"/>
        <v>3.3540493198357297</v>
      </c>
      <c r="AV226" s="36">
        <f t="shared" si="107"/>
        <v>0.28281770159072872</v>
      </c>
      <c r="AW226" s="36">
        <f t="shared" si="108"/>
        <v>1.4145211264392006E-2</v>
      </c>
      <c r="AX226" s="36">
        <f t="shared" si="109"/>
        <v>0.28281769085427311</v>
      </c>
      <c r="AY226" s="36">
        <f t="shared" si="110"/>
        <v>1.0736455613447049E-8</v>
      </c>
      <c r="AZ226" s="36">
        <f t="shared" si="111"/>
        <v>1189751.8930438627</v>
      </c>
      <c r="BA226" s="36">
        <f t="shared" si="112"/>
        <v>1.77964965608054E-5</v>
      </c>
      <c r="BB226" s="38">
        <f t="shared" si="113"/>
        <v>3763519.6605245704</v>
      </c>
      <c r="BC226" s="40">
        <f t="shared" si="114"/>
        <v>31905.166200839914</v>
      </c>
      <c r="BD226" s="41">
        <f t="shared" si="115"/>
        <v>0.85499630922143233</v>
      </c>
      <c r="BE226" s="38">
        <v>3217681.8</v>
      </c>
      <c r="BF226" s="42">
        <f>テーブル2[[#This Row],[q_P]]/テーブル2[[#This Row],[q_M]]</f>
        <v>1.1696369916144507</v>
      </c>
      <c r="BG226" s="36">
        <v>1</v>
      </c>
      <c r="BH226" s="36">
        <v>-2.1000000000000001E-2</v>
      </c>
      <c r="BI226" s="36">
        <v>4.5999999999999999E-2</v>
      </c>
      <c r="BJ226" s="36">
        <v>5625</v>
      </c>
      <c r="BK226" s="22">
        <v>1</v>
      </c>
      <c r="BL226" s="36">
        <f>テーブル2[[#This Row],[Ts]]-テーブル2[[#This Row],[Tin]]</f>
        <v>88.422514133828827</v>
      </c>
      <c r="BM226" s="36">
        <f>テーブル2[[#This Row],[q_P]]*0.000001</f>
        <v>3.7635196605245702</v>
      </c>
      <c r="BN226" s="36">
        <f>テーブル2[[#This Row],[Tsub]]</f>
        <v>88.422514133828827</v>
      </c>
      <c r="BO226" s="36">
        <f>テーブル2[[#This Row],[Fcorr]]</f>
        <v>1</v>
      </c>
      <c r="BP226" s="36">
        <f>(テーブル2[[#This Row],[Tsub]]-40)^2</f>
        <v>2344.7398750408524</v>
      </c>
      <c r="BQ226" s="36">
        <v>1</v>
      </c>
      <c r="BR226" s="36">
        <v>0.15240000000000001</v>
      </c>
    </row>
    <row r="227" spans="1:70" x14ac:dyDescent="0.15">
      <c r="A227" s="35" t="s">
        <v>181</v>
      </c>
      <c r="B227" s="36">
        <v>12065825.263044</v>
      </c>
      <c r="C227" s="22">
        <f>TsatFromP(テーブル2[[#This Row],[P]])</f>
        <v>598.16775841222602</v>
      </c>
      <c r="D227" s="36">
        <f>RhoGFromP(テーブル2[[#This Row],[P]])</f>
        <v>70.719127092768275</v>
      </c>
      <c r="E227" s="36">
        <f>RhoFFromP(テーブル2[[#This Row],[P]])</f>
        <v>654.05698086007123</v>
      </c>
      <c r="F227" s="36">
        <f>HgFromP(テーブル2[[#This Row],[P]])</f>
        <v>2683685.0883769183</v>
      </c>
      <c r="G227" s="36">
        <f>HfFromP(テーブル2[[#This Row],[P]])</f>
        <v>1493933.1953330557</v>
      </c>
      <c r="H227" s="36">
        <f>MuGFromP(テーブル2[[#This Row],[P]])</f>
        <v>2.1145404359091978E-5</v>
      </c>
      <c r="I227" s="36">
        <f>MuFFromP(テーブル2[[#This Row],[P]])</f>
        <v>7.6371158483289308E-5</v>
      </c>
      <c r="J227" s="36">
        <f>KfFromP(テーブル2[[#This Row],[P]])</f>
        <v>0.51093471001104362</v>
      </c>
      <c r="K227" s="36">
        <f>CpFFromP(テーブル2[[#This Row],[P]])</f>
        <v>6848.0719740576842</v>
      </c>
      <c r="L227" s="36">
        <f>SigmaFromP(テーブル2[[#This Row],[P]])</f>
        <v>8.6953190176294083E-3</v>
      </c>
      <c r="M227" s="36">
        <v>10.01</v>
      </c>
      <c r="N227" s="36">
        <v>2590.3993</v>
      </c>
      <c r="O227" s="37">
        <f t="shared" si="116"/>
        <v>2.8502295699234246E-6</v>
      </c>
      <c r="P227" s="37">
        <f t="shared" si="117"/>
        <v>5.9847340050885557E-3</v>
      </c>
      <c r="Q227" s="37">
        <v>1.905E-3</v>
      </c>
      <c r="R227" s="36">
        <v>0.15240000000000001</v>
      </c>
      <c r="S227" s="38">
        <v>5171086.6928100586</v>
      </c>
      <c r="T227" s="36">
        <v>490.87515158353318</v>
      </c>
      <c r="U227" s="12">
        <f>+T227+BG227*S227*テーブル2[[#This Row],[Pw]]*R227/(N227*O227*K227)</f>
        <v>584.15691915649973</v>
      </c>
      <c r="V227" s="36">
        <v>0.03</v>
      </c>
      <c r="W227" s="37">
        <f t="shared" si="88"/>
        <v>64614.846291480033</v>
      </c>
      <c r="X227" s="36">
        <v>3.7063999223878874E-2</v>
      </c>
      <c r="Y227" s="36">
        <f t="shared" si="89"/>
        <v>5.1942621096867674</v>
      </c>
      <c r="Z227" s="36">
        <f t="shared" si="90"/>
        <v>5.1942621298536391</v>
      </c>
      <c r="AA227" s="36">
        <f t="shared" si="91"/>
        <v>-2.016687172812226E-8</v>
      </c>
      <c r="AB227" s="36">
        <f t="shared" si="92"/>
        <v>2.1952633776739496E-5</v>
      </c>
      <c r="AC227" s="36">
        <v>629.70264592044771</v>
      </c>
      <c r="AD227" s="36">
        <f t="shared" si="93"/>
        <v>2199.0417028063307</v>
      </c>
      <c r="AE227" s="36">
        <f>+gettm2(AD227,AC227,AK227,AL227,テーブル2[[#This Row],[Fcorr]])</f>
        <v>584.15691945352614</v>
      </c>
      <c r="AF227" s="39">
        <f t="shared" si="94"/>
        <v>2.9702641768381E-7</v>
      </c>
      <c r="AG227" s="36">
        <v>2.2053026776248831E-5</v>
      </c>
      <c r="AH227" s="36">
        <f t="shared" si="95"/>
        <v>47.531348298678047</v>
      </c>
      <c r="AI227" s="36">
        <f t="shared" si="96"/>
        <v>0.26957665136913711</v>
      </c>
      <c r="AJ227" s="36">
        <f t="shared" si="97"/>
        <v>50.913937589580932</v>
      </c>
      <c r="AK227" s="36">
        <f>+S88*テーブル2[[#This Row],[F_form]]/(E88*CpFromTP((テーブル2[[#This Row],[Tin]]+テーブル2[[#This Row],[Tf]])/2,テーブル2[[#This Row],[P]])*AI88)</f>
        <v>2.0349595069160591</v>
      </c>
      <c r="AL227" s="36">
        <f t="shared" si="98"/>
        <v>1.0236047381169835</v>
      </c>
      <c r="AM227" s="36">
        <f t="shared" si="99"/>
        <v>598.16775836020281</v>
      </c>
      <c r="AN227" s="36">
        <f t="shared" si="100"/>
        <v>5.2023210628249217E-8</v>
      </c>
      <c r="AO227" s="36">
        <f t="shared" si="101"/>
        <v>1.0039299950933493E-7</v>
      </c>
      <c r="AP227" s="36">
        <v>3.8394820509776251</v>
      </c>
      <c r="AQ227" s="36">
        <f t="shared" si="102"/>
        <v>5.8072630288439275E-5</v>
      </c>
      <c r="AR227" s="36">
        <f t="shared" si="103"/>
        <v>1.1076709887879083E-5</v>
      </c>
      <c r="AS227" s="36">
        <f t="shared" si="104"/>
        <v>25.572857714785663</v>
      </c>
      <c r="AT227" s="36">
        <f t="shared" si="105"/>
        <v>13.157657717557285</v>
      </c>
      <c r="AU227" s="36">
        <f t="shared" si="106"/>
        <v>3.5469973073603764</v>
      </c>
      <c r="AV227" s="36">
        <f t="shared" si="107"/>
        <v>0.29248474361724863</v>
      </c>
      <c r="AW227" s="36">
        <f t="shared" si="108"/>
        <v>1.1866584353961885E-2</v>
      </c>
      <c r="AX227" s="36">
        <f t="shared" si="109"/>
        <v>0.29248473567750766</v>
      </c>
      <c r="AY227" s="36">
        <f t="shared" si="110"/>
        <v>7.9397409757930859E-9</v>
      </c>
      <c r="AZ227" s="36">
        <f t="shared" si="111"/>
        <v>1189751.8930438627</v>
      </c>
      <c r="BA227" s="36">
        <f t="shared" si="112"/>
        <v>1.5125120919279354E-5</v>
      </c>
      <c r="BB227" s="38">
        <f t="shared" si="113"/>
        <v>5165074.1969289752</v>
      </c>
      <c r="BC227" s="40">
        <f t="shared" si="114"/>
        <v>-6012.4958810834214</v>
      </c>
      <c r="BD227" s="41">
        <f t="shared" si="115"/>
        <v>-0.11627141910893252</v>
      </c>
      <c r="BE227" s="38">
        <v>3974783.4</v>
      </c>
      <c r="BF227" s="42">
        <f>テーブル2[[#This Row],[q_P]]/テーブル2[[#This Row],[q_M]]</f>
        <v>1.2994605434170263</v>
      </c>
      <c r="BG227" s="36">
        <v>1</v>
      </c>
      <c r="BH227" s="36">
        <v>-5.6000000000000001E-2</v>
      </c>
      <c r="BI227" s="36">
        <v>4.5999999999999999E-2</v>
      </c>
      <c r="BJ227" s="36">
        <v>5625</v>
      </c>
      <c r="BK227" s="22">
        <v>1</v>
      </c>
      <c r="BL227" s="36">
        <f>テーブル2[[#This Row],[Ts]]-テーブル2[[#This Row],[Tin]]</f>
        <v>107.29260682869284</v>
      </c>
      <c r="BM227" s="36">
        <f>テーブル2[[#This Row],[q_P]]*0.000001</f>
        <v>5.1650741969289751</v>
      </c>
      <c r="BN227" s="36">
        <f>テーブル2[[#This Row],[Tsub]]</f>
        <v>107.29260682869284</v>
      </c>
      <c r="BO227" s="36">
        <f>テーブル2[[#This Row],[Fcorr]]</f>
        <v>1</v>
      </c>
      <c r="BP227" s="36">
        <f>(テーブル2[[#This Row],[Tsub]]-40)^2</f>
        <v>4528.2949338010385</v>
      </c>
      <c r="BQ227" s="36">
        <v>1</v>
      </c>
      <c r="BR227" s="36">
        <v>0.15240000000000001</v>
      </c>
    </row>
    <row r="228" spans="1:70" x14ac:dyDescent="0.15">
      <c r="A228" s="35" t="s">
        <v>182</v>
      </c>
      <c r="B228" s="36">
        <v>12065825.263044</v>
      </c>
      <c r="C228" s="22">
        <f>TsatFromP(テーブル2[[#This Row],[P]])</f>
        <v>598.16775841222602</v>
      </c>
      <c r="D228" s="36">
        <f>RhoGFromP(テーブル2[[#This Row],[P]])</f>
        <v>70.719127092768275</v>
      </c>
      <c r="E228" s="36">
        <f>RhoFFromP(テーブル2[[#This Row],[P]])</f>
        <v>654.05698086007123</v>
      </c>
      <c r="F228" s="36">
        <f>HgFromP(テーブル2[[#This Row],[P]])</f>
        <v>2683685.0883769183</v>
      </c>
      <c r="G228" s="36">
        <f>HfFromP(テーブル2[[#This Row],[P]])</f>
        <v>1493933.1953330557</v>
      </c>
      <c r="H228" s="36">
        <f>MuGFromP(テーブル2[[#This Row],[P]])</f>
        <v>2.1145404359091978E-5</v>
      </c>
      <c r="I228" s="36">
        <f>MuFFromP(テーブル2[[#This Row],[P]])</f>
        <v>7.6371158483289308E-5</v>
      </c>
      <c r="J228" s="36">
        <f>KfFromP(テーブル2[[#This Row],[P]])</f>
        <v>0.51093471001104362</v>
      </c>
      <c r="K228" s="36">
        <f>CpFFromP(テーブル2[[#This Row],[P]])</f>
        <v>6848.0719740576842</v>
      </c>
      <c r="L228" s="36">
        <f>SigmaFromP(テーブル2[[#This Row],[P]])</f>
        <v>8.6953190176294083E-3</v>
      </c>
      <c r="M228" s="36">
        <v>11.01</v>
      </c>
      <c r="N228" s="36">
        <v>3200.7028</v>
      </c>
      <c r="O228" s="37">
        <f t="shared" si="116"/>
        <v>2.8502295699234246E-6</v>
      </c>
      <c r="P228" s="37">
        <f t="shared" si="117"/>
        <v>5.9847340050885557E-3</v>
      </c>
      <c r="Q228" s="37">
        <v>1.905E-3</v>
      </c>
      <c r="R228" s="36">
        <v>0.15240000000000001</v>
      </c>
      <c r="S228" s="38">
        <v>8784361.6485595703</v>
      </c>
      <c r="T228" s="36">
        <v>453.64790590712857</v>
      </c>
      <c r="U228" s="12">
        <f>+T228+BG228*S228*テーブル2[[#This Row],[Pw]]*R228/(N228*O228*K228)</f>
        <v>581.89470062576731</v>
      </c>
      <c r="V228" s="36">
        <v>0.03</v>
      </c>
      <c r="W228" s="37">
        <f t="shared" si="88"/>
        <v>79838.239396802557</v>
      </c>
      <c r="X228" s="36">
        <v>3.3515795852552349E-2</v>
      </c>
      <c r="Y228" s="36">
        <f t="shared" si="89"/>
        <v>5.4622960134399108</v>
      </c>
      <c r="Z228" s="36">
        <f t="shared" si="90"/>
        <v>5.4622960236752167</v>
      </c>
      <c r="AA228" s="36">
        <f t="shared" si="91"/>
        <v>-1.0235305936134864E-8</v>
      </c>
      <c r="AB228" s="36">
        <f t="shared" si="92"/>
        <v>1.5901280644787319E-5</v>
      </c>
      <c r="AC228" s="36">
        <v>630.13772352928061</v>
      </c>
      <c r="AD228" s="36">
        <f t="shared" si="93"/>
        <v>2583.8109256880853</v>
      </c>
      <c r="AE228" s="36">
        <f>+gettm2(AD228,AC228,AK228,AL228,テーブル2[[#This Row],[Fcorr]])</f>
        <v>581.89470062576731</v>
      </c>
      <c r="AF228" s="39">
        <f t="shared" si="94"/>
        <v>0</v>
      </c>
      <c r="AG228" s="36">
        <v>1.6028624434001359E-5</v>
      </c>
      <c r="AH228" s="36">
        <f t="shared" si="95"/>
        <v>65.61976393125191</v>
      </c>
      <c r="AI228" s="36">
        <f t="shared" si="96"/>
        <v>0.31674483309211171</v>
      </c>
      <c r="AJ228" s="36">
        <f t="shared" si="97"/>
        <v>43.48024665230836</v>
      </c>
      <c r="AK228" s="36">
        <f>+S88*テーブル2[[#This Row],[F_form]]/(E88*CpFromTP((テーブル2[[#This Row],[Tin]]+テーブル2[[#This Row],[Tf]])/2,テーブル2[[#This Row],[P]])*AI88)</f>
        <v>2.1169368729377553</v>
      </c>
      <c r="AL228" s="36">
        <f t="shared" si="98"/>
        <v>1.0236047381169835</v>
      </c>
      <c r="AM228" s="36">
        <f t="shared" si="99"/>
        <v>598.16775840413231</v>
      </c>
      <c r="AN228" s="36">
        <f t="shared" si="100"/>
        <v>8.09370703791501E-9</v>
      </c>
      <c r="AO228" s="36">
        <f t="shared" si="101"/>
        <v>1.273437892140401E-7</v>
      </c>
      <c r="AP228" s="36">
        <v>4.234595750069543</v>
      </c>
      <c r="AQ228" s="36">
        <f t="shared" si="102"/>
        <v>4.7741148849821421E-5</v>
      </c>
      <c r="AR228" s="36">
        <f t="shared" si="103"/>
        <v>8.0779841116076996E-6</v>
      </c>
      <c r="AS228" s="36">
        <f t="shared" si="104"/>
        <v>21.912843679902085</v>
      </c>
      <c r="AT228" s="36">
        <f t="shared" si="105"/>
        <v>12.385364671592029</v>
      </c>
      <c r="AU228" s="36">
        <f t="shared" si="106"/>
        <v>3.923000265688354</v>
      </c>
      <c r="AV228" s="36">
        <f t="shared" si="107"/>
        <v>0.311595484381189</v>
      </c>
      <c r="AW228" s="36">
        <f t="shared" si="108"/>
        <v>8.5955011151019993E-3</v>
      </c>
      <c r="AX228" s="36">
        <f t="shared" si="109"/>
        <v>0.31159548424974987</v>
      </c>
      <c r="AY228" s="36">
        <f t="shared" si="110"/>
        <v>1.3143913735191859E-10</v>
      </c>
      <c r="AZ228" s="36">
        <f t="shared" si="111"/>
        <v>1189751.8930438627</v>
      </c>
      <c r="BA228" s="36">
        <f t="shared" si="112"/>
        <v>1.1274074709265315E-5</v>
      </c>
      <c r="BB228" s="38">
        <f t="shared" si="113"/>
        <v>8789594.7052116655</v>
      </c>
      <c r="BC228" s="40">
        <f t="shared" si="114"/>
        <v>5233.0566520951688</v>
      </c>
      <c r="BD228" s="41">
        <f t="shared" si="115"/>
        <v>5.957241813869614E-2</v>
      </c>
      <c r="BE228" s="38">
        <v>6561547.1999999993</v>
      </c>
      <c r="BF228" s="42">
        <f>テーブル2[[#This Row],[q_P]]/テーブル2[[#This Row],[q_M]]</f>
        <v>1.3395613012143945</v>
      </c>
      <c r="BG228" s="36">
        <v>1</v>
      </c>
      <c r="BH228" s="36">
        <v>-5.6000000000000001E-2</v>
      </c>
      <c r="BI228" s="36">
        <v>4.5999999999999999E-2</v>
      </c>
      <c r="BJ228" s="36">
        <v>5625</v>
      </c>
      <c r="BK228" s="22">
        <v>1</v>
      </c>
      <c r="BL228" s="36">
        <f>テーブル2[[#This Row],[Ts]]-テーブル2[[#This Row],[Tin]]</f>
        <v>144.51985250509745</v>
      </c>
      <c r="BM228" s="36">
        <f>テーブル2[[#This Row],[q_P]]*0.000001</f>
        <v>8.7895947052116643</v>
      </c>
      <c r="BN228" s="36">
        <f>テーブル2[[#This Row],[Tsub]]</f>
        <v>144.51985250509745</v>
      </c>
      <c r="BO228" s="36">
        <f>テーブル2[[#This Row],[Fcorr]]</f>
        <v>1</v>
      </c>
      <c r="BP228" s="36">
        <f>(テーブル2[[#This Row],[Tsub]]-40)^2</f>
        <v>10924.399567687326</v>
      </c>
      <c r="BQ228" s="36">
        <v>1</v>
      </c>
      <c r="BR228" s="36">
        <v>0.15240000000000001</v>
      </c>
    </row>
    <row r="229" spans="1:70" x14ac:dyDescent="0.15">
      <c r="A229" s="35" t="s">
        <v>183</v>
      </c>
      <c r="B229" s="36">
        <v>12065825.263044</v>
      </c>
      <c r="C229" s="22">
        <f>TsatFromP(テーブル2[[#This Row],[P]])</f>
        <v>598.16775841222602</v>
      </c>
      <c r="D229" s="36">
        <f>RhoGFromP(テーブル2[[#This Row],[P]])</f>
        <v>70.719127092768275</v>
      </c>
      <c r="E229" s="36">
        <f>RhoFFromP(テーブル2[[#This Row],[P]])</f>
        <v>654.05698086007123</v>
      </c>
      <c r="F229" s="36">
        <f>HgFromP(テーブル2[[#This Row],[P]])</f>
        <v>2683685.0883769183</v>
      </c>
      <c r="G229" s="36">
        <f>HfFromP(テーブル2[[#This Row],[P]])</f>
        <v>1493933.1953330557</v>
      </c>
      <c r="H229" s="36">
        <f>MuGFromP(テーブル2[[#This Row],[P]])</f>
        <v>2.1145404359091978E-5</v>
      </c>
      <c r="I229" s="36">
        <f>MuFFromP(テーブル2[[#This Row],[P]])</f>
        <v>7.6371158483289308E-5</v>
      </c>
      <c r="J229" s="36">
        <f>KfFromP(テーブル2[[#This Row],[P]])</f>
        <v>0.51093471001104362</v>
      </c>
      <c r="K229" s="36">
        <f>CpFFromP(テーブル2[[#This Row],[P]])</f>
        <v>6848.0719740576842</v>
      </c>
      <c r="L229" s="36">
        <f>SigmaFromP(テーブル2[[#This Row],[P]])</f>
        <v>8.6953190176294083E-3</v>
      </c>
      <c r="M229" s="36">
        <v>12.01</v>
      </c>
      <c r="N229" s="36">
        <v>3200.7028</v>
      </c>
      <c r="O229" s="37">
        <f t="shared" si="116"/>
        <v>2.8502295699234246E-6</v>
      </c>
      <c r="P229" s="37">
        <f t="shared" si="117"/>
        <v>5.9847340050885557E-3</v>
      </c>
      <c r="Q229" s="37">
        <v>1.905E-3</v>
      </c>
      <c r="R229" s="36">
        <v>0.15240000000000001</v>
      </c>
      <c r="S229" s="38">
        <v>6423645.4010009766</v>
      </c>
      <c r="T229" s="36">
        <v>488.66227888856542</v>
      </c>
      <c r="U229" s="12">
        <f>+T229+BG229*S229*テーブル2[[#This Row],[Pw]]*R229/(N229*O229*K229)</f>
        <v>582.44392928573291</v>
      </c>
      <c r="V229" s="36">
        <v>0.03</v>
      </c>
      <c r="W229" s="37">
        <f t="shared" si="88"/>
        <v>79838.239396802557</v>
      </c>
      <c r="X229" s="36">
        <v>3.3515795852552349E-2</v>
      </c>
      <c r="Y229" s="36">
        <f t="shared" si="89"/>
        <v>5.4622960134399108</v>
      </c>
      <c r="Z229" s="36">
        <f t="shared" si="90"/>
        <v>5.4622960236752167</v>
      </c>
      <c r="AA229" s="36">
        <f t="shared" si="91"/>
        <v>-1.0235305936134864E-8</v>
      </c>
      <c r="AB229" s="36">
        <f t="shared" si="92"/>
        <v>1.5901280644787319E-5</v>
      </c>
      <c r="AC229" s="36">
        <v>629.02624082899877</v>
      </c>
      <c r="AD229" s="36">
        <f t="shared" si="93"/>
        <v>2583.8109256880853</v>
      </c>
      <c r="AE229" s="36">
        <f>+gettm2(AD229,AC229,AK229,AL229,テーブル2[[#This Row],[Fcorr]])</f>
        <v>582.44392928573291</v>
      </c>
      <c r="AF229" s="39">
        <f t="shared" si="94"/>
        <v>0</v>
      </c>
      <c r="AG229" s="36">
        <v>1.5994306129908962E-5</v>
      </c>
      <c r="AH229" s="36">
        <f t="shared" si="95"/>
        <v>65.61976393125191</v>
      </c>
      <c r="AI229" s="36">
        <f t="shared" si="96"/>
        <v>0.31674483309211171</v>
      </c>
      <c r="AJ229" s="36">
        <f t="shared" si="97"/>
        <v>43.38715267953669</v>
      </c>
      <c r="AK229" s="36">
        <f>+S88*テーブル2[[#This Row],[F_form]]/(E88*CpFromTP((テーブル2[[#This Row],[Tin]]+テーブル2[[#This Row],[Tf]])/2,テーブル2[[#This Row],[P]])*AI88)</f>
        <v>2.0440637215010016</v>
      </c>
      <c r="AL229" s="36">
        <f t="shared" si="98"/>
        <v>1.0236047381169835</v>
      </c>
      <c r="AM229" s="36">
        <f t="shared" si="99"/>
        <v>598.16775840786795</v>
      </c>
      <c r="AN229" s="36">
        <f t="shared" si="100"/>
        <v>4.3580712372204289E-9</v>
      </c>
      <c r="AO229" s="36">
        <f t="shared" si="101"/>
        <v>9.302548512164305E-8</v>
      </c>
      <c r="AP229" s="36">
        <v>4.2283159389508</v>
      </c>
      <c r="AQ229" s="36">
        <f t="shared" si="102"/>
        <v>4.7883062573498075E-5</v>
      </c>
      <c r="AR229" s="36">
        <f t="shared" si="103"/>
        <v>8.0436658075153026E-6</v>
      </c>
      <c r="AS229" s="36">
        <f t="shared" si="104"/>
        <v>21.819749707130406</v>
      </c>
      <c r="AT229" s="36">
        <f t="shared" si="105"/>
        <v>12.364077547692558</v>
      </c>
      <c r="AU229" s="36">
        <f t="shared" si="106"/>
        <v>3.9162576791818053</v>
      </c>
      <c r="AV229" s="36">
        <f t="shared" si="107"/>
        <v>0.31205825976899471</v>
      </c>
      <c r="AW229" s="36">
        <f t="shared" si="108"/>
        <v>8.5955011151019993E-3</v>
      </c>
      <c r="AX229" s="36">
        <f t="shared" si="109"/>
        <v>0.31205825969387313</v>
      </c>
      <c r="AY229" s="36">
        <f t="shared" si="110"/>
        <v>7.512157562672428E-11</v>
      </c>
      <c r="AZ229" s="36">
        <f t="shared" si="111"/>
        <v>1189751.8930438627</v>
      </c>
      <c r="BA229" s="36">
        <f t="shared" si="112"/>
        <v>1.132438144756506E-5</v>
      </c>
      <c r="BB229" s="38">
        <f t="shared" si="113"/>
        <v>6392333.7777101239</v>
      </c>
      <c r="BC229" s="40">
        <f t="shared" si="114"/>
        <v>-31311.623290852644</v>
      </c>
      <c r="BD229" s="41">
        <f t="shared" si="115"/>
        <v>-0.48744320920911122</v>
      </c>
      <c r="BE229" s="38">
        <v>5205073.4999999991</v>
      </c>
      <c r="BF229" s="42">
        <f>テーブル2[[#This Row],[q_P]]/テーブル2[[#This Row],[q_M]]</f>
        <v>1.2280967363304525</v>
      </c>
      <c r="BG229" s="36">
        <v>1</v>
      </c>
      <c r="BH229" s="36">
        <v>-0.04</v>
      </c>
      <c r="BI229" s="36">
        <v>4.5999999999999999E-2</v>
      </c>
      <c r="BJ229" s="36">
        <v>5625</v>
      </c>
      <c r="BK229" s="22">
        <v>1</v>
      </c>
      <c r="BL229" s="36">
        <f>テーブル2[[#This Row],[Ts]]-テーブル2[[#This Row],[Tin]]</f>
        <v>109.5054795236606</v>
      </c>
      <c r="BM229" s="36">
        <f>テーブル2[[#This Row],[q_P]]*0.000001</f>
        <v>6.3923337777101237</v>
      </c>
      <c r="BN229" s="36">
        <f>テーブル2[[#This Row],[Tsub]]</f>
        <v>109.5054795236606</v>
      </c>
      <c r="BO229" s="36">
        <f>テーブル2[[#This Row],[Fcorr]]</f>
        <v>1</v>
      </c>
      <c r="BP229" s="36">
        <f>(テーブル2[[#This Row],[Tsub]]-40)^2</f>
        <v>4831.0116838140029</v>
      </c>
      <c r="BQ229" s="36">
        <v>1</v>
      </c>
      <c r="BR229" s="36">
        <v>0.15240000000000001</v>
      </c>
    </row>
    <row r="230" spans="1:70" x14ac:dyDescent="0.15">
      <c r="A230" s="35" t="s">
        <v>184</v>
      </c>
      <c r="B230" s="36">
        <v>12065825.263044</v>
      </c>
      <c r="C230" s="22">
        <f>TsatFromP(テーブル2[[#This Row],[P]])</f>
        <v>598.16775841222602</v>
      </c>
      <c r="D230" s="36">
        <f>RhoGFromP(テーブル2[[#This Row],[P]])</f>
        <v>70.719127092768275</v>
      </c>
      <c r="E230" s="36">
        <f>RhoFFromP(テーブル2[[#This Row],[P]])</f>
        <v>654.05698086007123</v>
      </c>
      <c r="F230" s="36">
        <f>HgFromP(テーブル2[[#This Row],[P]])</f>
        <v>2683685.0883769183</v>
      </c>
      <c r="G230" s="36">
        <f>HfFromP(テーブル2[[#This Row],[P]])</f>
        <v>1493933.1953330557</v>
      </c>
      <c r="H230" s="36">
        <f>MuGFromP(テーブル2[[#This Row],[P]])</f>
        <v>2.1145404359091978E-5</v>
      </c>
      <c r="I230" s="36">
        <f>MuFFromP(テーブル2[[#This Row],[P]])</f>
        <v>7.6371158483289308E-5</v>
      </c>
      <c r="J230" s="36">
        <f>KfFromP(テーブル2[[#This Row],[P]])</f>
        <v>0.51093471001104362</v>
      </c>
      <c r="K230" s="36">
        <f>CpFFromP(テーブル2[[#This Row],[P]])</f>
        <v>6848.0719740576842</v>
      </c>
      <c r="L230" s="36">
        <f>SigmaFromP(テーブル2[[#This Row],[P]])</f>
        <v>8.6953190176294083E-3</v>
      </c>
      <c r="M230" s="36">
        <v>13.01</v>
      </c>
      <c r="N230" s="36">
        <v>3200.7028</v>
      </c>
      <c r="O230" s="37">
        <f t="shared" si="116"/>
        <v>2.8502295699234246E-6</v>
      </c>
      <c r="P230" s="37">
        <f t="shared" si="117"/>
        <v>5.9847340050885557E-3</v>
      </c>
      <c r="Q230" s="37">
        <v>1.905E-3</v>
      </c>
      <c r="R230" s="36">
        <v>0.15240000000000001</v>
      </c>
      <c r="S230" s="38">
        <v>6534726.7150878906</v>
      </c>
      <c r="T230" s="36">
        <v>487.01157338751938</v>
      </c>
      <c r="U230" s="12">
        <f>+T230+BG230*S230*テーブル2[[#This Row],[Pw]]*R230/(N230*O230*K230)</f>
        <v>582.41494919339857</v>
      </c>
      <c r="V230" s="36">
        <v>0.03</v>
      </c>
      <c r="W230" s="37">
        <f t="shared" si="88"/>
        <v>79838.239396802557</v>
      </c>
      <c r="X230" s="36">
        <v>3.3515795852552349E-2</v>
      </c>
      <c r="Y230" s="36">
        <f t="shared" si="89"/>
        <v>5.4622960134399108</v>
      </c>
      <c r="Z230" s="36">
        <f t="shared" si="90"/>
        <v>5.4622960236752167</v>
      </c>
      <c r="AA230" s="36">
        <f t="shared" si="91"/>
        <v>-1.0235305936134864E-8</v>
      </c>
      <c r="AB230" s="36">
        <f t="shared" si="92"/>
        <v>1.5901280644787319E-5</v>
      </c>
      <c r="AC230" s="36">
        <v>629.0844392806556</v>
      </c>
      <c r="AD230" s="36">
        <f t="shared" si="93"/>
        <v>2583.8109256880853</v>
      </c>
      <c r="AE230" s="36">
        <f>+gettm2(AD230,AC230,AK230,AL230,テーブル2[[#This Row],[Fcorr]])</f>
        <v>582.41494948424292</v>
      </c>
      <c r="AF230" s="39">
        <f t="shared" si="94"/>
        <v>2.9084435482218396E-7</v>
      </c>
      <c r="AG230" s="36">
        <v>1.5995703147834163E-5</v>
      </c>
      <c r="AH230" s="36">
        <f t="shared" si="95"/>
        <v>65.61976393125191</v>
      </c>
      <c r="AI230" s="36">
        <f t="shared" si="96"/>
        <v>0.31674483309211171</v>
      </c>
      <c r="AJ230" s="36">
        <f t="shared" si="97"/>
        <v>43.390942317519375</v>
      </c>
      <c r="AK230" s="36">
        <f>+S88*テーブル2[[#This Row],[F_form]]/(E88*CpFromTP((テーブル2[[#This Row],[Tin]]+テーブル2[[#This Row],[Tf]])/2,テーブル2[[#This Row],[P]])*AI88)</f>
        <v>2.0478891629326821</v>
      </c>
      <c r="AL230" s="36">
        <f t="shared" si="98"/>
        <v>1.0236047381169835</v>
      </c>
      <c r="AM230" s="36">
        <f t="shared" si="99"/>
        <v>598.16775840817184</v>
      </c>
      <c r="AN230" s="36">
        <f t="shared" si="100"/>
        <v>4.0541863199905492E-9</v>
      </c>
      <c r="AO230" s="36">
        <f t="shared" si="101"/>
        <v>9.4422503046843776E-8</v>
      </c>
      <c r="AP230" s="36">
        <v>4.2285720730420433</v>
      </c>
      <c r="AQ230" s="36">
        <f t="shared" si="102"/>
        <v>4.7877261980265798E-5</v>
      </c>
      <c r="AR230" s="36">
        <f t="shared" si="103"/>
        <v>8.0450628254405033E-6</v>
      </c>
      <c r="AS230" s="36">
        <f t="shared" si="104"/>
        <v>21.823539345113101</v>
      </c>
      <c r="AT230" s="36">
        <f t="shared" si="105"/>
        <v>12.364945868590116</v>
      </c>
      <c r="AU230" s="36">
        <f t="shared" si="106"/>
        <v>3.9165327153395726</v>
      </c>
      <c r="AV230" s="36">
        <f t="shared" si="107"/>
        <v>0.31203935770247071</v>
      </c>
      <c r="AW230" s="36">
        <f t="shared" si="108"/>
        <v>8.5955011151019993E-3</v>
      </c>
      <c r="AX230" s="36">
        <f t="shared" si="109"/>
        <v>0.31203935762542523</v>
      </c>
      <c r="AY230" s="36">
        <f t="shared" si="110"/>
        <v>7.7045481106097213E-11</v>
      </c>
      <c r="AZ230" s="36">
        <f t="shared" si="111"/>
        <v>1189751.8930438627</v>
      </c>
      <c r="BA230" s="36">
        <f t="shared" si="112"/>
        <v>1.1322323742686689E-5</v>
      </c>
      <c r="BB230" s="38">
        <f t="shared" si="113"/>
        <v>6489510.3606426474</v>
      </c>
      <c r="BC230" s="40">
        <f t="shared" si="114"/>
        <v>-45216.354445243254</v>
      </c>
      <c r="BD230" s="41">
        <f t="shared" si="115"/>
        <v>-0.69193948602080302</v>
      </c>
      <c r="BE230" s="38">
        <v>5394348.8999999994</v>
      </c>
      <c r="BF230" s="42">
        <f>テーブル2[[#This Row],[q_P]]/テーブル2[[#This Row],[q_M]]</f>
        <v>1.2030201384716972</v>
      </c>
      <c r="BG230" s="36">
        <v>1</v>
      </c>
      <c r="BH230" s="36">
        <v>-0.03</v>
      </c>
      <c r="BI230" s="36">
        <v>4.5999999999999999E-2</v>
      </c>
      <c r="BJ230" s="36">
        <v>5625</v>
      </c>
      <c r="BK230" s="22">
        <v>1</v>
      </c>
      <c r="BL230" s="36">
        <f>テーブル2[[#This Row],[Ts]]-テーブル2[[#This Row],[Tin]]</f>
        <v>111.15618502470664</v>
      </c>
      <c r="BM230" s="36">
        <f>テーブル2[[#This Row],[q_P]]*0.000001</f>
        <v>6.4895103606426474</v>
      </c>
      <c r="BN230" s="36">
        <f>テーブル2[[#This Row],[Tsub]]</f>
        <v>111.15618502470664</v>
      </c>
      <c r="BO230" s="36">
        <f>テーブル2[[#This Row],[Fcorr]]</f>
        <v>1</v>
      </c>
      <c r="BP230" s="36">
        <f>(テーブル2[[#This Row],[Tsub]]-40)^2</f>
        <v>5063.2026672702859</v>
      </c>
      <c r="BQ230" s="36">
        <v>1</v>
      </c>
      <c r="BR230" s="36">
        <v>0.15240000000000001</v>
      </c>
    </row>
    <row r="231" spans="1:70" x14ac:dyDescent="0.15">
      <c r="A231" s="35" t="s">
        <v>185</v>
      </c>
      <c r="B231" s="36">
        <v>12065825.263044</v>
      </c>
      <c r="C231" s="22">
        <f>TsatFromP(テーブル2[[#This Row],[P]])</f>
        <v>598.16775841222602</v>
      </c>
      <c r="D231" s="36">
        <f>RhoGFromP(テーブル2[[#This Row],[P]])</f>
        <v>70.719127092768275</v>
      </c>
      <c r="E231" s="36">
        <f>RhoFFromP(テーブル2[[#This Row],[P]])</f>
        <v>654.05698086007123</v>
      </c>
      <c r="F231" s="36">
        <f>HgFromP(テーブル2[[#This Row],[P]])</f>
        <v>2683685.0883769183</v>
      </c>
      <c r="G231" s="36">
        <f>HfFromP(テーブル2[[#This Row],[P]])</f>
        <v>1493933.1953330557</v>
      </c>
      <c r="H231" s="36">
        <f>MuGFromP(テーブル2[[#This Row],[P]])</f>
        <v>2.1145404359091978E-5</v>
      </c>
      <c r="I231" s="36">
        <f>MuFFromP(テーブル2[[#This Row],[P]])</f>
        <v>7.6371158483289308E-5</v>
      </c>
      <c r="J231" s="36">
        <f>KfFromP(テーブル2[[#This Row],[P]])</f>
        <v>0.51093471001104362</v>
      </c>
      <c r="K231" s="36">
        <f>CpFFromP(テーブル2[[#This Row],[P]])</f>
        <v>6848.0719740576842</v>
      </c>
      <c r="L231" s="36">
        <f>SigmaFromP(テーブル2[[#This Row],[P]])</f>
        <v>8.6953190176294083E-3</v>
      </c>
      <c r="M231" s="36">
        <v>14.01</v>
      </c>
      <c r="N231" s="36">
        <v>3200.7028</v>
      </c>
      <c r="O231" s="37">
        <f t="shared" si="116"/>
        <v>2.8502295699234246E-6</v>
      </c>
      <c r="P231" s="37">
        <f t="shared" si="117"/>
        <v>5.9847340050885557E-3</v>
      </c>
      <c r="Q231" s="37">
        <v>1.905E-3</v>
      </c>
      <c r="R231" s="36">
        <v>0.15240000000000001</v>
      </c>
      <c r="S231" s="38">
        <v>3887886.4288330078</v>
      </c>
      <c r="T231" s="36">
        <v>526.45012634416651</v>
      </c>
      <c r="U231" s="12">
        <f>+T231+BG231*S231*テーブル2[[#This Row],[Pw]]*R231/(N231*O231*K231)</f>
        <v>583.21110598913458</v>
      </c>
      <c r="V231" s="36">
        <v>0.03</v>
      </c>
      <c r="W231" s="37">
        <f t="shared" si="88"/>
        <v>79838.239396802557</v>
      </c>
      <c r="X231" s="36">
        <v>3.3515795852552349E-2</v>
      </c>
      <c r="Y231" s="36">
        <f t="shared" si="89"/>
        <v>5.4622960134399108</v>
      </c>
      <c r="Z231" s="36">
        <f t="shared" si="90"/>
        <v>5.4622960236752167</v>
      </c>
      <c r="AA231" s="36">
        <f t="shared" si="91"/>
        <v>-1.0235305936134864E-8</v>
      </c>
      <c r="AB231" s="36">
        <f t="shared" si="92"/>
        <v>1.5901280644787319E-5</v>
      </c>
      <c r="AC231" s="36">
        <v>627.48825893995831</v>
      </c>
      <c r="AD231" s="36">
        <f t="shared" si="93"/>
        <v>2583.8109256880853</v>
      </c>
      <c r="AE231" s="36">
        <f>+gettm2(AD231,AC231,AK231,AL231,テーブル2[[#This Row],[Fcorr]])</f>
        <v>583.21110598913458</v>
      </c>
      <c r="AF231" s="39">
        <f t="shared" si="94"/>
        <v>0</v>
      </c>
      <c r="AG231" s="36">
        <v>1.5958362015952801E-5</v>
      </c>
      <c r="AH231" s="36">
        <f t="shared" si="95"/>
        <v>65.61976393125191</v>
      </c>
      <c r="AI231" s="36">
        <f t="shared" si="96"/>
        <v>0.31674483309211171</v>
      </c>
      <c r="AJ231" s="36">
        <f t="shared" si="97"/>
        <v>43.289648433495628</v>
      </c>
      <c r="AK231" s="36">
        <f>+S88*テーブル2[[#This Row],[F_form]]/(E88*CpFromTP((テーブル2[[#This Row],[Tin]]+テーブル2[[#This Row],[Tf]])/2,テーブル2[[#This Row],[P]])*AI88)</f>
        <v>1.9429117843168471</v>
      </c>
      <c r="AL231" s="36">
        <f t="shared" si="98"/>
        <v>1.0236047381169835</v>
      </c>
      <c r="AM231" s="36">
        <f t="shared" si="99"/>
        <v>598.16775840130992</v>
      </c>
      <c r="AN231" s="36">
        <f t="shared" si="100"/>
        <v>1.091609647119185E-8</v>
      </c>
      <c r="AO231" s="36">
        <f t="shared" si="101"/>
        <v>5.7081371165481574E-8</v>
      </c>
      <c r="AP231" s="36">
        <v>4.221711216701209</v>
      </c>
      <c r="AQ231" s="36">
        <f t="shared" si="102"/>
        <v>4.8033002584565231E-5</v>
      </c>
      <c r="AR231" s="36">
        <f t="shared" si="103"/>
        <v>8.0077216935591411E-6</v>
      </c>
      <c r="AS231" s="36">
        <f t="shared" si="104"/>
        <v>21.722245461089354</v>
      </c>
      <c r="AT231" s="36">
        <f t="shared" si="105"/>
        <v>12.341684359542997</v>
      </c>
      <c r="AU231" s="36">
        <f t="shared" si="106"/>
        <v>3.9091647525389721</v>
      </c>
      <c r="AV231" s="36">
        <f t="shared" si="107"/>
        <v>0.31254646416223686</v>
      </c>
      <c r="AW231" s="36">
        <f t="shared" si="108"/>
        <v>8.5955011151019993E-3</v>
      </c>
      <c r="AX231" s="36">
        <f t="shared" si="109"/>
        <v>0.31254646412690384</v>
      </c>
      <c r="AY231" s="36">
        <f t="shared" si="110"/>
        <v>3.5333014292149301E-11</v>
      </c>
      <c r="AZ231" s="36">
        <f t="shared" si="111"/>
        <v>1189751.8930438627</v>
      </c>
      <c r="BA231" s="36">
        <f t="shared" si="112"/>
        <v>1.1377614459877149E-5</v>
      </c>
      <c r="BB231" s="38">
        <f t="shared" si="113"/>
        <v>3904048.2227312811</v>
      </c>
      <c r="BC231" s="40">
        <f t="shared" si="114"/>
        <v>16161.793898273259</v>
      </c>
      <c r="BD231" s="41">
        <f t="shared" si="115"/>
        <v>0.41569614221278578</v>
      </c>
      <c r="BE231" s="38">
        <v>3974783.4</v>
      </c>
      <c r="BF231" s="42">
        <f>テーブル2[[#This Row],[q_P]]/テーブル2[[#This Row],[q_M]]</f>
        <v>0.98220401713745742</v>
      </c>
      <c r="BG231" s="36">
        <v>1</v>
      </c>
      <c r="BH231" s="36">
        <v>4.0000000000000001E-3</v>
      </c>
      <c r="BI231" s="36">
        <v>4.5999999999999999E-2</v>
      </c>
      <c r="BJ231" s="36">
        <v>5625</v>
      </c>
      <c r="BK231" s="22">
        <v>1</v>
      </c>
      <c r="BL231" s="36">
        <f>テーブル2[[#This Row],[Ts]]-テーブル2[[#This Row],[Tin]]</f>
        <v>71.717632068059515</v>
      </c>
      <c r="BM231" s="36">
        <f>テーブル2[[#This Row],[q_P]]*0.000001</f>
        <v>3.9040482227312809</v>
      </c>
      <c r="BN231" s="36">
        <f>テーブル2[[#This Row],[Tsub]]</f>
        <v>71.717632068059515</v>
      </c>
      <c r="BO231" s="36">
        <f>テーブル2[[#This Row],[Fcorr]]</f>
        <v>1</v>
      </c>
      <c r="BP231" s="36">
        <f>(テーブル2[[#This Row],[Tsub]]-40)^2</f>
        <v>1006.0081840047974</v>
      </c>
      <c r="BQ231" s="36">
        <v>1</v>
      </c>
      <c r="BR231" s="36">
        <v>0.15240000000000001</v>
      </c>
    </row>
    <row r="232" spans="1:70" x14ac:dyDescent="0.15">
      <c r="A232" s="35" t="s">
        <v>186</v>
      </c>
      <c r="B232" s="36">
        <v>12065825.263044</v>
      </c>
      <c r="C232" s="22">
        <f>TsatFromP(テーブル2[[#This Row],[P]])</f>
        <v>598.16775841222602</v>
      </c>
      <c r="D232" s="36">
        <f>RhoGFromP(テーブル2[[#This Row],[P]])</f>
        <v>70.719127092768275</v>
      </c>
      <c r="E232" s="36">
        <f>RhoFFromP(テーブル2[[#This Row],[P]])</f>
        <v>654.05698086007123</v>
      </c>
      <c r="F232" s="36">
        <f>HgFromP(テーブル2[[#This Row],[P]])</f>
        <v>2683685.0883769183</v>
      </c>
      <c r="G232" s="36">
        <f>HfFromP(テーブル2[[#This Row],[P]])</f>
        <v>1493933.1953330557</v>
      </c>
      <c r="H232" s="36">
        <f>MuGFromP(テーブル2[[#This Row],[P]])</f>
        <v>2.1145404359091978E-5</v>
      </c>
      <c r="I232" s="36">
        <f>MuFFromP(テーブル2[[#This Row],[P]])</f>
        <v>7.6371158483289308E-5</v>
      </c>
      <c r="J232" s="36">
        <f>KfFromP(テーブル2[[#This Row],[P]])</f>
        <v>0.51093471001104362</v>
      </c>
      <c r="K232" s="36">
        <f>CpFFromP(テーブル2[[#This Row],[P]])</f>
        <v>6848.0719740576842</v>
      </c>
      <c r="L232" s="36">
        <f>SigmaFromP(テーブル2[[#This Row],[P]])</f>
        <v>8.6953190176294083E-3</v>
      </c>
      <c r="M232" s="36">
        <v>15.01</v>
      </c>
      <c r="N232" s="36">
        <v>3214.2651000000001</v>
      </c>
      <c r="O232" s="37">
        <f t="shared" si="116"/>
        <v>2.8502295699234246E-6</v>
      </c>
      <c r="P232" s="37">
        <f t="shared" si="117"/>
        <v>5.9847340050885557E-3</v>
      </c>
      <c r="Q232" s="37">
        <v>1.905E-3</v>
      </c>
      <c r="R232" s="36">
        <v>0.15240000000000001</v>
      </c>
      <c r="S232" s="38">
        <v>6525193.7866210938</v>
      </c>
      <c r="T232" s="36">
        <v>487.52777357265722</v>
      </c>
      <c r="U232" s="12">
        <f>+T232+BG232*S232*テーブル2[[#This Row],[Pw]]*R232/(N232*O232*K232)</f>
        <v>582.39001527330686</v>
      </c>
      <c r="V232" s="36">
        <v>0.03</v>
      </c>
      <c r="W232" s="37">
        <f t="shared" si="88"/>
        <v>80176.537021365279</v>
      </c>
      <c r="X232" s="36">
        <v>3.3449931618296479E-2</v>
      </c>
      <c r="Y232" s="36">
        <f t="shared" si="89"/>
        <v>5.4676711069102142</v>
      </c>
      <c r="Z232" s="36">
        <f t="shared" si="90"/>
        <v>5.4676711158044791</v>
      </c>
      <c r="AA232" s="36">
        <f t="shared" si="91"/>
        <v>-8.8942648801548785E-9</v>
      </c>
      <c r="AB232" s="36">
        <f t="shared" si="92"/>
        <v>1.5798422304046594E-5</v>
      </c>
      <c r="AC232" s="36">
        <v>629.05103557195673</v>
      </c>
      <c r="AD232" s="36">
        <f t="shared" si="93"/>
        <v>2592.2084517945309</v>
      </c>
      <c r="AE232" s="36">
        <f>+gettm2(AD232,AC232,AK232,AL232,テーブル2[[#This Row],[Fcorr]])</f>
        <v>582.39001556381709</v>
      </c>
      <c r="AF232" s="39">
        <f t="shared" si="94"/>
        <v>2.9051022920612013E-7</v>
      </c>
      <c r="AG232" s="36">
        <v>1.5891980119951349E-5</v>
      </c>
      <c r="AH232" s="36">
        <f t="shared" si="95"/>
        <v>66.046992670164499</v>
      </c>
      <c r="AI232" s="36">
        <f t="shared" si="96"/>
        <v>0.31777427103531741</v>
      </c>
      <c r="AJ232" s="36">
        <f t="shared" si="97"/>
        <v>43.249685231169082</v>
      </c>
      <c r="AK232" s="36">
        <f>+S88*テーブル2[[#This Row],[F_form]]/(E88*CpFromTP((テーブル2[[#This Row],[Tin]]+テーブル2[[#This Row],[Tf]])/2,テーブル2[[#This Row],[P]])*AI88)</f>
        <v>2.0467817449128702</v>
      </c>
      <c r="AL232" s="36">
        <f t="shared" si="98"/>
        <v>1.0236047381169835</v>
      </c>
      <c r="AM232" s="36">
        <f t="shared" si="99"/>
        <v>598.16775839390937</v>
      </c>
      <c r="AN232" s="36">
        <f t="shared" si="100"/>
        <v>1.8316654859518167E-8</v>
      </c>
      <c r="AO232" s="36">
        <f t="shared" si="101"/>
        <v>9.355781590475508E-8</v>
      </c>
      <c r="AP232" s="36">
        <v>4.236521713239136</v>
      </c>
      <c r="AQ232" s="36">
        <f t="shared" si="102"/>
        <v>4.7697751553439248E-5</v>
      </c>
      <c r="AR232" s="36">
        <f t="shared" si="103"/>
        <v>7.9927689679280522E-6</v>
      </c>
      <c r="AS232" s="36">
        <f t="shared" si="104"/>
        <v>21.752150416697265</v>
      </c>
      <c r="AT232" s="36">
        <f t="shared" si="105"/>
        <v>12.348563111903054</v>
      </c>
      <c r="AU232" s="36">
        <f t="shared" si="106"/>
        <v>3.9240556412186036</v>
      </c>
      <c r="AV232" s="36">
        <f t="shared" si="107"/>
        <v>0.31246607202053234</v>
      </c>
      <c r="AW232" s="36">
        <f t="shared" si="108"/>
        <v>8.5399006259159749E-3</v>
      </c>
      <c r="AX232" s="36">
        <f t="shared" si="109"/>
        <v>0.31246607186644143</v>
      </c>
      <c r="AY232" s="36">
        <f t="shared" si="110"/>
        <v>1.540909067010432E-10</v>
      </c>
      <c r="AZ232" s="36">
        <f t="shared" si="111"/>
        <v>1189751.8930438627</v>
      </c>
      <c r="BA232" s="36">
        <f t="shared" si="112"/>
        <v>1.1258705792627879E-5</v>
      </c>
      <c r="BB232" s="38">
        <f t="shared" si="113"/>
        <v>6466415.3097593207</v>
      </c>
      <c r="BC232" s="40">
        <f t="shared" si="114"/>
        <v>-58778.476861773059</v>
      </c>
      <c r="BD232" s="41">
        <f t="shared" si="115"/>
        <v>-0.90079281602776751</v>
      </c>
      <c r="BE232" s="38">
        <v>5425894.7999999989</v>
      </c>
      <c r="BF232" s="42">
        <f>テーブル2[[#This Row],[q_P]]/テーブル2[[#This Row],[q_M]]</f>
        <v>1.1917693851637747</v>
      </c>
      <c r="BG232" s="36">
        <v>1</v>
      </c>
      <c r="BH232" s="36">
        <v>-2.8000000000000001E-2</v>
      </c>
      <c r="BI232" s="36">
        <v>4.5999999999999999E-2</v>
      </c>
      <c r="BJ232" s="36">
        <v>5625</v>
      </c>
      <c r="BK232" s="22">
        <v>1</v>
      </c>
      <c r="BL232" s="36">
        <f>テーブル2[[#This Row],[Ts]]-テーブル2[[#This Row],[Tin]]</f>
        <v>110.6399848395688</v>
      </c>
      <c r="BM232" s="36">
        <f>テーブル2[[#This Row],[q_P]]*0.000001</f>
        <v>6.46641530975932</v>
      </c>
      <c r="BN232" s="36">
        <f>テーブル2[[#This Row],[Tsub]]</f>
        <v>110.6399848395688</v>
      </c>
      <c r="BO232" s="36">
        <f>テーブル2[[#This Row],[Fcorr]]</f>
        <v>1</v>
      </c>
      <c r="BP232" s="36">
        <f>(テーブル2[[#This Row],[Tsub]]-40)^2</f>
        <v>4990.0074581345098</v>
      </c>
      <c r="BQ232" s="36">
        <v>1</v>
      </c>
      <c r="BR232" s="36">
        <v>0.15240000000000001</v>
      </c>
    </row>
    <row r="233" spans="1:70" x14ac:dyDescent="0.15">
      <c r="A233" s="35" t="s">
        <v>187</v>
      </c>
      <c r="B233" s="36">
        <v>12065825.263044</v>
      </c>
      <c r="C233" s="22">
        <f>TsatFromP(テーブル2[[#This Row],[P]])</f>
        <v>598.16775841222602</v>
      </c>
      <c r="D233" s="36">
        <f>RhoGFromP(テーブル2[[#This Row],[P]])</f>
        <v>70.719127092768275</v>
      </c>
      <c r="E233" s="36">
        <f>RhoFFromP(テーブル2[[#This Row],[P]])</f>
        <v>654.05698086007123</v>
      </c>
      <c r="F233" s="36">
        <f>HgFromP(テーブル2[[#This Row],[P]])</f>
        <v>2683685.0883769183</v>
      </c>
      <c r="G233" s="36">
        <f>HfFromP(テーブル2[[#This Row],[P]])</f>
        <v>1493933.1953330557</v>
      </c>
      <c r="H233" s="36">
        <f>MuGFromP(テーブル2[[#This Row],[P]])</f>
        <v>2.1145404359091978E-5</v>
      </c>
      <c r="I233" s="36">
        <f>MuFFromP(テーブル2[[#This Row],[P]])</f>
        <v>7.6371158483289308E-5</v>
      </c>
      <c r="J233" s="36">
        <f>KfFromP(テーブル2[[#This Row],[P]])</f>
        <v>0.51093471001104362</v>
      </c>
      <c r="K233" s="36">
        <f>CpFFromP(テーブル2[[#This Row],[P]])</f>
        <v>6848.0719740576842</v>
      </c>
      <c r="L233" s="36">
        <f>SigmaFromP(テーブル2[[#This Row],[P]])</f>
        <v>8.6953190176294083E-3</v>
      </c>
      <c r="M233" s="36">
        <v>16.010000000000002</v>
      </c>
      <c r="N233" s="36">
        <v>3254.9520000000002</v>
      </c>
      <c r="O233" s="37">
        <f t="shared" si="116"/>
        <v>2.8502295699234246E-6</v>
      </c>
      <c r="P233" s="37">
        <f t="shared" si="117"/>
        <v>5.9847340050885557E-3</v>
      </c>
      <c r="Q233" s="37">
        <v>1.905E-3</v>
      </c>
      <c r="R233" s="36">
        <v>0.15240000000000001</v>
      </c>
      <c r="S233" s="38">
        <v>8616491.3177490234</v>
      </c>
      <c r="T233" s="36">
        <v>458.12079612380069</v>
      </c>
      <c r="U233" s="12">
        <f>+T233+BG233*S233*テーブル2[[#This Row],[Pw]]*R233/(N233*O233*K233)</f>
        <v>581.82017768483115</v>
      </c>
      <c r="V233" s="36">
        <v>0.03</v>
      </c>
      <c r="W233" s="37">
        <f t="shared" si="88"/>
        <v>81191.429895053458</v>
      </c>
      <c r="X233" s="36">
        <v>3.3255091938822395E-2</v>
      </c>
      <c r="Y233" s="36">
        <f t="shared" si="89"/>
        <v>5.4836651001193193</v>
      </c>
      <c r="Z233" s="36">
        <f t="shared" si="90"/>
        <v>5.4836651053309593</v>
      </c>
      <c r="AA233" s="36">
        <f t="shared" si="91"/>
        <v>-5.2116400084400993E-9</v>
      </c>
      <c r="AB233" s="36">
        <f t="shared" si="92"/>
        <v>1.5496192713117083E-5</v>
      </c>
      <c r="AC233" s="36">
        <v>629.94577520331268</v>
      </c>
      <c r="AD233" s="36">
        <f t="shared" si="93"/>
        <v>2617.364919484929</v>
      </c>
      <c r="AE233" s="36">
        <f>+gettm2(AD233,AC233,AK233,AL233,テーブル2[[#This Row],[Fcorr]])</f>
        <v>581.82017768483092</v>
      </c>
      <c r="AF233" s="39">
        <f t="shared" si="94"/>
        <v>0</v>
      </c>
      <c r="AG233" s="36">
        <v>1.56185422520867E-5</v>
      </c>
      <c r="AH233" s="36">
        <f t="shared" si="95"/>
        <v>67.335138471289682</v>
      </c>
      <c r="AI233" s="36">
        <f t="shared" si="96"/>
        <v>0.32085815812649854</v>
      </c>
      <c r="AJ233" s="36">
        <f t="shared" si="97"/>
        <v>42.918031059427676</v>
      </c>
      <c r="AK233" s="36">
        <f>+S88*テーブル2[[#This Row],[F_form]]/(E88*CpFromTP((テーブル2[[#This Row],[Tin]]+テーブル2[[#This Row],[Tf]])/2,テーブル2[[#This Row],[P]])*AI88)</f>
        <v>2.1087700152218218</v>
      </c>
      <c r="AL233" s="36">
        <f t="shared" si="98"/>
        <v>1.0236047381169835</v>
      </c>
      <c r="AM233" s="36">
        <f t="shared" si="99"/>
        <v>598.1677583891917</v>
      </c>
      <c r="AN233" s="36">
        <f t="shared" si="100"/>
        <v>2.3034317564452067E-8</v>
      </c>
      <c r="AO233" s="36">
        <f t="shared" si="101"/>
        <v>1.2234953896961682E-7</v>
      </c>
      <c r="AP233" s="36">
        <v>4.2661931479397888</v>
      </c>
      <c r="AQ233" s="36">
        <f t="shared" si="102"/>
        <v>4.7036581703717891E-5</v>
      </c>
      <c r="AR233" s="36">
        <f t="shared" si="103"/>
        <v>7.8704458955281583E-6</v>
      </c>
      <c r="AS233" s="36">
        <f t="shared" si="104"/>
        <v>21.627117047411598</v>
      </c>
      <c r="AT233" s="36">
        <f t="shared" si="105"/>
        <v>12.319739730862167</v>
      </c>
      <c r="AU233" s="36">
        <f t="shared" si="106"/>
        <v>3.9528889986422797</v>
      </c>
      <c r="AV233" s="36">
        <f t="shared" si="107"/>
        <v>0.31330414929750905</v>
      </c>
      <c r="AW233" s="36">
        <f t="shared" si="108"/>
        <v>8.3765292067276061E-3</v>
      </c>
      <c r="AX233" s="36">
        <f t="shared" si="109"/>
        <v>0.31330414853824262</v>
      </c>
      <c r="AY233" s="36">
        <f t="shared" si="110"/>
        <v>7.5926642750800966E-10</v>
      </c>
      <c r="AZ233" s="36">
        <f t="shared" si="111"/>
        <v>1189751.8930438627</v>
      </c>
      <c r="BA233" s="36">
        <f t="shared" si="112"/>
        <v>1.102542244868416E-5</v>
      </c>
      <c r="BB233" s="38">
        <f t="shared" si="113"/>
        <v>8635332.9697584566</v>
      </c>
      <c r="BC233" s="40">
        <f t="shared" si="114"/>
        <v>18841.652009433135</v>
      </c>
      <c r="BD233" s="41">
        <f t="shared" si="115"/>
        <v>0.21866965699392521</v>
      </c>
      <c r="BE233" s="38">
        <v>6624639</v>
      </c>
      <c r="BF233" s="42">
        <f>テーブル2[[#This Row],[q_P]]/テーブル2[[#This Row],[q_M]]</f>
        <v>1.3035175154085312</v>
      </c>
      <c r="BG233" s="36">
        <v>1</v>
      </c>
      <c r="BH233" s="36">
        <v>-4.3999999999999997E-2</v>
      </c>
      <c r="BI233" s="36">
        <v>4.5999999999999999E-2</v>
      </c>
      <c r="BJ233" s="36">
        <v>5625</v>
      </c>
      <c r="BK233" s="22">
        <v>1</v>
      </c>
      <c r="BL233" s="36">
        <f>テーブル2[[#This Row],[Ts]]-テーブル2[[#This Row],[Tin]]</f>
        <v>140.04696228842533</v>
      </c>
      <c r="BM233" s="36">
        <f>テーブル2[[#This Row],[q_P]]*0.000001</f>
        <v>8.6353329697584567</v>
      </c>
      <c r="BN233" s="36">
        <f>テーブル2[[#This Row],[Tsub]]</f>
        <v>140.04696228842533</v>
      </c>
      <c r="BO233" s="36">
        <f>テーブル2[[#This Row],[Fcorr]]</f>
        <v>1</v>
      </c>
      <c r="BP233" s="36">
        <f>(テーブル2[[#This Row],[Tsub]]-40)^2</f>
        <v>10009.3946631416</v>
      </c>
      <c r="BQ233" s="36">
        <v>1</v>
      </c>
      <c r="BR233" s="36">
        <v>0.15240000000000001</v>
      </c>
    </row>
    <row r="234" spans="1:70" x14ac:dyDescent="0.15">
      <c r="A234" s="35" t="s">
        <v>188</v>
      </c>
      <c r="B234" s="36">
        <v>12065825.263044</v>
      </c>
      <c r="C234" s="22">
        <f>TsatFromP(テーブル2[[#This Row],[P]])</f>
        <v>598.16775841222602</v>
      </c>
      <c r="D234" s="36">
        <f>RhoGFromP(テーブル2[[#This Row],[P]])</f>
        <v>70.719127092768275</v>
      </c>
      <c r="E234" s="36">
        <f>RhoFFromP(テーブル2[[#This Row],[P]])</f>
        <v>654.05698086007123</v>
      </c>
      <c r="F234" s="36">
        <f>HgFromP(テーブル2[[#This Row],[P]])</f>
        <v>2683685.0883769183</v>
      </c>
      <c r="G234" s="36">
        <f>HfFromP(テーブル2[[#This Row],[P]])</f>
        <v>1493933.1953330557</v>
      </c>
      <c r="H234" s="36">
        <f>MuGFromP(テーブル2[[#This Row],[P]])</f>
        <v>2.1145404359091978E-5</v>
      </c>
      <c r="I234" s="36">
        <f>MuFFromP(テーブル2[[#This Row],[P]])</f>
        <v>7.6371158483289308E-5</v>
      </c>
      <c r="J234" s="36">
        <f>KfFromP(テーブル2[[#This Row],[P]])</f>
        <v>0.51093471001104362</v>
      </c>
      <c r="K234" s="36">
        <f>CpFFromP(テーブル2[[#This Row],[P]])</f>
        <v>6848.0719740576842</v>
      </c>
      <c r="L234" s="36">
        <f>SigmaFromP(テーブル2[[#This Row],[P]])</f>
        <v>8.6953190176294083E-3</v>
      </c>
      <c r="M234" s="36">
        <v>17.010000000000002</v>
      </c>
      <c r="N234" s="36">
        <v>3295.6388999999999</v>
      </c>
      <c r="O234" s="37">
        <f t="shared" si="116"/>
        <v>2.8502295699234246E-6</v>
      </c>
      <c r="P234" s="37">
        <f t="shared" si="117"/>
        <v>5.9847340050885557E-3</v>
      </c>
      <c r="Q234" s="37">
        <v>1.905E-3</v>
      </c>
      <c r="R234" s="36">
        <v>0.15240000000000001</v>
      </c>
      <c r="S234" s="38">
        <v>4252316.6656494141</v>
      </c>
      <c r="T234" s="36">
        <v>522.60407503227714</v>
      </c>
      <c r="U234" s="12">
        <f>+T234+BG234*S234*テーブル2[[#This Row],[Pw]]*R234/(N234*O234*K234)</f>
        <v>582.89717869037236</v>
      </c>
      <c r="V234" s="36">
        <v>0.03</v>
      </c>
      <c r="W234" s="37">
        <f t="shared" si="88"/>
        <v>82206.322768741607</v>
      </c>
      <c r="X234" s="36">
        <v>3.3064273710313064E-2</v>
      </c>
      <c r="Y234" s="36">
        <f t="shared" si="89"/>
        <v>5.4994658085590018</v>
      </c>
      <c r="Z234" s="36">
        <f t="shared" si="90"/>
        <v>5.4994658399245262</v>
      </c>
      <c r="AA234" s="36">
        <f t="shared" si="91"/>
        <v>-3.136552439997331E-8</v>
      </c>
      <c r="AB234" s="36">
        <f t="shared" si="92"/>
        <v>1.5203168550013143E-5</v>
      </c>
      <c r="AC234" s="36">
        <v>627.56598139279026</v>
      </c>
      <c r="AD234" s="36">
        <f t="shared" si="93"/>
        <v>2642.4679373276463</v>
      </c>
      <c r="AE234" s="36">
        <f>+gettm2(AD234,AC234,AK234,AL234,テーブル2[[#This Row],[Fcorr]])</f>
        <v>582.89717896603213</v>
      </c>
      <c r="AF234" s="39">
        <f t="shared" si="94"/>
        <v>2.7565977234189631E-7</v>
      </c>
      <c r="AG234" s="36">
        <v>1.5262332810382091E-5</v>
      </c>
      <c r="AH234" s="36">
        <f t="shared" si="95"/>
        <v>68.63294836750508</v>
      </c>
      <c r="AI234" s="36">
        <f t="shared" si="96"/>
        <v>0.32393549289494034</v>
      </c>
      <c r="AJ234" s="36">
        <f t="shared" si="97"/>
        <v>42.341443674811991</v>
      </c>
      <c r="AK234" s="36">
        <f>+S88*テーブル2[[#This Row],[F_form]]/(E88*CpFromTP((テーブル2[[#This Row],[Tin]]+テーブル2[[#This Row],[Tf]])/2,テーブル2[[#This Row],[P]])*AI88)</f>
        <v>1.9552356668212003</v>
      </c>
      <c r="AL234" s="36">
        <f t="shared" si="98"/>
        <v>1.0236047381169835</v>
      </c>
      <c r="AM234" s="36">
        <f t="shared" si="99"/>
        <v>598.16775840446337</v>
      </c>
      <c r="AN234" s="36">
        <f t="shared" si="100"/>
        <v>7.7626509664696641E-9</v>
      </c>
      <c r="AO234" s="36">
        <f t="shared" si="101"/>
        <v>5.9164260368948655E-8</v>
      </c>
      <c r="AP234" s="36">
        <v>4.2779607157781312</v>
      </c>
      <c r="AQ234" s="36">
        <f t="shared" si="102"/>
        <v>4.6778166572597395E-5</v>
      </c>
      <c r="AR234" s="36">
        <f t="shared" si="103"/>
        <v>7.66074853537552E-6</v>
      </c>
      <c r="AS234" s="36">
        <f t="shared" si="104"/>
        <v>21.252789900954891</v>
      </c>
      <c r="AT234" s="36">
        <f t="shared" si="105"/>
        <v>12.232440881047101</v>
      </c>
      <c r="AU234" s="36">
        <f t="shared" si="106"/>
        <v>3.9625217661102106</v>
      </c>
      <c r="AV234" s="36">
        <f t="shared" si="107"/>
        <v>0.31543894966792063</v>
      </c>
      <c r="AW234" s="36">
        <f t="shared" si="108"/>
        <v>8.2181338185210954E-3</v>
      </c>
      <c r="AX234" s="36">
        <f t="shared" si="109"/>
        <v>0.31543894851078064</v>
      </c>
      <c r="AY234" s="36">
        <f t="shared" si="110"/>
        <v>1.1571399949339423E-9</v>
      </c>
      <c r="AZ234" s="36">
        <f t="shared" si="111"/>
        <v>1189751.8930438627</v>
      </c>
      <c r="BA234" s="36">
        <f t="shared" si="112"/>
        <v>1.0934688203205899E-5</v>
      </c>
      <c r="BB234" s="38">
        <f t="shared" si="113"/>
        <v>4210416.176368162</v>
      </c>
      <c r="BC234" s="40">
        <f t="shared" si="114"/>
        <v>-41900.489281252027</v>
      </c>
      <c r="BD234" s="41">
        <f t="shared" si="115"/>
        <v>-0.98535674964491338</v>
      </c>
      <c r="BE234" s="38">
        <v>4037875.2</v>
      </c>
      <c r="BF234" s="42">
        <f>テーブル2[[#This Row],[q_P]]/テーブル2[[#This Row],[q_M]]</f>
        <v>1.0427306362435773</v>
      </c>
      <c r="BG234" s="36">
        <v>1</v>
      </c>
      <c r="BH234" s="36">
        <v>-1.6E-2</v>
      </c>
      <c r="BI234" s="36">
        <v>4.5999999999999999E-2</v>
      </c>
      <c r="BJ234" s="36">
        <v>5625</v>
      </c>
      <c r="BK234" s="22">
        <v>1</v>
      </c>
      <c r="BL234" s="36">
        <f>テーブル2[[#This Row],[Ts]]-テーブル2[[#This Row],[Tin]]</f>
        <v>75.563683379948884</v>
      </c>
      <c r="BM234" s="36">
        <f>テーブル2[[#This Row],[q_P]]*0.000001</f>
        <v>4.2104161763681622</v>
      </c>
      <c r="BN234" s="36">
        <f>テーブル2[[#This Row],[Tsub]]</f>
        <v>75.563683379948884</v>
      </c>
      <c r="BO234" s="36">
        <f>テーブル2[[#This Row],[Fcorr]]</f>
        <v>1</v>
      </c>
      <c r="BP234" s="36">
        <f>(テーブル2[[#This Row],[Tsub]]-40)^2</f>
        <v>1264.7755755492524</v>
      </c>
      <c r="BQ234" s="36">
        <v>1</v>
      </c>
      <c r="BR234" s="36">
        <v>0.15240000000000001</v>
      </c>
    </row>
    <row r="235" spans="1:70" x14ac:dyDescent="0.15">
      <c r="A235" s="35" t="s">
        <v>189</v>
      </c>
      <c r="B235" s="36">
        <v>12065825.263044</v>
      </c>
      <c r="C235" s="22">
        <f>TsatFromP(テーブル2[[#This Row],[P]])</f>
        <v>598.16775841222602</v>
      </c>
      <c r="D235" s="36">
        <f>RhoGFromP(テーブル2[[#This Row],[P]])</f>
        <v>70.719127092768275</v>
      </c>
      <c r="E235" s="36">
        <f>RhoFFromP(テーブル2[[#This Row],[P]])</f>
        <v>654.05698086007123</v>
      </c>
      <c r="F235" s="36">
        <f>HgFromP(テーブル2[[#This Row],[P]])</f>
        <v>2683685.0883769183</v>
      </c>
      <c r="G235" s="36">
        <f>HfFromP(テーブル2[[#This Row],[P]])</f>
        <v>1493933.1953330557</v>
      </c>
      <c r="H235" s="36">
        <f>MuGFromP(テーブル2[[#This Row],[P]])</f>
        <v>2.1145404359091978E-5</v>
      </c>
      <c r="I235" s="36">
        <f>MuFFromP(テーブル2[[#This Row],[P]])</f>
        <v>7.6371158483289308E-5</v>
      </c>
      <c r="J235" s="36">
        <f>KfFromP(テーブル2[[#This Row],[P]])</f>
        <v>0.51093471001104362</v>
      </c>
      <c r="K235" s="36">
        <f>CpFFromP(テーブル2[[#This Row],[P]])</f>
        <v>6848.0719740576842</v>
      </c>
      <c r="L235" s="36">
        <f>SigmaFromP(テーブル2[[#This Row],[P]])</f>
        <v>8.6953190176294083E-3</v>
      </c>
      <c r="M235" s="36">
        <v>18.010000000000002</v>
      </c>
      <c r="N235" s="36">
        <v>3811.0063</v>
      </c>
      <c r="O235" s="37">
        <f t="shared" si="116"/>
        <v>2.8502295699234246E-6</v>
      </c>
      <c r="P235" s="37">
        <f t="shared" si="117"/>
        <v>5.9847340050885557E-3</v>
      </c>
      <c r="Q235" s="37">
        <v>1.905E-3</v>
      </c>
      <c r="R235" s="36">
        <v>0.15240000000000001</v>
      </c>
      <c r="S235" s="38">
        <v>3802702.9037475586</v>
      </c>
      <c r="T235" s="36">
        <v>535.47689091833934</v>
      </c>
      <c r="U235" s="12">
        <f>+T235+BG235*S235*テーブル2[[#This Row],[Pw]]*R235/(N235*O235*K235)</f>
        <v>582.1035600374471</v>
      </c>
      <c r="V235" s="36">
        <v>0.03</v>
      </c>
      <c r="W235" s="37">
        <f t="shared" si="88"/>
        <v>95061.632502125067</v>
      </c>
      <c r="X235" s="36">
        <v>3.0945299404402053E-2</v>
      </c>
      <c r="Y235" s="36">
        <f t="shared" si="89"/>
        <v>5.6846359273741571</v>
      </c>
      <c r="Z235" s="36">
        <f t="shared" si="90"/>
        <v>5.684635962469522</v>
      </c>
      <c r="AA235" s="36">
        <f t="shared" si="91"/>
        <v>-3.5095364836479348E-8</v>
      </c>
      <c r="AB235" s="36">
        <f t="shared" si="92"/>
        <v>1.214781910610109E-5</v>
      </c>
      <c r="AC235" s="36">
        <v>626.47166899465594</v>
      </c>
      <c r="AD235" s="36">
        <f t="shared" si="93"/>
        <v>2956.1578714842067</v>
      </c>
      <c r="AE235" s="36">
        <f>+gettm2(AD235,AC235,AK235,AL235,テーブル2[[#This Row],[Fcorr]])</f>
        <v>582.1035600374471</v>
      </c>
      <c r="AF235" s="39">
        <f t="shared" si="94"/>
        <v>0</v>
      </c>
      <c r="AG235" s="36">
        <v>1.2192196134561018E-5</v>
      </c>
      <c r="AH235" s="36">
        <f t="shared" si="95"/>
        <v>85.895111954002928</v>
      </c>
      <c r="AI235" s="36">
        <f t="shared" si="96"/>
        <v>0.36239018973411996</v>
      </c>
      <c r="AJ235" s="36">
        <f t="shared" si="97"/>
        <v>37.839429473870737</v>
      </c>
      <c r="AK235" s="36">
        <f>+S88*テーブル2[[#This Row],[F_form]]/(E88*CpFromTP((テーブル2[[#This Row],[Tin]]+テーブル2[[#This Row],[Tf]])/2,テーブル2[[#This Row],[P]])*AI88)</f>
        <v>1.9183102903371594</v>
      </c>
      <c r="AL235" s="36">
        <f t="shared" si="98"/>
        <v>1.0236047381169835</v>
      </c>
      <c r="AM235" s="36">
        <f t="shared" si="99"/>
        <v>598.16775840620903</v>
      </c>
      <c r="AN235" s="36">
        <f t="shared" si="100"/>
        <v>6.01698957325425E-9</v>
      </c>
      <c r="AO235" s="36">
        <f t="shared" si="101"/>
        <v>4.4377028459928776E-8</v>
      </c>
      <c r="AP235" s="36">
        <v>4.5598678142331934</v>
      </c>
      <c r="AQ235" s="36">
        <f t="shared" si="102"/>
        <v>4.1172977423260904E-5</v>
      </c>
      <c r="AR235" s="36">
        <f t="shared" si="103"/>
        <v>6.1182865815104736E-6</v>
      </c>
      <c r="AS235" s="36">
        <f t="shared" si="104"/>
        <v>18.988578517510117</v>
      </c>
      <c r="AT235" s="36">
        <f t="shared" si="105"/>
        <v>11.669188338788022</v>
      </c>
      <c r="AU235" s="36">
        <f t="shared" si="106"/>
        <v>4.2287993761365712</v>
      </c>
      <c r="AV235" s="36">
        <f t="shared" si="107"/>
        <v>0.33106843809662223</v>
      </c>
      <c r="AW235" s="36">
        <f t="shared" si="108"/>
        <v>6.5665524057509561E-3</v>
      </c>
      <c r="AX235" s="36">
        <f t="shared" si="109"/>
        <v>0.33106841719613062</v>
      </c>
      <c r="AY235" s="36">
        <f t="shared" si="110"/>
        <v>2.090049161518337E-8</v>
      </c>
      <c r="AZ235" s="36">
        <f t="shared" si="111"/>
        <v>1189751.8930438627</v>
      </c>
      <c r="BA235" s="36">
        <f t="shared" si="112"/>
        <v>9.0294234615186372E-6</v>
      </c>
      <c r="BB235" s="38">
        <f t="shared" si="113"/>
        <v>3824460.5615147916</v>
      </c>
      <c r="BC235" s="40">
        <f t="shared" si="114"/>
        <v>21757.657767232973</v>
      </c>
      <c r="BD235" s="41">
        <f t="shared" si="115"/>
        <v>0.57216296718291693</v>
      </c>
      <c r="BE235" s="38">
        <v>4053648.15</v>
      </c>
      <c r="BF235" s="42">
        <f>テーブル2[[#This Row],[q_P]]/テーブル2[[#This Row],[q_M]]</f>
        <v>0.94346140069280349</v>
      </c>
      <c r="BG235" s="36">
        <v>1</v>
      </c>
      <c r="BH235" s="36">
        <v>-7.0000000000000001E-3</v>
      </c>
      <c r="BI235" s="36">
        <v>4.5999999999999999E-2</v>
      </c>
      <c r="BJ235" s="36">
        <v>5625</v>
      </c>
      <c r="BK235" s="22">
        <v>1</v>
      </c>
      <c r="BL235" s="36">
        <f>テーブル2[[#This Row],[Ts]]-テーブル2[[#This Row],[Tin]]</f>
        <v>62.690867493886685</v>
      </c>
      <c r="BM235" s="36">
        <f>テーブル2[[#This Row],[q_P]]*0.000001</f>
        <v>3.8244605615147913</v>
      </c>
      <c r="BN235" s="36">
        <f>テーブル2[[#This Row],[Tsub]]</f>
        <v>62.690867493886685</v>
      </c>
      <c r="BO235" s="36">
        <f>テーブル2[[#This Row],[Fcorr]]</f>
        <v>1</v>
      </c>
      <c r="BP235" s="36">
        <f>(テーブル2[[#This Row],[Tsub]]-40)^2</f>
        <v>514.87546762512341</v>
      </c>
      <c r="BQ235" s="36">
        <v>1</v>
      </c>
      <c r="BR235" s="36">
        <v>0.15240000000000001</v>
      </c>
    </row>
    <row r="236" spans="1:70" x14ac:dyDescent="0.15">
      <c r="A236" s="35" t="s">
        <v>190</v>
      </c>
      <c r="B236" s="36">
        <v>12065825.263044</v>
      </c>
      <c r="C236" s="22">
        <f>TsatFromP(テーブル2[[#This Row],[P]])</f>
        <v>598.16775841222602</v>
      </c>
      <c r="D236" s="36">
        <f>RhoGFromP(テーブル2[[#This Row],[P]])</f>
        <v>70.719127092768275</v>
      </c>
      <c r="E236" s="36">
        <f>RhoFFromP(テーブル2[[#This Row],[P]])</f>
        <v>654.05698086007123</v>
      </c>
      <c r="F236" s="36">
        <f>HgFromP(テーブル2[[#This Row],[P]])</f>
        <v>2683685.0883769183</v>
      </c>
      <c r="G236" s="36">
        <f>HfFromP(テーブル2[[#This Row],[P]])</f>
        <v>1493933.1953330557</v>
      </c>
      <c r="H236" s="36">
        <f>MuGFromP(テーブル2[[#This Row],[P]])</f>
        <v>2.1145404359091978E-5</v>
      </c>
      <c r="I236" s="36">
        <f>MuFFromP(テーブル2[[#This Row],[P]])</f>
        <v>7.6371158483289308E-5</v>
      </c>
      <c r="J236" s="36">
        <f>KfFromP(テーブル2[[#This Row],[P]])</f>
        <v>0.51093471001104362</v>
      </c>
      <c r="K236" s="36">
        <f>CpFFromP(テーブル2[[#This Row],[P]])</f>
        <v>6848.0719740576842</v>
      </c>
      <c r="L236" s="36">
        <f>SigmaFromP(テーブル2[[#This Row],[P]])</f>
        <v>8.6953190176294083E-3</v>
      </c>
      <c r="M236" s="36">
        <v>19.010000000000002</v>
      </c>
      <c r="N236" s="36">
        <v>4041.5654</v>
      </c>
      <c r="O236" s="37">
        <f t="shared" si="116"/>
        <v>2.8502295699234246E-6</v>
      </c>
      <c r="P236" s="37">
        <f t="shared" si="117"/>
        <v>5.9847340050885557E-3</v>
      </c>
      <c r="Q236" s="37">
        <v>1.905E-3</v>
      </c>
      <c r="R236" s="36">
        <v>0.15240000000000001</v>
      </c>
      <c r="S236" s="38">
        <v>4513291.9311523438</v>
      </c>
      <c r="T236" s="36">
        <v>529.30255859691806</v>
      </c>
      <c r="U236" s="12">
        <f>+T236+BG236*S236*テーブル2[[#This Row],[Pw]]*R236/(N236*O236*K236)</f>
        <v>581.48513010991371</v>
      </c>
      <c r="V236" s="36">
        <v>0.03</v>
      </c>
      <c r="W236" s="37">
        <f t="shared" si="88"/>
        <v>100812.69211969136</v>
      </c>
      <c r="X236" s="36">
        <v>3.0144336571566076E-2</v>
      </c>
      <c r="Y236" s="36">
        <f t="shared" si="89"/>
        <v>5.7596638152486737</v>
      </c>
      <c r="Z236" s="36">
        <f t="shared" si="90"/>
        <v>5.7596638521379919</v>
      </c>
      <c r="AA236" s="36">
        <f t="shared" si="91"/>
        <v>-3.6889318266730697E-8</v>
      </c>
      <c r="AB236" s="36">
        <f t="shared" si="92"/>
        <v>1.1088361764888358E-5</v>
      </c>
      <c r="AC236" s="36">
        <v>626.56640292665475</v>
      </c>
      <c r="AD236" s="36">
        <f t="shared" si="93"/>
        <v>3094.1622859470503</v>
      </c>
      <c r="AE236" s="36">
        <f>+gettm2(AD236,AC236,AK236,AL236,テーブル2[[#This Row],[Fcorr]])</f>
        <v>581.4851301099136</v>
      </c>
      <c r="AF236" s="39">
        <f t="shared" si="94"/>
        <v>0</v>
      </c>
      <c r="AG236" s="36">
        <v>1.1136534893460316E-5</v>
      </c>
      <c r="AH236" s="36">
        <f t="shared" si="95"/>
        <v>94.102113931708885</v>
      </c>
      <c r="AI236" s="36">
        <f t="shared" si="96"/>
        <v>0.37930790797364905</v>
      </c>
      <c r="AJ236" s="36">
        <f t="shared" si="97"/>
        <v>36.176636497090037</v>
      </c>
      <c r="AK236" s="36">
        <f>+S88*テーブル2[[#This Row],[F_form]]/(E88*CpFromTP((テーブル2[[#This Row],[Tin]]+テーブル2[[#This Row],[Tf]])/2,テーブル2[[#This Row],[P]])*AI88)</f>
        <v>1.9394987721054762</v>
      </c>
      <c r="AL236" s="36">
        <f t="shared" si="98"/>
        <v>1.0236047381169835</v>
      </c>
      <c r="AM236" s="36">
        <f t="shared" si="99"/>
        <v>598.16775840964351</v>
      </c>
      <c r="AN236" s="36">
        <f t="shared" si="100"/>
        <v>2.5825102056842297E-9</v>
      </c>
      <c r="AO236" s="36">
        <f t="shared" si="101"/>
        <v>4.8173128571957891E-8</v>
      </c>
      <c r="AP236" s="36">
        <v>4.6799188489630907</v>
      </c>
      <c r="AQ236" s="36">
        <f t="shared" si="102"/>
        <v>3.908770172988547E-5</v>
      </c>
      <c r="AR236" s="36">
        <f t="shared" si="103"/>
        <v>5.592354011016137E-6</v>
      </c>
      <c r="AS236" s="36">
        <f t="shared" si="104"/>
        <v>18.166562593754168</v>
      </c>
      <c r="AT236" s="36">
        <f t="shared" si="105"/>
        <v>11.447913421002525</v>
      </c>
      <c r="AU236" s="36">
        <f t="shared" si="106"/>
        <v>4.3422840903839273</v>
      </c>
      <c r="AV236" s="36">
        <f t="shared" si="107"/>
        <v>0.33763475857916347</v>
      </c>
      <c r="AW236" s="36">
        <f t="shared" si="108"/>
        <v>5.9938584849765749E-3</v>
      </c>
      <c r="AX236" s="36">
        <f t="shared" si="109"/>
        <v>0.33763475729284603</v>
      </c>
      <c r="AY236" s="36">
        <f t="shared" si="110"/>
        <v>1.2863174414512457E-9</v>
      </c>
      <c r="AZ236" s="36">
        <f t="shared" si="111"/>
        <v>1189751.8930438627</v>
      </c>
      <c r="BA236" s="36">
        <f t="shared" si="112"/>
        <v>8.3522178463726911E-6</v>
      </c>
      <c r="BB236" s="38">
        <f t="shared" si="113"/>
        <v>4488229.2190211825</v>
      </c>
      <c r="BC236" s="40">
        <f t="shared" si="114"/>
        <v>-25062.712131161243</v>
      </c>
      <c r="BD236" s="41">
        <f t="shared" si="115"/>
        <v>-0.5553089078543646</v>
      </c>
      <c r="BE236" s="38">
        <v>4653020.25</v>
      </c>
      <c r="BF236" s="42">
        <f>テーブル2[[#This Row],[q_P]]/テーブル2[[#This Row],[q_M]]</f>
        <v>0.96458407182328132</v>
      </c>
      <c r="BG236" s="36">
        <v>1</v>
      </c>
      <c r="BH236" s="36">
        <v>-8.9999999999999993E-3</v>
      </c>
      <c r="BI236" s="36">
        <v>4.5999999999999999E-2</v>
      </c>
      <c r="BJ236" s="36">
        <v>5625</v>
      </c>
      <c r="BK236" s="22">
        <v>1</v>
      </c>
      <c r="BL236" s="36">
        <f>テーブル2[[#This Row],[Ts]]-テーブル2[[#This Row],[Tin]]</f>
        <v>68.86519981530796</v>
      </c>
      <c r="BM236" s="36">
        <f>テーブル2[[#This Row],[q_P]]*0.000001</f>
        <v>4.4882292190211821</v>
      </c>
      <c r="BN236" s="36">
        <f>テーブル2[[#This Row],[Tsub]]</f>
        <v>68.86519981530796</v>
      </c>
      <c r="BO236" s="36">
        <f>テーブル2[[#This Row],[Fcorr]]</f>
        <v>1</v>
      </c>
      <c r="BP236" s="36">
        <f>(テーブル2[[#This Row],[Tsub]]-40)^2</f>
        <v>833.19976037765468</v>
      </c>
      <c r="BQ236" s="36">
        <v>1</v>
      </c>
      <c r="BR236" s="36">
        <v>0.15240000000000001</v>
      </c>
    </row>
    <row r="237" spans="1:70" x14ac:dyDescent="0.15">
      <c r="A237" s="35" t="s">
        <v>173</v>
      </c>
      <c r="B237" s="36">
        <v>12065825.263044</v>
      </c>
      <c r="C237" s="22">
        <f>TsatFromP(テーブル2[[#This Row],[P]])</f>
        <v>598.16775841222602</v>
      </c>
      <c r="D237" s="36">
        <f>RhoGFromP(テーブル2[[#This Row],[P]])</f>
        <v>70.719127092768275</v>
      </c>
      <c r="E237" s="36">
        <f>RhoFFromP(テーブル2[[#This Row],[P]])</f>
        <v>654.05698086007123</v>
      </c>
      <c r="F237" s="36">
        <f>HgFromP(テーブル2[[#This Row],[P]])</f>
        <v>2683685.0883769183</v>
      </c>
      <c r="G237" s="36">
        <f>HfFromP(テーブル2[[#This Row],[P]])</f>
        <v>1493933.1953330557</v>
      </c>
      <c r="H237" s="36">
        <f>MuGFromP(テーブル2[[#This Row],[P]])</f>
        <v>2.1145404359091978E-5</v>
      </c>
      <c r="I237" s="36">
        <f>MuFFromP(テーブル2[[#This Row],[P]])</f>
        <v>7.6371158483289308E-5</v>
      </c>
      <c r="J237" s="36">
        <f>KfFromP(テーブル2[[#This Row],[P]])</f>
        <v>0.51093471001104362</v>
      </c>
      <c r="K237" s="36">
        <f>CpFFromP(テーブル2[[#This Row],[P]])</f>
        <v>6848.0719740576842</v>
      </c>
      <c r="L237" s="36">
        <f>SigmaFromP(テーブル2[[#This Row],[P]])</f>
        <v>8.6953190176294083E-3</v>
      </c>
      <c r="M237" s="36">
        <v>2.0099999999999998</v>
      </c>
      <c r="N237" s="36">
        <v>2359.8402000000001</v>
      </c>
      <c r="O237" s="37">
        <f t="shared" si="116"/>
        <v>2.8502295699234246E-6</v>
      </c>
      <c r="P237" s="37">
        <f t="shared" si="117"/>
        <v>5.9847340050885557E-3</v>
      </c>
      <c r="Q237" s="37">
        <v>1.905E-3</v>
      </c>
      <c r="R237" s="36">
        <v>0.15240000000000001</v>
      </c>
      <c r="S237" s="38">
        <v>4029631.9961547852</v>
      </c>
      <c r="T237" s="36">
        <v>505.32839124330042</v>
      </c>
      <c r="U237" s="12">
        <f>+T237+BG237*S237*テーブル2[[#This Row],[Pw]]*R237/(N237*O237*K237)</f>
        <v>585.12132870851849</v>
      </c>
      <c r="V237" s="36">
        <v>0.03</v>
      </c>
      <c r="W237" s="37">
        <f t="shared" si="88"/>
        <v>58863.786673913746</v>
      </c>
      <c r="X237" s="36">
        <v>3.879900860884581E-2</v>
      </c>
      <c r="Y237" s="36">
        <f t="shared" si="89"/>
        <v>5.0767956854939351</v>
      </c>
      <c r="Z237" s="36">
        <f t="shared" si="90"/>
        <v>5.0767957420236982</v>
      </c>
      <c r="AA237" s="36">
        <f t="shared" si="91"/>
        <v>-5.6529763092783014E-8</v>
      </c>
      <c r="AB237" s="36">
        <f t="shared" si="92"/>
        <v>2.5268910649086699E-5</v>
      </c>
      <c r="AC237" s="36">
        <v>629.45700549978892</v>
      </c>
      <c r="AD237" s="36">
        <f t="shared" si="93"/>
        <v>2049.6680042872913</v>
      </c>
      <c r="AE237" s="36">
        <f>+gettm2(AD237,AC237,AK237,AL237,テーブル2[[#This Row],[Fcorr]])</f>
        <v>585.12132900308848</v>
      </c>
      <c r="AF237" s="39">
        <f t="shared" si="94"/>
        <v>2.9456998618115904E-7</v>
      </c>
      <c r="AG237" s="36">
        <v>2.5358882367275274E-5</v>
      </c>
      <c r="AH237" s="36">
        <f t="shared" si="95"/>
        <v>41.293362290362218</v>
      </c>
      <c r="AI237" s="36">
        <f t="shared" si="96"/>
        <v>0.25126519261053437</v>
      </c>
      <c r="AJ237" s="36">
        <f t="shared" si="97"/>
        <v>54.569333136681678</v>
      </c>
      <c r="AK237" s="36">
        <f>+S88*テーブル2[[#This Row],[F_form]]/(E88*CpFromTP((テーブル2[[#This Row],[Tin]]+テーブル2[[#This Row],[Tf]])/2,テーブル2[[#This Row],[P]])*AI88)</f>
        <v>1.9967731262470854</v>
      </c>
      <c r="AL237" s="36">
        <f t="shared" si="98"/>
        <v>1.0236047381169835</v>
      </c>
      <c r="AM237" s="36">
        <f t="shared" si="99"/>
        <v>598.16775835129397</v>
      </c>
      <c r="AN237" s="36">
        <f t="shared" si="100"/>
        <v>6.0932052292628214E-8</v>
      </c>
      <c r="AO237" s="36">
        <f t="shared" si="101"/>
        <v>8.997171818857504E-8</v>
      </c>
      <c r="AP237" s="36">
        <v>3.6766067124861923</v>
      </c>
      <c r="AQ237" s="36">
        <f t="shared" si="102"/>
        <v>6.333188708850074E-5</v>
      </c>
      <c r="AR237" s="36">
        <f t="shared" si="103"/>
        <v>1.2724427042731925E-5</v>
      </c>
      <c r="AS237" s="36">
        <f t="shared" si="104"/>
        <v>27.381470847638411</v>
      </c>
      <c r="AT237" s="36">
        <f t="shared" si="105"/>
        <v>13.49933269099856</v>
      </c>
      <c r="AU237" s="36">
        <f t="shared" si="106"/>
        <v>3.3919124287174367</v>
      </c>
      <c r="AV237" s="36">
        <f t="shared" si="107"/>
        <v>0.28469428376875561</v>
      </c>
      <c r="AW237" s="36">
        <f t="shared" si="108"/>
        <v>1.365921113610674E-2</v>
      </c>
      <c r="AX237" s="36">
        <f t="shared" si="109"/>
        <v>0.28469427119000668</v>
      </c>
      <c r="AY237" s="36">
        <f t="shared" si="110"/>
        <v>1.2578748931346695E-8</v>
      </c>
      <c r="AZ237" s="36">
        <f t="shared" si="111"/>
        <v>1189751.8930438627</v>
      </c>
      <c r="BA237" s="36">
        <f t="shared" si="112"/>
        <v>1.7225635495202179E-5</v>
      </c>
      <c r="BB237" s="38">
        <f t="shared" si="113"/>
        <v>4064459.0378686241</v>
      </c>
      <c r="BC237" s="40">
        <f t="shared" si="114"/>
        <v>34827.041713838931</v>
      </c>
      <c r="BD237" s="41">
        <f t="shared" si="115"/>
        <v>0.86427350554770521</v>
      </c>
      <c r="BE237" s="38">
        <v>3438503.1</v>
      </c>
      <c r="BF237" s="42">
        <f>テーブル2[[#This Row],[q_P]]/テーブル2[[#This Row],[q_M]]</f>
        <v>1.1820431506572218</v>
      </c>
      <c r="BG237" s="36">
        <v>1</v>
      </c>
      <c r="BH237" s="36">
        <v>-2.1000000000000001E-2</v>
      </c>
      <c r="BI237" s="36">
        <v>4.5999999999999999E-2</v>
      </c>
      <c r="BJ237" s="36">
        <v>5625</v>
      </c>
      <c r="BK237" s="22">
        <v>1</v>
      </c>
      <c r="BL237" s="36">
        <f>テーブル2[[#This Row],[Ts]]-テーブル2[[#This Row],[Tin]]</f>
        <v>92.839367168925605</v>
      </c>
      <c r="BM237" s="36">
        <f>テーブル2[[#This Row],[q_P]]*0.000001</f>
        <v>4.0644590378686241</v>
      </c>
      <c r="BN237" s="36">
        <f>テーブル2[[#This Row],[Tsub]]</f>
        <v>92.839367168925605</v>
      </c>
      <c r="BO237" s="36">
        <f>テーブル2[[#This Row],[Fcorr]]</f>
        <v>1</v>
      </c>
      <c r="BP237" s="36">
        <f>(テーブル2[[#This Row],[Tsub]]-40)^2</f>
        <v>2791.9987228125333</v>
      </c>
      <c r="BQ237" s="36">
        <v>1</v>
      </c>
      <c r="BR237" s="36">
        <v>0.15240000000000001</v>
      </c>
    </row>
    <row r="238" spans="1:70" x14ac:dyDescent="0.15">
      <c r="A238" s="35" t="s">
        <v>191</v>
      </c>
      <c r="B238" s="36">
        <v>12065825.263044</v>
      </c>
      <c r="C238" s="22">
        <f>TsatFromP(テーブル2[[#This Row],[P]])</f>
        <v>598.16775841222602</v>
      </c>
      <c r="D238" s="36">
        <f>RhoGFromP(テーブル2[[#This Row],[P]])</f>
        <v>70.719127092768275</v>
      </c>
      <c r="E238" s="36">
        <f>RhoFFromP(テーブル2[[#This Row],[P]])</f>
        <v>654.05698086007123</v>
      </c>
      <c r="F238" s="36">
        <f>HgFromP(テーブル2[[#This Row],[P]])</f>
        <v>2683685.0883769183</v>
      </c>
      <c r="G238" s="36">
        <f>HfFromP(テーブル2[[#This Row],[P]])</f>
        <v>1493933.1953330557</v>
      </c>
      <c r="H238" s="36">
        <f>MuGFromP(テーブル2[[#This Row],[P]])</f>
        <v>2.1145404359091978E-5</v>
      </c>
      <c r="I238" s="36">
        <f>MuFFromP(テーブル2[[#This Row],[P]])</f>
        <v>7.6371158483289308E-5</v>
      </c>
      <c r="J238" s="36">
        <f>KfFromP(テーブル2[[#This Row],[P]])</f>
        <v>0.51093471001104362</v>
      </c>
      <c r="K238" s="36">
        <f>CpFFromP(テーブル2[[#This Row],[P]])</f>
        <v>6848.0719740576842</v>
      </c>
      <c r="L238" s="36">
        <f>SigmaFromP(テーブル2[[#This Row],[P]])</f>
        <v>8.6953190176294083E-3</v>
      </c>
      <c r="M238" s="36">
        <v>20.010000000000002</v>
      </c>
      <c r="N238" s="36">
        <v>4041.5654</v>
      </c>
      <c r="O238" s="37">
        <f t="shared" si="116"/>
        <v>2.8502295699234246E-6</v>
      </c>
      <c r="P238" s="37">
        <f t="shared" si="117"/>
        <v>5.9847340050885557E-3</v>
      </c>
      <c r="Q238" s="37">
        <v>1.905E-3</v>
      </c>
      <c r="R238" s="36">
        <v>0.15240000000000001</v>
      </c>
      <c r="S238" s="38">
        <v>4798553.466796875</v>
      </c>
      <c r="T238" s="36">
        <v>525.91640840595062</v>
      </c>
      <c r="U238" s="12">
        <f>+T238+BG238*S238*テーブル2[[#This Row],[Pw]]*R238/(N238*O238*K238)</f>
        <v>581.39716685450242</v>
      </c>
      <c r="V238" s="36">
        <v>0.03</v>
      </c>
      <c r="W238" s="37">
        <f t="shared" si="88"/>
        <v>100812.69211969136</v>
      </c>
      <c r="X238" s="36">
        <v>3.0144336571566076E-2</v>
      </c>
      <c r="Y238" s="36">
        <f t="shared" si="89"/>
        <v>5.7596638152486737</v>
      </c>
      <c r="Z238" s="36">
        <f t="shared" si="90"/>
        <v>5.7596638521379919</v>
      </c>
      <c r="AA238" s="36">
        <f t="shared" si="91"/>
        <v>-3.6889318266730697E-8</v>
      </c>
      <c r="AB238" s="36">
        <f t="shared" si="92"/>
        <v>1.1088361764888358E-5</v>
      </c>
      <c r="AC238" s="36">
        <v>626.72046347271987</v>
      </c>
      <c r="AD238" s="36">
        <f t="shared" si="93"/>
        <v>3094.1622859470503</v>
      </c>
      <c r="AE238" s="36">
        <f>+gettm2(AD238,AC238,AK238,AL238,テーブル2[[#This Row],[Fcorr]])</f>
        <v>581.39716712170696</v>
      </c>
      <c r="AF238" s="39">
        <f t="shared" si="94"/>
        <v>2.6720454116002657E-7</v>
      </c>
      <c r="AG238" s="36">
        <v>1.1140189468640779E-5</v>
      </c>
      <c r="AH238" s="36">
        <f t="shared" si="95"/>
        <v>94.102113931708885</v>
      </c>
      <c r="AI238" s="36">
        <f t="shared" si="96"/>
        <v>0.37930790797364905</v>
      </c>
      <c r="AJ238" s="36">
        <f t="shared" si="97"/>
        <v>36.188508254249662</v>
      </c>
      <c r="AK238" s="36">
        <f>+S88*テーブル2[[#This Row],[F_form]]/(E88*CpFromTP((テーブル2[[#This Row],[Tin]]+テーブル2[[#This Row],[Tf]])/2,テーブル2[[#This Row],[P]])*AI88)</f>
        <v>1.9499111743783519</v>
      </c>
      <c r="AL238" s="36">
        <f t="shared" si="98"/>
        <v>1.0236047381169835</v>
      </c>
      <c r="AM238" s="36">
        <f t="shared" si="99"/>
        <v>598.16775840952641</v>
      </c>
      <c r="AN238" s="36">
        <f t="shared" si="100"/>
        <v>2.6996076485374942E-9</v>
      </c>
      <c r="AO238" s="36">
        <f t="shared" si="101"/>
        <v>5.1827703752420519E-8</v>
      </c>
      <c r="AP238" s="36">
        <v>4.681074470976526</v>
      </c>
      <c r="AQ238" s="36">
        <f t="shared" si="102"/>
        <v>3.9068404864093341E-5</v>
      </c>
      <c r="AR238" s="36">
        <f t="shared" si="103"/>
        <v>5.5960085861965996E-6</v>
      </c>
      <c r="AS238" s="36">
        <f t="shared" si="104"/>
        <v>18.178434350913797</v>
      </c>
      <c r="AT238" s="36">
        <f t="shared" si="105"/>
        <v>11.451179828645898</v>
      </c>
      <c r="AU238" s="36">
        <f t="shared" si="106"/>
        <v>4.3435230646337244</v>
      </c>
      <c r="AV238" s="36">
        <f t="shared" si="107"/>
        <v>0.33755140634280156</v>
      </c>
      <c r="AW238" s="36">
        <f t="shared" si="108"/>
        <v>5.9938584849765749E-3</v>
      </c>
      <c r="AX238" s="36">
        <f t="shared" si="109"/>
        <v>0.33755140502822223</v>
      </c>
      <c r="AY238" s="36">
        <f t="shared" si="110"/>
        <v>1.3145793342772549E-9</v>
      </c>
      <c r="AZ238" s="36">
        <f t="shared" si="111"/>
        <v>1189751.8930438627</v>
      </c>
      <c r="BA238" s="36">
        <f t="shared" si="112"/>
        <v>8.3460336096603948E-6</v>
      </c>
      <c r="BB238" s="38">
        <f t="shared" si="113"/>
        <v>4832299.3297585482</v>
      </c>
      <c r="BC238" s="40">
        <f t="shared" si="114"/>
        <v>33745.862961673178</v>
      </c>
      <c r="BD238" s="41">
        <f t="shared" si="115"/>
        <v>0.70325074410808175</v>
      </c>
      <c r="BE238" s="38">
        <v>5173527.5999999987</v>
      </c>
      <c r="BF238" s="42">
        <f>テーブル2[[#This Row],[q_P]]/テーブル2[[#This Row],[q_M]]</f>
        <v>0.9340434039162272</v>
      </c>
      <c r="BG238" s="36">
        <v>1</v>
      </c>
      <c r="BH238" s="36">
        <v>1.2E-2</v>
      </c>
      <c r="BI238" s="36">
        <v>4.5999999999999999E-2</v>
      </c>
      <c r="BJ238" s="36">
        <v>5625</v>
      </c>
      <c r="BK238" s="22">
        <v>1</v>
      </c>
      <c r="BL238" s="36">
        <f>テーブル2[[#This Row],[Ts]]-テーブル2[[#This Row],[Tin]]</f>
        <v>72.251350006275402</v>
      </c>
      <c r="BM238" s="36">
        <f>テーブル2[[#This Row],[q_P]]*0.000001</f>
        <v>4.8322993297585484</v>
      </c>
      <c r="BN238" s="36">
        <f>テーブル2[[#This Row],[Tsub]]</f>
        <v>72.251350006275402</v>
      </c>
      <c r="BO238" s="36">
        <f>テーブル2[[#This Row],[Fcorr]]</f>
        <v>1</v>
      </c>
      <c r="BP238" s="36">
        <f>(テーブル2[[#This Row],[Tsub]]-40)^2</f>
        <v>1040.1495772272804</v>
      </c>
      <c r="BQ238" s="36">
        <v>1</v>
      </c>
      <c r="BR238" s="36">
        <v>0.15240000000000001</v>
      </c>
    </row>
    <row r="239" spans="1:70" x14ac:dyDescent="0.15">
      <c r="A239" s="35" t="s">
        <v>192</v>
      </c>
      <c r="B239" s="36">
        <v>12065825.263044</v>
      </c>
      <c r="C239" s="22">
        <f>TsatFromP(テーブル2[[#This Row],[P]])</f>
        <v>598.16775841222602</v>
      </c>
      <c r="D239" s="36">
        <f>RhoGFromP(テーブル2[[#This Row],[P]])</f>
        <v>70.719127092768275</v>
      </c>
      <c r="E239" s="36">
        <f>RhoFFromP(テーブル2[[#This Row],[P]])</f>
        <v>654.05698086007123</v>
      </c>
      <c r="F239" s="36">
        <f>HgFromP(テーブル2[[#This Row],[P]])</f>
        <v>2683685.0883769183</v>
      </c>
      <c r="G239" s="36">
        <f>HfFromP(テーブル2[[#This Row],[P]])</f>
        <v>1493933.1953330557</v>
      </c>
      <c r="H239" s="36">
        <f>MuGFromP(テーブル2[[#This Row],[P]])</f>
        <v>2.1145404359091978E-5</v>
      </c>
      <c r="I239" s="36">
        <f>MuFFromP(テーブル2[[#This Row],[P]])</f>
        <v>7.6371158483289308E-5</v>
      </c>
      <c r="J239" s="36">
        <f>KfFromP(テーブル2[[#This Row],[P]])</f>
        <v>0.51093471001104362</v>
      </c>
      <c r="K239" s="36">
        <f>CpFFromP(テーブル2[[#This Row],[P]])</f>
        <v>6848.0719740576842</v>
      </c>
      <c r="L239" s="36">
        <f>SigmaFromP(テーブル2[[#This Row],[P]])</f>
        <v>8.6953190176294083E-3</v>
      </c>
      <c r="M239" s="36">
        <v>21.01</v>
      </c>
      <c r="N239" s="36">
        <v>4082.2523000000001</v>
      </c>
      <c r="O239" s="37">
        <f t="shared" si="116"/>
        <v>2.8502295699234246E-6</v>
      </c>
      <c r="P239" s="37">
        <f t="shared" si="117"/>
        <v>5.9847340050885557E-3</v>
      </c>
      <c r="Q239" s="37">
        <v>1.905E-3</v>
      </c>
      <c r="R239" s="36">
        <v>0.15240000000000001</v>
      </c>
      <c r="S239" s="38">
        <v>4794604.1107177734</v>
      </c>
      <c r="T239" s="36">
        <v>526.45012634416651</v>
      </c>
      <c r="U239" s="12">
        <f>+T239+BG239*S239*テーブル2[[#This Row],[Pw]]*R239/(N239*O239*K239)</f>
        <v>581.33271317045592</v>
      </c>
      <c r="V239" s="36">
        <v>0.03</v>
      </c>
      <c r="W239" s="37">
        <f t="shared" si="88"/>
        <v>101827.58499337953</v>
      </c>
      <c r="X239" s="36">
        <v>3.0010769479373124E-2</v>
      </c>
      <c r="Y239" s="36">
        <f t="shared" si="89"/>
        <v>5.7724666771855402</v>
      </c>
      <c r="Z239" s="36">
        <f t="shared" si="90"/>
        <v>5.7724667088431003</v>
      </c>
      <c r="AA239" s="36">
        <f t="shared" si="91"/>
        <v>-3.165756012890597E-8</v>
      </c>
      <c r="AB239" s="36">
        <f t="shared" si="92"/>
        <v>1.0916804246127191E-5</v>
      </c>
      <c r="AC239" s="36">
        <v>626.66217978371276</v>
      </c>
      <c r="AD239" s="36">
        <f t="shared" si="93"/>
        <v>3118.3798836485621</v>
      </c>
      <c r="AE239" s="36">
        <f>+gettm2(AD239,AC239,AK239,AL239,テーブル2[[#This Row],[Fcorr]])</f>
        <v>581.3327134370777</v>
      </c>
      <c r="AF239" s="39">
        <f t="shared" si="94"/>
        <v>2.6662178242986556E-7</v>
      </c>
      <c r="AG239" s="36">
        <v>1.0967673842618018E-5</v>
      </c>
      <c r="AH239" s="36">
        <f t="shared" si="95"/>
        <v>95.580928135236618</v>
      </c>
      <c r="AI239" s="36">
        <f t="shared" si="96"/>
        <v>0.38227670064558755</v>
      </c>
      <c r="AJ239" s="36">
        <f t="shared" si="97"/>
        <v>35.906953786077224</v>
      </c>
      <c r="AK239" s="36">
        <f>+S88*テーブル2[[#This Row],[F_form]]/(E88*CpFromTP((テーブル2[[#This Row],[Tin]]+テーブル2[[#This Row],[Tf]])/2,テーブル2[[#This Row],[P]])*AI88)</f>
        <v>1.9485292566304169</v>
      </c>
      <c r="AL239" s="36">
        <f t="shared" si="98"/>
        <v>1.0236047381169835</v>
      </c>
      <c r="AM239" s="36">
        <f t="shared" si="99"/>
        <v>598.16775841057768</v>
      </c>
      <c r="AN239" s="36">
        <f t="shared" si="100"/>
        <v>1.6483454601257108E-9</v>
      </c>
      <c r="AO239" s="36">
        <f t="shared" si="101"/>
        <v>5.0869596490826842E-8</v>
      </c>
      <c r="AP239" s="36">
        <v>4.7012934355052538</v>
      </c>
      <c r="AQ239" s="36">
        <f t="shared" si="102"/>
        <v>3.8733082645518138E-5</v>
      </c>
      <c r="AR239" s="36">
        <f t="shared" si="103"/>
        <v>5.5092717195544224E-6</v>
      </c>
      <c r="AS239" s="36">
        <f t="shared" si="104"/>
        <v>18.036747615551114</v>
      </c>
      <c r="AT239" s="36">
        <f t="shared" si="105"/>
        <v>11.412056054972258</v>
      </c>
      <c r="AU239" s="36">
        <f t="shared" si="106"/>
        <v>4.362563136277295</v>
      </c>
      <c r="AV239" s="36">
        <f t="shared" si="107"/>
        <v>0.33873029922795883</v>
      </c>
      <c r="AW239" s="36">
        <f t="shared" si="108"/>
        <v>5.9011223792026571E-3</v>
      </c>
      <c r="AX239" s="36">
        <f t="shared" si="109"/>
        <v>0.33873029734959675</v>
      </c>
      <c r="AY239" s="36">
        <f t="shared" si="110"/>
        <v>1.8783620769902143E-9</v>
      </c>
      <c r="AZ239" s="36">
        <f t="shared" si="111"/>
        <v>1189751.8930438627</v>
      </c>
      <c r="BA239" s="36">
        <f t="shared" si="112"/>
        <v>8.2388141001786762E-6</v>
      </c>
      <c r="BB239" s="38">
        <f t="shared" si="113"/>
        <v>4804692.2883163076</v>
      </c>
      <c r="BC239" s="40">
        <f t="shared" si="114"/>
        <v>10088.177598534152</v>
      </c>
      <c r="BD239" s="41">
        <f t="shared" si="115"/>
        <v>0.21040689419973627</v>
      </c>
      <c r="BE239" s="38">
        <v>4700339.0999999996</v>
      </c>
      <c r="BF239" s="42">
        <f>テーブル2[[#This Row],[q_P]]/テーブル2[[#This Row],[q_M]]</f>
        <v>1.0222012042314794</v>
      </c>
      <c r="BG239" s="36">
        <v>1</v>
      </c>
      <c r="BH239" s="36">
        <v>-0.02</v>
      </c>
      <c r="BI239" s="36">
        <v>4.5999999999999999E-2</v>
      </c>
      <c r="BJ239" s="36">
        <v>5625</v>
      </c>
      <c r="BK239" s="22">
        <v>1</v>
      </c>
      <c r="BL239" s="36">
        <f>テーブル2[[#This Row],[Ts]]-テーブル2[[#This Row],[Tin]]</f>
        <v>71.717632068059515</v>
      </c>
      <c r="BM239" s="36">
        <f>テーブル2[[#This Row],[q_P]]*0.000001</f>
        <v>4.804692288316307</v>
      </c>
      <c r="BN239" s="36">
        <f>テーブル2[[#This Row],[Tsub]]</f>
        <v>71.717632068059515</v>
      </c>
      <c r="BO239" s="36">
        <f>テーブル2[[#This Row],[Fcorr]]</f>
        <v>1</v>
      </c>
      <c r="BP239" s="36">
        <f>(テーブル2[[#This Row],[Tsub]]-40)^2</f>
        <v>1006.0081840047974</v>
      </c>
      <c r="BQ239" s="36">
        <v>1</v>
      </c>
      <c r="BR239" s="36">
        <v>0.15240000000000001</v>
      </c>
    </row>
    <row r="240" spans="1:70" x14ac:dyDescent="0.15">
      <c r="A240" s="35" t="s">
        <v>193</v>
      </c>
      <c r="B240" s="36">
        <v>12065825.263044</v>
      </c>
      <c r="C240" s="22">
        <f>TsatFromP(テーブル2[[#This Row],[P]])</f>
        <v>598.16775841222602</v>
      </c>
      <c r="D240" s="36">
        <f>RhoGFromP(テーブル2[[#This Row],[P]])</f>
        <v>70.719127092768275</v>
      </c>
      <c r="E240" s="36">
        <f>RhoFFromP(テーブル2[[#This Row],[P]])</f>
        <v>654.05698086007123</v>
      </c>
      <c r="F240" s="36">
        <f>HgFromP(テーブル2[[#This Row],[P]])</f>
        <v>2683685.0883769183</v>
      </c>
      <c r="G240" s="36">
        <f>HfFromP(テーブル2[[#This Row],[P]])</f>
        <v>1493933.1953330557</v>
      </c>
      <c r="H240" s="36">
        <f>MuGFromP(テーブル2[[#This Row],[P]])</f>
        <v>2.1145404359091978E-5</v>
      </c>
      <c r="I240" s="36">
        <f>MuFFromP(テーブル2[[#This Row],[P]])</f>
        <v>7.6371158483289308E-5</v>
      </c>
      <c r="J240" s="36">
        <f>KfFromP(テーブル2[[#This Row],[P]])</f>
        <v>0.51093471001104362</v>
      </c>
      <c r="K240" s="36">
        <f>CpFFromP(テーブル2[[#This Row],[P]])</f>
        <v>6848.0719740576842</v>
      </c>
      <c r="L240" s="36">
        <f>SigmaFromP(テーブル2[[#This Row],[P]])</f>
        <v>8.6953190176294083E-3</v>
      </c>
      <c r="M240" s="36">
        <v>22.01</v>
      </c>
      <c r="N240" s="36">
        <v>2325.9344500000002</v>
      </c>
      <c r="O240" s="37">
        <f t="shared" si="116"/>
        <v>2.8502295699234246E-6</v>
      </c>
      <c r="P240" s="37">
        <f t="shared" si="117"/>
        <v>5.9847340050885557E-3</v>
      </c>
      <c r="Q240" s="37">
        <v>1.905E-3</v>
      </c>
      <c r="R240" s="36">
        <v>0.69595999999999991</v>
      </c>
      <c r="S240" s="38">
        <v>3100858.0684661865</v>
      </c>
      <c r="T240" s="36">
        <v>298.73770647489062</v>
      </c>
      <c r="U240" s="12">
        <f>+T240+BG240*S240*テーブル2[[#This Row],[Pw]]*R240/(N240*O240*K240)</f>
        <v>583.22664947669637</v>
      </c>
      <c r="V240" s="36">
        <v>0.03</v>
      </c>
      <c r="W240" s="37">
        <f t="shared" si="88"/>
        <v>58018.042612506943</v>
      </c>
      <c r="X240" s="36">
        <v>3.907865525188732E-2</v>
      </c>
      <c r="Y240" s="36">
        <f t="shared" si="89"/>
        <v>5.0585983108994581</v>
      </c>
      <c r="Z240" s="36">
        <f t="shared" si="90"/>
        <v>5.0585983198692128</v>
      </c>
      <c r="AA240" s="36">
        <f t="shared" si="91"/>
        <v>-8.9697547167588709E-9</v>
      </c>
      <c r="AB240" s="36">
        <f t="shared" si="92"/>
        <v>2.5824848685439835E-5</v>
      </c>
      <c r="AC240" s="36">
        <v>634.35033787399186</v>
      </c>
      <c r="AD240" s="36">
        <f t="shared" si="93"/>
        <v>2027.4861157724135</v>
      </c>
      <c r="AE240" s="36">
        <f>+gettm2(AD240,AC240,AK240,AL240,テーブル2[[#This Row],[Fcorr]])</f>
        <v>583.22664982019967</v>
      </c>
      <c r="AF240" s="39">
        <f t="shared" si="94"/>
        <v>3.4350330224697245E-7</v>
      </c>
      <c r="AG240" s="36">
        <v>2.5895533423861226E-5</v>
      </c>
      <c r="AH240" s="36">
        <f t="shared" si="95"/>
        <v>40.404429657077685</v>
      </c>
      <c r="AI240" s="36">
        <f t="shared" si="96"/>
        <v>0.24854595394432208</v>
      </c>
      <c r="AJ240" s="36">
        <f t="shared" si="97"/>
        <v>55.121086065510873</v>
      </c>
      <c r="AK240" s="36">
        <f>+S88*テーブル2[[#This Row],[F_form]]/(E88*CpFromTP((テーブル2[[#This Row],[Tin]]+テーブル2[[#This Row],[Tf]])/2,テーブル2[[#This Row],[P]])*AI88)</f>
        <v>2.3053487666411643</v>
      </c>
      <c r="AL240" s="36">
        <f t="shared" si="98"/>
        <v>1.0236047381169835</v>
      </c>
      <c r="AM240" s="36">
        <f t="shared" si="99"/>
        <v>598.16775837932369</v>
      </c>
      <c r="AN240" s="36">
        <f t="shared" si="100"/>
        <v>3.2902335078688338E-8</v>
      </c>
      <c r="AO240" s="36">
        <f t="shared" si="101"/>
        <v>7.0684738421390768E-8</v>
      </c>
      <c r="AP240" s="36">
        <v>3.6503331365434155</v>
      </c>
      <c r="AQ240" s="36">
        <f t="shared" si="102"/>
        <v>6.4246841044884921E-5</v>
      </c>
      <c r="AR240" s="36">
        <f t="shared" si="103"/>
        <v>1.2983109081141308E-5</v>
      </c>
      <c r="AS240" s="36">
        <f t="shared" si="104"/>
        <v>27.635772600076372</v>
      </c>
      <c r="AT240" s="36">
        <f t="shared" si="105"/>
        <v>13.545555210988582</v>
      </c>
      <c r="AU240" s="36">
        <f t="shared" si="106"/>
        <v>3.3666929416206397</v>
      </c>
      <c r="AV240" s="36">
        <f t="shared" si="107"/>
        <v>0.28364019492277581</v>
      </c>
      <c r="AW240" s="36">
        <f t="shared" si="108"/>
        <v>1.3959725674410138E-2</v>
      </c>
      <c r="AX240" s="36">
        <f t="shared" si="109"/>
        <v>0.2836401916218142</v>
      </c>
      <c r="AY240" s="36">
        <f t="shared" si="110"/>
        <v>3.3009616151602472E-9</v>
      </c>
      <c r="AZ240" s="36">
        <f t="shared" si="111"/>
        <v>1189751.8930438627</v>
      </c>
      <c r="BA240" s="36">
        <f t="shared" si="112"/>
        <v>1.760026787739207E-5</v>
      </c>
      <c r="BB240" s="38">
        <f t="shared" si="113"/>
        <v>3125203.9684920562</v>
      </c>
      <c r="BC240" s="40">
        <f t="shared" si="114"/>
        <v>24345.90002586972</v>
      </c>
      <c r="BD240" s="41">
        <f t="shared" si="115"/>
        <v>0.7851342914870082</v>
      </c>
      <c r="BE240" s="38">
        <v>2104111.5299999998</v>
      </c>
      <c r="BF240" s="42">
        <f>テーブル2[[#This Row],[q_P]]/テーブル2[[#This Row],[q_M]]</f>
        <v>1.4852843701170424</v>
      </c>
      <c r="BG240" s="36">
        <v>1</v>
      </c>
      <c r="BH240" s="36">
        <v>-4.4999999999999998E-2</v>
      </c>
      <c r="BI240" s="36">
        <v>4.5999999999999999E-2</v>
      </c>
      <c r="BJ240" s="36">
        <v>5625</v>
      </c>
      <c r="BK240" s="22">
        <v>1</v>
      </c>
      <c r="BL240" s="36">
        <f>テーブル2[[#This Row],[Ts]]-テーブル2[[#This Row],[Tin]]</f>
        <v>299.43005193733541</v>
      </c>
      <c r="BM240" s="36">
        <f>テーブル2[[#This Row],[q_P]]*0.000001</f>
        <v>3.1252039684920563</v>
      </c>
      <c r="BN240" s="36">
        <f>テーブル2[[#This Row],[Tsub]]</f>
        <v>299.43005193733541</v>
      </c>
      <c r="BO240" s="36">
        <f>テーブル2[[#This Row],[Fcorr]]</f>
        <v>1</v>
      </c>
      <c r="BP240" s="36">
        <f>(テーブル2[[#This Row],[Tsub]]-40)^2</f>
        <v>67303.95184820854</v>
      </c>
      <c r="BQ240" s="36">
        <v>1</v>
      </c>
      <c r="BR240" s="36">
        <v>0.69595999999999991</v>
      </c>
    </row>
    <row r="241" spans="1:70" x14ac:dyDescent="0.15">
      <c r="A241" s="35" t="s">
        <v>194</v>
      </c>
      <c r="B241" s="36">
        <v>12065825.263044</v>
      </c>
      <c r="C241" s="22">
        <f>TsatFromP(テーブル2[[#This Row],[P]])</f>
        <v>598.16775841222602</v>
      </c>
      <c r="D241" s="36">
        <f>RhoGFromP(テーブル2[[#This Row],[P]])</f>
        <v>70.719127092768275</v>
      </c>
      <c r="E241" s="36">
        <f>RhoFFromP(テーブル2[[#This Row],[P]])</f>
        <v>654.05698086007123</v>
      </c>
      <c r="F241" s="36">
        <f>HgFromP(テーブル2[[#This Row],[P]])</f>
        <v>2683685.0883769183</v>
      </c>
      <c r="G241" s="36">
        <f>HfFromP(テーブル2[[#This Row],[P]])</f>
        <v>1493933.1953330557</v>
      </c>
      <c r="H241" s="36">
        <f>MuGFromP(テーブル2[[#This Row],[P]])</f>
        <v>2.1145404359091978E-5</v>
      </c>
      <c r="I241" s="36">
        <f>MuFFromP(テーブル2[[#This Row],[P]])</f>
        <v>7.6371158483289308E-5</v>
      </c>
      <c r="J241" s="36">
        <f>KfFromP(テーブル2[[#This Row],[P]])</f>
        <v>0.51093471001104362</v>
      </c>
      <c r="K241" s="36">
        <f>CpFFromP(テーブル2[[#This Row],[P]])</f>
        <v>6848.0719740576842</v>
      </c>
      <c r="L241" s="36">
        <f>SigmaFromP(テーブル2[[#This Row],[P]])</f>
        <v>8.6953190176294083E-3</v>
      </c>
      <c r="M241" s="36">
        <v>23.01</v>
      </c>
      <c r="N241" s="36">
        <v>2454.7763</v>
      </c>
      <c r="O241" s="37">
        <f t="shared" si="116"/>
        <v>2.8502295699234246E-6</v>
      </c>
      <c r="P241" s="37">
        <f t="shared" si="117"/>
        <v>5.9847340050885557E-3</v>
      </c>
      <c r="Q241" s="37">
        <v>1.905E-3</v>
      </c>
      <c r="R241" s="36">
        <v>0.69595999999999991</v>
      </c>
      <c r="S241" s="38">
        <v>3280026.0543823242</v>
      </c>
      <c r="T241" s="36">
        <v>297.61642558059208</v>
      </c>
      <c r="U241" s="12">
        <f>+T241+BG241*S241*テーブル2[[#This Row],[Pw]]*R241/(N241*O241*K241)</f>
        <v>582.74867901975892</v>
      </c>
      <c r="V241" s="36">
        <v>0.03</v>
      </c>
      <c r="W241" s="37">
        <f t="shared" si="88"/>
        <v>61231.870045852811</v>
      </c>
      <c r="X241" s="36">
        <v>3.8051117402778098E-2</v>
      </c>
      <c r="Y241" s="36">
        <f t="shared" si="89"/>
        <v>5.1264448856888425</v>
      </c>
      <c r="Z241" s="36">
        <f t="shared" si="90"/>
        <v>5.1264448913871448</v>
      </c>
      <c r="AA241" s="36">
        <f t="shared" si="91"/>
        <v>-5.6983022744816481E-9</v>
      </c>
      <c r="AB241" s="36">
        <f t="shared" si="92"/>
        <v>2.3811188906231193E-5</v>
      </c>
      <c r="AC241" s="36">
        <v>634.1365923387682</v>
      </c>
      <c r="AD241" s="36">
        <f t="shared" si="93"/>
        <v>2111.4764471098988</v>
      </c>
      <c r="AE241" s="36">
        <f>+gettm2(AD241,AC241,AK241,AL241,テーブル2[[#This Row],[Fcorr]])</f>
        <v>582.74867901975881</v>
      </c>
      <c r="AF241" s="39">
        <f t="shared" si="94"/>
        <v>0</v>
      </c>
      <c r="AG241" s="36">
        <v>2.3880575849097066E-5</v>
      </c>
      <c r="AH241" s="36">
        <f t="shared" si="95"/>
        <v>43.821343244329555</v>
      </c>
      <c r="AI241" s="36">
        <f t="shared" si="96"/>
        <v>0.25884218081462151</v>
      </c>
      <c r="AJ241" s="36">
        <f t="shared" si="97"/>
        <v>52.937819893742713</v>
      </c>
      <c r="AK241" s="36">
        <f>+S88*テーブル2[[#This Row],[F_form]]/(E88*CpFromTP((テーブル2[[#This Row],[Tin]]+テーブル2[[#This Row],[Tf]])/2,テーブル2[[#This Row],[P]])*AI88)</f>
        <v>2.3065785463739088</v>
      </c>
      <c r="AL241" s="36">
        <f t="shared" si="98"/>
        <v>1.0236047381169835</v>
      </c>
      <c r="AM241" s="36">
        <f t="shared" si="99"/>
        <v>598.16775836090517</v>
      </c>
      <c r="AN241" s="36">
        <f t="shared" si="100"/>
        <v>5.1320853344805073E-8</v>
      </c>
      <c r="AO241" s="36">
        <f t="shared" si="101"/>
        <v>6.9386942865873487E-8</v>
      </c>
      <c r="AP241" s="36">
        <v>3.742220643769532</v>
      </c>
      <c r="AQ241" s="36">
        <f t="shared" si="102"/>
        <v>6.1130507311150749E-5</v>
      </c>
      <c r="AR241" s="36">
        <f t="shared" si="103"/>
        <v>1.197498139598147E-5</v>
      </c>
      <c r="AS241" s="36">
        <f t="shared" si="104"/>
        <v>26.545817503615844</v>
      </c>
      <c r="AT241" s="36">
        <f t="shared" si="105"/>
        <v>13.344361012289271</v>
      </c>
      <c r="AU241" s="36">
        <f t="shared" si="106"/>
        <v>3.4540835059985655</v>
      </c>
      <c r="AV241" s="36">
        <f t="shared" si="107"/>
        <v>0.2881371377709665</v>
      </c>
      <c r="AW241" s="36">
        <f t="shared" si="108"/>
        <v>1.2871233793518901E-2</v>
      </c>
      <c r="AX241" s="36">
        <f t="shared" si="109"/>
        <v>0.28813713477289338</v>
      </c>
      <c r="AY241" s="36">
        <f t="shared" si="110"/>
        <v>2.9980731230949687E-9</v>
      </c>
      <c r="AZ241" s="36">
        <f t="shared" si="111"/>
        <v>1189751.8930438627</v>
      </c>
      <c r="BA241" s="36">
        <f t="shared" si="112"/>
        <v>1.6335356231046308E-5</v>
      </c>
      <c r="BB241" s="38">
        <f t="shared" si="113"/>
        <v>3305378.0086266538</v>
      </c>
      <c r="BC241" s="40">
        <f t="shared" si="114"/>
        <v>25351.954244329594</v>
      </c>
      <c r="BD241" s="41">
        <f t="shared" si="115"/>
        <v>0.77291929466407028</v>
      </c>
      <c r="BE241" s="38">
        <v>2160894.15</v>
      </c>
      <c r="BF241" s="42">
        <f>テーブル2[[#This Row],[q_P]]/テーブル2[[#This Row],[q_M]]</f>
        <v>1.5296343916830235</v>
      </c>
      <c r="BG241" s="36">
        <v>1</v>
      </c>
      <c r="BH241" s="36">
        <v>-7.9000000000000001E-2</v>
      </c>
      <c r="BI241" s="36">
        <v>4.5999999999999999E-2</v>
      </c>
      <c r="BJ241" s="36">
        <v>5625</v>
      </c>
      <c r="BK241" s="22">
        <v>1</v>
      </c>
      <c r="BL241" s="36">
        <f>テーブル2[[#This Row],[Ts]]-テーブル2[[#This Row],[Tin]]</f>
        <v>300.55133283163394</v>
      </c>
      <c r="BM241" s="36">
        <f>テーブル2[[#This Row],[q_P]]*0.000001</f>
        <v>3.3053780086266538</v>
      </c>
      <c r="BN241" s="36">
        <f>テーブル2[[#This Row],[Tsub]]</f>
        <v>300.55133283163394</v>
      </c>
      <c r="BO241" s="36">
        <f>テーブル2[[#This Row],[Fcorr]]</f>
        <v>1</v>
      </c>
      <c r="BP241" s="36">
        <f>(テーブル2[[#This Row],[Tsub]]-40)^2</f>
        <v>67886.997040340881</v>
      </c>
      <c r="BQ241" s="36">
        <v>1</v>
      </c>
      <c r="BR241" s="36">
        <v>0.69595999999999991</v>
      </c>
    </row>
    <row r="242" spans="1:70" x14ac:dyDescent="0.15">
      <c r="A242" s="35" t="s">
        <v>195</v>
      </c>
      <c r="B242" s="36">
        <v>12065825.263044</v>
      </c>
      <c r="C242" s="22">
        <f>TsatFromP(テーブル2[[#This Row],[P]])</f>
        <v>598.16775841222602</v>
      </c>
      <c r="D242" s="36">
        <f>RhoGFromP(テーブル2[[#This Row],[P]])</f>
        <v>70.719127092768275</v>
      </c>
      <c r="E242" s="36">
        <f>RhoFFromP(テーブル2[[#This Row],[P]])</f>
        <v>654.05698086007123</v>
      </c>
      <c r="F242" s="36">
        <f>HgFromP(テーブル2[[#This Row],[P]])</f>
        <v>2683685.0883769183</v>
      </c>
      <c r="G242" s="36">
        <f>HfFromP(テーブル2[[#This Row],[P]])</f>
        <v>1493933.1953330557</v>
      </c>
      <c r="H242" s="36">
        <f>MuGFromP(テーブル2[[#This Row],[P]])</f>
        <v>2.1145404359091978E-5</v>
      </c>
      <c r="I242" s="36">
        <f>MuFFromP(テーブル2[[#This Row],[P]])</f>
        <v>7.6371158483289308E-5</v>
      </c>
      <c r="J242" s="36">
        <f>KfFromP(テーブル2[[#This Row],[P]])</f>
        <v>0.51093471001104362</v>
      </c>
      <c r="K242" s="36">
        <f>CpFFromP(テーブル2[[#This Row],[P]])</f>
        <v>6848.0719740576842</v>
      </c>
      <c r="L242" s="36">
        <f>SigmaFromP(テーブル2[[#This Row],[P]])</f>
        <v>8.6953190176294083E-3</v>
      </c>
      <c r="M242" s="36">
        <v>24.01</v>
      </c>
      <c r="N242" s="36">
        <v>2739.5846000000001</v>
      </c>
      <c r="O242" s="37">
        <f t="shared" si="116"/>
        <v>2.8502295699234246E-6</v>
      </c>
      <c r="P242" s="37">
        <f t="shared" si="117"/>
        <v>5.9847340050885557E-3</v>
      </c>
      <c r="Q242" s="37">
        <v>1.905E-3</v>
      </c>
      <c r="R242" s="36">
        <v>0.69595999999999991</v>
      </c>
      <c r="S242" s="38">
        <v>3612373.4474182129</v>
      </c>
      <c r="T242" s="36">
        <v>300.41963647944601</v>
      </c>
      <c r="U242" s="12">
        <f>+T242+BG242*S242*テーブル2[[#This Row],[Pw]]*R242/(N242*O242*K242)</f>
        <v>581.79683391968115</v>
      </c>
      <c r="V242" s="36">
        <v>0.03</v>
      </c>
      <c r="W242" s="37">
        <f t="shared" si="88"/>
        <v>68336.120161669984</v>
      </c>
      <c r="X242" s="36">
        <v>3.6074467896118179E-2</v>
      </c>
      <c r="Y242" s="36">
        <f t="shared" si="89"/>
        <v>5.2650200944201302</v>
      </c>
      <c r="Z242" s="36">
        <f t="shared" si="90"/>
        <v>5.2650201243113663</v>
      </c>
      <c r="AA242" s="36">
        <f t="shared" si="91"/>
        <v>-2.9891236152934653E-8</v>
      </c>
      <c r="AB242" s="36">
        <f t="shared" si="92"/>
        <v>2.0165220357764233E-5</v>
      </c>
      <c r="AC242" s="36">
        <v>633.63742599703232</v>
      </c>
      <c r="AD242" s="36">
        <f t="shared" si="93"/>
        <v>2294.4325520004254</v>
      </c>
      <c r="AE242" s="36">
        <f>+gettm2(AD242,AC242,AK242,AL242,テーブル2[[#This Row],[Fcorr]])</f>
        <v>581.79683425605538</v>
      </c>
      <c r="AF242" s="39">
        <f t="shared" si="94"/>
        <v>3.3637422802712535E-7</v>
      </c>
      <c r="AG242" s="36">
        <v>2.0230831196502581E-5</v>
      </c>
      <c r="AH242" s="36">
        <f t="shared" si="95"/>
        <v>51.744452260040539</v>
      </c>
      <c r="AI242" s="36">
        <f t="shared" si="96"/>
        <v>0.28127044765512188</v>
      </c>
      <c r="AJ242" s="36">
        <f t="shared" si="97"/>
        <v>48.733099896358254</v>
      </c>
      <c r="AK242" s="36">
        <f>+S88*テーブル2[[#This Row],[F_form]]/(E88*CpFromTP((テーブル2[[#This Row],[Tin]]+テーブル2[[#This Row],[Tf]])/2,テーブル2[[#This Row],[P]])*AI88)</f>
        <v>2.3051528152793606</v>
      </c>
      <c r="AL242" s="36">
        <f t="shared" si="98"/>
        <v>1.0236047381169835</v>
      </c>
      <c r="AM242" s="36">
        <f t="shared" si="99"/>
        <v>598.16775840479102</v>
      </c>
      <c r="AN242" s="36">
        <f t="shared" si="100"/>
        <v>7.4350055001559667E-9</v>
      </c>
      <c r="AO242" s="36">
        <f t="shared" si="101"/>
        <v>6.5610838738348865E-8</v>
      </c>
      <c r="AP242" s="36">
        <v>3.9352073915806862</v>
      </c>
      <c r="AQ242" s="36">
        <f t="shared" si="102"/>
        <v>5.5281717812827205E-5</v>
      </c>
      <c r="AR242" s="36">
        <f t="shared" si="103"/>
        <v>1.0148221017620465E-5</v>
      </c>
      <c r="AS242" s="36">
        <f t="shared" si="104"/>
        <v>24.445573383436507</v>
      </c>
      <c r="AT242" s="36">
        <f t="shared" si="105"/>
        <v>12.932245759087785</v>
      </c>
      <c r="AU242" s="36">
        <f t="shared" si="106"/>
        <v>3.6374585538446729</v>
      </c>
      <c r="AV242" s="36">
        <f t="shared" si="107"/>
        <v>0.29774883773601335</v>
      </c>
      <c r="AW242" s="36">
        <f t="shared" si="108"/>
        <v>1.0900390851743144E-2</v>
      </c>
      <c r="AX242" s="36">
        <f t="shared" si="109"/>
        <v>0.29774882226878202</v>
      </c>
      <c r="AY242" s="36">
        <f t="shared" si="110"/>
        <v>1.5467231329058251E-8</v>
      </c>
      <c r="AZ242" s="36">
        <f t="shared" si="111"/>
        <v>1189751.8930438627</v>
      </c>
      <c r="BA242" s="36">
        <f t="shared" si="112"/>
        <v>1.4047980782690529E-5</v>
      </c>
      <c r="BB242" s="38">
        <f t="shared" si="113"/>
        <v>3634407.9597595534</v>
      </c>
      <c r="BC242" s="40">
        <f t="shared" si="114"/>
        <v>22034.512341340538</v>
      </c>
      <c r="BD242" s="41">
        <f t="shared" si="115"/>
        <v>0.60997326721822598</v>
      </c>
      <c r="BE242" s="38">
        <v>2460580.2000000002</v>
      </c>
      <c r="BF242" s="42">
        <f>テーブル2[[#This Row],[q_P]]/テーブル2[[#This Row],[q_M]]</f>
        <v>1.4770532412475534</v>
      </c>
      <c r="BG242" s="36">
        <v>1</v>
      </c>
      <c r="BH242" s="36">
        <v>-4.7E-2</v>
      </c>
      <c r="BI242" s="36">
        <v>4.5999999999999999E-2</v>
      </c>
      <c r="BJ242" s="36">
        <v>5625</v>
      </c>
      <c r="BK242" s="22">
        <v>1</v>
      </c>
      <c r="BL242" s="36">
        <f>テーブル2[[#This Row],[Ts]]-テーブル2[[#This Row],[Tin]]</f>
        <v>297.74812193278001</v>
      </c>
      <c r="BM242" s="36">
        <f>テーブル2[[#This Row],[q_P]]*0.000001</f>
        <v>3.6344079597595531</v>
      </c>
      <c r="BN242" s="36">
        <f>テーブル2[[#This Row],[Tsub]]</f>
        <v>297.74812193278001</v>
      </c>
      <c r="BO242" s="36">
        <f>テーブル2[[#This Row],[Fcorr]]</f>
        <v>1</v>
      </c>
      <c r="BP242" s="36">
        <f>(テーブル2[[#This Row],[Tsub]]-40)^2</f>
        <v>66434.094359875235</v>
      </c>
      <c r="BQ242" s="36">
        <v>1</v>
      </c>
      <c r="BR242" s="36">
        <v>0.69595999999999991</v>
      </c>
    </row>
    <row r="243" spans="1:70" x14ac:dyDescent="0.15">
      <c r="A243" s="35" t="s">
        <v>196</v>
      </c>
      <c r="B243" s="36">
        <v>12065825.263044</v>
      </c>
      <c r="C243" s="22">
        <f>TsatFromP(テーブル2[[#This Row],[P]])</f>
        <v>598.16775841222602</v>
      </c>
      <c r="D243" s="36">
        <f>RhoGFromP(テーブル2[[#This Row],[P]])</f>
        <v>70.719127092768275</v>
      </c>
      <c r="E243" s="36">
        <f>RhoFFromP(テーブル2[[#This Row],[P]])</f>
        <v>654.05698086007123</v>
      </c>
      <c r="F243" s="36">
        <f>HgFromP(テーブル2[[#This Row],[P]])</f>
        <v>2683685.0883769183</v>
      </c>
      <c r="G243" s="36">
        <f>HfFromP(テーブル2[[#This Row],[P]])</f>
        <v>1493933.1953330557</v>
      </c>
      <c r="H243" s="36">
        <f>MuGFromP(テーブル2[[#This Row],[P]])</f>
        <v>2.1145404359091978E-5</v>
      </c>
      <c r="I243" s="36">
        <f>MuFFromP(テーブル2[[#This Row],[P]])</f>
        <v>7.6371158483289308E-5</v>
      </c>
      <c r="J243" s="36">
        <f>KfFromP(テーブル2[[#This Row],[P]])</f>
        <v>0.51093471001104362</v>
      </c>
      <c r="K243" s="36">
        <f>CpFFromP(テーブル2[[#This Row],[P]])</f>
        <v>6848.0719740576842</v>
      </c>
      <c r="L243" s="36">
        <f>SigmaFromP(テーブル2[[#This Row],[P]])</f>
        <v>8.6953190176294083E-3</v>
      </c>
      <c r="M243" s="36">
        <v>25.01</v>
      </c>
      <c r="N243" s="36">
        <v>2834.5207</v>
      </c>
      <c r="O243" s="37">
        <f t="shared" si="116"/>
        <v>2.8502295699234246E-6</v>
      </c>
      <c r="P243" s="37">
        <f t="shared" si="117"/>
        <v>5.9847340050885557E-3</v>
      </c>
      <c r="Q243" s="37">
        <v>1.905E-3</v>
      </c>
      <c r="R243" s="36">
        <v>0.69595999999999991</v>
      </c>
      <c r="S243" s="38">
        <v>3770580.3394317627</v>
      </c>
      <c r="T243" s="36">
        <v>297.61642558059208</v>
      </c>
      <c r="U243" s="12">
        <f>+T243+BG243*S243*テーブル2[[#This Row],[Pw]]*R243/(N243*O243*K243)</f>
        <v>581.47991714959699</v>
      </c>
      <c r="V243" s="36">
        <v>0.03</v>
      </c>
      <c r="W243" s="37">
        <f t="shared" si="88"/>
        <v>70704.203533609034</v>
      </c>
      <c r="X243" s="36">
        <v>3.5490799435889564E-2</v>
      </c>
      <c r="Y243" s="36">
        <f t="shared" si="89"/>
        <v>5.3081368260036168</v>
      </c>
      <c r="Z243" s="36">
        <f t="shared" si="90"/>
        <v>5.3081368398769149</v>
      </c>
      <c r="AA243" s="36">
        <f t="shared" si="91"/>
        <v>-1.3873298065902873E-8</v>
      </c>
      <c r="AB243" s="36">
        <f t="shared" si="92"/>
        <v>1.9146848050542245E-5</v>
      </c>
      <c r="AC243" s="36">
        <v>633.52544655401016</v>
      </c>
      <c r="AD243" s="36">
        <f t="shared" si="93"/>
        <v>2354.6596204948105</v>
      </c>
      <c r="AE243" s="36">
        <f>+gettm2(AD243,AC243,AK243,AL243,テーブル2[[#This Row],[Fcorr]])</f>
        <v>581.47991714959699</v>
      </c>
      <c r="AF243" s="39">
        <f t="shared" si="94"/>
        <v>0</v>
      </c>
      <c r="AG243" s="36">
        <v>1.9211380128056669E-5</v>
      </c>
      <c r="AH243" s="36">
        <f t="shared" si="95"/>
        <v>54.496608494575618</v>
      </c>
      <c r="AI243" s="36">
        <f t="shared" si="96"/>
        <v>0.28865357796400892</v>
      </c>
      <c r="AJ243" s="36">
        <f t="shared" si="97"/>
        <v>47.492137576389979</v>
      </c>
      <c r="AK243" s="36">
        <f>+S88*テーブル2[[#This Row],[F_form]]/(E88*CpFromTP((テーブル2[[#This Row],[Tin]]+テーブル2[[#This Row],[Tf]])/2,テーブル2[[#This Row],[P]])*AI88)</f>
        <v>2.3075460103002019</v>
      </c>
      <c r="AL243" s="36">
        <f t="shared" si="98"/>
        <v>1.0236047381169835</v>
      </c>
      <c r="AM243" s="36">
        <f t="shared" si="99"/>
        <v>598.16775838958881</v>
      </c>
      <c r="AN243" s="36">
        <f t="shared" si="100"/>
        <v>2.2637209440290462E-8</v>
      </c>
      <c r="AO243" s="36">
        <f t="shared" si="101"/>
        <v>6.453207751442447E-8</v>
      </c>
      <c r="AP243" s="36">
        <v>3.9967380068194949</v>
      </c>
      <c r="AQ243" s="36">
        <f t="shared" si="102"/>
        <v>5.3592673115704394E-5</v>
      </c>
      <c r="AR243" s="36">
        <f t="shared" si="103"/>
        <v>9.6379561027855469E-6</v>
      </c>
      <c r="AS243" s="36">
        <f t="shared" si="104"/>
        <v>23.825833133155548</v>
      </c>
      <c r="AT243" s="36">
        <f t="shared" si="105"/>
        <v>12.803852088958209</v>
      </c>
      <c r="AU243" s="36">
        <f t="shared" si="106"/>
        <v>3.6958777171997368</v>
      </c>
      <c r="AV243" s="36">
        <f t="shared" si="107"/>
        <v>0.30086028961975808</v>
      </c>
      <c r="AW243" s="36">
        <f t="shared" si="108"/>
        <v>1.0349905611097755E-2</v>
      </c>
      <c r="AX243" s="36">
        <f t="shared" si="109"/>
        <v>0.30086026791839326</v>
      </c>
      <c r="AY243" s="36">
        <f t="shared" si="110"/>
        <v>2.1701364816273383E-8</v>
      </c>
      <c r="AZ243" s="36">
        <f t="shared" si="111"/>
        <v>1189751.8930438627</v>
      </c>
      <c r="BA243" s="36">
        <f t="shared" si="112"/>
        <v>1.3409103379871556E-5</v>
      </c>
      <c r="BB243" s="38">
        <f t="shared" si="113"/>
        <v>3744966.158569193</v>
      </c>
      <c r="BC243" s="40">
        <f t="shared" si="114"/>
        <v>-25614.180862569716</v>
      </c>
      <c r="BD243" s="41">
        <f t="shared" si="115"/>
        <v>-0.67931667161956943</v>
      </c>
      <c r="BE243" s="38">
        <v>2548908.7200000002</v>
      </c>
      <c r="BF243" s="42">
        <f>テーブル2[[#This Row],[q_P]]/テーブル2[[#This Row],[q_M]]</f>
        <v>1.4692429466713868</v>
      </c>
      <c r="BG243" s="36">
        <v>1</v>
      </c>
      <c r="BH243" s="36">
        <v>-5.6000000000000001E-2</v>
      </c>
      <c r="BI243" s="36">
        <v>4.5999999999999999E-2</v>
      </c>
      <c r="BJ243" s="36">
        <v>5625</v>
      </c>
      <c r="BK243" s="22">
        <v>1</v>
      </c>
      <c r="BL243" s="36">
        <f>テーブル2[[#This Row],[Ts]]-テーブル2[[#This Row],[Tin]]</f>
        <v>300.55133283163394</v>
      </c>
      <c r="BM243" s="36">
        <f>テーブル2[[#This Row],[q_P]]*0.000001</f>
        <v>3.7449661585691927</v>
      </c>
      <c r="BN243" s="36">
        <f>テーブル2[[#This Row],[Tsub]]</f>
        <v>300.55133283163394</v>
      </c>
      <c r="BO243" s="36">
        <f>テーブル2[[#This Row],[Fcorr]]</f>
        <v>1</v>
      </c>
      <c r="BP243" s="36">
        <f>(テーブル2[[#This Row],[Tsub]]-40)^2</f>
        <v>67886.997040340881</v>
      </c>
      <c r="BQ243" s="36">
        <v>1</v>
      </c>
      <c r="BR243" s="36">
        <v>0.69595999999999991</v>
      </c>
    </row>
    <row r="244" spans="1:70" x14ac:dyDescent="0.15">
      <c r="A244" s="35" t="s">
        <v>197</v>
      </c>
      <c r="B244" s="36">
        <v>12065825.263044</v>
      </c>
      <c r="C244" s="22">
        <f>TsatFromP(テーブル2[[#This Row],[P]])</f>
        <v>598.16775841222602</v>
      </c>
      <c r="D244" s="36">
        <f>RhoGFromP(テーブル2[[#This Row],[P]])</f>
        <v>70.719127092768275</v>
      </c>
      <c r="E244" s="36">
        <f>RhoFFromP(テーブル2[[#This Row],[P]])</f>
        <v>654.05698086007123</v>
      </c>
      <c r="F244" s="36">
        <f>HgFromP(テーブル2[[#This Row],[P]])</f>
        <v>2683685.0883769183</v>
      </c>
      <c r="G244" s="36">
        <f>HfFromP(テーブル2[[#This Row],[P]])</f>
        <v>1493933.1953330557</v>
      </c>
      <c r="H244" s="36">
        <f>MuGFromP(テーブル2[[#This Row],[P]])</f>
        <v>2.1145404359091978E-5</v>
      </c>
      <c r="I244" s="36">
        <f>MuFFromP(テーブル2[[#This Row],[P]])</f>
        <v>7.6371158483289308E-5</v>
      </c>
      <c r="J244" s="36">
        <f>KfFromP(テーブル2[[#This Row],[P]])</f>
        <v>0.51093471001104362</v>
      </c>
      <c r="K244" s="36">
        <f>CpFFromP(テーブル2[[#This Row],[P]])</f>
        <v>6848.0719740576842</v>
      </c>
      <c r="L244" s="36">
        <f>SigmaFromP(テーブル2[[#This Row],[P]])</f>
        <v>8.6953190176294083E-3</v>
      </c>
      <c r="M244" s="36">
        <v>26.01</v>
      </c>
      <c r="N244" s="36">
        <v>3295.6388999999999</v>
      </c>
      <c r="O244" s="37">
        <f t="shared" si="116"/>
        <v>2.8502295699234246E-6</v>
      </c>
      <c r="P244" s="37">
        <f t="shared" si="117"/>
        <v>5.9847340050885557E-3</v>
      </c>
      <c r="Q244" s="37">
        <v>1.905E-3</v>
      </c>
      <c r="R244" s="36">
        <v>0.69595999999999991</v>
      </c>
      <c r="S244" s="38">
        <v>4371007.2994232178</v>
      </c>
      <c r="T244" s="36">
        <v>297.11185267538241</v>
      </c>
      <c r="U244" s="12">
        <f>+T244+BG244*S244*テーブル2[[#This Row],[Pw]]*R244/(N244*O244*K244)</f>
        <v>580.13560590222778</v>
      </c>
      <c r="V244" s="36">
        <v>0.03</v>
      </c>
      <c r="W244" s="37">
        <f t="shared" si="88"/>
        <v>82206.322768741607</v>
      </c>
      <c r="X244" s="36">
        <v>3.3064273710313064E-2</v>
      </c>
      <c r="Y244" s="36">
        <f t="shared" si="89"/>
        <v>5.4994658085590018</v>
      </c>
      <c r="Z244" s="36">
        <f t="shared" si="90"/>
        <v>5.4994658399245262</v>
      </c>
      <c r="AA244" s="36">
        <f t="shared" si="91"/>
        <v>-3.136552439997331E-8</v>
      </c>
      <c r="AB244" s="36">
        <f t="shared" si="92"/>
        <v>1.5203168550013143E-5</v>
      </c>
      <c r="AC244" s="36">
        <v>632.88514545703015</v>
      </c>
      <c r="AD244" s="36">
        <f t="shared" si="93"/>
        <v>2642.4679373276463</v>
      </c>
      <c r="AE244" s="36">
        <f>+gettm2(AD244,AC244,AK244,AL244,テーブル2[[#This Row],[Fcorr]])</f>
        <v>580.13560590222767</v>
      </c>
      <c r="AF244" s="39">
        <f t="shared" si="94"/>
        <v>0</v>
      </c>
      <c r="AG244" s="36">
        <v>1.5264782178811665E-5</v>
      </c>
      <c r="AH244" s="36">
        <f t="shared" si="95"/>
        <v>68.63294836750508</v>
      </c>
      <c r="AI244" s="36">
        <f t="shared" si="96"/>
        <v>0.32393549289494034</v>
      </c>
      <c r="AJ244" s="36">
        <f t="shared" si="97"/>
        <v>42.348238821837548</v>
      </c>
      <c r="AK244" s="36">
        <f>+S88*テーブル2[[#This Row],[F_form]]/(E88*CpFromTP((テーブル2[[#This Row],[Tin]]+テーブル2[[#This Row],[Tf]])/2,テーブル2[[#This Row],[P]])*AI88)</f>
        <v>2.3089443983875979</v>
      </c>
      <c r="AL244" s="36">
        <f t="shared" si="98"/>
        <v>1.0236047381169835</v>
      </c>
      <c r="AM244" s="36">
        <f t="shared" si="99"/>
        <v>598.16775840296179</v>
      </c>
      <c r="AN244" s="36">
        <f t="shared" si="100"/>
        <v>9.2642267190967686E-9</v>
      </c>
      <c r="AO244" s="36">
        <f t="shared" si="101"/>
        <v>6.1613628798521953E-8</v>
      </c>
      <c r="AP244" s="36">
        <v>4.2784429388250604</v>
      </c>
      <c r="AQ244" s="36">
        <f t="shared" si="102"/>
        <v>4.6767622438149831E-5</v>
      </c>
      <c r="AR244" s="36">
        <f t="shared" si="103"/>
        <v>7.6631979038050932E-6</v>
      </c>
      <c r="AS244" s="36">
        <f t="shared" si="104"/>
        <v>21.259585047980458</v>
      </c>
      <c r="AT244" s="36">
        <f t="shared" si="105"/>
        <v>12.234039273771948</v>
      </c>
      <c r="AU244" s="36">
        <f t="shared" si="106"/>
        <v>3.9630395422453741</v>
      </c>
      <c r="AV244" s="36">
        <f t="shared" si="107"/>
        <v>0.3154033965796863</v>
      </c>
      <c r="AW244" s="36">
        <f t="shared" si="108"/>
        <v>8.2181338185210954E-3</v>
      </c>
      <c r="AX244" s="36">
        <f t="shared" si="109"/>
        <v>0.31540339540582035</v>
      </c>
      <c r="AY244" s="36">
        <f t="shared" si="110"/>
        <v>1.1738659488891301E-9</v>
      </c>
      <c r="AZ244" s="36">
        <f t="shared" si="111"/>
        <v>1189751.8930438627</v>
      </c>
      <c r="BA244" s="36">
        <f t="shared" si="112"/>
        <v>1.0930991275763768E-5</v>
      </c>
      <c r="BB244" s="38">
        <f t="shared" si="113"/>
        <v>4386208.0729653547</v>
      </c>
      <c r="BC244" s="40">
        <f t="shared" si="114"/>
        <v>15200.773542136885</v>
      </c>
      <c r="BD244" s="41">
        <f t="shared" si="115"/>
        <v>0.34776362748565354</v>
      </c>
      <c r="BE244" s="38">
        <v>3006324.27</v>
      </c>
      <c r="BF244" s="42">
        <f>テーブル2[[#This Row],[q_P]]/テーブル2[[#This Row],[q_M]]</f>
        <v>1.4589936676941888</v>
      </c>
      <c r="BG244" s="36">
        <v>1</v>
      </c>
      <c r="BH244" s="36">
        <v>-4.2000000000000003E-2</v>
      </c>
      <c r="BI244" s="36">
        <v>4.5999999999999999E-2</v>
      </c>
      <c r="BJ244" s="36">
        <v>5625</v>
      </c>
      <c r="BK244" s="22">
        <v>1</v>
      </c>
      <c r="BL244" s="36">
        <f>テーブル2[[#This Row],[Ts]]-テーブル2[[#This Row],[Tin]]</f>
        <v>301.05590573684361</v>
      </c>
      <c r="BM244" s="36">
        <f>テーブル2[[#This Row],[q_P]]*0.000001</f>
        <v>4.3862080729653545</v>
      </c>
      <c r="BN244" s="36">
        <f>テーブル2[[#This Row],[Tsub]]</f>
        <v>301.05590573684361</v>
      </c>
      <c r="BO244" s="36">
        <f>テーブル2[[#This Row],[Fcorr]]</f>
        <v>1</v>
      </c>
      <c r="BP244" s="36">
        <f>(テーブル2[[#This Row],[Tsub]]-40)^2</f>
        <v>68150.185920083779</v>
      </c>
      <c r="BQ244" s="36">
        <v>1</v>
      </c>
      <c r="BR244" s="36">
        <v>0.69595999999999991</v>
      </c>
    </row>
    <row r="245" spans="1:70" x14ac:dyDescent="0.15">
      <c r="A245" s="35" t="s">
        <v>198</v>
      </c>
      <c r="B245" s="36">
        <v>12065825.263044</v>
      </c>
      <c r="C245" s="22">
        <f>TsatFromP(テーブル2[[#This Row],[P]])</f>
        <v>598.16775841222602</v>
      </c>
      <c r="D245" s="36">
        <f>RhoGFromP(テーブル2[[#This Row],[P]])</f>
        <v>70.719127092768275</v>
      </c>
      <c r="E245" s="36">
        <f>RhoFFromP(テーブル2[[#This Row],[P]])</f>
        <v>654.05698086007123</v>
      </c>
      <c r="F245" s="36">
        <f>HgFromP(テーブル2[[#This Row],[P]])</f>
        <v>2683685.0883769183</v>
      </c>
      <c r="G245" s="36">
        <f>HfFromP(テーブル2[[#This Row],[P]])</f>
        <v>1493933.1953330557</v>
      </c>
      <c r="H245" s="36">
        <f>MuGFromP(テーブル2[[#This Row],[P]])</f>
        <v>2.1145404359091978E-5</v>
      </c>
      <c r="I245" s="36">
        <f>MuFFromP(テーブル2[[#This Row],[P]])</f>
        <v>7.6371158483289308E-5</v>
      </c>
      <c r="J245" s="36">
        <f>KfFromP(テーブル2[[#This Row],[P]])</f>
        <v>0.51093471001104362</v>
      </c>
      <c r="K245" s="36">
        <f>CpFFromP(テーブル2[[#This Row],[P]])</f>
        <v>6848.0719740576842</v>
      </c>
      <c r="L245" s="36">
        <f>SigmaFromP(テーブル2[[#This Row],[P]])</f>
        <v>8.6953190176294083E-3</v>
      </c>
      <c r="M245" s="36">
        <v>27.01</v>
      </c>
      <c r="N245" s="36">
        <v>3471.9488000000001</v>
      </c>
      <c r="O245" s="37">
        <f t="shared" si="116"/>
        <v>2.8502295699234246E-6</v>
      </c>
      <c r="P245" s="37">
        <f t="shared" si="117"/>
        <v>5.9847340050885557E-3</v>
      </c>
      <c r="Q245" s="37">
        <v>1.905E-3</v>
      </c>
      <c r="R245" s="36">
        <v>0.69595999999999991</v>
      </c>
      <c r="S245" s="38">
        <v>4642587.947845459</v>
      </c>
      <c r="T245" s="36">
        <v>294.30874222031082</v>
      </c>
      <c r="U245" s="12">
        <f>+T245+BG245*S245*テーブル2[[#This Row],[Pw]]*R245/(N245*O245*K245)</f>
        <v>579.65212273415875</v>
      </c>
      <c r="V245" s="36">
        <v>0.03</v>
      </c>
      <c r="W245" s="37">
        <f t="shared" si="88"/>
        <v>86604.191888057001</v>
      </c>
      <c r="X245" s="36">
        <v>3.2280712815178213E-2</v>
      </c>
      <c r="Y245" s="36">
        <f t="shared" si="89"/>
        <v>5.5658108353635507</v>
      </c>
      <c r="Z245" s="36">
        <f t="shared" si="90"/>
        <v>5.5658108411285294</v>
      </c>
      <c r="AA245" s="36">
        <f t="shared" si="91"/>
        <v>-5.7649787166269562E-9</v>
      </c>
      <c r="AB245" s="36">
        <f t="shared" si="92"/>
        <v>1.4030805302083669E-5</v>
      </c>
      <c r="AC245" s="36">
        <v>632.69168602942784</v>
      </c>
      <c r="AD245" s="36">
        <f t="shared" si="93"/>
        <v>2750.6509462257936</v>
      </c>
      <c r="AE245" s="36">
        <f>+gettm2(AD245,AC245,AK245,AL245,テーブル2[[#This Row],[Fcorr]])</f>
        <v>579.6521230610756</v>
      </c>
      <c r="AF245" s="39">
        <f t="shared" si="94"/>
        <v>3.2691684737073956E-7</v>
      </c>
      <c r="AG245" s="36">
        <v>1.4091475111225825E-5</v>
      </c>
      <c r="AH245" s="36">
        <f t="shared" si="95"/>
        <v>74.36766882942716</v>
      </c>
      <c r="AI245" s="36">
        <f t="shared" si="96"/>
        <v>0.33719745752097846</v>
      </c>
      <c r="AJ245" s="36">
        <f t="shared" si="97"/>
        <v>40.69367910594282</v>
      </c>
      <c r="AK245" s="36">
        <f>+S88*テーブル2[[#This Row],[F_form]]/(E88*CpFromTP((テーブル2[[#This Row],[Tin]]+テーブル2[[#This Row],[Tf]])/2,テーブル2[[#This Row],[P]])*AI88)</f>
        <v>2.3113942898569051</v>
      </c>
      <c r="AL245" s="36">
        <f t="shared" si="98"/>
        <v>1.0236047381169835</v>
      </c>
      <c r="AM245" s="36">
        <f t="shared" si="99"/>
        <v>598.16775840793844</v>
      </c>
      <c r="AN245" s="36">
        <f t="shared" si="100"/>
        <v>4.2875853978330269E-9</v>
      </c>
      <c r="AO245" s="36">
        <f t="shared" si="101"/>
        <v>6.0669809142156026E-8</v>
      </c>
      <c r="AP245" s="36">
        <v>4.3793001165404144</v>
      </c>
      <c r="AQ245" s="36">
        <f t="shared" si="102"/>
        <v>4.4638270838597069E-5</v>
      </c>
      <c r="AR245" s="36">
        <f t="shared" si="103"/>
        <v>7.0760724601839903E-6</v>
      </c>
      <c r="AS245" s="36">
        <f t="shared" si="104"/>
        <v>20.434441373404066</v>
      </c>
      <c r="AT245" s="36">
        <f t="shared" si="105"/>
        <v>12.036108899436087</v>
      </c>
      <c r="AU245" s="36">
        <f t="shared" si="106"/>
        <v>4.0585453193354706</v>
      </c>
      <c r="AV245" s="36">
        <f t="shared" si="107"/>
        <v>0.32075479720494382</v>
      </c>
      <c r="AW245" s="36">
        <f t="shared" si="108"/>
        <v>7.5844081564194216E-3</v>
      </c>
      <c r="AX245" s="36">
        <f t="shared" si="109"/>
        <v>0.32075479387440958</v>
      </c>
      <c r="AY245" s="36">
        <f t="shared" si="110"/>
        <v>3.3305342372891289E-9</v>
      </c>
      <c r="AZ245" s="36">
        <f t="shared" si="111"/>
        <v>1189751.8930438627</v>
      </c>
      <c r="BA245" s="36">
        <f t="shared" si="112"/>
        <v>1.0193014785627589E-5</v>
      </c>
      <c r="BB245" s="38">
        <f t="shared" si="113"/>
        <v>4631716.449744042</v>
      </c>
      <c r="BC245" s="40">
        <f t="shared" si="114"/>
        <v>-10871.498101416975</v>
      </c>
      <c r="BD245" s="41">
        <f t="shared" si="115"/>
        <v>-0.23416892094553082</v>
      </c>
      <c r="BE245" s="38">
        <v>3091498.2</v>
      </c>
      <c r="BF245" s="42">
        <f>テーブル2[[#This Row],[q_P]]/テーブル2[[#This Row],[q_M]]</f>
        <v>1.4982109482528703</v>
      </c>
      <c r="BG245" s="36">
        <v>1</v>
      </c>
      <c r="BH245" s="36">
        <v>-7.8E-2</v>
      </c>
      <c r="BI245" s="36">
        <v>4.5999999999999999E-2</v>
      </c>
      <c r="BJ245" s="36">
        <v>5625</v>
      </c>
      <c r="BK245" s="22">
        <v>1</v>
      </c>
      <c r="BL245" s="36">
        <f>テーブル2[[#This Row],[Ts]]-テーブル2[[#This Row],[Tin]]</f>
        <v>303.8590161919152</v>
      </c>
      <c r="BM245" s="36">
        <f>テーブル2[[#This Row],[q_P]]*0.000001</f>
        <v>4.631716449744042</v>
      </c>
      <c r="BN245" s="36">
        <f>テーブル2[[#This Row],[Tsub]]</f>
        <v>303.8590161919152</v>
      </c>
      <c r="BO245" s="36">
        <f>テーブル2[[#This Row],[Fcorr]]</f>
        <v>1</v>
      </c>
      <c r="BP245" s="36">
        <f>(テーブル2[[#This Row],[Tsub]]-40)^2</f>
        <v>69621.580425765365</v>
      </c>
      <c r="BQ245" s="36">
        <v>1</v>
      </c>
      <c r="BR245" s="36">
        <v>0.69595999999999991</v>
      </c>
    </row>
    <row r="246" spans="1:70" x14ac:dyDescent="0.15">
      <c r="A246" s="35" t="s">
        <v>199</v>
      </c>
      <c r="B246" s="36">
        <v>12065825.263044</v>
      </c>
      <c r="C246" s="22">
        <f>TsatFromP(テーブル2[[#This Row],[P]])</f>
        <v>598.16775841222602</v>
      </c>
      <c r="D246" s="36">
        <f>RhoGFromP(テーブル2[[#This Row],[P]])</f>
        <v>70.719127092768275</v>
      </c>
      <c r="E246" s="36">
        <f>RhoFFromP(テーブル2[[#This Row],[P]])</f>
        <v>654.05698086007123</v>
      </c>
      <c r="F246" s="36">
        <f>HgFromP(テーブル2[[#This Row],[P]])</f>
        <v>2683685.0883769183</v>
      </c>
      <c r="G246" s="36">
        <f>HfFromP(テーブル2[[#This Row],[P]])</f>
        <v>1493933.1953330557</v>
      </c>
      <c r="H246" s="36">
        <f>MuGFromP(テーブル2[[#This Row],[P]])</f>
        <v>2.1145404359091978E-5</v>
      </c>
      <c r="I246" s="36">
        <f>MuFFromP(テーブル2[[#This Row],[P]])</f>
        <v>7.6371158483289308E-5</v>
      </c>
      <c r="J246" s="36">
        <f>KfFromP(テーブル2[[#This Row],[P]])</f>
        <v>0.51093471001104362</v>
      </c>
      <c r="K246" s="36">
        <f>CpFFromP(テーブル2[[#This Row],[P]])</f>
        <v>6848.0719740576842</v>
      </c>
      <c r="L246" s="36">
        <f>SigmaFromP(テーブル2[[#This Row],[P]])</f>
        <v>8.6953190176294083E-3</v>
      </c>
      <c r="M246" s="36">
        <v>28.01</v>
      </c>
      <c r="N246" s="36">
        <v>4000.8784999999998</v>
      </c>
      <c r="O246" s="37">
        <f t="shared" si="116"/>
        <v>2.8502295699234246E-6</v>
      </c>
      <c r="P246" s="37">
        <f t="shared" si="117"/>
        <v>5.9847340050885557E-3</v>
      </c>
      <c r="Q246" s="37">
        <v>1.905E-3</v>
      </c>
      <c r="R246" s="36">
        <v>0.69595999999999991</v>
      </c>
      <c r="S246" s="38">
        <v>5222496.4141845703</v>
      </c>
      <c r="T246" s="36">
        <v>299.85899298832442</v>
      </c>
      <c r="U246" s="12">
        <f>+T246+BG246*S246*テーブル2[[#This Row],[Pw]]*R246/(N246*O246*K246)</f>
        <v>578.40937747445093</v>
      </c>
      <c r="V246" s="36">
        <v>0.03</v>
      </c>
      <c r="W246" s="37">
        <f t="shared" si="88"/>
        <v>99797.799246003196</v>
      </c>
      <c r="X246" s="36">
        <v>3.0280137553287272E-2</v>
      </c>
      <c r="Y246" s="36">
        <f t="shared" si="89"/>
        <v>5.7467337725441796</v>
      </c>
      <c r="Z246" s="36">
        <f t="shared" si="90"/>
        <v>5.7467338143009918</v>
      </c>
      <c r="AA246" s="36">
        <f t="shared" si="91"/>
        <v>-4.175681223017591E-8</v>
      </c>
      <c r="AB246" s="36">
        <f t="shared" si="92"/>
        <v>1.1264288610514083E-5</v>
      </c>
      <c r="AC246" s="36">
        <v>632.01429346694079</v>
      </c>
      <c r="AD246" s="36">
        <f t="shared" si="93"/>
        <v>3069.9047227265678</v>
      </c>
      <c r="AE246" s="36">
        <f>+gettm2(AD246,AC246,AK246,AL246,テーブル2[[#This Row],[Fcorr]])</f>
        <v>578.40937779459375</v>
      </c>
      <c r="AF246" s="39">
        <f t="shared" si="94"/>
        <v>3.2014281714509707E-7</v>
      </c>
      <c r="AG246" s="36">
        <v>1.1321491742175117E-5</v>
      </c>
      <c r="AH246" s="36">
        <f t="shared" si="95"/>
        <v>92.632417207561957</v>
      </c>
      <c r="AI246" s="36">
        <f t="shared" si="96"/>
        <v>0.37633421599909139</v>
      </c>
      <c r="AJ246" s="36">
        <f t="shared" si="97"/>
        <v>36.489134874134621</v>
      </c>
      <c r="AK246" s="36">
        <f>+S88*テーブル2[[#This Row],[F_form]]/(E88*CpFromTP((テーブル2[[#This Row],[Tin]]+テーブル2[[#This Row],[Tf]])/2,テーブル2[[#This Row],[P]])*AI88)</f>
        <v>2.308175394538563</v>
      </c>
      <c r="AL246" s="36">
        <f t="shared" si="98"/>
        <v>1.0236047381169835</v>
      </c>
      <c r="AM246" s="36">
        <f t="shared" si="99"/>
        <v>598.16775841077833</v>
      </c>
      <c r="AN246" s="36">
        <f t="shared" si="100"/>
        <v>1.4476881915470585E-9</v>
      </c>
      <c r="AO246" s="36">
        <f t="shared" si="101"/>
        <v>5.7203131661034344E-8</v>
      </c>
      <c r="AP246" s="36">
        <v>4.6620584141992136</v>
      </c>
      <c r="AQ246" s="36">
        <f t="shared" si="102"/>
        <v>3.9387766871334183E-5</v>
      </c>
      <c r="AR246" s="36">
        <f t="shared" si="103"/>
        <v>5.6893474369180757E-6</v>
      </c>
      <c r="AS246" s="36">
        <f t="shared" si="104"/>
        <v>18.336750200343406</v>
      </c>
      <c r="AT246" s="36">
        <f t="shared" si="105"/>
        <v>11.494536268814826</v>
      </c>
      <c r="AU246" s="36">
        <f t="shared" si="106"/>
        <v>4.3257872949975491</v>
      </c>
      <c r="AV246" s="36">
        <f t="shared" si="107"/>
        <v>0.33627111920166453</v>
      </c>
      <c r="AW246" s="36">
        <f t="shared" si="108"/>
        <v>6.0889564479351755E-3</v>
      </c>
      <c r="AX246" s="36">
        <f t="shared" si="109"/>
        <v>0.33627111836292395</v>
      </c>
      <c r="AY246" s="36">
        <f t="shared" si="110"/>
        <v>8.3874057699162563E-10</v>
      </c>
      <c r="AZ246" s="36">
        <f t="shared" si="111"/>
        <v>1189751.8930438627</v>
      </c>
      <c r="BA246" s="36">
        <f t="shared" si="112"/>
        <v>8.4485785830934699E-6</v>
      </c>
      <c r="BB246" s="38">
        <f t="shared" si="113"/>
        <v>5268756.737467627</v>
      </c>
      <c r="BC246" s="40">
        <f t="shared" si="114"/>
        <v>46260.323283056729</v>
      </c>
      <c r="BD246" s="41">
        <f t="shared" si="115"/>
        <v>0.88578946952287596</v>
      </c>
      <c r="BE246" s="38">
        <v>3615160.14</v>
      </c>
      <c r="BF246" s="42">
        <f>テーブル2[[#This Row],[q_P]]/テーブル2[[#This Row],[q_M]]</f>
        <v>1.4574061821415265</v>
      </c>
      <c r="BG246" s="36">
        <v>1</v>
      </c>
      <c r="BH246" s="36">
        <v>-4.2999999999999997E-2</v>
      </c>
      <c r="BI246" s="36">
        <v>4.5999999999999999E-2</v>
      </c>
      <c r="BJ246" s="36">
        <v>5625</v>
      </c>
      <c r="BK246" s="22">
        <v>1</v>
      </c>
      <c r="BL246" s="36">
        <f>テーブル2[[#This Row],[Ts]]-テーブル2[[#This Row],[Tin]]</f>
        <v>298.3087654239016</v>
      </c>
      <c r="BM246" s="36">
        <f>テーブル2[[#This Row],[q_P]]*0.000001</f>
        <v>5.2687567374676272</v>
      </c>
      <c r="BN246" s="36">
        <f>テーブル2[[#This Row],[Tsub]]</f>
        <v>298.3087654239016</v>
      </c>
      <c r="BO246" s="36">
        <f>テーブル2[[#This Row],[Fcorr]]</f>
        <v>1</v>
      </c>
      <c r="BP246" s="36">
        <f>(テーブル2[[#This Row],[Tsub]]-40)^2</f>
        <v>66723.418294820221</v>
      </c>
      <c r="BQ246" s="36">
        <v>1</v>
      </c>
      <c r="BR246" s="36">
        <v>0.69595999999999991</v>
      </c>
    </row>
    <row r="247" spans="1:70" x14ac:dyDescent="0.15">
      <c r="A247" s="35" t="s">
        <v>200</v>
      </c>
      <c r="B247" s="36">
        <v>12065825.263044</v>
      </c>
      <c r="C247" s="22">
        <f>TsatFromP(テーブル2[[#This Row],[P]])</f>
        <v>598.16775841222602</v>
      </c>
      <c r="D247" s="36">
        <f>RhoGFromP(テーブル2[[#This Row],[P]])</f>
        <v>70.719127092768275</v>
      </c>
      <c r="E247" s="36">
        <f>RhoFFromP(テーブル2[[#This Row],[P]])</f>
        <v>654.05698086007123</v>
      </c>
      <c r="F247" s="36">
        <f>HgFromP(テーブル2[[#This Row],[P]])</f>
        <v>2683685.0883769183</v>
      </c>
      <c r="G247" s="36">
        <f>HfFromP(テーブル2[[#This Row],[P]])</f>
        <v>1493933.1953330557</v>
      </c>
      <c r="H247" s="36">
        <f>MuGFromP(テーブル2[[#This Row],[P]])</f>
        <v>2.1145404359091978E-5</v>
      </c>
      <c r="I247" s="36">
        <f>MuFFromP(テーブル2[[#This Row],[P]])</f>
        <v>7.6371158483289308E-5</v>
      </c>
      <c r="J247" s="36">
        <f>KfFromP(テーブル2[[#This Row],[P]])</f>
        <v>0.51093471001104362</v>
      </c>
      <c r="K247" s="36">
        <f>CpFFromP(テーブル2[[#This Row],[P]])</f>
        <v>6848.0719740576842</v>
      </c>
      <c r="L247" s="36">
        <f>SigmaFromP(テーブル2[[#This Row],[P]])</f>
        <v>8.6953190176294083E-3</v>
      </c>
      <c r="M247" s="36">
        <v>29.01</v>
      </c>
      <c r="N247" s="36">
        <v>4028.0030999999999</v>
      </c>
      <c r="O247" s="37">
        <f t="shared" si="116"/>
        <v>2.8502295699234246E-6</v>
      </c>
      <c r="P247" s="37">
        <f t="shared" si="117"/>
        <v>5.9847340050885557E-3</v>
      </c>
      <c r="Q247" s="37">
        <v>1.905E-3</v>
      </c>
      <c r="R247" s="36">
        <v>0.69595999999999991</v>
      </c>
      <c r="S247" s="38">
        <v>5308270.0729370117</v>
      </c>
      <c r="T247" s="36">
        <v>297.11185267538241</v>
      </c>
      <c r="U247" s="12">
        <f>+T247+BG247*S247*テーブル2[[#This Row],[Pw]]*R247/(N247*O247*K247)</f>
        <v>578.33054805572681</v>
      </c>
      <c r="V247" s="36">
        <v>0.03</v>
      </c>
      <c r="W247" s="37">
        <f t="shared" si="88"/>
        <v>100474.39449512864</v>
      </c>
      <c r="X247" s="36">
        <v>3.0189352344125262E-2</v>
      </c>
      <c r="Y247" s="36">
        <f t="shared" si="89"/>
        <v>5.755368054976608</v>
      </c>
      <c r="Z247" s="36">
        <f t="shared" si="90"/>
        <v>5.7553680935537912</v>
      </c>
      <c r="AA247" s="36">
        <f t="shared" si="91"/>
        <v>-3.8577183225640965E-8</v>
      </c>
      <c r="AB247" s="36">
        <f t="shared" si="92"/>
        <v>1.1146511031741105E-5</v>
      </c>
      <c r="AC247" s="36">
        <v>632.01529645773644</v>
      </c>
      <c r="AD247" s="36">
        <f t="shared" si="93"/>
        <v>3086.0808989307347</v>
      </c>
      <c r="AE247" s="36">
        <f>+gettm2(AD247,AC247,AK247,AL247,テーブル2[[#This Row],[Fcorr]])</f>
        <v>578.33054805572681</v>
      </c>
      <c r="AF247" s="39">
        <f t="shared" si="94"/>
        <v>0</v>
      </c>
      <c r="AG247" s="36">
        <v>1.1203649209034194E-5</v>
      </c>
      <c r="AH247" s="36">
        <f t="shared" si="95"/>
        <v>93.61120077342639</v>
      </c>
      <c r="AI247" s="36">
        <f t="shared" si="96"/>
        <v>0.37831722496500209</v>
      </c>
      <c r="AJ247" s="36">
        <f t="shared" si="97"/>
        <v>36.299598763591455</v>
      </c>
      <c r="AK247" s="36">
        <f>+S88*テーブル2[[#This Row],[F_form]]/(E88*CpFromTP((テーブル2[[#This Row],[Tin]]+テーブル2[[#This Row],[Tf]])/2,テーブル2[[#This Row],[P]])*AI88)</f>
        <v>2.3102950546541168</v>
      </c>
      <c r="AL247" s="36">
        <f t="shared" si="98"/>
        <v>1.0236047381169835</v>
      </c>
      <c r="AM247" s="36">
        <f t="shared" si="99"/>
        <v>598.16775840652019</v>
      </c>
      <c r="AN247" s="36">
        <f t="shared" si="100"/>
        <v>5.7058286984101869E-9</v>
      </c>
      <c r="AO247" s="36">
        <f t="shared" si="101"/>
        <v>5.713817729308838E-8</v>
      </c>
      <c r="AP247" s="36">
        <v>4.6758640130670006</v>
      </c>
      <c r="AQ247" s="36">
        <f t="shared" si="102"/>
        <v>3.9155523607286259E-5</v>
      </c>
      <c r="AR247" s="36">
        <f t="shared" si="103"/>
        <v>5.6303936931636411E-6</v>
      </c>
      <c r="AS247" s="36">
        <f t="shared" si="104"/>
        <v>18.242362656096997</v>
      </c>
      <c r="AT247" s="36">
        <f t="shared" si="105"/>
        <v>11.468732539209796</v>
      </c>
      <c r="AU247" s="36">
        <f t="shared" si="106"/>
        <v>4.3388190680996717</v>
      </c>
      <c r="AV247" s="36">
        <f t="shared" si="107"/>
        <v>0.33704494496732895</v>
      </c>
      <c r="AW247" s="36">
        <f t="shared" si="108"/>
        <v>6.0252913047123243E-3</v>
      </c>
      <c r="AX247" s="36">
        <f t="shared" si="109"/>
        <v>0.33704494379094585</v>
      </c>
      <c r="AY247" s="36">
        <f t="shared" si="110"/>
        <v>1.1763831020417115E-9</v>
      </c>
      <c r="AZ247" s="36">
        <f t="shared" si="111"/>
        <v>1189751.8930438627</v>
      </c>
      <c r="BA247" s="36">
        <f t="shared" si="112"/>
        <v>8.3739654313862947E-6</v>
      </c>
      <c r="BB247" s="38">
        <f t="shared" si="113"/>
        <v>5309666.0651135892</v>
      </c>
      <c r="BC247" s="40">
        <f t="shared" si="114"/>
        <v>1395.9921765774488</v>
      </c>
      <c r="BD247" s="41">
        <f t="shared" si="115"/>
        <v>2.6298439178793719E-2</v>
      </c>
      <c r="BE247" s="38">
        <v>3671942.7599999988</v>
      </c>
      <c r="BF247" s="42">
        <f>テーブル2[[#This Row],[q_P]]/テーブル2[[#This Row],[q_M]]</f>
        <v>1.4460100312439486</v>
      </c>
      <c r="BG247" s="36">
        <v>1</v>
      </c>
      <c r="BH247" s="36">
        <v>-4.2000000000000003E-2</v>
      </c>
      <c r="BI247" s="36">
        <v>4.5999999999999999E-2</v>
      </c>
      <c r="BJ247" s="36">
        <v>5625</v>
      </c>
      <c r="BK247" s="22">
        <v>1</v>
      </c>
      <c r="BL247" s="36">
        <f>テーブル2[[#This Row],[Ts]]-テーブル2[[#This Row],[Tin]]</f>
        <v>301.05590573684361</v>
      </c>
      <c r="BM247" s="36">
        <f>テーブル2[[#This Row],[q_P]]*0.000001</f>
        <v>5.3096660651135892</v>
      </c>
      <c r="BN247" s="36">
        <f>テーブル2[[#This Row],[Tsub]]</f>
        <v>301.05590573684361</v>
      </c>
      <c r="BO247" s="36">
        <f>テーブル2[[#This Row],[Fcorr]]</f>
        <v>1</v>
      </c>
      <c r="BP247" s="36">
        <f>(テーブル2[[#This Row],[Tsub]]-40)^2</f>
        <v>68150.185920083779</v>
      </c>
      <c r="BQ247" s="36">
        <v>1</v>
      </c>
      <c r="BR247" s="36">
        <v>0.69595999999999991</v>
      </c>
    </row>
    <row r="248" spans="1:70" x14ac:dyDescent="0.15">
      <c r="A248" s="35" t="s">
        <v>174</v>
      </c>
      <c r="B248" s="36">
        <v>12065825.263044</v>
      </c>
      <c r="C248" s="22">
        <f>TsatFromP(テーブル2[[#This Row],[P]])</f>
        <v>598.16775841222602</v>
      </c>
      <c r="D248" s="36">
        <f>RhoGFromP(テーブル2[[#This Row],[P]])</f>
        <v>70.719127092768275</v>
      </c>
      <c r="E248" s="36">
        <f>RhoFFromP(テーブル2[[#This Row],[P]])</f>
        <v>654.05698086007123</v>
      </c>
      <c r="F248" s="36">
        <f>HgFromP(テーブル2[[#This Row],[P]])</f>
        <v>2683685.0883769183</v>
      </c>
      <c r="G248" s="36">
        <f>HfFromP(テーブル2[[#This Row],[P]])</f>
        <v>1493933.1953330557</v>
      </c>
      <c r="H248" s="36">
        <f>MuGFromP(テーブル2[[#This Row],[P]])</f>
        <v>2.1145404359091978E-5</v>
      </c>
      <c r="I248" s="36">
        <f>MuFFromP(テーブル2[[#This Row],[P]])</f>
        <v>7.6371158483289308E-5</v>
      </c>
      <c r="J248" s="36">
        <f>KfFromP(テーブル2[[#This Row],[P]])</f>
        <v>0.51093471001104362</v>
      </c>
      <c r="K248" s="36">
        <f>CpFFromP(テーブル2[[#This Row],[P]])</f>
        <v>6848.0719740576842</v>
      </c>
      <c r="L248" s="36">
        <f>SigmaFromP(テーブル2[[#This Row],[P]])</f>
        <v>8.6953190176294083E-3</v>
      </c>
      <c r="M248" s="36">
        <v>3.01</v>
      </c>
      <c r="N248" s="36">
        <v>2373.4025000000001</v>
      </c>
      <c r="O248" s="37">
        <f t="shared" si="116"/>
        <v>2.8502295699234246E-6</v>
      </c>
      <c r="P248" s="37">
        <f t="shared" si="117"/>
        <v>5.9847340050885557E-3</v>
      </c>
      <c r="Q248" s="37">
        <v>1.905E-3</v>
      </c>
      <c r="R248" s="36">
        <v>0.15240000000000001</v>
      </c>
      <c r="S248" s="38">
        <v>4829240.4174804688</v>
      </c>
      <c r="T248" s="36">
        <v>489.7437454865161</v>
      </c>
      <c r="U248" s="12">
        <f>+T248+BG248*S248*テーブル2[[#This Row],[Pw]]*R248/(N248*O248*K248)</f>
        <v>584.82372804250622</v>
      </c>
      <c r="V248" s="36">
        <v>0.03</v>
      </c>
      <c r="W248" s="37">
        <f t="shared" si="88"/>
        <v>59202.084298476468</v>
      </c>
      <c r="X248" s="36">
        <v>3.8689056513590121E-2</v>
      </c>
      <c r="Y248" s="36">
        <f t="shared" si="89"/>
        <v>5.0840045494389399</v>
      </c>
      <c r="Z248" s="36">
        <f t="shared" si="90"/>
        <v>5.0840045915844039</v>
      </c>
      <c r="AA248" s="36">
        <f t="shared" si="91"/>
        <v>-4.214546400760355E-8</v>
      </c>
      <c r="AB248" s="36">
        <f t="shared" si="92"/>
        <v>2.5051942638225514E-5</v>
      </c>
      <c r="AC248" s="36">
        <v>630.05374271453638</v>
      </c>
      <c r="AD248" s="36">
        <f t="shared" si="93"/>
        <v>2058.5246758114217</v>
      </c>
      <c r="AE248" s="36">
        <f>+gettm2(AD248,AC248,AK248,AL248,テーブル2[[#This Row],[Fcorr]])</f>
        <v>584.8237280425061</v>
      </c>
      <c r="AF248" s="39">
        <f t="shared" si="94"/>
        <v>0</v>
      </c>
      <c r="AG248" s="36">
        <v>2.5156951832531902E-5</v>
      </c>
      <c r="AH248" s="36">
        <f t="shared" si="95"/>
        <v>41.650992786619213</v>
      </c>
      <c r="AI248" s="36">
        <f t="shared" si="96"/>
        <v>0.25235091638225932</v>
      </c>
      <c r="AJ248" s="36">
        <f t="shared" si="97"/>
        <v>54.368720331198183</v>
      </c>
      <c r="AK248" s="36">
        <f>+S88*テーブル2[[#This Row],[F_form]]/(E88*CpFromTP((テーブル2[[#This Row],[Tin]]+テーブル2[[#This Row],[Tf]])/2,テーブル2[[#This Row],[P]])*AI88)</f>
        <v>2.03605124703929</v>
      </c>
      <c r="AL248" s="36">
        <f t="shared" si="98"/>
        <v>1.0236047381169835</v>
      </c>
      <c r="AM248" s="36">
        <f t="shared" si="99"/>
        <v>598.16775838513138</v>
      </c>
      <c r="AN248" s="36">
        <f t="shared" si="100"/>
        <v>2.7094642973679584E-8</v>
      </c>
      <c r="AO248" s="36">
        <f t="shared" si="101"/>
        <v>1.0500919430638786E-7</v>
      </c>
      <c r="AP248" s="36">
        <v>3.6877680392136272</v>
      </c>
      <c r="AQ248" s="36">
        <f t="shared" si="102"/>
        <v>6.2949109115326661E-5</v>
      </c>
      <c r="AR248" s="36">
        <f t="shared" si="103"/>
        <v>1.2630980513419145E-5</v>
      </c>
      <c r="AS248" s="36">
        <f t="shared" si="104"/>
        <v>27.297832090883492</v>
      </c>
      <c r="AT248" s="36">
        <f t="shared" si="105"/>
        <v>13.48403644223689</v>
      </c>
      <c r="AU248" s="36">
        <f t="shared" si="106"/>
        <v>3.4027089527302588</v>
      </c>
      <c r="AV248" s="36">
        <f t="shared" si="107"/>
        <v>0.28505908648336842</v>
      </c>
      <c r="AW248" s="36">
        <f t="shared" si="108"/>
        <v>1.3541928206451E-2</v>
      </c>
      <c r="AX248" s="36">
        <f t="shared" si="109"/>
        <v>0.28505906958985988</v>
      </c>
      <c r="AY248" s="36">
        <f t="shared" si="110"/>
        <v>1.6893508536508506E-8</v>
      </c>
      <c r="AZ248" s="36">
        <f t="shared" si="111"/>
        <v>1189751.8930438627</v>
      </c>
      <c r="BA248" s="36">
        <f t="shared" si="112"/>
        <v>1.7069704071937727E-5</v>
      </c>
      <c r="BB248" s="38">
        <f t="shared" si="113"/>
        <v>4787109.0862094872</v>
      </c>
      <c r="BC248" s="40">
        <f t="shared" si="114"/>
        <v>-42131.33127098158</v>
      </c>
      <c r="BD248" s="41">
        <f t="shared" si="115"/>
        <v>-0.87242149134837466</v>
      </c>
      <c r="BE248" s="38">
        <v>3974783.4</v>
      </c>
      <c r="BF248" s="42">
        <f>テーブル2[[#This Row],[q_P]]/テーブル2[[#This Row],[q_M]]</f>
        <v>1.2043697994234068</v>
      </c>
      <c r="BG248" s="36">
        <v>1</v>
      </c>
      <c r="BH248" s="36">
        <v>-2.3E-2</v>
      </c>
      <c r="BI248" s="36">
        <v>4.5999999999999999E-2</v>
      </c>
      <c r="BJ248" s="36">
        <v>5625</v>
      </c>
      <c r="BK248" s="22">
        <v>1</v>
      </c>
      <c r="BL248" s="36">
        <f>テーブル2[[#This Row],[Ts]]-テーブル2[[#This Row],[Tin]]</f>
        <v>108.42401292570992</v>
      </c>
      <c r="BM248" s="36">
        <f>テーブル2[[#This Row],[q_P]]*0.000001</f>
        <v>4.7871090862094867</v>
      </c>
      <c r="BN248" s="36">
        <f>テーブル2[[#This Row],[Tsub]]</f>
        <v>108.42401292570992</v>
      </c>
      <c r="BO248" s="36">
        <f>テーブル2[[#This Row],[Fcorr]]</f>
        <v>1</v>
      </c>
      <c r="BP248" s="36">
        <f>(テーブル2[[#This Row],[Tsub]]-40)^2</f>
        <v>4681.8455448577179</v>
      </c>
      <c r="BQ248" s="36">
        <v>1</v>
      </c>
      <c r="BR248" s="36">
        <v>0.15240000000000001</v>
      </c>
    </row>
    <row r="249" spans="1:70" x14ac:dyDescent="0.15">
      <c r="A249" s="35" t="s">
        <v>201</v>
      </c>
      <c r="B249" s="36">
        <v>12065825.263044</v>
      </c>
      <c r="C249" s="22">
        <f>TsatFromP(テーブル2[[#This Row],[P]])</f>
        <v>598.16775841222602</v>
      </c>
      <c r="D249" s="36">
        <f>RhoGFromP(テーブル2[[#This Row],[P]])</f>
        <v>70.719127092768275</v>
      </c>
      <c r="E249" s="36">
        <f>RhoFFromP(テーブル2[[#This Row],[P]])</f>
        <v>654.05698086007123</v>
      </c>
      <c r="F249" s="36">
        <f>HgFromP(テーブル2[[#This Row],[P]])</f>
        <v>2683685.0883769183</v>
      </c>
      <c r="G249" s="36">
        <f>HfFromP(テーブル2[[#This Row],[P]])</f>
        <v>1493933.1953330557</v>
      </c>
      <c r="H249" s="36">
        <f>MuGFromP(テーブル2[[#This Row],[P]])</f>
        <v>2.1145404359091978E-5</v>
      </c>
      <c r="I249" s="36">
        <f>MuFFromP(テーブル2[[#This Row],[P]])</f>
        <v>7.6371158483289308E-5</v>
      </c>
      <c r="J249" s="36">
        <f>KfFromP(テーブル2[[#This Row],[P]])</f>
        <v>0.51093471001104362</v>
      </c>
      <c r="K249" s="36">
        <f>CpFFromP(テーブル2[[#This Row],[P]])</f>
        <v>6848.0719740576842</v>
      </c>
      <c r="L249" s="36">
        <f>SigmaFromP(テーブル2[[#This Row],[P]])</f>
        <v>8.6953190176294083E-3</v>
      </c>
      <c r="M249" s="36">
        <v>30.01</v>
      </c>
      <c r="N249" s="36">
        <v>4109.3769000000002</v>
      </c>
      <c r="O249" s="37">
        <f t="shared" si="116"/>
        <v>2.8502295699234246E-6</v>
      </c>
      <c r="P249" s="37">
        <f t="shared" si="117"/>
        <v>5.9847340050885557E-3</v>
      </c>
      <c r="Q249" s="37">
        <v>1.905E-3</v>
      </c>
      <c r="R249" s="36">
        <v>0.69595999999999991</v>
      </c>
      <c r="S249" s="38">
        <v>5402362.3466491699</v>
      </c>
      <c r="T249" s="36">
        <v>297.61642558059208</v>
      </c>
      <c r="U249" s="12">
        <f>+T249+BG249*S249*テーブル2[[#This Row],[Pw]]*R249/(N249*O249*K249)</f>
        <v>578.15249580024624</v>
      </c>
      <c r="V249" s="36">
        <v>0.03</v>
      </c>
      <c r="W249" s="37">
        <f t="shared" si="88"/>
        <v>102504.18024250498</v>
      </c>
      <c r="X249" s="36">
        <v>2.9922936245267897E-2</v>
      </c>
      <c r="Y249" s="36">
        <f t="shared" si="89"/>
        <v>5.780932472390476</v>
      </c>
      <c r="Z249" s="36">
        <f t="shared" si="90"/>
        <v>5.7809325005642727</v>
      </c>
      <c r="AA249" s="36">
        <f t="shared" si="91"/>
        <v>-2.817379662900521E-8</v>
      </c>
      <c r="AB249" s="36">
        <f t="shared" si="92"/>
        <v>1.0804786275007885E-5</v>
      </c>
      <c r="AC249" s="36">
        <v>631.92226558631796</v>
      </c>
      <c r="AD249" s="36">
        <f t="shared" si="93"/>
        <v>3134.5030103539498</v>
      </c>
      <c r="AE249" s="36">
        <f>+gettm2(AD249,AC249,AK249,AL249,テーブル2[[#This Row],[Fcorr]])</f>
        <v>578.15249611946888</v>
      </c>
      <c r="AF249" s="39">
        <f t="shared" si="94"/>
        <v>3.1922263588057831E-7</v>
      </c>
      <c r="AG249" s="36">
        <v>1.086097901963498E-5</v>
      </c>
      <c r="AH249" s="36">
        <f t="shared" si="95"/>
        <v>96.571857652479807</v>
      </c>
      <c r="AI249" s="36">
        <f t="shared" si="96"/>
        <v>0.38425320636682597</v>
      </c>
      <c r="AJ249" s="36">
        <f t="shared" si="97"/>
        <v>35.741492317519089</v>
      </c>
      <c r="AK249" s="36">
        <f>+S88*テーブル2[[#This Row],[F_form]]/(E88*CpFromTP((テーブル2[[#This Row],[Tin]]+テーブル2[[#This Row],[Tf]])/2,テーブル2[[#This Row],[P]])*AI88)</f>
        <v>2.3100528466878298</v>
      </c>
      <c r="AL249" s="36">
        <f t="shared" si="98"/>
        <v>1.0236047381169835</v>
      </c>
      <c r="AM249" s="36">
        <f t="shared" si="99"/>
        <v>598.16775840836169</v>
      </c>
      <c r="AN249" s="36">
        <f t="shared" si="100"/>
        <v>3.8643293009954505E-9</v>
      </c>
      <c r="AO249" s="36">
        <f t="shared" si="101"/>
        <v>5.6192744627095261E-8</v>
      </c>
      <c r="AP249" s="36">
        <v>4.716643119410084</v>
      </c>
      <c r="AQ249" s="36">
        <f t="shared" si="102"/>
        <v>3.8481389594393753E-5</v>
      </c>
      <c r="AR249" s="36">
        <f t="shared" si="103"/>
        <v>5.4585858821310376E-6</v>
      </c>
      <c r="AS249" s="36">
        <f t="shared" si="104"/>
        <v>17.963206173034443</v>
      </c>
      <c r="AT249" s="36">
        <f t="shared" si="105"/>
        <v>11.39162782185624</v>
      </c>
      <c r="AU249" s="36">
        <f t="shared" si="106"/>
        <v>4.3772695162858017</v>
      </c>
      <c r="AV249" s="36">
        <f t="shared" si="107"/>
        <v>0.33937360312428222</v>
      </c>
      <c r="AW249" s="36">
        <f t="shared" si="108"/>
        <v>5.8405706150286762E-3</v>
      </c>
      <c r="AX249" s="36">
        <f t="shared" si="109"/>
        <v>0.33937360078755302</v>
      </c>
      <c r="AY249" s="36">
        <f t="shared" si="110"/>
        <v>2.3367291990261663E-9</v>
      </c>
      <c r="AZ249" s="36">
        <f t="shared" si="111"/>
        <v>1189751.8930438627</v>
      </c>
      <c r="BA249" s="36">
        <f t="shared" si="112"/>
        <v>8.1586392313706919E-6</v>
      </c>
      <c r="BB249" s="38">
        <f t="shared" si="113"/>
        <v>5359626.2475541597</v>
      </c>
      <c r="BC249" s="40">
        <f t="shared" si="114"/>
        <v>-42736.099095010199</v>
      </c>
      <c r="BD249" s="41">
        <f t="shared" si="115"/>
        <v>-0.79106317482605326</v>
      </c>
      <c r="BE249" s="38">
        <v>3653015.2199999988</v>
      </c>
      <c r="BF249" s="42">
        <f>テーブル2[[#This Row],[q_P]]/テーブル2[[#This Row],[q_M]]</f>
        <v>1.4671787344905072</v>
      </c>
      <c r="BG249" s="36">
        <v>1</v>
      </c>
      <c r="BH249" s="36">
        <v>-6.8000000000000005E-2</v>
      </c>
      <c r="BI249" s="36">
        <v>4.5999999999999999E-2</v>
      </c>
      <c r="BJ249" s="36">
        <v>5625</v>
      </c>
      <c r="BK249" s="22">
        <v>1</v>
      </c>
      <c r="BL249" s="36">
        <f>テーブル2[[#This Row],[Ts]]-テーブル2[[#This Row],[Tin]]</f>
        <v>300.55133283163394</v>
      </c>
      <c r="BM249" s="36">
        <f>テーブル2[[#This Row],[q_P]]*0.000001</f>
        <v>5.3596262475541598</v>
      </c>
      <c r="BN249" s="36">
        <f>テーブル2[[#This Row],[Tsub]]</f>
        <v>300.55133283163394</v>
      </c>
      <c r="BO249" s="36">
        <f>テーブル2[[#This Row],[Fcorr]]</f>
        <v>1</v>
      </c>
      <c r="BP249" s="36">
        <f>(テーブル2[[#This Row],[Tsub]]-40)^2</f>
        <v>67886.997040340881</v>
      </c>
      <c r="BQ249" s="36">
        <v>1</v>
      </c>
      <c r="BR249" s="36">
        <v>0.69595999999999991</v>
      </c>
    </row>
    <row r="250" spans="1:70" x14ac:dyDescent="0.15">
      <c r="A250" s="35" t="s">
        <v>175</v>
      </c>
      <c r="B250" s="36">
        <v>12065825.263044</v>
      </c>
      <c r="C250" s="22">
        <f>TsatFromP(テーブル2[[#This Row],[P]])</f>
        <v>598.16775841222602</v>
      </c>
      <c r="D250" s="36">
        <f>RhoGFromP(テーブル2[[#This Row],[P]])</f>
        <v>70.719127092768275</v>
      </c>
      <c r="E250" s="36">
        <f>RhoFFromP(テーブル2[[#This Row],[P]])</f>
        <v>654.05698086007123</v>
      </c>
      <c r="F250" s="36">
        <f>HgFromP(テーブル2[[#This Row],[P]])</f>
        <v>2683685.0883769183</v>
      </c>
      <c r="G250" s="36">
        <f>HfFromP(テーブル2[[#This Row],[P]])</f>
        <v>1493933.1953330557</v>
      </c>
      <c r="H250" s="36">
        <f>MuGFromP(テーブル2[[#This Row],[P]])</f>
        <v>2.1145404359091978E-5</v>
      </c>
      <c r="I250" s="36">
        <f>MuFFromP(テーブル2[[#This Row],[P]])</f>
        <v>7.6371158483289308E-5</v>
      </c>
      <c r="J250" s="36">
        <f>KfFromP(テーブル2[[#This Row],[P]])</f>
        <v>0.51093471001104362</v>
      </c>
      <c r="K250" s="36">
        <f>CpFFromP(テーブル2[[#This Row],[P]])</f>
        <v>6848.0719740576842</v>
      </c>
      <c r="L250" s="36">
        <f>SigmaFromP(テーブル2[[#This Row],[P]])</f>
        <v>8.6953190176294083E-3</v>
      </c>
      <c r="M250" s="36">
        <v>4.01</v>
      </c>
      <c r="N250" s="36">
        <v>2427.6516999999999</v>
      </c>
      <c r="O250" s="37">
        <f t="shared" si="116"/>
        <v>2.8502295699234246E-6</v>
      </c>
      <c r="P250" s="37">
        <f t="shared" si="117"/>
        <v>5.9847340050885557E-3</v>
      </c>
      <c r="Q250" s="37">
        <v>1.905E-3</v>
      </c>
      <c r="R250" s="36">
        <v>0.15240000000000001</v>
      </c>
      <c r="S250" s="38">
        <v>5014769.3634033203</v>
      </c>
      <c r="T250" s="36">
        <v>488.09522208316872</v>
      </c>
      <c r="U250" s="12">
        <f>+T250+BG250*S250*テーブル2[[#This Row],[Pw]]*R250/(N250*O250*K250)</f>
        <v>584.62165299264927</v>
      </c>
      <c r="V250" s="36">
        <v>0.03</v>
      </c>
      <c r="W250" s="37">
        <f t="shared" si="88"/>
        <v>60555.274796727354</v>
      </c>
      <c r="X250" s="36">
        <v>3.8259723607318025E-2</v>
      </c>
      <c r="Y250" s="36">
        <f t="shared" si="89"/>
        <v>5.1124501439664867</v>
      </c>
      <c r="Z250" s="36">
        <f t="shared" si="90"/>
        <v>5.1124501772059245</v>
      </c>
      <c r="AA250" s="36">
        <f t="shared" si="91"/>
        <v>-3.3239437868815003E-8</v>
      </c>
      <c r="AB250" s="36">
        <f t="shared" si="92"/>
        <v>2.4213510289635268E-5</v>
      </c>
      <c r="AC250" s="36">
        <v>630.03522442530129</v>
      </c>
      <c r="AD250" s="36">
        <f t="shared" si="93"/>
        <v>2093.8612719731905</v>
      </c>
      <c r="AE250" s="36">
        <f>+gettm2(AD250,AC250,AK250,AL250,テーブル2[[#This Row],[Fcorr]])</f>
        <v>584.62165329300137</v>
      </c>
      <c r="AF250" s="39">
        <f t="shared" si="94"/>
        <v>3.0035209874768043E-7</v>
      </c>
      <c r="AG250" s="36">
        <v>2.4319085029216404E-5</v>
      </c>
      <c r="AH250" s="36">
        <f t="shared" si="95"/>
        <v>43.093226452266151</v>
      </c>
      <c r="AI250" s="36">
        <f t="shared" si="96"/>
        <v>0.25668276750264352</v>
      </c>
      <c r="AJ250" s="36">
        <f t="shared" si="97"/>
        <v>53.460147309710472</v>
      </c>
      <c r="AK250" s="36">
        <f>+S88*テーブル2[[#This Row],[F_form]]/(E88*CpFromTP((テーブル2[[#This Row],[Tin]]+テーブル2[[#This Row],[Tf]])/2,テーブル2[[#This Row],[P]])*AI88)</f>
        <v>2.040357869338429</v>
      </c>
      <c r="AL250" s="36">
        <f t="shared" si="98"/>
        <v>1.0236047381169835</v>
      </c>
      <c r="AM250" s="36">
        <f t="shared" si="99"/>
        <v>598.16775835545582</v>
      </c>
      <c r="AN250" s="36">
        <f t="shared" si="100"/>
        <v>5.6770204537315294E-8</v>
      </c>
      <c r="AO250" s="36">
        <f t="shared" si="101"/>
        <v>1.0557473958113601E-7</v>
      </c>
      <c r="AP250" s="36">
        <v>3.7266330439741142</v>
      </c>
      <c r="AQ250" s="36">
        <f t="shared" si="102"/>
        <v>6.1642964910395946E-5</v>
      </c>
      <c r="AR250" s="36">
        <f t="shared" si="103"/>
        <v>1.221232988439877E-5</v>
      </c>
      <c r="AS250" s="36">
        <f t="shared" si="104"/>
        <v>26.846115050397284</v>
      </c>
      <c r="AT250" s="36">
        <f t="shared" si="105"/>
        <v>13.400605598128525</v>
      </c>
      <c r="AU250" s="36">
        <f t="shared" si="106"/>
        <v>3.4397045311390473</v>
      </c>
      <c r="AV250" s="36">
        <f t="shared" si="107"/>
        <v>0.28692851283506693</v>
      </c>
      <c r="AW250" s="36">
        <f t="shared" si="108"/>
        <v>1.3088710233117039E-2</v>
      </c>
      <c r="AX250" s="36">
        <f t="shared" si="109"/>
        <v>0.28692847878848304</v>
      </c>
      <c r="AY250" s="36">
        <f t="shared" si="110"/>
        <v>3.4046583885505299E-8</v>
      </c>
      <c r="AZ250" s="36">
        <f t="shared" si="111"/>
        <v>1189751.8930438627</v>
      </c>
      <c r="BA250" s="36">
        <f t="shared" si="112"/>
        <v>1.6541195278153639E-5</v>
      </c>
      <c r="BB250" s="38">
        <f t="shared" si="113"/>
        <v>4966667.8809656585</v>
      </c>
      <c r="BC250" s="40">
        <f t="shared" si="114"/>
        <v>-48101.482437661849</v>
      </c>
      <c r="BD250" s="41">
        <f t="shared" si="115"/>
        <v>-0.95919630499252573</v>
      </c>
      <c r="BE250" s="38">
        <v>4069421.1</v>
      </c>
      <c r="BF250" s="42">
        <f>テーブル2[[#This Row],[q_P]]/テーブル2[[#This Row],[q_M]]</f>
        <v>1.2204851154297249</v>
      </c>
      <c r="BG250" s="36">
        <v>1</v>
      </c>
      <c r="BH250" s="36">
        <v>-2.9000000000000001E-2</v>
      </c>
      <c r="BI250" s="36">
        <v>4.5999999999999999E-2</v>
      </c>
      <c r="BJ250" s="36">
        <v>5625</v>
      </c>
      <c r="BK250" s="22">
        <v>1</v>
      </c>
      <c r="BL250" s="36">
        <f>テーブル2[[#This Row],[Ts]]-テーブル2[[#This Row],[Tin]]</f>
        <v>110.0725363290573</v>
      </c>
      <c r="BM250" s="36">
        <f>テーブル2[[#This Row],[q_P]]*0.000001</f>
        <v>4.9666678809656579</v>
      </c>
      <c r="BN250" s="36">
        <f>テーブル2[[#This Row],[Tsub]]</f>
        <v>110.0725363290573</v>
      </c>
      <c r="BO250" s="36">
        <f>テーブル2[[#This Row],[Fcorr]]</f>
        <v>1</v>
      </c>
      <c r="BP250" s="36">
        <f>(テーブル2[[#This Row],[Tsub]]-40)^2</f>
        <v>4910.1603475870552</v>
      </c>
      <c r="BQ250" s="36">
        <v>1</v>
      </c>
      <c r="BR250" s="36">
        <v>0.15240000000000001</v>
      </c>
    </row>
    <row r="251" spans="1:70" x14ac:dyDescent="0.15">
      <c r="A251" s="35" t="s">
        <v>176</v>
      </c>
      <c r="B251" s="36">
        <v>12065825.263044</v>
      </c>
      <c r="C251" s="22">
        <f>TsatFromP(テーブル2[[#This Row],[P]])</f>
        <v>598.16775841222602</v>
      </c>
      <c r="D251" s="36">
        <f>RhoGFromP(テーブル2[[#This Row],[P]])</f>
        <v>70.719127092768275</v>
      </c>
      <c r="E251" s="36">
        <f>RhoFFromP(テーブル2[[#This Row],[P]])</f>
        <v>654.05698086007123</v>
      </c>
      <c r="F251" s="36">
        <f>HgFromP(テーブル2[[#This Row],[P]])</f>
        <v>2683685.0883769183</v>
      </c>
      <c r="G251" s="36">
        <f>HfFromP(テーブル2[[#This Row],[P]])</f>
        <v>1493933.1953330557</v>
      </c>
      <c r="H251" s="36">
        <f>MuGFromP(テーブル2[[#This Row],[P]])</f>
        <v>2.1145404359091978E-5</v>
      </c>
      <c r="I251" s="36">
        <f>MuFFromP(テーブル2[[#This Row],[P]])</f>
        <v>7.6371158483289308E-5</v>
      </c>
      <c r="J251" s="36">
        <f>KfFromP(テーブル2[[#This Row],[P]])</f>
        <v>0.51093471001104362</v>
      </c>
      <c r="K251" s="36">
        <f>CpFFromP(テーブル2[[#This Row],[P]])</f>
        <v>6848.0719740576842</v>
      </c>
      <c r="L251" s="36">
        <f>SigmaFromP(テーブル2[[#This Row],[P]])</f>
        <v>8.6953190176294083E-3</v>
      </c>
      <c r="M251" s="36">
        <v>5.01</v>
      </c>
      <c r="N251" s="36">
        <v>2509.0255000000002</v>
      </c>
      <c r="O251" s="37">
        <f t="shared" si="116"/>
        <v>2.8502295699234246E-6</v>
      </c>
      <c r="P251" s="37">
        <f t="shared" si="117"/>
        <v>5.9847340050885557E-3</v>
      </c>
      <c r="Q251" s="37">
        <v>1.905E-3</v>
      </c>
      <c r="R251" s="36">
        <v>0.15240000000000001</v>
      </c>
      <c r="S251" s="38">
        <v>6786645.6985473633</v>
      </c>
      <c r="T251" s="36">
        <v>457.53598356801098</v>
      </c>
      <c r="U251" s="12">
        <f>+T251+BG251*S251*テーブル2[[#This Row],[Pw]]*R251/(N251*O251*K251)</f>
        <v>583.93152775917952</v>
      </c>
      <c r="V251" s="36">
        <v>0.03</v>
      </c>
      <c r="W251" s="37">
        <f t="shared" si="88"/>
        <v>62585.060544103704</v>
      </c>
      <c r="X251" s="36">
        <v>3.7645421746502698E-2</v>
      </c>
      <c r="Y251" s="36">
        <f t="shared" si="89"/>
        <v>5.1539940935923259</v>
      </c>
      <c r="Z251" s="36">
        <f t="shared" si="90"/>
        <v>5.1539940987154411</v>
      </c>
      <c r="AA251" s="36">
        <f t="shared" si="91"/>
        <v>-5.1231152653485879E-9</v>
      </c>
      <c r="AB251" s="36">
        <f t="shared" si="92"/>
        <v>2.3038278352897703E-5</v>
      </c>
      <c r="AC251" s="36">
        <v>630.93597815374346</v>
      </c>
      <c r="AD251" s="36">
        <f t="shared" si="93"/>
        <v>2146.6031929841215</v>
      </c>
      <c r="AE251" s="36">
        <f>+gettm2(AD251,AC251,AK251,AL251,テーブル2[[#This Row],[Fcorr]])</f>
        <v>583.93152806853925</v>
      </c>
      <c r="AF251" s="39">
        <f t="shared" si="94"/>
        <v>3.0935973427403951E-7</v>
      </c>
      <c r="AG251" s="36">
        <v>2.3175616080075472E-5</v>
      </c>
      <c r="AH251" s="36">
        <f t="shared" si="95"/>
        <v>45.291504257925055</v>
      </c>
      <c r="AI251" s="36">
        <f t="shared" si="96"/>
        <v>0.26314830675765533</v>
      </c>
      <c r="AJ251" s="36">
        <f t="shared" si="97"/>
        <v>52.229765330041111</v>
      </c>
      <c r="AK251" s="36">
        <f>+S88*テーブル2[[#This Row],[F_form]]/(E88*CpFromTP((テーブル2[[#This Row],[Tin]]+テーブル2[[#This Row],[Tf]])/2,テーブル2[[#This Row],[P]])*AI88)</f>
        <v>2.1058783768308187</v>
      </c>
      <c r="AL251" s="36">
        <f t="shared" si="98"/>
        <v>1.0236047381169835</v>
      </c>
      <c r="AM251" s="36">
        <f t="shared" si="99"/>
        <v>598.16775839053355</v>
      </c>
      <c r="AN251" s="36">
        <f t="shared" si="100"/>
        <v>2.1692471818823833E-8</v>
      </c>
      <c r="AO251" s="36">
        <f t="shared" si="101"/>
        <v>1.3733772717776903E-7</v>
      </c>
      <c r="AP251" s="36">
        <v>3.787234444303202</v>
      </c>
      <c r="AQ251" s="36">
        <f t="shared" si="102"/>
        <v>5.968598967560857E-5</v>
      </c>
      <c r="AR251" s="36">
        <f t="shared" si="103"/>
        <v>1.165647690362662E-5</v>
      </c>
      <c r="AS251" s="36">
        <f t="shared" si="104"/>
        <v>26.269638362488788</v>
      </c>
      <c r="AT251" s="36">
        <f t="shared" si="105"/>
        <v>13.292069187120585</v>
      </c>
      <c r="AU251" s="36">
        <f t="shared" si="106"/>
        <v>3.497785499896386</v>
      </c>
      <c r="AV251" s="36">
        <f t="shared" si="107"/>
        <v>0.28944894440681601</v>
      </c>
      <c r="AW251" s="36">
        <f t="shared" si="108"/>
        <v>1.245343388975895E-2</v>
      </c>
      <c r="AX251" s="36">
        <f t="shared" si="109"/>
        <v>0.28944893946892514</v>
      </c>
      <c r="AY251" s="36">
        <f t="shared" si="110"/>
        <v>4.9378908739683425E-9</v>
      </c>
      <c r="AZ251" s="36">
        <f t="shared" si="111"/>
        <v>1189751.8930438627</v>
      </c>
      <c r="BA251" s="36">
        <f t="shared" si="112"/>
        <v>1.5759782118951963E-5</v>
      </c>
      <c r="BB251" s="38">
        <f t="shared" si="113"/>
        <v>6781279.3735196497</v>
      </c>
      <c r="BC251" s="40">
        <f t="shared" si="114"/>
        <v>-5366.3250277135521</v>
      </c>
      <c r="BD251" s="41">
        <f t="shared" si="115"/>
        <v>-7.9071831153086108E-2</v>
      </c>
      <c r="BE251" s="38">
        <v>5110435.8000000007</v>
      </c>
      <c r="BF251" s="42">
        <f>テーブル2[[#This Row],[q_P]]/テーブル2[[#This Row],[q_M]]</f>
        <v>1.32694737570515</v>
      </c>
      <c r="BG251" s="36">
        <v>1</v>
      </c>
      <c r="BH251" s="36">
        <v>-4.5999999999999999E-2</v>
      </c>
      <c r="BI251" s="36">
        <v>4.5999999999999999E-2</v>
      </c>
      <c r="BJ251" s="36">
        <v>5625</v>
      </c>
      <c r="BK251" s="22">
        <v>1</v>
      </c>
      <c r="BL251" s="36">
        <f>テーブル2[[#This Row],[Ts]]-テーブル2[[#This Row],[Tin]]</f>
        <v>140.63177484421504</v>
      </c>
      <c r="BM251" s="36">
        <f>テーブル2[[#This Row],[q_P]]*0.000001</f>
        <v>6.7812793735196495</v>
      </c>
      <c r="BN251" s="36">
        <f>テーブル2[[#This Row],[Tsub]]</f>
        <v>140.63177484421504</v>
      </c>
      <c r="BO251" s="36">
        <f>テーブル2[[#This Row],[Fcorr]]</f>
        <v>1</v>
      </c>
      <c r="BP251" s="36">
        <f>(テーブル2[[#This Row],[Tsub]]-40)^2</f>
        <v>10126.754108296793</v>
      </c>
      <c r="BQ251" s="36">
        <v>1</v>
      </c>
      <c r="BR251" s="36">
        <v>0.15240000000000001</v>
      </c>
    </row>
    <row r="252" spans="1:70" x14ac:dyDescent="0.15">
      <c r="A252" s="35" t="s">
        <v>177</v>
      </c>
      <c r="B252" s="36">
        <v>12065825.263044</v>
      </c>
      <c r="C252" s="22">
        <f>TsatFromP(テーブル2[[#This Row],[P]])</f>
        <v>598.16775841222602</v>
      </c>
      <c r="D252" s="36">
        <f>RhoGFromP(テーブル2[[#This Row],[P]])</f>
        <v>70.719127092768275</v>
      </c>
      <c r="E252" s="36">
        <f>RhoFFromP(テーブル2[[#This Row],[P]])</f>
        <v>654.05698086007123</v>
      </c>
      <c r="F252" s="36">
        <f>HgFromP(テーブル2[[#This Row],[P]])</f>
        <v>2683685.0883769183</v>
      </c>
      <c r="G252" s="36">
        <f>HfFromP(テーブル2[[#This Row],[P]])</f>
        <v>1493933.1953330557</v>
      </c>
      <c r="H252" s="36">
        <f>MuGFromP(テーブル2[[#This Row],[P]])</f>
        <v>2.1145404359091978E-5</v>
      </c>
      <c r="I252" s="36">
        <f>MuFFromP(テーブル2[[#This Row],[P]])</f>
        <v>7.6371158483289308E-5</v>
      </c>
      <c r="J252" s="36">
        <f>KfFromP(テーブル2[[#This Row],[P]])</f>
        <v>0.51093471001104362</v>
      </c>
      <c r="K252" s="36">
        <f>CpFFromP(テーブル2[[#This Row],[P]])</f>
        <v>6848.0719740576842</v>
      </c>
      <c r="L252" s="36">
        <f>SigmaFromP(テーブル2[[#This Row],[P]])</f>
        <v>8.6953190176294083E-3</v>
      </c>
      <c r="M252" s="36">
        <v>6.01</v>
      </c>
      <c r="N252" s="36">
        <v>2509.0255000000002</v>
      </c>
      <c r="O252" s="37">
        <f t="shared" si="116"/>
        <v>2.8502295699234246E-6</v>
      </c>
      <c r="P252" s="37">
        <f t="shared" si="117"/>
        <v>5.9847340050885557E-3</v>
      </c>
      <c r="Q252" s="37">
        <v>1.905E-3</v>
      </c>
      <c r="R252" s="36">
        <v>0.15240000000000001</v>
      </c>
      <c r="S252" s="38">
        <v>6755640.983581543</v>
      </c>
      <c r="T252" s="36">
        <v>458.12079612380069</v>
      </c>
      <c r="U252" s="12">
        <f>+T252+BG252*S252*テーブル2[[#This Row],[Pw]]*R252/(N252*O252*K252)</f>
        <v>583.93890368505413</v>
      </c>
      <c r="V252" s="36">
        <v>0.03</v>
      </c>
      <c r="W252" s="37">
        <f t="shared" si="88"/>
        <v>62585.060544103704</v>
      </c>
      <c r="X252" s="36">
        <v>3.7645421746502698E-2</v>
      </c>
      <c r="Y252" s="36">
        <f t="shared" si="89"/>
        <v>5.1539940935923259</v>
      </c>
      <c r="Z252" s="36">
        <f t="shared" si="90"/>
        <v>5.1539940987154411</v>
      </c>
      <c r="AA252" s="36">
        <f t="shared" si="91"/>
        <v>-5.1231152653485879E-9</v>
      </c>
      <c r="AB252" s="36">
        <f t="shared" si="92"/>
        <v>2.3038278352897703E-5</v>
      </c>
      <c r="AC252" s="36">
        <v>630.91830871392017</v>
      </c>
      <c r="AD252" s="36">
        <f t="shared" si="93"/>
        <v>2146.6031929841215</v>
      </c>
      <c r="AE252" s="36">
        <f>+gettm2(AD252,AC252,AK252,AL252,テーブル2[[#This Row],[Fcorr]])</f>
        <v>583.93890399423708</v>
      </c>
      <c r="AF252" s="39">
        <f t="shared" si="94"/>
        <v>3.091829512413824E-7</v>
      </c>
      <c r="AG252" s="36">
        <v>2.3174693105694361E-5</v>
      </c>
      <c r="AH252" s="36">
        <f t="shared" si="95"/>
        <v>45.291504257925055</v>
      </c>
      <c r="AI252" s="36">
        <f t="shared" si="96"/>
        <v>0.26314830675765533</v>
      </c>
      <c r="AJ252" s="36">
        <f t="shared" si="97"/>
        <v>52.227685267307749</v>
      </c>
      <c r="AK252" s="36">
        <f>+S88*テーブル2[[#This Row],[F_form]]/(E88*CpFromTP((テーブル2[[#This Row],[Tin]]+テーブル2[[#This Row],[Tf]])/2,テーブル2[[#This Row],[P]])*AI88)</f>
        <v>2.1047563023549953</v>
      </c>
      <c r="AL252" s="36">
        <f t="shared" si="98"/>
        <v>1.0236047381169835</v>
      </c>
      <c r="AM252" s="36">
        <f t="shared" si="99"/>
        <v>598.16775839057345</v>
      </c>
      <c r="AN252" s="36">
        <f t="shared" si="100"/>
        <v>2.1652567738783546E-8</v>
      </c>
      <c r="AO252" s="36">
        <f t="shared" si="101"/>
        <v>1.3641475279665844E-7</v>
      </c>
      <c r="AP252" s="36">
        <v>3.7871376556264535</v>
      </c>
      <c r="AQ252" s="36">
        <f t="shared" si="102"/>
        <v>5.9689040529476331E-5</v>
      </c>
      <c r="AR252" s="36">
        <f t="shared" si="103"/>
        <v>1.165555392924551E-5</v>
      </c>
      <c r="AS252" s="36">
        <f t="shared" si="104"/>
        <v>26.267558299755418</v>
      </c>
      <c r="AT252" s="36">
        <f t="shared" si="105"/>
        <v>13.291673265208757</v>
      </c>
      <c r="AU252" s="36">
        <f t="shared" si="106"/>
        <v>3.4976813137156801</v>
      </c>
      <c r="AV252" s="36">
        <f t="shared" si="107"/>
        <v>0.28945634191077341</v>
      </c>
      <c r="AW252" s="36">
        <f t="shared" si="108"/>
        <v>1.245343388975895E-2</v>
      </c>
      <c r="AX252" s="36">
        <f t="shared" si="109"/>
        <v>0.28945633697659051</v>
      </c>
      <c r="AY252" s="36">
        <f t="shared" si="110"/>
        <v>4.9341828955995481E-9</v>
      </c>
      <c r="AZ252" s="36">
        <f t="shared" si="111"/>
        <v>1189751.8930438627</v>
      </c>
      <c r="BA252" s="36">
        <f t="shared" si="112"/>
        <v>1.5760990478071968E-5</v>
      </c>
      <c r="BB252" s="38">
        <f t="shared" si="113"/>
        <v>6735189.5626483373</v>
      </c>
      <c r="BC252" s="40">
        <f t="shared" si="114"/>
        <v>-20451.420933205634</v>
      </c>
      <c r="BD252" s="41">
        <f t="shared" si="115"/>
        <v>-0.30273102112603967</v>
      </c>
      <c r="BE252" s="38">
        <v>5110435.8000000007</v>
      </c>
      <c r="BF252" s="42">
        <f>テーブル2[[#This Row],[q_P]]/テーブル2[[#This Row],[q_M]]</f>
        <v>1.3179286123990319</v>
      </c>
      <c r="BG252" s="36">
        <v>1</v>
      </c>
      <c r="BH252" s="36">
        <v>-4.2999999999999997E-2</v>
      </c>
      <c r="BI252" s="36">
        <v>4.5999999999999999E-2</v>
      </c>
      <c r="BJ252" s="36">
        <v>5625</v>
      </c>
      <c r="BK252" s="22">
        <v>1</v>
      </c>
      <c r="BL252" s="36">
        <f>テーブル2[[#This Row],[Ts]]-テーブル2[[#This Row],[Tin]]</f>
        <v>140.04696228842533</v>
      </c>
      <c r="BM252" s="36">
        <f>テーブル2[[#This Row],[q_P]]*0.000001</f>
        <v>6.7351895626483369</v>
      </c>
      <c r="BN252" s="36">
        <f>テーブル2[[#This Row],[Tsub]]</f>
        <v>140.04696228842533</v>
      </c>
      <c r="BO252" s="36">
        <f>テーブル2[[#This Row],[Fcorr]]</f>
        <v>1</v>
      </c>
      <c r="BP252" s="36">
        <f>(テーブル2[[#This Row],[Tsub]]-40)^2</f>
        <v>10009.3946631416</v>
      </c>
      <c r="BQ252" s="36">
        <v>1</v>
      </c>
      <c r="BR252" s="36">
        <v>0.15240000000000001</v>
      </c>
    </row>
    <row r="253" spans="1:70" x14ac:dyDescent="0.15">
      <c r="A253" s="35" t="s">
        <v>178</v>
      </c>
      <c r="B253" s="36">
        <v>12065825.263044</v>
      </c>
      <c r="C253" s="22">
        <f>TsatFromP(テーブル2[[#This Row],[P]])</f>
        <v>598.16775841222602</v>
      </c>
      <c r="D253" s="36">
        <f>RhoGFromP(テーブル2[[#This Row],[P]])</f>
        <v>70.719127092768275</v>
      </c>
      <c r="E253" s="36">
        <f>RhoFFromP(テーブル2[[#This Row],[P]])</f>
        <v>654.05698086007123</v>
      </c>
      <c r="F253" s="36">
        <f>HgFromP(テーブル2[[#This Row],[P]])</f>
        <v>2683685.0883769183</v>
      </c>
      <c r="G253" s="36">
        <f>HfFromP(テーブル2[[#This Row],[P]])</f>
        <v>1493933.1953330557</v>
      </c>
      <c r="H253" s="36">
        <f>MuGFromP(テーブル2[[#This Row],[P]])</f>
        <v>2.1145404359091978E-5</v>
      </c>
      <c r="I253" s="36">
        <f>MuFFromP(テーブル2[[#This Row],[P]])</f>
        <v>7.6371158483289308E-5</v>
      </c>
      <c r="J253" s="36">
        <f>KfFromP(テーブル2[[#This Row],[P]])</f>
        <v>0.51093471001104362</v>
      </c>
      <c r="K253" s="36">
        <f>CpFFromP(テーブル2[[#This Row],[P]])</f>
        <v>6848.0719740576842</v>
      </c>
      <c r="L253" s="36">
        <f>SigmaFromP(テーブル2[[#This Row],[P]])</f>
        <v>8.6953190176294083E-3</v>
      </c>
      <c r="M253" s="36">
        <v>7.01</v>
      </c>
      <c r="N253" s="36">
        <v>2563.2746999999999</v>
      </c>
      <c r="O253" s="37">
        <f t="shared" si="116"/>
        <v>2.8502295699234246E-6</v>
      </c>
      <c r="P253" s="37">
        <f t="shared" si="117"/>
        <v>5.9847340050885557E-3</v>
      </c>
      <c r="Q253" s="37">
        <v>1.905E-3</v>
      </c>
      <c r="R253" s="36">
        <v>0.15240000000000001</v>
      </c>
      <c r="S253" s="38">
        <v>5840502.5482177734</v>
      </c>
      <c r="T253" s="36">
        <v>477.56256686263958</v>
      </c>
      <c r="U253" s="12">
        <f>+T253+BG253*S253*テーブル2[[#This Row],[Pw]]*R253/(N253*O253*K253)</f>
        <v>584.03488970583169</v>
      </c>
      <c r="V253" s="36">
        <v>0.03</v>
      </c>
      <c r="W253" s="37">
        <f t="shared" si="88"/>
        <v>63938.25104235459</v>
      </c>
      <c r="X253" s="36">
        <v>3.7254331873257288E-2</v>
      </c>
      <c r="Y253" s="36">
        <f t="shared" si="89"/>
        <v>5.1809763574752026</v>
      </c>
      <c r="Z253" s="36">
        <f t="shared" si="90"/>
        <v>5.1809764022060287</v>
      </c>
      <c r="AA253" s="36">
        <f t="shared" si="91"/>
        <v>-4.4730826154193437E-8</v>
      </c>
      <c r="AB253" s="36">
        <f t="shared" si="92"/>
        <v>2.2305155617085628E-5</v>
      </c>
      <c r="AC253" s="36">
        <v>630.21522896699867</v>
      </c>
      <c r="AD253" s="36">
        <f t="shared" si="93"/>
        <v>2181.5951169138857</v>
      </c>
      <c r="AE253" s="36">
        <f>+gettm2(AD253,AC253,AK253,AL253,テーブル2[[#This Row],[Fcorr]])</f>
        <v>584.03488970583169</v>
      </c>
      <c r="AF253" s="39">
        <f t="shared" si="94"/>
        <v>0</v>
      </c>
      <c r="AG253" s="36">
        <v>2.2421314965077031E-5</v>
      </c>
      <c r="AH253" s="36">
        <f t="shared" si="95"/>
        <v>46.780139086600265</v>
      </c>
      <c r="AI253" s="36">
        <f t="shared" si="96"/>
        <v>0.26743790511584531</v>
      </c>
      <c r="AJ253" s="36">
        <f t="shared" si="97"/>
        <v>51.353523614278508</v>
      </c>
      <c r="AK253" s="36">
        <f>+S88*テーブル2[[#This Row],[F_form]]/(E88*CpFromTP((テーブル2[[#This Row],[Tin]]+テーブル2[[#This Row],[Tf]])/2,テーブル2[[#This Row],[P]])*AI88)</f>
        <v>2.065172526689298</v>
      </c>
      <c r="AL253" s="36">
        <f t="shared" si="98"/>
        <v>1.0236047381169835</v>
      </c>
      <c r="AM253" s="36">
        <f t="shared" si="99"/>
        <v>598.16775838563797</v>
      </c>
      <c r="AN253" s="36">
        <f t="shared" si="100"/>
        <v>2.6588054424792062E-8</v>
      </c>
      <c r="AO253" s="36">
        <f t="shared" si="101"/>
        <v>1.1615934799140279E-7</v>
      </c>
      <c r="AP253" s="36">
        <v>3.822631577771479</v>
      </c>
      <c r="AQ253" s="36">
        <f t="shared" si="102"/>
        <v>5.8585736533647205E-5</v>
      </c>
      <c r="AR253" s="36">
        <f t="shared" si="103"/>
        <v>1.1268737156534217E-5</v>
      </c>
      <c r="AS253" s="36">
        <f t="shared" si="104"/>
        <v>25.809786828851561</v>
      </c>
      <c r="AT253" s="36">
        <f t="shared" si="105"/>
        <v>13.203768772250294</v>
      </c>
      <c r="AU253" s="36">
        <f t="shared" si="106"/>
        <v>3.5311882600846354</v>
      </c>
      <c r="AV253" s="36">
        <f t="shared" si="107"/>
        <v>0.29144331768684362</v>
      </c>
      <c r="AW253" s="36">
        <f t="shared" si="108"/>
        <v>1.205714145055563E-2</v>
      </c>
      <c r="AX253" s="36">
        <f t="shared" si="109"/>
        <v>0.29144331080632002</v>
      </c>
      <c r="AY253" s="36">
        <f t="shared" si="110"/>
        <v>6.8805235953206534E-9</v>
      </c>
      <c r="AZ253" s="36">
        <f t="shared" si="111"/>
        <v>1189751.8930438627</v>
      </c>
      <c r="BA253" s="36">
        <f t="shared" si="112"/>
        <v>1.5326022228854596E-5</v>
      </c>
      <c r="BB253" s="38">
        <f t="shared" si="113"/>
        <v>5897890.4882478761</v>
      </c>
      <c r="BC253" s="40">
        <f t="shared" si="114"/>
        <v>57387.940030102618</v>
      </c>
      <c r="BD253" s="41">
        <f t="shared" si="115"/>
        <v>0.98258565177091683</v>
      </c>
      <c r="BE253" s="38">
        <v>4605701.3999999994</v>
      </c>
      <c r="BF253" s="42">
        <f>テーブル2[[#This Row],[q_P]]/テーブル2[[#This Row],[q_M]]</f>
        <v>1.2805629319017244</v>
      </c>
      <c r="BG253" s="36">
        <v>1</v>
      </c>
      <c r="BH253" s="36">
        <v>-3.5999999999999997E-2</v>
      </c>
      <c r="BI253" s="36">
        <v>4.5999999999999999E-2</v>
      </c>
      <c r="BJ253" s="36">
        <v>5625</v>
      </c>
      <c r="BK253" s="22">
        <v>1</v>
      </c>
      <c r="BL253" s="36">
        <f>テーブル2[[#This Row],[Ts]]-テーブル2[[#This Row],[Tin]]</f>
        <v>120.60519154958644</v>
      </c>
      <c r="BM253" s="36">
        <f>テーブル2[[#This Row],[q_P]]*0.000001</f>
        <v>5.8978904882478762</v>
      </c>
      <c r="BN253" s="36">
        <f>テーブル2[[#This Row],[Tsub]]</f>
        <v>120.60519154958644</v>
      </c>
      <c r="BO253" s="36">
        <f>テーブル2[[#This Row],[Fcorr]]</f>
        <v>1</v>
      </c>
      <c r="BP253" s="36">
        <f>(テーブル2[[#This Row],[Tsub]]-40)^2</f>
        <v>6497.1969047455204</v>
      </c>
      <c r="BQ253" s="36">
        <v>1</v>
      </c>
      <c r="BR253" s="36">
        <v>0.15240000000000001</v>
      </c>
    </row>
    <row r="254" spans="1:70" x14ac:dyDescent="0.15">
      <c r="A254" s="35" t="s">
        <v>179</v>
      </c>
      <c r="B254" s="36">
        <v>12065825.263044</v>
      </c>
      <c r="C254" s="22">
        <f>TsatFromP(テーブル2[[#This Row],[P]])</f>
        <v>598.16775841222602</v>
      </c>
      <c r="D254" s="36">
        <f>RhoGFromP(テーブル2[[#This Row],[P]])</f>
        <v>70.719127092768275</v>
      </c>
      <c r="E254" s="36">
        <f>RhoFFromP(テーブル2[[#This Row],[P]])</f>
        <v>654.05698086007123</v>
      </c>
      <c r="F254" s="36">
        <f>HgFromP(テーブル2[[#This Row],[P]])</f>
        <v>2683685.0883769183</v>
      </c>
      <c r="G254" s="36">
        <f>HfFromP(テーブル2[[#This Row],[P]])</f>
        <v>1493933.1953330557</v>
      </c>
      <c r="H254" s="36">
        <f>MuGFromP(テーブル2[[#This Row],[P]])</f>
        <v>2.1145404359091978E-5</v>
      </c>
      <c r="I254" s="36">
        <f>MuFFromP(テーブル2[[#This Row],[P]])</f>
        <v>7.6371158483289308E-5</v>
      </c>
      <c r="J254" s="36">
        <f>KfFromP(テーブル2[[#This Row],[P]])</f>
        <v>0.51093471001104362</v>
      </c>
      <c r="K254" s="36">
        <f>CpFFromP(テーブル2[[#This Row],[P]])</f>
        <v>6848.0719740576842</v>
      </c>
      <c r="L254" s="36">
        <f>SigmaFromP(テーブル2[[#This Row],[P]])</f>
        <v>8.6953190176294083E-3</v>
      </c>
      <c r="M254" s="36">
        <v>8.01</v>
      </c>
      <c r="N254" s="36">
        <v>2576.837</v>
      </c>
      <c r="O254" s="37">
        <f t="shared" si="116"/>
        <v>2.8502295699234246E-6</v>
      </c>
      <c r="P254" s="37">
        <f t="shared" si="117"/>
        <v>5.9847340050885557E-3</v>
      </c>
      <c r="Q254" s="37">
        <v>1.905E-3</v>
      </c>
      <c r="R254" s="36">
        <v>0.15240000000000001</v>
      </c>
      <c r="S254" s="38">
        <v>5146278.3813476563</v>
      </c>
      <c r="T254" s="36">
        <v>490.87515158353318</v>
      </c>
      <c r="U254" s="12">
        <f>+T254+BG254*S254*テーブル2[[#This Row],[Pw]]*R254/(N254*O254*K254)</f>
        <v>584.19800076531794</v>
      </c>
      <c r="V254" s="36">
        <v>0.03</v>
      </c>
      <c r="W254" s="37">
        <f t="shared" si="88"/>
        <v>64276.548666917311</v>
      </c>
      <c r="X254" s="36">
        <v>3.7158741648868156E-2</v>
      </c>
      <c r="Y254" s="36">
        <f t="shared" si="89"/>
        <v>5.1876360635584522</v>
      </c>
      <c r="Z254" s="36">
        <f t="shared" si="90"/>
        <v>5.1876360946298323</v>
      </c>
      <c r="AA254" s="36">
        <f t="shared" si="91"/>
        <v>-3.1071380135472282E-8</v>
      </c>
      <c r="AB254" s="36">
        <f t="shared" si="92"/>
        <v>2.2127759599589537E-5</v>
      </c>
      <c r="AC254" s="36">
        <v>629.72112195806528</v>
      </c>
      <c r="AD254" s="36">
        <f t="shared" si="93"/>
        <v>2190.3224742826187</v>
      </c>
      <c r="AE254" s="36">
        <f>+gettm2(AD254,AC254,AK254,AL254,テーブル2[[#This Row],[Fcorr]])</f>
        <v>584.19800076531783</v>
      </c>
      <c r="AF254" s="39">
        <f t="shared" si="94"/>
        <v>0</v>
      </c>
      <c r="AG254" s="36">
        <v>2.2227906405733153E-5</v>
      </c>
      <c r="AH254" s="36">
        <f t="shared" si="95"/>
        <v>47.155170744664289</v>
      </c>
      <c r="AI254" s="36">
        <f t="shared" si="96"/>
        <v>0.26850777649289215</v>
      </c>
      <c r="AJ254" s="36">
        <f t="shared" si="97"/>
        <v>51.114207828585727</v>
      </c>
      <c r="AK254" s="36">
        <f>+S88*テーブル2[[#This Row],[F_form]]/(E88*CpFromTP((テーブル2[[#This Row],[Tin]]+テーブル2[[#This Row],[Tf]])/2,テーブル2[[#This Row],[P]])*AI88)</f>
        <v>2.0348630270721748</v>
      </c>
      <c r="AL254" s="36">
        <f t="shared" si="98"/>
        <v>1.0236047381169835</v>
      </c>
      <c r="AM254" s="36">
        <f t="shared" si="99"/>
        <v>598.16775839595277</v>
      </c>
      <c r="AN254" s="36">
        <f t="shared" si="100"/>
        <v>1.627324763830984E-8</v>
      </c>
      <c r="AO254" s="36">
        <f t="shared" si="101"/>
        <v>1.0014680614361599E-7</v>
      </c>
      <c r="AP254" s="36">
        <v>3.830174264417864</v>
      </c>
      <c r="AQ254" s="36">
        <f t="shared" si="102"/>
        <v>5.8355220261686798E-5</v>
      </c>
      <c r="AR254" s="36">
        <f t="shared" si="103"/>
        <v>1.1164026605938385E-5</v>
      </c>
      <c r="AS254" s="36">
        <f t="shared" si="104"/>
        <v>25.672250266116478</v>
      </c>
      <c r="AT254" s="36">
        <f t="shared" si="105"/>
        <v>13.177053261811349</v>
      </c>
      <c r="AU254" s="36">
        <f t="shared" si="106"/>
        <v>3.5381412720573771</v>
      </c>
      <c r="AV254" s="36">
        <f t="shared" si="107"/>
        <v>0.29203299236048696</v>
      </c>
      <c r="AW254" s="36">
        <f t="shared" si="108"/>
        <v>1.196124932084203E-2</v>
      </c>
      <c r="AX254" s="36">
        <f t="shared" si="109"/>
        <v>0.29203298499970376</v>
      </c>
      <c r="AY254" s="36">
        <f t="shared" si="110"/>
        <v>7.3607832051791888E-9</v>
      </c>
      <c r="AZ254" s="36">
        <f t="shared" si="111"/>
        <v>1189751.8930438627</v>
      </c>
      <c r="BA254" s="36">
        <f t="shared" si="112"/>
        <v>1.5235656717712301E-5</v>
      </c>
      <c r="BB254" s="38">
        <f t="shared" si="113"/>
        <v>5115026.8110073991</v>
      </c>
      <c r="BC254" s="40">
        <f t="shared" si="114"/>
        <v>-31251.570340257138</v>
      </c>
      <c r="BD254" s="41">
        <f t="shared" si="115"/>
        <v>-0.60726544552129902</v>
      </c>
      <c r="BE254" s="38">
        <v>3974783.4</v>
      </c>
      <c r="BF254" s="42">
        <f>テーブル2[[#This Row],[q_P]]/テーブル2[[#This Row],[q_M]]</f>
        <v>1.2868693199753725</v>
      </c>
      <c r="BG254" s="36">
        <v>1</v>
      </c>
      <c r="BH254" s="36">
        <v>-5.3999999999999999E-2</v>
      </c>
      <c r="BI254" s="36">
        <v>4.5999999999999999E-2</v>
      </c>
      <c r="BJ254" s="36">
        <v>5625</v>
      </c>
      <c r="BK254" s="22">
        <v>1</v>
      </c>
      <c r="BL254" s="36">
        <f>テーブル2[[#This Row],[Ts]]-テーブル2[[#This Row],[Tin]]</f>
        <v>107.29260682869284</v>
      </c>
      <c r="BM254" s="36">
        <f>テーブル2[[#This Row],[q_P]]*0.000001</f>
        <v>5.1150268110073993</v>
      </c>
      <c r="BN254" s="36">
        <f>テーブル2[[#This Row],[Tsub]]</f>
        <v>107.29260682869284</v>
      </c>
      <c r="BO254" s="36">
        <f>テーブル2[[#This Row],[Fcorr]]</f>
        <v>1</v>
      </c>
      <c r="BP254" s="36">
        <f>(テーブル2[[#This Row],[Tsub]]-40)^2</f>
        <v>4528.2949338010385</v>
      </c>
      <c r="BQ254" s="36">
        <v>1</v>
      </c>
      <c r="BR254" s="36">
        <v>0.15240000000000001</v>
      </c>
    </row>
    <row r="255" spans="1:70" x14ac:dyDescent="0.15">
      <c r="A255" s="35" t="s">
        <v>180</v>
      </c>
      <c r="B255" s="36">
        <v>12065825.263044</v>
      </c>
      <c r="C255" s="22">
        <f>TsatFromP(テーブル2[[#This Row],[P]])</f>
        <v>598.16775841222602</v>
      </c>
      <c r="D255" s="36">
        <f>RhoGFromP(テーブル2[[#This Row],[P]])</f>
        <v>70.719127092768275</v>
      </c>
      <c r="E255" s="36">
        <f>RhoFFromP(テーブル2[[#This Row],[P]])</f>
        <v>654.05698086007123</v>
      </c>
      <c r="F255" s="36">
        <f>HgFromP(テーブル2[[#This Row],[P]])</f>
        <v>2683685.0883769183</v>
      </c>
      <c r="G255" s="36">
        <f>HfFromP(テーブル2[[#This Row],[P]])</f>
        <v>1493933.1953330557</v>
      </c>
      <c r="H255" s="36">
        <f>MuGFromP(テーブル2[[#This Row],[P]])</f>
        <v>2.1145404359091978E-5</v>
      </c>
      <c r="I255" s="36">
        <f>MuFFromP(テーブル2[[#This Row],[P]])</f>
        <v>7.6371158483289308E-5</v>
      </c>
      <c r="J255" s="36">
        <f>KfFromP(テーブル2[[#This Row],[P]])</f>
        <v>0.51093471001104362</v>
      </c>
      <c r="K255" s="36">
        <f>CpFFromP(テーブル2[[#This Row],[P]])</f>
        <v>6848.0719740576842</v>
      </c>
      <c r="L255" s="36">
        <f>SigmaFromP(テーブル2[[#This Row],[P]])</f>
        <v>8.6953190176294083E-3</v>
      </c>
      <c r="M255" s="36">
        <v>9.01</v>
      </c>
      <c r="N255" s="36">
        <v>2590.3993</v>
      </c>
      <c r="O255" s="37">
        <f t="shared" si="116"/>
        <v>2.8502295699234246E-6</v>
      </c>
      <c r="P255" s="37">
        <f t="shared" si="117"/>
        <v>5.9847340050885557E-3</v>
      </c>
      <c r="Q255" s="37">
        <v>1.905E-3</v>
      </c>
      <c r="R255" s="36">
        <v>0.15240000000000001</v>
      </c>
      <c r="S255" s="38">
        <v>5897654.7241210938</v>
      </c>
      <c r="T255" s="36">
        <v>477.56256686263958</v>
      </c>
      <c r="U255" s="12">
        <f>+T255+BG255*S255*テーブル2[[#This Row],[Pw]]*R255/(N255*O255*K255)</f>
        <v>583.95097028391626</v>
      </c>
      <c r="V255" s="36">
        <v>0.03</v>
      </c>
      <c r="W255" s="37">
        <f t="shared" si="88"/>
        <v>64614.846291480033</v>
      </c>
      <c r="X255" s="36">
        <v>3.7063999223878874E-2</v>
      </c>
      <c r="Y255" s="36">
        <f t="shared" si="89"/>
        <v>5.1942621096867674</v>
      </c>
      <c r="Z255" s="36">
        <f t="shared" si="90"/>
        <v>5.1942621298536391</v>
      </c>
      <c r="AA255" s="36">
        <f t="shared" si="91"/>
        <v>-2.016687172812226E-8</v>
      </c>
      <c r="AB255" s="36">
        <f t="shared" si="92"/>
        <v>2.1952633776739496E-5</v>
      </c>
      <c r="AC255" s="36">
        <v>630.17693629555652</v>
      </c>
      <c r="AD255" s="36">
        <f t="shared" si="93"/>
        <v>2199.0417028063307</v>
      </c>
      <c r="AE255" s="36">
        <f>+gettm2(AD255,AC255,AK255,AL255,テーブル2[[#This Row],[Fcorr]])</f>
        <v>583.95097058568558</v>
      </c>
      <c r="AF255" s="39">
        <f t="shared" si="94"/>
        <v>3.0176931886671809E-7</v>
      </c>
      <c r="AG255" s="36">
        <v>2.2067156584361414E-5</v>
      </c>
      <c r="AH255" s="36">
        <f t="shared" si="95"/>
        <v>47.531348298678047</v>
      </c>
      <c r="AI255" s="36">
        <f t="shared" si="96"/>
        <v>0.26957665136913711</v>
      </c>
      <c r="AJ255" s="36">
        <f t="shared" si="97"/>
        <v>50.946559151042585</v>
      </c>
      <c r="AK255" s="36">
        <f>+S88*テーブル2[[#This Row],[F_form]]/(E88*CpFromTP((テーブル2[[#This Row],[Tin]]+テーブル2[[#This Row],[Tf]])/2,テーブル2[[#This Row],[P]])*AI88)</f>
        <v>2.0653522445403478</v>
      </c>
      <c r="AL255" s="36">
        <f t="shared" si="98"/>
        <v>1.0236047381169835</v>
      </c>
      <c r="AM255" s="36">
        <f t="shared" si="99"/>
        <v>598.16775840204548</v>
      </c>
      <c r="AN255" s="36">
        <f t="shared" si="100"/>
        <v>1.0180542631132994E-8</v>
      </c>
      <c r="AO255" s="36">
        <f t="shared" si="101"/>
        <v>1.145228076219176E-7</v>
      </c>
      <c r="AP255" s="36">
        <v>3.8410787737755117</v>
      </c>
      <c r="AQ255" s="36">
        <f t="shared" si="102"/>
        <v>5.8024359151468242E-5</v>
      </c>
      <c r="AR255" s="36">
        <f t="shared" si="103"/>
        <v>1.1090839695991666E-5</v>
      </c>
      <c r="AS255" s="36">
        <f t="shared" si="104"/>
        <v>25.605479276247312</v>
      </c>
      <c r="AT255" s="36">
        <f t="shared" si="105"/>
        <v>13.164031814059349</v>
      </c>
      <c r="AU255" s="36">
        <f t="shared" si="106"/>
        <v>3.5487156149509067</v>
      </c>
      <c r="AV255" s="36">
        <f t="shared" si="107"/>
        <v>0.29236315882460495</v>
      </c>
      <c r="AW255" s="36">
        <f t="shared" si="108"/>
        <v>1.1866584353961885E-2</v>
      </c>
      <c r="AX255" s="36">
        <f t="shared" si="109"/>
        <v>0.29236315081216241</v>
      </c>
      <c r="AY255" s="36">
        <f t="shared" si="110"/>
        <v>8.0124425427818835E-9</v>
      </c>
      <c r="AZ255" s="36">
        <f t="shared" si="111"/>
        <v>1189751.8930438627</v>
      </c>
      <c r="BA255" s="36">
        <f t="shared" si="112"/>
        <v>1.5106266382148252E-5</v>
      </c>
      <c r="BB255" s="38">
        <f t="shared" si="113"/>
        <v>5899386.3318671575</v>
      </c>
      <c r="BC255" s="40">
        <f t="shared" si="114"/>
        <v>1731.6077460637316</v>
      </c>
      <c r="BD255" s="41">
        <f t="shared" si="115"/>
        <v>2.936095493996195E-2</v>
      </c>
      <c r="BE255" s="38">
        <v>4542609.5999999996</v>
      </c>
      <c r="BF255" s="42">
        <f>テーブル2[[#This Row],[q_P]]/テーブル2[[#This Row],[q_M]]</f>
        <v>1.2986778198741</v>
      </c>
      <c r="BG255" s="36">
        <v>1</v>
      </c>
      <c r="BH255" s="36">
        <v>-4.7E-2</v>
      </c>
      <c r="BI255" s="36">
        <v>4.5999999999999999E-2</v>
      </c>
      <c r="BJ255" s="36">
        <v>5625</v>
      </c>
      <c r="BK255" s="22">
        <v>1</v>
      </c>
      <c r="BL255" s="36">
        <f>テーブル2[[#This Row],[Ts]]-テーブル2[[#This Row],[Tin]]</f>
        <v>120.60519154958644</v>
      </c>
      <c r="BM255" s="36">
        <f>テーブル2[[#This Row],[q_P]]*0.000001</f>
        <v>5.8993863318671576</v>
      </c>
      <c r="BN255" s="36">
        <f>テーブル2[[#This Row],[Tsub]]</f>
        <v>120.60519154958644</v>
      </c>
      <c r="BO255" s="36">
        <f>テーブル2[[#This Row],[Fcorr]]</f>
        <v>1</v>
      </c>
      <c r="BP255" s="36">
        <f>(テーブル2[[#This Row],[Tsub]]-40)^2</f>
        <v>6497.1969047455204</v>
      </c>
      <c r="BQ255" s="36">
        <v>1</v>
      </c>
      <c r="BR255" s="36">
        <v>0.15240000000000001</v>
      </c>
    </row>
    <row r="256" spans="1:70" x14ac:dyDescent="0.15">
      <c r="A256" s="35" t="s">
        <v>294</v>
      </c>
      <c r="B256" s="36">
        <v>13789514.586336</v>
      </c>
      <c r="C256" s="22">
        <f>TsatFromP(テーブル2[[#This Row],[P]])</f>
        <v>608.62107399852357</v>
      </c>
      <c r="D256" s="36">
        <f>RhoGFromP(テーブル2[[#This Row],[P]])</f>
        <v>85.147847035840741</v>
      </c>
      <c r="E256" s="36">
        <f>RhoFFromP(テーブル2[[#This Row],[P]])</f>
        <v>624.86636713482415</v>
      </c>
      <c r="F256" s="36">
        <f>HgFromP(テーブル2[[#This Row],[P]])</f>
        <v>2643264.5206450778</v>
      </c>
      <c r="G256" s="36">
        <f>HfFromP(テーブル2[[#This Row],[P]])</f>
        <v>1562686.7596125705</v>
      </c>
      <c r="H256" s="36">
        <f>MuGFromP(テーブル2[[#This Row],[P]])</f>
        <v>2.2019591234371903E-5</v>
      </c>
      <c r="I256" s="36">
        <f>MuFFromP(テーブル2[[#This Row],[P]])</f>
        <v>7.222326555143516E-5</v>
      </c>
      <c r="J256" s="36">
        <f>KfFromP(テーブル2[[#This Row],[P]])</f>
        <v>0.49112131073334553</v>
      </c>
      <c r="K256" s="36">
        <f>CpFFromP(テーブル2[[#This Row],[P]])</f>
        <v>7679.7488518783057</v>
      </c>
      <c r="L256" s="36">
        <f>SigmaFromP(テーブル2[[#This Row],[P]])</f>
        <v>6.5036449518301549E-3</v>
      </c>
      <c r="M256" s="36">
        <v>1.01</v>
      </c>
      <c r="N256" s="36">
        <v>2197.0925999999999</v>
      </c>
      <c r="O256" s="37">
        <f t="shared" si="116"/>
        <v>2.8502295699234246E-6</v>
      </c>
      <c r="P256" s="37">
        <f t="shared" si="117"/>
        <v>5.9847340050885557E-3</v>
      </c>
      <c r="Q256" s="37">
        <v>1.905E-3</v>
      </c>
      <c r="R256" s="36">
        <v>0.15240000000000001</v>
      </c>
      <c r="S256" s="38">
        <v>3925836.5631103516</v>
      </c>
      <c r="T256" s="36">
        <v>520.90449113602949</v>
      </c>
      <c r="U256" s="12">
        <f>+T256+BG256*S256*テーブル2[[#This Row],[Pw]]*R256/(N256*O256*K256)</f>
        <v>595.35828195411432</v>
      </c>
      <c r="V256" s="36">
        <v>0.03</v>
      </c>
      <c r="W256" s="37">
        <f t="shared" si="88"/>
        <v>57951.705327132353</v>
      </c>
      <c r="X256" s="36">
        <v>3.7092466124767492E-2</v>
      </c>
      <c r="Y256" s="36">
        <f t="shared" si="89"/>
        <v>5.1922685387415513</v>
      </c>
      <c r="Z256" s="36">
        <f t="shared" si="90"/>
        <v>5.192268561932325</v>
      </c>
      <c r="AA256" s="36">
        <f t="shared" si="91"/>
        <v>-2.3190773745795923E-8</v>
      </c>
      <c r="AB256" s="36">
        <f t="shared" si="92"/>
        <v>2.1788773061261309E-5</v>
      </c>
      <c r="AC256" s="36">
        <v>639.66768151334384</v>
      </c>
      <c r="AD256" s="36">
        <f t="shared" si="93"/>
        <v>1973.0318025919987</v>
      </c>
      <c r="AE256" s="36">
        <f>+gettm2(AD256,AC256,AK256,AL256,テーブル2[[#This Row],[Fcorr]])</f>
        <v>595.35828235079111</v>
      </c>
      <c r="AF256" s="39">
        <f t="shared" si="94"/>
        <v>3.9667679629928898E-7</v>
      </c>
      <c r="AG256" s="36">
        <v>2.1878944495437833E-5</v>
      </c>
      <c r="AH256" s="36">
        <f t="shared" si="95"/>
        <v>35.818326806440226</v>
      </c>
      <c r="AI256" s="36">
        <f t="shared" si="96"/>
        <v>0.23941925353913793</v>
      </c>
      <c r="AJ256" s="36">
        <f t="shared" si="97"/>
        <v>45.320580888865088</v>
      </c>
      <c r="AK256" s="36">
        <f>+S88*テーブル2[[#This Row],[F_form]]/(E88*CpFromTP((テーブル2[[#This Row],[Tin]]+テーブル2[[#This Row],[Tf]])/2,テーブル2[[#This Row],[P]])*AI88)</f>
        <v>1.9225149885784591</v>
      </c>
      <c r="AL256" s="36">
        <f t="shared" si="98"/>
        <v>1.1293676909872215</v>
      </c>
      <c r="AM256" s="36">
        <f t="shared" si="99"/>
        <v>608.62107397339901</v>
      </c>
      <c r="AN256" s="36">
        <f t="shared" si="100"/>
        <v>2.5124563762801699E-8</v>
      </c>
      <c r="AO256" s="36">
        <f t="shared" si="101"/>
        <v>9.0171434176524134E-8</v>
      </c>
      <c r="AP256" s="36">
        <v>3.2673034750617349</v>
      </c>
      <c r="AQ256" s="36">
        <f t="shared" si="102"/>
        <v>5.1081538049841464E-5</v>
      </c>
      <c r="AR256" s="36">
        <f t="shared" si="103"/>
        <v>1.0984557964807179E-5</v>
      </c>
      <c r="AS256" s="36">
        <f t="shared" si="104"/>
        <v>22.753682101816068</v>
      </c>
      <c r="AT256" s="36">
        <f t="shared" si="105"/>
        <v>12.573634914649185</v>
      </c>
      <c r="AU256" s="36">
        <f t="shared" si="106"/>
        <v>3.0103702855389503</v>
      </c>
      <c r="AV256" s="36">
        <f t="shared" si="107"/>
        <v>0.25693318952278466</v>
      </c>
      <c r="AW256" s="36">
        <f t="shared" si="108"/>
        <v>1.3099653332653212E-2</v>
      </c>
      <c r="AX256" s="36">
        <f t="shared" si="109"/>
        <v>0.25693318615953364</v>
      </c>
      <c r="AY256" s="36">
        <f t="shared" si="110"/>
        <v>3.363251011023749E-9</v>
      </c>
      <c r="AZ256" s="36">
        <f t="shared" si="111"/>
        <v>1080577.7610325073</v>
      </c>
      <c r="BA256" s="36">
        <f t="shared" si="112"/>
        <v>1.5634157781709057E-5</v>
      </c>
      <c r="BB256" s="38">
        <f t="shared" si="113"/>
        <v>3894374.0407326389</v>
      </c>
      <c r="BC256" s="40">
        <f t="shared" si="114"/>
        <v>-31462.522377712652</v>
      </c>
      <c r="BD256" s="41">
        <f t="shared" si="115"/>
        <v>-0.80142211403690244</v>
      </c>
      <c r="BE256" s="38">
        <v>3217681.8</v>
      </c>
      <c r="BF256" s="42">
        <f>テーブル2[[#This Row],[q_P]]/テーブル2[[#This Row],[q_M]]</f>
        <v>1.2103042758089502</v>
      </c>
      <c r="BG256" s="36">
        <v>1</v>
      </c>
      <c r="BH256" s="36">
        <v>-1.7000000000000001E-2</v>
      </c>
      <c r="BI256" s="36">
        <v>4.5999999999999999E-2</v>
      </c>
      <c r="BJ256" s="36">
        <v>5625</v>
      </c>
      <c r="BK256" s="22">
        <v>1</v>
      </c>
      <c r="BL256" s="36">
        <f>テーブル2[[#This Row],[Ts]]-テーブル2[[#This Row],[Tin]]</f>
        <v>87.716582862494079</v>
      </c>
      <c r="BM256" s="36">
        <f>テーブル2[[#This Row],[q_P]]*0.000001</f>
        <v>3.8943740407326386</v>
      </c>
      <c r="BN256" s="36">
        <f>テーブル2[[#This Row],[Tsub]]</f>
        <v>87.716582862494079</v>
      </c>
      <c r="BO256" s="36">
        <f>テーブル2[[#This Row],[Fcorr]]</f>
        <v>1</v>
      </c>
      <c r="BP256" s="36">
        <f>(テーブル2[[#This Row],[Tsub]]-40)^2</f>
        <v>2276.8722800732635</v>
      </c>
      <c r="BQ256" s="36">
        <v>1</v>
      </c>
      <c r="BR256" s="36">
        <v>0.15240000000000001</v>
      </c>
    </row>
    <row r="257" spans="1:70" x14ac:dyDescent="0.15">
      <c r="A257" s="35" t="s">
        <v>71</v>
      </c>
      <c r="B257" s="36">
        <v>13789514.586336</v>
      </c>
      <c r="C257" s="22">
        <f>TsatFromP(テーブル2[[#This Row],[P]])</f>
        <v>608.62107399852357</v>
      </c>
      <c r="D257" s="36">
        <f>RhoGFromP(テーブル2[[#This Row],[P]])</f>
        <v>85.147847035840741</v>
      </c>
      <c r="E257" s="36">
        <f>RhoFFromP(テーブル2[[#This Row],[P]])</f>
        <v>624.86636713482415</v>
      </c>
      <c r="F257" s="36">
        <f>HgFromP(テーブル2[[#This Row],[P]])</f>
        <v>2643264.5206450778</v>
      </c>
      <c r="G257" s="36">
        <f>HfFromP(テーブル2[[#This Row],[P]])</f>
        <v>1562686.7596125705</v>
      </c>
      <c r="H257" s="36">
        <f>MuGFromP(テーブル2[[#This Row],[P]])</f>
        <v>2.2019591234371903E-5</v>
      </c>
      <c r="I257" s="36">
        <f>MuFFromP(テーブル2[[#This Row],[P]])</f>
        <v>7.222326555143516E-5</v>
      </c>
      <c r="J257" s="36">
        <f>KfFromP(テーブル2[[#This Row],[P]])</f>
        <v>0.49112131073334553</v>
      </c>
      <c r="K257" s="36">
        <f>CpFFromP(テーブル2[[#This Row],[P]])</f>
        <v>7679.7488518783057</v>
      </c>
      <c r="L257" s="36">
        <f>SigmaFromP(テーブル2[[#This Row],[P]])</f>
        <v>6.5036449518301549E-3</v>
      </c>
      <c r="M257" s="36">
        <v>10.01</v>
      </c>
      <c r="N257" s="36">
        <v>2454.7763</v>
      </c>
      <c r="O257" s="37">
        <f t="shared" si="116"/>
        <v>2.8502295699234246E-6</v>
      </c>
      <c r="P257" s="37">
        <f t="shared" si="117"/>
        <v>5.9847340050885557E-3</v>
      </c>
      <c r="Q257" s="37">
        <v>1.905E-3</v>
      </c>
      <c r="R257" s="36">
        <v>0.15240000000000001</v>
      </c>
      <c r="S257" s="38">
        <v>5559190.3686523438</v>
      </c>
      <c r="T257" s="36">
        <v>499.70890843379323</v>
      </c>
      <c r="U257" s="12">
        <f>+T257+BG257*S257*テーブル2[[#This Row],[Pw]]*R257/(N257*O257*K257)</f>
        <v>594.07209217374134</v>
      </c>
      <c r="V257" s="36">
        <v>0.03</v>
      </c>
      <c r="W257" s="37">
        <f t="shared" si="88"/>
        <v>64748.510272907144</v>
      </c>
      <c r="X257" s="36">
        <v>3.5173668100947575E-2</v>
      </c>
      <c r="Y257" s="36">
        <f t="shared" si="89"/>
        <v>5.3320126288559564</v>
      </c>
      <c r="Z257" s="36">
        <f t="shared" si="90"/>
        <v>5.3320126782933341</v>
      </c>
      <c r="AA257" s="36">
        <f t="shared" si="91"/>
        <v>-4.9437377747096889E-8</v>
      </c>
      <c r="AB257" s="36">
        <f t="shared" si="92"/>
        <v>1.8406605414479738E-5</v>
      </c>
      <c r="AC257" s="36">
        <v>640.3149698051111</v>
      </c>
      <c r="AD257" s="36">
        <f t="shared" si="93"/>
        <v>2146.661770731916</v>
      </c>
      <c r="AE257" s="36">
        <f>+gettm2(AD257,AC257,AK257,AL257,テーブル2[[#This Row],[Fcorr]])</f>
        <v>594.07209217374134</v>
      </c>
      <c r="AF257" s="39">
        <f t="shared" si="94"/>
        <v>0</v>
      </c>
      <c r="AG257" s="36">
        <v>1.8517767253604829E-5</v>
      </c>
      <c r="AH257" s="36">
        <f t="shared" si="95"/>
        <v>42.399854652486866</v>
      </c>
      <c r="AI257" s="36">
        <f t="shared" si="96"/>
        <v>0.26048853245774017</v>
      </c>
      <c r="AJ257" s="36">
        <f t="shared" si="97"/>
        <v>41.733735477821348</v>
      </c>
      <c r="AK257" s="36">
        <f>+S88*テーブル2[[#This Row],[F_form]]/(E88*CpFromTP((テーブル2[[#This Row],[Tin]]+テーブル2[[#This Row],[Tf]])/2,テーブル2[[#This Row],[P]])*AI88)</f>
        <v>1.9879722450054724</v>
      </c>
      <c r="AL257" s="36">
        <f t="shared" si="98"/>
        <v>1.1293676909872215</v>
      </c>
      <c r="AM257" s="36">
        <f t="shared" si="99"/>
        <v>608.62107396696854</v>
      </c>
      <c r="AN257" s="36">
        <f t="shared" si="100"/>
        <v>3.1555032364849467E-8</v>
      </c>
      <c r="AO257" s="36">
        <f t="shared" si="101"/>
        <v>1.1116183912509157E-7</v>
      </c>
      <c r="AP257" s="36">
        <v>3.4361455366442799</v>
      </c>
      <c r="AQ257" s="36">
        <f t="shared" si="102"/>
        <v>4.6184879489788645E-5</v>
      </c>
      <c r="AR257" s="36">
        <f t="shared" si="103"/>
        <v>9.3144645463649605E-6</v>
      </c>
      <c r="AS257" s="36">
        <f t="shared" si="104"/>
        <v>20.992131187946942</v>
      </c>
      <c r="AT257" s="36">
        <f t="shared" si="105"/>
        <v>12.170738310839885</v>
      </c>
      <c r="AU257" s="36">
        <f t="shared" si="106"/>
        <v>3.1703377615178772</v>
      </c>
      <c r="AV257" s="36">
        <f t="shared" si="107"/>
        <v>0.26580777512640275</v>
      </c>
      <c r="AW257" s="36">
        <f t="shared" si="108"/>
        <v>1.106625642860609E-2</v>
      </c>
      <c r="AX257" s="36">
        <f t="shared" si="109"/>
        <v>0.26580776503964471</v>
      </c>
      <c r="AY257" s="36">
        <f t="shared" si="110"/>
        <v>1.0086758039928867E-8</v>
      </c>
      <c r="AZ257" s="36">
        <f t="shared" si="111"/>
        <v>1080577.7610325073</v>
      </c>
      <c r="BA257" s="36">
        <f t="shared" si="112"/>
        <v>1.3440897365160073E-5</v>
      </c>
      <c r="BB257" s="38">
        <f t="shared" si="113"/>
        <v>5584324.3300260352</v>
      </c>
      <c r="BC257" s="40">
        <f t="shared" si="114"/>
        <v>25133.961373691447</v>
      </c>
      <c r="BD257" s="41">
        <f t="shared" si="115"/>
        <v>0.45211550076462681</v>
      </c>
      <c r="BE257" s="38">
        <v>4037875.2</v>
      </c>
      <c r="BF257" s="42">
        <f>テーブル2[[#This Row],[q_P]]/テーブル2[[#This Row],[q_M]]</f>
        <v>1.3829858659391046</v>
      </c>
      <c r="BG257" s="36">
        <v>1</v>
      </c>
      <c r="BH257" s="36">
        <v>-5.5E-2</v>
      </c>
      <c r="BI257" s="36">
        <v>4.5999999999999999E-2</v>
      </c>
      <c r="BJ257" s="36">
        <v>5625</v>
      </c>
      <c r="BK257" s="22">
        <v>1</v>
      </c>
      <c r="BL257" s="36">
        <f>テーブル2[[#This Row],[Ts]]-テーブル2[[#This Row],[Tin]]</f>
        <v>108.91216556473034</v>
      </c>
      <c r="BM257" s="36">
        <f>テーブル2[[#This Row],[q_P]]*0.000001</f>
        <v>5.5843243300260346</v>
      </c>
      <c r="BN257" s="36">
        <f>テーブル2[[#This Row],[Tsub]]</f>
        <v>108.91216556473034</v>
      </c>
      <c r="BO257" s="36">
        <f>テーブル2[[#This Row],[Fcorr]]</f>
        <v>1</v>
      </c>
      <c r="BP257" s="36">
        <f>(テーブル2[[#This Row],[Tsub]]-40)^2</f>
        <v>4748.8865628208068</v>
      </c>
      <c r="BQ257" s="36">
        <v>1</v>
      </c>
      <c r="BR257" s="36">
        <v>0.15240000000000001</v>
      </c>
    </row>
    <row r="258" spans="1:70" x14ac:dyDescent="0.15">
      <c r="A258" s="35" t="s">
        <v>72</v>
      </c>
      <c r="B258" s="36">
        <v>13789514.586336</v>
      </c>
      <c r="C258" s="22">
        <f>TsatFromP(テーブル2[[#This Row],[P]])</f>
        <v>608.62107399852357</v>
      </c>
      <c r="D258" s="36">
        <f>RhoGFromP(テーブル2[[#This Row],[P]])</f>
        <v>85.147847035840741</v>
      </c>
      <c r="E258" s="36">
        <f>RhoFFromP(テーブル2[[#This Row],[P]])</f>
        <v>624.86636713482415</v>
      </c>
      <c r="F258" s="36">
        <f>HgFromP(テーブル2[[#This Row],[P]])</f>
        <v>2643264.5206450778</v>
      </c>
      <c r="G258" s="36">
        <f>HfFromP(テーブル2[[#This Row],[P]])</f>
        <v>1562686.7596125705</v>
      </c>
      <c r="H258" s="36">
        <f>MuGFromP(テーブル2[[#This Row],[P]])</f>
        <v>2.2019591234371903E-5</v>
      </c>
      <c r="I258" s="36">
        <f>MuFFromP(テーブル2[[#This Row],[P]])</f>
        <v>7.222326555143516E-5</v>
      </c>
      <c r="J258" s="36">
        <f>KfFromP(テーブル2[[#This Row],[P]])</f>
        <v>0.49112131073334553</v>
      </c>
      <c r="K258" s="36">
        <f>CpFFromP(テーブル2[[#This Row],[P]])</f>
        <v>7679.7488518783057</v>
      </c>
      <c r="L258" s="36">
        <f>SigmaFromP(テーブル2[[#This Row],[P]])</f>
        <v>6.5036449518301549E-3</v>
      </c>
      <c r="M258" s="36">
        <v>11.01</v>
      </c>
      <c r="N258" s="36">
        <v>3037.9551999999999</v>
      </c>
      <c r="O258" s="37">
        <f t="shared" si="116"/>
        <v>2.8502295699234246E-6</v>
      </c>
      <c r="P258" s="37">
        <f t="shared" si="117"/>
        <v>5.9847340050885557E-3</v>
      </c>
      <c r="Q258" s="37">
        <v>1.905E-3</v>
      </c>
      <c r="R258" s="36">
        <v>0.15240000000000001</v>
      </c>
      <c r="S258" s="38">
        <v>7035341.6442871094</v>
      </c>
      <c r="T258" s="36">
        <v>495.82823677585083</v>
      </c>
      <c r="U258" s="12">
        <f>+T258+BG258*S258*テーブル2[[#This Row],[Pw]]*R258/(N258*O258*K258)</f>
        <v>592.32367607916456</v>
      </c>
      <c r="V258" s="36">
        <v>0.03</v>
      </c>
      <c r="W258" s="37">
        <f t="shared" ref="W258:W321" si="118">+N258*Q258/I258</f>
        <v>80130.753044923753</v>
      </c>
      <c r="X258" s="36">
        <v>3.1867059934246482E-2</v>
      </c>
      <c r="Y258" s="36">
        <f t="shared" ref="Y258:Y321" si="119">IF(X258&gt;0,1/X258^0.5,1)</f>
        <v>5.6018180862956966</v>
      </c>
      <c r="Z258" s="36">
        <f t="shared" ref="Z258:Z321" si="120">IF(X258&gt;0,1.14-2*LOG((0.72*L258*E258)/(X258*Q258*N258^2)+9.35/(W258*X258^0.5)),0)</f>
        <v>5.601818112128262</v>
      </c>
      <c r="AA258" s="36">
        <f t="shared" ref="AA258:AA321" si="121">+Y258-Z258</f>
        <v>-2.5832565420103037E-8</v>
      </c>
      <c r="AB258" s="36">
        <f t="shared" ref="AB258:AB321" si="122">32/X258*L258*V258*E258/N258^2</f>
        <v>1.3265098510850445E-5</v>
      </c>
      <c r="AC258" s="36">
        <v>639.73972754595843</v>
      </c>
      <c r="AD258" s="36">
        <f t="shared" ref="AD258:AD321" si="123">+Q258/2*AI258/I258*E258</f>
        <v>2528.6879182254161</v>
      </c>
      <c r="AE258" s="36">
        <f>+gettm2(AD258,AC258,AK258,AL258,テーブル2[[#This Row],[Fcorr]])</f>
        <v>592.32367647656179</v>
      </c>
      <c r="AF258" s="39">
        <f t="shared" ref="AF258:AF321" si="124">+AE258-U258</f>
        <v>3.9739722978993086E-7</v>
      </c>
      <c r="AG258" s="36">
        <v>1.3370567122441076E-5</v>
      </c>
      <c r="AH258" s="36">
        <f t="shared" ref="AH258:AH321" si="125">+X258*N258^2/(8*E258)</f>
        <v>58.833893587842162</v>
      </c>
      <c r="AI258" s="36">
        <f t="shared" ref="AI258:AI321" si="126">+(AH258/E258)^0.5</f>
        <v>0.30684582631644441</v>
      </c>
      <c r="AJ258" s="36">
        <f t="shared" ref="AJ258:AJ321" si="127">+AG258*AI258/I258*E258</f>
        <v>35.49605411269156</v>
      </c>
      <c r="AK258" s="36">
        <f>+S88*テーブル2[[#This Row],[F_form]]/(E88*CpFromTP((テーブル2[[#This Row],[Tin]]+テーブル2[[#This Row],[Tf]])/2,テーブル2[[#This Row],[P]])*AI88)</f>
        <v>2.002731519840776</v>
      </c>
      <c r="AL258" s="36">
        <f t="shared" ref="AL258:AL321" si="128">+K258*I258/J258</f>
        <v>1.1293676909872215</v>
      </c>
      <c r="AM258" s="36">
        <f t="shared" ref="AM258:AM321" si="129">+gettyp(AC258,AJ258,AK258,AL258)</f>
        <v>608.62107399522688</v>
      </c>
      <c r="AN258" s="36">
        <f t="shared" ref="AN258:AN321" si="130">+C258-AM258</f>
        <v>3.2966909202514216E-9</v>
      </c>
      <c r="AO258" s="36">
        <f t="shared" ref="AO258:AO321" si="131">+AG258-AB258</f>
        <v>1.0546861159063083E-7</v>
      </c>
      <c r="AP258" s="36">
        <v>3.7741118260902242</v>
      </c>
      <c r="AQ258" s="36">
        <f t="shared" ref="AQ258:AQ321" si="132">2*PI()*L258*(D258+E258)/(D258*E258*AP258^2)</f>
        <v>3.8283654349555835E-5</v>
      </c>
      <c r="AR258" s="36">
        <f t="shared" ref="AR258:AR321" si="133">+AO258+AB258/2</f>
        <v>6.7380178670158533E-6</v>
      </c>
      <c r="AS258" s="36">
        <f t="shared" ref="AS258:AS321" si="134">+AR258*AI258/I258*E258</f>
        <v>17.888025588566901</v>
      </c>
      <c r="AT258" s="36">
        <f t="shared" ref="AT258:AT321" si="135">+getublp(AS258)</f>
        <v>11.370657637297645</v>
      </c>
      <c r="AU258" s="36">
        <f t="shared" ref="AU258:AU321" si="136">+AT258*AI258</f>
        <v>3.4890388384779856</v>
      </c>
      <c r="AV258" s="36">
        <f t="shared" ref="AV258:AV321" si="137">+AP258-AU258</f>
        <v>0.28507298761223865</v>
      </c>
      <c r="AW258" s="36">
        <f t="shared" ref="AW258:AW321" si="138">2/3*AB258/(L258/(9.8*(E258-D258)))^0.5</f>
        <v>7.9751251448196992E-3</v>
      </c>
      <c r="AX258" s="36">
        <f t="shared" ref="AX258:AX321" si="139">+(2*AQ258*9.8*(E258-D258)/(E258*AW258))^0.5</f>
        <v>0.28507298359149902</v>
      </c>
      <c r="AY258" s="36">
        <f t="shared" ref="AY258:AY321" si="140">+AV258-AX258</f>
        <v>4.0207396301283893E-9</v>
      </c>
      <c r="AZ258" s="36">
        <f t="shared" ref="AZ258:AZ321" si="141">+F258-G258</f>
        <v>1080577.7610325073</v>
      </c>
      <c r="BA258" s="36">
        <f t="shared" ref="BA258:BA321" si="142">+AQ258/AP258</f>
        <v>1.0143751990840089E-5</v>
      </c>
      <c r="BB258" s="38">
        <f t="shared" ref="BB258:BB321" si="143">+E258*AO258*AZ258/BA258</f>
        <v>7020495.7623283528</v>
      </c>
      <c r="BC258" s="40">
        <f t="shared" ref="BC258:BC321" si="144">BB258-S258</f>
        <v>-14845.881958756596</v>
      </c>
      <c r="BD258" s="41">
        <f t="shared" ref="BD258:BD321" si="145">+(BB258-S258)/S258*100</f>
        <v>-0.21101863575895935</v>
      </c>
      <c r="BE258" s="38">
        <v>5394348.8999999994</v>
      </c>
      <c r="BF258" s="42">
        <f>テーブル2[[#This Row],[q_P]]/テーブル2[[#This Row],[q_M]]</f>
        <v>1.3014537792185361</v>
      </c>
      <c r="BG258" s="36">
        <v>1</v>
      </c>
      <c r="BH258" s="36">
        <v>-3.3000000000000002E-2</v>
      </c>
      <c r="BI258" s="36">
        <v>4.5999999999999999E-2</v>
      </c>
      <c r="BJ258" s="36">
        <v>5625</v>
      </c>
      <c r="BK258" s="22">
        <v>1</v>
      </c>
      <c r="BL258" s="36">
        <f>テーブル2[[#This Row],[Ts]]-テーブル2[[#This Row],[Tin]]</f>
        <v>112.79283722267274</v>
      </c>
      <c r="BM258" s="36">
        <f>テーブル2[[#This Row],[q_P]]*0.000001</f>
        <v>7.0204957623283528</v>
      </c>
      <c r="BN258" s="36">
        <f>テーブル2[[#This Row],[Tsub]]</f>
        <v>112.79283722267274</v>
      </c>
      <c r="BO258" s="36">
        <f>テーブル2[[#This Row],[Fcorr]]</f>
        <v>1</v>
      </c>
      <c r="BP258" s="36">
        <f>(テーブル2[[#This Row],[Tsub]]-40)^2</f>
        <v>5298.7971509265308</v>
      </c>
      <c r="BQ258" s="36">
        <v>1</v>
      </c>
      <c r="BR258" s="36">
        <v>0.15240000000000001</v>
      </c>
    </row>
    <row r="259" spans="1:70" x14ac:dyDescent="0.15">
      <c r="A259" s="35" t="s">
        <v>295</v>
      </c>
      <c r="B259" s="36">
        <v>13789514.586336</v>
      </c>
      <c r="C259" s="22">
        <f>TsatFromP(テーブル2[[#This Row],[P]])</f>
        <v>608.62107399852357</v>
      </c>
      <c r="D259" s="36">
        <f>RhoGFromP(テーブル2[[#This Row],[P]])</f>
        <v>85.147847035840741</v>
      </c>
      <c r="E259" s="36">
        <f>RhoFFromP(テーブル2[[#This Row],[P]])</f>
        <v>624.86636713482415</v>
      </c>
      <c r="F259" s="36">
        <f>HgFromP(テーブル2[[#This Row],[P]])</f>
        <v>2643264.5206450778</v>
      </c>
      <c r="G259" s="36">
        <f>HfFromP(テーブル2[[#This Row],[P]])</f>
        <v>1562686.7596125705</v>
      </c>
      <c r="H259" s="36">
        <f>MuGFromP(テーブル2[[#This Row],[P]])</f>
        <v>2.2019591234371903E-5</v>
      </c>
      <c r="I259" s="36">
        <f>MuFFromP(テーブル2[[#This Row],[P]])</f>
        <v>7.222326555143516E-5</v>
      </c>
      <c r="J259" s="36">
        <f>KfFromP(テーブル2[[#This Row],[P]])</f>
        <v>0.49112131073334553</v>
      </c>
      <c r="K259" s="36">
        <f>CpFFromP(テーブル2[[#This Row],[P]])</f>
        <v>7679.7488518783057</v>
      </c>
      <c r="L259" s="36">
        <f>SigmaFromP(テーブル2[[#This Row],[P]])</f>
        <v>6.5036449518301549E-3</v>
      </c>
      <c r="M259" s="36">
        <v>119.01</v>
      </c>
      <c r="N259" s="36">
        <v>1301.9808</v>
      </c>
      <c r="O259" s="37">
        <f t="shared" si="116"/>
        <v>1.7530051946857026E-5</v>
      </c>
      <c r="P259" s="37">
        <f t="shared" si="117"/>
        <v>1.4842140332619616E-2</v>
      </c>
      <c r="Q259" s="37">
        <v>4.7243999999999993E-3</v>
      </c>
      <c r="R259" s="36">
        <v>0.30480000000000002</v>
      </c>
      <c r="S259" s="38">
        <v>4532346.4393615723</v>
      </c>
      <c r="T259" s="36">
        <v>478.13068021956133</v>
      </c>
      <c r="U259" s="12">
        <f>+T259+BG259*S259*テーブル2[[#This Row],[Pw]]*R259/(N259*O259*K259)</f>
        <v>595.10749573465341</v>
      </c>
      <c r="V259" s="36">
        <v>0.03</v>
      </c>
      <c r="W259" s="37">
        <f t="shared" si="118"/>
        <v>85167.543236318961</v>
      </c>
      <c r="X259" s="36">
        <v>3.8058114215457739E-2</v>
      </c>
      <c r="Y259" s="36">
        <f t="shared" si="119"/>
        <v>5.1259736271406089</v>
      </c>
      <c r="Z259" s="36">
        <f t="shared" si="120"/>
        <v>5.1259736326839125</v>
      </c>
      <c r="AA259" s="36">
        <f t="shared" si="121"/>
        <v>-5.5433035939245201E-9</v>
      </c>
      <c r="AB259" s="36">
        <f t="shared" si="122"/>
        <v>6.0472619605448485E-5</v>
      </c>
      <c r="AC259" s="36">
        <v>644.15687974369314</v>
      </c>
      <c r="AD259" s="36">
        <f t="shared" si="123"/>
        <v>2937.1272532762328</v>
      </c>
      <c r="AE259" s="36">
        <f>+gettm2(AD259,AC259,AK259,AL259,テーブル2[[#This Row],[Fcorr]])</f>
        <v>595.10749617622218</v>
      </c>
      <c r="AF259" s="39">
        <f t="shared" si="124"/>
        <v>4.4156877265777439E-7</v>
      </c>
      <c r="AG259" s="36">
        <v>6.0767298221517864E-5</v>
      </c>
      <c r="AH259" s="36">
        <f t="shared" si="125"/>
        <v>12.905632322719859</v>
      </c>
      <c r="AI259" s="36">
        <f t="shared" si="126"/>
        <v>0.14371300455803612</v>
      </c>
      <c r="AJ259" s="36">
        <f t="shared" si="127"/>
        <v>75.557229580215264</v>
      </c>
      <c r="AK259" s="36">
        <f>+S88*テーブル2[[#This Row],[F_form]]/(E88*CpFromTP((テーブル2[[#This Row],[Tin]]+テーブル2[[#This Row],[Tf]])/2,テーブル2[[#This Row],[P]])*AI88)</f>
        <v>2.0391495610551043</v>
      </c>
      <c r="AL259" s="36">
        <f t="shared" si="128"/>
        <v>1.1293676909872215</v>
      </c>
      <c r="AM259" s="36">
        <f t="shared" si="129"/>
        <v>608.62107395339137</v>
      </c>
      <c r="AN259" s="36">
        <f t="shared" si="130"/>
        <v>4.5132196646591183E-8</v>
      </c>
      <c r="AO259" s="36">
        <f t="shared" si="131"/>
        <v>2.9467861606937904E-7</v>
      </c>
      <c r="AP259" s="36">
        <v>2.3146800433366885</v>
      </c>
      <c r="AQ259" s="36">
        <f t="shared" si="132"/>
        <v>1.0177965632406816E-4</v>
      </c>
      <c r="AR259" s="36">
        <f t="shared" si="133"/>
        <v>3.0530988418793625E-5</v>
      </c>
      <c r="AS259" s="36">
        <f t="shared" si="134"/>
        <v>37.961814475615867</v>
      </c>
      <c r="AT259" s="36">
        <f t="shared" si="135"/>
        <v>14.591451930682794</v>
      </c>
      <c r="AU259" s="36">
        <f t="shared" si="136"/>
        <v>2.0969813978225815</v>
      </c>
      <c r="AV259" s="36">
        <f t="shared" si="137"/>
        <v>0.217698645514107</v>
      </c>
      <c r="AW259" s="36">
        <f t="shared" si="138"/>
        <v>3.6356813241457758E-2</v>
      </c>
      <c r="AX259" s="36">
        <f t="shared" si="139"/>
        <v>0.21769863531726866</v>
      </c>
      <c r="AY259" s="36">
        <f t="shared" si="140"/>
        <v>1.0196838345910564E-8</v>
      </c>
      <c r="AZ259" s="36">
        <f t="shared" si="141"/>
        <v>1080577.7610325073</v>
      </c>
      <c r="BA259" s="36">
        <f t="shared" si="142"/>
        <v>4.3971371601471704E-5</v>
      </c>
      <c r="BB259" s="38">
        <f t="shared" si="143"/>
        <v>4525033.3441837877</v>
      </c>
      <c r="BC259" s="40">
        <f t="shared" si="144"/>
        <v>-7313.0951777845621</v>
      </c>
      <c r="BD259" s="41">
        <f t="shared" si="145"/>
        <v>-0.16135340216434751</v>
      </c>
      <c r="BE259" s="38">
        <v>3265000.65</v>
      </c>
      <c r="BF259" s="42">
        <f>テーブル2[[#This Row],[q_P]]/テーブル2[[#This Row],[q_M]]</f>
        <v>1.3859211158759763</v>
      </c>
      <c r="BG259" s="36">
        <v>1</v>
      </c>
      <c r="BH259" s="36">
        <v>-3.3000000000000002E-2</v>
      </c>
      <c r="BI259" s="36">
        <v>4.5999999999999999E-2</v>
      </c>
      <c r="BJ259" s="36">
        <v>5625</v>
      </c>
      <c r="BK259" s="22">
        <v>1</v>
      </c>
      <c r="BL259" s="36">
        <f>テーブル2[[#This Row],[Ts]]-テーブル2[[#This Row],[Tin]]</f>
        <v>130.49039377896224</v>
      </c>
      <c r="BM259" s="36">
        <f>テーブル2[[#This Row],[q_P]]*0.000001</f>
        <v>4.5250333441837878</v>
      </c>
      <c r="BN259" s="36">
        <f>テーブル2[[#This Row],[Tsub]]</f>
        <v>130.49039377896224</v>
      </c>
      <c r="BO259" s="36">
        <f>テーブル2[[#This Row],[Fcorr]]</f>
        <v>1</v>
      </c>
      <c r="BP259" s="36">
        <f>(テーブル2[[#This Row],[Tsub]]-40)^2</f>
        <v>8188.5113662716485</v>
      </c>
      <c r="BQ259" s="36">
        <v>1</v>
      </c>
      <c r="BR259" s="36">
        <v>0.30480000000000002</v>
      </c>
    </row>
    <row r="260" spans="1:70" x14ac:dyDescent="0.15">
      <c r="A260" s="35" t="s">
        <v>73</v>
      </c>
      <c r="B260" s="36">
        <v>13789514.586336</v>
      </c>
      <c r="C260" s="22">
        <f>TsatFromP(テーブル2[[#This Row],[P]])</f>
        <v>608.62107399852357</v>
      </c>
      <c r="D260" s="36">
        <f>RhoGFromP(テーブル2[[#This Row],[P]])</f>
        <v>85.147847035840741</v>
      </c>
      <c r="E260" s="36">
        <f>RhoFFromP(テーブル2[[#This Row],[P]])</f>
        <v>624.86636713482415</v>
      </c>
      <c r="F260" s="36">
        <f>HgFromP(テーブル2[[#This Row],[P]])</f>
        <v>2643264.5206450778</v>
      </c>
      <c r="G260" s="36">
        <f>HfFromP(テーブル2[[#This Row],[P]])</f>
        <v>1562686.7596125705</v>
      </c>
      <c r="H260" s="36">
        <f>MuGFromP(テーブル2[[#This Row],[P]])</f>
        <v>2.2019591234371903E-5</v>
      </c>
      <c r="I260" s="36">
        <f>MuFFromP(テーブル2[[#This Row],[P]])</f>
        <v>7.222326555143516E-5</v>
      </c>
      <c r="J260" s="36">
        <f>KfFromP(テーブル2[[#This Row],[P]])</f>
        <v>0.49112131073334553</v>
      </c>
      <c r="K260" s="36">
        <f>CpFFromP(テーブル2[[#This Row],[P]])</f>
        <v>7679.7488518783057</v>
      </c>
      <c r="L260" s="36">
        <f>SigmaFromP(テーブル2[[#This Row],[P]])</f>
        <v>6.5036449518301549E-3</v>
      </c>
      <c r="M260" s="36">
        <v>12.01</v>
      </c>
      <c r="N260" s="36">
        <v>3119.3290000000002</v>
      </c>
      <c r="O260" s="37">
        <f t="shared" si="116"/>
        <v>2.8502295699234246E-6</v>
      </c>
      <c r="P260" s="37">
        <f t="shared" si="117"/>
        <v>5.9847340050885557E-3</v>
      </c>
      <c r="Q260" s="37">
        <v>1.905E-3</v>
      </c>
      <c r="R260" s="36">
        <v>0.15240000000000001</v>
      </c>
      <c r="S260" s="38">
        <v>9899487.3046875</v>
      </c>
      <c r="T260" s="36">
        <v>459.19505297445471</v>
      </c>
      <c r="U260" s="12">
        <f>+T260+BG260*S260*テーブル2[[#This Row],[Pw]]*R260/(N260*O260*K260)</f>
        <v>591.43250751641403</v>
      </c>
      <c r="V260" s="36">
        <v>0.03</v>
      </c>
      <c r="W260" s="37">
        <f t="shared" si="118"/>
        <v>82277.112501484211</v>
      </c>
      <c r="X260" s="36">
        <v>3.148874139532068E-2</v>
      </c>
      <c r="Y260" s="36">
        <f t="shared" si="119"/>
        <v>5.6353688737547811</v>
      </c>
      <c r="Z260" s="36">
        <f t="shared" si="120"/>
        <v>5.6353689067612951</v>
      </c>
      <c r="AA260" s="36">
        <f t="shared" si="121"/>
        <v>-3.3006513966427065E-8</v>
      </c>
      <c r="AB260" s="36">
        <f t="shared" si="122"/>
        <v>1.2733199370198141E-5</v>
      </c>
      <c r="AC260" s="36">
        <v>640.97489282625713</v>
      </c>
      <c r="AD260" s="36">
        <f t="shared" si="123"/>
        <v>2580.9625549624475</v>
      </c>
      <c r="AE260" s="36">
        <f>+gettm2(AD260,AC260,AK260,AL260,テーブル2[[#This Row],[Fcorr]])</f>
        <v>591.43250751641392</v>
      </c>
      <c r="AF260" s="39">
        <f t="shared" si="124"/>
        <v>0</v>
      </c>
      <c r="AG260" s="36">
        <v>1.2877159037809671E-5</v>
      </c>
      <c r="AH260" s="36">
        <f t="shared" si="125"/>
        <v>61.291539661761703</v>
      </c>
      <c r="AI260" s="36">
        <f t="shared" si="126"/>
        <v>0.31318913740254445</v>
      </c>
      <c r="AJ260" s="36">
        <f t="shared" si="127"/>
        <v>34.89287694580895</v>
      </c>
      <c r="AK260" s="36">
        <f>+S88*テーブル2[[#This Row],[F_form]]/(E88*CpFromTP((テーブル2[[#This Row],[Tin]]+テーブル2[[#This Row],[Tf]])/2,テーブル2[[#This Row],[P]])*AI88)</f>
        <v>2.0879818867257063</v>
      </c>
      <c r="AL260" s="36">
        <f t="shared" si="128"/>
        <v>1.1293676909872215</v>
      </c>
      <c r="AM260" s="36">
        <f t="shared" si="129"/>
        <v>608.62107399693707</v>
      </c>
      <c r="AN260" s="36">
        <f t="shared" si="130"/>
        <v>1.5864998204051517E-9</v>
      </c>
      <c r="AO260" s="36">
        <f t="shared" si="131"/>
        <v>1.4395966761152998E-7</v>
      </c>
      <c r="AP260" s="36">
        <v>3.8264218488202912</v>
      </c>
      <c r="AQ260" s="36">
        <f t="shared" si="132"/>
        <v>3.724407728986333E-5</v>
      </c>
      <c r="AR260" s="36">
        <f t="shared" si="133"/>
        <v>6.5105593527106004E-6</v>
      </c>
      <c r="AS260" s="36">
        <f t="shared" si="134"/>
        <v>17.641480211240534</v>
      </c>
      <c r="AT260" s="36">
        <f t="shared" si="135"/>
        <v>11.301264796300289</v>
      </c>
      <c r="AU260" s="36">
        <f t="shared" si="136"/>
        <v>3.5394333731110299</v>
      </c>
      <c r="AV260" s="36">
        <f t="shared" si="137"/>
        <v>0.28698847570926134</v>
      </c>
      <c r="AW260" s="36">
        <f t="shared" si="138"/>
        <v>7.6553414502128041E-3</v>
      </c>
      <c r="AX260" s="36">
        <f t="shared" si="139"/>
        <v>0.28698846918381027</v>
      </c>
      <c r="AY260" s="36">
        <f t="shared" si="140"/>
        <v>6.5254510683843137E-9</v>
      </c>
      <c r="AZ260" s="36">
        <f t="shared" si="141"/>
        <v>1080577.7610325073</v>
      </c>
      <c r="BA260" s="36">
        <f t="shared" si="142"/>
        <v>9.7333955223326725E-6</v>
      </c>
      <c r="BB260" s="38">
        <f t="shared" si="143"/>
        <v>9986645.6126774382</v>
      </c>
      <c r="BC260" s="40">
        <f t="shared" si="144"/>
        <v>87158.307989938185</v>
      </c>
      <c r="BD260" s="41">
        <f t="shared" si="145"/>
        <v>0.88043254471034982</v>
      </c>
      <c r="BE260" s="38">
        <v>6687730.7999999998</v>
      </c>
      <c r="BF260" s="42">
        <f>テーブル2[[#This Row],[q_P]]/テーブル2[[#This Row],[q_M]]</f>
        <v>1.4932786488172398</v>
      </c>
      <c r="BG260" s="36">
        <v>1</v>
      </c>
      <c r="BH260" s="36">
        <v>-7.4999999999999997E-2</v>
      </c>
      <c r="BI260" s="36">
        <v>4.5999999999999999E-2</v>
      </c>
      <c r="BJ260" s="36">
        <v>5625</v>
      </c>
      <c r="BK260" s="22">
        <v>1</v>
      </c>
      <c r="BL260" s="36">
        <f>テーブル2[[#This Row],[Ts]]-テーブル2[[#This Row],[Tin]]</f>
        <v>149.42602102406886</v>
      </c>
      <c r="BM260" s="36">
        <f>テーブル2[[#This Row],[q_P]]*0.000001</f>
        <v>9.986645612677437</v>
      </c>
      <c r="BN260" s="36">
        <f>テーブル2[[#This Row],[Tsub]]</f>
        <v>149.42602102406886</v>
      </c>
      <c r="BO260" s="36">
        <f>テーブル2[[#This Row],[Fcorr]]</f>
        <v>1</v>
      </c>
      <c r="BP260" s="36">
        <f>(テーブル2[[#This Row],[Tsub]]-40)^2</f>
        <v>11974.054077159961</v>
      </c>
      <c r="BQ260" s="36">
        <v>1</v>
      </c>
      <c r="BR260" s="36">
        <v>0.15240000000000001</v>
      </c>
    </row>
    <row r="261" spans="1:70" x14ac:dyDescent="0.15">
      <c r="A261" s="35" t="s">
        <v>296</v>
      </c>
      <c r="B261" s="36">
        <v>13789514.586336</v>
      </c>
      <c r="C261" s="22">
        <f>TsatFromP(テーブル2[[#This Row],[P]])</f>
        <v>608.62107399852357</v>
      </c>
      <c r="D261" s="36">
        <f>RhoGFromP(テーブル2[[#This Row],[P]])</f>
        <v>85.147847035840741</v>
      </c>
      <c r="E261" s="36">
        <f>RhoFFromP(テーブル2[[#This Row],[P]])</f>
        <v>624.86636713482415</v>
      </c>
      <c r="F261" s="36">
        <f>HgFromP(テーブル2[[#This Row],[P]])</f>
        <v>2643264.5206450778</v>
      </c>
      <c r="G261" s="36">
        <f>HfFromP(テーブル2[[#This Row],[P]])</f>
        <v>1562686.7596125705</v>
      </c>
      <c r="H261" s="36">
        <f>MuGFromP(テーブル2[[#This Row],[P]])</f>
        <v>2.2019591234371903E-5</v>
      </c>
      <c r="I261" s="36">
        <f>MuFFromP(テーブル2[[#This Row],[P]])</f>
        <v>7.222326555143516E-5</v>
      </c>
      <c r="J261" s="36">
        <f>KfFromP(テーブル2[[#This Row],[P]])</f>
        <v>0.49112131073334553</v>
      </c>
      <c r="K261" s="36">
        <f>CpFFromP(テーブル2[[#This Row],[P]])</f>
        <v>7679.7488518783057</v>
      </c>
      <c r="L261" s="36">
        <f>SigmaFromP(テーブル2[[#This Row],[P]])</f>
        <v>6.5036449518301549E-3</v>
      </c>
      <c r="M261" s="36">
        <v>121.01</v>
      </c>
      <c r="N261" s="36">
        <v>1413.19166</v>
      </c>
      <c r="O261" s="37">
        <f t="shared" si="116"/>
        <v>1.7530051946857026E-5</v>
      </c>
      <c r="P261" s="37">
        <f t="shared" si="117"/>
        <v>1.4842140332619616E-2</v>
      </c>
      <c r="Q261" s="37">
        <v>4.7243999999999993E-3</v>
      </c>
      <c r="R261" s="36">
        <v>0.30480000000000002</v>
      </c>
      <c r="S261" s="38">
        <v>4778034.9731445313</v>
      </c>
      <c r="T261" s="36">
        <v>480.89677829033621</v>
      </c>
      <c r="U261" s="12">
        <f>+T261+BG261*S261*テーブル2[[#This Row],[Pw]]*R261/(N261*O261*K261)</f>
        <v>594.51017233299569</v>
      </c>
      <c r="V261" s="36">
        <v>0.03</v>
      </c>
      <c r="W261" s="37">
        <f t="shared" si="118"/>
        <v>92442.270887754523</v>
      </c>
      <c r="X261" s="36">
        <v>3.6555031843684964E-2</v>
      </c>
      <c r="Y261" s="36">
        <f t="shared" si="119"/>
        <v>5.2302977941301929</v>
      </c>
      <c r="Z261" s="36">
        <f t="shared" si="120"/>
        <v>5.230297810125907</v>
      </c>
      <c r="AA261" s="36">
        <f t="shared" si="121"/>
        <v>-1.5995714086614043E-8</v>
      </c>
      <c r="AB261" s="36">
        <f t="shared" si="122"/>
        <v>5.3439933481306089E-5</v>
      </c>
      <c r="AC261" s="36">
        <v>643.75483513556821</v>
      </c>
      <c r="AD261" s="36">
        <f t="shared" si="123"/>
        <v>3124.4184932631333</v>
      </c>
      <c r="AE261" s="36">
        <f>+gettm2(AD261,AC261,AK261,AL261,テーブル2[[#This Row],[Fcorr]])</f>
        <v>594.51017277054393</v>
      </c>
      <c r="AF261" s="39">
        <f t="shared" si="124"/>
        <v>4.3754823764174944E-7</v>
      </c>
      <c r="AG261" s="36">
        <v>5.3707300999316989E-5</v>
      </c>
      <c r="AH261" s="36">
        <f t="shared" si="125"/>
        <v>14.604011333446453</v>
      </c>
      <c r="AI261" s="36">
        <f t="shared" si="126"/>
        <v>0.15287712463349212</v>
      </c>
      <c r="AJ261" s="36">
        <f t="shared" si="127"/>
        <v>71.037204498143922</v>
      </c>
      <c r="AK261" s="36">
        <f>+S88*テーブル2[[#This Row],[F_form]]/(E88*CpFromTP((テーブル2[[#This Row],[Tin]]+テーブル2[[#This Row],[Tf]])/2,テーブル2[[#This Row],[P]])*AI88)</f>
        <v>2.0340794434041563</v>
      </c>
      <c r="AL261" s="36">
        <f t="shared" si="128"/>
        <v>1.1293676909872215</v>
      </c>
      <c r="AM261" s="36">
        <f t="shared" si="129"/>
        <v>608.62107392267433</v>
      </c>
      <c r="AN261" s="36">
        <f t="shared" si="130"/>
        <v>7.5849243330594618E-8</v>
      </c>
      <c r="AO261" s="36">
        <f t="shared" si="131"/>
        <v>2.6736751801089993E-7</v>
      </c>
      <c r="AP261" s="36">
        <v>2.4279489475750484</v>
      </c>
      <c r="AQ261" s="36">
        <f t="shared" si="132"/>
        <v>9.2504703062535511E-5</v>
      </c>
      <c r="AR261" s="36">
        <f t="shared" si="133"/>
        <v>2.6987334258663945E-5</v>
      </c>
      <c r="AS261" s="36">
        <f t="shared" si="134"/>
        <v>35.69542216647335</v>
      </c>
      <c r="AT261" s="36">
        <f t="shared" si="135"/>
        <v>14.437556124830861</v>
      </c>
      <c r="AU261" s="36">
        <f t="shared" si="136"/>
        <v>2.2071720670988051</v>
      </c>
      <c r="AV261" s="36">
        <f t="shared" si="137"/>
        <v>0.22077688047624333</v>
      </c>
      <c r="AW261" s="36">
        <f t="shared" si="138"/>
        <v>3.2128683921619272E-2</v>
      </c>
      <c r="AX261" s="36">
        <f t="shared" si="139"/>
        <v>0.22077686386758227</v>
      </c>
      <c r="AY261" s="36">
        <f t="shared" si="140"/>
        <v>1.6608661057571084E-8</v>
      </c>
      <c r="AZ261" s="36">
        <f t="shared" si="141"/>
        <v>1080577.7610325073</v>
      </c>
      <c r="BA261" s="36">
        <f t="shared" si="142"/>
        <v>3.809993746158708E-5</v>
      </c>
      <c r="BB261" s="38">
        <f t="shared" si="143"/>
        <v>4738354.5803796099</v>
      </c>
      <c r="BC261" s="40">
        <f t="shared" si="144"/>
        <v>-39680.3927649213</v>
      </c>
      <c r="BD261" s="41">
        <f t="shared" si="145"/>
        <v>-0.83047514277206613</v>
      </c>
      <c r="BE261" s="38">
        <v>3359638.35</v>
      </c>
      <c r="BF261" s="42">
        <f>テーブル2[[#This Row],[q_P]]/テーブル2[[#This Row],[q_M]]</f>
        <v>1.4103763818446737</v>
      </c>
      <c r="BG261" s="36">
        <v>1</v>
      </c>
      <c r="BH261" s="36">
        <v>-5.2999999999999999E-2</v>
      </c>
      <c r="BI261" s="36">
        <v>4.5999999999999999E-2</v>
      </c>
      <c r="BJ261" s="36">
        <v>5625</v>
      </c>
      <c r="BK261" s="22">
        <v>1</v>
      </c>
      <c r="BL261" s="36">
        <f>テーブル2[[#This Row],[Ts]]-テーブル2[[#This Row],[Tin]]</f>
        <v>127.72429570818736</v>
      </c>
      <c r="BM261" s="36">
        <f>テーブル2[[#This Row],[q_P]]*0.000001</f>
        <v>4.7383545803796094</v>
      </c>
      <c r="BN261" s="36">
        <f>テーブル2[[#This Row],[Tsub]]</f>
        <v>127.72429570818736</v>
      </c>
      <c r="BO261" s="36">
        <f>テーブル2[[#This Row],[Fcorr]]</f>
        <v>1</v>
      </c>
      <c r="BP261" s="36">
        <f>(テーブル2[[#This Row],[Tsub]]-40)^2</f>
        <v>7695.5520574974989</v>
      </c>
      <c r="BQ261" s="36">
        <v>1</v>
      </c>
      <c r="BR261" s="36">
        <v>0.30480000000000002</v>
      </c>
    </row>
    <row r="262" spans="1:70" x14ac:dyDescent="0.15">
      <c r="A262" s="35" t="s">
        <v>297</v>
      </c>
      <c r="B262" s="36">
        <v>13789514.586336</v>
      </c>
      <c r="C262" s="22">
        <f>TsatFromP(テーブル2[[#This Row],[P]])</f>
        <v>608.62107399852357</v>
      </c>
      <c r="D262" s="36">
        <f>RhoGFromP(テーブル2[[#This Row],[P]])</f>
        <v>85.147847035840741</v>
      </c>
      <c r="E262" s="36">
        <f>RhoFFromP(テーブル2[[#This Row],[P]])</f>
        <v>624.86636713482415</v>
      </c>
      <c r="F262" s="36">
        <f>HgFromP(テーブル2[[#This Row],[P]])</f>
        <v>2643264.5206450778</v>
      </c>
      <c r="G262" s="36">
        <f>HfFromP(テーブル2[[#This Row],[P]])</f>
        <v>1562686.7596125705</v>
      </c>
      <c r="H262" s="36">
        <f>MuGFromP(テーブル2[[#This Row],[P]])</f>
        <v>2.2019591234371903E-5</v>
      </c>
      <c r="I262" s="36">
        <f>MuFFromP(テーブル2[[#This Row],[P]])</f>
        <v>7.222326555143516E-5</v>
      </c>
      <c r="J262" s="36">
        <f>KfFromP(テーブル2[[#This Row],[P]])</f>
        <v>0.49112131073334553</v>
      </c>
      <c r="K262" s="36">
        <f>CpFFromP(テーブル2[[#This Row],[P]])</f>
        <v>7679.7488518783057</v>
      </c>
      <c r="L262" s="36">
        <f>SigmaFromP(テーブル2[[#This Row],[P]])</f>
        <v>6.5036449518301549E-3</v>
      </c>
      <c r="M262" s="36">
        <v>126.01</v>
      </c>
      <c r="N262" s="36">
        <v>2075.0319</v>
      </c>
      <c r="O262" s="37">
        <f t="shared" si="116"/>
        <v>1.7530051946857026E-5</v>
      </c>
      <c r="P262" s="37">
        <f t="shared" si="117"/>
        <v>1.4842140332619616E-2</v>
      </c>
      <c r="Q262" s="37">
        <v>4.7243999999999993E-3</v>
      </c>
      <c r="R262" s="36">
        <v>0.30480000000000002</v>
      </c>
      <c r="S262" s="38">
        <v>6761111.0687255859</v>
      </c>
      <c r="T262" s="36">
        <v>481.99051263246707</v>
      </c>
      <c r="U262" s="12">
        <f>+T262+BG262*S262*テーブル2[[#This Row],[Pw]]*R262/(N262*O262*K262)</f>
        <v>591.48054099200112</v>
      </c>
      <c r="V262" s="36">
        <v>0.03</v>
      </c>
      <c r="W262" s="37">
        <f t="shared" si="118"/>
        <v>135735.77203288334</v>
      </c>
      <c r="X262" s="36">
        <v>3.052401435739736E-2</v>
      </c>
      <c r="Y262" s="36">
        <f t="shared" si="119"/>
        <v>5.7237304797915094</v>
      </c>
      <c r="Z262" s="36">
        <f t="shared" si="120"/>
        <v>5.7237305268093248</v>
      </c>
      <c r="AA262" s="36">
        <f t="shared" si="121"/>
        <v>-4.7017815418826103E-8</v>
      </c>
      <c r="AB262" s="36">
        <f t="shared" si="122"/>
        <v>2.9684107970042323E-5</v>
      </c>
      <c r="AC262" s="36">
        <v>642.34469218682909</v>
      </c>
      <c r="AD262" s="36">
        <f t="shared" si="123"/>
        <v>4192.1822311914339</v>
      </c>
      <c r="AE262" s="36">
        <f>+gettm2(AD262,AC262,AK262,AL262,テーブル2[[#This Row],[Fcorr]])</f>
        <v>591.48054099200112</v>
      </c>
      <c r="AF262" s="39">
        <f t="shared" si="124"/>
        <v>0</v>
      </c>
      <c r="AG262" s="36">
        <v>2.9890279554833004E-5</v>
      </c>
      <c r="AH262" s="36">
        <f t="shared" si="125"/>
        <v>26.291421490827631</v>
      </c>
      <c r="AI262" s="36">
        <f t="shared" si="126"/>
        <v>0.20512257459301542</v>
      </c>
      <c r="AJ262" s="36">
        <f t="shared" si="127"/>
        <v>53.046100599066776</v>
      </c>
      <c r="AK262" s="36">
        <f>+S88*テーブル2[[#This Row],[F_form]]/(E88*CpFromTP((テーブル2[[#This Row],[Tin]]+テーブル2[[#This Row],[Tf]])/2,テーブル2[[#This Row],[P]])*AI88)</f>
        <v>2.0386102429520179</v>
      </c>
      <c r="AL262" s="36">
        <f t="shared" si="128"/>
        <v>1.1293676909872215</v>
      </c>
      <c r="AM262" s="36">
        <f t="shared" si="129"/>
        <v>608.62107397500426</v>
      </c>
      <c r="AN262" s="36">
        <f t="shared" si="130"/>
        <v>2.3519305614172481E-8</v>
      </c>
      <c r="AO262" s="36">
        <f t="shared" si="131"/>
        <v>2.0617158479068162E-7</v>
      </c>
      <c r="AP262" s="36">
        <v>2.984394569682419</v>
      </c>
      <c r="AQ262" s="36">
        <f t="shared" si="132"/>
        <v>6.122523100842735E-5</v>
      </c>
      <c r="AR262" s="36">
        <f t="shared" si="133"/>
        <v>1.5048225569811843E-5</v>
      </c>
      <c r="AS262" s="36">
        <f t="shared" si="134"/>
        <v>26.705996039592666</v>
      </c>
      <c r="AT262" s="36">
        <f t="shared" si="135"/>
        <v>13.374440554826119</v>
      </c>
      <c r="AU262" s="36">
        <f t="shared" si="136"/>
        <v>2.7433996803471712</v>
      </c>
      <c r="AV262" s="36">
        <f t="shared" si="137"/>
        <v>0.24099488933524782</v>
      </c>
      <c r="AW262" s="36">
        <f t="shared" si="138"/>
        <v>1.7846416721276955E-2</v>
      </c>
      <c r="AX262" s="36">
        <f t="shared" si="139"/>
        <v>0.24099488365991112</v>
      </c>
      <c r="AY262" s="36">
        <f t="shared" si="140"/>
        <v>5.6753367005946131E-9</v>
      </c>
      <c r="AZ262" s="36">
        <f t="shared" si="141"/>
        <v>1080577.7610325073</v>
      </c>
      <c r="BA262" s="36">
        <f t="shared" si="142"/>
        <v>2.0515126126550541E-5</v>
      </c>
      <c r="BB262" s="38">
        <f t="shared" si="143"/>
        <v>6785749.0246784575</v>
      </c>
      <c r="BC262" s="40">
        <f t="shared" si="144"/>
        <v>24637.955952871591</v>
      </c>
      <c r="BD262" s="41">
        <f t="shared" si="145"/>
        <v>0.36440691037953388</v>
      </c>
      <c r="BE262" s="38">
        <v>4211377.6499999994</v>
      </c>
      <c r="BF262" s="42">
        <f>テーブル2[[#This Row],[q_P]]/テーブル2[[#This Row],[q_M]]</f>
        <v>1.6112896036949949</v>
      </c>
      <c r="BG262" s="36">
        <v>1</v>
      </c>
      <c r="BH262" s="36">
        <v>-0.13200000000000001</v>
      </c>
      <c r="BI262" s="36">
        <v>4.5999999999999999E-2</v>
      </c>
      <c r="BJ262" s="36">
        <v>5625</v>
      </c>
      <c r="BK262" s="22">
        <v>1</v>
      </c>
      <c r="BL262" s="36">
        <f>テーブル2[[#This Row],[Ts]]-テーブル2[[#This Row],[Tin]]</f>
        <v>126.6305613660565</v>
      </c>
      <c r="BM262" s="36">
        <f>テーブル2[[#This Row],[q_P]]*0.000001</f>
        <v>6.7857490246784575</v>
      </c>
      <c r="BN262" s="36">
        <f>テーブル2[[#This Row],[Tsub]]</f>
        <v>126.6305613660565</v>
      </c>
      <c r="BO262" s="36">
        <f>テーブル2[[#This Row],[Fcorr]]</f>
        <v>1</v>
      </c>
      <c r="BP262" s="36">
        <f>(テーブル2[[#This Row],[Tsub]]-40)^2</f>
        <v>7504.8541625980806</v>
      </c>
      <c r="BQ262" s="36">
        <v>1</v>
      </c>
      <c r="BR262" s="36">
        <v>0.30480000000000002</v>
      </c>
    </row>
    <row r="263" spans="1:70" x14ac:dyDescent="0.15">
      <c r="A263" s="35" t="s">
        <v>298</v>
      </c>
      <c r="B263" s="36">
        <v>13789514.586336</v>
      </c>
      <c r="C263" s="22">
        <f>TsatFromP(テーブル2[[#This Row],[P]])</f>
        <v>608.62107399852357</v>
      </c>
      <c r="D263" s="36">
        <f>RhoGFromP(テーブル2[[#This Row],[P]])</f>
        <v>85.147847035840741</v>
      </c>
      <c r="E263" s="36">
        <f>RhoFFromP(テーブル2[[#This Row],[P]])</f>
        <v>624.86636713482415</v>
      </c>
      <c r="F263" s="36">
        <f>HgFromP(テーブル2[[#This Row],[P]])</f>
        <v>2643264.5206450778</v>
      </c>
      <c r="G263" s="36">
        <f>HfFromP(テーブル2[[#This Row],[P]])</f>
        <v>1562686.7596125705</v>
      </c>
      <c r="H263" s="36">
        <f>MuGFromP(テーブル2[[#This Row],[P]])</f>
        <v>2.2019591234371903E-5</v>
      </c>
      <c r="I263" s="36">
        <f>MuFFromP(テーブル2[[#This Row],[P]])</f>
        <v>7.222326555143516E-5</v>
      </c>
      <c r="J263" s="36">
        <f>KfFromP(テーブル2[[#This Row],[P]])</f>
        <v>0.49112131073334553</v>
      </c>
      <c r="K263" s="36">
        <f>CpFFromP(テーブル2[[#This Row],[P]])</f>
        <v>7679.7488518783057</v>
      </c>
      <c r="L263" s="36">
        <f>SigmaFromP(テーブル2[[#This Row],[P]])</f>
        <v>6.5036449518301549E-3</v>
      </c>
      <c r="M263" s="36">
        <v>128.01</v>
      </c>
      <c r="N263" s="36">
        <v>2156.4056999999998</v>
      </c>
      <c r="O263" s="37">
        <f t="shared" si="116"/>
        <v>1.7530051946857026E-5</v>
      </c>
      <c r="P263" s="37">
        <f t="shared" si="117"/>
        <v>1.4842140332619616E-2</v>
      </c>
      <c r="Q263" s="37">
        <v>4.7243999999999993E-3</v>
      </c>
      <c r="R263" s="36">
        <v>0.30480000000000002</v>
      </c>
      <c r="S263" s="38">
        <v>3802748.2986450195</v>
      </c>
      <c r="T263" s="36">
        <v>533.15949698557142</v>
      </c>
      <c r="U263" s="12">
        <f>+T263+BG263*S263*テーブル2[[#This Row],[Pw]]*R263/(N263*O263*K263)</f>
        <v>592.4176873850713</v>
      </c>
      <c r="V263" s="36">
        <v>0.03</v>
      </c>
      <c r="W263" s="37">
        <f t="shared" si="118"/>
        <v>141058.74348515325</v>
      </c>
      <c r="X263" s="36">
        <v>3.0000136459619232E-2</v>
      </c>
      <c r="Y263" s="36">
        <f t="shared" si="119"/>
        <v>5.7734895611080708</v>
      </c>
      <c r="Z263" s="36">
        <f t="shared" si="120"/>
        <v>5.7734895920087288</v>
      </c>
      <c r="AA263" s="36">
        <f t="shared" si="121"/>
        <v>-3.0900658032351203E-8</v>
      </c>
      <c r="AB263" s="36">
        <f t="shared" si="122"/>
        <v>2.7966043868262294E-5</v>
      </c>
      <c r="AC263" s="36">
        <v>639.7613015684783</v>
      </c>
      <c r="AD263" s="36">
        <f t="shared" si="123"/>
        <v>4319.0341390719705</v>
      </c>
      <c r="AE263" s="36">
        <f>+gettm2(AD263,AC263,AK263,AL263,テーブル2[[#This Row],[Fcorr]])</f>
        <v>592.41768738507119</v>
      </c>
      <c r="AF263" s="39">
        <f t="shared" si="124"/>
        <v>0</v>
      </c>
      <c r="AG263" s="36">
        <v>2.8076169155500456E-5</v>
      </c>
      <c r="AH263" s="36">
        <f t="shared" si="125"/>
        <v>27.906606951486275</v>
      </c>
      <c r="AI263" s="36">
        <f t="shared" si="126"/>
        <v>0.21132941115247877</v>
      </c>
      <c r="AJ263" s="36">
        <f t="shared" si="127"/>
        <v>51.33432100455758</v>
      </c>
      <c r="AK263" s="36">
        <f>+S88*テーブル2[[#This Row],[F_form]]/(E88*CpFromTP((テーブル2[[#This Row],[Tin]]+テーブル2[[#This Row],[Tf]])/2,テーブル2[[#This Row],[P]])*AI88)</f>
        <v>1.8918211030431265</v>
      </c>
      <c r="AL263" s="36">
        <f t="shared" si="128"/>
        <v>1.1293676909872215</v>
      </c>
      <c r="AM263" s="36">
        <f t="shared" si="129"/>
        <v>608.62107396192732</v>
      </c>
      <c r="AN263" s="36">
        <f t="shared" si="130"/>
        <v>3.6596247809939086E-8</v>
      </c>
      <c r="AO263" s="36">
        <f t="shared" si="131"/>
        <v>1.1012528723816189E-7</v>
      </c>
      <c r="AP263" s="36">
        <v>3.0329390268217549</v>
      </c>
      <c r="AQ263" s="36">
        <f t="shared" si="132"/>
        <v>5.9281004718350673E-5</v>
      </c>
      <c r="AR263" s="36">
        <f t="shared" si="133"/>
        <v>1.4093147221369309E-5</v>
      </c>
      <c r="AS263" s="36">
        <f t="shared" si="134"/>
        <v>25.767836752206129</v>
      </c>
      <c r="AT263" s="36">
        <f t="shared" si="135"/>
        <v>13.195635383586163</v>
      </c>
      <c r="AU263" s="36">
        <f t="shared" si="136"/>
        <v>2.7886258553960772</v>
      </c>
      <c r="AV263" s="36">
        <f t="shared" si="137"/>
        <v>0.24431317142567766</v>
      </c>
      <c r="AW263" s="36">
        <f t="shared" si="138"/>
        <v>1.6813497425026698E-2</v>
      </c>
      <c r="AX263" s="36">
        <f t="shared" si="139"/>
        <v>0.24431316403461895</v>
      </c>
      <c r="AY263" s="36">
        <f t="shared" si="140"/>
        <v>7.3910587095049607E-9</v>
      </c>
      <c r="AZ263" s="36">
        <f t="shared" si="141"/>
        <v>1080577.7610325073</v>
      </c>
      <c r="BA263" s="36">
        <f t="shared" si="142"/>
        <v>1.95457291406454E-5</v>
      </c>
      <c r="BB263" s="38">
        <f t="shared" si="143"/>
        <v>3804331.4984144149</v>
      </c>
      <c r="BC263" s="40">
        <f t="shared" si="144"/>
        <v>1583.1997693954036</v>
      </c>
      <c r="BD263" s="41">
        <f t="shared" si="145"/>
        <v>4.1633041291729019E-2</v>
      </c>
      <c r="BE263" s="38">
        <v>3501594.9</v>
      </c>
      <c r="BF263" s="42">
        <f>テーブル2[[#This Row],[q_P]]/テーブル2[[#This Row],[q_M]]</f>
        <v>1.0864567738587965</v>
      </c>
      <c r="BG263" s="36">
        <v>1</v>
      </c>
      <c r="BH263" s="36">
        <v>-8.9999999999999993E-3</v>
      </c>
      <c r="BI263" s="36">
        <v>4.5999999999999999E-2</v>
      </c>
      <c r="BJ263" s="36">
        <v>5625</v>
      </c>
      <c r="BK263" s="22">
        <v>1</v>
      </c>
      <c r="BL263" s="36">
        <f>テーブル2[[#This Row],[Ts]]-テーブル2[[#This Row],[Tin]]</f>
        <v>75.461577012952148</v>
      </c>
      <c r="BM263" s="36">
        <f>テーブル2[[#This Row],[q_P]]*0.000001</f>
        <v>3.804331498414415</v>
      </c>
      <c r="BN263" s="36">
        <f>テーブル2[[#This Row],[Tsub]]</f>
        <v>75.461577012952148</v>
      </c>
      <c r="BO263" s="36">
        <f>テーブル2[[#This Row],[Fcorr]]</f>
        <v>1</v>
      </c>
      <c r="BP263" s="36">
        <f>(テーブル2[[#This Row],[Tsub]]-40)^2</f>
        <v>1257.5234442455362</v>
      </c>
      <c r="BQ263" s="36">
        <v>1</v>
      </c>
      <c r="BR263" s="36">
        <v>0.30480000000000002</v>
      </c>
    </row>
    <row r="264" spans="1:70" x14ac:dyDescent="0.15">
      <c r="A264" s="35" t="s">
        <v>108</v>
      </c>
      <c r="B264" s="36">
        <v>13789514.586336</v>
      </c>
      <c r="C264" s="22">
        <f>TsatFromP(テーブル2[[#This Row],[P]])</f>
        <v>608.62107399852357</v>
      </c>
      <c r="D264" s="36">
        <f>RhoGFromP(テーブル2[[#This Row],[P]])</f>
        <v>85.147847035840741</v>
      </c>
      <c r="E264" s="36">
        <f>RhoFFromP(テーブル2[[#This Row],[P]])</f>
        <v>624.86636713482415</v>
      </c>
      <c r="F264" s="36">
        <f>HgFromP(テーブル2[[#This Row],[P]])</f>
        <v>2643264.5206450778</v>
      </c>
      <c r="G264" s="36">
        <f>HfFromP(テーブル2[[#This Row],[P]])</f>
        <v>1562686.7596125705</v>
      </c>
      <c r="H264" s="36">
        <f>MuGFromP(テーブル2[[#This Row],[P]])</f>
        <v>2.2019591234371903E-5</v>
      </c>
      <c r="I264" s="36">
        <f>MuFFromP(テーブル2[[#This Row],[P]])</f>
        <v>7.222326555143516E-5</v>
      </c>
      <c r="J264" s="36">
        <f>KfFromP(テーブル2[[#This Row],[P]])</f>
        <v>0.49112131073334553</v>
      </c>
      <c r="K264" s="36">
        <f>CpFFromP(テーブル2[[#This Row],[P]])</f>
        <v>7679.7488518783057</v>
      </c>
      <c r="L264" s="36">
        <f>SigmaFromP(テーブル2[[#This Row],[P]])</f>
        <v>6.5036449518301549E-3</v>
      </c>
      <c r="M264" s="36">
        <v>129.01</v>
      </c>
      <c r="N264" s="36">
        <v>2739.5846000000001</v>
      </c>
      <c r="O264" s="37">
        <f t="shared" si="116"/>
        <v>1.7530051946857026E-5</v>
      </c>
      <c r="P264" s="37">
        <f t="shared" si="117"/>
        <v>1.4842140332619616E-2</v>
      </c>
      <c r="Q264" s="37">
        <v>4.7243999999999993E-3</v>
      </c>
      <c r="R264" s="36">
        <v>0.30480000000000002</v>
      </c>
      <c r="S264" s="38">
        <v>8609999.8474121094</v>
      </c>
      <c r="T264" s="36">
        <v>483.65463250640778</v>
      </c>
      <c r="U264" s="12">
        <f>+T264+BG264*S264*テーブル2[[#This Row],[Pw]]*R264/(N264*O264*K264)</f>
        <v>589.26333404177933</v>
      </c>
      <c r="V264" s="36">
        <v>0.03</v>
      </c>
      <c r="W264" s="37">
        <f t="shared" si="118"/>
        <v>179206.70555975448</v>
      </c>
      <c r="X264" s="36">
        <v>2.701431921836038E-2</v>
      </c>
      <c r="Y264" s="36">
        <f t="shared" si="119"/>
        <v>6.0841930585562878</v>
      </c>
      <c r="Z264" s="36">
        <f t="shared" si="120"/>
        <v>6.0841930665326611</v>
      </c>
      <c r="AA264" s="36">
        <f t="shared" si="121"/>
        <v>-7.9763733396021053E-9</v>
      </c>
      <c r="AB264" s="36">
        <f t="shared" si="122"/>
        <v>1.9242068086144788E-5</v>
      </c>
      <c r="AC264" s="36">
        <v>641.27144885777363</v>
      </c>
      <c r="AD264" s="36">
        <f t="shared" si="123"/>
        <v>5206.8645552427706</v>
      </c>
      <c r="AE264" s="36">
        <f>+gettm2(AD264,AC264,AK264,AL264,テーブル2[[#This Row],[Fcorr]])</f>
        <v>589.26333404177933</v>
      </c>
      <c r="AF264" s="39">
        <f t="shared" si="124"/>
        <v>0</v>
      </c>
      <c r="AG264" s="36">
        <v>1.9417396586384769E-5</v>
      </c>
      <c r="AH264" s="36">
        <f t="shared" si="125"/>
        <v>40.558914495348397</v>
      </c>
      <c r="AI264" s="36">
        <f t="shared" si="126"/>
        <v>0.25477076239239982</v>
      </c>
      <c r="AJ264" s="36">
        <f t="shared" si="127"/>
        <v>42.800674811929063</v>
      </c>
      <c r="AK264" s="36">
        <f>+S88*テーブル2[[#This Row],[F_form]]/(E88*CpFromTP((テーブル2[[#This Row],[Tin]]+テーブル2[[#This Row],[Tf]])/2,テーブル2[[#This Row],[P]])*AI88)</f>
        <v>2.039891595597072</v>
      </c>
      <c r="AL264" s="36">
        <f t="shared" si="128"/>
        <v>1.1293676909872215</v>
      </c>
      <c r="AM264" s="36">
        <f t="shared" si="129"/>
        <v>608.62107396039517</v>
      </c>
      <c r="AN264" s="36">
        <f t="shared" si="130"/>
        <v>3.8128405321913306E-8</v>
      </c>
      <c r="AO264" s="36">
        <f t="shared" si="131"/>
        <v>1.7532850023998083E-7</v>
      </c>
      <c r="AP264" s="36">
        <v>3.3995071694300303</v>
      </c>
      <c r="AQ264" s="36">
        <f t="shared" si="132"/>
        <v>4.7185764056827264E-5</v>
      </c>
      <c r="AR264" s="36">
        <f t="shared" si="133"/>
        <v>9.7963625433123748E-6</v>
      </c>
      <c r="AS264" s="36">
        <f t="shared" si="134"/>
        <v>21.59357078023924</v>
      </c>
      <c r="AT264" s="36">
        <f t="shared" si="135"/>
        <v>12.311978106604235</v>
      </c>
      <c r="AU264" s="36">
        <f t="shared" si="136"/>
        <v>3.1367320487780961</v>
      </c>
      <c r="AV264" s="36">
        <f t="shared" si="137"/>
        <v>0.2627751206519342</v>
      </c>
      <c r="AW264" s="36">
        <f t="shared" si="138"/>
        <v>1.1568545903117275E-2</v>
      </c>
      <c r="AX264" s="36">
        <f t="shared" si="139"/>
        <v>0.26277511208975857</v>
      </c>
      <c r="AY264" s="36">
        <f t="shared" si="140"/>
        <v>8.5621756351628164E-9</v>
      </c>
      <c r="AZ264" s="36">
        <f t="shared" si="141"/>
        <v>1080577.7610325073</v>
      </c>
      <c r="BA264" s="36">
        <f t="shared" si="142"/>
        <v>1.3880177833170608E-5</v>
      </c>
      <c r="BB264" s="38">
        <f t="shared" si="143"/>
        <v>8529050.0425068736</v>
      </c>
      <c r="BC264" s="40">
        <f t="shared" si="144"/>
        <v>-80949.804905235767</v>
      </c>
      <c r="BD264" s="41">
        <f t="shared" si="145"/>
        <v>-0.94018358118283463</v>
      </c>
      <c r="BE264" s="38">
        <v>5173527.5999999987</v>
      </c>
      <c r="BF264" s="42">
        <f>テーブル2[[#This Row],[q_P]]/テーブル2[[#This Row],[q_M]]</f>
        <v>1.6485946731021355</v>
      </c>
      <c r="BG264" s="36">
        <v>1</v>
      </c>
      <c r="BH264" s="36">
        <v>-0.159</v>
      </c>
      <c r="BI264" s="36">
        <v>4.5999999999999999E-2</v>
      </c>
      <c r="BJ264" s="36">
        <v>5625</v>
      </c>
      <c r="BK264" s="22">
        <v>1</v>
      </c>
      <c r="BL264" s="36">
        <f>テーブル2[[#This Row],[Ts]]-テーブル2[[#This Row],[Tin]]</f>
        <v>124.96644149211579</v>
      </c>
      <c r="BM264" s="36">
        <f>テーブル2[[#This Row],[q_P]]*0.000001</f>
        <v>8.5290500425068725</v>
      </c>
      <c r="BN264" s="36">
        <f>テーブル2[[#This Row],[Tsub]]</f>
        <v>124.96644149211579</v>
      </c>
      <c r="BO264" s="36">
        <f>テーブル2[[#This Row],[Fcorr]]</f>
        <v>1</v>
      </c>
      <c r="BP264" s="36">
        <f>(テーブル2[[#This Row],[Tsub]]-40)^2</f>
        <v>7219.2961798331362</v>
      </c>
      <c r="BQ264" s="36">
        <v>1</v>
      </c>
      <c r="BR264" s="36">
        <v>0.30480000000000002</v>
      </c>
    </row>
    <row r="265" spans="1:70" x14ac:dyDescent="0.15">
      <c r="A265" s="35" t="s">
        <v>74</v>
      </c>
      <c r="B265" s="36">
        <v>13789514.586336</v>
      </c>
      <c r="C265" s="22">
        <f>TsatFromP(テーブル2[[#This Row],[P]])</f>
        <v>608.62107399852357</v>
      </c>
      <c r="D265" s="36">
        <f>RhoGFromP(テーブル2[[#This Row],[P]])</f>
        <v>85.147847035840741</v>
      </c>
      <c r="E265" s="36">
        <f>RhoFFromP(テーブル2[[#This Row],[P]])</f>
        <v>624.86636713482415</v>
      </c>
      <c r="F265" s="36">
        <f>HgFromP(テーブル2[[#This Row],[P]])</f>
        <v>2643264.5206450778</v>
      </c>
      <c r="G265" s="36">
        <f>HfFromP(テーブル2[[#This Row],[P]])</f>
        <v>1562686.7596125705</v>
      </c>
      <c r="H265" s="36">
        <f>MuGFromP(テーブル2[[#This Row],[P]])</f>
        <v>2.2019591234371903E-5</v>
      </c>
      <c r="I265" s="36">
        <f>MuFFromP(テーブル2[[#This Row],[P]])</f>
        <v>7.222326555143516E-5</v>
      </c>
      <c r="J265" s="36">
        <f>KfFromP(テーブル2[[#This Row],[P]])</f>
        <v>0.49112131073334553</v>
      </c>
      <c r="K265" s="36">
        <f>CpFFromP(テーブル2[[#This Row],[P]])</f>
        <v>7679.7488518783057</v>
      </c>
      <c r="L265" s="36">
        <f>SigmaFromP(テーブル2[[#This Row],[P]])</f>
        <v>6.5036449518301549E-3</v>
      </c>
      <c r="M265" s="36">
        <v>13.01</v>
      </c>
      <c r="N265" s="36">
        <v>3119.3290000000002</v>
      </c>
      <c r="O265" s="37">
        <f t="shared" si="116"/>
        <v>2.8502295699234246E-6</v>
      </c>
      <c r="P265" s="37">
        <f t="shared" si="117"/>
        <v>5.9847340050885557E-3</v>
      </c>
      <c r="Q265" s="37">
        <v>1.905E-3</v>
      </c>
      <c r="R265" s="36">
        <v>0.15240000000000001</v>
      </c>
      <c r="S265" s="38">
        <v>7490289.306640625</v>
      </c>
      <c r="T265" s="36">
        <v>491.97913985754082</v>
      </c>
      <c r="U265" s="12">
        <f>+T265+BG265*S265*テーブル2[[#This Row],[Pw]]*R265/(N265*O265*K265)</f>
        <v>592.03450244424812</v>
      </c>
      <c r="V265" s="36">
        <v>0.03</v>
      </c>
      <c r="W265" s="37">
        <f t="shared" si="118"/>
        <v>82277.112501484211</v>
      </c>
      <c r="X265" s="36">
        <v>3.148874139532068E-2</v>
      </c>
      <c r="Y265" s="36">
        <f t="shared" si="119"/>
        <v>5.6353688737547811</v>
      </c>
      <c r="Z265" s="36">
        <f t="shared" si="120"/>
        <v>5.6353689067612951</v>
      </c>
      <c r="AA265" s="36">
        <f t="shared" si="121"/>
        <v>-3.3006513966427065E-8</v>
      </c>
      <c r="AB265" s="36">
        <f t="shared" si="122"/>
        <v>1.2733199370198141E-5</v>
      </c>
      <c r="AC265" s="36">
        <v>639.80291708988977</v>
      </c>
      <c r="AD265" s="36">
        <f t="shared" si="123"/>
        <v>2580.9625549624475</v>
      </c>
      <c r="AE265" s="36">
        <f>+gettm2(AD265,AC265,AK265,AL265,テーブル2[[#This Row],[Fcorr]])</f>
        <v>592.03450244424812</v>
      </c>
      <c r="AF265" s="39">
        <f t="shared" si="124"/>
        <v>0</v>
      </c>
      <c r="AG265" s="36">
        <v>1.2842720610472389E-5</v>
      </c>
      <c r="AH265" s="36">
        <f t="shared" si="125"/>
        <v>61.291539661761703</v>
      </c>
      <c r="AI265" s="36">
        <f t="shared" si="126"/>
        <v>0.31318913740254445</v>
      </c>
      <c r="AJ265" s="36">
        <f t="shared" si="127"/>
        <v>34.799560104434335</v>
      </c>
      <c r="AK265" s="36">
        <f>+S88*テーブル2[[#This Row],[F_form]]/(E88*CpFromTP((テーブル2[[#This Row],[Tin]]+テーブル2[[#This Row],[Tf]])/2,テーブル2[[#This Row],[P]])*AI88)</f>
        <v>2.0132172464834146</v>
      </c>
      <c r="AL265" s="36">
        <f t="shared" si="128"/>
        <v>1.1293676909872215</v>
      </c>
      <c r="AM265" s="36">
        <f t="shared" si="129"/>
        <v>608.62107398402964</v>
      </c>
      <c r="AN265" s="36">
        <f t="shared" si="130"/>
        <v>1.4493934941128828E-8</v>
      </c>
      <c r="AO265" s="36">
        <f t="shared" si="131"/>
        <v>1.0952124027424845E-7</v>
      </c>
      <c r="AP265" s="36">
        <v>3.8186971347614742</v>
      </c>
      <c r="AQ265" s="36">
        <f t="shared" si="132"/>
        <v>3.7394909275988611E-5</v>
      </c>
      <c r="AR265" s="36">
        <f t="shared" si="133"/>
        <v>6.4761209253733189E-6</v>
      </c>
      <c r="AS265" s="36">
        <f t="shared" si="134"/>
        <v>17.548163369865922</v>
      </c>
      <c r="AT265" s="36">
        <f t="shared" si="135"/>
        <v>11.274746465729276</v>
      </c>
      <c r="AU265" s="36">
        <f t="shared" si="136"/>
        <v>3.5311281200341385</v>
      </c>
      <c r="AV265" s="36">
        <f t="shared" si="137"/>
        <v>0.28756901472733576</v>
      </c>
      <c r="AW265" s="36">
        <f t="shared" si="138"/>
        <v>7.6553414502128041E-3</v>
      </c>
      <c r="AX265" s="36">
        <f t="shared" si="139"/>
        <v>0.28756900851028427</v>
      </c>
      <c r="AY265" s="36">
        <f t="shared" si="140"/>
        <v>6.217051484735947E-9</v>
      </c>
      <c r="AZ265" s="36">
        <f t="shared" si="141"/>
        <v>1080577.7610325073</v>
      </c>
      <c r="BA265" s="36">
        <f t="shared" si="142"/>
        <v>9.7925831654948441E-6</v>
      </c>
      <c r="BB265" s="38">
        <f t="shared" si="143"/>
        <v>7551691.8449282963</v>
      </c>
      <c r="BC265" s="40">
        <f t="shared" si="144"/>
        <v>61402.538287671283</v>
      </c>
      <c r="BD265" s="41">
        <f t="shared" si="145"/>
        <v>0.81976190470018262</v>
      </c>
      <c r="BE265" s="38">
        <v>5678262</v>
      </c>
      <c r="BF265" s="42">
        <f>テーブル2[[#This Row],[q_P]]/テーブル2[[#This Row],[q_M]]</f>
        <v>1.3299301520303741</v>
      </c>
      <c r="BG265" s="36">
        <v>1</v>
      </c>
      <c r="BH265" s="36">
        <v>-3.5999999999999997E-2</v>
      </c>
      <c r="BI265" s="36">
        <v>4.5999999999999999E-2</v>
      </c>
      <c r="BJ265" s="36">
        <v>5625</v>
      </c>
      <c r="BK265" s="22">
        <v>1</v>
      </c>
      <c r="BL265" s="36">
        <f>テーブル2[[#This Row],[Ts]]-テーブル2[[#This Row],[Tin]]</f>
        <v>116.64193414098276</v>
      </c>
      <c r="BM265" s="36">
        <f>テーブル2[[#This Row],[q_P]]*0.000001</f>
        <v>7.5516918449282961</v>
      </c>
      <c r="BN265" s="36">
        <f>テーブル2[[#This Row],[Tsub]]</f>
        <v>116.64193414098276</v>
      </c>
      <c r="BO265" s="36">
        <f>テーブル2[[#This Row],[Fcorr]]</f>
        <v>1</v>
      </c>
      <c r="BP265" s="36">
        <f>(テーブル2[[#This Row],[Tsub]]-40)^2</f>
        <v>5873.9860688707377</v>
      </c>
      <c r="BQ265" s="36">
        <v>1</v>
      </c>
      <c r="BR265" s="36">
        <v>0.15240000000000001</v>
      </c>
    </row>
    <row r="266" spans="1:70" x14ac:dyDescent="0.15">
      <c r="A266" s="35" t="s">
        <v>110</v>
      </c>
      <c r="B266" s="36">
        <v>13789514.586336</v>
      </c>
      <c r="C266" s="22">
        <f>TsatFromP(テーブル2[[#This Row],[P]])</f>
        <v>608.62107399852357</v>
      </c>
      <c r="D266" s="36">
        <f>RhoGFromP(テーブル2[[#This Row],[P]])</f>
        <v>85.147847035840741</v>
      </c>
      <c r="E266" s="36">
        <f>RhoFFromP(テーブル2[[#This Row],[P]])</f>
        <v>624.86636713482415</v>
      </c>
      <c r="F266" s="36">
        <f>HgFromP(テーブル2[[#This Row],[P]])</f>
        <v>2643264.5206450778</v>
      </c>
      <c r="G266" s="36">
        <f>HfFromP(テーブル2[[#This Row],[P]])</f>
        <v>1562686.7596125705</v>
      </c>
      <c r="H266" s="36">
        <f>MuGFromP(テーブル2[[#This Row],[P]])</f>
        <v>2.2019591234371903E-5</v>
      </c>
      <c r="I266" s="36">
        <f>MuFFromP(テーブル2[[#This Row],[P]])</f>
        <v>7.222326555143516E-5</v>
      </c>
      <c r="J266" s="36">
        <f>KfFromP(テーブル2[[#This Row],[P]])</f>
        <v>0.49112131073334553</v>
      </c>
      <c r="K266" s="36">
        <f>CpFFromP(テーブル2[[#This Row],[P]])</f>
        <v>7679.7488518783057</v>
      </c>
      <c r="L266" s="36">
        <f>SigmaFromP(テーブル2[[#This Row],[P]])</f>
        <v>6.5036449518301549E-3</v>
      </c>
      <c r="M266" s="36">
        <v>131.01</v>
      </c>
      <c r="N266" s="36">
        <v>2759.92805</v>
      </c>
      <c r="O266" s="37">
        <f t="shared" si="116"/>
        <v>1.7530051946857026E-5</v>
      </c>
      <c r="P266" s="37">
        <f t="shared" si="117"/>
        <v>1.4842140332619616E-2</v>
      </c>
      <c r="Q266" s="37">
        <v>4.7243999999999993E-3</v>
      </c>
      <c r="R266" s="36">
        <v>0.30480000000000002</v>
      </c>
      <c r="S266" s="38">
        <v>4712257.7667236328</v>
      </c>
      <c r="T266" s="36">
        <v>533.15949698557142</v>
      </c>
      <c r="U266" s="12">
        <f>+T266+BG266*S266*テーブル2[[#This Row],[Pw]]*R266/(N266*O266*K266)</f>
        <v>590.53315679966329</v>
      </c>
      <c r="V266" s="36">
        <v>0.03</v>
      </c>
      <c r="W266" s="37">
        <f t="shared" si="118"/>
        <v>180537.44842282194</v>
      </c>
      <c r="X266" s="36">
        <v>2.6929020454522234E-2</v>
      </c>
      <c r="Y266" s="36">
        <f t="shared" si="119"/>
        <v>6.0938214041064853</v>
      </c>
      <c r="Z266" s="36">
        <f t="shared" si="120"/>
        <v>6.0938214109414535</v>
      </c>
      <c r="AA266" s="36">
        <f t="shared" si="121"/>
        <v>-6.8349681470181167E-9</v>
      </c>
      <c r="AB266" s="36">
        <f t="shared" si="122"/>
        <v>1.9019501505876278E-5</v>
      </c>
      <c r="AC266" s="36">
        <v>638.95716991965321</v>
      </c>
      <c r="AD266" s="36">
        <f t="shared" si="123"/>
        <v>5237.2413618762821</v>
      </c>
      <c r="AE266" s="36">
        <f>+gettm2(AD266,AC266,AK266,AL266,テーブル2[[#This Row],[Fcorr]])</f>
        <v>590.53315679966317</v>
      </c>
      <c r="AF266" s="39">
        <f t="shared" si="124"/>
        <v>0</v>
      </c>
      <c r="AG266" s="36">
        <v>1.9115411140306261E-5</v>
      </c>
      <c r="AH266" s="36">
        <f t="shared" si="125"/>
        <v>41.033535709571261</v>
      </c>
      <c r="AI266" s="36">
        <f t="shared" si="126"/>
        <v>0.25625709300518174</v>
      </c>
      <c r="AJ266" s="36">
        <f t="shared" si="127"/>
        <v>42.380840688037694</v>
      </c>
      <c r="AK266" s="36">
        <f>+S88*テーブル2[[#This Row],[F_form]]/(E88*CpFromTP((テーブル2[[#This Row],[Tin]]+テーブル2[[#This Row],[Tf]])/2,テーブル2[[#This Row],[P]])*AI88)</f>
        <v>1.8982254268904477</v>
      </c>
      <c r="AL266" s="36">
        <f t="shared" si="128"/>
        <v>1.1293676909872215</v>
      </c>
      <c r="AM266" s="36">
        <f t="shared" si="129"/>
        <v>608.62107398744627</v>
      </c>
      <c r="AN266" s="36">
        <f t="shared" si="130"/>
        <v>1.1077304407081101E-8</v>
      </c>
      <c r="AO266" s="36">
        <f t="shared" si="131"/>
        <v>9.5909634429982947E-8</v>
      </c>
      <c r="AP266" s="36">
        <v>3.401453630425574</v>
      </c>
      <c r="AQ266" s="36">
        <f t="shared" si="132"/>
        <v>4.7131775979777077E-5</v>
      </c>
      <c r="AR266" s="36">
        <f t="shared" si="133"/>
        <v>9.605660387368122E-6</v>
      </c>
      <c r="AS266" s="36">
        <f t="shared" si="134"/>
        <v>21.296741126433364</v>
      </c>
      <c r="AT266" s="36">
        <f t="shared" si="135"/>
        <v>12.242770311254391</v>
      </c>
      <c r="AU266" s="36">
        <f t="shared" si="136"/>
        <v>3.1372967302921944</v>
      </c>
      <c r="AV266" s="36">
        <f t="shared" si="137"/>
        <v>0.26415690013337967</v>
      </c>
      <c r="AW266" s="36">
        <f t="shared" si="138"/>
        <v>1.1434736393203419E-2</v>
      </c>
      <c r="AX266" s="36">
        <f t="shared" si="139"/>
        <v>0.2641568913019518</v>
      </c>
      <c r="AY266" s="36">
        <f t="shared" si="140"/>
        <v>8.8314278667844803E-9</v>
      </c>
      <c r="AZ266" s="36">
        <f t="shared" si="141"/>
        <v>1080577.7610325073</v>
      </c>
      <c r="BA266" s="36">
        <f t="shared" si="142"/>
        <v>1.3856362926188169E-5</v>
      </c>
      <c r="BB266" s="38">
        <f t="shared" si="143"/>
        <v>4673649.7302740617</v>
      </c>
      <c r="BC266" s="40">
        <f t="shared" si="144"/>
        <v>-38608.03644957114</v>
      </c>
      <c r="BD266" s="41">
        <f t="shared" si="145"/>
        <v>-0.81931079242328397</v>
      </c>
      <c r="BE266" s="38">
        <v>4227150.5999999996</v>
      </c>
      <c r="BF266" s="42">
        <f>テーブル2[[#This Row],[q_P]]/テーブル2[[#This Row],[q_M]]</f>
        <v>1.1056265017560676</v>
      </c>
      <c r="BG266" s="36">
        <v>1</v>
      </c>
      <c r="BH266" s="36">
        <v>-3.1E-2</v>
      </c>
      <c r="BI266" s="36">
        <v>4.5999999999999999E-2</v>
      </c>
      <c r="BJ266" s="36">
        <v>5625</v>
      </c>
      <c r="BK266" s="22">
        <v>1</v>
      </c>
      <c r="BL266" s="36">
        <f>テーブル2[[#This Row],[Ts]]-テーブル2[[#This Row],[Tin]]</f>
        <v>75.461577012952148</v>
      </c>
      <c r="BM266" s="36">
        <f>テーブル2[[#This Row],[q_P]]*0.000001</f>
        <v>4.6736497302740618</v>
      </c>
      <c r="BN266" s="36">
        <f>テーブル2[[#This Row],[Tsub]]</f>
        <v>75.461577012952148</v>
      </c>
      <c r="BO266" s="36">
        <f>テーブル2[[#This Row],[Fcorr]]</f>
        <v>1</v>
      </c>
      <c r="BP266" s="36">
        <f>(テーブル2[[#This Row],[Tsub]]-40)^2</f>
        <v>1257.5234442455362</v>
      </c>
      <c r="BQ266" s="36">
        <v>1</v>
      </c>
      <c r="BR266" s="36">
        <v>0.30480000000000002</v>
      </c>
    </row>
    <row r="267" spans="1:70" x14ac:dyDescent="0.15">
      <c r="A267" s="35" t="s">
        <v>111</v>
      </c>
      <c r="B267" s="36">
        <v>13789514.586336</v>
      </c>
      <c r="C267" s="22">
        <f>TsatFromP(テーブル2[[#This Row],[P]])</f>
        <v>608.62107399852357</v>
      </c>
      <c r="D267" s="36">
        <f>RhoGFromP(テーブル2[[#This Row],[P]])</f>
        <v>85.147847035840741</v>
      </c>
      <c r="E267" s="36">
        <f>RhoFFromP(テーブル2[[#This Row],[P]])</f>
        <v>624.86636713482415</v>
      </c>
      <c r="F267" s="36">
        <f>HgFromP(テーブル2[[#This Row],[P]])</f>
        <v>2643264.5206450778</v>
      </c>
      <c r="G267" s="36">
        <f>HfFromP(テーブル2[[#This Row],[P]])</f>
        <v>1562686.7596125705</v>
      </c>
      <c r="H267" s="36">
        <f>MuGFromP(テーブル2[[#This Row],[P]])</f>
        <v>2.2019591234371903E-5</v>
      </c>
      <c r="I267" s="36">
        <f>MuFFromP(テーブル2[[#This Row],[P]])</f>
        <v>7.222326555143516E-5</v>
      </c>
      <c r="J267" s="36">
        <f>KfFromP(テーブル2[[#This Row],[P]])</f>
        <v>0.49112131073334553</v>
      </c>
      <c r="K267" s="36">
        <f>CpFFromP(テーブル2[[#This Row],[P]])</f>
        <v>7679.7488518783057</v>
      </c>
      <c r="L267" s="36">
        <f>SigmaFromP(テーブル2[[#This Row],[P]])</f>
        <v>6.5036449518301549E-3</v>
      </c>
      <c r="M267" s="36">
        <v>132.01</v>
      </c>
      <c r="N267" s="36">
        <v>2759.92805</v>
      </c>
      <c r="O267" s="37">
        <f t="shared" si="116"/>
        <v>1.7530051946857026E-5</v>
      </c>
      <c r="P267" s="37">
        <f t="shared" si="117"/>
        <v>1.4842140332619616E-2</v>
      </c>
      <c r="Q267" s="37">
        <v>4.7243999999999993E-3</v>
      </c>
      <c r="R267" s="36">
        <v>0.30480000000000002</v>
      </c>
      <c r="S267" s="38">
        <v>4758083.9157104492</v>
      </c>
      <c r="T267" s="36">
        <v>532.58300009187235</v>
      </c>
      <c r="U267" s="12">
        <f>+T267+BG267*S267*テーブル2[[#This Row],[Pw]]*R267/(N267*O267*K267)</f>
        <v>590.51461195627985</v>
      </c>
      <c r="V267" s="36">
        <v>0.03</v>
      </c>
      <c r="W267" s="37">
        <f t="shared" si="118"/>
        <v>180537.44842282194</v>
      </c>
      <c r="X267" s="36">
        <v>2.6929020454522234E-2</v>
      </c>
      <c r="Y267" s="36">
        <f t="shared" si="119"/>
        <v>6.0938214041064853</v>
      </c>
      <c r="Z267" s="36">
        <f t="shared" si="120"/>
        <v>6.0938214109414535</v>
      </c>
      <c r="AA267" s="36">
        <f t="shared" si="121"/>
        <v>-6.8349681470181167E-9</v>
      </c>
      <c r="AB267" s="36">
        <f t="shared" si="122"/>
        <v>1.9019501505876278E-5</v>
      </c>
      <c r="AC267" s="36">
        <v>638.9894144960399</v>
      </c>
      <c r="AD267" s="36">
        <f t="shared" si="123"/>
        <v>5237.2413618762821</v>
      </c>
      <c r="AE267" s="36">
        <f>+gettm2(AD267,AC267,AK267,AL267,テーブル2[[#This Row],[Fcorr]])</f>
        <v>590.51461234617398</v>
      </c>
      <c r="AF267" s="39">
        <f t="shared" si="124"/>
        <v>3.8989412587397965E-7</v>
      </c>
      <c r="AG267" s="36">
        <v>1.9117128886497046E-5</v>
      </c>
      <c r="AH267" s="36">
        <f t="shared" si="125"/>
        <v>41.033535709571261</v>
      </c>
      <c r="AI267" s="36">
        <f t="shared" si="126"/>
        <v>0.25625709300518174</v>
      </c>
      <c r="AJ267" s="36">
        <f t="shared" si="127"/>
        <v>42.384649108747027</v>
      </c>
      <c r="AK267" s="36">
        <f>+S88*テーブル2[[#This Row],[F_form]]/(E88*CpFromTP((テーブル2[[#This Row],[Tin]]+テーブル2[[#This Row],[Tf]])/2,テーブル2[[#This Row],[P]])*AI88)</f>
        <v>1.9002163611750291</v>
      </c>
      <c r="AL267" s="36">
        <f t="shared" si="128"/>
        <v>1.1293676909872215</v>
      </c>
      <c r="AM267" s="36">
        <f t="shared" si="129"/>
        <v>608.62107398731109</v>
      </c>
      <c r="AN267" s="36">
        <f t="shared" si="130"/>
        <v>1.1212478057132103E-8</v>
      </c>
      <c r="AO267" s="36">
        <f t="shared" si="131"/>
        <v>9.7627380620767928E-8</v>
      </c>
      <c r="AP267" s="36">
        <v>3.4016662283585619</v>
      </c>
      <c r="AQ267" s="36">
        <f t="shared" si="132"/>
        <v>4.7125884863859675E-5</v>
      </c>
      <c r="AR267" s="36">
        <f t="shared" si="133"/>
        <v>9.607378133558907E-6</v>
      </c>
      <c r="AS267" s="36">
        <f t="shared" si="134"/>
        <v>21.300549547142698</v>
      </c>
      <c r="AT267" s="36">
        <f t="shared" si="135"/>
        <v>12.243664363589472</v>
      </c>
      <c r="AU267" s="36">
        <f t="shared" si="136"/>
        <v>3.1375258375445765</v>
      </c>
      <c r="AV267" s="36">
        <f t="shared" si="137"/>
        <v>0.26414039081398544</v>
      </c>
      <c r="AW267" s="36">
        <f t="shared" si="138"/>
        <v>1.1434736393203419E-2</v>
      </c>
      <c r="AX267" s="36">
        <f t="shared" si="139"/>
        <v>0.26414038197819534</v>
      </c>
      <c r="AY267" s="36">
        <f t="shared" si="140"/>
        <v>8.8357900995816863E-9</v>
      </c>
      <c r="AZ267" s="36">
        <f t="shared" si="141"/>
        <v>1080577.7610325073</v>
      </c>
      <c r="BA267" s="36">
        <f t="shared" si="142"/>
        <v>1.3853765096348024E-5</v>
      </c>
      <c r="BB267" s="38">
        <f t="shared" si="143"/>
        <v>4758247.1124920007</v>
      </c>
      <c r="BC267" s="40">
        <f t="shared" si="144"/>
        <v>163.19678155146539</v>
      </c>
      <c r="BD267" s="41">
        <f t="shared" si="145"/>
        <v>3.4298844754001739E-3</v>
      </c>
      <c r="BE267" s="38">
        <v>4195604.6999999993</v>
      </c>
      <c r="BF267" s="42">
        <f>テーブル2[[#This Row],[q_P]]/テーブル2[[#This Row],[q_M]]</f>
        <v>1.1341028177635519</v>
      </c>
      <c r="BG267" s="36">
        <v>1</v>
      </c>
      <c r="BH267" s="36">
        <v>-3.5999999999999997E-2</v>
      </c>
      <c r="BI267" s="36">
        <v>4.5999999999999999E-2</v>
      </c>
      <c r="BJ267" s="36">
        <v>5625</v>
      </c>
      <c r="BK267" s="22">
        <v>1</v>
      </c>
      <c r="BL267" s="36">
        <f>テーブル2[[#This Row],[Ts]]-テーブル2[[#This Row],[Tin]]</f>
        <v>76.038073906651221</v>
      </c>
      <c r="BM267" s="36">
        <f>テーブル2[[#This Row],[q_P]]*0.000001</f>
        <v>4.7582471124920005</v>
      </c>
      <c r="BN267" s="36">
        <f>テーブル2[[#This Row],[Tsub]]</f>
        <v>76.038073906651221</v>
      </c>
      <c r="BO267" s="36">
        <f>テーブル2[[#This Row],[Fcorr]]</f>
        <v>1</v>
      </c>
      <c r="BP267" s="36">
        <f>(テーブル2[[#This Row],[Tsub]]-40)^2</f>
        <v>1298.7427709012557</v>
      </c>
      <c r="BQ267" s="36">
        <v>1</v>
      </c>
      <c r="BR267" s="36">
        <v>0.30480000000000002</v>
      </c>
    </row>
    <row r="268" spans="1:70" x14ac:dyDescent="0.15">
      <c r="A268" s="35" t="s">
        <v>112</v>
      </c>
      <c r="B268" s="36">
        <v>13789514.586336</v>
      </c>
      <c r="C268" s="22">
        <f>TsatFromP(テーブル2[[#This Row],[P]])</f>
        <v>608.62107399852357</v>
      </c>
      <c r="D268" s="36">
        <f>RhoGFromP(テーブル2[[#This Row],[P]])</f>
        <v>85.147847035840741</v>
      </c>
      <c r="E268" s="36">
        <f>RhoFFromP(テーブル2[[#This Row],[P]])</f>
        <v>624.86636713482415</v>
      </c>
      <c r="F268" s="36">
        <f>HgFromP(テーブル2[[#This Row],[P]])</f>
        <v>2643264.5206450778</v>
      </c>
      <c r="G268" s="36">
        <f>HfFromP(テーブル2[[#This Row],[P]])</f>
        <v>1562686.7596125705</v>
      </c>
      <c r="H268" s="36">
        <f>MuGFromP(テーブル2[[#This Row],[P]])</f>
        <v>2.2019591234371903E-5</v>
      </c>
      <c r="I268" s="36">
        <f>MuFFromP(テーブル2[[#This Row],[P]])</f>
        <v>7.222326555143516E-5</v>
      </c>
      <c r="J268" s="36">
        <f>KfFromP(テーブル2[[#This Row],[P]])</f>
        <v>0.49112131073334553</v>
      </c>
      <c r="K268" s="36">
        <f>CpFFromP(テーブル2[[#This Row],[P]])</f>
        <v>7679.7488518783057</v>
      </c>
      <c r="L268" s="36">
        <f>SigmaFromP(テーブル2[[#This Row],[P]])</f>
        <v>6.5036449518301549E-3</v>
      </c>
      <c r="M268" s="36">
        <v>133.01</v>
      </c>
      <c r="N268" s="36">
        <v>2766.7091999999998</v>
      </c>
      <c r="O268" s="37">
        <f t="shared" si="116"/>
        <v>1.7530051946857026E-5</v>
      </c>
      <c r="P268" s="37">
        <f t="shared" si="117"/>
        <v>1.4842140332619616E-2</v>
      </c>
      <c r="Q268" s="37">
        <v>4.7243999999999993E-3</v>
      </c>
      <c r="R268" s="36">
        <v>0.30480000000000002</v>
      </c>
      <c r="S268" s="38">
        <v>4722290.0390625</v>
      </c>
      <c r="T268" s="36">
        <v>533.15949698557142</v>
      </c>
      <c r="U268" s="12">
        <f>+T268+BG268*S268*テーブル2[[#This Row],[Pw]]*R268/(N268*O268*K268)</f>
        <v>590.51438271107213</v>
      </c>
      <c r="V268" s="36">
        <v>0.03</v>
      </c>
      <c r="W268" s="37">
        <f t="shared" si="118"/>
        <v>180981.02937717774</v>
      </c>
      <c r="X268" s="36">
        <v>2.6900813926398107E-2</v>
      </c>
      <c r="Y268" s="36">
        <f t="shared" si="119"/>
        <v>6.0970153690132678</v>
      </c>
      <c r="Z268" s="36">
        <f t="shared" si="120"/>
        <v>6.0970153753665137</v>
      </c>
      <c r="AA268" s="36">
        <f t="shared" si="121"/>
        <v>-6.3532459293469401E-9</v>
      </c>
      <c r="AB268" s="36">
        <f t="shared" si="122"/>
        <v>1.8946227944739426E-5</v>
      </c>
      <c r="AC268" s="36">
        <v>638.94920484812144</v>
      </c>
      <c r="AD268" s="36">
        <f t="shared" si="123"/>
        <v>5247.35896964924</v>
      </c>
      <c r="AE268" s="36">
        <f>+gettm2(AD268,AC268,AK268,AL268,テーブル2[[#This Row],[Fcorr]])</f>
        <v>590.51438310056415</v>
      </c>
      <c r="AF268" s="39">
        <f t="shared" si="124"/>
        <v>3.8949201552895829E-7</v>
      </c>
      <c r="AG268" s="36">
        <v>1.9042535594226273E-5</v>
      </c>
      <c r="AH268" s="36">
        <f t="shared" si="125"/>
        <v>41.192230796331863</v>
      </c>
      <c r="AI268" s="36">
        <f t="shared" si="126"/>
        <v>0.25675214537663399</v>
      </c>
      <c r="AJ268" s="36">
        <f t="shared" si="127"/>
        <v>42.30082971603936</v>
      </c>
      <c r="AK268" s="36">
        <f>+S88*テーブル2[[#This Row],[F_form]]/(E88*CpFromTP((テーブル2[[#This Row],[Tin]]+テーブル2[[#This Row],[Tf]])/2,テーブル2[[#This Row],[P]])*AI88)</f>
        <v>1.8982881788727597</v>
      </c>
      <c r="AL268" s="36">
        <f t="shared" si="128"/>
        <v>1.1293676909872215</v>
      </c>
      <c r="AM268" s="36">
        <f t="shared" si="129"/>
        <v>608.62107399220088</v>
      </c>
      <c r="AN268" s="36">
        <f t="shared" si="130"/>
        <v>6.3226934798876755E-9</v>
      </c>
      <c r="AO268" s="36">
        <f t="shared" si="131"/>
        <v>9.6307649486846098E-8</v>
      </c>
      <c r="AP268" s="36">
        <v>3.4053474419647181</v>
      </c>
      <c r="AQ268" s="36">
        <f t="shared" si="132"/>
        <v>4.7024052857290975E-5</v>
      </c>
      <c r="AR268" s="36">
        <f t="shared" si="133"/>
        <v>9.5694216218565593E-6</v>
      </c>
      <c r="AS268" s="36">
        <f t="shared" si="134"/>
        <v>21.257383109730085</v>
      </c>
      <c r="AT268" s="36">
        <f t="shared" si="135"/>
        <v>12.233521377424266</v>
      </c>
      <c r="AU268" s="36">
        <f t="shared" si="136"/>
        <v>3.1409828591645947</v>
      </c>
      <c r="AV268" s="36">
        <f t="shared" si="137"/>
        <v>0.26436458280012332</v>
      </c>
      <c r="AW268" s="36">
        <f t="shared" si="138"/>
        <v>1.1390683511169033E-2</v>
      </c>
      <c r="AX268" s="36">
        <f t="shared" si="139"/>
        <v>0.26436457381244077</v>
      </c>
      <c r="AY268" s="36">
        <f t="shared" si="140"/>
        <v>8.9876825426493667E-9</v>
      </c>
      <c r="AZ268" s="36">
        <f t="shared" si="141"/>
        <v>1080577.7610325073</v>
      </c>
      <c r="BA268" s="36">
        <f t="shared" si="142"/>
        <v>1.3808885483403246E-5</v>
      </c>
      <c r="BB268" s="38">
        <f t="shared" si="143"/>
        <v>4709180.4290750874</v>
      </c>
      <c r="BC268" s="40">
        <f t="shared" si="144"/>
        <v>-13109.609987412579</v>
      </c>
      <c r="BD268" s="41">
        <f t="shared" si="145"/>
        <v>-0.2776112834868395</v>
      </c>
      <c r="BE268" s="38">
        <v>4223996.01</v>
      </c>
      <c r="BF268" s="42">
        <f>テーブル2[[#This Row],[q_P]]/テーブル2[[#This Row],[q_M]]</f>
        <v>1.1148638440771368</v>
      </c>
      <c r="BG268" s="36">
        <v>1</v>
      </c>
      <c r="BH268" s="36">
        <v>-3.2000000000000001E-2</v>
      </c>
      <c r="BI268" s="36">
        <v>4.5999999999999999E-2</v>
      </c>
      <c r="BJ268" s="36">
        <v>5625</v>
      </c>
      <c r="BK268" s="22">
        <v>1</v>
      </c>
      <c r="BL268" s="36">
        <f>テーブル2[[#This Row],[Ts]]-テーブル2[[#This Row],[Tin]]</f>
        <v>75.461577012952148</v>
      </c>
      <c r="BM268" s="36">
        <f>テーブル2[[#This Row],[q_P]]*0.000001</f>
        <v>4.7091804290750874</v>
      </c>
      <c r="BN268" s="36">
        <f>テーブル2[[#This Row],[Tsub]]</f>
        <v>75.461577012952148</v>
      </c>
      <c r="BO268" s="36">
        <f>テーブル2[[#This Row],[Fcorr]]</f>
        <v>1</v>
      </c>
      <c r="BP268" s="36">
        <f>(テーブル2[[#This Row],[Tsub]]-40)^2</f>
        <v>1257.5234442455362</v>
      </c>
      <c r="BQ268" s="36">
        <v>1</v>
      </c>
      <c r="BR268" s="36">
        <v>0.30480000000000002</v>
      </c>
    </row>
    <row r="269" spans="1:70" x14ac:dyDescent="0.15">
      <c r="A269" s="35" t="s">
        <v>113</v>
      </c>
      <c r="B269" s="36">
        <v>13789514.586336</v>
      </c>
      <c r="C269" s="22">
        <f>TsatFromP(テーブル2[[#This Row],[P]])</f>
        <v>608.62107399852357</v>
      </c>
      <c r="D269" s="36">
        <f>RhoGFromP(テーブル2[[#This Row],[P]])</f>
        <v>85.147847035840741</v>
      </c>
      <c r="E269" s="36">
        <f>RhoFFromP(テーブル2[[#This Row],[P]])</f>
        <v>624.86636713482415</v>
      </c>
      <c r="F269" s="36">
        <f>HgFromP(テーブル2[[#This Row],[P]])</f>
        <v>2643264.5206450778</v>
      </c>
      <c r="G269" s="36">
        <f>HfFromP(テーブル2[[#This Row],[P]])</f>
        <v>1562686.7596125705</v>
      </c>
      <c r="H269" s="36">
        <f>MuGFromP(テーブル2[[#This Row],[P]])</f>
        <v>2.2019591234371903E-5</v>
      </c>
      <c r="I269" s="36">
        <f>MuFFromP(テーブル2[[#This Row],[P]])</f>
        <v>7.222326555143516E-5</v>
      </c>
      <c r="J269" s="36">
        <f>KfFromP(テーブル2[[#This Row],[P]])</f>
        <v>0.49112131073334553</v>
      </c>
      <c r="K269" s="36">
        <f>CpFFromP(テーブル2[[#This Row],[P]])</f>
        <v>7679.7488518783057</v>
      </c>
      <c r="L269" s="36">
        <f>SigmaFromP(テーブル2[[#This Row],[P]])</f>
        <v>6.5036449518301549E-3</v>
      </c>
      <c r="M269" s="36">
        <v>134.01</v>
      </c>
      <c r="N269" s="36">
        <v>2780.2714999999998</v>
      </c>
      <c r="O269" s="37">
        <f t="shared" si="116"/>
        <v>1.7530051946857026E-5</v>
      </c>
      <c r="P269" s="37">
        <f t="shared" si="117"/>
        <v>1.4842140332619616E-2</v>
      </c>
      <c r="Q269" s="37">
        <v>4.7243999999999993E-3</v>
      </c>
      <c r="R269" s="36">
        <v>0.30480000000000002</v>
      </c>
      <c r="S269" s="38">
        <v>4742309.1888427734</v>
      </c>
      <c r="T269" s="36">
        <v>533.15949698557142</v>
      </c>
      <c r="U269" s="12">
        <f>+T269+BG269*S269*テーブル2[[#This Row],[Pw]]*R269/(N269*O269*K269)</f>
        <v>590.47656061941893</v>
      </c>
      <c r="V269" s="36">
        <v>0.03</v>
      </c>
      <c r="W269" s="37">
        <f t="shared" si="118"/>
        <v>181868.19128588942</v>
      </c>
      <c r="X269" s="36">
        <v>2.6844736024774631E-2</v>
      </c>
      <c r="Y269" s="36">
        <f t="shared" si="119"/>
        <v>6.1033802938729345</v>
      </c>
      <c r="Z269" s="36">
        <f t="shared" si="120"/>
        <v>6.1033802992093893</v>
      </c>
      <c r="AA269" s="36">
        <f t="shared" si="121"/>
        <v>-5.3364548335821382E-9</v>
      </c>
      <c r="AB269" s="36">
        <f t="shared" si="122"/>
        <v>1.8801030481881615E-5</v>
      </c>
      <c r="AC269" s="36">
        <v>638.93296131282807</v>
      </c>
      <c r="AD269" s="36">
        <f t="shared" si="123"/>
        <v>5267.5822719700045</v>
      </c>
      <c r="AE269" s="36">
        <f>+gettm2(AD269,AC269,AK269,AL269,テーブル2[[#This Row],[Fcorr]])</f>
        <v>590.47656100874838</v>
      </c>
      <c r="AF269" s="39">
        <f t="shared" si="124"/>
        <v>3.8932944335101638E-7</v>
      </c>
      <c r="AG269" s="36">
        <v>1.8896570438925893E-5</v>
      </c>
      <c r="AH269" s="36">
        <f t="shared" si="125"/>
        <v>41.510352050740998</v>
      </c>
      <c r="AI269" s="36">
        <f t="shared" si="126"/>
        <v>0.25774166720799513</v>
      </c>
      <c r="AJ269" s="36">
        <f t="shared" si="127"/>
        <v>42.138362308491445</v>
      </c>
      <c r="AK269" s="36">
        <f>+S88*テーブル2[[#This Row],[F_form]]/(E88*CpFromTP((テーブル2[[#This Row],[Tin]]+テーブル2[[#This Row],[Tf]])/2,テーブル2[[#This Row],[P]])*AI88)</f>
        <v>1.8984146109899713</v>
      </c>
      <c r="AL269" s="36">
        <f t="shared" si="128"/>
        <v>1.1293676909872215</v>
      </c>
      <c r="AM269" s="36">
        <f t="shared" si="129"/>
        <v>608.62107399631861</v>
      </c>
      <c r="AN269" s="36">
        <f t="shared" si="130"/>
        <v>2.2049562176107429E-9</v>
      </c>
      <c r="AO269" s="36">
        <f t="shared" si="131"/>
        <v>9.5539957044277982E-8</v>
      </c>
      <c r="AP269" s="36">
        <v>3.4129215378766959</v>
      </c>
      <c r="AQ269" s="36">
        <f t="shared" si="132"/>
        <v>4.6815569026122389E-5</v>
      </c>
      <c r="AR269" s="36">
        <f t="shared" si="133"/>
        <v>9.4960551979850854E-6</v>
      </c>
      <c r="AS269" s="36">
        <f t="shared" si="134"/>
        <v>21.175705704239629</v>
      </c>
      <c r="AT269" s="36">
        <f t="shared" si="135"/>
        <v>12.214272836097983</v>
      </c>
      <c r="AU269" s="36">
        <f t="shared" si="136"/>
        <v>3.1481270445092213</v>
      </c>
      <c r="AV269" s="36">
        <f t="shared" si="137"/>
        <v>0.26479449336747463</v>
      </c>
      <c r="AW269" s="36">
        <f t="shared" si="138"/>
        <v>1.1303389177391251E-2</v>
      </c>
      <c r="AX269" s="36">
        <f t="shared" si="139"/>
        <v>0.26479448407865497</v>
      </c>
      <c r="AY269" s="36">
        <f t="shared" si="140"/>
        <v>9.2888196578932991E-9</v>
      </c>
      <c r="AZ269" s="36">
        <f t="shared" si="141"/>
        <v>1080577.7610325073</v>
      </c>
      <c r="BA269" s="36">
        <f t="shared" si="142"/>
        <v>1.3717153619431895E-5</v>
      </c>
      <c r="BB269" s="38">
        <f t="shared" si="143"/>
        <v>4702883.4332476696</v>
      </c>
      <c r="BC269" s="40">
        <f t="shared" si="144"/>
        <v>-39425.755595103838</v>
      </c>
      <c r="BD269" s="41">
        <f t="shared" si="145"/>
        <v>-0.83136198052756205</v>
      </c>
      <c r="BE269" s="38">
        <v>4192450.1099999989</v>
      </c>
      <c r="BF269" s="42">
        <f>テーブル2[[#This Row],[q_P]]/テーブル2[[#This Row],[q_M]]</f>
        <v>1.1217506016422627</v>
      </c>
      <c r="BG269" s="36">
        <v>1</v>
      </c>
      <c r="BH269" s="36">
        <v>-3.6999999999999998E-2</v>
      </c>
      <c r="BI269" s="36">
        <v>4.5999999999999999E-2</v>
      </c>
      <c r="BJ269" s="36">
        <v>5625</v>
      </c>
      <c r="BK269" s="22">
        <v>1</v>
      </c>
      <c r="BL269" s="36">
        <f>テーブル2[[#This Row],[Ts]]-テーブル2[[#This Row],[Tin]]</f>
        <v>75.461577012952148</v>
      </c>
      <c r="BM269" s="36">
        <f>テーブル2[[#This Row],[q_P]]*0.000001</f>
        <v>4.7028834332476697</v>
      </c>
      <c r="BN269" s="36">
        <f>テーブル2[[#This Row],[Tsub]]</f>
        <v>75.461577012952148</v>
      </c>
      <c r="BO269" s="36">
        <f>テーブル2[[#This Row],[Fcorr]]</f>
        <v>1</v>
      </c>
      <c r="BP269" s="36">
        <f>(テーブル2[[#This Row],[Tsub]]-40)^2</f>
        <v>1257.5234442455362</v>
      </c>
      <c r="BQ269" s="36">
        <v>1</v>
      </c>
      <c r="BR269" s="36">
        <v>0.30480000000000002</v>
      </c>
    </row>
    <row r="270" spans="1:70" x14ac:dyDescent="0.15">
      <c r="A270" s="35" t="s">
        <v>114</v>
      </c>
      <c r="B270" s="36">
        <v>13789514.586336</v>
      </c>
      <c r="C270" s="22">
        <f>TsatFromP(テーブル2[[#This Row],[P]])</f>
        <v>608.62107399852357</v>
      </c>
      <c r="D270" s="36">
        <f>RhoGFromP(テーブル2[[#This Row],[P]])</f>
        <v>85.147847035840741</v>
      </c>
      <c r="E270" s="36">
        <f>RhoFFromP(テーブル2[[#This Row],[P]])</f>
        <v>624.86636713482415</v>
      </c>
      <c r="F270" s="36">
        <f>HgFromP(テーブル2[[#This Row],[P]])</f>
        <v>2643264.5206450778</v>
      </c>
      <c r="G270" s="36">
        <f>HfFromP(テーブル2[[#This Row],[P]])</f>
        <v>1562686.7596125705</v>
      </c>
      <c r="H270" s="36">
        <f>MuGFromP(テーブル2[[#This Row],[P]])</f>
        <v>2.2019591234371903E-5</v>
      </c>
      <c r="I270" s="36">
        <f>MuFFromP(テーブル2[[#This Row],[P]])</f>
        <v>7.222326555143516E-5</v>
      </c>
      <c r="J270" s="36">
        <f>KfFromP(テーブル2[[#This Row],[P]])</f>
        <v>0.49112131073334553</v>
      </c>
      <c r="K270" s="36">
        <f>CpFFromP(テーブル2[[#This Row],[P]])</f>
        <v>7679.7488518783057</v>
      </c>
      <c r="L270" s="36">
        <f>SigmaFromP(テーブル2[[#This Row],[P]])</f>
        <v>6.5036449518301549E-3</v>
      </c>
      <c r="M270" s="36">
        <v>135.01</v>
      </c>
      <c r="N270" s="36">
        <v>2793.8337999999999</v>
      </c>
      <c r="O270" s="37">
        <f t="shared" si="116"/>
        <v>1.7530051946857026E-5</v>
      </c>
      <c r="P270" s="37">
        <f t="shared" si="117"/>
        <v>1.4842140332619616E-2</v>
      </c>
      <c r="Q270" s="37">
        <v>4.7243999999999993E-3</v>
      </c>
      <c r="R270" s="36">
        <v>0.30480000000000002</v>
      </c>
      <c r="S270" s="38">
        <v>4627505.4931640625</v>
      </c>
      <c r="T270" s="36">
        <v>534.83669455149322</v>
      </c>
      <c r="U270" s="12">
        <f>+T270+BG270*S270*テーブル2[[#This Row],[Pw]]*R270/(N270*O270*K270)</f>
        <v>590.49470157574638</v>
      </c>
      <c r="V270" s="36">
        <v>0.03</v>
      </c>
      <c r="W270" s="37">
        <f t="shared" si="118"/>
        <v>182755.35319460108</v>
      </c>
      <c r="X270" s="36">
        <v>2.6789100156782868E-2</v>
      </c>
      <c r="Y270" s="36">
        <f t="shared" si="119"/>
        <v>6.1097147869546689</v>
      </c>
      <c r="Z270" s="36">
        <f t="shared" si="120"/>
        <v>6.109714791280668</v>
      </c>
      <c r="AA270" s="36">
        <f t="shared" si="121"/>
        <v>-4.3259991144850574E-9</v>
      </c>
      <c r="AB270" s="36">
        <f t="shared" si="122"/>
        <v>1.865760724678427E-5</v>
      </c>
      <c r="AC270" s="36">
        <v>638.82235674301114</v>
      </c>
      <c r="AD270" s="36">
        <f t="shared" si="123"/>
        <v>5287.7897761270633</v>
      </c>
      <c r="AE270" s="36">
        <f>+gettm2(AD270,AC270,AK270,AL270,テーブル2[[#This Row],[Fcorr]])</f>
        <v>590.49470157574638</v>
      </c>
      <c r="AF270" s="39">
        <f t="shared" si="124"/>
        <v>0</v>
      </c>
      <c r="AG270" s="36">
        <v>1.8750204719324831E-5</v>
      </c>
      <c r="AH270" s="36">
        <f t="shared" si="125"/>
        <v>41.829447039846478</v>
      </c>
      <c r="AI270" s="36">
        <f t="shared" si="126"/>
        <v>0.25873041603860525</v>
      </c>
      <c r="AJ270" s="36">
        <f t="shared" si="127"/>
        <v>41.97237355648771</v>
      </c>
      <c r="AK270" s="36">
        <f>+S88*テーブル2[[#This Row],[F_form]]/(E88*CpFromTP((テーブル2[[#This Row],[Tin]]+テーブル2[[#This Row],[Tf]])/2,テーブル2[[#This Row],[P]])*AI88)</f>
        <v>1.892657143907732</v>
      </c>
      <c r="AL270" s="36">
        <f t="shared" si="128"/>
        <v>1.1293676909872215</v>
      </c>
      <c r="AM270" s="36">
        <f t="shared" si="129"/>
        <v>608.621073996571</v>
      </c>
      <c r="AN270" s="36">
        <f t="shared" si="130"/>
        <v>1.9525714378687553E-9</v>
      </c>
      <c r="AO270" s="36">
        <f t="shared" si="131"/>
        <v>9.2597472540560238E-8</v>
      </c>
      <c r="AP270" s="36">
        <v>3.4201920084805897</v>
      </c>
      <c r="AQ270" s="36">
        <f t="shared" si="132"/>
        <v>4.6616744255095252E-5</v>
      </c>
      <c r="AR270" s="36">
        <f t="shared" si="133"/>
        <v>9.4214010959326955E-6</v>
      </c>
      <c r="AS270" s="36">
        <f t="shared" si="134"/>
        <v>21.089826598876144</v>
      </c>
      <c r="AT270" s="36">
        <f t="shared" si="135"/>
        <v>12.193953862487387</v>
      </c>
      <c r="AU270" s="36">
        <f t="shared" si="136"/>
        <v>3.1549467559969191</v>
      </c>
      <c r="AV270" s="36">
        <f t="shared" si="137"/>
        <v>0.26524525248367059</v>
      </c>
      <c r="AW270" s="36">
        <f t="shared" si="138"/>
        <v>1.1217161529127604E-2</v>
      </c>
      <c r="AX270" s="36">
        <f t="shared" si="139"/>
        <v>0.26524524290921508</v>
      </c>
      <c r="AY270" s="36">
        <f t="shared" si="140"/>
        <v>9.5744555062005077E-9</v>
      </c>
      <c r="AZ270" s="36">
        <f t="shared" si="141"/>
        <v>1080577.7610325073</v>
      </c>
      <c r="BA270" s="36">
        <f t="shared" si="142"/>
        <v>1.3629861756154621E-5</v>
      </c>
      <c r="BB270" s="38">
        <f t="shared" si="143"/>
        <v>4587233.6015200578</v>
      </c>
      <c r="BC270" s="40">
        <f t="shared" si="144"/>
        <v>-40271.891644004732</v>
      </c>
      <c r="BD270" s="41">
        <f t="shared" si="145"/>
        <v>-0.87027215210216369</v>
      </c>
      <c r="BE270" s="38">
        <v>4126203.7199999988</v>
      </c>
      <c r="BF270" s="42">
        <f>テーブル2[[#This Row],[q_P]]/テーブル2[[#This Row],[q_M]]</f>
        <v>1.1117322150831803</v>
      </c>
      <c r="BG270" s="36">
        <v>1</v>
      </c>
      <c r="BH270" s="36">
        <v>-3.6999999999999998E-2</v>
      </c>
      <c r="BI270" s="36">
        <v>4.5999999999999999E-2</v>
      </c>
      <c r="BJ270" s="36">
        <v>5625</v>
      </c>
      <c r="BK270" s="22">
        <v>1</v>
      </c>
      <c r="BL270" s="36">
        <f>テーブル2[[#This Row],[Ts]]-テーブル2[[#This Row],[Tin]]</f>
        <v>73.784379447030346</v>
      </c>
      <c r="BM270" s="36">
        <f>テーブル2[[#This Row],[q_P]]*0.000001</f>
        <v>4.5872336015200572</v>
      </c>
      <c r="BN270" s="36">
        <f>テーブル2[[#This Row],[Tsub]]</f>
        <v>73.784379447030346</v>
      </c>
      <c r="BO270" s="36">
        <f>テーブル2[[#This Row],[Fcorr]]</f>
        <v>1</v>
      </c>
      <c r="BP270" s="36">
        <f>(テーブル2[[#This Row],[Tsub]]-40)^2</f>
        <v>1141.3842946209265</v>
      </c>
      <c r="BQ270" s="36">
        <v>1</v>
      </c>
      <c r="BR270" s="36">
        <v>0.30480000000000002</v>
      </c>
    </row>
    <row r="271" spans="1:70" x14ac:dyDescent="0.15">
      <c r="A271" s="35" t="s">
        <v>115</v>
      </c>
      <c r="B271" s="36">
        <v>13789514.586336</v>
      </c>
      <c r="C271" s="22">
        <f>TsatFromP(テーブル2[[#This Row],[P]])</f>
        <v>608.62107399852357</v>
      </c>
      <c r="D271" s="36">
        <f>RhoGFromP(テーブル2[[#This Row],[P]])</f>
        <v>85.147847035840741</v>
      </c>
      <c r="E271" s="36">
        <f>RhoFFromP(テーブル2[[#This Row],[P]])</f>
        <v>624.86636713482415</v>
      </c>
      <c r="F271" s="36">
        <f>HgFromP(テーブル2[[#This Row],[P]])</f>
        <v>2643264.5206450778</v>
      </c>
      <c r="G271" s="36">
        <f>HfFromP(テーブル2[[#This Row],[P]])</f>
        <v>1562686.7596125705</v>
      </c>
      <c r="H271" s="36">
        <f>MuGFromP(テーブル2[[#This Row],[P]])</f>
        <v>2.2019591234371903E-5</v>
      </c>
      <c r="I271" s="36">
        <f>MuFFromP(テーブル2[[#This Row],[P]])</f>
        <v>7.222326555143516E-5</v>
      </c>
      <c r="J271" s="36">
        <f>KfFromP(テーブル2[[#This Row],[P]])</f>
        <v>0.49112131073334553</v>
      </c>
      <c r="K271" s="36">
        <f>CpFFromP(テーブル2[[#This Row],[P]])</f>
        <v>7679.7488518783057</v>
      </c>
      <c r="L271" s="36">
        <f>SigmaFromP(テーブル2[[#This Row],[P]])</f>
        <v>6.5036449518301549E-3</v>
      </c>
      <c r="M271" s="36">
        <v>136.01</v>
      </c>
      <c r="N271" s="36">
        <v>2793.8337999999999</v>
      </c>
      <c r="O271" s="37">
        <f t="shared" si="116"/>
        <v>1.7530051946857026E-5</v>
      </c>
      <c r="P271" s="37">
        <f t="shared" si="117"/>
        <v>1.4842140332619616E-2</v>
      </c>
      <c r="Q271" s="37">
        <v>4.7243999999999993E-3</v>
      </c>
      <c r="R271" s="36">
        <v>0.30480000000000002</v>
      </c>
      <c r="S271" s="38">
        <v>4762328.3386230469</v>
      </c>
      <c r="T271" s="36">
        <v>533.15949698557142</v>
      </c>
      <c r="U271" s="12">
        <f>+T271+BG271*S271*テーブル2[[#This Row],[Pw]]*R271/(N271*O271*K271)</f>
        <v>590.43910573253913</v>
      </c>
      <c r="V271" s="36">
        <v>0.03</v>
      </c>
      <c r="W271" s="37">
        <f t="shared" si="118"/>
        <v>182755.35319460108</v>
      </c>
      <c r="X271" s="36">
        <v>2.6789100156782868E-2</v>
      </c>
      <c r="Y271" s="36">
        <f t="shared" si="119"/>
        <v>6.1097147869546689</v>
      </c>
      <c r="Z271" s="36">
        <f t="shared" si="120"/>
        <v>6.109714791280668</v>
      </c>
      <c r="AA271" s="36">
        <f t="shared" si="121"/>
        <v>-4.3259991144850574E-9</v>
      </c>
      <c r="AB271" s="36">
        <f t="shared" si="122"/>
        <v>1.865760724678427E-5</v>
      </c>
      <c r="AC271" s="36">
        <v>638.91697116509147</v>
      </c>
      <c r="AD271" s="36">
        <f t="shared" si="123"/>
        <v>5287.7897761270633</v>
      </c>
      <c r="AE271" s="36">
        <f>+gettm2(AD271,AC271,AK271,AL271,テーブル2[[#This Row],[Fcorr]])</f>
        <v>590.43910573253913</v>
      </c>
      <c r="AF271" s="39">
        <f t="shared" si="124"/>
        <v>0</v>
      </c>
      <c r="AG271" s="36">
        <v>1.8753143648943938E-5</v>
      </c>
      <c r="AH271" s="36">
        <f t="shared" si="125"/>
        <v>41.829447039846478</v>
      </c>
      <c r="AI271" s="36">
        <f t="shared" si="126"/>
        <v>0.25873041603860525</v>
      </c>
      <c r="AJ271" s="36">
        <f t="shared" si="127"/>
        <v>41.978952356755542</v>
      </c>
      <c r="AK271" s="36">
        <f>+S88*テーブル2[[#This Row],[F_form]]/(E88*CpFromTP((テーブル2[[#This Row],[Tin]]+テーブル2[[#This Row],[Tf]])/2,テーブル2[[#This Row],[P]])*AI88)</f>
        <v>1.8985398322090954</v>
      </c>
      <c r="AL271" s="36">
        <f t="shared" si="128"/>
        <v>1.1293676909872215</v>
      </c>
      <c r="AM271" s="36">
        <f t="shared" si="129"/>
        <v>608.62107399656725</v>
      </c>
      <c r="AN271" s="36">
        <f t="shared" si="130"/>
        <v>1.9563231035135686E-9</v>
      </c>
      <c r="AO271" s="36">
        <f t="shared" si="131"/>
        <v>9.5536402159667291E-8</v>
      </c>
      <c r="AP271" s="36">
        <v>3.4205664537512539</v>
      </c>
      <c r="AQ271" s="36">
        <f t="shared" si="132"/>
        <v>4.6606538656552292E-5</v>
      </c>
      <c r="AR271" s="36">
        <f t="shared" si="133"/>
        <v>9.4243400255518025E-6</v>
      </c>
      <c r="AS271" s="36">
        <f t="shared" si="134"/>
        <v>21.096405399143979</v>
      </c>
      <c r="AT271" s="36">
        <f t="shared" si="135"/>
        <v>12.195513328694627</v>
      </c>
      <c r="AU271" s="36">
        <f t="shared" si="136"/>
        <v>3.1553502373375166</v>
      </c>
      <c r="AV271" s="36">
        <f t="shared" si="137"/>
        <v>0.26521621641373727</v>
      </c>
      <c r="AW271" s="36">
        <f t="shared" si="138"/>
        <v>1.1217161529127604E-2</v>
      </c>
      <c r="AX271" s="36">
        <f t="shared" si="139"/>
        <v>0.26521620683343167</v>
      </c>
      <c r="AY271" s="36">
        <f t="shared" si="140"/>
        <v>9.580305604384165E-9</v>
      </c>
      <c r="AZ271" s="36">
        <f t="shared" si="141"/>
        <v>1080577.7610325073</v>
      </c>
      <c r="BA271" s="36">
        <f t="shared" si="142"/>
        <v>1.3625386112712416E-5</v>
      </c>
      <c r="BB271" s="38">
        <f t="shared" si="143"/>
        <v>4734381.3714386141</v>
      </c>
      <c r="BC271" s="40">
        <f t="shared" si="144"/>
        <v>-27946.967184432782</v>
      </c>
      <c r="BD271" s="41">
        <f t="shared" si="145"/>
        <v>-0.58683411132700725</v>
      </c>
      <c r="BE271" s="38">
        <v>4189295.52</v>
      </c>
      <c r="BF271" s="42">
        <f>テーブル2[[#This Row],[q_P]]/テーブル2[[#This Row],[q_M]]</f>
        <v>1.1301139651849184</v>
      </c>
      <c r="BG271" s="36">
        <v>1</v>
      </c>
      <c r="BH271" s="36">
        <v>-3.9E-2</v>
      </c>
      <c r="BI271" s="36">
        <v>4.5999999999999999E-2</v>
      </c>
      <c r="BJ271" s="36">
        <v>5625</v>
      </c>
      <c r="BK271" s="22">
        <v>1</v>
      </c>
      <c r="BL271" s="36">
        <f>テーブル2[[#This Row],[Ts]]-テーブル2[[#This Row],[Tin]]</f>
        <v>75.461577012952148</v>
      </c>
      <c r="BM271" s="36">
        <f>テーブル2[[#This Row],[q_P]]*0.000001</f>
        <v>4.734381371438614</v>
      </c>
      <c r="BN271" s="36">
        <f>テーブル2[[#This Row],[Tsub]]</f>
        <v>75.461577012952148</v>
      </c>
      <c r="BO271" s="36">
        <f>テーブル2[[#This Row],[Fcorr]]</f>
        <v>1</v>
      </c>
      <c r="BP271" s="36">
        <f>(テーブル2[[#This Row],[Tsub]]-40)^2</f>
        <v>1257.5234442455362</v>
      </c>
      <c r="BQ271" s="36">
        <v>1</v>
      </c>
      <c r="BR271" s="36">
        <v>0.30480000000000002</v>
      </c>
    </row>
    <row r="272" spans="1:70" x14ac:dyDescent="0.15">
      <c r="A272" s="35" t="s">
        <v>116</v>
      </c>
      <c r="B272" s="36">
        <v>13789514.586336</v>
      </c>
      <c r="C272" s="22">
        <f>TsatFromP(テーブル2[[#This Row],[P]])</f>
        <v>608.62107399852357</v>
      </c>
      <c r="D272" s="36">
        <f>RhoGFromP(テーブル2[[#This Row],[P]])</f>
        <v>85.147847035840741</v>
      </c>
      <c r="E272" s="36">
        <f>RhoFFromP(テーブル2[[#This Row],[P]])</f>
        <v>624.86636713482415</v>
      </c>
      <c r="F272" s="36">
        <f>HgFromP(テーブル2[[#This Row],[P]])</f>
        <v>2643264.5206450778</v>
      </c>
      <c r="G272" s="36">
        <f>HfFromP(テーブル2[[#This Row],[P]])</f>
        <v>1562686.7596125705</v>
      </c>
      <c r="H272" s="36">
        <f>MuGFromP(テーブル2[[#This Row],[P]])</f>
        <v>2.2019591234371903E-5</v>
      </c>
      <c r="I272" s="36">
        <f>MuFFromP(テーブル2[[#This Row],[P]])</f>
        <v>7.222326555143516E-5</v>
      </c>
      <c r="J272" s="36">
        <f>KfFromP(テーブル2[[#This Row],[P]])</f>
        <v>0.49112131073334553</v>
      </c>
      <c r="K272" s="36">
        <f>CpFFromP(テーブル2[[#This Row],[P]])</f>
        <v>7679.7488518783057</v>
      </c>
      <c r="L272" s="36">
        <f>SigmaFromP(テーブル2[[#This Row],[P]])</f>
        <v>6.5036449518301549E-3</v>
      </c>
      <c r="M272" s="36">
        <v>137.01</v>
      </c>
      <c r="N272" s="36">
        <v>2797.9024899999999</v>
      </c>
      <c r="O272" s="37">
        <f t="shared" si="116"/>
        <v>1.7530051946857026E-5</v>
      </c>
      <c r="P272" s="37">
        <f t="shared" si="117"/>
        <v>1.4842140332619616E-2</v>
      </c>
      <c r="Q272" s="37">
        <v>4.7243999999999993E-3</v>
      </c>
      <c r="R272" s="36">
        <v>0.30480000000000002</v>
      </c>
      <c r="S272" s="38">
        <v>4900056.4575195313</v>
      </c>
      <c r="T272" s="36">
        <v>531.52417959469983</v>
      </c>
      <c r="U272" s="12">
        <f>+T272+BG272*S272*テーブル2[[#This Row],[Pw]]*R272/(N272*O272*K272)</f>
        <v>590.37462913236652</v>
      </c>
      <c r="V272" s="36">
        <v>0.03</v>
      </c>
      <c r="W272" s="37">
        <f t="shared" si="118"/>
        <v>183021.50176721456</v>
      </c>
      <c r="X272" s="36">
        <v>2.6772494735712648E-2</v>
      </c>
      <c r="Y272" s="36">
        <f t="shared" si="119"/>
        <v>6.1116092435783598</v>
      </c>
      <c r="Z272" s="36">
        <f t="shared" si="120"/>
        <v>6.1116092476129102</v>
      </c>
      <c r="AA272" s="36">
        <f t="shared" si="121"/>
        <v>-4.0345504714878189E-9</v>
      </c>
      <c r="AB272" s="36">
        <f t="shared" si="122"/>
        <v>1.8614921777151876E-5</v>
      </c>
      <c r="AC272" s="36">
        <v>639.00332624775865</v>
      </c>
      <c r="AD272" s="36">
        <f t="shared" si="123"/>
        <v>5293.8489620603559</v>
      </c>
      <c r="AE272" s="36">
        <f>+gettm2(AD272,AC272,AK272,AL272,テーブル2[[#This Row],[Fcorr]])</f>
        <v>590.37462952239969</v>
      </c>
      <c r="AF272" s="39">
        <f t="shared" si="124"/>
        <v>3.9003316487651318E-7</v>
      </c>
      <c r="AG272" s="36">
        <v>1.8714056846303754E-5</v>
      </c>
      <c r="AH272" s="36">
        <f t="shared" si="125"/>
        <v>41.925365229175149</v>
      </c>
      <c r="AI272" s="36">
        <f t="shared" si="126"/>
        <v>0.25902689070264229</v>
      </c>
      <c r="AJ272" s="36">
        <f t="shared" si="127"/>
        <v>41.939459153223112</v>
      </c>
      <c r="AK272" s="36">
        <f>+S88*テーブル2[[#This Row],[F_form]]/(E88*CpFromTP((テーブル2[[#This Row],[Tin]]+テーブル2[[#This Row],[Tf]])/2,テーブル2[[#This Row],[P]])*AI88)</f>
        <v>1.9042322046930524</v>
      </c>
      <c r="AL272" s="36">
        <f t="shared" si="128"/>
        <v>1.1293676909872215</v>
      </c>
      <c r="AM272" s="36">
        <f t="shared" si="129"/>
        <v>608.62107399659669</v>
      </c>
      <c r="AN272" s="36">
        <f t="shared" si="130"/>
        <v>1.9268782125436701E-9</v>
      </c>
      <c r="AO272" s="36">
        <f t="shared" si="131"/>
        <v>9.9135069151877752E-8</v>
      </c>
      <c r="AP272" s="36">
        <v>3.423315272216636</v>
      </c>
      <c r="AQ272" s="36">
        <f t="shared" si="132"/>
        <v>4.6531721429105324E-5</v>
      </c>
      <c r="AR272" s="36">
        <f t="shared" si="133"/>
        <v>9.4065959577278159E-6</v>
      </c>
      <c r="AS272" s="36">
        <f t="shared" si="134"/>
        <v>21.080813753000822</v>
      </c>
      <c r="AT272" s="36">
        <f t="shared" si="135"/>
        <v>12.19181663005806</v>
      </c>
      <c r="AU272" s="36">
        <f t="shared" si="136"/>
        <v>3.1580083537007058</v>
      </c>
      <c r="AV272" s="36">
        <f t="shared" si="137"/>
        <v>0.26530691851593025</v>
      </c>
      <c r="AW272" s="36">
        <f t="shared" si="138"/>
        <v>1.1191498548795776E-2</v>
      </c>
      <c r="AX272" s="36">
        <f t="shared" si="139"/>
        <v>0.26530690884380859</v>
      </c>
      <c r="AY272" s="36">
        <f t="shared" si="140"/>
        <v>9.672121659143329E-9</v>
      </c>
      <c r="AZ272" s="36">
        <f t="shared" si="141"/>
        <v>1080577.7610325073</v>
      </c>
      <c r="BA272" s="36">
        <f t="shared" si="142"/>
        <v>1.3592590144049308E-5</v>
      </c>
      <c r="BB272" s="38">
        <f t="shared" si="143"/>
        <v>4924569.4552677311</v>
      </c>
      <c r="BC272" s="40">
        <f t="shared" si="144"/>
        <v>24512.99774819985</v>
      </c>
      <c r="BD272" s="41">
        <f t="shared" si="145"/>
        <v>0.50025949620606269</v>
      </c>
      <c r="BE272" s="38">
        <v>4312324.5299999993</v>
      </c>
      <c r="BF272" s="42">
        <f>テーブル2[[#This Row],[q_P]]/テーブル2[[#This Row],[q_M]]</f>
        <v>1.1419756145458124</v>
      </c>
      <c r="BG272" s="36">
        <v>1</v>
      </c>
      <c r="BH272" s="36">
        <v>-3.5999999999999997E-2</v>
      </c>
      <c r="BI272" s="36">
        <v>4.5999999999999999E-2</v>
      </c>
      <c r="BJ272" s="36">
        <v>5625</v>
      </c>
      <c r="BK272" s="22">
        <v>1</v>
      </c>
      <c r="BL272" s="36">
        <f>テーブル2[[#This Row],[Ts]]-テーブル2[[#This Row],[Tin]]</f>
        <v>77.09689440382374</v>
      </c>
      <c r="BM272" s="36">
        <f>テーブル2[[#This Row],[q_P]]*0.000001</f>
        <v>4.924569455267731</v>
      </c>
      <c r="BN272" s="36">
        <f>テーブル2[[#This Row],[Tsub]]</f>
        <v>77.09689440382374</v>
      </c>
      <c r="BO272" s="36">
        <f>テーブル2[[#This Row],[Fcorr]]</f>
        <v>1</v>
      </c>
      <c r="BP272" s="36">
        <f>(テーブル2[[#This Row],[Tsub]]-40)^2</f>
        <v>1376.1795744084491</v>
      </c>
      <c r="BQ272" s="36">
        <v>1</v>
      </c>
      <c r="BR272" s="36">
        <v>0.30480000000000002</v>
      </c>
    </row>
    <row r="273" spans="1:70" x14ac:dyDescent="0.15">
      <c r="A273" s="35" t="s">
        <v>117</v>
      </c>
      <c r="B273" s="36">
        <v>13789514.586336</v>
      </c>
      <c r="C273" s="22">
        <f>TsatFromP(テーブル2[[#This Row],[P]])</f>
        <v>608.62107399852357</v>
      </c>
      <c r="D273" s="36">
        <f>RhoGFromP(テーブル2[[#This Row],[P]])</f>
        <v>85.147847035840741</v>
      </c>
      <c r="E273" s="36">
        <f>RhoFFromP(テーブル2[[#This Row],[P]])</f>
        <v>624.86636713482415</v>
      </c>
      <c r="F273" s="36">
        <f>HgFromP(テーブル2[[#This Row],[P]])</f>
        <v>2643264.5206450778</v>
      </c>
      <c r="G273" s="36">
        <f>HfFromP(テーブル2[[#This Row],[P]])</f>
        <v>1562686.7596125705</v>
      </c>
      <c r="H273" s="36">
        <f>MuGFromP(テーブル2[[#This Row],[P]])</f>
        <v>2.2019591234371903E-5</v>
      </c>
      <c r="I273" s="36">
        <f>MuFFromP(テーブル2[[#This Row],[P]])</f>
        <v>7.222326555143516E-5</v>
      </c>
      <c r="J273" s="36">
        <f>KfFromP(テーブル2[[#This Row],[P]])</f>
        <v>0.49112131073334553</v>
      </c>
      <c r="K273" s="36">
        <f>CpFFromP(テーブル2[[#This Row],[P]])</f>
        <v>7679.7488518783057</v>
      </c>
      <c r="L273" s="36">
        <f>SigmaFromP(テーブル2[[#This Row],[P]])</f>
        <v>6.5036449518301549E-3</v>
      </c>
      <c r="M273" s="36">
        <v>138.01</v>
      </c>
      <c r="N273" s="36">
        <v>2797.9024899999999</v>
      </c>
      <c r="O273" s="37">
        <f t="shared" si="116"/>
        <v>1.7530051946857026E-5</v>
      </c>
      <c r="P273" s="37">
        <f t="shared" si="117"/>
        <v>1.4842140332619616E-2</v>
      </c>
      <c r="Q273" s="37">
        <v>4.7243999999999993E-3</v>
      </c>
      <c r="R273" s="36">
        <v>0.30480000000000002</v>
      </c>
      <c r="S273" s="38">
        <v>4768343.1625366211</v>
      </c>
      <c r="T273" s="36">
        <v>533.15949698557142</v>
      </c>
      <c r="U273" s="12">
        <f>+T273+BG273*S273*テーブル2[[#This Row],[Pw]]*R273/(N273*O273*K273)</f>
        <v>590.42804911306916</v>
      </c>
      <c r="V273" s="36">
        <v>0.03</v>
      </c>
      <c r="W273" s="37">
        <f t="shared" si="118"/>
        <v>183021.50176721456</v>
      </c>
      <c r="X273" s="36">
        <v>2.6772494735712648E-2</v>
      </c>
      <c r="Y273" s="36">
        <f t="shared" si="119"/>
        <v>6.1116092435783598</v>
      </c>
      <c r="Z273" s="36">
        <f t="shared" si="120"/>
        <v>6.1116092476129102</v>
      </c>
      <c r="AA273" s="36">
        <f t="shared" si="121"/>
        <v>-4.0345504714878189E-9</v>
      </c>
      <c r="AB273" s="36">
        <f t="shared" si="122"/>
        <v>1.8614921777151876E-5</v>
      </c>
      <c r="AC273" s="36">
        <v>638.91232322250426</v>
      </c>
      <c r="AD273" s="36">
        <f t="shared" si="123"/>
        <v>5293.8489620603559</v>
      </c>
      <c r="AE273" s="36">
        <f>+gettm2(AD273,AC273,AK273,AL273,テーブル2[[#This Row],[Fcorr]])</f>
        <v>590.42804950219238</v>
      </c>
      <c r="AF273" s="39">
        <f t="shared" si="124"/>
        <v>3.8912321542738937E-7</v>
      </c>
      <c r="AG273" s="36">
        <v>1.8711019691910467E-5</v>
      </c>
      <c r="AH273" s="36">
        <f t="shared" si="125"/>
        <v>41.925365229175149</v>
      </c>
      <c r="AI273" s="36">
        <f t="shared" si="126"/>
        <v>0.25902689070264229</v>
      </c>
      <c r="AJ273" s="36">
        <f t="shared" si="127"/>
        <v>41.932652686102408</v>
      </c>
      <c r="AK273" s="36">
        <f>+S88*テーブル2[[#This Row],[F_form]]/(E88*CpFromTP((テーブル2[[#This Row],[Tin]]+テーブル2[[#This Row],[Tf]])/2,テーブル2[[#This Row],[P]])*AI88)</f>
        <v>1.8985768004599808</v>
      </c>
      <c r="AL273" s="36">
        <f t="shared" si="128"/>
        <v>1.1293676909872215</v>
      </c>
      <c r="AM273" s="36">
        <f t="shared" si="129"/>
        <v>608.62107399661033</v>
      </c>
      <c r="AN273" s="36">
        <f t="shared" si="130"/>
        <v>1.9132357920170762E-9</v>
      </c>
      <c r="AO273" s="36">
        <f t="shared" si="131"/>
        <v>9.6097914758590502E-8</v>
      </c>
      <c r="AP273" s="36">
        <v>3.4229271231508953</v>
      </c>
      <c r="AQ273" s="36">
        <f t="shared" si="132"/>
        <v>4.6542275126332296E-5</v>
      </c>
      <c r="AR273" s="36">
        <f t="shared" si="133"/>
        <v>9.4035588033345287E-6</v>
      </c>
      <c r="AS273" s="36">
        <f t="shared" si="134"/>
        <v>21.074007285880121</v>
      </c>
      <c r="AT273" s="36">
        <f t="shared" si="135"/>
        <v>12.190201994528337</v>
      </c>
      <c r="AU273" s="36">
        <f t="shared" si="136"/>
        <v>3.1575901196798237</v>
      </c>
      <c r="AV273" s="36">
        <f t="shared" si="137"/>
        <v>0.26533700347107159</v>
      </c>
      <c r="AW273" s="36">
        <f t="shared" si="138"/>
        <v>1.1191498548795776E-2</v>
      </c>
      <c r="AX273" s="36">
        <f t="shared" si="139"/>
        <v>0.26533699380474907</v>
      </c>
      <c r="AY273" s="36">
        <f t="shared" si="140"/>
        <v>9.666322520196502E-9</v>
      </c>
      <c r="AZ273" s="36">
        <f t="shared" si="141"/>
        <v>1080577.7610325073</v>
      </c>
      <c r="BA273" s="36">
        <f t="shared" si="142"/>
        <v>1.3597214738094948E-5</v>
      </c>
      <c r="BB273" s="38">
        <f t="shared" si="143"/>
        <v>4772074.1434577424</v>
      </c>
      <c r="BC273" s="40">
        <f t="shared" si="144"/>
        <v>3730.9809211213142</v>
      </c>
      <c r="BD273" s="41">
        <f t="shared" si="145"/>
        <v>7.8244807345965839E-2</v>
      </c>
      <c r="BE273" s="38">
        <v>4258696.5</v>
      </c>
      <c r="BF273" s="42">
        <f>テーブル2[[#This Row],[q_P]]/テーブル2[[#This Row],[q_M]]</f>
        <v>1.120548069921804</v>
      </c>
      <c r="BG273" s="36">
        <v>1</v>
      </c>
      <c r="BH273" s="36">
        <v>-3.3000000000000002E-2</v>
      </c>
      <c r="BI273" s="36">
        <v>4.5999999999999999E-2</v>
      </c>
      <c r="BJ273" s="36">
        <v>5625</v>
      </c>
      <c r="BK273" s="22">
        <v>1</v>
      </c>
      <c r="BL273" s="36">
        <f>テーブル2[[#This Row],[Ts]]-テーブル2[[#This Row],[Tin]]</f>
        <v>75.461577012952148</v>
      </c>
      <c r="BM273" s="36">
        <f>テーブル2[[#This Row],[q_P]]*0.000001</f>
        <v>4.7720741434577425</v>
      </c>
      <c r="BN273" s="36">
        <f>テーブル2[[#This Row],[Tsub]]</f>
        <v>75.461577012952148</v>
      </c>
      <c r="BO273" s="36">
        <f>テーブル2[[#This Row],[Fcorr]]</f>
        <v>1</v>
      </c>
      <c r="BP273" s="36">
        <f>(テーブル2[[#This Row],[Tsub]]-40)^2</f>
        <v>1257.5234442455362</v>
      </c>
      <c r="BQ273" s="36">
        <v>1</v>
      </c>
      <c r="BR273" s="36">
        <v>0.30480000000000002</v>
      </c>
    </row>
    <row r="274" spans="1:70" x14ac:dyDescent="0.15">
      <c r="A274" s="35" t="s">
        <v>118</v>
      </c>
      <c r="B274" s="36">
        <v>13789514.586336</v>
      </c>
      <c r="C274" s="22">
        <f>TsatFromP(テーブル2[[#This Row],[P]])</f>
        <v>608.62107399852357</v>
      </c>
      <c r="D274" s="36">
        <f>RhoGFromP(テーブル2[[#This Row],[P]])</f>
        <v>85.147847035840741</v>
      </c>
      <c r="E274" s="36">
        <f>RhoFFromP(テーブル2[[#This Row],[P]])</f>
        <v>624.86636713482415</v>
      </c>
      <c r="F274" s="36">
        <f>HgFromP(テーブル2[[#This Row],[P]])</f>
        <v>2643264.5206450778</v>
      </c>
      <c r="G274" s="36">
        <f>HfFromP(テーブル2[[#This Row],[P]])</f>
        <v>1562686.7596125705</v>
      </c>
      <c r="H274" s="36">
        <f>MuGFromP(テーブル2[[#This Row],[P]])</f>
        <v>2.2019591234371903E-5</v>
      </c>
      <c r="I274" s="36">
        <f>MuFFromP(テーブル2[[#This Row],[P]])</f>
        <v>7.222326555143516E-5</v>
      </c>
      <c r="J274" s="36">
        <f>KfFromP(テーブル2[[#This Row],[P]])</f>
        <v>0.49112131073334553</v>
      </c>
      <c r="K274" s="36">
        <f>CpFFromP(テーブル2[[#This Row],[P]])</f>
        <v>7679.7488518783057</v>
      </c>
      <c r="L274" s="36">
        <f>SigmaFromP(テーブル2[[#This Row],[P]])</f>
        <v>6.5036449518301549E-3</v>
      </c>
      <c r="M274" s="36">
        <v>139.01</v>
      </c>
      <c r="N274" s="36">
        <v>2820.9584</v>
      </c>
      <c r="O274" s="37">
        <f t="shared" si="116"/>
        <v>1.7530051946857026E-5</v>
      </c>
      <c r="P274" s="37">
        <f t="shared" si="117"/>
        <v>1.4842140332619616E-2</v>
      </c>
      <c r="Q274" s="37">
        <v>4.7243999999999993E-3</v>
      </c>
      <c r="R274" s="36">
        <v>0.30480000000000002</v>
      </c>
      <c r="S274" s="38">
        <v>4892066.9555664063</v>
      </c>
      <c r="T274" s="36">
        <v>532.05389746632522</v>
      </c>
      <c r="U274" s="12">
        <f>+T274+BG274*S274*テーブル2[[#This Row],[Pw]]*R274/(N274*O274*K274)</f>
        <v>590.32818682564687</v>
      </c>
      <c r="V274" s="36">
        <v>0.03</v>
      </c>
      <c r="W274" s="37">
        <f t="shared" si="118"/>
        <v>184529.67701202439</v>
      </c>
      <c r="X274" s="36">
        <v>2.6679131759605231E-2</v>
      </c>
      <c r="Y274" s="36">
        <f t="shared" si="119"/>
        <v>6.1222936186544592</v>
      </c>
      <c r="Z274" s="36">
        <f t="shared" si="120"/>
        <v>6.1222936212139327</v>
      </c>
      <c r="AA274" s="36">
        <f t="shared" si="121"/>
        <v>-2.5594735220124676E-9</v>
      </c>
      <c r="AB274" s="36">
        <f t="shared" si="122"/>
        <v>1.8375964854614119E-5</v>
      </c>
      <c r="AC274" s="36">
        <v>638.94649779656959</v>
      </c>
      <c r="AD274" s="36">
        <f t="shared" si="123"/>
        <v>5328.157798075471</v>
      </c>
      <c r="AE274" s="36">
        <f>+gettm2(AD274,AC274,AK274,AL274,テーブル2[[#This Row],[Fcorr]])</f>
        <v>590.32818721511171</v>
      </c>
      <c r="AF274" s="39">
        <f t="shared" si="124"/>
        <v>3.8946484437474282E-7</v>
      </c>
      <c r="AG274" s="36">
        <v>1.8472607926851392E-5</v>
      </c>
      <c r="AH274" s="36">
        <f t="shared" si="125"/>
        <v>42.470553268589555</v>
      </c>
      <c r="AI274" s="36">
        <f t="shared" si="126"/>
        <v>0.26070561466706071</v>
      </c>
      <c r="AJ274" s="36">
        <f t="shared" si="127"/>
        <v>41.666653956584547</v>
      </c>
      <c r="AK274" s="36">
        <f>+S88*テーブル2[[#This Row],[F_form]]/(E88*CpFromTP((テーブル2[[#This Row],[Tin]]+テーブル2[[#This Row],[Tf]])/2,テーブル2[[#This Row],[P]])*AI88)</f>
        <v>1.9026159638179587</v>
      </c>
      <c r="AL274" s="36">
        <f t="shared" si="128"/>
        <v>1.1293676909872215</v>
      </c>
      <c r="AM274" s="36">
        <f t="shared" si="129"/>
        <v>608.62107397479929</v>
      </c>
      <c r="AN274" s="36">
        <f t="shared" si="130"/>
        <v>2.3724282982584555E-8</v>
      </c>
      <c r="AO274" s="36">
        <f t="shared" si="131"/>
        <v>9.664307223727301E-8</v>
      </c>
      <c r="AP274" s="36">
        <v>3.4359291425881766</v>
      </c>
      <c r="AQ274" s="36">
        <f t="shared" si="132"/>
        <v>4.6190697099932991E-5</v>
      </c>
      <c r="AR274" s="36">
        <f t="shared" si="133"/>
        <v>9.2846254995443325E-6</v>
      </c>
      <c r="AS274" s="36">
        <f t="shared" si="134"/>
        <v>20.942320615361744</v>
      </c>
      <c r="AT274" s="36">
        <f t="shared" si="135"/>
        <v>12.158860107150701</v>
      </c>
      <c r="AU274" s="36">
        <f t="shared" si="136"/>
        <v>3.1698830978855272</v>
      </c>
      <c r="AV274" s="36">
        <f t="shared" si="137"/>
        <v>0.26604604470264936</v>
      </c>
      <c r="AW274" s="36">
        <f t="shared" si="138"/>
        <v>1.1047834982339725E-2</v>
      </c>
      <c r="AX274" s="36">
        <f t="shared" si="139"/>
        <v>0.26604603458009007</v>
      </c>
      <c r="AY274" s="36">
        <f t="shared" si="140"/>
        <v>1.0122559290781652E-8</v>
      </c>
      <c r="AZ274" s="36">
        <f t="shared" si="141"/>
        <v>1080577.7610325073</v>
      </c>
      <c r="BA274" s="36">
        <f t="shared" si="142"/>
        <v>1.3443437039315368E-5</v>
      </c>
      <c r="BB274" s="38">
        <f t="shared" si="143"/>
        <v>4854042.6170459427</v>
      </c>
      <c r="BC274" s="40">
        <f t="shared" si="144"/>
        <v>-38024.338520463556</v>
      </c>
      <c r="BD274" s="41">
        <f t="shared" si="145"/>
        <v>-0.77726529227482899</v>
      </c>
      <c r="BE274" s="38">
        <v>4283933.22</v>
      </c>
      <c r="BF274" s="42">
        <f>テーブル2[[#This Row],[q_P]]/テーブル2[[#This Row],[q_M]]</f>
        <v>1.1330808319757009</v>
      </c>
      <c r="BG274" s="36">
        <v>1</v>
      </c>
      <c r="BH274" s="36">
        <v>-3.9E-2</v>
      </c>
      <c r="BI274" s="36">
        <v>4.5999999999999999E-2</v>
      </c>
      <c r="BJ274" s="36">
        <v>5625</v>
      </c>
      <c r="BK274" s="22">
        <v>1</v>
      </c>
      <c r="BL274" s="36">
        <f>テーブル2[[#This Row],[Ts]]-テーブル2[[#This Row],[Tin]]</f>
        <v>76.567176532198346</v>
      </c>
      <c r="BM274" s="36">
        <f>テーブル2[[#This Row],[q_P]]*0.000001</f>
        <v>4.8540426170459421</v>
      </c>
      <c r="BN274" s="36">
        <f>テーブル2[[#This Row],[Tsub]]</f>
        <v>76.567176532198346</v>
      </c>
      <c r="BO274" s="36">
        <f>テーブル2[[#This Row],[Fcorr]]</f>
        <v>1</v>
      </c>
      <c r="BP274" s="36">
        <f>(テーブル2[[#This Row],[Tsub]]-40)^2</f>
        <v>1337.1583995369574</v>
      </c>
      <c r="BQ274" s="36">
        <v>1</v>
      </c>
      <c r="BR274" s="36">
        <v>0.30480000000000002</v>
      </c>
    </row>
    <row r="275" spans="1:70" x14ac:dyDescent="0.15">
      <c r="A275" s="35" t="s">
        <v>75</v>
      </c>
      <c r="B275" s="36">
        <v>13789514.586336</v>
      </c>
      <c r="C275" s="22">
        <f>TsatFromP(テーブル2[[#This Row],[P]])</f>
        <v>608.62107399852357</v>
      </c>
      <c r="D275" s="36">
        <f>RhoGFromP(テーブル2[[#This Row],[P]])</f>
        <v>85.147847035840741</v>
      </c>
      <c r="E275" s="36">
        <f>RhoFFromP(テーブル2[[#This Row],[P]])</f>
        <v>624.86636713482415</v>
      </c>
      <c r="F275" s="36">
        <f>HgFromP(テーブル2[[#This Row],[P]])</f>
        <v>2643264.5206450778</v>
      </c>
      <c r="G275" s="36">
        <f>HfFromP(テーブル2[[#This Row],[P]])</f>
        <v>1562686.7596125705</v>
      </c>
      <c r="H275" s="36">
        <f>MuGFromP(テーブル2[[#This Row],[P]])</f>
        <v>2.2019591234371903E-5</v>
      </c>
      <c r="I275" s="36">
        <f>MuFFromP(テーブル2[[#This Row],[P]])</f>
        <v>7.222326555143516E-5</v>
      </c>
      <c r="J275" s="36">
        <f>KfFromP(テーブル2[[#This Row],[P]])</f>
        <v>0.49112131073334553</v>
      </c>
      <c r="K275" s="36">
        <f>CpFFromP(テーブル2[[#This Row],[P]])</f>
        <v>7679.7488518783057</v>
      </c>
      <c r="L275" s="36">
        <f>SigmaFromP(テーブル2[[#This Row],[P]])</f>
        <v>6.5036449518301549E-3</v>
      </c>
      <c r="M275" s="36">
        <v>14.01</v>
      </c>
      <c r="N275" s="36">
        <v>3119.3290000000002</v>
      </c>
      <c r="O275" s="37">
        <f t="shared" si="116"/>
        <v>2.8502295699234246E-6</v>
      </c>
      <c r="P275" s="37">
        <f t="shared" si="117"/>
        <v>5.9847340050885557E-3</v>
      </c>
      <c r="Q275" s="37">
        <v>1.905E-3</v>
      </c>
      <c r="R275" s="36">
        <v>0.15240000000000001</v>
      </c>
      <c r="S275" s="38">
        <v>7448798.3703613281</v>
      </c>
      <c r="T275" s="36">
        <v>492.54485489158418</v>
      </c>
      <c r="U275" s="12">
        <f>+T275+BG275*S275*テーブル2[[#This Row],[Pw]]*R275/(N275*O275*K275)</f>
        <v>592.04598111924906</v>
      </c>
      <c r="V275" s="36">
        <v>0.03</v>
      </c>
      <c r="W275" s="37">
        <f t="shared" si="118"/>
        <v>82277.112501484211</v>
      </c>
      <c r="X275" s="36">
        <v>3.148874139532068E-2</v>
      </c>
      <c r="Y275" s="36">
        <f t="shared" si="119"/>
        <v>5.6353688737547811</v>
      </c>
      <c r="Z275" s="36">
        <f t="shared" si="120"/>
        <v>5.6353689067612951</v>
      </c>
      <c r="AA275" s="36">
        <f t="shared" si="121"/>
        <v>-3.3006513966427065E-8</v>
      </c>
      <c r="AB275" s="36">
        <f t="shared" si="122"/>
        <v>1.2733199370198141E-5</v>
      </c>
      <c r="AC275" s="36">
        <v>639.7799056941102</v>
      </c>
      <c r="AD275" s="36">
        <f t="shared" si="123"/>
        <v>2580.9625549624475</v>
      </c>
      <c r="AE275" s="36">
        <f>+gettm2(AD275,AC275,AK275,AL275,テーブル2[[#This Row],[Fcorr]])</f>
        <v>592.04598111924895</v>
      </c>
      <c r="AF275" s="39">
        <f t="shared" si="124"/>
        <v>0</v>
      </c>
      <c r="AG275" s="36">
        <v>1.2841450874885136E-5</v>
      </c>
      <c r="AH275" s="36">
        <f t="shared" si="125"/>
        <v>61.291539661761703</v>
      </c>
      <c r="AI275" s="36">
        <f t="shared" si="126"/>
        <v>0.31318913740254445</v>
      </c>
      <c r="AJ275" s="36">
        <f t="shared" si="127"/>
        <v>34.796119537499528</v>
      </c>
      <c r="AK275" s="36">
        <f>+S88*テーブル2[[#This Row],[F_form]]/(E88*CpFromTP((テーブル2[[#This Row],[Tin]]+テーブル2[[#This Row],[Tf]])/2,テーブル2[[#This Row],[P]])*AI88)</f>
        <v>2.011763649878989</v>
      </c>
      <c r="AL275" s="36">
        <f t="shared" si="128"/>
        <v>1.1293676909872215</v>
      </c>
      <c r="AM275" s="36">
        <f t="shared" si="129"/>
        <v>608.6210739843068</v>
      </c>
      <c r="AN275" s="36">
        <f t="shared" si="130"/>
        <v>1.4216766430763528E-8</v>
      </c>
      <c r="AO275" s="36">
        <f t="shared" si="131"/>
        <v>1.0825150468699511E-7</v>
      </c>
      <c r="AP275" s="36">
        <v>3.8184115838976451</v>
      </c>
      <c r="AQ275" s="36">
        <f t="shared" si="132"/>
        <v>3.7400502464507956E-5</v>
      </c>
      <c r="AR275" s="36">
        <f t="shared" si="133"/>
        <v>6.4748511897860655E-6</v>
      </c>
      <c r="AS275" s="36">
        <f t="shared" si="134"/>
        <v>17.544722802931112</v>
      </c>
      <c r="AT275" s="36">
        <f t="shared" si="135"/>
        <v>11.273766048521958</v>
      </c>
      <c r="AU275" s="36">
        <f t="shared" si="136"/>
        <v>3.5308210640146842</v>
      </c>
      <c r="AV275" s="36">
        <f t="shared" si="137"/>
        <v>0.28759051988296092</v>
      </c>
      <c r="AW275" s="36">
        <f t="shared" si="138"/>
        <v>7.6553414502128041E-3</v>
      </c>
      <c r="AX275" s="36">
        <f t="shared" si="139"/>
        <v>0.28759051367728533</v>
      </c>
      <c r="AY275" s="36">
        <f t="shared" si="140"/>
        <v>6.2056755845141254E-9</v>
      </c>
      <c r="AZ275" s="36">
        <f t="shared" si="141"/>
        <v>1080577.7610325073</v>
      </c>
      <c r="BA275" s="36">
        <f t="shared" si="142"/>
        <v>9.7947802751874589E-6</v>
      </c>
      <c r="BB275" s="38">
        <f t="shared" si="143"/>
        <v>7462466.916566452</v>
      </c>
      <c r="BC275" s="40">
        <f t="shared" si="144"/>
        <v>13668.546205123886</v>
      </c>
      <c r="BD275" s="41">
        <f t="shared" si="145"/>
        <v>0.18350001604971419</v>
      </c>
      <c r="BE275" s="38">
        <v>5520532.5</v>
      </c>
      <c r="BF275" s="42">
        <f>テーブル2[[#This Row],[q_P]]/テーブル2[[#This Row],[q_M]]</f>
        <v>1.351765779219025</v>
      </c>
      <c r="BG275" s="36">
        <v>1</v>
      </c>
      <c r="BH275" s="36">
        <v>-4.8000000000000001E-2</v>
      </c>
      <c r="BI275" s="36">
        <v>4.5999999999999999E-2</v>
      </c>
      <c r="BJ275" s="36">
        <v>5625</v>
      </c>
      <c r="BK275" s="22">
        <v>1</v>
      </c>
      <c r="BL275" s="36">
        <f>テーブル2[[#This Row],[Ts]]-テーブル2[[#This Row],[Tin]]</f>
        <v>116.07621910693939</v>
      </c>
      <c r="BM275" s="36">
        <f>テーブル2[[#This Row],[q_P]]*0.000001</f>
        <v>7.4624669165664521</v>
      </c>
      <c r="BN275" s="36">
        <f>テーブル2[[#This Row],[Tsub]]</f>
        <v>116.07621910693939</v>
      </c>
      <c r="BO275" s="36">
        <f>テーブル2[[#This Row],[Fcorr]]</f>
        <v>1</v>
      </c>
      <c r="BP275" s="36">
        <f>(テーブル2[[#This Row],[Tsub]]-40)^2</f>
        <v>5787.5911136070499</v>
      </c>
      <c r="BQ275" s="36">
        <v>1</v>
      </c>
      <c r="BR275" s="36">
        <v>0.15240000000000001</v>
      </c>
    </row>
    <row r="276" spans="1:70" x14ac:dyDescent="0.15">
      <c r="A276" s="35" t="s">
        <v>119</v>
      </c>
      <c r="B276" s="36">
        <v>13789514.586336</v>
      </c>
      <c r="C276" s="22">
        <f>TsatFromP(テーブル2[[#This Row],[P]])</f>
        <v>608.62107399852357</v>
      </c>
      <c r="D276" s="36">
        <f>RhoGFromP(テーブル2[[#This Row],[P]])</f>
        <v>85.147847035840741</v>
      </c>
      <c r="E276" s="36">
        <f>RhoFFromP(テーブル2[[#This Row],[P]])</f>
        <v>624.86636713482415</v>
      </c>
      <c r="F276" s="36">
        <f>HgFromP(テーブル2[[#This Row],[P]])</f>
        <v>2643264.5206450778</v>
      </c>
      <c r="G276" s="36">
        <f>HfFromP(テーブル2[[#This Row],[P]])</f>
        <v>1562686.7596125705</v>
      </c>
      <c r="H276" s="36">
        <f>MuGFromP(テーブル2[[#This Row],[P]])</f>
        <v>2.2019591234371903E-5</v>
      </c>
      <c r="I276" s="36">
        <f>MuFFromP(テーブル2[[#This Row],[P]])</f>
        <v>7.222326555143516E-5</v>
      </c>
      <c r="J276" s="36">
        <f>KfFromP(テーブル2[[#This Row],[P]])</f>
        <v>0.49112131073334553</v>
      </c>
      <c r="K276" s="36">
        <f>CpFFromP(テーブル2[[#This Row],[P]])</f>
        <v>7679.7488518783057</v>
      </c>
      <c r="L276" s="36">
        <f>SigmaFromP(テーブル2[[#This Row],[P]])</f>
        <v>6.5036449518301549E-3</v>
      </c>
      <c r="M276" s="36">
        <v>140.01</v>
      </c>
      <c r="N276" s="36">
        <v>2834.5207</v>
      </c>
      <c r="O276" s="37">
        <f t="shared" si="116"/>
        <v>1.7530051946857026E-5</v>
      </c>
      <c r="P276" s="37">
        <f t="shared" si="117"/>
        <v>1.4842140332619616E-2</v>
      </c>
      <c r="Q276" s="37">
        <v>4.7243999999999993E-3</v>
      </c>
      <c r="R276" s="36">
        <v>0.30480000000000002</v>
      </c>
      <c r="S276" s="38">
        <v>4290242.4000000004</v>
      </c>
      <c r="T276" s="36">
        <v>530.94560812298846</v>
      </c>
      <c r="U276" s="12">
        <f>+T276+BG276*S276*テーブル2[[#This Row],[Pw]]*R276/(N276*O276*K276)</f>
        <v>581.80644164107821</v>
      </c>
      <c r="V276" s="36">
        <v>0.03</v>
      </c>
      <c r="W276" s="37">
        <f t="shared" si="118"/>
        <v>185416.83892073605</v>
      </c>
      <c r="X276" s="36">
        <v>0.01</v>
      </c>
      <c r="Y276" s="36">
        <f t="shared" si="119"/>
        <v>10</v>
      </c>
      <c r="Z276" s="36">
        <f t="shared" si="120"/>
        <v>5.3110195121546164</v>
      </c>
      <c r="AA276" s="36">
        <f t="shared" si="121"/>
        <v>4.6889804878453836</v>
      </c>
      <c r="AB276" s="36">
        <f t="shared" si="122"/>
        <v>4.8557457771710447E-5</v>
      </c>
      <c r="AC276" s="36">
        <v>600</v>
      </c>
      <c r="AD276" s="36">
        <f t="shared" si="123"/>
        <v>3277.7376036756555</v>
      </c>
      <c r="AE276" s="36">
        <f>+gettm2(AD276,AC276,AK276,AL276,テーブル2[[#This Row],[Fcorr]])</f>
        <v>552.95709738672599</v>
      </c>
      <c r="AF276" s="39">
        <f t="shared" si="124"/>
        <v>-28.849344254352218</v>
      </c>
      <c r="AG276" s="36">
        <v>1.0000000000000001E-5</v>
      </c>
      <c r="AH276" s="36">
        <f t="shared" si="125"/>
        <v>16.072451689888531</v>
      </c>
      <c r="AI276" s="36">
        <f t="shared" si="126"/>
        <v>0.16037899571823011</v>
      </c>
      <c r="AJ276" s="36">
        <f t="shared" si="127"/>
        <v>13.875783607127493</v>
      </c>
      <c r="AK276" s="36">
        <f>+S88*テーブル2[[#This Row],[F_form]]/(E88*CpFromTP((テーブル2[[#This Row],[Tin]]+テーブル2[[#This Row],[Tf]])/2,テーブル2[[#This Row],[P]])*AI88)</f>
        <v>1.9334865922301527</v>
      </c>
      <c r="AL276" s="36">
        <f t="shared" si="128"/>
        <v>1.1293676909872215</v>
      </c>
      <c r="AM276" s="36">
        <f t="shared" si="129"/>
        <v>578.44568242338403</v>
      </c>
      <c r="AN276" s="36">
        <f t="shared" si="130"/>
        <v>30.175391575139543</v>
      </c>
      <c r="AO276" s="36">
        <f t="shared" si="131"/>
        <v>-3.8557457771710448E-5</v>
      </c>
      <c r="AP276" s="36">
        <v>1</v>
      </c>
      <c r="AQ276" s="36">
        <f t="shared" si="132"/>
        <v>5.4530931276593132E-4</v>
      </c>
      <c r="AR276" s="36">
        <f t="shared" si="133"/>
        <v>-1.4278728885855224E-5</v>
      </c>
      <c r="AS276" s="36">
        <f t="shared" si="134"/>
        <v>-19.812855220496772</v>
      </c>
      <c r="AT276" s="36">
        <f t="shared" si="135"/>
        <v>-19.812855220496772</v>
      </c>
      <c r="AU276" s="36">
        <f t="shared" si="136"/>
        <v>-3.1775658225739649</v>
      </c>
      <c r="AV276" s="36">
        <f t="shared" si="137"/>
        <v>4.1775658225739649</v>
      </c>
      <c r="AW276" s="36">
        <f t="shared" si="138"/>
        <v>2.9193285080161946E-2</v>
      </c>
      <c r="AX276" s="36">
        <f t="shared" si="139"/>
        <v>0.56233885771196024</v>
      </c>
      <c r="AY276" s="36">
        <f t="shared" si="140"/>
        <v>3.6152269648620048</v>
      </c>
      <c r="AZ276" s="36">
        <f t="shared" si="141"/>
        <v>1080577.7610325073</v>
      </c>
      <c r="BA276" s="36">
        <f t="shared" si="142"/>
        <v>5.4530931276593132E-4</v>
      </c>
      <c r="BB276" s="38">
        <f t="shared" si="143"/>
        <v>-47742884.240789637</v>
      </c>
      <c r="BC276" s="40">
        <f t="shared" si="144"/>
        <v>-52033126.640789635</v>
      </c>
      <c r="BD276" s="41">
        <f t="shared" si="145"/>
        <v>-1212.8248660446231</v>
      </c>
      <c r="BE276" s="38">
        <v>4290242.4000000004</v>
      </c>
      <c r="BF276" s="42">
        <f>テーブル2[[#This Row],[q_P]]/テーブル2[[#This Row],[q_M]]</f>
        <v>-11.128248660446234</v>
      </c>
      <c r="BG276" s="36">
        <v>1</v>
      </c>
      <c r="BH276" s="36">
        <v>-4.4999999999999998E-2</v>
      </c>
      <c r="BI276" s="36">
        <v>4.5999999999999999E-2</v>
      </c>
      <c r="BJ276" s="36">
        <v>5625</v>
      </c>
      <c r="BK276" s="22">
        <v>1</v>
      </c>
      <c r="BL276" s="36">
        <f>テーブル2[[#This Row],[Ts]]-テーブル2[[#This Row],[Tin]]</f>
        <v>77.67546587553511</v>
      </c>
      <c r="BM276" s="36">
        <f>テーブル2[[#This Row],[q_P]]*0.000001</f>
        <v>-47.742884240789635</v>
      </c>
      <c r="BN276" s="36">
        <f>テーブル2[[#This Row],[Tsub]]</f>
        <v>77.67546587553511</v>
      </c>
      <c r="BO276" s="36">
        <f>テーブル2[[#This Row],[Fcorr]]</f>
        <v>1</v>
      </c>
      <c r="BP276" s="36">
        <f>(テーブル2[[#This Row],[Tsub]]-40)^2</f>
        <v>1419.4407289386106</v>
      </c>
      <c r="BQ276" s="36">
        <v>1</v>
      </c>
      <c r="BR276" s="36">
        <v>0.30480000000000002</v>
      </c>
    </row>
    <row r="277" spans="1:70" x14ac:dyDescent="0.15">
      <c r="A277" s="35" t="s">
        <v>120</v>
      </c>
      <c r="B277" s="36">
        <v>13789514.586336</v>
      </c>
      <c r="C277" s="22">
        <f>TsatFromP(テーブル2[[#This Row],[P]])</f>
        <v>608.62107399852357</v>
      </c>
      <c r="D277" s="36">
        <f>RhoGFromP(テーブル2[[#This Row],[P]])</f>
        <v>85.147847035840741</v>
      </c>
      <c r="E277" s="36">
        <f>RhoFFromP(テーブル2[[#This Row],[P]])</f>
        <v>624.86636713482415</v>
      </c>
      <c r="F277" s="36">
        <f>HgFromP(テーブル2[[#This Row],[P]])</f>
        <v>2643264.5206450778</v>
      </c>
      <c r="G277" s="36">
        <f>HfFromP(テーブル2[[#This Row],[P]])</f>
        <v>1562686.7596125705</v>
      </c>
      <c r="H277" s="36">
        <f>MuGFromP(テーブル2[[#This Row],[P]])</f>
        <v>2.2019591234371903E-5</v>
      </c>
      <c r="I277" s="36">
        <f>MuFFromP(テーブル2[[#This Row],[P]])</f>
        <v>7.222326555143516E-5</v>
      </c>
      <c r="J277" s="36">
        <f>KfFromP(テーブル2[[#This Row],[P]])</f>
        <v>0.49112131073334553</v>
      </c>
      <c r="K277" s="36">
        <f>CpFFromP(テーブル2[[#This Row],[P]])</f>
        <v>7679.7488518783057</v>
      </c>
      <c r="L277" s="36">
        <f>SigmaFromP(テーブル2[[#This Row],[P]])</f>
        <v>6.5036449518301549E-3</v>
      </c>
      <c r="M277" s="36">
        <v>141.01</v>
      </c>
      <c r="N277" s="36">
        <v>3417.6995999999999</v>
      </c>
      <c r="O277" s="37">
        <f t="shared" si="116"/>
        <v>1.7530051946857026E-5</v>
      </c>
      <c r="P277" s="37">
        <f t="shared" si="117"/>
        <v>1.4842140332619616E-2</v>
      </c>
      <c r="Q277" s="37">
        <v>4.7243999999999993E-3</v>
      </c>
      <c r="R277" s="36">
        <v>0.30480000000000002</v>
      </c>
      <c r="S277" s="38">
        <v>6214542.2999999998</v>
      </c>
      <c r="T277" s="36">
        <v>479.80174976923308</v>
      </c>
      <c r="U277" s="12">
        <f>+T277+BG277*S277*テーブル2[[#This Row],[Pw]]*R277/(N277*O277*K277)</f>
        <v>540.90390600290232</v>
      </c>
      <c r="V277" s="36">
        <v>0.03</v>
      </c>
      <c r="W277" s="37">
        <f t="shared" si="118"/>
        <v>223564.80099533722</v>
      </c>
      <c r="X277" s="36">
        <v>0.01</v>
      </c>
      <c r="Y277" s="36">
        <f t="shared" si="119"/>
        <v>10</v>
      </c>
      <c r="Z277" s="36">
        <f t="shared" si="120"/>
        <v>5.6251326811359155</v>
      </c>
      <c r="AA277" s="36">
        <f t="shared" si="121"/>
        <v>4.3748673188640845</v>
      </c>
      <c r="AB277" s="36">
        <f t="shared" si="122"/>
        <v>3.3400074214633474E-5</v>
      </c>
      <c r="AC277" s="36">
        <v>600</v>
      </c>
      <c r="AD277" s="36">
        <f t="shared" si="123"/>
        <v>3952.1046704605992</v>
      </c>
      <c r="AE277" s="36">
        <f>+gettm2(AD277,AC277,AK277,AL277,テーブル2[[#This Row],[Fcorr]])</f>
        <v>546.84979087441047</v>
      </c>
      <c r="AF277" s="39">
        <f t="shared" si="124"/>
        <v>5.9458848715081558</v>
      </c>
      <c r="AG277" s="36">
        <v>1.0000000000000001E-5</v>
      </c>
      <c r="AH277" s="36">
        <f t="shared" si="125"/>
        <v>23.366337128606975</v>
      </c>
      <c r="AI277" s="36">
        <f t="shared" si="126"/>
        <v>0.19337563120092818</v>
      </c>
      <c r="AJ277" s="36">
        <f t="shared" si="127"/>
        <v>16.730609899503008</v>
      </c>
      <c r="AK277" s="36">
        <f>+S88*テーブル2[[#This Row],[F_form]]/(E88*CpFromTP((テーブル2[[#This Row],[Tin]]+テーブル2[[#This Row],[Tf]])/2,テーブル2[[#This Row],[P]])*AI88)</f>
        <v>2.1429838462246926</v>
      </c>
      <c r="AL277" s="36">
        <f t="shared" si="128"/>
        <v>1.1293676909872215</v>
      </c>
      <c r="AM277" s="36">
        <f t="shared" si="129"/>
        <v>574.02709279674798</v>
      </c>
      <c r="AN277" s="36">
        <f t="shared" si="130"/>
        <v>34.593981201775591</v>
      </c>
      <c r="AO277" s="36">
        <f t="shared" si="131"/>
        <v>-2.3400074214633475E-5</v>
      </c>
      <c r="AP277" s="36">
        <v>1</v>
      </c>
      <c r="AQ277" s="36">
        <f t="shared" si="132"/>
        <v>5.4530931276593132E-4</v>
      </c>
      <c r="AR277" s="36">
        <f t="shared" si="133"/>
        <v>-6.7000371073167381E-6</v>
      </c>
      <c r="AS277" s="36">
        <f t="shared" si="134"/>
        <v>-11.20957071547109</v>
      </c>
      <c r="AT277" s="36">
        <f t="shared" si="135"/>
        <v>-11.20957071547109</v>
      </c>
      <c r="AU277" s="36">
        <f t="shared" si="136"/>
        <v>-2.167657812595662</v>
      </c>
      <c r="AV277" s="36">
        <f t="shared" si="137"/>
        <v>3.167657812595662</v>
      </c>
      <c r="AW277" s="36">
        <f t="shared" si="138"/>
        <v>2.0080497064540095E-2</v>
      </c>
      <c r="AX277" s="36">
        <f t="shared" si="139"/>
        <v>0.67803536910724393</v>
      </c>
      <c r="AY277" s="36">
        <f t="shared" si="140"/>
        <v>2.4896224434884182</v>
      </c>
      <c r="AZ277" s="36">
        <f t="shared" si="141"/>
        <v>1080577.7610325073</v>
      </c>
      <c r="BA277" s="36">
        <f t="shared" si="142"/>
        <v>5.4530931276593132E-4</v>
      </c>
      <c r="BB277" s="38">
        <f t="shared" si="143"/>
        <v>-28974603.07341142</v>
      </c>
      <c r="BC277" s="40">
        <f t="shared" si="144"/>
        <v>-35189145.373411417</v>
      </c>
      <c r="BD277" s="41">
        <f t="shared" si="145"/>
        <v>-566.23872965530245</v>
      </c>
      <c r="BE277" s="38">
        <v>6214542.2999999998</v>
      </c>
      <c r="BF277" s="42">
        <f>テーブル2[[#This Row],[q_P]]/テーブル2[[#This Row],[q_M]]</f>
        <v>-4.6623872965530255</v>
      </c>
      <c r="BG277" s="36">
        <v>1</v>
      </c>
      <c r="BH277" s="36">
        <v>-0.191</v>
      </c>
      <c r="BI277" s="36">
        <v>4.5999999999999999E-2</v>
      </c>
      <c r="BJ277" s="36">
        <v>5625</v>
      </c>
      <c r="BK277" s="22">
        <v>1</v>
      </c>
      <c r="BL277" s="36">
        <f>テーブル2[[#This Row],[Ts]]-テーブル2[[#This Row],[Tin]]</f>
        <v>128.81932422929049</v>
      </c>
      <c r="BM277" s="36">
        <f>テーブル2[[#This Row],[q_P]]*0.000001</f>
        <v>-28.974603073411419</v>
      </c>
      <c r="BN277" s="36">
        <f>テーブル2[[#This Row],[Tsub]]</f>
        <v>128.81932422929049</v>
      </c>
      <c r="BO277" s="36">
        <f>テーブル2[[#This Row],[Fcorr]]</f>
        <v>1</v>
      </c>
      <c r="BP277" s="36">
        <f>(テーブル2[[#This Row],[Tsub]]-40)^2</f>
        <v>7888.8723565478285</v>
      </c>
      <c r="BQ277" s="36">
        <v>1</v>
      </c>
      <c r="BR277" s="36">
        <v>0.30480000000000002</v>
      </c>
    </row>
    <row r="278" spans="1:70" x14ac:dyDescent="0.15">
      <c r="A278" s="35" t="s">
        <v>121</v>
      </c>
      <c r="B278" s="36">
        <v>13789514.586336</v>
      </c>
      <c r="C278" s="22">
        <f>TsatFromP(テーブル2[[#This Row],[P]])</f>
        <v>608.62107399852357</v>
      </c>
      <c r="D278" s="36">
        <f>RhoGFromP(テーブル2[[#This Row],[P]])</f>
        <v>85.147847035840741</v>
      </c>
      <c r="E278" s="36">
        <f>RhoFFromP(テーブル2[[#This Row],[P]])</f>
        <v>624.86636713482415</v>
      </c>
      <c r="F278" s="36">
        <f>HgFromP(テーブル2[[#This Row],[P]])</f>
        <v>2643264.5206450778</v>
      </c>
      <c r="G278" s="36">
        <f>HfFromP(テーブル2[[#This Row],[P]])</f>
        <v>1562686.7596125705</v>
      </c>
      <c r="H278" s="36">
        <f>MuGFromP(テーブル2[[#This Row],[P]])</f>
        <v>2.2019591234371903E-5</v>
      </c>
      <c r="I278" s="36">
        <f>MuFFromP(テーブル2[[#This Row],[P]])</f>
        <v>7.222326555143516E-5</v>
      </c>
      <c r="J278" s="36">
        <f>KfFromP(テーブル2[[#This Row],[P]])</f>
        <v>0.49112131073334553</v>
      </c>
      <c r="K278" s="36">
        <f>CpFFromP(テーブル2[[#This Row],[P]])</f>
        <v>7679.7488518783057</v>
      </c>
      <c r="L278" s="36">
        <f>SigmaFromP(テーブル2[[#This Row],[P]])</f>
        <v>6.5036449518301549E-3</v>
      </c>
      <c r="M278" s="36">
        <v>142.01</v>
      </c>
      <c r="N278" s="36">
        <v>3451.6053499999998</v>
      </c>
      <c r="O278" s="37">
        <f t="shared" si="116"/>
        <v>1.7530051946857026E-5</v>
      </c>
      <c r="P278" s="37">
        <f t="shared" si="117"/>
        <v>1.4842140332619616E-2</v>
      </c>
      <c r="Q278" s="37">
        <v>4.7243999999999993E-3</v>
      </c>
      <c r="R278" s="36">
        <v>0.30480000000000002</v>
      </c>
      <c r="S278" s="38">
        <v>4731885</v>
      </c>
      <c r="T278" s="36">
        <v>535.41026047180731</v>
      </c>
      <c r="U278" s="12">
        <f>+T278+BG278*S278*テーブル2[[#This Row],[Pw]]*R278/(N278*O278*K278)</f>
        <v>581.47772640247047</v>
      </c>
      <c r="V278" s="36">
        <v>0.03</v>
      </c>
      <c r="W278" s="37">
        <f t="shared" si="118"/>
        <v>225782.70576711639</v>
      </c>
      <c r="X278" s="36">
        <v>0.01</v>
      </c>
      <c r="Y278" s="36">
        <f t="shared" si="119"/>
        <v>10</v>
      </c>
      <c r="Z278" s="36">
        <f t="shared" si="120"/>
        <v>5.6416519108223229</v>
      </c>
      <c r="AA278" s="36">
        <f t="shared" si="121"/>
        <v>4.3583480891776771</v>
      </c>
      <c r="AB278" s="36">
        <f t="shared" si="122"/>
        <v>3.2747107088919434E-5</v>
      </c>
      <c r="AC278" s="36">
        <v>600</v>
      </c>
      <c r="AD278" s="36">
        <f t="shared" si="123"/>
        <v>3991.3120580643754</v>
      </c>
      <c r="AE278" s="36">
        <f>+gettm2(AD278,AC278,AK278,AL278,テーブル2[[#This Row],[Fcorr]])</f>
        <v>552.31966064681239</v>
      </c>
      <c r="AF278" s="39">
        <f t="shared" si="124"/>
        <v>-29.158065755658072</v>
      </c>
      <c r="AG278" s="36">
        <v>1.0000000000000001E-5</v>
      </c>
      <c r="AH278" s="36">
        <f t="shared" si="125"/>
        <v>23.83225462024685</v>
      </c>
      <c r="AI278" s="36">
        <f t="shared" si="126"/>
        <v>0.19529404024061994</v>
      </c>
      <c r="AJ278" s="36">
        <f t="shared" si="127"/>
        <v>16.896588172315536</v>
      </c>
      <c r="AK278" s="36">
        <f>+S88*テーブル2[[#This Row],[F_form]]/(E88*CpFromTP((テーブル2[[#This Row],[Tin]]+テーブル2[[#This Row],[Tf]])/2,テーブル2[[#This Row],[P]])*AI88)</f>
        <v>1.9205176413501772</v>
      </c>
      <c r="AL278" s="36">
        <f t="shared" si="128"/>
        <v>1.1293676909872215</v>
      </c>
      <c r="AM278" s="36">
        <f t="shared" si="129"/>
        <v>576.62523990705517</v>
      </c>
      <c r="AN278" s="36">
        <f t="shared" si="130"/>
        <v>31.995834091468396</v>
      </c>
      <c r="AO278" s="36">
        <f t="shared" si="131"/>
        <v>-2.2747107088919435E-5</v>
      </c>
      <c r="AP278" s="36">
        <v>1</v>
      </c>
      <c r="AQ278" s="36">
        <f t="shared" si="132"/>
        <v>5.4530931276593132E-4</v>
      </c>
      <c r="AR278" s="36">
        <f t="shared" si="133"/>
        <v>-6.3735535444597181E-6</v>
      </c>
      <c r="AS278" s="36">
        <f t="shared" si="134"/>
        <v>-10.769130943493783</v>
      </c>
      <c r="AT278" s="36">
        <f t="shared" si="135"/>
        <v>-10.769130943493783</v>
      </c>
      <c r="AU278" s="36">
        <f t="shared" si="136"/>
        <v>-2.1031470918351802</v>
      </c>
      <c r="AV278" s="36">
        <f t="shared" si="137"/>
        <v>3.1031470918351802</v>
      </c>
      <c r="AW278" s="36">
        <f t="shared" si="138"/>
        <v>1.968792594727601E-2</v>
      </c>
      <c r="AX278" s="36">
        <f t="shared" si="139"/>
        <v>0.68476191046743484</v>
      </c>
      <c r="AY278" s="36">
        <f t="shared" si="140"/>
        <v>2.4183851813677455</v>
      </c>
      <c r="AZ278" s="36">
        <f t="shared" si="141"/>
        <v>1080577.7610325073</v>
      </c>
      <c r="BA278" s="36">
        <f t="shared" si="142"/>
        <v>5.4530931276593132E-4</v>
      </c>
      <c r="BB278" s="38">
        <f t="shared" si="143"/>
        <v>-28166081.565572821</v>
      </c>
      <c r="BC278" s="40">
        <f t="shared" si="144"/>
        <v>-32897966.565572821</v>
      </c>
      <c r="BD278" s="41">
        <f t="shared" si="145"/>
        <v>-695.24019636091793</v>
      </c>
      <c r="BE278" s="38">
        <v>4731885</v>
      </c>
      <c r="BF278" s="42">
        <f>テーブル2[[#This Row],[q_P]]/テーブル2[[#This Row],[q_M]]</f>
        <v>-5.9524019636091792</v>
      </c>
      <c r="BG278" s="36">
        <v>1</v>
      </c>
      <c r="BH278" s="36">
        <v>-5.8999999999999997E-2</v>
      </c>
      <c r="BI278" s="36">
        <v>4.5999999999999999E-2</v>
      </c>
      <c r="BJ278" s="36">
        <v>5625</v>
      </c>
      <c r="BK278" s="22">
        <v>1</v>
      </c>
      <c r="BL278" s="36">
        <f>テーブル2[[#This Row],[Ts]]-テーブル2[[#This Row],[Tin]]</f>
        <v>73.210813526716265</v>
      </c>
      <c r="BM278" s="36">
        <f>テーブル2[[#This Row],[q_P]]*0.000001</f>
        <v>-28.166081565572821</v>
      </c>
      <c r="BN278" s="36">
        <f>テーブル2[[#This Row],[Tsub]]</f>
        <v>73.210813526716265</v>
      </c>
      <c r="BO278" s="36">
        <f>テーブル2[[#This Row],[Fcorr]]</f>
        <v>1</v>
      </c>
      <c r="BP278" s="36">
        <f>(テーブル2[[#This Row],[Tsub]]-40)^2</f>
        <v>1102.95813510632</v>
      </c>
      <c r="BQ278" s="36">
        <v>1</v>
      </c>
      <c r="BR278" s="36">
        <v>0.30480000000000002</v>
      </c>
    </row>
    <row r="279" spans="1:70" x14ac:dyDescent="0.15">
      <c r="A279" s="35" t="s">
        <v>123</v>
      </c>
      <c r="B279" s="36">
        <v>13789514.586336</v>
      </c>
      <c r="C279" s="22">
        <f>TsatFromP(テーブル2[[#This Row],[P]])</f>
        <v>608.62107399852357</v>
      </c>
      <c r="D279" s="36">
        <f>RhoGFromP(テーブル2[[#This Row],[P]])</f>
        <v>85.147847035840741</v>
      </c>
      <c r="E279" s="36">
        <f>RhoFFromP(テーブル2[[#This Row],[P]])</f>
        <v>624.86636713482415</v>
      </c>
      <c r="F279" s="36">
        <f>HgFromP(テーブル2[[#This Row],[P]])</f>
        <v>2643264.5206450778</v>
      </c>
      <c r="G279" s="36">
        <f>HfFromP(テーブル2[[#This Row],[P]])</f>
        <v>1562686.7596125705</v>
      </c>
      <c r="H279" s="36">
        <f>MuGFromP(テーブル2[[#This Row],[P]])</f>
        <v>2.2019591234371903E-5</v>
      </c>
      <c r="I279" s="36">
        <f>MuFFromP(テーブル2[[#This Row],[P]])</f>
        <v>7.222326555143516E-5</v>
      </c>
      <c r="J279" s="36">
        <f>KfFromP(テーブル2[[#This Row],[P]])</f>
        <v>0.49112131073334553</v>
      </c>
      <c r="K279" s="36">
        <f>CpFFromP(テーブル2[[#This Row],[P]])</f>
        <v>7679.7488518783057</v>
      </c>
      <c r="L279" s="36">
        <f>SigmaFromP(テーブル2[[#This Row],[P]])</f>
        <v>6.5036449518301549E-3</v>
      </c>
      <c r="M279" s="36">
        <v>144.01</v>
      </c>
      <c r="N279" s="36">
        <v>4068.69</v>
      </c>
      <c r="O279" s="37">
        <f t="shared" si="116"/>
        <v>1.7530051946857026E-5</v>
      </c>
      <c r="P279" s="37">
        <f t="shared" si="117"/>
        <v>1.4842140332619616E-2</v>
      </c>
      <c r="Q279" s="37">
        <v>4.7243999999999993E-3</v>
      </c>
      <c r="R279" s="36">
        <v>0.30480000000000002</v>
      </c>
      <c r="S279" s="38">
        <v>5015798.0999999996</v>
      </c>
      <c r="T279" s="36">
        <v>537.69687149912329</v>
      </c>
      <c r="U279" s="12">
        <f>+T279+BG279*S279*テーブル2[[#This Row],[Pw]]*R279/(N279*O279*K279)</f>
        <v>579.12227244617327</v>
      </c>
      <c r="V279" s="36">
        <v>0.03</v>
      </c>
      <c r="W279" s="37">
        <f t="shared" si="118"/>
        <v>266148.57261349674</v>
      </c>
      <c r="X279" s="36">
        <v>0.01</v>
      </c>
      <c r="Y279" s="36">
        <f t="shared" si="119"/>
        <v>10</v>
      </c>
      <c r="Z279" s="36">
        <f t="shared" si="120"/>
        <v>5.9160033241917969</v>
      </c>
      <c r="AA279" s="36">
        <f t="shared" si="121"/>
        <v>4.0839966758082031</v>
      </c>
      <c r="AB279" s="36">
        <f t="shared" si="122"/>
        <v>2.3567092365845376E-5</v>
      </c>
      <c r="AC279" s="36">
        <v>600</v>
      </c>
      <c r="AD279" s="36">
        <f t="shared" si="123"/>
        <v>4704.8865124530939</v>
      </c>
      <c r="AE279" s="36">
        <f>+gettm2(AD279,AC279,AK279,AL279,テーブル2[[#This Row],[Fcorr]])</f>
        <v>551.51931487948082</v>
      </c>
      <c r="AF279" s="39">
        <f t="shared" si="124"/>
        <v>-27.602957566692453</v>
      </c>
      <c r="AG279" s="36">
        <v>1.0000000000000001E-5</v>
      </c>
      <c r="AH279" s="36">
        <f t="shared" si="125"/>
        <v>33.115557155055242</v>
      </c>
      <c r="AI279" s="36">
        <f t="shared" si="126"/>
        <v>0.23020908476300977</v>
      </c>
      <c r="AJ279" s="36">
        <f t="shared" si="127"/>
        <v>19.917392737503583</v>
      </c>
      <c r="AK279" s="36">
        <f>+S88*テーブル2[[#This Row],[F_form]]/(E88*CpFromTP((テーブル2[[#This Row],[Tin]]+テーブル2[[#This Row],[Tf]])/2,テーブル2[[#This Row],[P]])*AI88)</f>
        <v>1.920737367941078</v>
      </c>
      <c r="AL279" s="36">
        <f t="shared" si="128"/>
        <v>1.1293676909872215</v>
      </c>
      <c r="AM279" s="36">
        <f t="shared" si="129"/>
        <v>574.99196562052748</v>
      </c>
      <c r="AN279" s="36">
        <f t="shared" si="130"/>
        <v>33.62910837799609</v>
      </c>
      <c r="AO279" s="36">
        <f t="shared" si="131"/>
        <v>-1.3567092365845376E-5</v>
      </c>
      <c r="AP279" s="36">
        <v>1</v>
      </c>
      <c r="AQ279" s="36">
        <f t="shared" si="132"/>
        <v>5.4530931276593132E-4</v>
      </c>
      <c r="AR279" s="36">
        <f t="shared" si="133"/>
        <v>-1.7835461829226874E-6</v>
      </c>
      <c r="AS279" s="36">
        <f t="shared" si="134"/>
        <v>-3.5523589790746568</v>
      </c>
      <c r="AT279" s="36">
        <f t="shared" si="135"/>
        <v>-3.5523589790746568</v>
      </c>
      <c r="AU279" s="36">
        <f t="shared" si="136"/>
        <v>-0.81778530932243654</v>
      </c>
      <c r="AV279" s="36">
        <f t="shared" si="137"/>
        <v>1.8177853093224365</v>
      </c>
      <c r="AW279" s="36">
        <f t="shared" si="138"/>
        <v>1.4168798728739487E-2</v>
      </c>
      <c r="AX279" s="36">
        <f t="shared" si="139"/>
        <v>0.80718496322290956</v>
      </c>
      <c r="AY279" s="36">
        <f t="shared" si="140"/>
        <v>1.010600346099527</v>
      </c>
      <c r="AZ279" s="36">
        <f t="shared" si="141"/>
        <v>1080577.7610325073</v>
      </c>
      <c r="BA279" s="36">
        <f t="shared" si="142"/>
        <v>5.4530931276593132E-4</v>
      </c>
      <c r="BB279" s="38">
        <f t="shared" si="143"/>
        <v>-16799139.718747143</v>
      </c>
      <c r="BC279" s="40">
        <f t="shared" si="144"/>
        <v>-21814937.81874714</v>
      </c>
      <c r="BD279" s="41">
        <f t="shared" si="145"/>
        <v>-434.92456003656014</v>
      </c>
      <c r="BE279" s="38">
        <v>5015798.0999999996</v>
      </c>
      <c r="BF279" s="42">
        <f>テーブル2[[#This Row],[q_P]]/テーブル2[[#This Row],[q_M]]</f>
        <v>-3.3492456003656015</v>
      </c>
      <c r="BG279" s="36">
        <v>1</v>
      </c>
      <c r="BH279" s="36">
        <v>-8.2000000000000003E-2</v>
      </c>
      <c r="BI279" s="36">
        <v>4.5999999999999999E-2</v>
      </c>
      <c r="BJ279" s="36">
        <v>5625</v>
      </c>
      <c r="BK279" s="22">
        <v>1</v>
      </c>
      <c r="BL279" s="36">
        <f>テーブル2[[#This Row],[Ts]]-テーブル2[[#This Row],[Tin]]</f>
        <v>70.92420249940028</v>
      </c>
      <c r="BM279" s="36">
        <f>テーブル2[[#This Row],[q_P]]*0.000001</f>
        <v>-16.799139718747142</v>
      </c>
      <c r="BN279" s="36">
        <f>テーブル2[[#This Row],[Tsub]]</f>
        <v>70.92420249940028</v>
      </c>
      <c r="BO279" s="36">
        <f>テーブル2[[#This Row],[Fcorr]]</f>
        <v>1</v>
      </c>
      <c r="BP279" s="36">
        <f>(テーブル2[[#This Row],[Tsub]]-40)^2</f>
        <v>956.3063002239146</v>
      </c>
      <c r="BQ279" s="36">
        <v>1</v>
      </c>
      <c r="BR279" s="36">
        <v>0.30480000000000002</v>
      </c>
    </row>
    <row r="280" spans="1:70" x14ac:dyDescent="0.15">
      <c r="A280" s="35" t="s">
        <v>299</v>
      </c>
      <c r="B280" s="36">
        <v>13789514.586336</v>
      </c>
      <c r="C280" s="22">
        <f>TsatFromP(テーブル2[[#This Row],[P]])</f>
        <v>608.62107399852357</v>
      </c>
      <c r="D280" s="36">
        <f>RhoGFromP(テーブル2[[#This Row],[P]])</f>
        <v>85.147847035840741</v>
      </c>
      <c r="E280" s="36">
        <f>RhoFFromP(テーブル2[[#This Row],[P]])</f>
        <v>624.86636713482415</v>
      </c>
      <c r="F280" s="36">
        <f>HgFromP(テーブル2[[#This Row],[P]])</f>
        <v>2643264.5206450778</v>
      </c>
      <c r="G280" s="36">
        <f>HfFromP(テーブル2[[#This Row],[P]])</f>
        <v>1562686.7596125705</v>
      </c>
      <c r="H280" s="36">
        <f>MuGFromP(テーブル2[[#This Row],[P]])</f>
        <v>2.2019591234371903E-5</v>
      </c>
      <c r="I280" s="36">
        <f>MuFFromP(テーブル2[[#This Row],[P]])</f>
        <v>7.222326555143516E-5</v>
      </c>
      <c r="J280" s="36">
        <f>KfFromP(テーブル2[[#This Row],[P]])</f>
        <v>0.49112131073334553</v>
      </c>
      <c r="K280" s="36">
        <f>CpFFromP(テーブル2[[#This Row],[P]])</f>
        <v>7679.7488518783057</v>
      </c>
      <c r="L280" s="36">
        <f>SigmaFromP(テーブル2[[#This Row],[P]])</f>
        <v>6.5036449518301549E-3</v>
      </c>
      <c r="M280" s="36">
        <v>145.01</v>
      </c>
      <c r="N280" s="36">
        <v>4109.3769000000002</v>
      </c>
      <c r="O280" s="37">
        <f t="shared" ref="O280:O343" si="146">PI()*Q280^2/4</f>
        <v>1.7530051946857026E-5</v>
      </c>
      <c r="P280" s="37">
        <f t="shared" ref="P280:P343" si="147">PI()*Q280</f>
        <v>1.4842140332619616E-2</v>
      </c>
      <c r="Q280" s="37">
        <v>4.7243999999999993E-3</v>
      </c>
      <c r="R280" s="36">
        <v>0.30480000000000002</v>
      </c>
      <c r="S280" s="38">
        <v>7255556.9999999991</v>
      </c>
      <c r="T280" s="36">
        <v>480.32335237154729</v>
      </c>
      <c r="U280" s="12">
        <f>+T280+BG280*S280*テーブル2[[#This Row],[Pw]]*R280/(N280*O280*K280)</f>
        <v>539.65358599643992</v>
      </c>
      <c r="V280" s="36">
        <v>0.03</v>
      </c>
      <c r="W280" s="37">
        <f t="shared" si="118"/>
        <v>268810.05833963171</v>
      </c>
      <c r="X280" s="36">
        <v>0.01</v>
      </c>
      <c r="Y280" s="36">
        <f t="shared" si="119"/>
        <v>10</v>
      </c>
      <c r="Z280" s="36">
        <f t="shared" si="120"/>
        <v>5.9325435433732663</v>
      </c>
      <c r="AA280" s="36">
        <f t="shared" si="121"/>
        <v>4.0674564566267337</v>
      </c>
      <c r="AB280" s="36">
        <f t="shared" si="122"/>
        <v>2.3102727542246226E-5</v>
      </c>
      <c r="AC280" s="36">
        <v>600</v>
      </c>
      <c r="AD280" s="36">
        <f t="shared" si="123"/>
        <v>4751.9353775776253</v>
      </c>
      <c r="AE280" s="36">
        <f>+gettm2(AD280,AC280,AK280,AL280,テーブル2[[#This Row],[Fcorr]])</f>
        <v>545.82502882297922</v>
      </c>
      <c r="AF280" s="39">
        <f t="shared" si="124"/>
        <v>6.1714428265393053</v>
      </c>
      <c r="AG280" s="36">
        <v>1.0000000000000001E-5</v>
      </c>
      <c r="AH280" s="36">
        <f t="shared" si="125"/>
        <v>33.781179853871848</v>
      </c>
      <c r="AI280" s="36">
        <f t="shared" si="126"/>
        <v>0.23251117561063983</v>
      </c>
      <c r="AJ280" s="36">
        <f t="shared" si="127"/>
        <v>20.116566664878615</v>
      </c>
      <c r="AK280" s="36">
        <f>+S88*テーブル2[[#This Row],[F_form]]/(E88*CpFromTP((テーブル2[[#This Row],[Tin]]+テーブル2[[#This Row],[Tf]])/2,テーブル2[[#This Row],[P]])*AI88)</f>
        <v>2.1442114175037563</v>
      </c>
      <c r="AL280" s="36">
        <f t="shared" si="128"/>
        <v>1.1293676909872215</v>
      </c>
      <c r="AM280" s="36">
        <f t="shared" si="129"/>
        <v>571.97250915883467</v>
      </c>
      <c r="AN280" s="36">
        <f t="shared" si="130"/>
        <v>36.648564839688902</v>
      </c>
      <c r="AO280" s="36">
        <f t="shared" si="131"/>
        <v>-1.3102727542246225E-5</v>
      </c>
      <c r="AP280" s="36">
        <v>1</v>
      </c>
      <c r="AQ280" s="36">
        <f t="shared" si="132"/>
        <v>5.4530931276593132E-4</v>
      </c>
      <c r="AR280" s="36">
        <f t="shared" si="133"/>
        <v>-1.5513637711231121E-6</v>
      </c>
      <c r="AS280" s="36">
        <f t="shared" si="134"/>
        <v>-3.1208112723275567</v>
      </c>
      <c r="AT280" s="36">
        <f t="shared" si="135"/>
        <v>-3.1208112723275567</v>
      </c>
      <c r="AU280" s="36">
        <f t="shared" si="136"/>
        <v>-0.72562349778781687</v>
      </c>
      <c r="AV280" s="36">
        <f t="shared" si="137"/>
        <v>1.7256234977878169</v>
      </c>
      <c r="AW280" s="36">
        <f t="shared" si="138"/>
        <v>1.3889617418625121E-2</v>
      </c>
      <c r="AX280" s="36">
        <f t="shared" si="139"/>
        <v>0.81525681285513862</v>
      </c>
      <c r="AY280" s="36">
        <f t="shared" si="140"/>
        <v>0.91036668493267825</v>
      </c>
      <c r="AZ280" s="36">
        <f t="shared" si="141"/>
        <v>1080577.7610325073</v>
      </c>
      <c r="BA280" s="36">
        <f t="shared" si="142"/>
        <v>5.4530931276593132E-4</v>
      </c>
      <c r="BB280" s="38">
        <f t="shared" si="143"/>
        <v>-16224150.668642933</v>
      </c>
      <c r="BC280" s="40">
        <f t="shared" si="144"/>
        <v>-23479707.668642931</v>
      </c>
      <c r="BD280" s="41">
        <f t="shared" si="145"/>
        <v>-323.60999532693262</v>
      </c>
      <c r="BE280" s="38">
        <v>7255556.9999999991</v>
      </c>
      <c r="BF280" s="42">
        <f>テーブル2[[#This Row],[q_P]]/テーブル2[[#This Row],[q_M]]</f>
        <v>-2.2360999532693264</v>
      </c>
      <c r="BG280" s="36">
        <v>1</v>
      </c>
      <c r="BH280" s="36">
        <v>-0.20200000000000001</v>
      </c>
      <c r="BI280" s="36">
        <v>4.5999999999999999E-2</v>
      </c>
      <c r="BJ280" s="36">
        <v>5625</v>
      </c>
      <c r="BK280" s="22">
        <v>1</v>
      </c>
      <c r="BL280" s="36">
        <f>テーブル2[[#This Row],[Ts]]-テーブル2[[#This Row],[Tin]]</f>
        <v>128.29772162697628</v>
      </c>
      <c r="BM280" s="36">
        <f>テーブル2[[#This Row],[q_P]]*0.000001</f>
        <v>-16.224150668642931</v>
      </c>
      <c r="BN280" s="36">
        <f>テーブル2[[#This Row],[Tsub]]</f>
        <v>128.29772162697628</v>
      </c>
      <c r="BO280" s="36">
        <f>テーブル2[[#This Row],[Fcorr]]</f>
        <v>1</v>
      </c>
      <c r="BP280" s="36">
        <f>(テーブル2[[#This Row],[Tsub]]-40)^2</f>
        <v>7796.4876445149957</v>
      </c>
      <c r="BQ280" s="36">
        <v>1</v>
      </c>
      <c r="BR280" s="36">
        <v>0.30480000000000002</v>
      </c>
    </row>
    <row r="281" spans="1:70" x14ac:dyDescent="0.15">
      <c r="A281" s="35" t="s">
        <v>300</v>
      </c>
      <c r="B281" s="36">
        <v>13789514.586336</v>
      </c>
      <c r="C281" s="22">
        <f>TsatFromP(テーブル2[[#This Row],[P]])</f>
        <v>608.62107399852357</v>
      </c>
      <c r="D281" s="36">
        <f>RhoGFromP(テーブル2[[#This Row],[P]])</f>
        <v>85.147847035840741</v>
      </c>
      <c r="E281" s="36">
        <f>RhoFFromP(テーブル2[[#This Row],[P]])</f>
        <v>624.86636713482415</v>
      </c>
      <c r="F281" s="36">
        <f>HgFromP(テーブル2[[#This Row],[P]])</f>
        <v>2643264.5206450778</v>
      </c>
      <c r="G281" s="36">
        <f>HfFromP(テーブル2[[#This Row],[P]])</f>
        <v>1562686.7596125705</v>
      </c>
      <c r="H281" s="36">
        <f>MuGFromP(テーブル2[[#This Row],[P]])</f>
        <v>2.2019591234371903E-5</v>
      </c>
      <c r="I281" s="36">
        <f>MuFFromP(テーブル2[[#This Row],[P]])</f>
        <v>7.222326555143516E-5</v>
      </c>
      <c r="J281" s="36">
        <f>KfFromP(テーブル2[[#This Row],[P]])</f>
        <v>0.49112131073334553</v>
      </c>
      <c r="K281" s="36">
        <f>CpFFromP(テーブル2[[#This Row],[P]])</f>
        <v>7679.7488518783057</v>
      </c>
      <c r="L281" s="36">
        <f>SigmaFromP(テーブル2[[#This Row],[P]])</f>
        <v>6.5036449518301549E-3</v>
      </c>
      <c r="M281" s="36">
        <v>146.01</v>
      </c>
      <c r="N281" s="36">
        <v>4163.6260999999986</v>
      </c>
      <c r="O281" s="37">
        <f t="shared" si="146"/>
        <v>1.7530051946857026E-5</v>
      </c>
      <c r="P281" s="37">
        <f t="shared" si="147"/>
        <v>1.4842140332619616E-2</v>
      </c>
      <c r="Q281" s="37">
        <v>4.7243999999999993E-3</v>
      </c>
      <c r="R281" s="36">
        <v>0.30480000000000002</v>
      </c>
      <c r="S281" s="38">
        <v>3059952.2999999989</v>
      </c>
      <c r="T281" s="36">
        <v>587.19643129987617</v>
      </c>
      <c r="U281" s="12">
        <f>+T281+BG281*S281*テーブル2[[#This Row],[Pw]]*R281/(N281*O281*K281)</f>
        <v>611.89229444205455</v>
      </c>
      <c r="V281" s="36">
        <v>0.03</v>
      </c>
      <c r="W281" s="37">
        <f t="shared" si="118"/>
        <v>272358.70597447822</v>
      </c>
      <c r="X281" s="36">
        <v>0.01</v>
      </c>
      <c r="Y281" s="36">
        <f t="shared" si="119"/>
        <v>10</v>
      </c>
      <c r="Z281" s="36">
        <f t="shared" si="120"/>
        <v>5.9543338236958396</v>
      </c>
      <c r="AA281" s="36">
        <f t="shared" si="121"/>
        <v>4.0456661763041604</v>
      </c>
      <c r="AB281" s="36">
        <f t="shared" si="122"/>
        <v>2.2504624058887472E-5</v>
      </c>
      <c r="AC281" s="36">
        <v>600</v>
      </c>
      <c r="AD281" s="36">
        <f t="shared" si="123"/>
        <v>4814.6671977436654</v>
      </c>
      <c r="AE281" s="36">
        <f>+gettm2(AD281,AC281,AK281,AL281,テーブル2[[#This Row],[Fcorr]])</f>
        <v>561.64800961093488</v>
      </c>
      <c r="AF281" s="39">
        <f t="shared" si="124"/>
        <v>-50.244284831119671</v>
      </c>
      <c r="AG281" s="36">
        <v>1.0000000000000001E-5</v>
      </c>
      <c r="AH281" s="36">
        <f t="shared" si="125"/>
        <v>34.678979403408881</v>
      </c>
      <c r="AI281" s="36">
        <f t="shared" si="126"/>
        <v>0.23558063007414659</v>
      </c>
      <c r="AJ281" s="36">
        <f t="shared" si="127"/>
        <v>20.382131901378656</v>
      </c>
      <c r="AK281" s="36">
        <f>+S88*テーブル2[[#This Row],[F_form]]/(E88*CpFromTP((テーブル2[[#This Row],[Tin]]+テーブル2[[#This Row],[Tf]])/2,テーブル2[[#This Row],[P]])*AI88)</f>
        <v>1.5159690330693461</v>
      </c>
      <c r="AL281" s="36">
        <f t="shared" si="128"/>
        <v>1.1293676909872215</v>
      </c>
      <c r="AM281" s="36">
        <f t="shared" si="129"/>
        <v>580.08210995314187</v>
      </c>
      <c r="AN281" s="36">
        <f t="shared" si="130"/>
        <v>28.538964045381704</v>
      </c>
      <c r="AO281" s="36">
        <f t="shared" si="131"/>
        <v>-1.2504624058887471E-5</v>
      </c>
      <c r="AP281" s="36">
        <v>1</v>
      </c>
      <c r="AQ281" s="36">
        <f t="shared" si="132"/>
        <v>5.4530931276593132E-4</v>
      </c>
      <c r="AR281" s="36">
        <f t="shared" si="133"/>
        <v>-1.2523120294437353E-6</v>
      </c>
      <c r="AS281" s="36">
        <f t="shared" si="134"/>
        <v>-2.5524788965805407</v>
      </c>
      <c r="AT281" s="36">
        <f t="shared" si="135"/>
        <v>-2.5524788965805407</v>
      </c>
      <c r="AU281" s="36">
        <f t="shared" si="136"/>
        <v>-0.60131458670740623</v>
      </c>
      <c r="AV281" s="36">
        <f t="shared" si="137"/>
        <v>1.6013145867074061</v>
      </c>
      <c r="AW281" s="36">
        <f t="shared" si="138"/>
        <v>1.3530030934933579E-2</v>
      </c>
      <c r="AX281" s="36">
        <f t="shared" si="139"/>
        <v>0.82601927903144379</v>
      </c>
      <c r="AY281" s="36">
        <f t="shared" si="140"/>
        <v>0.77529530767596233</v>
      </c>
      <c r="AZ281" s="36">
        <f t="shared" si="141"/>
        <v>1080577.7610325073</v>
      </c>
      <c r="BA281" s="36">
        <f t="shared" si="142"/>
        <v>5.4530931276593132E-4</v>
      </c>
      <c r="BB281" s="38">
        <f t="shared" si="143"/>
        <v>-15483562.802630644</v>
      </c>
      <c r="BC281" s="40">
        <f t="shared" si="144"/>
        <v>-18543515.102630645</v>
      </c>
      <c r="BD281" s="41">
        <f t="shared" si="145"/>
        <v>-606.00667215076044</v>
      </c>
      <c r="BE281" s="38">
        <v>3059952.2999999989</v>
      </c>
      <c r="BF281" s="42">
        <f>テーブル2[[#This Row],[q_P]]/テーブル2[[#This Row],[q_M]]</f>
        <v>-5.0600667215076029</v>
      </c>
      <c r="BG281" s="36">
        <v>1</v>
      </c>
      <c r="BH281" s="36">
        <v>4.2999999999999997E-2</v>
      </c>
      <c r="BI281" s="36">
        <v>4.5999999999999999E-2</v>
      </c>
      <c r="BJ281" s="36">
        <v>5625</v>
      </c>
      <c r="BK281" s="22">
        <v>1</v>
      </c>
      <c r="BL281" s="36">
        <f>テーブル2[[#This Row],[Ts]]-テーブル2[[#This Row],[Tin]]</f>
        <v>21.424642698647403</v>
      </c>
      <c r="BM281" s="36">
        <f>テーブル2[[#This Row],[q_P]]*0.000001</f>
        <v>-15.483562802630644</v>
      </c>
      <c r="BN281" s="36">
        <f>テーブル2[[#This Row],[Tsub]]</f>
        <v>21.424642698647403</v>
      </c>
      <c r="BO281" s="36">
        <f>テーブル2[[#This Row],[Fcorr]]</f>
        <v>1</v>
      </c>
      <c r="BP281" s="36">
        <f>(テーブル2[[#This Row],[Tsub]]-40)^2</f>
        <v>345.04389887291325</v>
      </c>
      <c r="BQ281" s="36">
        <v>1</v>
      </c>
      <c r="BR281" s="36">
        <v>0.30480000000000002</v>
      </c>
    </row>
    <row r="282" spans="1:70" x14ac:dyDescent="0.15">
      <c r="A282" s="35" t="s">
        <v>301</v>
      </c>
      <c r="B282" s="36">
        <v>13789514.586336</v>
      </c>
      <c r="C282" s="22">
        <f>TsatFromP(テーブル2[[#This Row],[P]])</f>
        <v>608.62107399852357</v>
      </c>
      <c r="D282" s="36">
        <f>RhoGFromP(テーブル2[[#This Row],[P]])</f>
        <v>85.147847035840741</v>
      </c>
      <c r="E282" s="36">
        <f>RhoFFromP(テーブル2[[#This Row],[P]])</f>
        <v>624.86636713482415</v>
      </c>
      <c r="F282" s="36">
        <f>HgFromP(テーブル2[[#This Row],[P]])</f>
        <v>2643264.5206450778</v>
      </c>
      <c r="G282" s="36">
        <f>HfFromP(テーブル2[[#This Row],[P]])</f>
        <v>1562686.7596125705</v>
      </c>
      <c r="H282" s="36">
        <f>MuGFromP(テーブル2[[#This Row],[P]])</f>
        <v>2.2019591234371903E-5</v>
      </c>
      <c r="I282" s="36">
        <f>MuFFromP(テーブル2[[#This Row],[P]])</f>
        <v>7.222326555143516E-5</v>
      </c>
      <c r="J282" s="36">
        <f>KfFromP(テーブル2[[#This Row],[P]])</f>
        <v>0.49112131073334553</v>
      </c>
      <c r="K282" s="36">
        <f>CpFFromP(テーブル2[[#This Row],[P]])</f>
        <v>7679.7488518783057</v>
      </c>
      <c r="L282" s="36">
        <f>SigmaFromP(テーブル2[[#This Row],[P]])</f>
        <v>6.5036449518301549E-3</v>
      </c>
      <c r="M282" s="36">
        <v>147.01</v>
      </c>
      <c r="N282" s="36">
        <v>4773.9296000000004</v>
      </c>
      <c r="O282" s="37">
        <f t="shared" si="146"/>
        <v>1.7530051946857026E-5</v>
      </c>
      <c r="P282" s="37">
        <f t="shared" si="147"/>
        <v>1.4842140332619616E-2</v>
      </c>
      <c r="Q282" s="37">
        <v>4.7243999999999993E-3</v>
      </c>
      <c r="R282" s="36">
        <v>0.30480000000000002</v>
      </c>
      <c r="S282" s="38">
        <v>5867537.3999999994</v>
      </c>
      <c r="T282" s="36">
        <v>539.35633944579172</v>
      </c>
      <c r="U282" s="12">
        <f>+T282+BG282*S282*テーブル2[[#This Row],[Pw]]*R282/(N282*O282*K282)</f>
        <v>580.65739313442441</v>
      </c>
      <c r="V282" s="36">
        <v>0.03</v>
      </c>
      <c r="W282" s="37">
        <f t="shared" si="118"/>
        <v>312280.99186650279</v>
      </c>
      <c r="X282" s="36">
        <v>0.01</v>
      </c>
      <c r="Y282" s="36">
        <f t="shared" si="119"/>
        <v>10</v>
      </c>
      <c r="Z282" s="36">
        <f t="shared" si="120"/>
        <v>6.1808605009584232</v>
      </c>
      <c r="AA282" s="36">
        <f t="shared" si="121"/>
        <v>3.8191394990415768</v>
      </c>
      <c r="AB282" s="36">
        <f t="shared" si="122"/>
        <v>1.7118400640222137E-5</v>
      </c>
      <c r="AC282" s="36">
        <v>600</v>
      </c>
      <c r="AD282" s="36">
        <f t="shared" si="123"/>
        <v>5520.400174611631</v>
      </c>
      <c r="AE282" s="36">
        <f>+gettm2(AD282,AC282,AK282,AL282,テーブル2[[#This Row],[Fcorr]])</f>
        <v>551.01145838095931</v>
      </c>
      <c r="AF282" s="39">
        <f t="shared" si="124"/>
        <v>-29.645934753465099</v>
      </c>
      <c r="AG282" s="36">
        <v>1.0000000000000001E-5</v>
      </c>
      <c r="AH282" s="36">
        <f t="shared" si="125"/>
        <v>45.590555485999609</v>
      </c>
      <c r="AI282" s="36">
        <f t="shared" si="126"/>
        <v>0.2701119927885981</v>
      </c>
      <c r="AJ282" s="36">
        <f t="shared" si="127"/>
        <v>23.369740812004199</v>
      </c>
      <c r="AK282" s="36">
        <f>+S88*テーブル2[[#This Row],[F_form]]/(E88*CpFromTP((テーブル2[[#This Row],[Tin]]+テーブル2[[#This Row],[Tf]])/2,テーブル2[[#This Row],[P]])*AI88)</f>
        <v>1.9104456177452216</v>
      </c>
      <c r="AL282" s="36">
        <f t="shared" si="128"/>
        <v>1.1293676909872215</v>
      </c>
      <c r="AM282" s="36">
        <f t="shared" si="129"/>
        <v>573.55736457296598</v>
      </c>
      <c r="AN282" s="36">
        <f t="shared" si="130"/>
        <v>35.06370942555759</v>
      </c>
      <c r="AO282" s="36">
        <f t="shared" si="131"/>
        <v>-7.1184006402221362E-6</v>
      </c>
      <c r="AP282" s="36">
        <v>1</v>
      </c>
      <c r="AQ282" s="36">
        <f t="shared" si="132"/>
        <v>5.4530931276593132E-4</v>
      </c>
      <c r="AR282" s="36">
        <f t="shared" si="133"/>
        <v>1.4407996798889323E-6</v>
      </c>
      <c r="AS282" s="36">
        <f t="shared" si="134"/>
        <v>3.3671115081022966</v>
      </c>
      <c r="AT282" s="36">
        <f t="shared" si="135"/>
        <v>3.3671115081022966</v>
      </c>
      <c r="AU282" s="36">
        <f t="shared" si="136"/>
        <v>0.90949719939493323</v>
      </c>
      <c r="AV282" s="36">
        <f t="shared" si="137"/>
        <v>9.0502800605066769E-2</v>
      </c>
      <c r="AW282" s="36">
        <f t="shared" si="138"/>
        <v>1.0291773353455529E-2</v>
      </c>
      <c r="AX282" s="36">
        <f t="shared" si="139"/>
        <v>0.94709702351488045</v>
      </c>
      <c r="AY282" s="36">
        <f t="shared" si="140"/>
        <v>-0.85659422290981369</v>
      </c>
      <c r="AZ282" s="36">
        <f t="shared" si="141"/>
        <v>1080577.7610325073</v>
      </c>
      <c r="BA282" s="36">
        <f t="shared" si="142"/>
        <v>5.4530931276593132E-4</v>
      </c>
      <c r="BB282" s="38">
        <f t="shared" si="143"/>
        <v>-8814195.6805834305</v>
      </c>
      <c r="BC282" s="40">
        <f t="shared" si="144"/>
        <v>-14681733.080583431</v>
      </c>
      <c r="BD282" s="41">
        <f t="shared" si="145"/>
        <v>-250.21967615551</v>
      </c>
      <c r="BE282" s="38">
        <v>5867537.3999999994</v>
      </c>
      <c r="BF282" s="42">
        <f>テーブル2[[#This Row],[q_P]]/テーブル2[[#This Row],[q_M]]</f>
        <v>-1.5021967615551</v>
      </c>
      <c r="BG282" s="36">
        <v>1</v>
      </c>
      <c r="BH282" s="36">
        <v>-7.4999999999999997E-2</v>
      </c>
      <c r="BI282" s="36">
        <v>4.5999999999999999E-2</v>
      </c>
      <c r="BJ282" s="36">
        <v>5625</v>
      </c>
      <c r="BK282" s="22">
        <v>1</v>
      </c>
      <c r="BL282" s="36">
        <f>テーブル2[[#This Row],[Ts]]-テーブル2[[#This Row],[Tin]]</f>
        <v>69.264734552731852</v>
      </c>
      <c r="BM282" s="36">
        <f>テーブル2[[#This Row],[q_P]]*0.000001</f>
        <v>-8.8141956805834294</v>
      </c>
      <c r="BN282" s="36">
        <f>テーブル2[[#This Row],[Tsub]]</f>
        <v>69.264734552731852</v>
      </c>
      <c r="BO282" s="36">
        <f>テーブル2[[#This Row],[Fcorr]]</f>
        <v>1</v>
      </c>
      <c r="BP282" s="36">
        <f>(テーブル2[[#This Row],[Tsub]]-40)^2</f>
        <v>856.4246884418576</v>
      </c>
      <c r="BQ282" s="36">
        <v>1</v>
      </c>
      <c r="BR282" s="36">
        <v>0.30480000000000002</v>
      </c>
    </row>
    <row r="283" spans="1:70" x14ac:dyDescent="0.15">
      <c r="A283" s="35" t="s">
        <v>302</v>
      </c>
      <c r="B283" s="36">
        <v>13789514.586336</v>
      </c>
      <c r="C283" s="22">
        <f>TsatFromP(テーブル2[[#This Row],[P]])</f>
        <v>608.62107399852357</v>
      </c>
      <c r="D283" s="36">
        <f>RhoGFromP(テーブル2[[#This Row],[P]])</f>
        <v>85.147847035840741</v>
      </c>
      <c r="E283" s="36">
        <f>RhoFFromP(テーブル2[[#This Row],[P]])</f>
        <v>624.86636713482415</v>
      </c>
      <c r="F283" s="36">
        <f>HgFromP(テーブル2[[#This Row],[P]])</f>
        <v>2643264.5206450778</v>
      </c>
      <c r="G283" s="36">
        <f>HfFromP(テーブル2[[#This Row],[P]])</f>
        <v>1562686.7596125705</v>
      </c>
      <c r="H283" s="36">
        <f>MuGFromP(テーブル2[[#This Row],[P]])</f>
        <v>2.2019591234371903E-5</v>
      </c>
      <c r="I283" s="36">
        <f>MuFFromP(テーブル2[[#This Row],[P]])</f>
        <v>7.222326555143516E-5</v>
      </c>
      <c r="J283" s="36">
        <f>KfFromP(テーブル2[[#This Row],[P]])</f>
        <v>0.49112131073334553</v>
      </c>
      <c r="K283" s="36">
        <f>CpFFromP(テーブル2[[#This Row],[P]])</f>
        <v>7679.7488518783057</v>
      </c>
      <c r="L283" s="36">
        <f>SigmaFromP(テーブル2[[#This Row],[P]])</f>
        <v>6.5036449518301549E-3</v>
      </c>
      <c r="M283" s="36">
        <v>148.01</v>
      </c>
      <c r="N283" s="36">
        <v>4773.9296000000004</v>
      </c>
      <c r="O283" s="37">
        <f t="shared" si="146"/>
        <v>1.7530051946857026E-5</v>
      </c>
      <c r="P283" s="37">
        <f t="shared" si="147"/>
        <v>1.4842140332619616E-2</v>
      </c>
      <c r="Q283" s="37">
        <v>4.7243999999999993E-3</v>
      </c>
      <c r="R283" s="36">
        <v>0.30480000000000002</v>
      </c>
      <c r="S283" s="38">
        <v>3227145.5699999989</v>
      </c>
      <c r="T283" s="36">
        <v>589.92306747668817</v>
      </c>
      <c r="U283" s="12">
        <f>+T283+BG283*S283*テーブル2[[#This Row],[Pw]]*R283/(N283*O283*K283)</f>
        <v>612.63864700543616</v>
      </c>
      <c r="V283" s="36">
        <v>0.03</v>
      </c>
      <c r="W283" s="37">
        <f t="shared" si="118"/>
        <v>312280.99186650279</v>
      </c>
      <c r="X283" s="36">
        <v>0.01</v>
      </c>
      <c r="Y283" s="36">
        <f t="shared" si="119"/>
        <v>10</v>
      </c>
      <c r="Z283" s="36">
        <f t="shared" si="120"/>
        <v>6.1808605009584232</v>
      </c>
      <c r="AA283" s="36">
        <f t="shared" si="121"/>
        <v>3.8191394990415768</v>
      </c>
      <c r="AB283" s="36">
        <f t="shared" si="122"/>
        <v>1.7118400640222137E-5</v>
      </c>
      <c r="AC283" s="36">
        <v>600</v>
      </c>
      <c r="AD283" s="36">
        <f t="shared" si="123"/>
        <v>5520.400174611631</v>
      </c>
      <c r="AE283" s="36">
        <f>+gettm2(AD283,AC283,AK283,AL283,テーブル2[[#This Row],[Fcorr]])</f>
        <v>561.84983882229164</v>
      </c>
      <c r="AF283" s="39">
        <f t="shared" si="124"/>
        <v>-50.788808183144511</v>
      </c>
      <c r="AG283" s="36">
        <v>1.0000000000000001E-5</v>
      </c>
      <c r="AH283" s="36">
        <f t="shared" si="125"/>
        <v>45.590555485999609</v>
      </c>
      <c r="AI283" s="36">
        <f t="shared" si="126"/>
        <v>0.2701119927885981</v>
      </c>
      <c r="AJ283" s="36">
        <f t="shared" si="127"/>
        <v>23.369740812004199</v>
      </c>
      <c r="AK283" s="36">
        <f>+S88*テーブル2[[#This Row],[F_form]]/(E88*CpFromTP((テーブル2[[#This Row],[Tin]]+テーブル2[[#This Row],[Tf]])/2,テーブル2[[#This Row],[P]])*AI88)</f>
        <v>1.4877725653685994</v>
      </c>
      <c r="AL283" s="36">
        <f t="shared" si="128"/>
        <v>1.1293676909872215</v>
      </c>
      <c r="AM283" s="36">
        <f t="shared" si="129"/>
        <v>579.40761716587554</v>
      </c>
      <c r="AN283" s="36">
        <f t="shared" si="130"/>
        <v>29.213456832648035</v>
      </c>
      <c r="AO283" s="36">
        <f t="shared" si="131"/>
        <v>-7.1184006402221362E-6</v>
      </c>
      <c r="AP283" s="36">
        <v>1</v>
      </c>
      <c r="AQ283" s="36">
        <f t="shared" si="132"/>
        <v>5.4530931276593132E-4</v>
      </c>
      <c r="AR283" s="36">
        <f t="shared" si="133"/>
        <v>1.4407996798889323E-6</v>
      </c>
      <c r="AS283" s="36">
        <f t="shared" si="134"/>
        <v>3.3671115081022966</v>
      </c>
      <c r="AT283" s="36">
        <f t="shared" si="135"/>
        <v>3.3671115081022966</v>
      </c>
      <c r="AU283" s="36">
        <f t="shared" si="136"/>
        <v>0.90949719939493323</v>
      </c>
      <c r="AV283" s="36">
        <f t="shared" si="137"/>
        <v>9.0502800605066769E-2</v>
      </c>
      <c r="AW283" s="36">
        <f t="shared" si="138"/>
        <v>1.0291773353455529E-2</v>
      </c>
      <c r="AX283" s="36">
        <f t="shared" si="139"/>
        <v>0.94709702351488045</v>
      </c>
      <c r="AY283" s="36">
        <f t="shared" si="140"/>
        <v>-0.85659422290981369</v>
      </c>
      <c r="AZ283" s="36">
        <f t="shared" si="141"/>
        <v>1080577.7610325073</v>
      </c>
      <c r="BA283" s="36">
        <f t="shared" si="142"/>
        <v>5.4530931276593132E-4</v>
      </c>
      <c r="BB283" s="38">
        <f t="shared" si="143"/>
        <v>-8814195.6805834305</v>
      </c>
      <c r="BC283" s="40">
        <f t="shared" si="144"/>
        <v>-12041341.250583429</v>
      </c>
      <c r="BD283" s="41">
        <f t="shared" si="145"/>
        <v>-373.12668391910915</v>
      </c>
      <c r="BE283" s="38">
        <v>3227145.5699999989</v>
      </c>
      <c r="BF283" s="42">
        <f>テーブル2[[#This Row],[q_P]]/テーブル2[[#This Row],[q_M]]</f>
        <v>-2.7312668391910915</v>
      </c>
      <c r="BG283" s="36">
        <v>1</v>
      </c>
      <c r="BH283" s="36">
        <v>4.4999999999999998E-2</v>
      </c>
      <c r="BI283" s="36">
        <v>4.5999999999999999E-2</v>
      </c>
      <c r="BJ283" s="36">
        <v>5625</v>
      </c>
      <c r="BK283" s="22">
        <v>1</v>
      </c>
      <c r="BL283" s="36">
        <f>テーブル2[[#This Row],[Ts]]-テーブル2[[#This Row],[Tin]]</f>
        <v>18.698006521835396</v>
      </c>
      <c r="BM283" s="36">
        <f>テーブル2[[#This Row],[q_P]]*0.000001</f>
        <v>-8.8141956805834294</v>
      </c>
      <c r="BN283" s="36">
        <f>テーブル2[[#This Row],[Tsub]]</f>
        <v>18.698006521835396</v>
      </c>
      <c r="BO283" s="36">
        <f>テーブル2[[#This Row],[Fcorr]]</f>
        <v>1</v>
      </c>
      <c r="BP283" s="36">
        <f>(テーブル2[[#This Row],[Tsub]]-40)^2</f>
        <v>453.77492614376735</v>
      </c>
      <c r="BQ283" s="36">
        <v>1</v>
      </c>
      <c r="BR283" s="36">
        <v>0.30480000000000002</v>
      </c>
    </row>
    <row r="284" spans="1:70" x14ac:dyDescent="0.15">
      <c r="A284" s="35" t="s">
        <v>303</v>
      </c>
      <c r="B284" s="36">
        <v>13789514.586336</v>
      </c>
      <c r="C284" s="22">
        <f>TsatFromP(テーブル2[[#This Row],[P]])</f>
        <v>608.62107399852357</v>
      </c>
      <c r="D284" s="36">
        <f>RhoGFromP(テーブル2[[#This Row],[P]])</f>
        <v>85.147847035840741</v>
      </c>
      <c r="E284" s="36">
        <f>RhoFFromP(テーブル2[[#This Row],[P]])</f>
        <v>624.86636713482415</v>
      </c>
      <c r="F284" s="36">
        <f>HgFromP(テーブル2[[#This Row],[P]])</f>
        <v>2643264.5206450778</v>
      </c>
      <c r="G284" s="36">
        <f>HfFromP(テーブル2[[#This Row],[P]])</f>
        <v>1562686.7596125705</v>
      </c>
      <c r="H284" s="36">
        <f>MuGFromP(テーブル2[[#This Row],[P]])</f>
        <v>2.2019591234371903E-5</v>
      </c>
      <c r="I284" s="36">
        <f>MuFFromP(テーブル2[[#This Row],[P]])</f>
        <v>7.222326555143516E-5</v>
      </c>
      <c r="J284" s="36">
        <f>KfFromP(テーブル2[[#This Row],[P]])</f>
        <v>0.49112131073334553</v>
      </c>
      <c r="K284" s="36">
        <f>CpFFromP(テーブル2[[#This Row],[P]])</f>
        <v>7679.7488518783057</v>
      </c>
      <c r="L284" s="36">
        <f>SigmaFromP(テーブル2[[#This Row],[P]])</f>
        <v>6.5036449518301549E-3</v>
      </c>
      <c r="M284" s="36">
        <v>149.01</v>
      </c>
      <c r="N284" s="36">
        <v>5696.1660000000002</v>
      </c>
      <c r="O284" s="37">
        <f t="shared" si="146"/>
        <v>1.7530051946857026E-5</v>
      </c>
      <c r="P284" s="37">
        <f t="shared" si="147"/>
        <v>1.4842140332619616E-2</v>
      </c>
      <c r="Q284" s="37">
        <v>4.7243999999999993E-3</v>
      </c>
      <c r="R284" s="36">
        <v>0.30480000000000002</v>
      </c>
      <c r="S284" s="38">
        <v>9022127.3999999985</v>
      </c>
      <c r="T284" s="36">
        <v>484.79692300617302</v>
      </c>
      <c r="U284" s="12">
        <f>+T284+BG284*S284*テーブル2[[#This Row],[Pw]]*R284/(N284*O284*K284)</f>
        <v>538.02093320768381</v>
      </c>
      <c r="V284" s="36">
        <v>0.03</v>
      </c>
      <c r="W284" s="37">
        <f t="shared" si="118"/>
        <v>372608.0016588954</v>
      </c>
      <c r="X284" s="36">
        <v>0.01</v>
      </c>
      <c r="Y284" s="36">
        <f t="shared" si="119"/>
        <v>10</v>
      </c>
      <c r="Z284" s="36">
        <f t="shared" si="120"/>
        <v>6.4711922241562068</v>
      </c>
      <c r="AA284" s="36">
        <f t="shared" si="121"/>
        <v>3.5288077758437932</v>
      </c>
      <c r="AB284" s="36">
        <f t="shared" si="122"/>
        <v>1.2024026717268048E-5</v>
      </c>
      <c r="AC284" s="36">
        <v>600</v>
      </c>
      <c r="AD284" s="36">
        <f t="shared" si="123"/>
        <v>6586.8411174343319</v>
      </c>
      <c r="AE284" s="36">
        <f>+gettm2(AD284,AC284,AK284,AL284,テーブル2[[#This Row],[Fcorr]])</f>
        <v>544.1911657265448</v>
      </c>
      <c r="AF284" s="39">
        <f t="shared" si="124"/>
        <v>6.1702325188609848</v>
      </c>
      <c r="AG284" s="36">
        <v>1.0000000000000001E-5</v>
      </c>
      <c r="AH284" s="36">
        <f t="shared" si="125"/>
        <v>64.906492023908271</v>
      </c>
      <c r="AI284" s="36">
        <f t="shared" si="126"/>
        <v>0.32229271866821363</v>
      </c>
      <c r="AJ284" s="36">
        <f t="shared" si="127"/>
        <v>27.884349832505013</v>
      </c>
      <c r="AK284" s="36">
        <f>+S88*テーブル2[[#This Row],[F_form]]/(E88*CpFromTP((テーブル2[[#This Row],[Tin]]+テーブル2[[#This Row],[Tf]])/2,テーブル2[[#This Row],[P]])*AI88)</f>
        <v>2.1394116054256447</v>
      </c>
      <c r="AL284" s="36">
        <f t="shared" si="128"/>
        <v>1.1293676909872215</v>
      </c>
      <c r="AM284" s="36">
        <f t="shared" si="129"/>
        <v>568.45545171559309</v>
      </c>
      <c r="AN284" s="36">
        <f t="shared" si="130"/>
        <v>40.165622282930485</v>
      </c>
      <c r="AO284" s="36">
        <f t="shared" si="131"/>
        <v>-2.0240267172680477E-6</v>
      </c>
      <c r="AP284" s="36">
        <v>1</v>
      </c>
      <c r="AQ284" s="36">
        <f t="shared" si="132"/>
        <v>5.4530931276593132E-4</v>
      </c>
      <c r="AR284" s="36">
        <f t="shared" si="133"/>
        <v>3.9879866413659766E-6</v>
      </c>
      <c r="AS284" s="36">
        <f t="shared" si="134"/>
        <v>11.120241463520559</v>
      </c>
      <c r="AT284" s="36">
        <f t="shared" si="135"/>
        <v>8.9938350146602879</v>
      </c>
      <c r="AU284" s="36">
        <f t="shared" si="136"/>
        <v>2.8986475381282371</v>
      </c>
      <c r="AV284" s="36">
        <f t="shared" si="137"/>
        <v>-1.8986475381282371</v>
      </c>
      <c r="AW284" s="36">
        <f t="shared" si="138"/>
        <v>7.228978943234432E-3</v>
      </c>
      <c r="AX284" s="36">
        <f t="shared" si="139"/>
        <v>1.1300589485120733</v>
      </c>
      <c r="AY284" s="36">
        <f t="shared" si="140"/>
        <v>-3.0287064866403104</v>
      </c>
      <c r="AZ284" s="36">
        <f t="shared" si="141"/>
        <v>1080577.7610325073</v>
      </c>
      <c r="BA284" s="36">
        <f t="shared" si="142"/>
        <v>5.4530931276593132E-4</v>
      </c>
      <c r="BB284" s="38">
        <f t="shared" si="143"/>
        <v>-2506204.4763151701</v>
      </c>
      <c r="BC284" s="40">
        <f t="shared" si="144"/>
        <v>-11528331.876315169</v>
      </c>
      <c r="BD284" s="41">
        <f t="shared" si="145"/>
        <v>-127.77842037915769</v>
      </c>
      <c r="BE284" s="38">
        <v>9022127.3999999985</v>
      </c>
      <c r="BF284" s="42">
        <f>テーブル2[[#This Row],[q_P]]/テーブル2[[#This Row],[q_M]]</f>
        <v>-0.27778420379157698</v>
      </c>
      <c r="BG284" s="36">
        <v>1</v>
      </c>
      <c r="BH284" s="36">
        <v>-0.22700000000000001</v>
      </c>
      <c r="BI284" s="36">
        <v>4.5999999999999999E-2</v>
      </c>
      <c r="BJ284" s="36">
        <v>5625</v>
      </c>
      <c r="BK284" s="22">
        <v>1</v>
      </c>
      <c r="BL284" s="36">
        <f>テーブル2[[#This Row],[Ts]]-テーブル2[[#This Row],[Tin]]</f>
        <v>123.82415099235055</v>
      </c>
      <c r="BM284" s="36">
        <f>テーブル2[[#This Row],[q_P]]*0.000001</f>
        <v>-2.5062044763151698</v>
      </c>
      <c r="BN284" s="36">
        <f>テーブル2[[#This Row],[Tsub]]</f>
        <v>123.82415099235055</v>
      </c>
      <c r="BO284" s="36">
        <f>テーブル2[[#This Row],[Fcorr]]</f>
        <v>1</v>
      </c>
      <c r="BP284" s="36">
        <f>(テーブル2[[#This Row],[Tsub]]-40)^2</f>
        <v>7026.4882895883839</v>
      </c>
      <c r="BQ284" s="36">
        <v>1</v>
      </c>
      <c r="BR284" s="36">
        <v>0.30480000000000002</v>
      </c>
    </row>
    <row r="285" spans="1:70" x14ac:dyDescent="0.15">
      <c r="A285" s="35" t="s">
        <v>76</v>
      </c>
      <c r="B285" s="36">
        <v>13789514.586336</v>
      </c>
      <c r="C285" s="22">
        <f>TsatFromP(テーブル2[[#This Row],[P]])</f>
        <v>608.62107399852357</v>
      </c>
      <c r="D285" s="36">
        <f>RhoGFromP(テーブル2[[#This Row],[P]])</f>
        <v>85.147847035840741</v>
      </c>
      <c r="E285" s="36">
        <f>RhoFFromP(テーブル2[[#This Row],[P]])</f>
        <v>624.86636713482415</v>
      </c>
      <c r="F285" s="36">
        <f>HgFromP(テーブル2[[#This Row],[P]])</f>
        <v>2643264.5206450778</v>
      </c>
      <c r="G285" s="36">
        <f>HfFromP(テーブル2[[#This Row],[P]])</f>
        <v>1562686.7596125705</v>
      </c>
      <c r="H285" s="36">
        <f>MuGFromP(テーブル2[[#This Row],[P]])</f>
        <v>2.2019591234371903E-5</v>
      </c>
      <c r="I285" s="36">
        <f>MuFFromP(テーブル2[[#This Row],[P]])</f>
        <v>7.222326555143516E-5</v>
      </c>
      <c r="J285" s="36">
        <f>KfFromP(テーブル2[[#This Row],[P]])</f>
        <v>0.49112131073334553</v>
      </c>
      <c r="K285" s="36">
        <f>CpFFromP(テーブル2[[#This Row],[P]])</f>
        <v>7679.7488518783057</v>
      </c>
      <c r="L285" s="36">
        <f>SigmaFromP(テーブル2[[#This Row],[P]])</f>
        <v>6.5036449518301549E-3</v>
      </c>
      <c r="M285" s="36">
        <v>15.01</v>
      </c>
      <c r="N285" s="36">
        <v>3132.8912999999998</v>
      </c>
      <c r="O285" s="37">
        <f t="shared" si="146"/>
        <v>2.8502295699234246E-6</v>
      </c>
      <c r="P285" s="37">
        <f t="shared" si="147"/>
        <v>5.9847340050885557E-3</v>
      </c>
      <c r="Q285" s="37">
        <v>1.905E-3</v>
      </c>
      <c r="R285" s="36">
        <v>0.15240000000000001</v>
      </c>
      <c r="S285" s="38">
        <v>6750822.6000000006</v>
      </c>
      <c r="T285" s="36">
        <v>459.19505297445471</v>
      </c>
      <c r="U285" s="12">
        <f>+T285+BG285*S285*テーブル2[[#This Row],[Pw]]*R285/(N285*O285*K285)</f>
        <v>548.98223254898051</v>
      </c>
      <c r="V285" s="36">
        <v>0.03</v>
      </c>
      <c r="W285" s="37">
        <f t="shared" si="118"/>
        <v>82634.839077577621</v>
      </c>
      <c r="X285" s="36">
        <v>0.01</v>
      </c>
      <c r="Y285" s="36">
        <f t="shared" si="119"/>
        <v>10</v>
      </c>
      <c r="Z285" s="36">
        <f t="shared" si="120"/>
        <v>4.6903831126430955</v>
      </c>
      <c r="AA285" s="36">
        <f t="shared" si="121"/>
        <v>5.3096168873569045</v>
      </c>
      <c r="AB285" s="36">
        <f t="shared" si="122"/>
        <v>3.9748848652125793E-5</v>
      </c>
      <c r="AC285" s="36">
        <v>600</v>
      </c>
      <c r="AD285" s="36">
        <f t="shared" si="123"/>
        <v>1460.7913768503558</v>
      </c>
      <c r="AE285" s="36">
        <f>+gettm2(AD285,AC285,AK285,AL285,テーブル2[[#This Row],[Fcorr]])</f>
        <v>551.79337802260113</v>
      </c>
      <c r="AF285" s="39">
        <f t="shared" si="124"/>
        <v>2.8111454736206269</v>
      </c>
      <c r="AG285" s="36">
        <v>1.0000000000000001E-5</v>
      </c>
      <c r="AH285" s="36">
        <f t="shared" si="125"/>
        <v>19.634213837232249</v>
      </c>
      <c r="AI285" s="36">
        <f t="shared" si="126"/>
        <v>0.17726099526751748</v>
      </c>
      <c r="AJ285" s="36">
        <f t="shared" si="127"/>
        <v>15.336392407877753</v>
      </c>
      <c r="AK285" s="36">
        <f>+S88*テーブル2[[#This Row],[F_form]]/(E88*CpFromTP((テーブル2[[#This Row],[Tin]]+テーブル2[[#This Row],[Tf]])/2,テーブル2[[#This Row],[P]])*AI88)</f>
        <v>2.1633053834259717</v>
      </c>
      <c r="AL285" s="36">
        <f t="shared" si="128"/>
        <v>1.1293676909872215</v>
      </c>
      <c r="AM285" s="36">
        <f t="shared" si="129"/>
        <v>574.75686901284371</v>
      </c>
      <c r="AN285" s="36">
        <f t="shared" si="130"/>
        <v>33.864204985679862</v>
      </c>
      <c r="AO285" s="36">
        <f t="shared" si="131"/>
        <v>-2.9748848652125794E-5</v>
      </c>
      <c r="AP285" s="36">
        <v>1</v>
      </c>
      <c r="AQ285" s="36">
        <f t="shared" si="132"/>
        <v>5.4530931276593132E-4</v>
      </c>
      <c r="AR285" s="36">
        <f t="shared" si="133"/>
        <v>-9.8744243260628975E-6</v>
      </c>
      <c r="AS285" s="36">
        <f t="shared" si="134"/>
        <v>-15.14380462663944</v>
      </c>
      <c r="AT285" s="36">
        <f t="shared" si="135"/>
        <v>-15.14380462663944</v>
      </c>
      <c r="AU285" s="36">
        <f t="shared" si="136"/>
        <v>-2.6844058802549431</v>
      </c>
      <c r="AV285" s="36">
        <f t="shared" si="137"/>
        <v>3.6844058802549431</v>
      </c>
      <c r="AW285" s="36">
        <f t="shared" si="138"/>
        <v>2.389745105201466E-2</v>
      </c>
      <c r="AX285" s="36">
        <f t="shared" si="139"/>
        <v>0.62153242168164025</v>
      </c>
      <c r="AY285" s="36">
        <f t="shared" si="140"/>
        <v>3.0628734585733026</v>
      </c>
      <c r="AZ285" s="36">
        <f t="shared" si="141"/>
        <v>1080577.7610325073</v>
      </c>
      <c r="BA285" s="36">
        <f t="shared" si="142"/>
        <v>5.4530931276593132E-4</v>
      </c>
      <c r="BB285" s="38">
        <f t="shared" si="143"/>
        <v>-36835826.830296934</v>
      </c>
      <c r="BC285" s="40">
        <f t="shared" si="144"/>
        <v>-43586649.430296935</v>
      </c>
      <c r="BD285" s="41">
        <f t="shared" si="145"/>
        <v>-645.64945656099644</v>
      </c>
      <c r="BE285" s="38">
        <v>6750822.6000000006</v>
      </c>
      <c r="BF285" s="42">
        <f>テーブル2[[#This Row],[q_P]]/テーブル2[[#This Row],[q_M]]</f>
        <v>-5.4564945656099644</v>
      </c>
      <c r="BG285" s="36">
        <v>1</v>
      </c>
      <c r="BH285" s="36">
        <v>-7.0999999999999994E-2</v>
      </c>
      <c r="BI285" s="36">
        <v>4.5999999999999999E-2</v>
      </c>
      <c r="BJ285" s="36">
        <v>5625</v>
      </c>
      <c r="BK285" s="22">
        <v>1</v>
      </c>
      <c r="BL285" s="36">
        <f>テーブル2[[#This Row],[Ts]]-テーブル2[[#This Row],[Tin]]</f>
        <v>149.42602102406886</v>
      </c>
      <c r="BM285" s="36">
        <f>テーブル2[[#This Row],[q_P]]*0.000001</f>
        <v>-36.835826830296931</v>
      </c>
      <c r="BN285" s="36">
        <f>テーブル2[[#This Row],[Tsub]]</f>
        <v>149.42602102406886</v>
      </c>
      <c r="BO285" s="36">
        <f>テーブル2[[#This Row],[Fcorr]]</f>
        <v>1</v>
      </c>
      <c r="BP285" s="36">
        <f>(テーブル2[[#This Row],[Tsub]]-40)^2</f>
        <v>11974.054077159961</v>
      </c>
      <c r="BQ285" s="36">
        <v>1</v>
      </c>
      <c r="BR285" s="36">
        <v>0.15240000000000001</v>
      </c>
    </row>
    <row r="286" spans="1:70" x14ac:dyDescent="0.15">
      <c r="A286" s="35" t="s">
        <v>304</v>
      </c>
      <c r="B286" s="36">
        <v>13789514.586336</v>
      </c>
      <c r="C286" s="22">
        <f>TsatFromP(テーブル2[[#This Row],[P]])</f>
        <v>608.62107399852357</v>
      </c>
      <c r="D286" s="36">
        <f>RhoGFromP(テーブル2[[#This Row],[P]])</f>
        <v>85.147847035840741</v>
      </c>
      <c r="E286" s="36">
        <f>RhoFFromP(テーブル2[[#This Row],[P]])</f>
        <v>624.86636713482415</v>
      </c>
      <c r="F286" s="36">
        <f>HgFromP(テーブル2[[#This Row],[P]])</f>
        <v>2643264.5206450778</v>
      </c>
      <c r="G286" s="36">
        <f>HfFromP(テーブル2[[#This Row],[P]])</f>
        <v>1562686.7596125705</v>
      </c>
      <c r="H286" s="36">
        <f>MuGFromP(テーブル2[[#This Row],[P]])</f>
        <v>2.2019591234371903E-5</v>
      </c>
      <c r="I286" s="36">
        <f>MuFFromP(テーブル2[[#This Row],[P]])</f>
        <v>7.222326555143516E-5</v>
      </c>
      <c r="J286" s="36">
        <f>KfFromP(テーブル2[[#This Row],[P]])</f>
        <v>0.49112131073334553</v>
      </c>
      <c r="K286" s="36">
        <f>CpFFromP(テーブル2[[#This Row],[P]])</f>
        <v>7679.7488518783057</v>
      </c>
      <c r="L286" s="36">
        <f>SigmaFromP(テーブル2[[#This Row],[P]])</f>
        <v>6.5036449518301549E-3</v>
      </c>
      <c r="M286" s="36">
        <v>150.01</v>
      </c>
      <c r="N286" s="36">
        <v>520.79232000000002</v>
      </c>
      <c r="O286" s="37">
        <f t="shared" si="146"/>
        <v>1.7719053836560394E-5</v>
      </c>
      <c r="P286" s="37">
        <f t="shared" si="147"/>
        <v>1.4921936786020797E-2</v>
      </c>
      <c r="Q286" s="37">
        <v>4.7497999999999993E-3</v>
      </c>
      <c r="R286" s="36">
        <v>0.3175</v>
      </c>
      <c r="S286" s="38">
        <v>851739.29999999993</v>
      </c>
      <c r="T286" s="36">
        <v>540.49035799190642</v>
      </c>
      <c r="U286" s="12">
        <f>+T286+BG286*S286*テーブル2[[#This Row],[Pw]]*R286/(N286*O286*K286)</f>
        <v>597.43114892292567</v>
      </c>
      <c r="V286" s="36">
        <v>0.03</v>
      </c>
      <c r="W286" s="37">
        <f t="shared" si="118"/>
        <v>34250.173301487412</v>
      </c>
      <c r="X286" s="36">
        <v>0.01</v>
      </c>
      <c r="Y286" s="36">
        <f t="shared" si="119"/>
        <v>10</v>
      </c>
      <c r="Z286" s="36">
        <f t="shared" si="120"/>
        <v>2.4170784560579697</v>
      </c>
      <c r="AA286" s="36">
        <f t="shared" si="121"/>
        <v>7.5829215439420299</v>
      </c>
      <c r="AB286" s="36">
        <f t="shared" si="122"/>
        <v>1.4384211649075547E-3</v>
      </c>
      <c r="AC286" s="36">
        <v>600</v>
      </c>
      <c r="AD286" s="36">
        <f t="shared" si="123"/>
        <v>605.46324495740464</v>
      </c>
      <c r="AE286" s="36">
        <f>+gettm2(AD286,AC286,AK286,AL286,テーブル2[[#This Row],[Fcorr]])</f>
        <v>563.02827609133431</v>
      </c>
      <c r="AF286" s="39">
        <f t="shared" si="124"/>
        <v>-34.402872831591367</v>
      </c>
      <c r="AG286" s="36">
        <v>1.0000000000000001E-5</v>
      </c>
      <c r="AH286" s="36">
        <f t="shared" si="125"/>
        <v>0.54256528842842511</v>
      </c>
      <c r="AI286" s="36">
        <f t="shared" si="126"/>
        <v>2.9466762849665248E-2</v>
      </c>
      <c r="AJ286" s="36">
        <f t="shared" si="127"/>
        <v>2.5494262704004584</v>
      </c>
      <c r="AK286" s="36">
        <f>+S88*テーブル2[[#This Row],[F_form]]/(E88*CpFromTP((テーブル2[[#This Row],[Tin]]+テーブル2[[#This Row],[Tf]])/2,テーブル2[[#This Row],[P]])*AI88)</f>
        <v>1.8472303504054448</v>
      </c>
      <c r="AL286" s="36">
        <f t="shared" si="128"/>
        <v>1.1293676909872215</v>
      </c>
      <c r="AM286" s="36">
        <f t="shared" si="129"/>
        <v>594.68138111332087</v>
      </c>
      <c r="AN286" s="36">
        <f t="shared" si="130"/>
        <v>13.939692885202703</v>
      </c>
      <c r="AO286" s="36">
        <f t="shared" si="131"/>
        <v>-1.4284211649075547E-3</v>
      </c>
      <c r="AP286" s="36">
        <v>1</v>
      </c>
      <c r="AQ286" s="36">
        <f t="shared" si="132"/>
        <v>5.4530931276593132E-4</v>
      </c>
      <c r="AR286" s="36">
        <f t="shared" si="133"/>
        <v>-7.0921058245377732E-4</v>
      </c>
      <c r="AS286" s="36">
        <f t="shared" si="134"/>
        <v>-180.80800901536699</v>
      </c>
      <c r="AT286" s="36">
        <f t="shared" si="135"/>
        <v>-180.80800901536699</v>
      </c>
      <c r="AU286" s="36">
        <f t="shared" si="136"/>
        <v>-5.3278267229759555</v>
      </c>
      <c r="AV286" s="36">
        <f t="shared" si="137"/>
        <v>6.3278267229759555</v>
      </c>
      <c r="AW286" s="36">
        <f t="shared" si="138"/>
        <v>0.86479484428341602</v>
      </c>
      <c r="AX286" s="36">
        <f t="shared" si="139"/>
        <v>0.10331967529253241</v>
      </c>
      <c r="AY286" s="36">
        <f t="shared" si="140"/>
        <v>6.2245070476834234</v>
      </c>
      <c r="AZ286" s="36">
        <f t="shared" si="141"/>
        <v>1080577.7610325073</v>
      </c>
      <c r="BA286" s="36">
        <f t="shared" si="142"/>
        <v>5.4530931276593132E-4</v>
      </c>
      <c r="BB286" s="38">
        <f t="shared" si="143"/>
        <v>-1768709615.842756</v>
      </c>
      <c r="BC286" s="40">
        <f t="shared" si="144"/>
        <v>-1769561355.142756</v>
      </c>
      <c r="BD286" s="41">
        <f t="shared" si="145"/>
        <v>-207758.56593006288</v>
      </c>
      <c r="BE286" s="38">
        <v>851739.29999999993</v>
      </c>
      <c r="BF286" s="42">
        <f>テーブル2[[#This Row],[q_P]]/テーブル2[[#This Row],[q_M]]</f>
        <v>-2076.5856593006288</v>
      </c>
      <c r="BG286" s="36">
        <v>1</v>
      </c>
      <c r="BH286" s="36">
        <v>4.1000000000000002E-2</v>
      </c>
      <c r="BI286" s="36">
        <v>4.5999999999999999E-2</v>
      </c>
      <c r="BJ286" s="36">
        <v>5625</v>
      </c>
      <c r="BK286" s="22">
        <v>1</v>
      </c>
      <c r="BL286" s="36">
        <f>テーブル2[[#This Row],[Ts]]-テーブル2[[#This Row],[Tin]]</f>
        <v>68.130716006617149</v>
      </c>
      <c r="BM286" s="36">
        <f>テーブル2[[#This Row],[q_P]]*0.000001</f>
        <v>-1768.709615842756</v>
      </c>
      <c r="BN286" s="36">
        <f>テーブル2[[#This Row],[Tsub]]</f>
        <v>68.130716006617149</v>
      </c>
      <c r="BO286" s="36">
        <f>テーブル2[[#This Row],[Fcorr]]</f>
        <v>1</v>
      </c>
      <c r="BP286" s="36">
        <f>(テーブル2[[#This Row],[Tsub]]-40)^2</f>
        <v>791.3371830449463</v>
      </c>
      <c r="BQ286" s="36">
        <v>1</v>
      </c>
      <c r="BR286" s="36">
        <v>0.3175</v>
      </c>
    </row>
    <row r="287" spans="1:70" x14ac:dyDescent="0.15">
      <c r="A287" s="35" t="s">
        <v>305</v>
      </c>
      <c r="B287" s="36">
        <v>13789514.586336</v>
      </c>
      <c r="C287" s="22">
        <f>TsatFromP(テーブル2[[#This Row],[P]])</f>
        <v>608.62107399852357</v>
      </c>
      <c r="D287" s="36">
        <f>RhoGFromP(テーブル2[[#This Row],[P]])</f>
        <v>85.147847035840741</v>
      </c>
      <c r="E287" s="36">
        <f>RhoFFromP(テーブル2[[#This Row],[P]])</f>
        <v>624.86636713482415</v>
      </c>
      <c r="F287" s="36">
        <f>HgFromP(テーブル2[[#This Row],[P]])</f>
        <v>2643264.5206450778</v>
      </c>
      <c r="G287" s="36">
        <f>HfFromP(テーブル2[[#This Row],[P]])</f>
        <v>1562686.7596125705</v>
      </c>
      <c r="H287" s="36">
        <f>MuGFromP(テーブル2[[#This Row],[P]])</f>
        <v>2.2019591234371903E-5</v>
      </c>
      <c r="I287" s="36">
        <f>MuFFromP(テーブル2[[#This Row],[P]])</f>
        <v>7.222326555143516E-5</v>
      </c>
      <c r="J287" s="36">
        <f>KfFromP(テーブル2[[#This Row],[P]])</f>
        <v>0.49112131073334553</v>
      </c>
      <c r="K287" s="36">
        <f>CpFFromP(テーブル2[[#This Row],[P]])</f>
        <v>7679.7488518783057</v>
      </c>
      <c r="L287" s="36">
        <f>SigmaFromP(テーブル2[[#This Row],[P]])</f>
        <v>6.5036449518301549E-3</v>
      </c>
      <c r="M287" s="36">
        <v>152.01</v>
      </c>
      <c r="N287" s="36">
        <v>644.20925</v>
      </c>
      <c r="O287" s="37">
        <f t="shared" si="146"/>
        <v>1.7719053836560394E-5</v>
      </c>
      <c r="P287" s="37">
        <f t="shared" si="147"/>
        <v>1.4921936786020797E-2</v>
      </c>
      <c r="Q287" s="37">
        <v>4.7497999999999993E-3</v>
      </c>
      <c r="R287" s="36">
        <v>0.3175</v>
      </c>
      <c r="S287" s="38">
        <v>1100951.9099999999</v>
      </c>
      <c r="T287" s="36">
        <v>538.266586104927</v>
      </c>
      <c r="U287" s="12">
        <f>+T287+BG287*S287*テーブル2[[#This Row],[Pw]]*R287/(N287*O287*K287)</f>
        <v>597.76738171827185</v>
      </c>
      <c r="V287" s="36">
        <v>0.03</v>
      </c>
      <c r="W287" s="37">
        <f t="shared" si="118"/>
        <v>42366.750828662807</v>
      </c>
      <c r="X287" s="36">
        <v>0.01</v>
      </c>
      <c r="Y287" s="36">
        <f t="shared" si="119"/>
        <v>10</v>
      </c>
      <c r="Z287" s="36">
        <f t="shared" si="120"/>
        <v>2.7840868041807472</v>
      </c>
      <c r="AA287" s="36">
        <f t="shared" si="121"/>
        <v>7.2159131958192528</v>
      </c>
      <c r="AB287" s="36">
        <f t="shared" si="122"/>
        <v>9.4007238246031431E-4</v>
      </c>
      <c r="AC287" s="36">
        <v>600</v>
      </c>
      <c r="AD287" s="36">
        <f t="shared" si="123"/>
        <v>748.94542019470634</v>
      </c>
      <c r="AE287" s="36">
        <f>+gettm2(AD287,AC287,AK287,AL287,テーブル2[[#This Row],[Fcorr]])</f>
        <v>561.85861609741687</v>
      </c>
      <c r="AF287" s="39">
        <f t="shared" si="124"/>
        <v>-35.908765620854979</v>
      </c>
      <c r="AG287" s="36">
        <v>1.0000000000000001E-5</v>
      </c>
      <c r="AH287" s="36">
        <f t="shared" si="125"/>
        <v>0.83018862034548191</v>
      </c>
      <c r="AI287" s="36">
        <f t="shared" si="126"/>
        <v>3.6449771754143212E-2</v>
      </c>
      <c r="AJ287" s="36">
        <f t="shared" si="127"/>
        <v>3.1535871834380664</v>
      </c>
      <c r="AK287" s="36">
        <f>+S88*テーブル2[[#This Row],[F_form]]/(E88*CpFromTP((テーブル2[[#This Row],[Tin]]+テーブル2[[#This Row],[Tf]])/2,テーブル2[[#This Row],[P]])*AI88)</f>
        <v>1.8543712577091702</v>
      </c>
      <c r="AL287" s="36">
        <f t="shared" si="128"/>
        <v>1.1293676909872215</v>
      </c>
      <c r="AM287" s="36">
        <f t="shared" si="129"/>
        <v>593.39554647566547</v>
      </c>
      <c r="AN287" s="36">
        <f t="shared" si="130"/>
        <v>15.225527522858101</v>
      </c>
      <c r="AO287" s="36">
        <f t="shared" si="131"/>
        <v>-9.3007238246031428E-4</v>
      </c>
      <c r="AP287" s="36">
        <v>1</v>
      </c>
      <c r="AQ287" s="36">
        <f t="shared" si="132"/>
        <v>5.4530931276593132E-4</v>
      </c>
      <c r="AR287" s="36">
        <f t="shared" si="133"/>
        <v>-4.6003619123015713E-4</v>
      </c>
      <c r="AS287" s="36">
        <f t="shared" si="134"/>
        <v>-145.07642365810869</v>
      </c>
      <c r="AT287" s="36">
        <f t="shared" si="135"/>
        <v>-145.07642365810869</v>
      </c>
      <c r="AU287" s="36">
        <f t="shared" si="136"/>
        <v>-5.2880025292454444</v>
      </c>
      <c r="AV287" s="36">
        <f t="shared" si="137"/>
        <v>6.2880025292454444</v>
      </c>
      <c r="AW287" s="36">
        <f t="shared" si="138"/>
        <v>0.56518199915193534</v>
      </c>
      <c r="AX287" s="36">
        <f t="shared" si="139"/>
        <v>0.12780428584362732</v>
      </c>
      <c r="AY287" s="36">
        <f t="shared" si="140"/>
        <v>6.1601982434018172</v>
      </c>
      <c r="AZ287" s="36">
        <f t="shared" si="141"/>
        <v>1080577.7610325073</v>
      </c>
      <c r="BA287" s="36">
        <f t="shared" si="142"/>
        <v>5.4530931276593132E-4</v>
      </c>
      <c r="BB287" s="38">
        <f t="shared" si="143"/>
        <v>-1151640711.2280526</v>
      </c>
      <c r="BC287" s="40">
        <f t="shared" si="144"/>
        <v>-1152741663.1380527</v>
      </c>
      <c r="BD287" s="41">
        <f t="shared" si="145"/>
        <v>-104704.08858621743</v>
      </c>
      <c r="BE287" s="38">
        <v>1100951.9099999999</v>
      </c>
      <c r="BF287" s="42">
        <f>テーブル2[[#This Row],[q_P]]/テーブル2[[#This Row],[q_M]]</f>
        <v>-1046.0408858621743</v>
      </c>
      <c r="BG287" s="36">
        <v>1</v>
      </c>
      <c r="BH287" s="36">
        <v>4.9000000000000002E-2</v>
      </c>
      <c r="BI287" s="36">
        <v>4.5999999999999999E-2</v>
      </c>
      <c r="BJ287" s="36">
        <v>5625</v>
      </c>
      <c r="BK287" s="22">
        <v>1</v>
      </c>
      <c r="BL287" s="36">
        <f>テーブル2[[#This Row],[Ts]]-テーブル2[[#This Row],[Tin]]</f>
        <v>70.35448789359657</v>
      </c>
      <c r="BM287" s="36">
        <f>テーブル2[[#This Row],[q_P]]*0.000001</f>
        <v>-1151.6407112280526</v>
      </c>
      <c r="BN287" s="36">
        <f>テーブル2[[#This Row],[Tsub]]</f>
        <v>70.35448789359657</v>
      </c>
      <c r="BO287" s="36">
        <f>テーブル2[[#This Row],[Fcorr]]</f>
        <v>1</v>
      </c>
      <c r="BP287" s="36">
        <f>(テーブル2[[#This Row],[Tsub]]-40)^2</f>
        <v>921.39493528250068</v>
      </c>
      <c r="BQ287" s="36">
        <v>1</v>
      </c>
      <c r="BR287" s="36">
        <v>0.3175</v>
      </c>
    </row>
    <row r="288" spans="1:70" x14ac:dyDescent="0.15">
      <c r="A288" s="35" t="s">
        <v>306</v>
      </c>
      <c r="B288" s="36">
        <v>13789514.586336</v>
      </c>
      <c r="C288" s="22">
        <f>TsatFromP(テーブル2[[#This Row],[P]])</f>
        <v>608.62107399852357</v>
      </c>
      <c r="D288" s="36">
        <f>RhoGFromP(テーブル2[[#This Row],[P]])</f>
        <v>85.147847035840741</v>
      </c>
      <c r="E288" s="36">
        <f>RhoFFromP(テーブル2[[#This Row],[P]])</f>
        <v>624.86636713482415</v>
      </c>
      <c r="F288" s="36">
        <f>HgFromP(テーブル2[[#This Row],[P]])</f>
        <v>2643264.5206450778</v>
      </c>
      <c r="G288" s="36">
        <f>HfFromP(テーブル2[[#This Row],[P]])</f>
        <v>1562686.7596125705</v>
      </c>
      <c r="H288" s="36">
        <f>MuGFromP(テーブル2[[#This Row],[P]])</f>
        <v>2.2019591234371903E-5</v>
      </c>
      <c r="I288" s="36">
        <f>MuFFromP(テーブル2[[#This Row],[P]])</f>
        <v>7.222326555143516E-5</v>
      </c>
      <c r="J288" s="36">
        <f>KfFromP(テーブル2[[#This Row],[P]])</f>
        <v>0.49112131073334553</v>
      </c>
      <c r="K288" s="36">
        <f>CpFFromP(テーブル2[[#This Row],[P]])</f>
        <v>7679.7488518783057</v>
      </c>
      <c r="L288" s="36">
        <f>SigmaFromP(テーブル2[[#This Row],[P]])</f>
        <v>6.5036449518301549E-3</v>
      </c>
      <c r="M288" s="36">
        <v>154.01</v>
      </c>
      <c r="N288" s="36">
        <v>782.54471000000001</v>
      </c>
      <c r="O288" s="37">
        <f t="shared" si="146"/>
        <v>1.7719053836560394E-5</v>
      </c>
      <c r="P288" s="37">
        <f t="shared" si="147"/>
        <v>1.4921936786020797E-2</v>
      </c>
      <c r="Q288" s="37">
        <v>4.7497999999999993E-3</v>
      </c>
      <c r="R288" s="36">
        <v>0.3175</v>
      </c>
      <c r="S288" s="38">
        <v>3217681.8</v>
      </c>
      <c r="T288" s="36">
        <v>332.45381456393051</v>
      </c>
      <c r="U288" s="12">
        <f>+T288+BG288*S288*テーブル2[[#This Row],[Pw]]*R288/(N288*O288*K288)</f>
        <v>475.61171296473691</v>
      </c>
      <c r="V288" s="36">
        <v>0.03</v>
      </c>
      <c r="W288" s="37">
        <f t="shared" si="118"/>
        <v>51464.453111870396</v>
      </c>
      <c r="X288" s="36">
        <v>0.01</v>
      </c>
      <c r="Y288" s="36">
        <f t="shared" si="119"/>
        <v>10</v>
      </c>
      <c r="Z288" s="36">
        <f t="shared" si="120"/>
        <v>3.1192874666589208</v>
      </c>
      <c r="AA288" s="36">
        <f t="shared" si="121"/>
        <v>6.8807125333410788</v>
      </c>
      <c r="AB288" s="36">
        <f t="shared" si="122"/>
        <v>6.3708427710595461E-4</v>
      </c>
      <c r="AC288" s="36">
        <v>600</v>
      </c>
      <c r="AD288" s="36">
        <f t="shared" si="123"/>
        <v>909.77159463651697</v>
      </c>
      <c r="AE288" s="36">
        <f>+gettm2(AD288,AC288,AK288,AL288,テーブル2[[#This Row],[Fcorr]])</f>
        <v>550.45937826642046</v>
      </c>
      <c r="AF288" s="39">
        <f t="shared" si="124"/>
        <v>74.847665301683548</v>
      </c>
      <c r="AG288" s="36">
        <v>1.0000000000000001E-5</v>
      </c>
      <c r="AH288" s="36">
        <f t="shared" si="125"/>
        <v>1.2250143697861542</v>
      </c>
      <c r="AI288" s="36">
        <f t="shared" si="126"/>
        <v>4.4276880636085543E-2</v>
      </c>
      <c r="AJ288" s="36">
        <f t="shared" si="127"/>
        <v>3.8307785365131886</v>
      </c>
      <c r="AK288" s="36">
        <f>+S88*テーブル2[[#This Row],[F_form]]/(E88*CpFromTP((テーブル2[[#This Row],[Tin]]+テーブル2[[#This Row],[Tf]])/2,テーブル2[[#This Row],[P]])*AI88)</f>
        <v>2.351117321851584</v>
      </c>
      <c r="AL288" s="36">
        <f t="shared" si="128"/>
        <v>1.1293676909872215</v>
      </c>
      <c r="AM288" s="36">
        <f t="shared" si="129"/>
        <v>589.82822591662227</v>
      </c>
      <c r="AN288" s="36">
        <f t="shared" si="130"/>
        <v>18.792848081901298</v>
      </c>
      <c r="AO288" s="36">
        <f t="shared" si="131"/>
        <v>-6.2708427710595459E-4</v>
      </c>
      <c r="AP288" s="36">
        <v>1</v>
      </c>
      <c r="AQ288" s="36">
        <f t="shared" si="132"/>
        <v>5.4530931276593132E-4</v>
      </c>
      <c r="AR288" s="36">
        <f t="shared" si="133"/>
        <v>-3.0854213855297728E-4</v>
      </c>
      <c r="AS288" s="36">
        <f t="shared" si="134"/>
        <v>-118.19566019786237</v>
      </c>
      <c r="AT288" s="36">
        <f t="shared" si="135"/>
        <v>-118.19566019786237</v>
      </c>
      <c r="AU288" s="36">
        <f t="shared" si="136"/>
        <v>-5.2333351382840787</v>
      </c>
      <c r="AV288" s="36">
        <f t="shared" si="137"/>
        <v>6.2333351382840787</v>
      </c>
      <c r="AW288" s="36">
        <f t="shared" si="138"/>
        <v>0.38302217157008067</v>
      </c>
      <c r="AX288" s="36">
        <f t="shared" si="139"/>
        <v>0.15524857459320626</v>
      </c>
      <c r="AY288" s="36">
        <f t="shared" si="140"/>
        <v>6.0780865636908725</v>
      </c>
      <c r="AZ288" s="36">
        <f t="shared" si="141"/>
        <v>1080577.7610325073</v>
      </c>
      <c r="BA288" s="36">
        <f t="shared" si="142"/>
        <v>5.4530931276593132E-4</v>
      </c>
      <c r="BB288" s="38">
        <f t="shared" si="143"/>
        <v>-776472666.54221451</v>
      </c>
      <c r="BC288" s="40">
        <f t="shared" si="144"/>
        <v>-779690348.34221447</v>
      </c>
      <c r="BD288" s="41">
        <f t="shared" si="145"/>
        <v>-24231.431098693927</v>
      </c>
      <c r="BE288" s="38">
        <v>3217681.8</v>
      </c>
      <c r="BF288" s="42">
        <f>テーブル2[[#This Row],[q_P]]/テーブル2[[#This Row],[q_M]]</f>
        <v>-241.31431098693929</v>
      </c>
      <c r="BG288" s="36">
        <v>1</v>
      </c>
      <c r="BH288" s="36">
        <v>-0.189</v>
      </c>
      <c r="BI288" s="36">
        <v>4.5999999999999999E-2</v>
      </c>
      <c r="BJ288" s="36">
        <v>5625</v>
      </c>
      <c r="BK288" s="22">
        <v>1</v>
      </c>
      <c r="BL288" s="36">
        <f>テーブル2[[#This Row],[Ts]]-テーブル2[[#This Row],[Tin]]</f>
        <v>276.16725943459306</v>
      </c>
      <c r="BM288" s="36">
        <f>テーブル2[[#This Row],[q_P]]*0.000001</f>
        <v>-776.47266654221448</v>
      </c>
      <c r="BN288" s="36">
        <f>テーブル2[[#This Row],[Tsub]]</f>
        <v>276.16725943459306</v>
      </c>
      <c r="BO288" s="36">
        <f>テーブル2[[#This Row],[Fcorr]]</f>
        <v>1</v>
      </c>
      <c r="BP288" s="36">
        <f>(テーブル2[[#This Row],[Tsub]]-40)^2</f>
        <v>55774.974428846384</v>
      </c>
      <c r="BQ288" s="36">
        <v>1</v>
      </c>
      <c r="BR288" s="36">
        <v>0.3175</v>
      </c>
    </row>
    <row r="289" spans="1:70" x14ac:dyDescent="0.15">
      <c r="A289" s="35" t="s">
        <v>77</v>
      </c>
      <c r="B289" s="36">
        <v>13789514.586336</v>
      </c>
      <c r="C289" s="22">
        <f>TsatFromP(テーブル2[[#This Row],[P]])</f>
        <v>608.62107399852357</v>
      </c>
      <c r="D289" s="36">
        <f>RhoGFromP(テーブル2[[#This Row],[P]])</f>
        <v>85.147847035840741</v>
      </c>
      <c r="E289" s="36">
        <f>RhoFFromP(テーブル2[[#This Row],[P]])</f>
        <v>624.86636713482415</v>
      </c>
      <c r="F289" s="36">
        <f>HgFromP(テーブル2[[#This Row],[P]])</f>
        <v>2643264.5206450778</v>
      </c>
      <c r="G289" s="36">
        <f>HfFromP(テーブル2[[#This Row],[P]])</f>
        <v>1562686.7596125705</v>
      </c>
      <c r="H289" s="36">
        <f>MuGFromP(テーブル2[[#This Row],[P]])</f>
        <v>2.2019591234371903E-5</v>
      </c>
      <c r="I289" s="36">
        <f>MuFFromP(テーブル2[[#This Row],[P]])</f>
        <v>7.222326555143516E-5</v>
      </c>
      <c r="J289" s="36">
        <f>KfFromP(テーブル2[[#This Row],[P]])</f>
        <v>0.49112131073334553</v>
      </c>
      <c r="K289" s="36">
        <f>CpFFromP(テーブル2[[#This Row],[P]])</f>
        <v>7679.7488518783057</v>
      </c>
      <c r="L289" s="36">
        <f>SigmaFromP(テーブル2[[#This Row],[P]])</f>
        <v>6.5036449518301549E-3</v>
      </c>
      <c r="M289" s="36">
        <v>16.010000000000002</v>
      </c>
      <c r="N289" s="36">
        <v>3146.4535999999998</v>
      </c>
      <c r="O289" s="37">
        <f t="shared" si="146"/>
        <v>2.8502295699234246E-6</v>
      </c>
      <c r="P289" s="37">
        <f t="shared" si="147"/>
        <v>5.9847340050885557E-3</v>
      </c>
      <c r="Q289" s="37">
        <v>1.905E-3</v>
      </c>
      <c r="R289" s="36">
        <v>0.15240000000000001</v>
      </c>
      <c r="S289" s="38">
        <v>4164058.8</v>
      </c>
      <c r="T289" s="36">
        <v>528.18759605017237</v>
      </c>
      <c r="U289" s="12">
        <f>+T289+BG289*S289*テーブル2[[#This Row],[Pw]]*R289/(N289*O289*K289)</f>
        <v>583.33162359582252</v>
      </c>
      <c r="V289" s="36">
        <v>0.03</v>
      </c>
      <c r="W289" s="37">
        <f t="shared" si="118"/>
        <v>82992.56565367103</v>
      </c>
      <c r="X289" s="36">
        <v>0.01</v>
      </c>
      <c r="Y289" s="36">
        <f t="shared" si="119"/>
        <v>10</v>
      </c>
      <c r="Z289" s="36">
        <f t="shared" si="120"/>
        <v>4.6976336320729573</v>
      </c>
      <c r="AA289" s="36">
        <f t="shared" si="121"/>
        <v>5.3023663679270427</v>
      </c>
      <c r="AB289" s="36">
        <f t="shared" si="122"/>
        <v>3.9406924660487598E-5</v>
      </c>
      <c r="AC289" s="36">
        <v>600</v>
      </c>
      <c r="AD289" s="36">
        <f t="shared" si="123"/>
        <v>1467.1151490445134</v>
      </c>
      <c r="AE289" s="36">
        <f>+gettm2(AD289,AC289,AK289,AL289,テーブル2[[#This Row],[Fcorr]])</f>
        <v>556.80888468762419</v>
      </c>
      <c r="AF289" s="39">
        <f t="shared" si="124"/>
        <v>-26.522738908198335</v>
      </c>
      <c r="AG289" s="36">
        <v>1.0000000000000001E-5</v>
      </c>
      <c r="AH289" s="36">
        <f t="shared" si="125"/>
        <v>19.804574981263254</v>
      </c>
      <c r="AI289" s="36">
        <f t="shared" si="126"/>
        <v>0.17802835888339419</v>
      </c>
      <c r="AJ289" s="36">
        <f t="shared" si="127"/>
        <v>15.402783717002766</v>
      </c>
      <c r="AK289" s="36">
        <f>+S88*テーブル2[[#This Row],[F_form]]/(E88*CpFromTP((テーブル2[[#This Row],[Tin]]+テーブル2[[#This Row],[Tf]])/2,テーブル2[[#This Row],[P]])*AI88)</f>
        <v>1.9372743855762116</v>
      </c>
      <c r="AL289" s="36">
        <f t="shared" si="128"/>
        <v>1.1293676909872215</v>
      </c>
      <c r="AM289" s="36">
        <f t="shared" si="129"/>
        <v>577.35091319429455</v>
      </c>
      <c r="AN289" s="36">
        <f t="shared" si="130"/>
        <v>31.270160804229022</v>
      </c>
      <c r="AO289" s="36">
        <f t="shared" si="131"/>
        <v>-2.9406924660487598E-5</v>
      </c>
      <c r="AP289" s="36">
        <v>1</v>
      </c>
      <c r="AQ289" s="36">
        <f t="shared" si="132"/>
        <v>5.4530931276593132E-4</v>
      </c>
      <c r="AR289" s="36">
        <f t="shared" si="133"/>
        <v>-9.7034623302437997E-6</v>
      </c>
      <c r="AS289" s="36">
        <f t="shared" si="134"/>
        <v>-14.946033157882892</v>
      </c>
      <c r="AT289" s="36">
        <f t="shared" si="135"/>
        <v>-14.946033157882892</v>
      </c>
      <c r="AU289" s="36">
        <f t="shared" si="136"/>
        <v>-2.6608177549146848</v>
      </c>
      <c r="AV289" s="36">
        <f t="shared" si="137"/>
        <v>3.6608177549146848</v>
      </c>
      <c r="AW289" s="36">
        <f t="shared" si="138"/>
        <v>2.369188253542201E-2</v>
      </c>
      <c r="AX289" s="36">
        <f t="shared" si="139"/>
        <v>0.62422303822571656</v>
      </c>
      <c r="AY289" s="36">
        <f t="shared" si="140"/>
        <v>3.0365947166889682</v>
      </c>
      <c r="AZ289" s="36">
        <f t="shared" si="141"/>
        <v>1080577.7610325073</v>
      </c>
      <c r="BA289" s="36">
        <f t="shared" si="142"/>
        <v>5.4530931276593132E-4</v>
      </c>
      <c r="BB289" s="38">
        <f t="shared" si="143"/>
        <v>-36412447.320979066</v>
      </c>
      <c r="BC289" s="40">
        <f t="shared" si="144"/>
        <v>-40576506.120979063</v>
      </c>
      <c r="BD289" s="41">
        <f t="shared" si="145"/>
        <v>-974.4460409871989</v>
      </c>
      <c r="BE289" s="38">
        <v>4164058.8</v>
      </c>
      <c r="BF289" s="42">
        <f>テーブル2[[#This Row],[q_P]]/テーブル2[[#This Row],[q_M]]</f>
        <v>-8.7444604098719907</v>
      </c>
      <c r="BG289" s="36">
        <v>1</v>
      </c>
      <c r="BH289" s="36">
        <v>-2.7E-2</v>
      </c>
      <c r="BI289" s="36">
        <v>4.5999999999999999E-2</v>
      </c>
      <c r="BJ289" s="36">
        <v>5625</v>
      </c>
      <c r="BK289" s="22">
        <v>1</v>
      </c>
      <c r="BL289" s="36">
        <f>テーブル2[[#This Row],[Ts]]-テーブル2[[#This Row],[Tin]]</f>
        <v>80.433477948351197</v>
      </c>
      <c r="BM289" s="36">
        <f>テーブル2[[#This Row],[q_P]]*0.000001</f>
        <v>-36.412447320979062</v>
      </c>
      <c r="BN289" s="36">
        <f>テーブル2[[#This Row],[Tsub]]</f>
        <v>80.433477948351197</v>
      </c>
      <c r="BO289" s="36">
        <f>テーブル2[[#This Row],[Fcorr]]</f>
        <v>1</v>
      </c>
      <c r="BP289" s="36">
        <f>(テーブル2[[#This Row],[Tsub]]-40)^2</f>
        <v>1634.8661389998024</v>
      </c>
      <c r="BQ289" s="36">
        <v>1</v>
      </c>
      <c r="BR289" s="36">
        <v>0.15240000000000001</v>
      </c>
    </row>
    <row r="290" spans="1:70" x14ac:dyDescent="0.15">
      <c r="A290" s="35" t="s">
        <v>307</v>
      </c>
      <c r="B290" s="36">
        <v>13789514.586336</v>
      </c>
      <c r="C290" s="22">
        <f>TsatFromP(テーブル2[[#This Row],[P]])</f>
        <v>608.62107399852357</v>
      </c>
      <c r="D290" s="36">
        <f>RhoGFromP(テーブル2[[#This Row],[P]])</f>
        <v>85.147847035840741</v>
      </c>
      <c r="E290" s="36">
        <f>RhoFFromP(テーブル2[[#This Row],[P]])</f>
        <v>624.86636713482415</v>
      </c>
      <c r="F290" s="36">
        <f>HgFromP(テーブル2[[#This Row],[P]])</f>
        <v>2643264.5206450778</v>
      </c>
      <c r="G290" s="36">
        <f>HfFromP(テーブル2[[#This Row],[P]])</f>
        <v>1562686.7596125705</v>
      </c>
      <c r="H290" s="36">
        <f>MuGFromP(テーブル2[[#This Row],[P]])</f>
        <v>2.2019591234371903E-5</v>
      </c>
      <c r="I290" s="36">
        <f>MuFFromP(テーブル2[[#This Row],[P]])</f>
        <v>7.222326555143516E-5</v>
      </c>
      <c r="J290" s="36">
        <f>KfFromP(テーブル2[[#This Row],[P]])</f>
        <v>0.49112131073334553</v>
      </c>
      <c r="K290" s="36">
        <f>CpFFromP(テーブル2[[#This Row],[P]])</f>
        <v>7679.7488518783057</v>
      </c>
      <c r="L290" s="36">
        <f>SigmaFromP(テーブル2[[#This Row],[P]])</f>
        <v>6.5036449518301549E-3</v>
      </c>
      <c r="M290" s="36">
        <v>161.01</v>
      </c>
      <c r="N290" s="36">
        <v>1019.88496</v>
      </c>
      <c r="O290" s="37">
        <f t="shared" si="146"/>
        <v>1.7719053836560394E-5</v>
      </c>
      <c r="P290" s="37">
        <f t="shared" si="147"/>
        <v>1.4921936786020797E-2</v>
      </c>
      <c r="Q290" s="37">
        <v>4.7497999999999993E-3</v>
      </c>
      <c r="R290" s="36">
        <v>0.3175</v>
      </c>
      <c r="S290" s="38">
        <v>2082029.4</v>
      </c>
      <c r="T290" s="36">
        <v>486.40399679345421</v>
      </c>
      <c r="U290" s="12">
        <f>+T290+BG290*S290*テーブル2[[#This Row],[Pw]]*R290/(N290*O290*K290)</f>
        <v>557.47902660805983</v>
      </c>
      <c r="V290" s="36">
        <v>0.03</v>
      </c>
      <c r="W290" s="37">
        <f t="shared" si="118"/>
        <v>67073.25604874616</v>
      </c>
      <c r="X290" s="36">
        <v>0.01</v>
      </c>
      <c r="Y290" s="36">
        <f t="shared" si="119"/>
        <v>10</v>
      </c>
      <c r="Z290" s="36">
        <f t="shared" si="120"/>
        <v>3.5747947942095291</v>
      </c>
      <c r="AA290" s="36">
        <f t="shared" si="121"/>
        <v>6.4252052057904709</v>
      </c>
      <c r="AB290" s="36">
        <f t="shared" si="122"/>
        <v>3.7507043503248147E-4</v>
      </c>
      <c r="AC290" s="36">
        <v>600</v>
      </c>
      <c r="AD290" s="36">
        <f t="shared" si="123"/>
        <v>1185.6988547082508</v>
      </c>
      <c r="AE290" s="36">
        <f>+gettm2(AD290,AC290,AK290,AL290,テーブル2[[#This Row],[Fcorr]])</f>
        <v>554.29523907454757</v>
      </c>
      <c r="AF290" s="39">
        <f t="shared" si="124"/>
        <v>-3.183787533512259</v>
      </c>
      <c r="AG290" s="36">
        <v>1.0000000000000001E-5</v>
      </c>
      <c r="AH290" s="36">
        <f t="shared" si="125"/>
        <v>2.0807755592680395</v>
      </c>
      <c r="AI290" s="36">
        <f t="shared" si="126"/>
        <v>5.7705743913927771E-2</v>
      </c>
      <c r="AJ290" s="36">
        <f t="shared" si="127"/>
        <v>4.9926264462008971</v>
      </c>
      <c r="AK290" s="36">
        <f>+S88*テーブル2[[#This Row],[F_form]]/(E88*CpFromTP((テーブル2[[#This Row],[Tin]]+テーブル2[[#This Row],[Tf]])/2,テーブル2[[#This Row],[P]])*AI88)</f>
        <v>2.101260061581617</v>
      </c>
      <c r="AL290" s="36">
        <f t="shared" si="128"/>
        <v>1.1293676909872215</v>
      </c>
      <c r="AM290" s="36">
        <f t="shared" si="129"/>
        <v>588.15202202574346</v>
      </c>
      <c r="AN290" s="36">
        <f t="shared" si="130"/>
        <v>20.469051972780107</v>
      </c>
      <c r="AO290" s="36">
        <f t="shared" si="131"/>
        <v>-3.6507043503248145E-4</v>
      </c>
      <c r="AP290" s="36">
        <v>1</v>
      </c>
      <c r="AQ290" s="36">
        <f t="shared" si="132"/>
        <v>5.4530931276593132E-4</v>
      </c>
      <c r="AR290" s="36">
        <f t="shared" si="133"/>
        <v>-1.7753521751624071E-4</v>
      </c>
      <c r="AS290" s="36">
        <f t="shared" si="134"/>
        <v>-88.636702210361179</v>
      </c>
      <c r="AT290" s="36">
        <f t="shared" si="135"/>
        <v>-88.636702210361179</v>
      </c>
      <c r="AU290" s="36">
        <f t="shared" si="136"/>
        <v>-5.1148468391261774</v>
      </c>
      <c r="AV290" s="36">
        <f t="shared" si="137"/>
        <v>6.1148468391261774</v>
      </c>
      <c r="AW290" s="36">
        <f t="shared" si="138"/>
        <v>0.22549652797974093</v>
      </c>
      <c r="AX290" s="36">
        <f t="shared" si="139"/>
        <v>0.20233436411454261</v>
      </c>
      <c r="AY290" s="36">
        <f t="shared" si="140"/>
        <v>5.9125124750116349</v>
      </c>
      <c r="AZ290" s="36">
        <f t="shared" si="141"/>
        <v>1080577.7610325073</v>
      </c>
      <c r="BA290" s="36">
        <f t="shared" si="142"/>
        <v>5.4530931276593132E-4</v>
      </c>
      <c r="BB290" s="38">
        <f t="shared" si="143"/>
        <v>-452040059.86822313</v>
      </c>
      <c r="BC290" s="40">
        <f t="shared" si="144"/>
        <v>-454122089.26822311</v>
      </c>
      <c r="BD290" s="41">
        <f t="shared" si="145"/>
        <v>-21811.511848402482</v>
      </c>
      <c r="BE290" s="38">
        <v>2082029.4</v>
      </c>
      <c r="BF290" s="42">
        <f>テーブル2[[#This Row],[q_P]]/テーブル2[[#This Row],[q_M]]</f>
        <v>-217.11511848402483</v>
      </c>
      <c r="BG290" s="36">
        <v>1</v>
      </c>
      <c r="BH290" s="36">
        <v>-9.2999999999999999E-2</v>
      </c>
      <c r="BI290" s="36">
        <v>4.5999999999999999E-2</v>
      </c>
      <c r="BJ290" s="36">
        <v>5625</v>
      </c>
      <c r="BK290" s="22">
        <v>1</v>
      </c>
      <c r="BL290" s="36">
        <f>テーブル2[[#This Row],[Ts]]-テーブル2[[#This Row],[Tin]]</f>
        <v>122.21707720506936</v>
      </c>
      <c r="BM290" s="36">
        <f>テーブル2[[#This Row],[q_P]]*0.000001</f>
        <v>-452.04005986822312</v>
      </c>
      <c r="BN290" s="36">
        <f>テーブル2[[#This Row],[Tsub]]</f>
        <v>122.21707720506936</v>
      </c>
      <c r="BO290" s="36">
        <f>テーブル2[[#This Row],[Fcorr]]</f>
        <v>1</v>
      </c>
      <c r="BP290" s="36">
        <f>(テーブル2[[#This Row],[Tsub]]-40)^2</f>
        <v>6759.6477841443357</v>
      </c>
      <c r="BQ290" s="36">
        <v>1</v>
      </c>
      <c r="BR290" s="36">
        <v>0.3175</v>
      </c>
    </row>
    <row r="291" spans="1:70" x14ac:dyDescent="0.15">
      <c r="A291" s="35" t="s">
        <v>308</v>
      </c>
      <c r="B291" s="36">
        <v>13789514.586336</v>
      </c>
      <c r="C291" s="22">
        <f>TsatFromP(テーブル2[[#This Row],[P]])</f>
        <v>608.62107399852357</v>
      </c>
      <c r="D291" s="36">
        <f>RhoGFromP(テーブル2[[#This Row],[P]])</f>
        <v>85.147847035840741</v>
      </c>
      <c r="E291" s="36">
        <f>RhoFFromP(テーブル2[[#This Row],[P]])</f>
        <v>624.86636713482415</v>
      </c>
      <c r="F291" s="36">
        <f>HgFromP(テーブル2[[#This Row],[P]])</f>
        <v>2643264.5206450778</v>
      </c>
      <c r="G291" s="36">
        <f>HfFromP(テーブル2[[#This Row],[P]])</f>
        <v>1562686.7596125705</v>
      </c>
      <c r="H291" s="36">
        <f>MuGFromP(テーブル2[[#This Row],[P]])</f>
        <v>2.2019591234371903E-5</v>
      </c>
      <c r="I291" s="36">
        <f>MuFFromP(テーブル2[[#This Row],[P]])</f>
        <v>7.222326555143516E-5</v>
      </c>
      <c r="J291" s="36">
        <f>KfFromP(テーブル2[[#This Row],[P]])</f>
        <v>0.49112131073334553</v>
      </c>
      <c r="K291" s="36">
        <f>CpFFromP(テーブル2[[#This Row],[P]])</f>
        <v>7679.7488518783057</v>
      </c>
      <c r="L291" s="36">
        <f>SigmaFromP(テーブル2[[#This Row],[P]])</f>
        <v>6.5036449518301549E-3</v>
      </c>
      <c r="M291" s="36">
        <v>164.01</v>
      </c>
      <c r="N291" s="36">
        <v>1063.28432</v>
      </c>
      <c r="O291" s="37">
        <f t="shared" si="146"/>
        <v>1.7719053836560394E-5</v>
      </c>
      <c r="P291" s="37">
        <f t="shared" si="147"/>
        <v>1.4921936786020797E-2</v>
      </c>
      <c r="Q291" s="37">
        <v>4.7497999999999993E-3</v>
      </c>
      <c r="R291" s="36">
        <v>0.3175</v>
      </c>
      <c r="S291" s="38">
        <v>3217681.8</v>
      </c>
      <c r="T291" s="36">
        <v>448.13624300273909</v>
      </c>
      <c r="U291" s="12">
        <f>+T291+BG291*S291*テーブル2[[#This Row],[Pw]]*R291/(N291*O291*K291)</f>
        <v>553.49607384108765</v>
      </c>
      <c r="V291" s="36">
        <v>0.03</v>
      </c>
      <c r="W291" s="37">
        <f t="shared" si="118"/>
        <v>69927.437157203443</v>
      </c>
      <c r="X291" s="36">
        <v>0.01</v>
      </c>
      <c r="Y291" s="36">
        <f t="shared" si="119"/>
        <v>10</v>
      </c>
      <c r="Z291" s="36">
        <f t="shared" si="120"/>
        <v>3.6463381233636261</v>
      </c>
      <c r="AA291" s="36">
        <f t="shared" si="121"/>
        <v>6.3536618766363739</v>
      </c>
      <c r="AB291" s="36">
        <f t="shared" si="122"/>
        <v>3.4507729737057543E-4</v>
      </c>
      <c r="AC291" s="36">
        <v>600</v>
      </c>
      <c r="AD291" s="36">
        <f t="shared" si="123"/>
        <v>1236.154125121368</v>
      </c>
      <c r="AE291" s="36">
        <f>+gettm2(AD291,AC291,AK291,AL291,テーブル2[[#This Row],[Fcorr]])</f>
        <v>552.49542671974348</v>
      </c>
      <c r="AF291" s="39">
        <f t="shared" si="124"/>
        <v>-1.0006471213441728</v>
      </c>
      <c r="AG291" s="36">
        <v>1.0000000000000001E-5</v>
      </c>
      <c r="AH291" s="36">
        <f t="shared" si="125"/>
        <v>2.2616306554108481</v>
      </c>
      <c r="AI291" s="36">
        <f t="shared" si="126"/>
        <v>6.0161307484733216E-2</v>
      </c>
      <c r="AJ291" s="36">
        <f t="shared" si="127"/>
        <v>5.2050786354009357</v>
      </c>
      <c r="AK291" s="36">
        <f>+S88*テーブル2[[#This Row],[F_form]]/(E88*CpFromTP((テーブル2[[#This Row],[Tin]]+テーブル2[[#This Row],[Tf]])/2,テーブル2[[#This Row],[P]])*AI88)</f>
        <v>2.1733568297012478</v>
      </c>
      <c r="AL291" s="36">
        <f t="shared" si="128"/>
        <v>1.1293676909872215</v>
      </c>
      <c r="AM291" s="36">
        <f t="shared" si="129"/>
        <v>587.23534620448731</v>
      </c>
      <c r="AN291" s="36">
        <f t="shared" si="130"/>
        <v>21.385727794036256</v>
      </c>
      <c r="AO291" s="36">
        <f t="shared" si="131"/>
        <v>-3.3507729737057541E-4</v>
      </c>
      <c r="AP291" s="36">
        <v>1</v>
      </c>
      <c r="AQ291" s="36">
        <f t="shared" si="132"/>
        <v>5.4530931276593132E-4</v>
      </c>
      <c r="AR291" s="36">
        <f t="shared" si="133"/>
        <v>-1.6253864868528769E-4</v>
      </c>
      <c r="AS291" s="36">
        <f t="shared" si="134"/>
        <v>-84.602644769872924</v>
      </c>
      <c r="AT291" s="36">
        <f t="shared" si="135"/>
        <v>-84.602644769872924</v>
      </c>
      <c r="AU291" s="36">
        <f t="shared" si="136"/>
        <v>-5.0898057260219813</v>
      </c>
      <c r="AV291" s="36">
        <f t="shared" si="137"/>
        <v>6.0898057260219813</v>
      </c>
      <c r="AW291" s="36">
        <f t="shared" si="138"/>
        <v>0.20746431916170249</v>
      </c>
      <c r="AX291" s="36">
        <f t="shared" si="139"/>
        <v>0.21094433705558699</v>
      </c>
      <c r="AY291" s="36">
        <f t="shared" si="140"/>
        <v>5.8788613889663948</v>
      </c>
      <c r="AZ291" s="36">
        <f t="shared" si="141"/>
        <v>1080577.7610325073</v>
      </c>
      <c r="BA291" s="36">
        <f t="shared" si="142"/>
        <v>5.4530931276593132E-4</v>
      </c>
      <c r="BB291" s="38">
        <f t="shared" si="143"/>
        <v>-414901747.79669768</v>
      </c>
      <c r="BC291" s="40">
        <f t="shared" si="144"/>
        <v>-418119429.59669769</v>
      </c>
      <c r="BD291" s="41">
        <f t="shared" si="145"/>
        <v>-12994.430636264209</v>
      </c>
      <c r="BE291" s="38">
        <v>3217681.8</v>
      </c>
      <c r="BF291" s="42">
        <f>テーブル2[[#This Row],[q_P]]/テーブル2[[#This Row],[q_M]]</f>
        <v>-128.9443063626421</v>
      </c>
      <c r="BG291" s="36">
        <v>1</v>
      </c>
      <c r="BH291" s="36">
        <v>-5.0000000000000001E-3</v>
      </c>
      <c r="BI291" s="36">
        <v>4.5999999999999999E-2</v>
      </c>
      <c r="BJ291" s="36">
        <v>5625</v>
      </c>
      <c r="BK291" s="22">
        <v>1</v>
      </c>
      <c r="BL291" s="36">
        <f>テーブル2[[#This Row],[Ts]]-テーブル2[[#This Row],[Tin]]</f>
        <v>160.48483099578448</v>
      </c>
      <c r="BM291" s="36">
        <f>テーブル2[[#This Row],[q_P]]*0.000001</f>
        <v>-414.90174779669763</v>
      </c>
      <c r="BN291" s="36">
        <f>テーブル2[[#This Row],[Tsub]]</f>
        <v>160.48483099578448</v>
      </c>
      <c r="BO291" s="36">
        <f>テーブル2[[#This Row],[Fcorr]]</f>
        <v>1</v>
      </c>
      <c r="BP291" s="36">
        <f>(テーブル2[[#This Row],[Tsub]]-40)^2</f>
        <v>14516.594500082749</v>
      </c>
      <c r="BQ291" s="36">
        <v>1</v>
      </c>
      <c r="BR291" s="36">
        <v>0.3175</v>
      </c>
    </row>
    <row r="292" spans="1:70" x14ac:dyDescent="0.15">
      <c r="A292" s="35" t="s">
        <v>309</v>
      </c>
      <c r="B292" s="36">
        <v>13789514.586336</v>
      </c>
      <c r="C292" s="22">
        <f>TsatFromP(テーブル2[[#This Row],[P]])</f>
        <v>608.62107399852357</v>
      </c>
      <c r="D292" s="36">
        <f>RhoGFromP(テーブル2[[#This Row],[P]])</f>
        <v>85.147847035840741</v>
      </c>
      <c r="E292" s="36">
        <f>RhoFFromP(テーブル2[[#This Row],[P]])</f>
        <v>624.86636713482415</v>
      </c>
      <c r="F292" s="36">
        <f>HgFromP(テーブル2[[#This Row],[P]])</f>
        <v>2643264.5206450778</v>
      </c>
      <c r="G292" s="36">
        <f>HfFromP(テーブル2[[#This Row],[P]])</f>
        <v>1562686.7596125705</v>
      </c>
      <c r="H292" s="36">
        <f>MuGFromP(テーブル2[[#This Row],[P]])</f>
        <v>2.2019591234371903E-5</v>
      </c>
      <c r="I292" s="36">
        <f>MuFFromP(テーブル2[[#This Row],[P]])</f>
        <v>7.222326555143516E-5</v>
      </c>
      <c r="J292" s="36">
        <f>KfFromP(テーブル2[[#This Row],[P]])</f>
        <v>0.49112131073334553</v>
      </c>
      <c r="K292" s="36">
        <f>CpFFromP(テーブル2[[#This Row],[P]])</f>
        <v>7679.7488518783057</v>
      </c>
      <c r="L292" s="36">
        <f>SigmaFromP(テーブル2[[#This Row],[P]])</f>
        <v>6.5036449518301549E-3</v>
      </c>
      <c r="M292" s="36">
        <v>165.01</v>
      </c>
      <c r="N292" s="36">
        <v>1078.2028499999999</v>
      </c>
      <c r="O292" s="37">
        <f t="shared" si="146"/>
        <v>1.7719053836560394E-5</v>
      </c>
      <c r="P292" s="37">
        <f t="shared" si="147"/>
        <v>1.4921936786020797E-2</v>
      </c>
      <c r="Q292" s="37">
        <v>4.7497999999999993E-3</v>
      </c>
      <c r="R292" s="36">
        <v>0.3175</v>
      </c>
      <c r="S292" s="38">
        <v>2249222.669999999</v>
      </c>
      <c r="T292" s="36">
        <v>505.03610849920159</v>
      </c>
      <c r="U292" s="12">
        <f>+T292+BG292*S292*テーブル2[[#This Row],[Pw]]*R292/(N292*O292*K292)</f>
        <v>577.66565907262634</v>
      </c>
      <c r="V292" s="36">
        <v>0.03</v>
      </c>
      <c r="W292" s="37">
        <f t="shared" si="118"/>
        <v>70908.561913235637</v>
      </c>
      <c r="X292" s="36">
        <v>0.01</v>
      </c>
      <c r="Y292" s="36">
        <f t="shared" si="119"/>
        <v>10</v>
      </c>
      <c r="Z292" s="36">
        <f t="shared" si="120"/>
        <v>3.6702505430782626</v>
      </c>
      <c r="AA292" s="36">
        <f t="shared" si="121"/>
        <v>6.3297494569217374</v>
      </c>
      <c r="AB292" s="36">
        <f t="shared" si="122"/>
        <v>3.3559405291342656E-4</v>
      </c>
      <c r="AC292" s="36">
        <v>600</v>
      </c>
      <c r="AD292" s="36">
        <f t="shared" si="123"/>
        <v>1253.4981243258767</v>
      </c>
      <c r="AE292" s="36">
        <f>+gettm2(AD292,AC292,AK292,AL292,テーブル2[[#This Row],[Fcorr]])</f>
        <v>555.85284950139578</v>
      </c>
      <c r="AF292" s="39">
        <f t="shared" si="124"/>
        <v>-21.812809571230559</v>
      </c>
      <c r="AG292" s="36">
        <v>1.0000000000000001E-5</v>
      </c>
      <c r="AH292" s="36">
        <f t="shared" si="125"/>
        <v>2.3255400012137537</v>
      </c>
      <c r="AI292" s="36">
        <f t="shared" si="126"/>
        <v>6.1005407462197576E-2</v>
      </c>
      <c r="AJ292" s="36">
        <f t="shared" si="127"/>
        <v>5.2781090754384481</v>
      </c>
      <c r="AK292" s="36">
        <f>+S88*テーブル2[[#This Row],[F_form]]/(E88*CpFromTP((テーブル2[[#This Row],[Tin]]+テーブル2[[#This Row],[Tf]])/2,テーブル2[[#This Row],[P]])*AI88)</f>
        <v>2.0164678584226552</v>
      </c>
      <c r="AL292" s="36">
        <f t="shared" si="128"/>
        <v>1.1293676909872215</v>
      </c>
      <c r="AM292" s="36">
        <f t="shared" si="129"/>
        <v>587.99908153859542</v>
      </c>
      <c r="AN292" s="36">
        <f t="shared" si="130"/>
        <v>20.621992459928151</v>
      </c>
      <c r="AO292" s="36">
        <f t="shared" si="131"/>
        <v>-3.2559405291342653E-4</v>
      </c>
      <c r="AP292" s="36">
        <v>1</v>
      </c>
      <c r="AQ292" s="36">
        <f t="shared" si="132"/>
        <v>5.4530931276593132E-4</v>
      </c>
      <c r="AR292" s="36">
        <f t="shared" si="133"/>
        <v>-1.5779702645671325E-4</v>
      </c>
      <c r="AS292" s="36">
        <f t="shared" si="134"/>
        <v>-83.286991741837909</v>
      </c>
      <c r="AT292" s="36">
        <f t="shared" si="135"/>
        <v>-83.286991741837909</v>
      </c>
      <c r="AU292" s="36">
        <f t="shared" si="136"/>
        <v>-5.0809568675115067</v>
      </c>
      <c r="AV292" s="36">
        <f t="shared" si="137"/>
        <v>6.0809568675115067</v>
      </c>
      <c r="AW292" s="36">
        <f t="shared" si="138"/>
        <v>0.20176288684570295</v>
      </c>
      <c r="AX292" s="36">
        <f t="shared" si="139"/>
        <v>0.21390401525407099</v>
      </c>
      <c r="AY292" s="36">
        <f t="shared" si="140"/>
        <v>5.8670528522574354</v>
      </c>
      <c r="AZ292" s="36">
        <f t="shared" si="141"/>
        <v>1080577.7610325073</v>
      </c>
      <c r="BA292" s="36">
        <f t="shared" si="142"/>
        <v>5.4530931276593132E-4</v>
      </c>
      <c r="BB292" s="38">
        <f t="shared" si="143"/>
        <v>-403159338.71398693</v>
      </c>
      <c r="BC292" s="40">
        <f t="shared" si="144"/>
        <v>-405408561.38398695</v>
      </c>
      <c r="BD292" s="41">
        <f t="shared" si="145"/>
        <v>-18024.385348382923</v>
      </c>
      <c r="BE292" s="38">
        <v>2249222.669999999</v>
      </c>
      <c r="BF292" s="42">
        <f>テーブル2[[#This Row],[q_P]]/テーブル2[[#This Row],[q_M]]</f>
        <v>-179.24385348382921</v>
      </c>
      <c r="BG292" s="36">
        <v>1</v>
      </c>
      <c r="BH292" s="36">
        <v>-3.0000000000000001E-3</v>
      </c>
      <c r="BI292" s="36">
        <v>4.5999999999999999E-2</v>
      </c>
      <c r="BJ292" s="36">
        <v>5625</v>
      </c>
      <c r="BK292" s="22">
        <v>1</v>
      </c>
      <c r="BL292" s="36">
        <f>テーブル2[[#This Row],[Ts]]-テーブル2[[#This Row],[Tin]]</f>
        <v>103.58496549932198</v>
      </c>
      <c r="BM292" s="36">
        <f>テーブル2[[#This Row],[q_P]]*0.000001</f>
        <v>-403.15933871398693</v>
      </c>
      <c r="BN292" s="36">
        <f>テーブル2[[#This Row],[Tsub]]</f>
        <v>103.58496549932198</v>
      </c>
      <c r="BO292" s="36">
        <f>テーブル2[[#This Row],[Fcorr]]</f>
        <v>1</v>
      </c>
      <c r="BP292" s="36">
        <f>(テーブル2[[#This Row],[Tsub]]-40)^2</f>
        <v>4043.0478375499665</v>
      </c>
      <c r="BQ292" s="36">
        <v>1</v>
      </c>
      <c r="BR292" s="36">
        <v>0.3175</v>
      </c>
    </row>
    <row r="293" spans="1:70" x14ac:dyDescent="0.15">
      <c r="A293" s="35" t="s">
        <v>310</v>
      </c>
      <c r="B293" s="36">
        <v>13789514.586336</v>
      </c>
      <c r="C293" s="22">
        <f>TsatFromP(テーブル2[[#This Row],[P]])</f>
        <v>608.62107399852357</v>
      </c>
      <c r="D293" s="36">
        <f>RhoGFromP(テーブル2[[#This Row],[P]])</f>
        <v>85.147847035840741</v>
      </c>
      <c r="E293" s="36">
        <f>RhoFFromP(テーブル2[[#This Row],[P]])</f>
        <v>624.86636713482415</v>
      </c>
      <c r="F293" s="36">
        <f>HgFromP(テーブル2[[#This Row],[P]])</f>
        <v>2643264.5206450778</v>
      </c>
      <c r="G293" s="36">
        <f>HfFromP(テーブル2[[#This Row],[P]])</f>
        <v>1562686.7596125705</v>
      </c>
      <c r="H293" s="36">
        <f>MuGFromP(テーブル2[[#This Row],[P]])</f>
        <v>2.2019591234371903E-5</v>
      </c>
      <c r="I293" s="36">
        <f>MuFFromP(テーブル2[[#This Row],[P]])</f>
        <v>7.222326555143516E-5</v>
      </c>
      <c r="J293" s="36">
        <f>KfFromP(テーブル2[[#This Row],[P]])</f>
        <v>0.49112131073334553</v>
      </c>
      <c r="K293" s="36">
        <f>CpFFromP(テーブル2[[#This Row],[P]])</f>
        <v>7679.7488518783057</v>
      </c>
      <c r="L293" s="36">
        <f>SigmaFromP(テーブル2[[#This Row],[P]])</f>
        <v>6.5036449518301549E-3</v>
      </c>
      <c r="M293" s="36">
        <v>167.01</v>
      </c>
      <c r="N293" s="36">
        <v>1084.9839999999999</v>
      </c>
      <c r="O293" s="37">
        <f t="shared" si="146"/>
        <v>1.7719053836560394E-5</v>
      </c>
      <c r="P293" s="37">
        <f t="shared" si="147"/>
        <v>1.4921936786020797E-2</v>
      </c>
      <c r="Q293" s="37">
        <v>4.7497999999999993E-3</v>
      </c>
      <c r="R293" s="36">
        <v>0.3175</v>
      </c>
      <c r="S293" s="38">
        <v>2429034.2999999998</v>
      </c>
      <c r="T293" s="36">
        <v>469.78529182284677</v>
      </c>
      <c r="U293" s="12">
        <f>+T293+BG293*S293*テーブル2[[#This Row],[Pw]]*R293/(N293*O293*K293)</f>
        <v>547.73090785286422</v>
      </c>
      <c r="V293" s="36">
        <v>0.03</v>
      </c>
      <c r="W293" s="37">
        <f t="shared" si="118"/>
        <v>71354.527711432092</v>
      </c>
      <c r="X293" s="36">
        <v>0.01</v>
      </c>
      <c r="Y293" s="36">
        <f t="shared" si="119"/>
        <v>10</v>
      </c>
      <c r="Z293" s="36">
        <f t="shared" si="120"/>
        <v>3.6810093523869503</v>
      </c>
      <c r="AA293" s="36">
        <f t="shared" si="121"/>
        <v>6.3189906476130497</v>
      </c>
      <c r="AB293" s="36">
        <f t="shared" si="122"/>
        <v>3.3141223639470064E-4</v>
      </c>
      <c r="AC293" s="36">
        <v>600</v>
      </c>
      <c r="AD293" s="36">
        <f t="shared" si="123"/>
        <v>1261.3817603279263</v>
      </c>
      <c r="AE293" s="36">
        <f>+gettm2(AD293,AC293,AK293,AL293,テーブル2[[#This Row],[Fcorr]])</f>
        <v>552.93226287227549</v>
      </c>
      <c r="AF293" s="39">
        <f t="shared" si="124"/>
        <v>5.2013550194112668</v>
      </c>
      <c r="AG293" s="36">
        <v>1.0000000000000001E-5</v>
      </c>
      <c r="AH293" s="36">
        <f t="shared" si="125"/>
        <v>2.3548840643594833</v>
      </c>
      <c r="AI293" s="36">
        <f t="shared" si="126"/>
        <v>6.1389089270135928E-2</v>
      </c>
      <c r="AJ293" s="36">
        <f t="shared" si="127"/>
        <v>5.3113047300009546</v>
      </c>
      <c r="AK293" s="36">
        <f>+S88*テーブル2[[#This Row],[F_form]]/(E88*CpFromTP((テーブル2[[#This Row],[Tin]]+テーブル2[[#This Row],[Tf]])/2,テーブル2[[#This Row],[P]])*AI88)</f>
        <v>2.1482966964921295</v>
      </c>
      <c r="AL293" s="36">
        <f t="shared" si="128"/>
        <v>1.1293676909872215</v>
      </c>
      <c r="AM293" s="36">
        <f t="shared" si="129"/>
        <v>587.13899457339141</v>
      </c>
      <c r="AN293" s="36">
        <f t="shared" si="130"/>
        <v>21.482079425132156</v>
      </c>
      <c r="AO293" s="36">
        <f t="shared" si="131"/>
        <v>-3.2141223639470061E-4</v>
      </c>
      <c r="AP293" s="36">
        <v>1</v>
      </c>
      <c r="AQ293" s="36">
        <f t="shared" si="132"/>
        <v>5.4530931276593132E-4</v>
      </c>
      <c r="AR293" s="36">
        <f t="shared" si="133"/>
        <v>-1.5570611819735029E-4</v>
      </c>
      <c r="AS293" s="36">
        <f t="shared" si="134"/>
        <v>-82.700264207167422</v>
      </c>
      <c r="AT293" s="36">
        <f t="shared" si="135"/>
        <v>-82.700264207167422</v>
      </c>
      <c r="AU293" s="36">
        <f t="shared" si="136"/>
        <v>-5.0768939020776278</v>
      </c>
      <c r="AV293" s="36">
        <f t="shared" si="137"/>
        <v>6.0768939020776278</v>
      </c>
      <c r="AW293" s="36">
        <f t="shared" si="138"/>
        <v>0.19924873212289906</v>
      </c>
      <c r="AX293" s="36">
        <f t="shared" si="139"/>
        <v>0.21524932352610918</v>
      </c>
      <c r="AY293" s="36">
        <f t="shared" si="140"/>
        <v>5.8616445785515188</v>
      </c>
      <c r="AZ293" s="36">
        <f t="shared" si="141"/>
        <v>1080577.7610325073</v>
      </c>
      <c r="BA293" s="36">
        <f t="shared" si="142"/>
        <v>5.4530931276593132E-4</v>
      </c>
      <c r="BB293" s="38">
        <f t="shared" si="143"/>
        <v>-397981300.70246017</v>
      </c>
      <c r="BC293" s="40">
        <f t="shared" si="144"/>
        <v>-400410335.00246018</v>
      </c>
      <c r="BD293" s="41">
        <f t="shared" si="145"/>
        <v>-16484.342563728318</v>
      </c>
      <c r="BE293" s="38">
        <v>2429034.2999999998</v>
      </c>
      <c r="BF293" s="42">
        <f>テーブル2[[#This Row],[q_P]]/テーブル2[[#This Row],[q_M]]</f>
        <v>-163.84342563728319</v>
      </c>
      <c r="BG293" s="36">
        <v>1</v>
      </c>
      <c r="BH293" s="36">
        <v>-0.113</v>
      </c>
      <c r="BI293" s="36">
        <v>4.5999999999999999E-2</v>
      </c>
      <c r="BJ293" s="36">
        <v>5625</v>
      </c>
      <c r="BK293" s="22">
        <v>1</v>
      </c>
      <c r="BL293" s="36">
        <f>テーブル2[[#This Row],[Ts]]-テーブル2[[#This Row],[Tin]]</f>
        <v>138.8357821756768</v>
      </c>
      <c r="BM293" s="36">
        <f>テーブル2[[#This Row],[q_P]]*0.000001</f>
        <v>-397.98130070246015</v>
      </c>
      <c r="BN293" s="36">
        <f>テーブル2[[#This Row],[Tsub]]</f>
        <v>138.8357821756768</v>
      </c>
      <c r="BO293" s="36">
        <f>テーブル2[[#This Row],[Fcorr]]</f>
        <v>1</v>
      </c>
      <c r="BP293" s="36">
        <f>(テーブル2[[#This Row],[Tsub]]-40)^2</f>
        <v>9768.511838277831</v>
      </c>
      <c r="BQ293" s="36">
        <v>1</v>
      </c>
      <c r="BR293" s="36">
        <v>0.3175</v>
      </c>
    </row>
    <row r="294" spans="1:70" x14ac:dyDescent="0.15">
      <c r="A294" s="35" t="s">
        <v>311</v>
      </c>
      <c r="B294" s="36">
        <v>13789514.586336</v>
      </c>
      <c r="C294" s="22">
        <f>TsatFromP(テーブル2[[#This Row],[P]])</f>
        <v>608.62107399852357</v>
      </c>
      <c r="D294" s="36">
        <f>RhoGFromP(テーブル2[[#This Row],[P]])</f>
        <v>85.147847035840741</v>
      </c>
      <c r="E294" s="36">
        <f>RhoFFromP(テーブル2[[#This Row],[P]])</f>
        <v>624.86636713482415</v>
      </c>
      <c r="F294" s="36">
        <f>HgFromP(テーブル2[[#This Row],[P]])</f>
        <v>2643264.5206450778</v>
      </c>
      <c r="G294" s="36">
        <f>HfFromP(テーブル2[[#This Row],[P]])</f>
        <v>1562686.7596125705</v>
      </c>
      <c r="H294" s="36">
        <f>MuGFromP(テーブル2[[#This Row],[P]])</f>
        <v>2.2019591234371903E-5</v>
      </c>
      <c r="I294" s="36">
        <f>MuFFromP(テーブル2[[#This Row],[P]])</f>
        <v>7.222326555143516E-5</v>
      </c>
      <c r="J294" s="36">
        <f>KfFromP(テーブル2[[#This Row],[P]])</f>
        <v>0.49112131073334553</v>
      </c>
      <c r="K294" s="36">
        <f>CpFFromP(テーブル2[[#This Row],[P]])</f>
        <v>7679.7488518783057</v>
      </c>
      <c r="L294" s="36">
        <f>SigmaFromP(テーブル2[[#This Row],[P]])</f>
        <v>6.5036449518301549E-3</v>
      </c>
      <c r="M294" s="36">
        <v>169.01</v>
      </c>
      <c r="N294" s="36">
        <v>1213.8258499999999</v>
      </c>
      <c r="O294" s="37">
        <f t="shared" si="146"/>
        <v>1.7719053836560394E-5</v>
      </c>
      <c r="P294" s="37">
        <f t="shared" si="147"/>
        <v>1.4921936786020797E-2</v>
      </c>
      <c r="Q294" s="37">
        <v>4.7497999999999993E-3</v>
      </c>
      <c r="R294" s="36">
        <v>0.3175</v>
      </c>
      <c r="S294" s="38">
        <v>4605701.3999999994</v>
      </c>
      <c r="T294" s="36">
        <v>308.68126097636411</v>
      </c>
      <c r="U294" s="12">
        <f>+T294+BG294*S294*テーブル2[[#This Row],[Pw]]*R294/(N294*O294*K294)</f>
        <v>440.78672353612677</v>
      </c>
      <c r="V294" s="36">
        <v>0.03</v>
      </c>
      <c r="W294" s="37">
        <f t="shared" si="118"/>
        <v>79827.877877164647</v>
      </c>
      <c r="X294" s="36">
        <v>0.01</v>
      </c>
      <c r="Y294" s="36">
        <f t="shared" si="119"/>
        <v>10</v>
      </c>
      <c r="Z294" s="36">
        <f t="shared" si="120"/>
        <v>3.8734255289771387</v>
      </c>
      <c r="AA294" s="36">
        <f t="shared" si="121"/>
        <v>6.1265744710228613</v>
      </c>
      <c r="AB294" s="36">
        <f t="shared" si="122"/>
        <v>2.6479052625399762E-4</v>
      </c>
      <c r="AC294" s="36">
        <v>600</v>
      </c>
      <c r="AD294" s="36">
        <f t="shared" si="123"/>
        <v>1411.1708443668674</v>
      </c>
      <c r="AE294" s="36">
        <f>+gettm2(AD294,AC294,AK294,AL294,テーブル2[[#This Row],[Fcorr]])</f>
        <v>547.31395676991258</v>
      </c>
      <c r="AF294" s="39">
        <f t="shared" si="124"/>
        <v>106.52723323378581</v>
      </c>
      <c r="AG294" s="36">
        <v>1.0000000000000001E-5</v>
      </c>
      <c r="AH294" s="36">
        <f t="shared" si="125"/>
        <v>2.94737657445868</v>
      </c>
      <c r="AI294" s="36">
        <f t="shared" si="126"/>
        <v>6.8679043620964567E-2</v>
      </c>
      <c r="AJ294" s="36">
        <f t="shared" si="127"/>
        <v>5.9420221666885666</v>
      </c>
      <c r="AK294" s="36">
        <f>+S88*テーブル2[[#This Row],[F_form]]/(E88*CpFromTP((テーブル2[[#This Row],[Tin]]+テーブル2[[#This Row],[Tf]])/2,テーブル2[[#This Row],[P]])*AI88)</f>
        <v>2.3737038972042259</v>
      </c>
      <c r="AL294" s="36">
        <f t="shared" si="128"/>
        <v>1.1293676909872215</v>
      </c>
      <c r="AM294" s="36">
        <f t="shared" si="129"/>
        <v>584.30647995639231</v>
      </c>
      <c r="AN294" s="36">
        <f t="shared" si="130"/>
        <v>24.314594042131262</v>
      </c>
      <c r="AO294" s="36">
        <f t="shared" si="131"/>
        <v>-2.5479052625399759E-4</v>
      </c>
      <c r="AP294" s="36">
        <v>1</v>
      </c>
      <c r="AQ294" s="36">
        <f t="shared" si="132"/>
        <v>5.4530931276593132E-4</v>
      </c>
      <c r="AR294" s="36">
        <f t="shared" si="133"/>
        <v>-1.2239526312699878E-4</v>
      </c>
      <c r="AS294" s="36">
        <f t="shared" si="134"/>
        <v>-72.727536659830648</v>
      </c>
      <c r="AT294" s="36">
        <f t="shared" si="135"/>
        <v>-72.727536659830648</v>
      </c>
      <c r="AU294" s="36">
        <f t="shared" si="136"/>
        <v>-4.994857662705809</v>
      </c>
      <c r="AV294" s="36">
        <f t="shared" si="137"/>
        <v>5.994857662705809</v>
      </c>
      <c r="AW294" s="36">
        <f t="shared" si="138"/>
        <v>0.15919501708268208</v>
      </c>
      <c r="AX294" s="36">
        <f t="shared" si="139"/>
        <v>0.24081018069483465</v>
      </c>
      <c r="AY294" s="36">
        <f t="shared" si="140"/>
        <v>5.7540474820109742</v>
      </c>
      <c r="AZ294" s="36">
        <f t="shared" si="141"/>
        <v>1080577.7610325073</v>
      </c>
      <c r="BA294" s="36">
        <f t="shared" si="142"/>
        <v>5.4530931276593132E-4</v>
      </c>
      <c r="BB294" s="38">
        <f t="shared" si="143"/>
        <v>-315488502.18853146</v>
      </c>
      <c r="BC294" s="40">
        <f t="shared" si="144"/>
        <v>-320094203.58853143</v>
      </c>
      <c r="BD294" s="41">
        <f t="shared" si="145"/>
        <v>-6949.9556264878893</v>
      </c>
      <c r="BE294" s="38">
        <v>4605701.3999999994</v>
      </c>
      <c r="BF294" s="42">
        <f>テーブル2[[#This Row],[q_P]]/テーブル2[[#This Row],[q_M]]</f>
        <v>-68.49955626487889</v>
      </c>
      <c r="BG294" s="36">
        <v>1</v>
      </c>
      <c r="BH294" s="36">
        <v>-0.35899999999999999</v>
      </c>
      <c r="BI294" s="36">
        <v>4.5999999999999999E-2</v>
      </c>
      <c r="BJ294" s="36">
        <v>5625</v>
      </c>
      <c r="BK294" s="22">
        <v>1</v>
      </c>
      <c r="BL294" s="36">
        <f>テーブル2[[#This Row],[Ts]]-テーブル2[[#This Row],[Tin]]</f>
        <v>299.93981302215946</v>
      </c>
      <c r="BM294" s="36">
        <f>テーブル2[[#This Row],[q_P]]*0.000001</f>
        <v>-315.48850218853147</v>
      </c>
      <c r="BN294" s="36">
        <f>テーブル2[[#This Row],[Tsub]]</f>
        <v>299.93981302215946</v>
      </c>
      <c r="BO294" s="36">
        <f>テーブル2[[#This Row],[Fcorr]]</f>
        <v>1</v>
      </c>
      <c r="BP294" s="36">
        <f>(テーブル2[[#This Row],[Tsub]]-40)^2</f>
        <v>67568.70639399522</v>
      </c>
      <c r="BQ294" s="36">
        <v>1</v>
      </c>
      <c r="BR294" s="36">
        <v>0.3175</v>
      </c>
    </row>
    <row r="295" spans="1:70" x14ac:dyDescent="0.15">
      <c r="A295" s="35" t="s">
        <v>78</v>
      </c>
      <c r="B295" s="36">
        <v>13789514.586336</v>
      </c>
      <c r="C295" s="22">
        <f>TsatFromP(テーブル2[[#This Row],[P]])</f>
        <v>608.62107399852357</v>
      </c>
      <c r="D295" s="36">
        <f>RhoGFromP(テーブル2[[#This Row],[P]])</f>
        <v>85.147847035840741</v>
      </c>
      <c r="E295" s="36">
        <f>RhoFFromP(テーブル2[[#This Row],[P]])</f>
        <v>624.86636713482415</v>
      </c>
      <c r="F295" s="36">
        <f>HgFromP(テーブル2[[#This Row],[P]])</f>
        <v>2643264.5206450778</v>
      </c>
      <c r="G295" s="36">
        <f>HfFromP(テーブル2[[#This Row],[P]])</f>
        <v>1562686.7596125705</v>
      </c>
      <c r="H295" s="36">
        <f>MuGFromP(テーブル2[[#This Row],[P]])</f>
        <v>2.2019591234371903E-5</v>
      </c>
      <c r="I295" s="36">
        <f>MuFFromP(テーブル2[[#This Row],[P]])</f>
        <v>7.222326555143516E-5</v>
      </c>
      <c r="J295" s="36">
        <f>KfFromP(テーブル2[[#This Row],[P]])</f>
        <v>0.49112131073334553</v>
      </c>
      <c r="K295" s="36">
        <f>CpFFromP(テーブル2[[#This Row],[P]])</f>
        <v>7679.7488518783057</v>
      </c>
      <c r="L295" s="36">
        <f>SigmaFromP(テーブル2[[#This Row],[P]])</f>
        <v>6.5036449518301549E-3</v>
      </c>
      <c r="M295" s="36">
        <v>17.010000000000002</v>
      </c>
      <c r="N295" s="36">
        <v>3146.4535999999998</v>
      </c>
      <c r="O295" s="37">
        <f t="shared" si="146"/>
        <v>2.8502295699234246E-6</v>
      </c>
      <c r="P295" s="37">
        <f t="shared" si="147"/>
        <v>5.9847340050885557E-3</v>
      </c>
      <c r="Q295" s="37">
        <v>1.905E-3</v>
      </c>
      <c r="R295" s="36">
        <v>0.15240000000000001</v>
      </c>
      <c r="S295" s="38">
        <v>3943237.5</v>
      </c>
      <c r="T295" s="36">
        <v>533.15949698557142</v>
      </c>
      <c r="U295" s="12">
        <f>+T295+BG295*S295*テーブル2[[#This Row],[Pw]]*R295/(N295*O295*K295)</f>
        <v>585.37922004016445</v>
      </c>
      <c r="V295" s="36">
        <v>0.03</v>
      </c>
      <c r="W295" s="37">
        <f t="shared" si="118"/>
        <v>82992.56565367103</v>
      </c>
      <c r="X295" s="36">
        <v>0.01</v>
      </c>
      <c r="Y295" s="36">
        <f t="shared" si="119"/>
        <v>10</v>
      </c>
      <c r="Z295" s="36">
        <f t="shared" si="120"/>
        <v>4.6976336320729573</v>
      </c>
      <c r="AA295" s="36">
        <f t="shared" si="121"/>
        <v>5.3023663679270427</v>
      </c>
      <c r="AB295" s="36">
        <f t="shared" si="122"/>
        <v>3.9406924660487598E-5</v>
      </c>
      <c r="AC295" s="36">
        <v>600</v>
      </c>
      <c r="AD295" s="36">
        <f t="shared" si="123"/>
        <v>1467.1151490445134</v>
      </c>
      <c r="AE295" s="36">
        <f>+gettm2(AD295,AC295,AK295,AL295,テーブル2[[#This Row],[Fcorr]])</f>
        <v>557.30048367465474</v>
      </c>
      <c r="AF295" s="39">
        <f t="shared" si="124"/>
        <v>-28.078736365509712</v>
      </c>
      <c r="AG295" s="36">
        <v>1.0000000000000001E-5</v>
      </c>
      <c r="AH295" s="36">
        <f t="shared" si="125"/>
        <v>19.804574981263254</v>
      </c>
      <c r="AI295" s="36">
        <f t="shared" si="126"/>
        <v>0.17802835888339419</v>
      </c>
      <c r="AJ295" s="36">
        <f t="shared" si="127"/>
        <v>15.402783717002766</v>
      </c>
      <c r="AK295" s="36">
        <f>+S88*テーブル2[[#This Row],[F_form]]/(E88*CpFromTP((テーブル2[[#This Row],[Tin]]+テーブル2[[#This Row],[Tf]])/2,テーブル2[[#This Row],[P]])*AI88)</f>
        <v>1.9152244311200304</v>
      </c>
      <c r="AL295" s="36">
        <f t="shared" si="128"/>
        <v>1.1293676909872215</v>
      </c>
      <c r="AM295" s="36">
        <f t="shared" si="129"/>
        <v>577.60870390079344</v>
      </c>
      <c r="AN295" s="36">
        <f t="shared" si="130"/>
        <v>31.012370097730127</v>
      </c>
      <c r="AO295" s="36">
        <f t="shared" si="131"/>
        <v>-2.9406924660487598E-5</v>
      </c>
      <c r="AP295" s="36">
        <v>1</v>
      </c>
      <c r="AQ295" s="36">
        <f t="shared" si="132"/>
        <v>5.4530931276593132E-4</v>
      </c>
      <c r="AR295" s="36">
        <f t="shared" si="133"/>
        <v>-9.7034623302437997E-6</v>
      </c>
      <c r="AS295" s="36">
        <f t="shared" si="134"/>
        <v>-14.946033157882892</v>
      </c>
      <c r="AT295" s="36">
        <f t="shared" si="135"/>
        <v>-14.946033157882892</v>
      </c>
      <c r="AU295" s="36">
        <f t="shared" si="136"/>
        <v>-2.6608177549146848</v>
      </c>
      <c r="AV295" s="36">
        <f t="shared" si="137"/>
        <v>3.6608177549146848</v>
      </c>
      <c r="AW295" s="36">
        <f t="shared" si="138"/>
        <v>2.369188253542201E-2</v>
      </c>
      <c r="AX295" s="36">
        <f t="shared" si="139"/>
        <v>0.62422303822571656</v>
      </c>
      <c r="AY295" s="36">
        <f t="shared" si="140"/>
        <v>3.0365947166889682</v>
      </c>
      <c r="AZ295" s="36">
        <f t="shared" si="141"/>
        <v>1080577.7610325073</v>
      </c>
      <c r="BA295" s="36">
        <f t="shared" si="142"/>
        <v>5.4530931276593132E-4</v>
      </c>
      <c r="BB295" s="38">
        <f t="shared" si="143"/>
        <v>-36412447.320979066</v>
      </c>
      <c r="BC295" s="40">
        <f t="shared" si="144"/>
        <v>-40355684.820979066</v>
      </c>
      <c r="BD295" s="41">
        <f t="shared" si="145"/>
        <v>-1023.415019282482</v>
      </c>
      <c r="BE295" s="38">
        <v>3943237.5</v>
      </c>
      <c r="BF295" s="42">
        <f>テーブル2[[#This Row],[q_P]]/テーブル2[[#This Row],[q_M]]</f>
        <v>-9.2341501928248206</v>
      </c>
      <c r="BG295" s="36">
        <v>1</v>
      </c>
      <c r="BH295" s="36">
        <v>-2.5999999999999999E-2</v>
      </c>
      <c r="BI295" s="36">
        <v>4.5999999999999999E-2</v>
      </c>
      <c r="BJ295" s="36">
        <v>5625</v>
      </c>
      <c r="BK295" s="22">
        <v>1</v>
      </c>
      <c r="BL295" s="36">
        <f>テーブル2[[#This Row],[Ts]]-テーブル2[[#This Row],[Tin]]</f>
        <v>75.461577012952148</v>
      </c>
      <c r="BM295" s="36">
        <f>テーブル2[[#This Row],[q_P]]*0.000001</f>
        <v>-36.412447320979062</v>
      </c>
      <c r="BN295" s="36">
        <f>テーブル2[[#This Row],[Tsub]]</f>
        <v>75.461577012952148</v>
      </c>
      <c r="BO295" s="36">
        <f>テーブル2[[#This Row],[Fcorr]]</f>
        <v>1</v>
      </c>
      <c r="BP295" s="36">
        <f>(テーブル2[[#This Row],[Tsub]]-40)^2</f>
        <v>1257.5234442455362</v>
      </c>
      <c r="BQ295" s="36">
        <v>1</v>
      </c>
      <c r="BR295" s="36">
        <v>0.15240000000000001</v>
      </c>
    </row>
    <row r="296" spans="1:70" x14ac:dyDescent="0.15">
      <c r="A296" s="35" t="s">
        <v>312</v>
      </c>
      <c r="B296" s="36">
        <v>13789514.586336</v>
      </c>
      <c r="C296" s="22">
        <f>TsatFromP(テーブル2[[#This Row],[P]])</f>
        <v>608.62107399852357</v>
      </c>
      <c r="D296" s="36">
        <f>RhoGFromP(テーブル2[[#This Row],[P]])</f>
        <v>85.147847035840741</v>
      </c>
      <c r="E296" s="36">
        <f>RhoFFromP(テーブル2[[#This Row],[P]])</f>
        <v>624.86636713482415</v>
      </c>
      <c r="F296" s="36">
        <f>HgFromP(テーブル2[[#This Row],[P]])</f>
        <v>2643264.5206450778</v>
      </c>
      <c r="G296" s="36">
        <f>HfFromP(テーブル2[[#This Row],[P]])</f>
        <v>1562686.7596125705</v>
      </c>
      <c r="H296" s="36">
        <f>MuGFromP(テーブル2[[#This Row],[P]])</f>
        <v>2.2019591234371903E-5</v>
      </c>
      <c r="I296" s="36">
        <f>MuFFromP(テーブル2[[#This Row],[P]])</f>
        <v>7.222326555143516E-5</v>
      </c>
      <c r="J296" s="36">
        <f>KfFromP(テーブル2[[#This Row],[P]])</f>
        <v>0.49112131073334553</v>
      </c>
      <c r="K296" s="36">
        <f>CpFFromP(テーブル2[[#This Row],[P]])</f>
        <v>7679.7488518783057</v>
      </c>
      <c r="L296" s="36">
        <f>SigmaFromP(テーブル2[[#This Row],[P]])</f>
        <v>6.5036449518301549E-3</v>
      </c>
      <c r="M296" s="36">
        <v>170.01</v>
      </c>
      <c r="N296" s="36">
        <v>1216.5383099999999</v>
      </c>
      <c r="O296" s="37">
        <f t="shared" si="146"/>
        <v>1.7719053836560394E-5</v>
      </c>
      <c r="P296" s="37">
        <f t="shared" si="147"/>
        <v>1.4921936786020797E-2</v>
      </c>
      <c r="Q296" s="37">
        <v>4.7497999999999993E-3</v>
      </c>
      <c r="R296" s="36">
        <v>0.3175</v>
      </c>
      <c r="S296" s="38">
        <v>4605701.3999999994</v>
      </c>
      <c r="T296" s="36">
        <v>328.42041259644191</v>
      </c>
      <c r="U296" s="12">
        <f>+T296+BG296*S296*テーブル2[[#This Row],[Pw]]*R296/(N296*O296*K296)</f>
        <v>460.23132562987286</v>
      </c>
      <c r="V296" s="36">
        <v>0.03</v>
      </c>
      <c r="W296" s="37">
        <f t="shared" si="118"/>
        <v>80006.264196443226</v>
      </c>
      <c r="X296" s="36">
        <v>0.01</v>
      </c>
      <c r="Y296" s="36">
        <f t="shared" si="119"/>
        <v>10</v>
      </c>
      <c r="Z296" s="36">
        <f t="shared" si="120"/>
        <v>3.8772502693699984</v>
      </c>
      <c r="AA296" s="36">
        <f t="shared" si="121"/>
        <v>6.1227497306300016</v>
      </c>
      <c r="AB296" s="36">
        <f t="shared" si="122"/>
        <v>2.6361105989692934E-4</v>
      </c>
      <c r="AC296" s="36">
        <v>600</v>
      </c>
      <c r="AD296" s="36">
        <f t="shared" si="123"/>
        <v>1414.3242987676872</v>
      </c>
      <c r="AE296" s="36">
        <f>+gettm2(AD296,AC296,AK296,AL296,テーブル2[[#This Row],[Fcorr]])</f>
        <v>547.60970376817397</v>
      </c>
      <c r="AF296" s="39">
        <f t="shared" si="124"/>
        <v>87.378378138301116</v>
      </c>
      <c r="AG296" s="36">
        <v>1.0000000000000001E-5</v>
      </c>
      <c r="AH296" s="36">
        <f t="shared" si="125"/>
        <v>2.960563925219093</v>
      </c>
      <c r="AI296" s="36">
        <f t="shared" si="126"/>
        <v>6.8832516344139907E-2</v>
      </c>
      <c r="AJ296" s="36">
        <f t="shared" si="127"/>
        <v>5.9553004285135689</v>
      </c>
      <c r="AK296" s="36">
        <f>+S88*テーブル2[[#This Row],[F_form]]/(E88*CpFromTP((テーブル2[[#This Row],[Tin]]+テーブル2[[#This Row],[Tf]])/2,テーブル2[[#This Row],[P]])*AI88)</f>
        <v>2.3597744184901415</v>
      </c>
      <c r="AL296" s="36">
        <f t="shared" si="128"/>
        <v>1.1293676909872215</v>
      </c>
      <c r="AM296" s="36">
        <f t="shared" si="129"/>
        <v>584.3694307236043</v>
      </c>
      <c r="AN296" s="36">
        <f t="shared" si="130"/>
        <v>24.251643274919275</v>
      </c>
      <c r="AO296" s="36">
        <f t="shared" si="131"/>
        <v>-2.5361105989692932E-4</v>
      </c>
      <c r="AP296" s="36">
        <v>1</v>
      </c>
      <c r="AQ296" s="36">
        <f t="shared" si="132"/>
        <v>5.4530931276593132E-4</v>
      </c>
      <c r="AR296" s="36">
        <f t="shared" si="133"/>
        <v>-1.2180552994846465E-4</v>
      </c>
      <c r="AS296" s="36">
        <f t="shared" si="134"/>
        <v>-72.5388524697414</v>
      </c>
      <c r="AT296" s="36">
        <f t="shared" si="135"/>
        <v>-72.5388524697414</v>
      </c>
      <c r="AU296" s="36">
        <f t="shared" si="136"/>
        <v>-4.9930317482086286</v>
      </c>
      <c r="AV296" s="36">
        <f t="shared" si="137"/>
        <v>5.9930317482086286</v>
      </c>
      <c r="AW296" s="36">
        <f t="shared" si="138"/>
        <v>0.1584859087564959</v>
      </c>
      <c r="AX296" s="36">
        <f t="shared" si="139"/>
        <v>0.24134830400364993</v>
      </c>
      <c r="AY296" s="36">
        <f t="shared" si="140"/>
        <v>5.7516834442049785</v>
      </c>
      <c r="AZ296" s="36">
        <f t="shared" si="141"/>
        <v>1080577.7610325073</v>
      </c>
      <c r="BA296" s="36">
        <f t="shared" si="142"/>
        <v>5.4530931276593132E-4</v>
      </c>
      <c r="BB296" s="38">
        <f t="shared" si="143"/>
        <v>-314028055.13092661</v>
      </c>
      <c r="BC296" s="40">
        <f t="shared" si="144"/>
        <v>-318633756.53092659</v>
      </c>
      <c r="BD296" s="41">
        <f t="shared" si="145"/>
        <v>-6918.2460793252176</v>
      </c>
      <c r="BE296" s="38">
        <v>4605701.3999999994</v>
      </c>
      <c r="BF296" s="42">
        <f>テーブル2[[#This Row],[q_P]]/テーブル2[[#This Row],[q_M]]</f>
        <v>-68.182460793252176</v>
      </c>
      <c r="BG296" s="36">
        <v>1</v>
      </c>
      <c r="BH296" s="36">
        <v>-0.28499999999999998</v>
      </c>
      <c r="BI296" s="36">
        <v>4.5999999999999999E-2</v>
      </c>
      <c r="BJ296" s="36">
        <v>5625</v>
      </c>
      <c r="BK296" s="22">
        <v>1</v>
      </c>
      <c r="BL296" s="36">
        <f>テーブル2[[#This Row],[Ts]]-テーブル2[[#This Row],[Tin]]</f>
        <v>280.20066140208166</v>
      </c>
      <c r="BM296" s="36">
        <f>テーブル2[[#This Row],[q_P]]*0.000001</f>
        <v>-314.02805513092659</v>
      </c>
      <c r="BN296" s="36">
        <f>テーブル2[[#This Row],[Tsub]]</f>
        <v>280.20066140208166</v>
      </c>
      <c r="BO296" s="36">
        <f>テーブル2[[#This Row],[Fcorr]]</f>
        <v>1</v>
      </c>
      <c r="BP296" s="36">
        <f>(テーブル2[[#This Row],[Tsub]]-40)^2</f>
        <v>57696.357737997481</v>
      </c>
      <c r="BQ296" s="36">
        <v>1</v>
      </c>
      <c r="BR296" s="36">
        <v>0.3175</v>
      </c>
    </row>
    <row r="297" spans="1:70" x14ac:dyDescent="0.15">
      <c r="A297" s="35" t="s">
        <v>313</v>
      </c>
      <c r="B297" s="36">
        <v>13789514.586336</v>
      </c>
      <c r="C297" s="22">
        <f>TsatFromP(テーブル2[[#This Row],[P]])</f>
        <v>608.62107399852357</v>
      </c>
      <c r="D297" s="36">
        <f>RhoGFromP(テーブル2[[#This Row],[P]])</f>
        <v>85.147847035840741</v>
      </c>
      <c r="E297" s="36">
        <f>RhoFFromP(テーブル2[[#This Row],[P]])</f>
        <v>624.86636713482415</v>
      </c>
      <c r="F297" s="36">
        <f>HgFromP(テーブル2[[#This Row],[P]])</f>
        <v>2643264.5206450778</v>
      </c>
      <c r="G297" s="36">
        <f>HfFromP(テーブル2[[#This Row],[P]])</f>
        <v>1562686.7596125705</v>
      </c>
      <c r="H297" s="36">
        <f>MuGFromP(テーブル2[[#This Row],[P]])</f>
        <v>2.2019591234371903E-5</v>
      </c>
      <c r="I297" s="36">
        <f>MuFFromP(テーブル2[[#This Row],[P]])</f>
        <v>7.222326555143516E-5</v>
      </c>
      <c r="J297" s="36">
        <f>KfFromP(テーブル2[[#This Row],[P]])</f>
        <v>0.49112131073334553</v>
      </c>
      <c r="K297" s="36">
        <f>CpFFromP(テーブル2[[#This Row],[P]])</f>
        <v>7679.7488518783057</v>
      </c>
      <c r="L297" s="36">
        <f>SigmaFromP(テーブル2[[#This Row],[P]])</f>
        <v>6.5036449518301549E-3</v>
      </c>
      <c r="M297" s="36">
        <v>171.01</v>
      </c>
      <c r="N297" s="36">
        <v>1301.9808</v>
      </c>
      <c r="O297" s="37">
        <f t="shared" si="146"/>
        <v>1.7719053836560394E-5</v>
      </c>
      <c r="P297" s="37">
        <f t="shared" si="147"/>
        <v>1.4921936786020797E-2</v>
      </c>
      <c r="Q297" s="37">
        <v>4.7497999999999993E-3</v>
      </c>
      <c r="R297" s="36">
        <v>0.3175</v>
      </c>
      <c r="S297" s="38">
        <v>3280773.6</v>
      </c>
      <c r="T297" s="36">
        <v>446.90182978768689</v>
      </c>
      <c r="U297" s="12">
        <f>+T297+BG297*S297*テーブル2[[#This Row],[Pw]]*R297/(N297*O297*K297)</f>
        <v>534.63282618510914</v>
      </c>
      <c r="V297" s="36">
        <v>0.03</v>
      </c>
      <c r="W297" s="37">
        <f t="shared" si="118"/>
        <v>85625.433253718511</v>
      </c>
      <c r="X297" s="36">
        <v>0.01</v>
      </c>
      <c r="Y297" s="36">
        <f t="shared" si="119"/>
        <v>10</v>
      </c>
      <c r="Z297" s="36">
        <f t="shared" si="120"/>
        <v>3.9935010243998592</v>
      </c>
      <c r="AA297" s="36">
        <f t="shared" si="121"/>
        <v>6.0064989756001408</v>
      </c>
      <c r="AB297" s="36">
        <f t="shared" si="122"/>
        <v>2.3014738638520873E-4</v>
      </c>
      <c r="AC297" s="36">
        <v>600</v>
      </c>
      <c r="AD297" s="36">
        <f t="shared" si="123"/>
        <v>1513.6581123935114</v>
      </c>
      <c r="AE297" s="36">
        <f>+gettm2(AD297,AC297,AK297,AL297,テーブル2[[#This Row],[Fcorr]])</f>
        <v>550.73120392463591</v>
      </c>
      <c r="AF297" s="39">
        <f t="shared" si="124"/>
        <v>16.098377739526768</v>
      </c>
      <c r="AG297" s="36">
        <v>1.0000000000000001E-5</v>
      </c>
      <c r="AH297" s="36">
        <f t="shared" si="125"/>
        <v>3.3910330526776566</v>
      </c>
      <c r="AI297" s="36">
        <f t="shared" si="126"/>
        <v>7.3666907124163114E-2</v>
      </c>
      <c r="AJ297" s="36">
        <f t="shared" si="127"/>
        <v>6.3735656760011441</v>
      </c>
      <c r="AK297" s="36">
        <f>+S88*テーブル2[[#This Row],[F_form]]/(E88*CpFromTP((テーブル2[[#This Row],[Tin]]+テーブル2[[#This Row],[Tf]])/2,テーブル2[[#This Row],[P]])*AI88)</f>
        <v>2.2020242403872476</v>
      </c>
      <c r="AL297" s="36">
        <f t="shared" si="128"/>
        <v>1.1293676909872215</v>
      </c>
      <c r="AM297" s="36">
        <f t="shared" si="129"/>
        <v>584.59037438874736</v>
      </c>
      <c r="AN297" s="36">
        <f t="shared" si="130"/>
        <v>24.030699609776207</v>
      </c>
      <c r="AO297" s="36">
        <f t="shared" si="131"/>
        <v>-2.2014738638520873E-4</v>
      </c>
      <c r="AP297" s="36">
        <v>1</v>
      </c>
      <c r="AQ297" s="36">
        <f t="shared" si="132"/>
        <v>5.4530931276593132E-4</v>
      </c>
      <c r="AR297" s="36">
        <f t="shared" si="133"/>
        <v>-1.0507369319260437E-4</v>
      </c>
      <c r="AS297" s="36">
        <f t="shared" si="134"/>
        <v>-66.969408438305834</v>
      </c>
      <c r="AT297" s="36">
        <f t="shared" si="135"/>
        <v>-66.969408438305834</v>
      </c>
      <c r="AU297" s="36">
        <f t="shared" si="136"/>
        <v>-4.9334291915848212</v>
      </c>
      <c r="AV297" s="36">
        <f t="shared" si="137"/>
        <v>5.9334291915848212</v>
      </c>
      <c r="AW297" s="36">
        <f t="shared" si="138"/>
        <v>0.13836717508534654</v>
      </c>
      <c r="AX297" s="36">
        <f t="shared" si="139"/>
        <v>0.25829918823133102</v>
      </c>
      <c r="AY297" s="36">
        <f t="shared" si="140"/>
        <v>5.6751300033534902</v>
      </c>
      <c r="AZ297" s="36">
        <f t="shared" si="141"/>
        <v>1080577.7610325073</v>
      </c>
      <c r="BA297" s="36">
        <f t="shared" si="142"/>
        <v>5.4530931276593132E-4</v>
      </c>
      <c r="BB297" s="38">
        <f t="shared" si="143"/>
        <v>-272592431.95781767</v>
      </c>
      <c r="BC297" s="40">
        <f t="shared" si="144"/>
        <v>-275873205.5578177</v>
      </c>
      <c r="BD297" s="41">
        <f t="shared" si="145"/>
        <v>-8408.7852193707513</v>
      </c>
      <c r="BE297" s="38">
        <v>3280773.6</v>
      </c>
      <c r="BF297" s="42">
        <f>テーブル2[[#This Row],[q_P]]/テーブル2[[#This Row],[q_M]]</f>
        <v>-83.087852193707505</v>
      </c>
      <c r="BG297" s="36">
        <v>1</v>
      </c>
      <c r="BH297" s="36">
        <v>-0.13600000000000001</v>
      </c>
      <c r="BI297" s="36">
        <v>4.5999999999999999E-2</v>
      </c>
      <c r="BJ297" s="36">
        <v>5625</v>
      </c>
      <c r="BK297" s="22">
        <v>1</v>
      </c>
      <c r="BL297" s="36">
        <f>テーブル2[[#This Row],[Ts]]-テーブル2[[#This Row],[Tin]]</f>
        <v>161.71924421083668</v>
      </c>
      <c r="BM297" s="36">
        <f>テーブル2[[#This Row],[q_P]]*0.000001</f>
        <v>-272.59243195781767</v>
      </c>
      <c r="BN297" s="36">
        <f>テーブル2[[#This Row],[Tsub]]</f>
        <v>161.71924421083668</v>
      </c>
      <c r="BO297" s="36">
        <f>テーブル2[[#This Row],[Fcorr]]</f>
        <v>1</v>
      </c>
      <c r="BP297" s="36">
        <f>(テーブル2[[#This Row],[Tsub]]-40)^2</f>
        <v>14815.574411257297</v>
      </c>
      <c r="BQ297" s="36">
        <v>1</v>
      </c>
      <c r="BR297" s="36">
        <v>0.3175</v>
      </c>
    </row>
    <row r="298" spans="1:70" x14ac:dyDescent="0.15">
      <c r="A298" s="35" t="s">
        <v>79</v>
      </c>
      <c r="B298" s="36">
        <v>13789514.586336</v>
      </c>
      <c r="C298" s="22">
        <f>TsatFromP(テーブル2[[#This Row],[P]])</f>
        <v>608.62107399852357</v>
      </c>
      <c r="D298" s="36">
        <f>RhoGFromP(テーブル2[[#This Row],[P]])</f>
        <v>85.147847035840741</v>
      </c>
      <c r="E298" s="36">
        <f>RhoFFromP(テーブル2[[#This Row],[P]])</f>
        <v>624.86636713482415</v>
      </c>
      <c r="F298" s="36">
        <f>HgFromP(テーブル2[[#This Row],[P]])</f>
        <v>2643264.5206450778</v>
      </c>
      <c r="G298" s="36">
        <f>HfFromP(テーブル2[[#This Row],[P]])</f>
        <v>1562686.7596125705</v>
      </c>
      <c r="H298" s="36">
        <f>MuGFromP(テーブル2[[#This Row],[P]])</f>
        <v>2.2019591234371903E-5</v>
      </c>
      <c r="I298" s="36">
        <f>MuFFromP(テーブル2[[#This Row],[P]])</f>
        <v>7.222326555143516E-5</v>
      </c>
      <c r="J298" s="36">
        <f>KfFromP(テーブル2[[#This Row],[P]])</f>
        <v>0.49112131073334553</v>
      </c>
      <c r="K298" s="36">
        <f>CpFFromP(テーブル2[[#This Row],[P]])</f>
        <v>7679.7488518783057</v>
      </c>
      <c r="L298" s="36">
        <f>SigmaFromP(テーブル2[[#This Row],[P]])</f>
        <v>6.5036449518301549E-3</v>
      </c>
      <c r="M298" s="36">
        <v>18.010000000000002</v>
      </c>
      <c r="N298" s="36">
        <v>3634.6963999999998</v>
      </c>
      <c r="O298" s="37">
        <f t="shared" si="146"/>
        <v>2.8502295699234246E-6</v>
      </c>
      <c r="P298" s="37">
        <f t="shared" si="147"/>
        <v>5.9847340050885557E-3</v>
      </c>
      <c r="Q298" s="37">
        <v>1.905E-3</v>
      </c>
      <c r="R298" s="36">
        <v>0.15240000000000001</v>
      </c>
      <c r="S298" s="38">
        <v>4416425.9999999991</v>
      </c>
      <c r="T298" s="36">
        <v>541.6211536112595</v>
      </c>
      <c r="U298" s="12">
        <f>+T298+BG298*S298*テーブル2[[#This Row],[Pw]]*R298/(N298*O298*K298)</f>
        <v>592.25090300866782</v>
      </c>
      <c r="V298" s="36">
        <v>0.03</v>
      </c>
      <c r="W298" s="37">
        <f t="shared" si="118"/>
        <v>95870.722393033779</v>
      </c>
      <c r="X298" s="36">
        <v>0.01</v>
      </c>
      <c r="Y298" s="36">
        <f t="shared" si="119"/>
        <v>10</v>
      </c>
      <c r="Z298" s="36">
        <f t="shared" si="120"/>
        <v>4.9391437751147134</v>
      </c>
      <c r="AA298" s="36">
        <f t="shared" si="121"/>
        <v>5.0608562248852866</v>
      </c>
      <c r="AB298" s="36">
        <f t="shared" si="122"/>
        <v>2.953105247446653E-5</v>
      </c>
      <c r="AC298" s="36">
        <v>600</v>
      </c>
      <c r="AD298" s="36">
        <f t="shared" si="123"/>
        <v>1694.7709480341796</v>
      </c>
      <c r="AE298" s="36">
        <f>+gettm2(AD298,AC298,AK298,AL298,テーブル2[[#This Row],[Fcorr]])</f>
        <v>557.79479010496584</v>
      </c>
      <c r="AF298" s="39">
        <f t="shared" si="124"/>
        <v>-34.456112903701978</v>
      </c>
      <c r="AG298" s="36">
        <v>1.0000000000000001E-5</v>
      </c>
      <c r="AH298" s="36">
        <f t="shared" si="125"/>
        <v>26.427686412274305</v>
      </c>
      <c r="AI298" s="36">
        <f t="shared" si="126"/>
        <v>0.20565344905495539</v>
      </c>
      <c r="AJ298" s="36">
        <f t="shared" si="127"/>
        <v>17.792870845503202</v>
      </c>
      <c r="AK298" s="36">
        <f>+S88*テーブル2[[#This Row],[F_form]]/(E88*CpFromTP((テーブル2[[#This Row],[Tin]]+テーブル2[[#This Row],[Tf]])/2,テーブル2[[#This Row],[P]])*AI88)</f>
        <v>1.8623964027888142</v>
      </c>
      <c r="AL298" s="36">
        <f t="shared" si="128"/>
        <v>1.1293676909872215</v>
      </c>
      <c r="AM298" s="36">
        <f t="shared" si="129"/>
        <v>576.83489373505336</v>
      </c>
      <c r="AN298" s="36">
        <f t="shared" si="130"/>
        <v>31.786180263470214</v>
      </c>
      <c r="AO298" s="36">
        <f t="shared" si="131"/>
        <v>-1.9531052474466531E-5</v>
      </c>
      <c r="AP298" s="36">
        <v>1</v>
      </c>
      <c r="AQ298" s="36">
        <f t="shared" si="132"/>
        <v>5.4530931276593132E-4</v>
      </c>
      <c r="AR298" s="36">
        <f t="shared" si="133"/>
        <v>-4.7655262372332658E-6</v>
      </c>
      <c r="AS298" s="36">
        <f t="shared" si="134"/>
        <v>-8.4792392849948328</v>
      </c>
      <c r="AT298" s="36">
        <f t="shared" si="135"/>
        <v>-8.4792392849948328</v>
      </c>
      <c r="AU298" s="36">
        <f t="shared" si="136"/>
        <v>-1.7437848043214612</v>
      </c>
      <c r="AV298" s="36">
        <f t="shared" si="137"/>
        <v>2.7437848043214612</v>
      </c>
      <c r="AW298" s="36">
        <f t="shared" si="138"/>
        <v>1.7754398050603616E-2</v>
      </c>
      <c r="AX298" s="36">
        <f t="shared" si="139"/>
        <v>0.72108523381246581</v>
      </c>
      <c r="AY298" s="36">
        <f t="shared" si="140"/>
        <v>2.0226995705089954</v>
      </c>
      <c r="AZ298" s="36">
        <f t="shared" si="141"/>
        <v>1080577.7610325073</v>
      </c>
      <c r="BA298" s="36">
        <f t="shared" si="142"/>
        <v>5.4530931276593132E-4</v>
      </c>
      <c r="BB298" s="38">
        <f t="shared" si="143"/>
        <v>-24183875.993852343</v>
      </c>
      <c r="BC298" s="40">
        <f t="shared" si="144"/>
        <v>-28600301.993852343</v>
      </c>
      <c r="BD298" s="41">
        <f t="shared" si="145"/>
        <v>-647.58929491521769</v>
      </c>
      <c r="BE298" s="38">
        <v>4416425.9999999991</v>
      </c>
      <c r="BF298" s="42">
        <f>テーブル2[[#This Row],[q_P]]/テーブル2[[#This Row],[q_M]]</f>
        <v>-5.4758929491521764</v>
      </c>
      <c r="BG298" s="36">
        <v>1</v>
      </c>
      <c r="BH298" s="36">
        <v>1E-3</v>
      </c>
      <c r="BI298" s="36">
        <v>4.5999999999999999E-2</v>
      </c>
      <c r="BJ298" s="36">
        <v>5625</v>
      </c>
      <c r="BK298" s="22">
        <v>1</v>
      </c>
      <c r="BL298" s="36">
        <f>テーブル2[[#This Row],[Ts]]-テーブル2[[#This Row],[Tin]]</f>
        <v>66.999920387264069</v>
      </c>
      <c r="BM298" s="36">
        <f>テーブル2[[#This Row],[q_P]]*0.000001</f>
        <v>-24.183875993852343</v>
      </c>
      <c r="BN298" s="36">
        <f>テーブル2[[#This Row],[Tsub]]</f>
        <v>66.999920387264069</v>
      </c>
      <c r="BO298" s="36">
        <f>テーブル2[[#This Row],[Fcorr]]</f>
        <v>1</v>
      </c>
      <c r="BP298" s="36">
        <f>(テーブル2[[#This Row],[Tsub]]-40)^2</f>
        <v>728.99570091859789</v>
      </c>
      <c r="BQ298" s="36">
        <v>1</v>
      </c>
      <c r="BR298" s="36">
        <v>0.15240000000000001</v>
      </c>
    </row>
    <row r="299" spans="1:70" x14ac:dyDescent="0.15">
      <c r="A299" s="35" t="s">
        <v>314</v>
      </c>
      <c r="B299" s="36">
        <v>13789514.586336</v>
      </c>
      <c r="C299" s="22">
        <f>TsatFromP(テーブル2[[#This Row],[P]])</f>
        <v>608.62107399852357</v>
      </c>
      <c r="D299" s="36">
        <f>RhoGFromP(テーブル2[[#This Row],[P]])</f>
        <v>85.147847035840741</v>
      </c>
      <c r="E299" s="36">
        <f>RhoFFromP(テーブル2[[#This Row],[P]])</f>
        <v>624.86636713482415</v>
      </c>
      <c r="F299" s="36">
        <f>HgFromP(テーブル2[[#This Row],[P]])</f>
        <v>2643264.5206450778</v>
      </c>
      <c r="G299" s="36">
        <f>HfFromP(テーブル2[[#This Row],[P]])</f>
        <v>1562686.7596125705</v>
      </c>
      <c r="H299" s="36">
        <f>MuGFromP(テーブル2[[#This Row],[P]])</f>
        <v>2.2019591234371903E-5</v>
      </c>
      <c r="I299" s="36">
        <f>MuFFromP(テーブル2[[#This Row],[P]])</f>
        <v>7.222326555143516E-5</v>
      </c>
      <c r="J299" s="36">
        <f>KfFromP(テーブル2[[#This Row],[P]])</f>
        <v>0.49112131073334553</v>
      </c>
      <c r="K299" s="36">
        <f>CpFFromP(テーブル2[[#This Row],[P]])</f>
        <v>7679.7488518783057</v>
      </c>
      <c r="L299" s="36">
        <f>SigmaFromP(テーブル2[[#This Row],[P]])</f>
        <v>6.5036449518301549E-3</v>
      </c>
      <c r="M299" s="36">
        <v>180.01</v>
      </c>
      <c r="N299" s="36">
        <v>1695.2874999999999</v>
      </c>
      <c r="O299" s="37">
        <f t="shared" si="146"/>
        <v>1.7719053836560394E-5</v>
      </c>
      <c r="P299" s="37">
        <f t="shared" si="147"/>
        <v>1.4921936786020797E-2</v>
      </c>
      <c r="Q299" s="37">
        <v>4.7497999999999993E-3</v>
      </c>
      <c r="R299" s="36">
        <v>0.3175</v>
      </c>
      <c r="S299" s="38">
        <v>2981087.55</v>
      </c>
      <c r="T299" s="36">
        <v>510.32146414329299</v>
      </c>
      <c r="U299" s="12">
        <f>+T299+BG299*S299*テーブル2[[#This Row],[Pw]]*R299/(N299*O299*K299)</f>
        <v>571.54420255232492</v>
      </c>
      <c r="V299" s="36">
        <v>0.03</v>
      </c>
      <c r="W299" s="37">
        <f t="shared" si="118"/>
        <v>111491.44954911264</v>
      </c>
      <c r="X299" s="36">
        <v>0.01</v>
      </c>
      <c r="Y299" s="36">
        <f t="shared" si="119"/>
        <v>10</v>
      </c>
      <c r="Z299" s="36">
        <f t="shared" si="120"/>
        <v>4.444435462099956</v>
      </c>
      <c r="AA299" s="36">
        <f t="shared" si="121"/>
        <v>5.555564537900044</v>
      </c>
      <c r="AB299" s="36">
        <f t="shared" si="122"/>
        <v>1.3574645202726939E-4</v>
      </c>
      <c r="AC299" s="36">
        <v>600</v>
      </c>
      <c r="AD299" s="36">
        <f t="shared" si="123"/>
        <v>1970.9090005123851</v>
      </c>
      <c r="AE299" s="36">
        <f>+gettm2(AD299,AC299,AK299,AL299,テーブル2[[#This Row],[Fcorr]])</f>
        <v>553.48299605697025</v>
      </c>
      <c r="AF299" s="39">
        <f t="shared" si="124"/>
        <v>-18.061206495354668</v>
      </c>
      <c r="AG299" s="36">
        <v>1.0000000000000001E-5</v>
      </c>
      <c r="AH299" s="36">
        <f t="shared" si="125"/>
        <v>5.749228672752646</v>
      </c>
      <c r="AI299" s="36">
        <f t="shared" si="126"/>
        <v>9.5920451984587402E-2</v>
      </c>
      <c r="AJ299" s="36">
        <f t="shared" si="127"/>
        <v>8.2989136406264912</v>
      </c>
      <c r="AK299" s="36">
        <f>+S88*テーブル2[[#This Row],[F_form]]/(E88*CpFromTP((テーブル2[[#This Row],[Tin]]+テーブル2[[#This Row],[Tf]])/2,テーブル2[[#This Row],[P]])*AI88)</f>
        <v>2.0185385053948428</v>
      </c>
      <c r="AL299" s="36">
        <f t="shared" si="128"/>
        <v>1.1293676909872215</v>
      </c>
      <c r="AM299" s="36">
        <f t="shared" si="129"/>
        <v>582.98169254216532</v>
      </c>
      <c r="AN299" s="36">
        <f t="shared" si="130"/>
        <v>25.639381456358251</v>
      </c>
      <c r="AO299" s="36">
        <f t="shared" si="131"/>
        <v>-1.2574645202726939E-4</v>
      </c>
      <c r="AP299" s="36">
        <v>1</v>
      </c>
      <c r="AQ299" s="36">
        <f t="shared" si="132"/>
        <v>5.4530931276593132E-4</v>
      </c>
      <c r="AR299" s="36">
        <f t="shared" si="133"/>
        <v>-5.7873226013634694E-5</v>
      </c>
      <c r="AS299" s="36">
        <f t="shared" si="134"/>
        <v>-48.028490479161292</v>
      </c>
      <c r="AT299" s="36">
        <f t="shared" si="135"/>
        <v>-48.028490479161292</v>
      </c>
      <c r="AU299" s="36">
        <f t="shared" si="136"/>
        <v>-4.6069145148986035</v>
      </c>
      <c r="AV299" s="36">
        <f t="shared" si="137"/>
        <v>5.6069145148986035</v>
      </c>
      <c r="AW299" s="36">
        <f t="shared" si="138"/>
        <v>8.1612280677539464E-2</v>
      </c>
      <c r="AX299" s="36">
        <f t="shared" si="139"/>
        <v>0.33632706800954559</v>
      </c>
      <c r="AY299" s="36">
        <f t="shared" si="140"/>
        <v>5.2705874468890581</v>
      </c>
      <c r="AZ299" s="36">
        <f t="shared" si="141"/>
        <v>1080577.7610325073</v>
      </c>
      <c r="BA299" s="36">
        <f t="shared" si="142"/>
        <v>5.4530931276593132E-4</v>
      </c>
      <c r="BB299" s="38">
        <f t="shared" si="143"/>
        <v>-155702648.71644855</v>
      </c>
      <c r="BC299" s="40">
        <f t="shared" si="144"/>
        <v>-158683736.26644856</v>
      </c>
      <c r="BD299" s="41">
        <f t="shared" si="145"/>
        <v>-5323.0149603103255</v>
      </c>
      <c r="BE299" s="38">
        <v>2981087.55</v>
      </c>
      <c r="BF299" s="42">
        <f>テーブル2[[#This Row],[q_P]]/テーブル2[[#This Row],[q_M]]</f>
        <v>-52.230149603103257</v>
      </c>
      <c r="BG299" s="36">
        <v>1</v>
      </c>
      <c r="BH299" s="36">
        <v>-6.2E-2</v>
      </c>
      <c r="BI299" s="36">
        <v>4.5999999999999999E-2</v>
      </c>
      <c r="BJ299" s="36">
        <v>5625</v>
      </c>
      <c r="BK299" s="22">
        <v>1</v>
      </c>
      <c r="BL299" s="36">
        <f>テーブル2[[#This Row],[Ts]]-テーブル2[[#This Row],[Tin]]</f>
        <v>98.299609855230585</v>
      </c>
      <c r="BM299" s="36">
        <f>テーブル2[[#This Row],[q_P]]*0.000001</f>
        <v>-155.70264871644855</v>
      </c>
      <c r="BN299" s="36">
        <f>テーブル2[[#This Row],[Tsub]]</f>
        <v>98.299609855230585</v>
      </c>
      <c r="BO299" s="36">
        <f>テーブル2[[#This Row],[Fcorr]]</f>
        <v>1</v>
      </c>
      <c r="BP299" s="36">
        <f>(テーブル2[[#This Row],[Tsub]]-40)^2</f>
        <v>3398.844509272099</v>
      </c>
      <c r="BQ299" s="36">
        <v>1</v>
      </c>
      <c r="BR299" s="36">
        <v>0.3175</v>
      </c>
    </row>
    <row r="300" spans="1:70" x14ac:dyDescent="0.15">
      <c r="A300" s="35" t="s">
        <v>315</v>
      </c>
      <c r="B300" s="36">
        <v>13789514.586336</v>
      </c>
      <c r="C300" s="22">
        <f>TsatFromP(テーブル2[[#This Row],[P]])</f>
        <v>608.62107399852357</v>
      </c>
      <c r="D300" s="36">
        <f>RhoGFromP(テーブル2[[#This Row],[P]])</f>
        <v>85.147847035840741</v>
      </c>
      <c r="E300" s="36">
        <f>RhoFFromP(テーブル2[[#This Row],[P]])</f>
        <v>624.86636713482415</v>
      </c>
      <c r="F300" s="36">
        <f>HgFromP(テーブル2[[#This Row],[P]])</f>
        <v>2643264.5206450778</v>
      </c>
      <c r="G300" s="36">
        <f>HfFromP(テーブル2[[#This Row],[P]])</f>
        <v>1562686.7596125705</v>
      </c>
      <c r="H300" s="36">
        <f>MuGFromP(テーブル2[[#This Row],[P]])</f>
        <v>2.2019591234371903E-5</v>
      </c>
      <c r="I300" s="36">
        <f>MuFFromP(テーブル2[[#This Row],[P]])</f>
        <v>7.222326555143516E-5</v>
      </c>
      <c r="J300" s="36">
        <f>KfFromP(テーブル2[[#This Row],[P]])</f>
        <v>0.49112131073334553</v>
      </c>
      <c r="K300" s="36">
        <f>CpFFromP(テーブル2[[#This Row],[P]])</f>
        <v>7679.7488518783057</v>
      </c>
      <c r="L300" s="36">
        <f>SigmaFromP(テーブル2[[#This Row],[P]])</f>
        <v>6.5036449518301549E-3</v>
      </c>
      <c r="M300" s="36">
        <v>182.01</v>
      </c>
      <c r="N300" s="36">
        <v>1803.7859000000001</v>
      </c>
      <c r="O300" s="37">
        <f t="shared" si="146"/>
        <v>1.7719053836560394E-5</v>
      </c>
      <c r="P300" s="37">
        <f t="shared" si="147"/>
        <v>1.4921936786020797E-2</v>
      </c>
      <c r="Q300" s="37">
        <v>4.7497999999999993E-3</v>
      </c>
      <c r="R300" s="36">
        <v>0.3175</v>
      </c>
      <c r="S300" s="38">
        <v>3217681.8</v>
      </c>
      <c r="T300" s="36">
        <v>502.50442093117408</v>
      </c>
      <c r="U300" s="12">
        <f>+T300+BG300*S300*テーブル2[[#This Row],[Pw]]*R300/(N300*O300*K300)</f>
        <v>564.61126858325326</v>
      </c>
      <c r="V300" s="36">
        <v>0.03</v>
      </c>
      <c r="W300" s="37">
        <f t="shared" si="118"/>
        <v>118626.90232025586</v>
      </c>
      <c r="X300" s="36">
        <v>0.01</v>
      </c>
      <c r="Y300" s="36">
        <f t="shared" si="119"/>
        <v>10</v>
      </c>
      <c r="Z300" s="36">
        <f t="shared" si="120"/>
        <v>4.5501114299002445</v>
      </c>
      <c r="AA300" s="36">
        <f t="shared" si="121"/>
        <v>5.4498885700997555</v>
      </c>
      <c r="AB300" s="36">
        <f t="shared" si="122"/>
        <v>1.1990719164034619E-4</v>
      </c>
      <c r="AC300" s="36">
        <v>600</v>
      </c>
      <c r="AD300" s="36">
        <f t="shared" si="123"/>
        <v>2097.0471765451775</v>
      </c>
      <c r="AE300" s="36">
        <f>+gettm2(AD300,AC300,AK300,AL300,テーブル2[[#This Row],[Fcorr]])</f>
        <v>552.364229087799</v>
      </c>
      <c r="AF300" s="39">
        <f t="shared" si="124"/>
        <v>-12.24703949545426</v>
      </c>
      <c r="AG300" s="36">
        <v>1.0000000000000001E-5</v>
      </c>
      <c r="AH300" s="36">
        <f t="shared" si="125"/>
        <v>6.5086787835085804</v>
      </c>
      <c r="AI300" s="36">
        <f t="shared" si="126"/>
        <v>0.10205936091160099</v>
      </c>
      <c r="AJ300" s="36">
        <f t="shared" si="127"/>
        <v>8.8300441136265881</v>
      </c>
      <c r="AK300" s="36">
        <f>+S88*テーブル2[[#This Row],[F_form]]/(E88*CpFromTP((テーブル2[[#This Row],[Tin]]+テーブル2[[#This Row],[Tf]])/2,テーブル2[[#This Row],[P]])*AI88)</f>
        <v>2.0530798075356547</v>
      </c>
      <c r="AL300" s="36">
        <f t="shared" si="128"/>
        <v>1.1293676909872215</v>
      </c>
      <c r="AM300" s="36">
        <f t="shared" si="129"/>
        <v>582.00798526153437</v>
      </c>
      <c r="AN300" s="36">
        <f t="shared" si="130"/>
        <v>26.613088736989198</v>
      </c>
      <c r="AO300" s="36">
        <f t="shared" si="131"/>
        <v>-1.0990719164034619E-4</v>
      </c>
      <c r="AP300" s="36">
        <v>1</v>
      </c>
      <c r="AQ300" s="36">
        <f t="shared" si="132"/>
        <v>5.4530931276593132E-4</v>
      </c>
      <c r="AR300" s="36">
        <f t="shared" si="133"/>
        <v>-4.9953595820173094E-5</v>
      </c>
      <c r="AS300" s="36">
        <f t="shared" si="134"/>
        <v>-44.109245472640112</v>
      </c>
      <c r="AT300" s="36">
        <f t="shared" si="135"/>
        <v>-44.109245472640112</v>
      </c>
      <c r="AU300" s="36">
        <f t="shared" si="136"/>
        <v>-4.5017614032305788</v>
      </c>
      <c r="AV300" s="36">
        <f t="shared" si="137"/>
        <v>5.5017614032305788</v>
      </c>
      <c r="AW300" s="36">
        <f t="shared" si="138"/>
        <v>7.2089540708155E-2</v>
      </c>
      <c r="AX300" s="36">
        <f t="shared" si="139"/>
        <v>0.35785200036215659</v>
      </c>
      <c r="AY300" s="36">
        <f t="shared" si="140"/>
        <v>5.143909402868422</v>
      </c>
      <c r="AZ300" s="36">
        <f t="shared" si="141"/>
        <v>1080577.7610325073</v>
      </c>
      <c r="BA300" s="36">
        <f t="shared" si="142"/>
        <v>5.4530931276593132E-4</v>
      </c>
      <c r="BB300" s="38">
        <f t="shared" si="143"/>
        <v>-136090049.26578063</v>
      </c>
      <c r="BC300" s="40">
        <f t="shared" si="144"/>
        <v>-139307731.06578064</v>
      </c>
      <c r="BD300" s="41">
        <f t="shared" si="145"/>
        <v>-4329.4439824901465</v>
      </c>
      <c r="BE300" s="38">
        <v>3217681.8</v>
      </c>
      <c r="BF300" s="42">
        <f>テーブル2[[#This Row],[q_P]]/テーブル2[[#This Row],[q_M]]</f>
        <v>-42.294439824901467</v>
      </c>
      <c r="BG300" s="36">
        <v>1</v>
      </c>
      <c r="BH300" s="36">
        <v>-8.8999999999999996E-2</v>
      </c>
      <c r="BI300" s="36">
        <v>4.5999999999999999E-2</v>
      </c>
      <c r="BJ300" s="36">
        <v>5625</v>
      </c>
      <c r="BK300" s="22">
        <v>1</v>
      </c>
      <c r="BL300" s="36">
        <f>テーブル2[[#This Row],[Ts]]-テーブル2[[#This Row],[Tin]]</f>
        <v>106.11665306734949</v>
      </c>
      <c r="BM300" s="36">
        <f>テーブル2[[#This Row],[q_P]]*0.000001</f>
        <v>-136.09004926578064</v>
      </c>
      <c r="BN300" s="36">
        <f>テーブル2[[#This Row],[Tsub]]</f>
        <v>106.11665306734949</v>
      </c>
      <c r="BO300" s="36">
        <f>テーブル2[[#This Row],[Fcorr]]</f>
        <v>1</v>
      </c>
      <c r="BP300" s="36">
        <f>(テーブル2[[#This Row],[Tsub]]-40)^2</f>
        <v>4371.4118128282544</v>
      </c>
      <c r="BQ300" s="36">
        <v>1</v>
      </c>
      <c r="BR300" s="36">
        <v>0.3175</v>
      </c>
    </row>
    <row r="301" spans="1:70" x14ac:dyDescent="0.15">
      <c r="A301" s="35" t="s">
        <v>316</v>
      </c>
      <c r="B301" s="36">
        <v>13789514.586336</v>
      </c>
      <c r="C301" s="22">
        <f>TsatFromP(テーブル2[[#This Row],[P]])</f>
        <v>608.62107399852357</v>
      </c>
      <c r="D301" s="36">
        <f>RhoGFromP(テーブル2[[#This Row],[P]])</f>
        <v>85.147847035840741</v>
      </c>
      <c r="E301" s="36">
        <f>RhoFFromP(テーブル2[[#This Row],[P]])</f>
        <v>624.86636713482415</v>
      </c>
      <c r="F301" s="36">
        <f>HgFromP(テーブル2[[#This Row],[P]])</f>
        <v>2643264.5206450778</v>
      </c>
      <c r="G301" s="36">
        <f>HfFromP(テーブル2[[#This Row],[P]])</f>
        <v>1562686.7596125705</v>
      </c>
      <c r="H301" s="36">
        <f>MuGFromP(テーブル2[[#This Row],[P]])</f>
        <v>2.2019591234371903E-5</v>
      </c>
      <c r="I301" s="36">
        <f>MuFFromP(テーブル2[[#This Row],[P]])</f>
        <v>7.222326555143516E-5</v>
      </c>
      <c r="J301" s="36">
        <f>KfFromP(テーブル2[[#This Row],[P]])</f>
        <v>0.49112131073334553</v>
      </c>
      <c r="K301" s="36">
        <f>CpFFromP(テーブル2[[#This Row],[P]])</f>
        <v>7679.7488518783057</v>
      </c>
      <c r="L301" s="36">
        <f>SigmaFromP(テーブル2[[#This Row],[P]])</f>
        <v>6.5036449518301549E-3</v>
      </c>
      <c r="M301" s="36">
        <v>183.01</v>
      </c>
      <c r="N301" s="36">
        <v>1830.9105</v>
      </c>
      <c r="O301" s="37">
        <f t="shared" si="146"/>
        <v>1.7719053836560394E-5</v>
      </c>
      <c r="P301" s="37">
        <f t="shared" si="147"/>
        <v>1.4921936786020797E-2</v>
      </c>
      <c r="Q301" s="37">
        <v>4.7497999999999993E-3</v>
      </c>
      <c r="R301" s="36">
        <v>0.3175</v>
      </c>
      <c r="S301" s="38">
        <v>3943237.5</v>
      </c>
      <c r="T301" s="36">
        <v>475.88059540297343</v>
      </c>
      <c r="U301" s="12">
        <f>+T301+BG301*S301*テーブル2[[#This Row],[Pw]]*R301/(N301*O301*K301)</f>
        <v>550.86435300760786</v>
      </c>
      <c r="V301" s="36">
        <v>0.03</v>
      </c>
      <c r="W301" s="37">
        <f t="shared" si="118"/>
        <v>120410.76551304165</v>
      </c>
      <c r="X301" s="36">
        <v>0.01</v>
      </c>
      <c r="Y301" s="36">
        <f t="shared" si="119"/>
        <v>10</v>
      </c>
      <c r="Z301" s="36">
        <f t="shared" si="120"/>
        <v>4.57551808924224</v>
      </c>
      <c r="AA301" s="36">
        <f t="shared" si="121"/>
        <v>5.42448191075776</v>
      </c>
      <c r="AB301" s="36">
        <f t="shared" si="122"/>
        <v>1.1638070304121175E-4</v>
      </c>
      <c r="AC301" s="36">
        <v>600</v>
      </c>
      <c r="AD301" s="36">
        <f t="shared" si="123"/>
        <v>2128.5817205533754</v>
      </c>
      <c r="AE301" s="36">
        <f>+gettm2(AD301,AC301,AK301,AL301,テーブル2[[#This Row],[Fcorr]])</f>
        <v>550.43733383984909</v>
      </c>
      <c r="AF301" s="39">
        <f t="shared" si="124"/>
        <v>-0.4270191677587718</v>
      </c>
      <c r="AG301" s="36">
        <v>1.0000000000000001E-5</v>
      </c>
      <c r="AH301" s="36">
        <f t="shared" si="125"/>
        <v>6.7059003238986845</v>
      </c>
      <c r="AI301" s="36">
        <f t="shared" si="126"/>
        <v>0.10359408814335437</v>
      </c>
      <c r="AJ301" s="36">
        <f t="shared" si="127"/>
        <v>8.9628267318766088</v>
      </c>
      <c r="AK301" s="36">
        <f>+S88*テーブル2[[#This Row],[F_form]]/(E88*CpFromTP((テーブル2[[#This Row],[Tin]]+テーブル2[[#This Row],[Tf]])/2,テーブル2[[#This Row],[P]])*AI88)</f>
        <v>2.1326531702010669</v>
      </c>
      <c r="AL301" s="36">
        <f t="shared" si="128"/>
        <v>1.1293676909872215</v>
      </c>
      <c r="AM301" s="36">
        <f t="shared" si="129"/>
        <v>581.14054193332743</v>
      </c>
      <c r="AN301" s="36">
        <f t="shared" si="130"/>
        <v>27.480532065196144</v>
      </c>
      <c r="AO301" s="36">
        <f t="shared" si="131"/>
        <v>-1.0638070304121175E-4</v>
      </c>
      <c r="AP301" s="36">
        <v>1</v>
      </c>
      <c r="AQ301" s="36">
        <f t="shared" si="132"/>
        <v>5.4530931276593132E-4</v>
      </c>
      <c r="AR301" s="36">
        <f t="shared" si="133"/>
        <v>-4.8190351520605875E-5</v>
      </c>
      <c r="AS301" s="36">
        <f t="shared" si="134"/>
        <v>-43.192177082741694</v>
      </c>
      <c r="AT301" s="36">
        <f t="shared" si="135"/>
        <v>-43.192177082741694</v>
      </c>
      <c r="AU301" s="36">
        <f t="shared" si="136"/>
        <v>-4.4744541998129135</v>
      </c>
      <c r="AV301" s="36">
        <f t="shared" si="137"/>
        <v>5.4744541998129135</v>
      </c>
      <c r="AW301" s="36">
        <f t="shared" si="138"/>
        <v>6.9969376438219696E-2</v>
      </c>
      <c r="AX301" s="36">
        <f t="shared" si="139"/>
        <v>0.36323323345030928</v>
      </c>
      <c r="AY301" s="36">
        <f t="shared" si="140"/>
        <v>5.1112209663626045</v>
      </c>
      <c r="AZ301" s="36">
        <f t="shared" si="141"/>
        <v>1080577.7610325073</v>
      </c>
      <c r="BA301" s="36">
        <f t="shared" si="142"/>
        <v>5.4530931276593132E-4</v>
      </c>
      <c r="BB301" s="38">
        <f t="shared" si="143"/>
        <v>-131723455.96075033</v>
      </c>
      <c r="BC301" s="40">
        <f t="shared" si="144"/>
        <v>-135666693.46075034</v>
      </c>
      <c r="BD301" s="41">
        <f t="shared" si="145"/>
        <v>-3440.4900404997252</v>
      </c>
      <c r="BE301" s="38">
        <v>3943237.5</v>
      </c>
      <c r="BF301" s="42">
        <f>テーブル2[[#This Row],[q_P]]/テーブル2[[#This Row],[q_M]]</f>
        <v>-33.404900404997242</v>
      </c>
      <c r="BG301" s="36">
        <v>1</v>
      </c>
      <c r="BH301" s="36">
        <v>-0.109</v>
      </c>
      <c r="BI301" s="36">
        <v>4.5999999999999999E-2</v>
      </c>
      <c r="BJ301" s="36">
        <v>5625</v>
      </c>
      <c r="BK301" s="22">
        <v>1</v>
      </c>
      <c r="BL301" s="36">
        <f>テーブル2[[#This Row],[Ts]]-テーブル2[[#This Row],[Tin]]</f>
        <v>132.74047859555014</v>
      </c>
      <c r="BM301" s="36">
        <f>テーブル2[[#This Row],[q_P]]*0.000001</f>
        <v>-131.72345596075033</v>
      </c>
      <c r="BN301" s="36">
        <f>テーブル2[[#This Row],[Tsub]]</f>
        <v>132.74047859555014</v>
      </c>
      <c r="BO301" s="36">
        <f>テーブル2[[#This Row],[Fcorr]]</f>
        <v>1</v>
      </c>
      <c r="BP301" s="36">
        <f>(テーブル2[[#This Row],[Tsub]]-40)^2</f>
        <v>8600.7963701316949</v>
      </c>
      <c r="BQ301" s="36">
        <v>1</v>
      </c>
      <c r="BR301" s="36">
        <v>0.3175</v>
      </c>
    </row>
    <row r="302" spans="1:70" x14ac:dyDescent="0.15">
      <c r="A302" s="35" t="s">
        <v>317</v>
      </c>
      <c r="B302" s="36">
        <v>13789514.586336</v>
      </c>
      <c r="C302" s="22">
        <f>TsatFromP(テーブル2[[#This Row],[P]])</f>
        <v>608.62107399852357</v>
      </c>
      <c r="D302" s="36">
        <f>RhoGFromP(テーブル2[[#This Row],[P]])</f>
        <v>85.147847035840741</v>
      </c>
      <c r="E302" s="36">
        <f>RhoFFromP(テーブル2[[#This Row],[P]])</f>
        <v>624.86636713482415</v>
      </c>
      <c r="F302" s="36">
        <f>HgFromP(テーブル2[[#This Row],[P]])</f>
        <v>2643264.5206450778</v>
      </c>
      <c r="G302" s="36">
        <f>HfFromP(テーブル2[[#This Row],[P]])</f>
        <v>1562686.7596125705</v>
      </c>
      <c r="H302" s="36">
        <f>MuGFromP(テーブル2[[#This Row],[P]])</f>
        <v>2.2019591234371903E-5</v>
      </c>
      <c r="I302" s="36">
        <f>MuFFromP(テーブル2[[#This Row],[P]])</f>
        <v>7.222326555143516E-5</v>
      </c>
      <c r="J302" s="36">
        <f>KfFromP(テーブル2[[#This Row],[P]])</f>
        <v>0.49112131073334553</v>
      </c>
      <c r="K302" s="36">
        <f>CpFFromP(テーブル2[[#This Row],[P]])</f>
        <v>7679.7488518783057</v>
      </c>
      <c r="L302" s="36">
        <f>SigmaFromP(テーブル2[[#This Row],[P]])</f>
        <v>6.5036449518301549E-3</v>
      </c>
      <c r="M302" s="36">
        <v>184.01</v>
      </c>
      <c r="N302" s="36">
        <v>1871.5974000000001</v>
      </c>
      <c r="O302" s="37">
        <f t="shared" si="146"/>
        <v>1.7719053836560394E-5</v>
      </c>
      <c r="P302" s="37">
        <f t="shared" si="147"/>
        <v>1.4921936786020797E-2</v>
      </c>
      <c r="Q302" s="37">
        <v>4.7497999999999993E-3</v>
      </c>
      <c r="R302" s="36">
        <v>0.3175</v>
      </c>
      <c r="S302" s="38">
        <v>5331257.0999999996</v>
      </c>
      <c r="T302" s="36">
        <v>378.02796203423668</v>
      </c>
      <c r="U302" s="12">
        <f>+T302+BG302*S302*テーブル2[[#This Row],[Pw]]*R302/(N302*O302*K302)</f>
        <v>477.20213187480101</v>
      </c>
      <c r="V302" s="36">
        <v>0.03</v>
      </c>
      <c r="W302" s="37">
        <f t="shared" si="118"/>
        <v>123086.56030222037</v>
      </c>
      <c r="X302" s="36">
        <v>0.01</v>
      </c>
      <c r="Y302" s="36">
        <f t="shared" si="119"/>
        <v>10</v>
      </c>
      <c r="Z302" s="36">
        <f t="shared" si="120"/>
        <v>4.6129171721098547</v>
      </c>
      <c r="AA302" s="36">
        <f t="shared" si="121"/>
        <v>5.3870828278901453</v>
      </c>
      <c r="AB302" s="36">
        <f t="shared" si="122"/>
        <v>1.1137567280645261E-4</v>
      </c>
      <c r="AC302" s="36">
        <v>600</v>
      </c>
      <c r="AD302" s="36">
        <f t="shared" si="123"/>
        <v>2175.8835365656737</v>
      </c>
      <c r="AE302" s="36">
        <f>+gettm2(AD302,AC302,AK302,AL302,テーブル2[[#This Row],[Fcorr]])</f>
        <v>545.85069304470255</v>
      </c>
      <c r="AF302" s="39">
        <f t="shared" si="124"/>
        <v>68.648561169901541</v>
      </c>
      <c r="AG302" s="36">
        <v>1.0000000000000001E-5</v>
      </c>
      <c r="AH302" s="36">
        <f t="shared" si="125"/>
        <v>7.0072518940096904</v>
      </c>
      <c r="AI302" s="36">
        <f t="shared" si="126"/>
        <v>0.1058961789909845</v>
      </c>
      <c r="AJ302" s="36">
        <f t="shared" si="127"/>
        <v>9.1620006592516479</v>
      </c>
      <c r="AK302" s="36">
        <f>+S88*テーブル2[[#This Row],[F_form]]/(E88*CpFromTP((テーブル2[[#This Row],[Tin]]+テーブル2[[#This Row],[Tf]])/2,テーブル2[[#This Row],[P]])*AI88)</f>
        <v>2.3244468586409113</v>
      </c>
      <c r="AL302" s="36">
        <f t="shared" si="128"/>
        <v>1.1293676909872215</v>
      </c>
      <c r="AM302" s="36">
        <f t="shared" si="129"/>
        <v>579.17179511371717</v>
      </c>
      <c r="AN302" s="36">
        <f t="shared" si="130"/>
        <v>29.449278884806404</v>
      </c>
      <c r="AO302" s="36">
        <f t="shared" si="131"/>
        <v>-1.0137567280645261E-4</v>
      </c>
      <c r="AP302" s="36">
        <v>1</v>
      </c>
      <c r="AQ302" s="36">
        <f t="shared" si="132"/>
        <v>5.4530931276593132E-4</v>
      </c>
      <c r="AR302" s="36">
        <f t="shared" si="133"/>
        <v>-4.5687836403226306E-5</v>
      </c>
      <c r="AS302" s="36">
        <f t="shared" si="134"/>
        <v>-41.859198724614082</v>
      </c>
      <c r="AT302" s="36">
        <f t="shared" si="135"/>
        <v>-41.859198724614082</v>
      </c>
      <c r="AU302" s="36">
        <f t="shared" si="136"/>
        <v>-4.4327292005609227</v>
      </c>
      <c r="AV302" s="36">
        <f t="shared" si="137"/>
        <v>5.4327292005609227</v>
      </c>
      <c r="AW302" s="36">
        <f t="shared" si="138"/>
        <v>6.6960296449619497E-2</v>
      </c>
      <c r="AX302" s="36">
        <f t="shared" si="139"/>
        <v>0.3713050830825384</v>
      </c>
      <c r="AY302" s="36">
        <f t="shared" si="140"/>
        <v>5.0614241174783841</v>
      </c>
      <c r="AZ302" s="36">
        <f t="shared" si="141"/>
        <v>1080577.7610325073</v>
      </c>
      <c r="BA302" s="36">
        <f t="shared" si="142"/>
        <v>5.4530931276593132E-4</v>
      </c>
      <c r="BB302" s="38">
        <f t="shared" si="143"/>
        <v>-125526092.52111301</v>
      </c>
      <c r="BC302" s="40">
        <f t="shared" si="144"/>
        <v>-130857349.621113</v>
      </c>
      <c r="BD302" s="41">
        <f t="shared" si="145"/>
        <v>-2454.530838910639</v>
      </c>
      <c r="BE302" s="38">
        <v>5331257.0999999996</v>
      </c>
      <c r="BF302" s="42">
        <f>テーブル2[[#This Row],[q_P]]/テーブル2[[#This Row],[q_M]]</f>
        <v>-23.545308389106392</v>
      </c>
      <c r="BG302" s="36">
        <v>1</v>
      </c>
      <c r="BH302" s="36">
        <v>-0.32600000000000001</v>
      </c>
      <c r="BI302" s="36">
        <v>4.5999999999999999E-2</v>
      </c>
      <c r="BJ302" s="36">
        <v>5625</v>
      </c>
      <c r="BK302" s="22">
        <v>1</v>
      </c>
      <c r="BL302" s="36">
        <f>テーブル2[[#This Row],[Ts]]-テーブル2[[#This Row],[Tin]]</f>
        <v>230.59311196428689</v>
      </c>
      <c r="BM302" s="36">
        <f>テーブル2[[#This Row],[q_P]]*0.000001</f>
        <v>-125.526092521113</v>
      </c>
      <c r="BN302" s="36">
        <f>テーブル2[[#This Row],[Tsub]]</f>
        <v>230.59311196428689</v>
      </c>
      <c r="BO302" s="36">
        <f>テーブル2[[#This Row],[Fcorr]]</f>
        <v>1</v>
      </c>
      <c r="BP302" s="36">
        <f>(テーブル2[[#This Row],[Tsub]]-40)^2</f>
        <v>36325.734328231199</v>
      </c>
      <c r="BQ302" s="36">
        <v>1</v>
      </c>
      <c r="BR302" s="36">
        <v>0.3175</v>
      </c>
    </row>
    <row r="303" spans="1:70" x14ac:dyDescent="0.15">
      <c r="A303" s="35" t="s">
        <v>318</v>
      </c>
      <c r="B303" s="36">
        <v>13789514.586336</v>
      </c>
      <c r="C303" s="22">
        <f>TsatFromP(テーブル2[[#This Row],[P]])</f>
        <v>608.62107399852357</v>
      </c>
      <c r="D303" s="36">
        <f>RhoGFromP(テーブル2[[#This Row],[P]])</f>
        <v>85.147847035840741</v>
      </c>
      <c r="E303" s="36">
        <f>RhoFFromP(テーブル2[[#This Row],[P]])</f>
        <v>624.86636713482415</v>
      </c>
      <c r="F303" s="36">
        <f>HgFromP(テーブル2[[#This Row],[P]])</f>
        <v>2643264.5206450778</v>
      </c>
      <c r="G303" s="36">
        <f>HfFromP(テーブル2[[#This Row],[P]])</f>
        <v>1562686.7596125705</v>
      </c>
      <c r="H303" s="36">
        <f>MuGFromP(テーブル2[[#This Row],[P]])</f>
        <v>2.2019591234371903E-5</v>
      </c>
      <c r="I303" s="36">
        <f>MuFFromP(テーブル2[[#This Row],[P]])</f>
        <v>7.222326555143516E-5</v>
      </c>
      <c r="J303" s="36">
        <f>KfFromP(テーブル2[[#This Row],[P]])</f>
        <v>0.49112131073334553</v>
      </c>
      <c r="K303" s="36">
        <f>CpFFromP(テーブル2[[#This Row],[P]])</f>
        <v>7679.7488518783057</v>
      </c>
      <c r="L303" s="36">
        <f>SigmaFromP(テーブル2[[#This Row],[P]])</f>
        <v>6.5036449518301549E-3</v>
      </c>
      <c r="M303" s="36">
        <v>185.01</v>
      </c>
      <c r="N303" s="36">
        <v>1871.5974000000001</v>
      </c>
      <c r="O303" s="37">
        <f t="shared" si="146"/>
        <v>1.7719053836560394E-5</v>
      </c>
      <c r="P303" s="37">
        <f t="shared" si="147"/>
        <v>1.4921936786020797E-2</v>
      </c>
      <c r="Q303" s="37">
        <v>4.7497999999999993E-3</v>
      </c>
      <c r="R303" s="36">
        <v>0.3175</v>
      </c>
      <c r="S303" s="38">
        <v>4700339.0999999996</v>
      </c>
      <c r="T303" s="36">
        <v>444.10703574508312</v>
      </c>
      <c r="U303" s="12">
        <f>+T303+BG303*S303*テーブル2[[#This Row],[Pw]]*R303/(N303*O303*K303)</f>
        <v>531.54461743883508</v>
      </c>
      <c r="V303" s="36">
        <v>0.03</v>
      </c>
      <c r="W303" s="37">
        <f t="shared" si="118"/>
        <v>123086.56030222037</v>
      </c>
      <c r="X303" s="36">
        <v>0.01</v>
      </c>
      <c r="Y303" s="36">
        <f t="shared" si="119"/>
        <v>10</v>
      </c>
      <c r="Z303" s="36">
        <f t="shared" si="120"/>
        <v>4.6129171721098547</v>
      </c>
      <c r="AA303" s="36">
        <f t="shared" si="121"/>
        <v>5.3870828278901453</v>
      </c>
      <c r="AB303" s="36">
        <f t="shared" si="122"/>
        <v>1.1137567280645261E-4</v>
      </c>
      <c r="AC303" s="36">
        <v>600</v>
      </c>
      <c r="AD303" s="36">
        <f t="shared" si="123"/>
        <v>2175.8835365656737</v>
      </c>
      <c r="AE303" s="36">
        <f>+gettm2(AD303,AC303,AK303,AL303,テーブル2[[#This Row],[Fcorr]])</f>
        <v>548.52073774140092</v>
      </c>
      <c r="AF303" s="39">
        <f t="shared" si="124"/>
        <v>16.976120302565846</v>
      </c>
      <c r="AG303" s="36">
        <v>1.0000000000000001E-5</v>
      </c>
      <c r="AH303" s="36">
        <f t="shared" si="125"/>
        <v>7.0072518940096904</v>
      </c>
      <c r="AI303" s="36">
        <f t="shared" si="126"/>
        <v>0.1058961789909845</v>
      </c>
      <c r="AJ303" s="36">
        <f t="shared" si="127"/>
        <v>9.1620006592516479</v>
      </c>
      <c r="AK303" s="36">
        <f>+S88*テーブル2[[#This Row],[F_form]]/(E88*CpFromTP((テーブル2[[#This Row],[Tin]]+テーブル2[[#This Row],[Tf]])/2,テーブル2[[#This Row],[P]])*AI88)</f>
        <v>2.2098308578711245</v>
      </c>
      <c r="AL303" s="36">
        <f t="shared" si="128"/>
        <v>1.1293676909872215</v>
      </c>
      <c r="AM303" s="36">
        <f t="shared" si="129"/>
        <v>580.19881172990915</v>
      </c>
      <c r="AN303" s="36">
        <f t="shared" si="130"/>
        <v>28.422262268614418</v>
      </c>
      <c r="AO303" s="36">
        <f t="shared" si="131"/>
        <v>-1.0137567280645261E-4</v>
      </c>
      <c r="AP303" s="36">
        <v>1</v>
      </c>
      <c r="AQ303" s="36">
        <f t="shared" si="132"/>
        <v>5.4530931276593132E-4</v>
      </c>
      <c r="AR303" s="36">
        <f t="shared" si="133"/>
        <v>-4.5687836403226306E-5</v>
      </c>
      <c r="AS303" s="36">
        <f t="shared" si="134"/>
        <v>-41.859198724614082</v>
      </c>
      <c r="AT303" s="36">
        <f t="shared" si="135"/>
        <v>-41.859198724614082</v>
      </c>
      <c r="AU303" s="36">
        <f t="shared" si="136"/>
        <v>-4.4327292005609227</v>
      </c>
      <c r="AV303" s="36">
        <f t="shared" si="137"/>
        <v>5.4327292005609227</v>
      </c>
      <c r="AW303" s="36">
        <f t="shared" si="138"/>
        <v>6.6960296449619497E-2</v>
      </c>
      <c r="AX303" s="36">
        <f t="shared" si="139"/>
        <v>0.3713050830825384</v>
      </c>
      <c r="AY303" s="36">
        <f t="shared" si="140"/>
        <v>5.0614241174783841</v>
      </c>
      <c r="AZ303" s="36">
        <f t="shared" si="141"/>
        <v>1080577.7610325073</v>
      </c>
      <c r="BA303" s="36">
        <f t="shared" si="142"/>
        <v>5.4530931276593132E-4</v>
      </c>
      <c r="BB303" s="38">
        <f t="shared" si="143"/>
        <v>-125526092.52111301</v>
      </c>
      <c r="BC303" s="40">
        <f t="shared" si="144"/>
        <v>-130226431.621113</v>
      </c>
      <c r="BD303" s="41">
        <f t="shared" si="145"/>
        <v>-2770.5752468181076</v>
      </c>
      <c r="BE303" s="38">
        <v>4700339.0999999996</v>
      </c>
      <c r="BF303" s="42">
        <f>テーブル2[[#This Row],[q_P]]/テーブル2[[#This Row],[q_M]]</f>
        <v>-26.705752468181075</v>
      </c>
      <c r="BG303" s="36">
        <v>1</v>
      </c>
      <c r="BH303" s="36">
        <v>-0.14899999999999999</v>
      </c>
      <c r="BI303" s="36">
        <v>4.5999999999999999E-2</v>
      </c>
      <c r="BJ303" s="36">
        <v>5625</v>
      </c>
      <c r="BK303" s="22">
        <v>1</v>
      </c>
      <c r="BL303" s="36">
        <f>テーブル2[[#This Row],[Ts]]-テーブル2[[#This Row],[Tin]]</f>
        <v>164.51403825344045</v>
      </c>
      <c r="BM303" s="36">
        <f>テーブル2[[#This Row],[q_P]]*0.000001</f>
        <v>-125.526092521113</v>
      </c>
      <c r="BN303" s="36">
        <f>テーブル2[[#This Row],[Tsub]]</f>
        <v>164.51403825344045</v>
      </c>
      <c r="BO303" s="36">
        <f>テーブル2[[#This Row],[Fcorr]]</f>
        <v>1</v>
      </c>
      <c r="BP303" s="36">
        <f>(テーブル2[[#This Row],[Tsub]]-40)^2</f>
        <v>15503.74572217923</v>
      </c>
      <c r="BQ303" s="36">
        <v>1</v>
      </c>
      <c r="BR303" s="36">
        <v>0.3175</v>
      </c>
    </row>
    <row r="304" spans="1:70" x14ac:dyDescent="0.15">
      <c r="A304" s="35" t="s">
        <v>319</v>
      </c>
      <c r="B304" s="36">
        <v>13789514.586336</v>
      </c>
      <c r="C304" s="22">
        <f>TsatFromP(テーブル2[[#This Row],[P]])</f>
        <v>608.62107399852357</v>
      </c>
      <c r="D304" s="36">
        <f>RhoGFromP(テーブル2[[#This Row],[P]])</f>
        <v>85.147847035840741</v>
      </c>
      <c r="E304" s="36">
        <f>RhoFFromP(テーブル2[[#This Row],[P]])</f>
        <v>624.86636713482415</v>
      </c>
      <c r="F304" s="36">
        <f>HgFromP(テーブル2[[#This Row],[P]])</f>
        <v>2643264.5206450778</v>
      </c>
      <c r="G304" s="36">
        <f>HfFromP(テーブル2[[#This Row],[P]])</f>
        <v>1562686.7596125705</v>
      </c>
      <c r="H304" s="36">
        <f>MuGFromP(テーブル2[[#This Row],[P]])</f>
        <v>2.2019591234371903E-5</v>
      </c>
      <c r="I304" s="36">
        <f>MuFFromP(テーブル2[[#This Row],[P]])</f>
        <v>7.222326555143516E-5</v>
      </c>
      <c r="J304" s="36">
        <f>KfFromP(テーブル2[[#This Row],[P]])</f>
        <v>0.49112131073334553</v>
      </c>
      <c r="K304" s="36">
        <f>CpFFromP(テーブル2[[#This Row],[P]])</f>
        <v>7679.7488518783057</v>
      </c>
      <c r="L304" s="36">
        <f>SigmaFromP(テーブル2[[#This Row],[P]])</f>
        <v>6.5036449518301549E-3</v>
      </c>
      <c r="M304" s="36">
        <v>186.01</v>
      </c>
      <c r="N304" s="36">
        <v>1898.722</v>
      </c>
      <c r="O304" s="37">
        <f t="shared" si="146"/>
        <v>1.7719053836560394E-5</v>
      </c>
      <c r="P304" s="37">
        <f t="shared" si="147"/>
        <v>1.4921936786020797E-2</v>
      </c>
      <c r="Q304" s="37">
        <v>4.7497999999999993E-3</v>
      </c>
      <c r="R304" s="36">
        <v>0.3175</v>
      </c>
      <c r="S304" s="38">
        <v>3880145.6999999988</v>
      </c>
      <c r="T304" s="36">
        <v>486.40399679345421</v>
      </c>
      <c r="U304" s="12">
        <f>+T304+BG304*S304*テーブル2[[#This Row],[Pw]]*R304/(N304*O304*K304)</f>
        <v>557.55287079488016</v>
      </c>
      <c r="V304" s="36">
        <v>0.03</v>
      </c>
      <c r="W304" s="37">
        <f t="shared" si="118"/>
        <v>124870.42349500617</v>
      </c>
      <c r="X304" s="36">
        <v>0.01</v>
      </c>
      <c r="Y304" s="36">
        <f t="shared" si="119"/>
        <v>10</v>
      </c>
      <c r="Z304" s="36">
        <f t="shared" si="120"/>
        <v>4.6373919010962963</v>
      </c>
      <c r="AA304" s="36">
        <f t="shared" si="121"/>
        <v>5.3626080989037037</v>
      </c>
      <c r="AB304" s="36">
        <f t="shared" si="122"/>
        <v>1.0821624045541245E-4</v>
      </c>
      <c r="AC304" s="36">
        <v>600</v>
      </c>
      <c r="AD304" s="36">
        <f t="shared" si="123"/>
        <v>2207.4180805738715</v>
      </c>
      <c r="AE304" s="36">
        <f>+gettm2(AD304,AC304,AK304,AL304,テーブル2[[#This Row],[Fcorr]])</f>
        <v>550.9767084274514</v>
      </c>
      <c r="AF304" s="39">
        <f t="shared" si="124"/>
        <v>-6.5761623674287648</v>
      </c>
      <c r="AG304" s="36">
        <v>1.0000000000000001E-5</v>
      </c>
      <c r="AH304" s="36">
        <f t="shared" si="125"/>
        <v>7.2118324471009192</v>
      </c>
      <c r="AI304" s="36">
        <f t="shared" si="126"/>
        <v>0.10743090622273789</v>
      </c>
      <c r="AJ304" s="36">
        <f t="shared" si="127"/>
        <v>9.2947832775016721</v>
      </c>
      <c r="AK304" s="36">
        <f>+S88*テーブル2[[#This Row],[F_form]]/(E88*CpFromTP((テーブル2[[#This Row],[Tin]]+テーブル2[[#This Row],[Tf]])/2,テーブル2[[#This Row],[P]])*AI88)</f>
        <v>2.1011187093512729</v>
      </c>
      <c r="AL304" s="36">
        <f t="shared" si="128"/>
        <v>1.1293676909872215</v>
      </c>
      <c r="AM304" s="36">
        <f t="shared" si="129"/>
        <v>581.01176187479962</v>
      </c>
      <c r="AN304" s="36">
        <f t="shared" si="130"/>
        <v>27.609312123723953</v>
      </c>
      <c r="AO304" s="36">
        <f t="shared" si="131"/>
        <v>-9.8216240455412454E-5</v>
      </c>
      <c r="AP304" s="36">
        <v>1</v>
      </c>
      <c r="AQ304" s="36">
        <f t="shared" si="132"/>
        <v>5.4530931276593132E-4</v>
      </c>
      <c r="AR304" s="36">
        <f t="shared" si="133"/>
        <v>-4.4108120227706227E-5</v>
      </c>
      <c r="AS304" s="36">
        <f t="shared" si="134"/>
        <v>-40.997541829451706</v>
      </c>
      <c r="AT304" s="36">
        <f t="shared" si="135"/>
        <v>-40.997541829451706</v>
      </c>
      <c r="AU304" s="36">
        <f t="shared" si="136"/>
        <v>-4.4044030716426006</v>
      </c>
      <c r="AV304" s="36">
        <f t="shared" si="137"/>
        <v>5.4044030716426006</v>
      </c>
      <c r="AW304" s="36">
        <f t="shared" si="138"/>
        <v>6.5060810489109902E-2</v>
      </c>
      <c r="AX304" s="36">
        <f t="shared" si="139"/>
        <v>0.37668631617069109</v>
      </c>
      <c r="AY304" s="36">
        <f t="shared" si="140"/>
        <v>5.0277167554719098</v>
      </c>
      <c r="AZ304" s="36">
        <f t="shared" si="141"/>
        <v>1080577.7610325073</v>
      </c>
      <c r="BA304" s="36">
        <f t="shared" si="142"/>
        <v>5.4530931276593132E-4</v>
      </c>
      <c r="BB304" s="38">
        <f t="shared" si="143"/>
        <v>-121613998.16324827</v>
      </c>
      <c r="BC304" s="40">
        <f t="shared" si="144"/>
        <v>-125494143.86324827</v>
      </c>
      <c r="BD304" s="41">
        <f t="shared" si="145"/>
        <v>-3234.2636995112921</v>
      </c>
      <c r="BE304" s="38">
        <v>3880145.6999999988</v>
      </c>
      <c r="BF304" s="42">
        <f>テーブル2[[#This Row],[q_P]]/テーブル2[[#This Row],[q_M]]</f>
        <v>-31.342636995112919</v>
      </c>
      <c r="BG304" s="36">
        <v>1</v>
      </c>
      <c r="BH304" s="36">
        <v>-9.1999999999999998E-2</v>
      </c>
      <c r="BI304" s="36">
        <v>4.5999999999999999E-2</v>
      </c>
      <c r="BJ304" s="36">
        <v>5625</v>
      </c>
      <c r="BK304" s="22">
        <v>1</v>
      </c>
      <c r="BL304" s="36">
        <f>テーブル2[[#This Row],[Ts]]-テーブル2[[#This Row],[Tin]]</f>
        <v>122.21707720506936</v>
      </c>
      <c r="BM304" s="36">
        <f>テーブル2[[#This Row],[q_P]]*0.000001</f>
        <v>-121.61399816324827</v>
      </c>
      <c r="BN304" s="36">
        <f>テーブル2[[#This Row],[Tsub]]</f>
        <v>122.21707720506936</v>
      </c>
      <c r="BO304" s="36">
        <f>テーブル2[[#This Row],[Fcorr]]</f>
        <v>1</v>
      </c>
      <c r="BP304" s="36">
        <f>(テーブル2[[#This Row],[Tsub]]-40)^2</f>
        <v>6759.6477841443357</v>
      </c>
      <c r="BQ304" s="36">
        <v>1</v>
      </c>
      <c r="BR304" s="36">
        <v>0.3175</v>
      </c>
    </row>
    <row r="305" spans="1:70" x14ac:dyDescent="0.15">
      <c r="A305" s="35" t="s">
        <v>320</v>
      </c>
      <c r="B305" s="36">
        <v>13789514.586336</v>
      </c>
      <c r="C305" s="22">
        <f>TsatFromP(テーブル2[[#This Row],[P]])</f>
        <v>608.62107399852357</v>
      </c>
      <c r="D305" s="36">
        <f>RhoGFromP(テーブル2[[#This Row],[P]])</f>
        <v>85.147847035840741</v>
      </c>
      <c r="E305" s="36">
        <f>RhoFFromP(テーブル2[[#This Row],[P]])</f>
        <v>624.86636713482415</v>
      </c>
      <c r="F305" s="36">
        <f>HgFromP(テーブル2[[#This Row],[P]])</f>
        <v>2643264.5206450778</v>
      </c>
      <c r="G305" s="36">
        <f>HfFromP(テーブル2[[#This Row],[P]])</f>
        <v>1562686.7596125705</v>
      </c>
      <c r="H305" s="36">
        <f>MuGFromP(テーブル2[[#This Row],[P]])</f>
        <v>2.2019591234371903E-5</v>
      </c>
      <c r="I305" s="36">
        <f>MuFFromP(テーブル2[[#This Row],[P]])</f>
        <v>7.222326555143516E-5</v>
      </c>
      <c r="J305" s="36">
        <f>KfFromP(テーブル2[[#This Row],[P]])</f>
        <v>0.49112131073334553</v>
      </c>
      <c r="K305" s="36">
        <f>CpFFromP(テーブル2[[#This Row],[P]])</f>
        <v>7679.7488518783057</v>
      </c>
      <c r="L305" s="36">
        <f>SigmaFromP(テーブル2[[#This Row],[P]])</f>
        <v>6.5036449518301549E-3</v>
      </c>
      <c r="M305" s="36">
        <v>187.01</v>
      </c>
      <c r="N305" s="36">
        <v>1966.5335</v>
      </c>
      <c r="O305" s="37">
        <f t="shared" si="146"/>
        <v>1.7719053836560394E-5</v>
      </c>
      <c r="P305" s="37">
        <f t="shared" si="147"/>
        <v>1.4921936786020797E-2</v>
      </c>
      <c r="Q305" s="37">
        <v>4.7497999999999993E-3</v>
      </c>
      <c r="R305" s="36">
        <v>0.3175</v>
      </c>
      <c r="S305" s="38">
        <v>4227150.5999999996</v>
      </c>
      <c r="T305" s="36">
        <v>473.67787201345942</v>
      </c>
      <c r="U305" s="12">
        <f>+T305+BG305*S305*テーブル2[[#This Row],[Pw]]*R305/(N305*O305*K305)</f>
        <v>548.51683339651254</v>
      </c>
      <c r="V305" s="36">
        <v>0.03</v>
      </c>
      <c r="W305" s="37">
        <f t="shared" si="118"/>
        <v>129330.08147697068</v>
      </c>
      <c r="X305" s="36">
        <v>0.01</v>
      </c>
      <c r="Y305" s="36">
        <f t="shared" si="119"/>
        <v>10</v>
      </c>
      <c r="Z305" s="36">
        <f t="shared" si="120"/>
        <v>4.6970504629607532</v>
      </c>
      <c r="AA305" s="36">
        <f t="shared" si="121"/>
        <v>5.3029495370392468</v>
      </c>
      <c r="AB305" s="36">
        <f t="shared" si="122"/>
        <v>1.0088172713084822E-4</v>
      </c>
      <c r="AC305" s="36">
        <v>600</v>
      </c>
      <c r="AD305" s="36">
        <f t="shared" si="123"/>
        <v>2286.2544405943668</v>
      </c>
      <c r="AE305" s="36">
        <f>+gettm2(AD305,AC305,AK305,AL305,テーブル2[[#This Row],[Fcorr]])</f>
        <v>549.86837030456957</v>
      </c>
      <c r="AF305" s="39">
        <f t="shared" si="124"/>
        <v>1.3515369080570281</v>
      </c>
      <c r="AG305" s="36">
        <v>1.0000000000000001E-5</v>
      </c>
      <c r="AH305" s="36">
        <f t="shared" si="125"/>
        <v>7.7361621020559603</v>
      </c>
      <c r="AI305" s="36">
        <f t="shared" si="126"/>
        <v>0.11126772430212138</v>
      </c>
      <c r="AJ305" s="36">
        <f t="shared" si="127"/>
        <v>9.62673982312673</v>
      </c>
      <c r="AK305" s="36">
        <f>+S88*テーブル2[[#This Row],[F_form]]/(E88*CpFromTP((テーブル2[[#This Row],[Tin]]+テーブル2[[#This Row],[Tf]])/2,テーブル2[[#This Row],[P]])*AI88)</f>
        <v>2.1404737981210404</v>
      </c>
      <c r="AL305" s="36">
        <f t="shared" si="128"/>
        <v>1.1293676909872215</v>
      </c>
      <c r="AM305" s="36">
        <f t="shared" si="129"/>
        <v>580.25633509917213</v>
      </c>
      <c r="AN305" s="36">
        <f t="shared" si="130"/>
        <v>28.364738899351437</v>
      </c>
      <c r="AO305" s="36">
        <f t="shared" si="131"/>
        <v>-9.0881727130848221E-5</v>
      </c>
      <c r="AP305" s="36">
        <v>1</v>
      </c>
      <c r="AQ305" s="36">
        <f t="shared" si="132"/>
        <v>5.4530931276593132E-4</v>
      </c>
      <c r="AR305" s="36">
        <f t="shared" si="133"/>
        <v>-4.0440863565424111E-5</v>
      </c>
      <c r="AS305" s="36">
        <f t="shared" si="134"/>
        <v>-38.931367176690316</v>
      </c>
      <c r="AT305" s="36">
        <f t="shared" si="135"/>
        <v>-38.931367176690316</v>
      </c>
      <c r="AU305" s="36">
        <f t="shared" si="136"/>
        <v>-4.3318046297206356</v>
      </c>
      <c r="AV305" s="36">
        <f t="shared" si="137"/>
        <v>5.3318046297206356</v>
      </c>
      <c r="AW305" s="36">
        <f t="shared" si="138"/>
        <v>6.0651219290680326E-2</v>
      </c>
      <c r="AX305" s="36">
        <f t="shared" si="139"/>
        <v>0.39013939889107296</v>
      </c>
      <c r="AY305" s="36">
        <f t="shared" si="140"/>
        <v>4.941665230829563</v>
      </c>
      <c r="AZ305" s="36">
        <f t="shared" si="141"/>
        <v>1080577.7610325073</v>
      </c>
      <c r="BA305" s="36">
        <f t="shared" si="142"/>
        <v>5.4530931276593132E-4</v>
      </c>
      <c r="BB305" s="38">
        <f t="shared" si="143"/>
        <v>-112532205.92760666</v>
      </c>
      <c r="BC305" s="40">
        <f t="shared" si="144"/>
        <v>-116759356.52760665</v>
      </c>
      <c r="BD305" s="41">
        <f t="shared" si="145"/>
        <v>-2762.1290930019541</v>
      </c>
      <c r="BE305" s="38">
        <v>4227150.5999999996</v>
      </c>
      <c r="BF305" s="42">
        <f>テーブル2[[#This Row],[q_P]]/テーブル2[[#This Row],[q_M]]</f>
        <v>-26.621290930019544</v>
      </c>
      <c r="BG305" s="36">
        <v>1</v>
      </c>
      <c r="BH305" s="36">
        <v>-0.11899999999999999</v>
      </c>
      <c r="BI305" s="36">
        <v>4.5999999999999999E-2</v>
      </c>
      <c r="BJ305" s="36">
        <v>5625</v>
      </c>
      <c r="BK305" s="22">
        <v>1</v>
      </c>
      <c r="BL305" s="36">
        <f>テーブル2[[#This Row],[Ts]]-テーブル2[[#This Row],[Tin]]</f>
        <v>134.94320198506415</v>
      </c>
      <c r="BM305" s="36">
        <f>テーブル2[[#This Row],[q_P]]*0.000001</f>
        <v>-112.53220592760665</v>
      </c>
      <c r="BN305" s="36">
        <f>テーブル2[[#This Row],[Tsub]]</f>
        <v>134.94320198506415</v>
      </c>
      <c r="BO305" s="36">
        <f>テーブル2[[#This Row],[Fcorr]]</f>
        <v>1</v>
      </c>
      <c r="BP305" s="36">
        <f>(テーブル2[[#This Row],[Tsub]]-40)^2</f>
        <v>9014.2116031766891</v>
      </c>
      <c r="BQ305" s="36">
        <v>1</v>
      </c>
      <c r="BR305" s="36">
        <v>0.3175</v>
      </c>
    </row>
    <row r="306" spans="1:70" x14ac:dyDescent="0.15">
      <c r="A306" s="35" t="s">
        <v>321</v>
      </c>
      <c r="B306" s="36">
        <v>13789514.586336</v>
      </c>
      <c r="C306" s="22">
        <f>TsatFromP(テーブル2[[#This Row],[P]])</f>
        <v>608.62107399852357</v>
      </c>
      <c r="D306" s="36">
        <f>RhoGFromP(テーブル2[[#This Row],[P]])</f>
        <v>85.147847035840741</v>
      </c>
      <c r="E306" s="36">
        <f>RhoFFromP(テーブル2[[#This Row],[P]])</f>
        <v>624.86636713482415</v>
      </c>
      <c r="F306" s="36">
        <f>HgFromP(テーブル2[[#This Row],[P]])</f>
        <v>2643264.5206450778</v>
      </c>
      <c r="G306" s="36">
        <f>HfFromP(テーブル2[[#This Row],[P]])</f>
        <v>1562686.7596125705</v>
      </c>
      <c r="H306" s="36">
        <f>MuGFromP(テーブル2[[#This Row],[P]])</f>
        <v>2.2019591234371903E-5</v>
      </c>
      <c r="I306" s="36">
        <f>MuFFromP(テーブル2[[#This Row],[P]])</f>
        <v>7.222326555143516E-5</v>
      </c>
      <c r="J306" s="36">
        <f>KfFromP(テーブル2[[#This Row],[P]])</f>
        <v>0.49112131073334553</v>
      </c>
      <c r="K306" s="36">
        <f>CpFFromP(テーブル2[[#This Row],[P]])</f>
        <v>7679.7488518783057</v>
      </c>
      <c r="L306" s="36">
        <f>SigmaFromP(テーブル2[[#This Row],[P]])</f>
        <v>6.5036449518301549E-3</v>
      </c>
      <c r="M306" s="36">
        <v>188.01</v>
      </c>
      <c r="N306" s="36">
        <v>2047.9073000000001</v>
      </c>
      <c r="O306" s="37">
        <f t="shared" si="146"/>
        <v>1.7719053836560394E-5</v>
      </c>
      <c r="P306" s="37">
        <f t="shared" si="147"/>
        <v>1.4921936786020797E-2</v>
      </c>
      <c r="Q306" s="37">
        <v>4.7497999999999993E-3</v>
      </c>
      <c r="R306" s="36">
        <v>0.3175</v>
      </c>
      <c r="S306" s="38">
        <v>6372271.7999999998</v>
      </c>
      <c r="T306" s="36">
        <v>358.94773968325171</v>
      </c>
      <c r="U306" s="12">
        <f>+T306+BG306*S306*テーブル2[[#This Row],[Pw]]*R306/(N306*O306*K306)</f>
        <v>467.28188908078181</v>
      </c>
      <c r="V306" s="36">
        <v>0.03</v>
      </c>
      <c r="W306" s="37">
        <f t="shared" si="118"/>
        <v>134681.67105532807</v>
      </c>
      <c r="X306" s="36">
        <v>0.01</v>
      </c>
      <c r="Y306" s="36">
        <f t="shared" si="119"/>
        <v>10</v>
      </c>
      <c r="Z306" s="36">
        <f t="shared" si="120"/>
        <v>4.7659272470568954</v>
      </c>
      <c r="AA306" s="36">
        <f t="shared" si="121"/>
        <v>5.2340727529431046</v>
      </c>
      <c r="AB306" s="36">
        <f t="shared" si="122"/>
        <v>9.3023916184644691E-5</v>
      </c>
      <c r="AC306" s="36">
        <v>600</v>
      </c>
      <c r="AD306" s="36">
        <f t="shared" si="123"/>
        <v>2380.8580726189612</v>
      </c>
      <c r="AE306" s="36">
        <f>+gettm2(AD306,AC306,AK306,AL306,テーブル2[[#This Row],[Fcorr]])</f>
        <v>544.91207255955283</v>
      </c>
      <c r="AF306" s="39">
        <f t="shared" si="124"/>
        <v>77.630183478771016</v>
      </c>
      <c r="AG306" s="36">
        <v>1.0000000000000001E-5</v>
      </c>
      <c r="AH306" s="36">
        <f t="shared" si="125"/>
        <v>8.3896424299157175</v>
      </c>
      <c r="AI306" s="36">
        <f t="shared" si="126"/>
        <v>0.11587190599738158</v>
      </c>
      <c r="AJ306" s="36">
        <f t="shared" si="127"/>
        <v>10.025087677876803</v>
      </c>
      <c r="AK306" s="36">
        <f>+S88*テーブル2[[#This Row],[F_form]]/(E88*CpFromTP((テーブル2[[#This Row],[Tin]]+テーブル2[[#This Row],[Tf]])/2,テーブル2[[#This Row],[P]])*AI88)</f>
        <v>2.3418368818847441</v>
      </c>
      <c r="AL306" s="36">
        <f t="shared" si="128"/>
        <v>1.1293676909872215</v>
      </c>
      <c r="AM306" s="36">
        <f t="shared" si="129"/>
        <v>577.89481130852778</v>
      </c>
      <c r="AN306" s="36">
        <f t="shared" si="130"/>
        <v>30.726262689995792</v>
      </c>
      <c r="AO306" s="36">
        <f t="shared" si="131"/>
        <v>-8.3023916184644692E-5</v>
      </c>
      <c r="AP306" s="36">
        <v>1</v>
      </c>
      <c r="AQ306" s="36">
        <f t="shared" si="132"/>
        <v>5.4530931276593132E-4</v>
      </c>
      <c r="AR306" s="36">
        <f t="shared" si="133"/>
        <v>-3.6511958092322346E-5</v>
      </c>
      <c r="AS306" s="36">
        <f t="shared" si="134"/>
        <v>-36.603558116649488</v>
      </c>
      <c r="AT306" s="36">
        <f t="shared" si="135"/>
        <v>-36.603558116649488</v>
      </c>
      <c r="AU306" s="36">
        <f t="shared" si="136"/>
        <v>-4.241324045262103</v>
      </c>
      <c r="AV306" s="36">
        <f t="shared" si="137"/>
        <v>5.241324045262103</v>
      </c>
      <c r="AW306" s="36">
        <f t="shared" si="138"/>
        <v>5.5927015726790659E-2</v>
      </c>
      <c r="AX306" s="36">
        <f t="shared" si="139"/>
        <v>0.40628309815553115</v>
      </c>
      <c r="AY306" s="36">
        <f t="shared" si="140"/>
        <v>4.8350409471065721</v>
      </c>
      <c r="AZ306" s="36">
        <f t="shared" si="141"/>
        <v>1080577.7610325073</v>
      </c>
      <c r="BA306" s="36">
        <f t="shared" si="142"/>
        <v>5.4530931276593132E-4</v>
      </c>
      <c r="BB306" s="38">
        <f t="shared" si="143"/>
        <v>-102802452.46170634</v>
      </c>
      <c r="BC306" s="40">
        <f t="shared" si="144"/>
        <v>-109174724.26170634</v>
      </c>
      <c r="BD306" s="41">
        <f t="shared" si="145"/>
        <v>-1713.2778966161854</v>
      </c>
      <c r="BE306" s="38">
        <v>6372271.7999999998</v>
      </c>
      <c r="BF306" s="42">
        <f>テーブル2[[#This Row],[q_P]]/テーブル2[[#This Row],[q_M]]</f>
        <v>-16.132778966161855</v>
      </c>
      <c r="BG306" s="36">
        <v>1</v>
      </c>
      <c r="BH306" s="36">
        <v>-0.33500000000000002</v>
      </c>
      <c r="BI306" s="36">
        <v>4.5999999999999999E-2</v>
      </c>
      <c r="BJ306" s="36">
        <v>5625</v>
      </c>
      <c r="BK306" s="22">
        <v>1</v>
      </c>
      <c r="BL306" s="36">
        <f>テーブル2[[#This Row],[Ts]]-テーブル2[[#This Row],[Tin]]</f>
        <v>249.67333431527186</v>
      </c>
      <c r="BM306" s="36">
        <f>テーブル2[[#This Row],[q_P]]*0.000001</f>
        <v>-102.80245246170634</v>
      </c>
      <c r="BN306" s="36">
        <f>テーブル2[[#This Row],[Tsub]]</f>
        <v>249.67333431527186</v>
      </c>
      <c r="BO306" s="36">
        <f>テーブル2[[#This Row],[Fcorr]]</f>
        <v>1</v>
      </c>
      <c r="BP306" s="36">
        <f>(テーブル2[[#This Row],[Tsub]]-40)^2</f>
        <v>43962.907122883757</v>
      </c>
      <c r="BQ306" s="36">
        <v>1</v>
      </c>
      <c r="BR306" s="36">
        <v>0.3175</v>
      </c>
    </row>
    <row r="307" spans="1:70" x14ac:dyDescent="0.15">
      <c r="A307" s="35" t="s">
        <v>80</v>
      </c>
      <c r="B307" s="36">
        <v>13789514.586336</v>
      </c>
      <c r="C307" s="22">
        <f>TsatFromP(テーブル2[[#This Row],[P]])</f>
        <v>608.62107399852357</v>
      </c>
      <c r="D307" s="36">
        <f>RhoGFromP(テーブル2[[#This Row],[P]])</f>
        <v>85.147847035840741</v>
      </c>
      <c r="E307" s="36">
        <f>RhoFFromP(テーブル2[[#This Row],[P]])</f>
        <v>624.86636713482415</v>
      </c>
      <c r="F307" s="36">
        <f>HgFromP(テーブル2[[#This Row],[P]])</f>
        <v>2643264.5206450778</v>
      </c>
      <c r="G307" s="36">
        <f>HfFromP(テーブル2[[#This Row],[P]])</f>
        <v>1562686.7596125705</v>
      </c>
      <c r="H307" s="36">
        <f>MuGFromP(テーブル2[[#This Row],[P]])</f>
        <v>2.2019591234371903E-5</v>
      </c>
      <c r="I307" s="36">
        <f>MuFFromP(テーブル2[[#This Row],[P]])</f>
        <v>7.222326555143516E-5</v>
      </c>
      <c r="J307" s="36">
        <f>KfFromP(テーブル2[[#This Row],[P]])</f>
        <v>0.49112131073334553</v>
      </c>
      <c r="K307" s="36">
        <f>CpFFromP(テーブル2[[#This Row],[P]])</f>
        <v>7679.7488518783057</v>
      </c>
      <c r="L307" s="36">
        <f>SigmaFromP(テーブル2[[#This Row],[P]])</f>
        <v>6.5036449518301549E-3</v>
      </c>
      <c r="M307" s="36">
        <v>19.010000000000002</v>
      </c>
      <c r="N307" s="36">
        <v>3851.6932000000002</v>
      </c>
      <c r="O307" s="37">
        <f t="shared" si="146"/>
        <v>2.8502295699234246E-6</v>
      </c>
      <c r="P307" s="37">
        <f t="shared" si="147"/>
        <v>5.9847340050885557E-3</v>
      </c>
      <c r="Q307" s="37">
        <v>1.905E-3</v>
      </c>
      <c r="R307" s="36">
        <v>0.15240000000000001</v>
      </c>
      <c r="S307" s="38">
        <v>4858068.6000000006</v>
      </c>
      <c r="T307" s="36">
        <v>534.31026207362163</v>
      </c>
      <c r="U307" s="12">
        <f>+T307+BG307*S307*テーブル2[[#This Row],[Pw]]*R307/(N307*O307*K307)</f>
        <v>586.86536813825546</v>
      </c>
      <c r="V307" s="36">
        <v>0.03</v>
      </c>
      <c r="W307" s="37">
        <f t="shared" si="118"/>
        <v>101594.34761052833</v>
      </c>
      <c r="X307" s="36">
        <v>0.01</v>
      </c>
      <c r="Y307" s="36">
        <f t="shared" si="119"/>
        <v>10</v>
      </c>
      <c r="Z307" s="36">
        <f t="shared" si="120"/>
        <v>5.0358739450143641</v>
      </c>
      <c r="AA307" s="36">
        <f t="shared" si="121"/>
        <v>4.9641260549856359</v>
      </c>
      <c r="AB307" s="36">
        <f t="shared" si="122"/>
        <v>2.6297340717690982E-5</v>
      </c>
      <c r="AC307" s="36">
        <v>600</v>
      </c>
      <c r="AD307" s="36">
        <f t="shared" si="123"/>
        <v>1795.9513031406977</v>
      </c>
      <c r="AE307" s="36">
        <f>+gettm2(AD307,AC307,AK307,AL307,テーブル2[[#This Row],[Fcorr]])</f>
        <v>556.512001266119</v>
      </c>
      <c r="AF307" s="39">
        <f t="shared" si="124"/>
        <v>-30.353366872136462</v>
      </c>
      <c r="AG307" s="36">
        <v>1.0000000000000001E-5</v>
      </c>
      <c r="AH307" s="36">
        <f t="shared" si="125"/>
        <v>29.677426421090395</v>
      </c>
      <c r="AI307" s="36">
        <f t="shared" si="126"/>
        <v>0.21793126690898257</v>
      </c>
      <c r="AJ307" s="36">
        <f t="shared" si="127"/>
        <v>18.855131791503389</v>
      </c>
      <c r="AK307" s="36">
        <f>+S88*テーブル2[[#This Row],[F_form]]/(E88*CpFromTP((テーブル2[[#This Row],[Tin]]+テーブル2[[#This Row],[Tf]])/2,テーブル2[[#This Row],[P]])*AI88)</f>
        <v>1.9066110942439087</v>
      </c>
      <c r="AL307" s="36">
        <f t="shared" si="128"/>
        <v>1.1293676909872215</v>
      </c>
      <c r="AM307" s="36">
        <f t="shared" si="129"/>
        <v>575.71429451599533</v>
      </c>
      <c r="AN307" s="36">
        <f t="shared" si="130"/>
        <v>32.906779482528236</v>
      </c>
      <c r="AO307" s="36">
        <f t="shared" si="131"/>
        <v>-1.6297340717690982E-5</v>
      </c>
      <c r="AP307" s="36">
        <v>1</v>
      </c>
      <c r="AQ307" s="36">
        <f t="shared" si="132"/>
        <v>5.4530931276593132E-4</v>
      </c>
      <c r="AR307" s="36">
        <f t="shared" si="133"/>
        <v>-3.1486703588454916E-6</v>
      </c>
      <c r="AS307" s="36">
        <f t="shared" si="134"/>
        <v>-5.9368594584032008</v>
      </c>
      <c r="AT307" s="36">
        <f t="shared" si="135"/>
        <v>-5.9368594584032008</v>
      </c>
      <c r="AU307" s="36">
        <f t="shared" si="136"/>
        <v>-1.2938273032303858</v>
      </c>
      <c r="AV307" s="36">
        <f t="shared" si="137"/>
        <v>2.293827303230386</v>
      </c>
      <c r="AW307" s="36">
        <f t="shared" si="138"/>
        <v>1.5810254483070742E-2</v>
      </c>
      <c r="AX307" s="36">
        <f t="shared" si="139"/>
        <v>0.76413509851768768</v>
      </c>
      <c r="AY307" s="36">
        <f t="shared" si="140"/>
        <v>1.5296922047126982</v>
      </c>
      <c r="AZ307" s="36">
        <f t="shared" si="141"/>
        <v>1080577.7610325073</v>
      </c>
      <c r="BA307" s="36">
        <f t="shared" si="142"/>
        <v>5.4530931276593132E-4</v>
      </c>
      <c r="BB307" s="38">
        <f t="shared" si="143"/>
        <v>-20179806.872233827</v>
      </c>
      <c r="BC307" s="40">
        <f t="shared" si="144"/>
        <v>-25037875.472233828</v>
      </c>
      <c r="BD307" s="41">
        <f t="shared" si="145"/>
        <v>-515.38744167247512</v>
      </c>
      <c r="BE307" s="38">
        <v>4858068.6000000006</v>
      </c>
      <c r="BF307" s="42">
        <f>テーブル2[[#This Row],[q_P]]/テーブル2[[#This Row],[q_M]]</f>
        <v>-4.1538744167247499</v>
      </c>
      <c r="BG307" s="36">
        <v>1</v>
      </c>
      <c r="BH307" s="36">
        <v>-1.7999999999999999E-2</v>
      </c>
      <c r="BI307" s="36">
        <v>4.5999999999999999E-2</v>
      </c>
      <c r="BJ307" s="36">
        <v>5625</v>
      </c>
      <c r="BK307" s="22">
        <v>1</v>
      </c>
      <c r="BL307" s="36">
        <f>テーブル2[[#This Row],[Ts]]-テーブル2[[#This Row],[Tin]]</f>
        <v>74.310811924901941</v>
      </c>
      <c r="BM307" s="36">
        <f>テーブル2[[#This Row],[q_P]]*0.000001</f>
        <v>-20.179806872233826</v>
      </c>
      <c r="BN307" s="36">
        <f>テーブル2[[#This Row],[Tsub]]</f>
        <v>74.310811924901941</v>
      </c>
      <c r="BO307" s="36">
        <f>テーブル2[[#This Row],[Fcorr]]</f>
        <v>1</v>
      </c>
      <c r="BP307" s="36">
        <f>(テーブル2[[#This Row],[Tsub]]-40)^2</f>
        <v>1177.2318149459932</v>
      </c>
      <c r="BQ307" s="36">
        <v>1</v>
      </c>
      <c r="BR307" s="36">
        <v>0.15240000000000001</v>
      </c>
    </row>
    <row r="308" spans="1:70" x14ac:dyDescent="0.15">
      <c r="A308" s="35" t="s">
        <v>128</v>
      </c>
      <c r="B308" s="36">
        <v>13789514.586336</v>
      </c>
      <c r="C308" s="22">
        <f>TsatFromP(テーブル2[[#This Row],[P]])</f>
        <v>608.62107399852357</v>
      </c>
      <c r="D308" s="36">
        <f>RhoGFromP(テーブル2[[#This Row],[P]])</f>
        <v>85.147847035840741</v>
      </c>
      <c r="E308" s="36">
        <f>RhoFFromP(テーブル2[[#This Row],[P]])</f>
        <v>624.86636713482415</v>
      </c>
      <c r="F308" s="36">
        <f>HgFromP(テーブル2[[#This Row],[P]])</f>
        <v>2643264.5206450778</v>
      </c>
      <c r="G308" s="36">
        <f>HfFromP(テーブル2[[#This Row],[P]])</f>
        <v>1562686.7596125705</v>
      </c>
      <c r="H308" s="36">
        <f>MuGFromP(テーブル2[[#This Row],[P]])</f>
        <v>2.2019591234371903E-5</v>
      </c>
      <c r="I308" s="36">
        <f>MuFFromP(テーブル2[[#This Row],[P]])</f>
        <v>7.222326555143516E-5</v>
      </c>
      <c r="J308" s="36">
        <f>KfFromP(テーブル2[[#This Row],[P]])</f>
        <v>0.49112131073334553</v>
      </c>
      <c r="K308" s="36">
        <f>CpFFromP(テーブル2[[#This Row],[P]])</f>
        <v>7679.7488518783057</v>
      </c>
      <c r="L308" s="36">
        <f>SigmaFromP(テーブル2[[#This Row],[P]])</f>
        <v>6.5036449518301549E-3</v>
      </c>
      <c r="M308" s="36">
        <v>196.01</v>
      </c>
      <c r="N308" s="36">
        <v>3037.9551999999999</v>
      </c>
      <c r="O308" s="37">
        <f t="shared" si="146"/>
        <v>1.7719053836560394E-5</v>
      </c>
      <c r="P308" s="37">
        <f t="shared" si="147"/>
        <v>1.4921936786020797E-2</v>
      </c>
      <c r="Q308" s="37">
        <v>4.7497999999999993E-3</v>
      </c>
      <c r="R308" s="36">
        <v>0.3175</v>
      </c>
      <c r="S308" s="38">
        <v>4296551.58</v>
      </c>
      <c r="T308" s="36">
        <v>546.76151790755898</v>
      </c>
      <c r="U308" s="12">
        <f>+T308+BG308*S308*テーブル2[[#This Row],[Pw]]*R308/(N308*O308*K308)</f>
        <v>596.0017447317166</v>
      </c>
      <c r="V308" s="36">
        <v>0.03</v>
      </c>
      <c r="W308" s="37">
        <f t="shared" si="118"/>
        <v>199792.67759200986</v>
      </c>
      <c r="X308" s="36">
        <v>0.01</v>
      </c>
      <c r="Y308" s="36">
        <f t="shared" si="119"/>
        <v>10</v>
      </c>
      <c r="Z308" s="36">
        <f t="shared" si="120"/>
        <v>5.4322645312642548</v>
      </c>
      <c r="AA308" s="36">
        <f t="shared" si="121"/>
        <v>4.5677354687357452</v>
      </c>
      <c r="AB308" s="36">
        <f t="shared" si="122"/>
        <v>4.2271968927895493E-5</v>
      </c>
      <c r="AC308" s="36">
        <v>600</v>
      </c>
      <c r="AD308" s="36">
        <f t="shared" si="123"/>
        <v>3531.8689289181939</v>
      </c>
      <c r="AE308" s="36">
        <f>+gettm2(AD308,AC308,AK308,AL308,テーブル2[[#This Row],[Fcorr]])</f>
        <v>555.17171760703764</v>
      </c>
      <c r="AF308" s="39">
        <f t="shared" si="124"/>
        <v>-40.830027124678963</v>
      </c>
      <c r="AG308" s="36">
        <v>1.0000000000000001E-5</v>
      </c>
      <c r="AH308" s="36">
        <f t="shared" si="125"/>
        <v>18.462291064578348</v>
      </c>
      <c r="AI308" s="36">
        <f t="shared" si="126"/>
        <v>0.17188944995638061</v>
      </c>
      <c r="AJ308" s="36">
        <f t="shared" si="127"/>
        <v>14.871653244002673</v>
      </c>
      <c r="AK308" s="36">
        <f>+S88*テーブル2[[#This Row],[F_form]]/(E88*CpFromTP((テーブル2[[#This Row],[Tin]]+テーブル2[[#This Row],[Tf]])/2,テーブル2[[#This Row],[P]])*AI88)</f>
        <v>1.8283215079645221</v>
      </c>
      <c r="AL308" s="36">
        <f t="shared" si="128"/>
        <v>1.1293676909872215</v>
      </c>
      <c r="AM308" s="36">
        <f t="shared" si="129"/>
        <v>578.95811329261812</v>
      </c>
      <c r="AN308" s="36">
        <f t="shared" si="130"/>
        <v>29.662960705905448</v>
      </c>
      <c r="AO308" s="36">
        <f t="shared" si="131"/>
        <v>-3.2271968927895494E-5</v>
      </c>
      <c r="AP308" s="36">
        <v>1</v>
      </c>
      <c r="AQ308" s="36">
        <f t="shared" si="132"/>
        <v>5.4530931276593132E-4</v>
      </c>
      <c r="AR308" s="36">
        <f t="shared" si="133"/>
        <v>-1.1135984463947748E-5</v>
      </c>
      <c r="AS308" s="36">
        <f t="shared" si="134"/>
        <v>-16.561049947843188</v>
      </c>
      <c r="AT308" s="36">
        <f t="shared" si="135"/>
        <v>-16.561049947843188</v>
      </c>
      <c r="AU308" s="36">
        <f t="shared" si="136"/>
        <v>-2.8466697662349114</v>
      </c>
      <c r="AV308" s="36">
        <f t="shared" si="137"/>
        <v>3.8466697662349114</v>
      </c>
      <c r="AW308" s="36">
        <f t="shared" si="138"/>
        <v>2.5414379097308558E-2</v>
      </c>
      <c r="AX308" s="36">
        <f t="shared" si="139"/>
        <v>0.60269810587310568</v>
      </c>
      <c r="AY308" s="36">
        <f t="shared" si="140"/>
        <v>3.2439716603618058</v>
      </c>
      <c r="AZ308" s="36">
        <f t="shared" si="141"/>
        <v>1080577.7610325073</v>
      </c>
      <c r="BA308" s="36">
        <f t="shared" si="142"/>
        <v>5.4530931276593132E-4</v>
      </c>
      <c r="BB308" s="38">
        <f t="shared" si="143"/>
        <v>-39960022.413026564</v>
      </c>
      <c r="BC308" s="40">
        <f t="shared" si="144"/>
        <v>-44256573.993026562</v>
      </c>
      <c r="BD308" s="41">
        <f t="shared" si="145"/>
        <v>-1030.0487069452697</v>
      </c>
      <c r="BE308" s="38">
        <v>4296551.58</v>
      </c>
      <c r="BF308" s="42">
        <f>テーブル2[[#This Row],[q_P]]/テーブル2[[#This Row],[q_M]]</f>
        <v>-9.3004870694526982</v>
      </c>
      <c r="BG308" s="36">
        <v>1</v>
      </c>
      <c r="BH308" s="36">
        <v>1.4999999999999999E-2</v>
      </c>
      <c r="BI308" s="36">
        <v>4.5999999999999999E-2</v>
      </c>
      <c r="BJ308" s="36">
        <v>5625</v>
      </c>
      <c r="BK308" s="22">
        <v>1</v>
      </c>
      <c r="BL308" s="36">
        <f>テーブル2[[#This Row],[Ts]]-テーブル2[[#This Row],[Tin]]</f>
        <v>61.859556090964588</v>
      </c>
      <c r="BM308" s="36">
        <f>テーブル2[[#This Row],[q_P]]*0.000001</f>
        <v>-39.960022413026564</v>
      </c>
      <c r="BN308" s="36">
        <f>テーブル2[[#This Row],[Tsub]]</f>
        <v>61.859556090964588</v>
      </c>
      <c r="BO308" s="36">
        <f>テーブル2[[#This Row],[Fcorr]]</f>
        <v>1</v>
      </c>
      <c r="BP308" s="36">
        <f>(テーブル2[[#This Row],[Tsub]]-40)^2</f>
        <v>477.84019249402701</v>
      </c>
      <c r="BQ308" s="36">
        <v>1</v>
      </c>
      <c r="BR308" s="36">
        <v>0.3175</v>
      </c>
    </row>
    <row r="309" spans="1:70" x14ac:dyDescent="0.15">
      <c r="A309" s="35" t="s">
        <v>129</v>
      </c>
      <c r="B309" s="36">
        <v>13789514.586336</v>
      </c>
      <c r="C309" s="22">
        <f>TsatFromP(テーブル2[[#This Row],[P]])</f>
        <v>608.62107399852357</v>
      </c>
      <c r="D309" s="36">
        <f>RhoGFromP(テーブル2[[#This Row],[P]])</f>
        <v>85.147847035840741</v>
      </c>
      <c r="E309" s="36">
        <f>RhoFFromP(テーブル2[[#This Row],[P]])</f>
        <v>624.86636713482415</v>
      </c>
      <c r="F309" s="36">
        <f>HgFromP(テーブル2[[#This Row],[P]])</f>
        <v>2643264.5206450778</v>
      </c>
      <c r="G309" s="36">
        <f>HfFromP(テーブル2[[#This Row],[P]])</f>
        <v>1562686.7596125705</v>
      </c>
      <c r="H309" s="36">
        <f>MuGFromP(テーブル2[[#This Row],[P]])</f>
        <v>2.2019591234371903E-5</v>
      </c>
      <c r="I309" s="36">
        <f>MuFFromP(テーブル2[[#This Row],[P]])</f>
        <v>7.222326555143516E-5</v>
      </c>
      <c r="J309" s="36">
        <f>KfFromP(テーブル2[[#This Row],[P]])</f>
        <v>0.49112131073334553</v>
      </c>
      <c r="K309" s="36">
        <f>CpFFromP(テーブル2[[#This Row],[P]])</f>
        <v>7679.7488518783057</v>
      </c>
      <c r="L309" s="36">
        <f>SigmaFromP(テーブル2[[#This Row],[P]])</f>
        <v>6.5036449518301549E-3</v>
      </c>
      <c r="M309" s="36">
        <v>197.01</v>
      </c>
      <c r="N309" s="36">
        <v>3241.3897000000002</v>
      </c>
      <c r="O309" s="37">
        <f t="shared" si="146"/>
        <v>1.7719053836560394E-5</v>
      </c>
      <c r="P309" s="37">
        <f t="shared" si="147"/>
        <v>1.4921936786020797E-2</v>
      </c>
      <c r="Q309" s="37">
        <v>4.7497999999999993E-3</v>
      </c>
      <c r="R309" s="36">
        <v>0.3175</v>
      </c>
      <c r="S309" s="38">
        <v>5015798.0999999996</v>
      </c>
      <c r="T309" s="36">
        <v>533.15949698557142</v>
      </c>
      <c r="U309" s="12">
        <f>+T309+BG309*S309*テーブル2[[#This Row],[Pw]]*R309/(N309*O309*K309)</f>
        <v>587.03485621514392</v>
      </c>
      <c r="V309" s="36">
        <v>0.03</v>
      </c>
      <c r="W309" s="37">
        <f t="shared" si="118"/>
        <v>213171.65153790338</v>
      </c>
      <c r="X309" s="36">
        <v>0.01</v>
      </c>
      <c r="Y309" s="36">
        <f t="shared" si="119"/>
        <v>10</v>
      </c>
      <c r="Z309" s="36">
        <f t="shared" si="120"/>
        <v>5.5410615471967724</v>
      </c>
      <c r="AA309" s="36">
        <f t="shared" si="121"/>
        <v>4.4589384528032276</v>
      </c>
      <c r="AB309" s="36">
        <f t="shared" si="122"/>
        <v>3.7132373609111953E-5</v>
      </c>
      <c r="AC309" s="36">
        <v>600</v>
      </c>
      <c r="AD309" s="36">
        <f t="shared" si="123"/>
        <v>3768.3780089796796</v>
      </c>
      <c r="AE309" s="36">
        <f>+gettm2(AD309,AC309,AK309,AL309,テーブル2[[#This Row],[Fcorr]])</f>
        <v>552.86093258882272</v>
      </c>
      <c r="AF309" s="39">
        <f t="shared" si="124"/>
        <v>-34.173923626321198</v>
      </c>
      <c r="AG309" s="36">
        <v>1.0000000000000001E-5</v>
      </c>
      <c r="AH309" s="36">
        <f t="shared" si="125"/>
        <v>21.017708225043449</v>
      </c>
      <c r="AI309" s="36">
        <f t="shared" si="126"/>
        <v>0.18339990419453109</v>
      </c>
      <c r="AJ309" s="36">
        <f t="shared" si="127"/>
        <v>15.86752288087785</v>
      </c>
      <c r="AK309" s="36">
        <f>+S88*テーブル2[[#This Row],[F_form]]/(E88*CpFromTP((テーブル2[[#This Row],[Tin]]+テーブル2[[#This Row],[Tf]])/2,テーブル2[[#This Row],[P]])*AI88)</f>
        <v>1.9098485169174204</v>
      </c>
      <c r="AL309" s="36">
        <f t="shared" si="128"/>
        <v>1.1293676909872215</v>
      </c>
      <c r="AM309" s="36">
        <f t="shared" si="129"/>
        <v>577.37689687659565</v>
      </c>
      <c r="AN309" s="36">
        <f t="shared" si="130"/>
        <v>31.244177121927919</v>
      </c>
      <c r="AO309" s="36">
        <f t="shared" si="131"/>
        <v>-2.7132373609111954E-5</v>
      </c>
      <c r="AP309" s="36">
        <v>1</v>
      </c>
      <c r="AQ309" s="36">
        <f t="shared" si="132"/>
        <v>5.4530931276593132E-4</v>
      </c>
      <c r="AR309" s="36">
        <f t="shared" si="133"/>
        <v>-8.5661868045559774E-6</v>
      </c>
      <c r="AS309" s="36">
        <f t="shared" si="134"/>
        <v>-13.592416512316589</v>
      </c>
      <c r="AT309" s="36">
        <f t="shared" si="135"/>
        <v>-13.592416512316589</v>
      </c>
      <c r="AU309" s="36">
        <f t="shared" si="136"/>
        <v>-2.4928478861310248</v>
      </c>
      <c r="AV309" s="36">
        <f t="shared" si="137"/>
        <v>3.4928478861310248</v>
      </c>
      <c r="AW309" s="36">
        <f t="shared" si="138"/>
        <v>2.2324397079647659E-2</v>
      </c>
      <c r="AX309" s="36">
        <f t="shared" si="139"/>
        <v>0.64305735403425124</v>
      </c>
      <c r="AY309" s="36">
        <f t="shared" si="140"/>
        <v>2.8497905320967734</v>
      </c>
      <c r="AZ309" s="36">
        <f t="shared" si="141"/>
        <v>1080577.7610325073</v>
      </c>
      <c r="BA309" s="36">
        <f t="shared" si="142"/>
        <v>5.4530931276593132E-4</v>
      </c>
      <c r="BB309" s="38">
        <f t="shared" si="143"/>
        <v>-33596036.856664985</v>
      </c>
      <c r="BC309" s="40">
        <f t="shared" si="144"/>
        <v>-38611834.956664987</v>
      </c>
      <c r="BD309" s="41">
        <f t="shared" si="145"/>
        <v>-769.80440972424685</v>
      </c>
      <c r="BE309" s="38">
        <v>5015798.0999999996</v>
      </c>
      <c r="BF309" s="42">
        <f>テーブル2[[#This Row],[q_P]]/テーブル2[[#This Row],[q_M]]</f>
        <v>-6.6980440972424686</v>
      </c>
      <c r="BG309" s="36">
        <v>1</v>
      </c>
      <c r="BH309" s="36">
        <v>-1.4E-2</v>
      </c>
      <c r="BI309" s="36">
        <v>4.5999999999999999E-2</v>
      </c>
      <c r="BJ309" s="36">
        <v>5625</v>
      </c>
      <c r="BK309" s="22">
        <v>1</v>
      </c>
      <c r="BL309" s="36">
        <f>テーブル2[[#This Row],[Ts]]-テーブル2[[#This Row],[Tin]]</f>
        <v>75.461577012952148</v>
      </c>
      <c r="BM309" s="36">
        <f>テーブル2[[#This Row],[q_P]]*0.000001</f>
        <v>-33.596036856664981</v>
      </c>
      <c r="BN309" s="36">
        <f>テーブル2[[#This Row],[Tsub]]</f>
        <v>75.461577012952148</v>
      </c>
      <c r="BO309" s="36">
        <f>テーブル2[[#This Row],[Fcorr]]</f>
        <v>1</v>
      </c>
      <c r="BP309" s="36">
        <f>(テーブル2[[#This Row],[Tsub]]-40)^2</f>
        <v>1257.5234442455362</v>
      </c>
      <c r="BQ309" s="36">
        <v>1</v>
      </c>
      <c r="BR309" s="36">
        <v>0.3175</v>
      </c>
    </row>
    <row r="310" spans="1:70" x14ac:dyDescent="0.15">
      <c r="A310" s="35" t="s">
        <v>130</v>
      </c>
      <c r="B310" s="36">
        <v>13789514.586336</v>
      </c>
      <c r="C310" s="22">
        <f>TsatFromP(テーブル2[[#This Row],[P]])</f>
        <v>608.62107399852357</v>
      </c>
      <c r="D310" s="36">
        <f>RhoGFromP(テーブル2[[#This Row],[P]])</f>
        <v>85.147847035840741</v>
      </c>
      <c r="E310" s="36">
        <f>RhoFFromP(テーブル2[[#This Row],[P]])</f>
        <v>624.86636713482415</v>
      </c>
      <c r="F310" s="36">
        <f>HgFromP(テーブル2[[#This Row],[P]])</f>
        <v>2643264.5206450778</v>
      </c>
      <c r="G310" s="36">
        <f>HfFromP(テーブル2[[#This Row],[P]])</f>
        <v>1562686.7596125705</v>
      </c>
      <c r="H310" s="36">
        <f>MuGFromP(テーブル2[[#This Row],[P]])</f>
        <v>2.2019591234371903E-5</v>
      </c>
      <c r="I310" s="36">
        <f>MuFFromP(テーブル2[[#This Row],[P]])</f>
        <v>7.222326555143516E-5</v>
      </c>
      <c r="J310" s="36">
        <f>KfFromP(テーブル2[[#This Row],[P]])</f>
        <v>0.49112131073334553</v>
      </c>
      <c r="K310" s="36">
        <f>CpFFromP(テーブル2[[#This Row],[P]])</f>
        <v>7679.7488518783057</v>
      </c>
      <c r="L310" s="36">
        <f>SigmaFromP(テーブル2[[#This Row],[P]])</f>
        <v>6.5036449518301549E-3</v>
      </c>
      <c r="M310" s="36">
        <v>198.01</v>
      </c>
      <c r="N310" s="36">
        <v>3254.9520000000002</v>
      </c>
      <c r="O310" s="37">
        <f t="shared" si="146"/>
        <v>1.7719053836560394E-5</v>
      </c>
      <c r="P310" s="37">
        <f t="shared" si="147"/>
        <v>1.4921936786020797E-2</v>
      </c>
      <c r="Q310" s="37">
        <v>4.7497999999999993E-3</v>
      </c>
      <c r="R310" s="36">
        <v>0.3175</v>
      </c>
      <c r="S310" s="38">
        <v>4100967</v>
      </c>
      <c r="T310" s="36">
        <v>532.05389746632522</v>
      </c>
      <c r="U310" s="12">
        <f>+T310+BG310*S310*テーブル2[[#This Row],[Pw]]*R310/(N310*O310*K310)</f>
        <v>575.9193956650364</v>
      </c>
      <c r="V310" s="36">
        <v>0.03</v>
      </c>
      <c r="W310" s="37">
        <f t="shared" si="118"/>
        <v>214063.58313429632</v>
      </c>
      <c r="X310" s="36">
        <v>0.01</v>
      </c>
      <c r="Y310" s="36">
        <f t="shared" si="119"/>
        <v>10</v>
      </c>
      <c r="Z310" s="36">
        <f t="shared" si="120"/>
        <v>5.5480620001866079</v>
      </c>
      <c r="AA310" s="36">
        <f t="shared" si="121"/>
        <v>4.4519379998133921</v>
      </c>
      <c r="AB310" s="36">
        <f t="shared" si="122"/>
        <v>3.6823581821633396E-5</v>
      </c>
      <c r="AC310" s="36">
        <v>600</v>
      </c>
      <c r="AD310" s="36">
        <f t="shared" si="123"/>
        <v>3784.1452809837797</v>
      </c>
      <c r="AE310" s="36">
        <f>+gettm2(AD310,AC310,AK310,AL310,テーブル2[[#This Row],[Fcorr]])</f>
        <v>551.89955667698598</v>
      </c>
      <c r="AF310" s="39">
        <f t="shared" si="124"/>
        <v>-24.019838988050424</v>
      </c>
      <c r="AG310" s="36">
        <v>1.0000000000000001E-5</v>
      </c>
      <c r="AH310" s="36">
        <f t="shared" si="125"/>
        <v>21.193956579235358</v>
      </c>
      <c r="AI310" s="36">
        <f t="shared" si="126"/>
        <v>0.18416726781040782</v>
      </c>
      <c r="AJ310" s="36">
        <f t="shared" si="127"/>
        <v>15.933914190002866</v>
      </c>
      <c r="AK310" s="36">
        <f>+S88*テーブル2[[#This Row],[F_form]]/(E88*CpFromTP((テーブル2[[#This Row],[Tin]]+テーブル2[[#This Row],[Tf]])/2,テーブル2[[#This Row],[P]])*AI88)</f>
        <v>1.947968955951435</v>
      </c>
      <c r="AL310" s="36">
        <f t="shared" si="128"/>
        <v>1.1293676909872215</v>
      </c>
      <c r="AM310" s="36">
        <f t="shared" si="129"/>
        <v>576.88315431381511</v>
      </c>
      <c r="AN310" s="36">
        <f t="shared" si="130"/>
        <v>31.737919684708459</v>
      </c>
      <c r="AO310" s="36">
        <f t="shared" si="131"/>
        <v>-2.6823581821633397E-5</v>
      </c>
      <c r="AP310" s="36">
        <v>1</v>
      </c>
      <c r="AQ310" s="36">
        <f t="shared" si="132"/>
        <v>5.4530931276593132E-4</v>
      </c>
      <c r="AR310" s="36">
        <f t="shared" si="133"/>
        <v>-8.4117909108166989E-6</v>
      </c>
      <c r="AS310" s="36">
        <f t="shared" si="134"/>
        <v>-13.403275455719932</v>
      </c>
      <c r="AT310" s="36">
        <f t="shared" si="135"/>
        <v>-13.403275455719932</v>
      </c>
      <c r="AU310" s="36">
        <f t="shared" si="136"/>
        <v>-2.4684446203902386</v>
      </c>
      <c r="AV310" s="36">
        <f t="shared" si="137"/>
        <v>3.4684446203902386</v>
      </c>
      <c r="AW310" s="36">
        <f t="shared" si="138"/>
        <v>2.2138748013655448E-2</v>
      </c>
      <c r="AX310" s="36">
        <f t="shared" si="139"/>
        <v>0.64574797057832756</v>
      </c>
      <c r="AY310" s="36">
        <f t="shared" si="140"/>
        <v>2.822696649811911</v>
      </c>
      <c r="AZ310" s="36">
        <f t="shared" si="141"/>
        <v>1080577.7610325073</v>
      </c>
      <c r="BA310" s="36">
        <f t="shared" si="142"/>
        <v>5.4530931276593132E-4</v>
      </c>
      <c r="BB310" s="38">
        <f t="shared" si="143"/>
        <v>-33213682.536227603</v>
      </c>
      <c r="BC310" s="40">
        <f t="shared" si="144"/>
        <v>-37314649.536227599</v>
      </c>
      <c r="BD310" s="41">
        <f t="shared" si="145"/>
        <v>-909.89880036166096</v>
      </c>
      <c r="BE310" s="38">
        <v>4100967</v>
      </c>
      <c r="BF310" s="42">
        <f>テーブル2[[#This Row],[q_P]]/テーブル2[[#This Row],[q_M]]</f>
        <v>-8.0989880036166113</v>
      </c>
      <c r="BG310" s="36">
        <v>1</v>
      </c>
      <c r="BH310" s="36">
        <v>-0.09</v>
      </c>
      <c r="BI310" s="36">
        <v>4.5999999999999999E-2</v>
      </c>
      <c r="BJ310" s="36">
        <v>5625</v>
      </c>
      <c r="BK310" s="22">
        <v>1</v>
      </c>
      <c r="BL310" s="36">
        <f>テーブル2[[#This Row],[Ts]]-テーブル2[[#This Row],[Tin]]</f>
        <v>76.567176532198346</v>
      </c>
      <c r="BM310" s="36">
        <f>テーブル2[[#This Row],[q_P]]*0.000001</f>
        <v>-33.213682536227601</v>
      </c>
      <c r="BN310" s="36">
        <f>テーブル2[[#This Row],[Tsub]]</f>
        <v>76.567176532198346</v>
      </c>
      <c r="BO310" s="36">
        <f>テーブル2[[#This Row],[Fcorr]]</f>
        <v>1</v>
      </c>
      <c r="BP310" s="36">
        <f>(テーブル2[[#This Row],[Tsub]]-40)^2</f>
        <v>1337.1583995369574</v>
      </c>
      <c r="BQ310" s="36">
        <v>1</v>
      </c>
      <c r="BR310" s="36">
        <v>0.3175</v>
      </c>
    </row>
    <row r="311" spans="1:70" x14ac:dyDescent="0.15">
      <c r="A311" s="35" t="s">
        <v>131</v>
      </c>
      <c r="B311" s="36">
        <v>13789514.586336</v>
      </c>
      <c r="C311" s="22">
        <f>TsatFromP(テーブル2[[#This Row],[P]])</f>
        <v>608.62107399852357</v>
      </c>
      <c r="D311" s="36">
        <f>RhoGFromP(テーブル2[[#This Row],[P]])</f>
        <v>85.147847035840741</v>
      </c>
      <c r="E311" s="36">
        <f>RhoFFromP(テーブル2[[#This Row],[P]])</f>
        <v>624.86636713482415</v>
      </c>
      <c r="F311" s="36">
        <f>HgFromP(テーブル2[[#This Row],[P]])</f>
        <v>2643264.5206450778</v>
      </c>
      <c r="G311" s="36">
        <f>HfFromP(テーブル2[[#This Row],[P]])</f>
        <v>1562686.7596125705</v>
      </c>
      <c r="H311" s="36">
        <f>MuGFromP(テーブル2[[#This Row],[P]])</f>
        <v>2.2019591234371903E-5</v>
      </c>
      <c r="I311" s="36">
        <f>MuFFromP(テーブル2[[#This Row],[P]])</f>
        <v>7.222326555143516E-5</v>
      </c>
      <c r="J311" s="36">
        <f>KfFromP(テーブル2[[#This Row],[P]])</f>
        <v>0.49112131073334553</v>
      </c>
      <c r="K311" s="36">
        <f>CpFFromP(テーブル2[[#This Row],[P]])</f>
        <v>7679.7488518783057</v>
      </c>
      <c r="L311" s="36">
        <f>SigmaFromP(テーブル2[[#This Row],[P]])</f>
        <v>6.5036449518301549E-3</v>
      </c>
      <c r="M311" s="36">
        <v>199.01</v>
      </c>
      <c r="N311" s="36">
        <v>3390.5749999999998</v>
      </c>
      <c r="O311" s="37">
        <f t="shared" si="146"/>
        <v>1.7719053836560394E-5</v>
      </c>
      <c r="P311" s="37">
        <f t="shared" si="147"/>
        <v>1.4921936786020797E-2</v>
      </c>
      <c r="Q311" s="37">
        <v>4.7497999999999993E-3</v>
      </c>
      <c r="R311" s="36">
        <v>0.3175</v>
      </c>
      <c r="S311" s="38">
        <v>5299711.1999999993</v>
      </c>
      <c r="T311" s="36">
        <v>502.50442093117408</v>
      </c>
      <c r="U311" s="12">
        <f>+T311+BG311*S311*テーブル2[[#This Row],[Pw]]*R311/(N311*O311*K311)</f>
        <v>556.92463285031351</v>
      </c>
      <c r="V311" s="36">
        <v>0.03</v>
      </c>
      <c r="W311" s="37">
        <f t="shared" si="118"/>
        <v>222982.89909822529</v>
      </c>
      <c r="X311" s="36">
        <v>0.01</v>
      </c>
      <c r="Y311" s="36">
        <f t="shared" si="119"/>
        <v>10</v>
      </c>
      <c r="Z311" s="36">
        <f t="shared" si="120"/>
        <v>5.6164520093901409</v>
      </c>
      <c r="AA311" s="36">
        <f t="shared" si="121"/>
        <v>4.3835479906098591</v>
      </c>
      <c r="AB311" s="36">
        <f t="shared" si="122"/>
        <v>3.3936613006817347E-5</v>
      </c>
      <c r="AC311" s="36">
        <v>600</v>
      </c>
      <c r="AD311" s="36">
        <f t="shared" si="123"/>
        <v>3941.8180010247702</v>
      </c>
      <c r="AE311" s="36">
        <f>+gettm2(AD311,AC311,AK311,AL311,テーブル2[[#This Row],[Fcorr]])</f>
        <v>548.67832982951552</v>
      </c>
      <c r="AF311" s="39">
        <f t="shared" si="124"/>
        <v>-8.2463030207979955</v>
      </c>
      <c r="AG311" s="36">
        <v>1.0000000000000001E-5</v>
      </c>
      <c r="AH311" s="36">
        <f t="shared" si="125"/>
        <v>22.996914691010584</v>
      </c>
      <c r="AI311" s="36">
        <f t="shared" si="126"/>
        <v>0.1918409039691748</v>
      </c>
      <c r="AJ311" s="36">
        <f t="shared" si="127"/>
        <v>16.597827281252982</v>
      </c>
      <c r="AK311" s="36">
        <f>+S88*テーブル2[[#This Row],[F_form]]/(E88*CpFromTP((テーブル2[[#This Row],[Tin]]+テーブル2[[#This Row],[Tf]])/2,テーブル2[[#This Row],[P]])*AI88)</f>
        <v>2.0698058542338198</v>
      </c>
      <c r="AL311" s="36">
        <f t="shared" si="128"/>
        <v>1.1293676909872215</v>
      </c>
      <c r="AM311" s="36">
        <f t="shared" si="129"/>
        <v>574.99940606588143</v>
      </c>
      <c r="AN311" s="36">
        <f t="shared" si="130"/>
        <v>33.62166793264214</v>
      </c>
      <c r="AO311" s="36">
        <f t="shared" si="131"/>
        <v>-2.3936613006817347E-5</v>
      </c>
      <c r="AP311" s="36">
        <v>1</v>
      </c>
      <c r="AQ311" s="36">
        <f t="shared" si="132"/>
        <v>5.4530931276593132E-4</v>
      </c>
      <c r="AR311" s="36">
        <f t="shared" si="133"/>
        <v>-6.9683065034086742E-6</v>
      </c>
      <c r="AS311" s="36">
        <f t="shared" si="134"/>
        <v>-11.565874778640906</v>
      </c>
      <c r="AT311" s="36">
        <f t="shared" si="135"/>
        <v>-11.565874778640906</v>
      </c>
      <c r="AU311" s="36">
        <f t="shared" si="136"/>
        <v>-2.218807872728751</v>
      </c>
      <c r="AV311" s="36">
        <f t="shared" si="137"/>
        <v>3.218807872728751</v>
      </c>
      <c r="AW311" s="36">
        <f t="shared" si="138"/>
        <v>2.0403070169384866E-2</v>
      </c>
      <c r="AX311" s="36">
        <f t="shared" si="139"/>
        <v>0.67265413601909119</v>
      </c>
      <c r="AY311" s="36">
        <f t="shared" si="140"/>
        <v>2.5461537367096598</v>
      </c>
      <c r="AZ311" s="36">
        <f t="shared" si="141"/>
        <v>1080577.7610325073</v>
      </c>
      <c r="BA311" s="36">
        <f t="shared" si="142"/>
        <v>5.4530931276593132E-4</v>
      </c>
      <c r="BB311" s="38">
        <f t="shared" si="143"/>
        <v>-29638959.878198534</v>
      </c>
      <c r="BC311" s="40">
        <f t="shared" si="144"/>
        <v>-34938671.078198537</v>
      </c>
      <c r="BD311" s="41">
        <f t="shared" si="145"/>
        <v>-659.25613226242479</v>
      </c>
      <c r="BE311" s="38">
        <v>5299711.1999999993</v>
      </c>
      <c r="BF311" s="42">
        <f>テーブル2[[#This Row],[q_P]]/テーブル2[[#This Row],[q_M]]</f>
        <v>-5.5925613226242472</v>
      </c>
      <c r="BG311" s="36">
        <v>1</v>
      </c>
      <c r="BH311" s="36">
        <v>-0.14399999999999999</v>
      </c>
      <c r="BI311" s="36">
        <v>4.5999999999999999E-2</v>
      </c>
      <c r="BJ311" s="36">
        <v>5625</v>
      </c>
      <c r="BK311" s="22">
        <v>1</v>
      </c>
      <c r="BL311" s="36">
        <f>テーブル2[[#This Row],[Ts]]-テーブル2[[#This Row],[Tin]]</f>
        <v>106.11665306734949</v>
      </c>
      <c r="BM311" s="36">
        <f>テーブル2[[#This Row],[q_P]]*0.000001</f>
        <v>-29.638959878198534</v>
      </c>
      <c r="BN311" s="36">
        <f>テーブル2[[#This Row],[Tsub]]</f>
        <v>106.11665306734949</v>
      </c>
      <c r="BO311" s="36">
        <f>テーブル2[[#This Row],[Fcorr]]</f>
        <v>1</v>
      </c>
      <c r="BP311" s="36">
        <f>(テーブル2[[#This Row],[Tsub]]-40)^2</f>
        <v>4371.4118128282544</v>
      </c>
      <c r="BQ311" s="36">
        <v>1</v>
      </c>
      <c r="BR311" s="36">
        <v>0.3175</v>
      </c>
    </row>
    <row r="312" spans="1:70" x14ac:dyDescent="0.15">
      <c r="A312" s="35" t="s">
        <v>322</v>
      </c>
      <c r="B312" s="36">
        <v>13789514.586336</v>
      </c>
      <c r="C312" s="22">
        <f>TsatFromP(テーブル2[[#This Row],[P]])</f>
        <v>608.62107399852357</v>
      </c>
      <c r="D312" s="36">
        <f>RhoGFromP(テーブル2[[#This Row],[P]])</f>
        <v>85.147847035840741</v>
      </c>
      <c r="E312" s="36">
        <f>RhoFFromP(テーブル2[[#This Row],[P]])</f>
        <v>624.86636713482415</v>
      </c>
      <c r="F312" s="36">
        <f>HgFromP(テーブル2[[#This Row],[P]])</f>
        <v>2643264.5206450778</v>
      </c>
      <c r="G312" s="36">
        <f>HfFromP(テーブル2[[#This Row],[P]])</f>
        <v>1562686.7596125705</v>
      </c>
      <c r="H312" s="36">
        <f>MuGFromP(テーブル2[[#This Row],[P]])</f>
        <v>2.2019591234371903E-5</v>
      </c>
      <c r="I312" s="36">
        <f>MuFFromP(テーブル2[[#This Row],[P]])</f>
        <v>7.222326555143516E-5</v>
      </c>
      <c r="J312" s="36">
        <f>KfFromP(テーブル2[[#This Row],[P]])</f>
        <v>0.49112131073334553</v>
      </c>
      <c r="K312" s="36">
        <f>CpFFromP(テーブル2[[#This Row],[P]])</f>
        <v>7679.7488518783057</v>
      </c>
      <c r="L312" s="36">
        <f>SigmaFromP(テーブル2[[#This Row],[P]])</f>
        <v>6.5036449518301549E-3</v>
      </c>
      <c r="M312" s="36">
        <v>2.0099999999999998</v>
      </c>
      <c r="N312" s="36">
        <v>2224.2172</v>
      </c>
      <c r="O312" s="37">
        <f t="shared" si="146"/>
        <v>2.8502295699234246E-6</v>
      </c>
      <c r="P312" s="37">
        <f t="shared" si="147"/>
        <v>5.9847340050885557E-3</v>
      </c>
      <c r="Q312" s="37">
        <v>1.905E-3</v>
      </c>
      <c r="R312" s="36">
        <v>0.15240000000000001</v>
      </c>
      <c r="S312" s="38">
        <v>3343865.4</v>
      </c>
      <c r="T312" s="36">
        <v>515.36372815534912</v>
      </c>
      <c r="U312" s="12">
        <f>+T312+BG312*S312*テーブル2[[#This Row],[Pw]]*R312/(N312*O312*K312)</f>
        <v>578.0070173923516</v>
      </c>
      <c r="V312" s="36">
        <v>0.03</v>
      </c>
      <c r="W312" s="37">
        <f t="shared" si="118"/>
        <v>58667.158479319187</v>
      </c>
      <c r="X312" s="36">
        <v>0.01</v>
      </c>
      <c r="Y312" s="36">
        <f t="shared" si="119"/>
        <v>10</v>
      </c>
      <c r="Z312" s="36">
        <f t="shared" si="120"/>
        <v>4.1124659076155137</v>
      </c>
      <c r="AA312" s="36">
        <f t="shared" si="121"/>
        <v>5.8875340923844863</v>
      </c>
      <c r="AB312" s="36">
        <f t="shared" si="122"/>
        <v>7.88607344187271E-5</v>
      </c>
      <c r="AC312" s="36">
        <v>600</v>
      </c>
      <c r="AD312" s="36">
        <f t="shared" si="123"/>
        <v>1037.0986398418113</v>
      </c>
      <c r="AE312" s="36">
        <f>+gettm2(AD312,AC312,AK312,AL312,テーブル2[[#This Row],[Fcorr]])</f>
        <v>557.41825866582849</v>
      </c>
      <c r="AF312" s="39">
        <f t="shared" si="124"/>
        <v>-20.58875872652311</v>
      </c>
      <c r="AG312" s="36">
        <v>1.0000000000000001E-5</v>
      </c>
      <c r="AH312" s="36">
        <f t="shared" si="125"/>
        <v>9.8964002804707309</v>
      </c>
      <c r="AI312" s="36">
        <f t="shared" si="126"/>
        <v>0.12584763300377866</v>
      </c>
      <c r="AJ312" s="36">
        <f t="shared" si="127"/>
        <v>10.888174696501956</v>
      </c>
      <c r="AK312" s="36">
        <f>+S88*テーブル2[[#This Row],[F_form]]/(E88*CpFromTP((テーブル2[[#This Row],[Tin]]+テーブル2[[#This Row],[Tf]])/2,テーブル2[[#This Row],[P]])*AI88)</f>
        <v>1.9890617318229145</v>
      </c>
      <c r="AL312" s="36">
        <f t="shared" si="128"/>
        <v>1.1293676909872215</v>
      </c>
      <c r="AM312" s="36">
        <f t="shared" si="129"/>
        <v>580.35574191086289</v>
      </c>
      <c r="AN312" s="36">
        <f t="shared" si="130"/>
        <v>28.265332087660681</v>
      </c>
      <c r="AO312" s="36">
        <f t="shared" si="131"/>
        <v>-6.8860734418727101E-5</v>
      </c>
      <c r="AP312" s="36">
        <v>1</v>
      </c>
      <c r="AQ312" s="36">
        <f t="shared" si="132"/>
        <v>5.4530931276593132E-4</v>
      </c>
      <c r="AR312" s="36">
        <f t="shared" si="133"/>
        <v>-2.9430367209363551E-5</v>
      </c>
      <c r="AS312" s="36">
        <f t="shared" si="134"/>
        <v>-32.044297955775313</v>
      </c>
      <c r="AT312" s="36">
        <f t="shared" si="135"/>
        <v>-32.044297955775313</v>
      </c>
      <c r="AU312" s="36">
        <f t="shared" si="136"/>
        <v>-4.0326990490021464</v>
      </c>
      <c r="AV312" s="36">
        <f t="shared" si="137"/>
        <v>5.0326990490021464</v>
      </c>
      <c r="AW312" s="36">
        <f t="shared" si="138"/>
        <v>4.7411952914431663E-2</v>
      </c>
      <c r="AX312" s="36">
        <f t="shared" si="139"/>
        <v>0.44126111322852385</v>
      </c>
      <c r="AY312" s="36">
        <f t="shared" si="140"/>
        <v>4.5914379357736221</v>
      </c>
      <c r="AZ312" s="36">
        <f t="shared" si="141"/>
        <v>1080577.7610325073</v>
      </c>
      <c r="BA312" s="36">
        <f t="shared" si="142"/>
        <v>5.4530931276593132E-4</v>
      </c>
      <c r="BB312" s="38">
        <f t="shared" si="143"/>
        <v>-85265218.769199088</v>
      </c>
      <c r="BC312" s="40">
        <f t="shared" si="144"/>
        <v>-88609084.169199094</v>
      </c>
      <c r="BD312" s="41">
        <f t="shared" si="145"/>
        <v>-2649.899848516603</v>
      </c>
      <c r="BE312" s="38">
        <v>3343865.4</v>
      </c>
      <c r="BF312" s="42">
        <f>テーブル2[[#This Row],[q_P]]/テーブル2[[#This Row],[q_M]]</f>
        <v>-25.498998485166027</v>
      </c>
      <c r="BG312" s="36">
        <v>1</v>
      </c>
      <c r="BH312" s="36">
        <v>-0.03</v>
      </c>
      <c r="BI312" s="36">
        <v>4.5999999999999999E-2</v>
      </c>
      <c r="BJ312" s="36">
        <v>5625</v>
      </c>
      <c r="BK312" s="22">
        <v>1</v>
      </c>
      <c r="BL312" s="36">
        <f>テーブル2[[#This Row],[Ts]]-テーブル2[[#This Row],[Tin]]</f>
        <v>93.257345843174448</v>
      </c>
      <c r="BM312" s="36">
        <f>テーブル2[[#This Row],[q_P]]*0.000001</f>
        <v>-85.26521876919908</v>
      </c>
      <c r="BN312" s="36">
        <f>テーブル2[[#This Row],[Tsub]]</f>
        <v>93.257345843174448</v>
      </c>
      <c r="BO312" s="36">
        <f>テーブル2[[#This Row],[Fcorr]]</f>
        <v>1</v>
      </c>
      <c r="BP312" s="36">
        <f>(テーブル2[[#This Row],[Tsub]]-40)^2</f>
        <v>2836.3448862594905</v>
      </c>
      <c r="BQ312" s="36">
        <v>1</v>
      </c>
      <c r="BR312" s="36">
        <v>0.15240000000000001</v>
      </c>
    </row>
    <row r="313" spans="1:70" x14ac:dyDescent="0.15">
      <c r="A313" s="35" t="s">
        <v>81</v>
      </c>
      <c r="B313" s="36">
        <v>13789514.586336</v>
      </c>
      <c r="C313" s="22">
        <f>TsatFromP(テーブル2[[#This Row],[P]])</f>
        <v>608.62107399852357</v>
      </c>
      <c r="D313" s="36">
        <f>RhoGFromP(テーブル2[[#This Row],[P]])</f>
        <v>85.147847035840741</v>
      </c>
      <c r="E313" s="36">
        <f>RhoFFromP(テーブル2[[#This Row],[P]])</f>
        <v>624.86636713482415</v>
      </c>
      <c r="F313" s="36">
        <f>HgFromP(テーブル2[[#This Row],[P]])</f>
        <v>2643264.5206450778</v>
      </c>
      <c r="G313" s="36">
        <f>HfFromP(テーブル2[[#This Row],[P]])</f>
        <v>1562686.7596125705</v>
      </c>
      <c r="H313" s="36">
        <f>MuGFromP(テーブル2[[#This Row],[P]])</f>
        <v>2.2019591234371903E-5</v>
      </c>
      <c r="I313" s="36">
        <f>MuFFromP(テーブル2[[#This Row],[P]])</f>
        <v>7.222326555143516E-5</v>
      </c>
      <c r="J313" s="36">
        <f>KfFromP(テーブル2[[#This Row],[P]])</f>
        <v>0.49112131073334553</v>
      </c>
      <c r="K313" s="36">
        <f>CpFFromP(テーブル2[[#This Row],[P]])</f>
        <v>7679.7488518783057</v>
      </c>
      <c r="L313" s="36">
        <f>SigmaFromP(テーブル2[[#This Row],[P]])</f>
        <v>6.5036449518301549E-3</v>
      </c>
      <c r="M313" s="36">
        <v>20.010000000000002</v>
      </c>
      <c r="N313" s="36">
        <v>3905.9423999999999</v>
      </c>
      <c r="O313" s="37">
        <f t="shared" si="146"/>
        <v>2.8502295699234246E-6</v>
      </c>
      <c r="P313" s="37">
        <f t="shared" si="147"/>
        <v>5.9847340050885557E-3</v>
      </c>
      <c r="Q313" s="37">
        <v>1.905E-3</v>
      </c>
      <c r="R313" s="36">
        <v>0.15240000000000001</v>
      </c>
      <c r="S313" s="38">
        <v>4889614.4999999991</v>
      </c>
      <c r="T313" s="36">
        <v>533.15949698557142</v>
      </c>
      <c r="U313" s="12">
        <f>+T313+BG313*S313*テーブル2[[#This Row],[Pw]]*R313/(N313*O313*K313)</f>
        <v>585.32119812565929</v>
      </c>
      <c r="V313" s="36">
        <v>0.03</v>
      </c>
      <c r="W313" s="37">
        <f t="shared" si="118"/>
        <v>103025.25391490197</v>
      </c>
      <c r="X313" s="36">
        <v>0.01</v>
      </c>
      <c r="Y313" s="36">
        <f t="shared" si="119"/>
        <v>10</v>
      </c>
      <c r="Z313" s="36">
        <f t="shared" si="120"/>
        <v>5.0591724096982293</v>
      </c>
      <c r="AA313" s="36">
        <f t="shared" si="121"/>
        <v>4.9408275903017707</v>
      </c>
      <c r="AB313" s="36">
        <f t="shared" si="122"/>
        <v>2.5571931820578753E-5</v>
      </c>
      <c r="AC313" s="36">
        <v>600</v>
      </c>
      <c r="AD313" s="36">
        <f t="shared" si="123"/>
        <v>1821.2463919173272</v>
      </c>
      <c r="AE313" s="36">
        <f>+gettm2(AD313,AC313,AK313,AL313,テーブル2[[#This Row],[Fcorr]])</f>
        <v>556.24323762355834</v>
      </c>
      <c r="AF313" s="39">
        <f t="shared" si="124"/>
        <v>-29.07796050210095</v>
      </c>
      <c r="AG313" s="36">
        <v>1.0000000000000001E-5</v>
      </c>
      <c r="AH313" s="36">
        <f t="shared" si="125"/>
        <v>30.519297474098909</v>
      </c>
      <c r="AI313" s="36">
        <f t="shared" si="126"/>
        <v>0.22100072137248936</v>
      </c>
      <c r="AJ313" s="36">
        <f t="shared" si="127"/>
        <v>19.120697028003434</v>
      </c>
      <c r="AK313" s="36">
        <f>+S88*テーブル2[[#This Row],[F_form]]/(E88*CpFromTP((テーブル2[[#This Row],[Tin]]+テーブル2[[#This Row],[Tf]])/2,テーブル2[[#This Row],[P]])*AI88)</f>
        <v>1.9154128603975156</v>
      </c>
      <c r="AL313" s="36">
        <f t="shared" si="128"/>
        <v>1.1293676909872215</v>
      </c>
      <c r="AM313" s="36">
        <f t="shared" si="129"/>
        <v>575.46406761043488</v>
      </c>
      <c r="AN313" s="36">
        <f t="shared" si="130"/>
        <v>33.157006388088689</v>
      </c>
      <c r="AO313" s="36">
        <f t="shared" si="131"/>
        <v>-1.557193182057875E-5</v>
      </c>
      <c r="AP313" s="36">
        <v>1</v>
      </c>
      <c r="AQ313" s="36">
        <f t="shared" si="132"/>
        <v>5.4530931276593132E-4</v>
      </c>
      <c r="AR313" s="36">
        <f t="shared" si="133"/>
        <v>-2.7859659102893739E-6</v>
      </c>
      <c r="AS313" s="36">
        <f t="shared" si="134"/>
        <v>-5.3269610100988904</v>
      </c>
      <c r="AT313" s="36">
        <f t="shared" si="135"/>
        <v>-5.3269610100988904</v>
      </c>
      <c r="AU313" s="36">
        <f t="shared" si="136"/>
        <v>-1.1772622259549794</v>
      </c>
      <c r="AV313" s="36">
        <f t="shared" si="137"/>
        <v>2.1772622259549794</v>
      </c>
      <c r="AW313" s="36">
        <f t="shared" si="138"/>
        <v>1.5374130565038507E-2</v>
      </c>
      <c r="AX313" s="36">
        <f t="shared" si="139"/>
        <v>0.77489756469399307</v>
      </c>
      <c r="AY313" s="36">
        <f t="shared" si="140"/>
        <v>1.4023646612609864</v>
      </c>
      <c r="AZ313" s="36">
        <f t="shared" si="141"/>
        <v>1080577.7610325073</v>
      </c>
      <c r="BA313" s="36">
        <f t="shared" si="142"/>
        <v>5.4530931276593132E-4</v>
      </c>
      <c r="BB313" s="38">
        <f t="shared" si="143"/>
        <v>-19281586.009045117</v>
      </c>
      <c r="BC313" s="40">
        <f t="shared" si="144"/>
        <v>-24171200.509045117</v>
      </c>
      <c r="BD313" s="41">
        <f t="shared" si="145"/>
        <v>-494.33754969937036</v>
      </c>
      <c r="BE313" s="38">
        <v>4889614.4999999991</v>
      </c>
      <c r="BF313" s="42">
        <f>テーブル2[[#This Row],[q_P]]/テーブル2[[#This Row],[q_M]]</f>
        <v>-3.9433754969937036</v>
      </c>
      <c r="BG313" s="36">
        <v>1</v>
      </c>
      <c r="BH313" s="36">
        <v>-2.5999999999999999E-2</v>
      </c>
      <c r="BI313" s="36">
        <v>4.5999999999999999E-2</v>
      </c>
      <c r="BJ313" s="36">
        <v>5625</v>
      </c>
      <c r="BK313" s="22">
        <v>1</v>
      </c>
      <c r="BL313" s="36">
        <f>テーブル2[[#This Row],[Ts]]-テーブル2[[#This Row],[Tin]]</f>
        <v>75.461577012952148</v>
      </c>
      <c r="BM313" s="36">
        <f>テーブル2[[#This Row],[q_P]]*0.000001</f>
        <v>-19.281586009045117</v>
      </c>
      <c r="BN313" s="36">
        <f>テーブル2[[#This Row],[Tsub]]</f>
        <v>75.461577012952148</v>
      </c>
      <c r="BO313" s="36">
        <f>テーブル2[[#This Row],[Fcorr]]</f>
        <v>1</v>
      </c>
      <c r="BP313" s="36">
        <f>(テーブル2[[#This Row],[Tsub]]-40)^2</f>
        <v>1257.5234442455362</v>
      </c>
      <c r="BQ313" s="36">
        <v>1</v>
      </c>
      <c r="BR313" s="36">
        <v>0.15240000000000001</v>
      </c>
    </row>
    <row r="314" spans="1:70" x14ac:dyDescent="0.15">
      <c r="A314" s="35" t="s">
        <v>132</v>
      </c>
      <c r="B314" s="36">
        <v>13789514.586336</v>
      </c>
      <c r="C314" s="22">
        <f>TsatFromP(テーブル2[[#This Row],[P]])</f>
        <v>608.62107399852357</v>
      </c>
      <c r="D314" s="36">
        <f>RhoGFromP(テーブル2[[#This Row],[P]])</f>
        <v>85.147847035840741</v>
      </c>
      <c r="E314" s="36">
        <f>RhoFFromP(テーブル2[[#This Row],[P]])</f>
        <v>624.86636713482415</v>
      </c>
      <c r="F314" s="36">
        <f>HgFromP(テーブル2[[#This Row],[P]])</f>
        <v>2643264.5206450778</v>
      </c>
      <c r="G314" s="36">
        <f>HfFromP(テーブル2[[#This Row],[P]])</f>
        <v>1562686.7596125705</v>
      </c>
      <c r="H314" s="36">
        <f>MuGFromP(テーブル2[[#This Row],[P]])</f>
        <v>2.2019591234371903E-5</v>
      </c>
      <c r="I314" s="36">
        <f>MuFFromP(テーブル2[[#This Row],[P]])</f>
        <v>7.222326555143516E-5</v>
      </c>
      <c r="J314" s="36">
        <f>KfFromP(テーブル2[[#This Row],[P]])</f>
        <v>0.49112131073334553</v>
      </c>
      <c r="K314" s="36">
        <f>CpFFromP(テーブル2[[#This Row],[P]])</f>
        <v>7679.7488518783057</v>
      </c>
      <c r="L314" s="36">
        <f>SigmaFromP(テーブル2[[#This Row],[P]])</f>
        <v>6.5036449518301549E-3</v>
      </c>
      <c r="M314" s="36">
        <v>200.01</v>
      </c>
      <c r="N314" s="36">
        <v>3390.5749999999998</v>
      </c>
      <c r="O314" s="37">
        <f t="shared" si="146"/>
        <v>1.7719053836560394E-5</v>
      </c>
      <c r="P314" s="37">
        <f t="shared" si="147"/>
        <v>1.4921936786020797E-2</v>
      </c>
      <c r="Q314" s="37">
        <v>4.7497999999999993E-3</v>
      </c>
      <c r="R314" s="36">
        <v>0.3175</v>
      </c>
      <c r="S314" s="38">
        <v>5299711.1999999993</v>
      </c>
      <c r="T314" s="36">
        <v>529.30241020894164</v>
      </c>
      <c r="U314" s="12">
        <f>+T314+BG314*S314*テーブル2[[#This Row],[Pw]]*R314/(N314*O314*K314)</f>
        <v>583.72262212808107</v>
      </c>
      <c r="V314" s="36">
        <v>0.03</v>
      </c>
      <c r="W314" s="37">
        <f t="shared" si="118"/>
        <v>222982.89909822529</v>
      </c>
      <c r="X314" s="36">
        <v>0.01</v>
      </c>
      <c r="Y314" s="36">
        <f t="shared" si="119"/>
        <v>10</v>
      </c>
      <c r="Z314" s="36">
        <f t="shared" si="120"/>
        <v>5.6164520093901409</v>
      </c>
      <c r="AA314" s="36">
        <f t="shared" si="121"/>
        <v>4.3835479906098591</v>
      </c>
      <c r="AB314" s="36">
        <f t="shared" si="122"/>
        <v>3.3936613006817347E-5</v>
      </c>
      <c r="AC314" s="36">
        <v>600</v>
      </c>
      <c r="AD314" s="36">
        <f t="shared" si="123"/>
        <v>3941.8180010247702</v>
      </c>
      <c r="AE314" s="36">
        <f>+gettm2(AD314,AC314,AK314,AL314,テーブル2[[#This Row],[Fcorr]])</f>
        <v>552.07934516082594</v>
      </c>
      <c r="AF314" s="39">
        <f t="shared" si="124"/>
        <v>-31.643276967255133</v>
      </c>
      <c r="AG314" s="36">
        <v>1.0000000000000001E-5</v>
      </c>
      <c r="AH314" s="36">
        <f t="shared" si="125"/>
        <v>22.996914691010584</v>
      </c>
      <c r="AI314" s="36">
        <f t="shared" si="126"/>
        <v>0.1918409039691748</v>
      </c>
      <c r="AJ314" s="36">
        <f t="shared" si="127"/>
        <v>16.597827281252982</v>
      </c>
      <c r="AK314" s="36">
        <f>+S88*テーブル2[[#This Row],[F_form]]/(E88*CpFromTP((テーブル2[[#This Row],[Tin]]+テーブル2[[#This Row],[Tf]])/2,テーブル2[[#This Row],[P]])*AI88)</f>
        <v>1.9326427139910964</v>
      </c>
      <c r="AL314" s="36">
        <f t="shared" si="128"/>
        <v>1.1293676909872215</v>
      </c>
      <c r="AM314" s="36">
        <f t="shared" si="129"/>
        <v>576.65616047350977</v>
      </c>
      <c r="AN314" s="36">
        <f t="shared" si="130"/>
        <v>31.964913525013799</v>
      </c>
      <c r="AO314" s="36">
        <f t="shared" si="131"/>
        <v>-2.3936613006817347E-5</v>
      </c>
      <c r="AP314" s="36">
        <v>1</v>
      </c>
      <c r="AQ314" s="36">
        <f t="shared" si="132"/>
        <v>5.4530931276593132E-4</v>
      </c>
      <c r="AR314" s="36">
        <f t="shared" si="133"/>
        <v>-6.9683065034086742E-6</v>
      </c>
      <c r="AS314" s="36">
        <f t="shared" si="134"/>
        <v>-11.565874778640906</v>
      </c>
      <c r="AT314" s="36">
        <f t="shared" si="135"/>
        <v>-11.565874778640906</v>
      </c>
      <c r="AU314" s="36">
        <f t="shared" si="136"/>
        <v>-2.218807872728751</v>
      </c>
      <c r="AV314" s="36">
        <f t="shared" si="137"/>
        <v>3.218807872728751</v>
      </c>
      <c r="AW314" s="36">
        <f t="shared" si="138"/>
        <v>2.0403070169384866E-2</v>
      </c>
      <c r="AX314" s="36">
        <f t="shared" si="139"/>
        <v>0.67265413601909119</v>
      </c>
      <c r="AY314" s="36">
        <f t="shared" si="140"/>
        <v>2.5461537367096598</v>
      </c>
      <c r="AZ314" s="36">
        <f t="shared" si="141"/>
        <v>1080577.7610325073</v>
      </c>
      <c r="BA314" s="36">
        <f t="shared" si="142"/>
        <v>5.4530931276593132E-4</v>
      </c>
      <c r="BB314" s="38">
        <f t="shared" si="143"/>
        <v>-29638959.878198534</v>
      </c>
      <c r="BC314" s="40">
        <f t="shared" si="144"/>
        <v>-34938671.078198537</v>
      </c>
      <c r="BD314" s="41">
        <f t="shared" si="145"/>
        <v>-659.25613226242479</v>
      </c>
      <c r="BE314" s="38">
        <v>5299711.1999999993</v>
      </c>
      <c r="BF314" s="42">
        <f>テーブル2[[#This Row],[q_P]]/テーブル2[[#This Row],[q_M]]</f>
        <v>-5.5925613226242472</v>
      </c>
      <c r="BG314" s="36">
        <v>1</v>
      </c>
      <c r="BH314" s="36">
        <v>-2.7E-2</v>
      </c>
      <c r="BI314" s="36">
        <v>4.5999999999999999E-2</v>
      </c>
      <c r="BJ314" s="36">
        <v>5625</v>
      </c>
      <c r="BK314" s="22">
        <v>1</v>
      </c>
      <c r="BL314" s="36">
        <f>テーブル2[[#This Row],[Ts]]-テーブル2[[#This Row],[Tin]]</f>
        <v>79.318663789581933</v>
      </c>
      <c r="BM314" s="36">
        <f>テーブル2[[#This Row],[q_P]]*0.000001</f>
        <v>-29.638959878198534</v>
      </c>
      <c r="BN314" s="36">
        <f>テーブル2[[#This Row],[Tsub]]</f>
        <v>79.318663789581933</v>
      </c>
      <c r="BO314" s="36">
        <f>テーブル2[[#This Row],[Fcorr]]</f>
        <v>1</v>
      </c>
      <c r="BP314" s="36">
        <f>(テーブル2[[#This Row],[Tsub]]-40)^2</f>
        <v>1545.9573221981816</v>
      </c>
      <c r="BQ314" s="36">
        <v>1</v>
      </c>
      <c r="BR314" s="36">
        <v>0.3175</v>
      </c>
    </row>
    <row r="315" spans="1:70" x14ac:dyDescent="0.15">
      <c r="A315" s="35" t="s">
        <v>133</v>
      </c>
      <c r="B315" s="36">
        <v>13789514.586336</v>
      </c>
      <c r="C315" s="22">
        <f>TsatFromP(テーブル2[[#This Row],[P]])</f>
        <v>608.62107399852357</v>
      </c>
      <c r="D315" s="36">
        <f>RhoGFromP(テーブル2[[#This Row],[P]])</f>
        <v>85.147847035840741</v>
      </c>
      <c r="E315" s="36">
        <f>RhoFFromP(テーブル2[[#This Row],[P]])</f>
        <v>624.86636713482415</v>
      </c>
      <c r="F315" s="36">
        <f>HgFromP(テーブル2[[#This Row],[P]])</f>
        <v>2643264.5206450778</v>
      </c>
      <c r="G315" s="36">
        <f>HfFromP(テーブル2[[#This Row],[P]])</f>
        <v>1562686.7596125705</v>
      </c>
      <c r="H315" s="36">
        <f>MuGFromP(テーブル2[[#This Row],[P]])</f>
        <v>2.2019591234371903E-5</v>
      </c>
      <c r="I315" s="36">
        <f>MuFFromP(テーブル2[[#This Row],[P]])</f>
        <v>7.222326555143516E-5</v>
      </c>
      <c r="J315" s="36">
        <f>KfFromP(テーブル2[[#This Row],[P]])</f>
        <v>0.49112131073334553</v>
      </c>
      <c r="K315" s="36">
        <f>CpFFromP(テーブル2[[#This Row],[P]])</f>
        <v>7679.7488518783057</v>
      </c>
      <c r="L315" s="36">
        <f>SigmaFromP(テーブル2[[#This Row],[P]])</f>
        <v>6.5036449518301549E-3</v>
      </c>
      <c r="M315" s="36">
        <v>201.01</v>
      </c>
      <c r="N315" s="36">
        <v>3404.1372999999999</v>
      </c>
      <c r="O315" s="37">
        <f t="shared" si="146"/>
        <v>1.7719053836560394E-5</v>
      </c>
      <c r="P315" s="37">
        <f t="shared" si="147"/>
        <v>1.4921936786020797E-2</v>
      </c>
      <c r="Q315" s="37">
        <v>4.7497999999999993E-3</v>
      </c>
      <c r="R315" s="36">
        <v>0.3175</v>
      </c>
      <c r="S315" s="38">
        <v>5835991.5</v>
      </c>
      <c r="T315" s="36">
        <v>486.40399679345421</v>
      </c>
      <c r="U315" s="12">
        <f>+T315+BG315*S315*テーブル2[[#This Row],[Pw]]*R315/(N315*O315*K315)</f>
        <v>546.09226280702376</v>
      </c>
      <c r="V315" s="36">
        <v>0.03</v>
      </c>
      <c r="W315" s="37">
        <f t="shared" si="118"/>
        <v>223874.8306946182</v>
      </c>
      <c r="X315" s="36">
        <v>0.01</v>
      </c>
      <c r="Y315" s="36">
        <f t="shared" si="119"/>
        <v>10</v>
      </c>
      <c r="Z315" s="36">
        <f t="shared" si="120"/>
        <v>5.6231347580236006</v>
      </c>
      <c r="AA315" s="36">
        <f t="shared" si="121"/>
        <v>4.3768652419763994</v>
      </c>
      <c r="AB315" s="36">
        <f t="shared" si="122"/>
        <v>3.3666740415645529E-5</v>
      </c>
      <c r="AC315" s="36">
        <v>600</v>
      </c>
      <c r="AD315" s="36">
        <f t="shared" si="123"/>
        <v>3957.5852730288689</v>
      </c>
      <c r="AE315" s="36">
        <f>+gettm2(AD315,AC315,AK315,AL315,テーブル2[[#This Row],[Fcorr]])</f>
        <v>547.35112613665933</v>
      </c>
      <c r="AF315" s="39">
        <f t="shared" si="124"/>
        <v>1.2588633296355738</v>
      </c>
      <c r="AG315" s="36">
        <v>1.0000000000000001E-5</v>
      </c>
      <c r="AH315" s="36">
        <f t="shared" si="125"/>
        <v>23.18125795917372</v>
      </c>
      <c r="AI315" s="36">
        <f t="shared" si="126"/>
        <v>0.19260826758505148</v>
      </c>
      <c r="AJ315" s="36">
        <f t="shared" si="127"/>
        <v>16.664218590377995</v>
      </c>
      <c r="AK315" s="36">
        <f>+S88*テーブル2[[#This Row],[F_form]]/(E88*CpFromTP((テーブル2[[#This Row],[Tin]]+テーブル2[[#This Row],[Tf]])/2,テーブル2[[#This Row],[P]])*AI88)</f>
        <v>2.1224717509486024</v>
      </c>
      <c r="AL315" s="36">
        <f t="shared" si="128"/>
        <v>1.1293676909872215</v>
      </c>
      <c r="AM315" s="36">
        <f t="shared" si="129"/>
        <v>574.31939396455743</v>
      </c>
      <c r="AN315" s="36">
        <f t="shared" si="130"/>
        <v>34.301680033966136</v>
      </c>
      <c r="AO315" s="36">
        <f t="shared" si="131"/>
        <v>-2.3666740415645529E-5</v>
      </c>
      <c r="AP315" s="36">
        <v>1</v>
      </c>
      <c r="AQ315" s="36">
        <f t="shared" si="132"/>
        <v>5.4530931276593132E-4</v>
      </c>
      <c r="AR315" s="36">
        <f t="shared" si="133"/>
        <v>-6.8333702078227651E-6</v>
      </c>
      <c r="AS315" s="36">
        <f t="shared" si="134"/>
        <v>-11.387277485213524</v>
      </c>
      <c r="AT315" s="36">
        <f t="shared" si="135"/>
        <v>-11.387277485213524</v>
      </c>
      <c r="AU315" s="36">
        <f t="shared" si="136"/>
        <v>-2.1932837889372383</v>
      </c>
      <c r="AV315" s="36">
        <f t="shared" si="137"/>
        <v>3.1932837889372383</v>
      </c>
      <c r="AW315" s="36">
        <f t="shared" si="138"/>
        <v>2.0240819758203108E-2</v>
      </c>
      <c r="AX315" s="36">
        <f t="shared" si="139"/>
        <v>0.67534475256316762</v>
      </c>
      <c r="AY315" s="36">
        <f t="shared" si="140"/>
        <v>2.5179390363740706</v>
      </c>
      <c r="AZ315" s="36">
        <f t="shared" si="141"/>
        <v>1080577.7610325073</v>
      </c>
      <c r="BA315" s="36">
        <f t="shared" si="142"/>
        <v>5.4530931276593132E-4</v>
      </c>
      <c r="BB315" s="38">
        <f t="shared" si="143"/>
        <v>-29304796.356413357</v>
      </c>
      <c r="BC315" s="40">
        <f t="shared" si="144"/>
        <v>-35140787.856413357</v>
      </c>
      <c r="BD315" s="41">
        <f t="shared" si="145"/>
        <v>-602.13911991498549</v>
      </c>
      <c r="BE315" s="38">
        <v>5835991.5</v>
      </c>
      <c r="BF315" s="42">
        <f>テーブル2[[#This Row],[q_P]]/テーブル2[[#This Row],[q_M]]</f>
        <v>-5.0213911991498543</v>
      </c>
      <c r="BG315" s="36">
        <v>1</v>
      </c>
      <c r="BH315" s="36">
        <v>-0.17399999999999999</v>
      </c>
      <c r="BI315" s="36">
        <v>4.5999999999999999E-2</v>
      </c>
      <c r="BJ315" s="36">
        <v>5625</v>
      </c>
      <c r="BK315" s="22">
        <v>1</v>
      </c>
      <c r="BL315" s="36">
        <f>テーブル2[[#This Row],[Ts]]-テーブル2[[#This Row],[Tin]]</f>
        <v>122.21707720506936</v>
      </c>
      <c r="BM315" s="36">
        <f>テーブル2[[#This Row],[q_P]]*0.000001</f>
        <v>-29.304796356413355</v>
      </c>
      <c r="BN315" s="36">
        <f>テーブル2[[#This Row],[Tsub]]</f>
        <v>122.21707720506936</v>
      </c>
      <c r="BO315" s="36">
        <f>テーブル2[[#This Row],[Fcorr]]</f>
        <v>1</v>
      </c>
      <c r="BP315" s="36">
        <f>(テーブル2[[#This Row],[Tsub]]-40)^2</f>
        <v>6759.6477841443357</v>
      </c>
      <c r="BQ315" s="36">
        <v>1</v>
      </c>
      <c r="BR315" s="36">
        <v>0.3175</v>
      </c>
    </row>
    <row r="316" spans="1:70" x14ac:dyDescent="0.15">
      <c r="A316" s="35" t="s">
        <v>134</v>
      </c>
      <c r="B316" s="36">
        <v>13789514.586336</v>
      </c>
      <c r="C316" s="22">
        <f>TsatFromP(テーブル2[[#This Row],[P]])</f>
        <v>608.62107399852357</v>
      </c>
      <c r="D316" s="36">
        <f>RhoGFromP(テーブル2[[#This Row],[P]])</f>
        <v>85.147847035840741</v>
      </c>
      <c r="E316" s="36">
        <f>RhoFFromP(テーブル2[[#This Row],[P]])</f>
        <v>624.86636713482415</v>
      </c>
      <c r="F316" s="36">
        <f>HgFromP(テーブル2[[#This Row],[P]])</f>
        <v>2643264.5206450778</v>
      </c>
      <c r="G316" s="36">
        <f>HfFromP(テーブル2[[#This Row],[P]])</f>
        <v>1562686.7596125705</v>
      </c>
      <c r="H316" s="36">
        <f>MuGFromP(テーブル2[[#This Row],[P]])</f>
        <v>2.2019591234371903E-5</v>
      </c>
      <c r="I316" s="36">
        <f>MuFFromP(テーブル2[[#This Row],[P]])</f>
        <v>7.222326555143516E-5</v>
      </c>
      <c r="J316" s="36">
        <f>KfFromP(テーブル2[[#This Row],[P]])</f>
        <v>0.49112131073334553</v>
      </c>
      <c r="K316" s="36">
        <f>CpFFromP(テーブル2[[#This Row],[P]])</f>
        <v>7679.7488518783057</v>
      </c>
      <c r="L316" s="36">
        <f>SigmaFromP(テーブル2[[#This Row],[P]])</f>
        <v>6.5036449518301549E-3</v>
      </c>
      <c r="M316" s="36">
        <v>202.01</v>
      </c>
      <c r="N316" s="36">
        <v>3404.1372999999999</v>
      </c>
      <c r="O316" s="37">
        <f t="shared" si="146"/>
        <v>1.7719053836560394E-5</v>
      </c>
      <c r="P316" s="37">
        <f t="shared" si="147"/>
        <v>1.4921936786020797E-2</v>
      </c>
      <c r="Q316" s="37">
        <v>4.7497999999999993E-3</v>
      </c>
      <c r="R316" s="36">
        <v>0.3175</v>
      </c>
      <c r="S316" s="38">
        <v>5835991.5</v>
      </c>
      <c r="T316" s="36">
        <v>514.21920812086432</v>
      </c>
      <c r="U316" s="12">
        <f>+T316+BG316*S316*テーブル2[[#This Row],[Pw]]*R316/(N316*O316*K316)</f>
        <v>573.90747413443387</v>
      </c>
      <c r="V316" s="36">
        <v>0.03</v>
      </c>
      <c r="W316" s="37">
        <f t="shared" si="118"/>
        <v>223874.8306946182</v>
      </c>
      <c r="X316" s="36">
        <v>0.01</v>
      </c>
      <c r="Y316" s="36">
        <f t="shared" si="119"/>
        <v>10</v>
      </c>
      <c r="Z316" s="36">
        <f t="shared" si="120"/>
        <v>5.6231347580236006</v>
      </c>
      <c r="AA316" s="36">
        <f t="shared" si="121"/>
        <v>4.3768652419763994</v>
      </c>
      <c r="AB316" s="36">
        <f t="shared" si="122"/>
        <v>3.3666740415645529E-5</v>
      </c>
      <c r="AC316" s="36">
        <v>600</v>
      </c>
      <c r="AD316" s="36">
        <f t="shared" si="123"/>
        <v>3957.5852730288689</v>
      </c>
      <c r="AE316" s="36">
        <f>+gettm2(AD316,AC316,AK316,AL316,テーブル2[[#This Row],[Fcorr]])</f>
        <v>550.31971525800805</v>
      </c>
      <c r="AF316" s="39">
        <f t="shared" si="124"/>
        <v>-23.587758876425823</v>
      </c>
      <c r="AG316" s="36">
        <v>1.0000000000000001E-5</v>
      </c>
      <c r="AH316" s="36">
        <f t="shared" si="125"/>
        <v>23.18125795917372</v>
      </c>
      <c r="AI316" s="36">
        <f t="shared" si="126"/>
        <v>0.19260826758505148</v>
      </c>
      <c r="AJ316" s="36">
        <f t="shared" si="127"/>
        <v>16.664218590377995</v>
      </c>
      <c r="AK316" s="36">
        <f>+S88*テーブル2[[#This Row],[F_form]]/(E88*CpFromTP((テーブル2[[#This Row],[Tin]]+テーブル2[[#This Row],[Tf]])/2,テーブル2[[#This Row],[P]])*AI88)</f>
        <v>2.002796892060061</v>
      </c>
      <c r="AL316" s="36">
        <f t="shared" si="128"/>
        <v>1.1293676909872215</v>
      </c>
      <c r="AM316" s="36">
        <f t="shared" si="129"/>
        <v>575.76738633575872</v>
      </c>
      <c r="AN316" s="36">
        <f t="shared" si="130"/>
        <v>32.853687662764855</v>
      </c>
      <c r="AO316" s="36">
        <f t="shared" si="131"/>
        <v>-2.3666740415645529E-5</v>
      </c>
      <c r="AP316" s="36">
        <v>1</v>
      </c>
      <c r="AQ316" s="36">
        <f t="shared" si="132"/>
        <v>5.4530931276593132E-4</v>
      </c>
      <c r="AR316" s="36">
        <f t="shared" si="133"/>
        <v>-6.8333702078227651E-6</v>
      </c>
      <c r="AS316" s="36">
        <f t="shared" si="134"/>
        <v>-11.387277485213524</v>
      </c>
      <c r="AT316" s="36">
        <f t="shared" si="135"/>
        <v>-11.387277485213524</v>
      </c>
      <c r="AU316" s="36">
        <f t="shared" si="136"/>
        <v>-2.1932837889372383</v>
      </c>
      <c r="AV316" s="36">
        <f t="shared" si="137"/>
        <v>3.1932837889372383</v>
      </c>
      <c r="AW316" s="36">
        <f t="shared" si="138"/>
        <v>2.0240819758203108E-2</v>
      </c>
      <c r="AX316" s="36">
        <f t="shared" si="139"/>
        <v>0.67534475256316762</v>
      </c>
      <c r="AY316" s="36">
        <f t="shared" si="140"/>
        <v>2.5179390363740706</v>
      </c>
      <c r="AZ316" s="36">
        <f t="shared" si="141"/>
        <v>1080577.7610325073</v>
      </c>
      <c r="BA316" s="36">
        <f t="shared" si="142"/>
        <v>5.4530931276593132E-4</v>
      </c>
      <c r="BB316" s="38">
        <f t="shared" si="143"/>
        <v>-29304796.356413357</v>
      </c>
      <c r="BC316" s="40">
        <f t="shared" si="144"/>
        <v>-35140787.856413357</v>
      </c>
      <c r="BD316" s="41">
        <f t="shared" si="145"/>
        <v>-602.13911991498549</v>
      </c>
      <c r="BE316" s="38">
        <v>5835991.5</v>
      </c>
      <c r="BF316" s="42">
        <f>テーブル2[[#This Row],[q_P]]/テーブル2[[#This Row],[q_M]]</f>
        <v>-5.0213911991498543</v>
      </c>
      <c r="BG316" s="36">
        <v>1</v>
      </c>
      <c r="BH316" s="36">
        <v>-5.6000000000000001E-2</v>
      </c>
      <c r="BI316" s="36">
        <v>4.5999999999999999E-2</v>
      </c>
      <c r="BJ316" s="36">
        <v>5625</v>
      </c>
      <c r="BK316" s="22">
        <v>1</v>
      </c>
      <c r="BL316" s="36">
        <f>テーブル2[[#This Row],[Ts]]-テーブル2[[#This Row],[Tin]]</f>
        <v>94.401865877659247</v>
      </c>
      <c r="BM316" s="36">
        <f>テーブル2[[#This Row],[q_P]]*0.000001</f>
        <v>-29.304796356413355</v>
      </c>
      <c r="BN316" s="36">
        <f>テーブル2[[#This Row],[Tsub]]</f>
        <v>94.401865877659247</v>
      </c>
      <c r="BO316" s="36">
        <f>テーブル2[[#This Row],[Fcorr]]</f>
        <v>1</v>
      </c>
      <c r="BP316" s="36">
        <f>(テーブル2[[#This Row],[Tsub]]-40)^2</f>
        <v>2959.5630109708254</v>
      </c>
      <c r="BQ316" s="36">
        <v>1</v>
      </c>
      <c r="BR316" s="36">
        <v>0.3175</v>
      </c>
    </row>
    <row r="317" spans="1:70" x14ac:dyDescent="0.15">
      <c r="A317" s="35" t="s">
        <v>135</v>
      </c>
      <c r="B317" s="36">
        <v>13789514.586336</v>
      </c>
      <c r="C317" s="22">
        <f>TsatFromP(テーブル2[[#This Row],[P]])</f>
        <v>608.62107399852357</v>
      </c>
      <c r="D317" s="36">
        <f>RhoGFromP(テーブル2[[#This Row],[P]])</f>
        <v>85.147847035840741</v>
      </c>
      <c r="E317" s="36">
        <f>RhoFFromP(テーブル2[[#This Row],[P]])</f>
        <v>624.86636713482415</v>
      </c>
      <c r="F317" s="36">
        <f>HgFromP(テーブル2[[#This Row],[P]])</f>
        <v>2643264.5206450778</v>
      </c>
      <c r="G317" s="36">
        <f>HfFromP(テーブル2[[#This Row],[P]])</f>
        <v>1562686.7596125705</v>
      </c>
      <c r="H317" s="36">
        <f>MuGFromP(テーブル2[[#This Row],[P]])</f>
        <v>2.2019591234371903E-5</v>
      </c>
      <c r="I317" s="36">
        <f>MuFFromP(テーブル2[[#This Row],[P]])</f>
        <v>7.222326555143516E-5</v>
      </c>
      <c r="J317" s="36">
        <f>KfFromP(テーブル2[[#This Row],[P]])</f>
        <v>0.49112131073334553</v>
      </c>
      <c r="K317" s="36">
        <f>CpFFromP(テーブル2[[#This Row],[P]])</f>
        <v>7679.7488518783057</v>
      </c>
      <c r="L317" s="36">
        <f>SigmaFromP(テーブル2[[#This Row],[P]])</f>
        <v>6.5036449518301549E-3</v>
      </c>
      <c r="M317" s="36">
        <v>203.01</v>
      </c>
      <c r="N317" s="36">
        <v>3458.3865000000001</v>
      </c>
      <c r="O317" s="37">
        <f t="shared" si="146"/>
        <v>1.7719053836560394E-5</v>
      </c>
      <c r="P317" s="37">
        <f t="shared" si="147"/>
        <v>1.4921936786020797E-2</v>
      </c>
      <c r="Q317" s="37">
        <v>4.7497999999999993E-3</v>
      </c>
      <c r="R317" s="36">
        <v>0.3175</v>
      </c>
      <c r="S317" s="38">
        <v>4763430.8999999994</v>
      </c>
      <c r="T317" s="36">
        <v>532.05389746632522</v>
      </c>
      <c r="U317" s="12">
        <f>+T317+BG317*S317*テーブル2[[#This Row],[Pw]]*R317/(N317*O317*K317)</f>
        <v>580.00821585912433</v>
      </c>
      <c r="V317" s="36">
        <v>0.03</v>
      </c>
      <c r="W317" s="37">
        <f t="shared" si="118"/>
        <v>227442.55708018978</v>
      </c>
      <c r="X317" s="36">
        <v>0.01</v>
      </c>
      <c r="Y317" s="36">
        <f t="shared" si="119"/>
        <v>10</v>
      </c>
      <c r="Z317" s="36">
        <f t="shared" si="120"/>
        <v>5.6495929145008867</v>
      </c>
      <c r="AA317" s="36">
        <f t="shared" si="121"/>
        <v>4.3504070854991133</v>
      </c>
      <c r="AB317" s="36">
        <f t="shared" si="122"/>
        <v>3.2618812963107787E-5</v>
      </c>
      <c r="AC317" s="36">
        <v>600</v>
      </c>
      <c r="AD317" s="36">
        <f t="shared" si="123"/>
        <v>4020.654361045265</v>
      </c>
      <c r="AE317" s="36">
        <f>+gettm2(AD317,AC317,AK317,AL317,テーブル2[[#This Row],[Fcorr]])</f>
        <v>551.90895960734144</v>
      </c>
      <c r="AF317" s="39">
        <f t="shared" si="124"/>
        <v>-28.09925625178289</v>
      </c>
      <c r="AG317" s="36">
        <v>1.0000000000000001E-5</v>
      </c>
      <c r="AH317" s="36">
        <f t="shared" si="125"/>
        <v>23.92599004452741</v>
      </c>
      <c r="AI317" s="36">
        <f t="shared" si="126"/>
        <v>0.19567772204855827</v>
      </c>
      <c r="AJ317" s="36">
        <f t="shared" si="127"/>
        <v>16.92978382687804</v>
      </c>
      <c r="AK317" s="36">
        <f>+S88*テーブル2[[#This Row],[F_form]]/(E88*CpFromTP((テーブル2[[#This Row],[Tin]]+テーブル2[[#This Row],[Tf]])/2,テーブル2[[#This Row],[P]])*AI88)</f>
        <v>1.9356226996102095</v>
      </c>
      <c r="AL317" s="36">
        <f t="shared" si="128"/>
        <v>1.1293676909872215</v>
      </c>
      <c r="AM317" s="36">
        <f t="shared" si="129"/>
        <v>576.42173402096603</v>
      </c>
      <c r="AN317" s="36">
        <f t="shared" si="130"/>
        <v>32.199339977557543</v>
      </c>
      <c r="AO317" s="36">
        <f t="shared" si="131"/>
        <v>-2.2618812963107788E-5</v>
      </c>
      <c r="AP317" s="36">
        <v>1</v>
      </c>
      <c r="AQ317" s="36">
        <f t="shared" si="132"/>
        <v>5.4530931276593132E-4</v>
      </c>
      <c r="AR317" s="36">
        <f t="shared" si="133"/>
        <v>-6.3094064815538945E-6</v>
      </c>
      <c r="AS317" s="36">
        <f t="shared" si="134"/>
        <v>-10.681688780861061</v>
      </c>
      <c r="AT317" s="36">
        <f t="shared" si="135"/>
        <v>-10.681688780861061</v>
      </c>
      <c r="AU317" s="36">
        <f t="shared" si="136"/>
        <v>-2.0901685282705338</v>
      </c>
      <c r="AV317" s="36">
        <f t="shared" si="137"/>
        <v>3.0901685282705338</v>
      </c>
      <c r="AW317" s="36">
        <f t="shared" si="138"/>
        <v>1.9610794088220744E-2</v>
      </c>
      <c r="AX317" s="36">
        <f t="shared" si="139"/>
        <v>0.68610721873947311</v>
      </c>
      <c r="AY317" s="36">
        <f t="shared" si="140"/>
        <v>2.4040613095310608</v>
      </c>
      <c r="AZ317" s="36">
        <f t="shared" si="141"/>
        <v>1080577.7610325073</v>
      </c>
      <c r="BA317" s="36">
        <f t="shared" si="142"/>
        <v>5.4530931276593132E-4</v>
      </c>
      <c r="BB317" s="38">
        <f t="shared" si="143"/>
        <v>-28007224.318456985</v>
      </c>
      <c r="BC317" s="40">
        <f t="shared" si="144"/>
        <v>-32770655.218456984</v>
      </c>
      <c r="BD317" s="41">
        <f t="shared" si="145"/>
        <v>-687.96327492557907</v>
      </c>
      <c r="BE317" s="38">
        <v>4763430.8999999994</v>
      </c>
      <c r="BF317" s="42">
        <f>テーブル2[[#This Row],[q_P]]/テーブル2[[#This Row],[q_M]]</f>
        <v>-5.8796327492557916</v>
      </c>
      <c r="BG317" s="36">
        <v>1</v>
      </c>
      <c r="BH317" s="36">
        <v>-6.0999999999999999E-2</v>
      </c>
      <c r="BI317" s="36">
        <v>4.5999999999999999E-2</v>
      </c>
      <c r="BJ317" s="36">
        <v>5625</v>
      </c>
      <c r="BK317" s="22">
        <v>1</v>
      </c>
      <c r="BL317" s="36">
        <f>テーブル2[[#This Row],[Ts]]-テーブル2[[#This Row],[Tin]]</f>
        <v>76.567176532198346</v>
      </c>
      <c r="BM317" s="36">
        <f>テーブル2[[#This Row],[q_P]]*0.000001</f>
        <v>-28.007224318456984</v>
      </c>
      <c r="BN317" s="36">
        <f>テーブル2[[#This Row],[Tsub]]</f>
        <v>76.567176532198346</v>
      </c>
      <c r="BO317" s="36">
        <f>テーブル2[[#This Row],[Fcorr]]</f>
        <v>1</v>
      </c>
      <c r="BP317" s="36">
        <f>(テーブル2[[#This Row],[Tsub]]-40)^2</f>
        <v>1337.1583995369574</v>
      </c>
      <c r="BQ317" s="36">
        <v>1</v>
      </c>
      <c r="BR317" s="36">
        <v>0.3175</v>
      </c>
    </row>
    <row r="318" spans="1:70" x14ac:dyDescent="0.15">
      <c r="A318" s="35" t="s">
        <v>136</v>
      </c>
      <c r="B318" s="36">
        <v>13789514.586336</v>
      </c>
      <c r="C318" s="22">
        <f>TsatFromP(テーブル2[[#This Row],[P]])</f>
        <v>608.62107399852357</v>
      </c>
      <c r="D318" s="36">
        <f>RhoGFromP(テーブル2[[#This Row],[P]])</f>
        <v>85.147847035840741</v>
      </c>
      <c r="E318" s="36">
        <f>RhoFFromP(テーブル2[[#This Row],[P]])</f>
        <v>624.86636713482415</v>
      </c>
      <c r="F318" s="36">
        <f>HgFromP(テーブル2[[#This Row],[P]])</f>
        <v>2643264.5206450778</v>
      </c>
      <c r="G318" s="36">
        <f>HfFromP(テーブル2[[#This Row],[P]])</f>
        <v>1562686.7596125705</v>
      </c>
      <c r="H318" s="36">
        <f>MuGFromP(テーブル2[[#This Row],[P]])</f>
        <v>2.2019591234371903E-5</v>
      </c>
      <c r="I318" s="36">
        <f>MuFFromP(テーブル2[[#This Row],[P]])</f>
        <v>7.222326555143516E-5</v>
      </c>
      <c r="J318" s="36">
        <f>KfFromP(テーブル2[[#This Row],[P]])</f>
        <v>0.49112131073334553</v>
      </c>
      <c r="K318" s="36">
        <f>CpFFromP(テーブル2[[#This Row],[P]])</f>
        <v>7679.7488518783057</v>
      </c>
      <c r="L318" s="36">
        <f>SigmaFromP(テーブル2[[#This Row],[P]])</f>
        <v>6.5036449518301549E-3</v>
      </c>
      <c r="M318" s="36">
        <v>204.01</v>
      </c>
      <c r="N318" s="36">
        <v>3471.9488000000001</v>
      </c>
      <c r="O318" s="37">
        <f t="shared" si="146"/>
        <v>1.7719053836560394E-5</v>
      </c>
      <c r="P318" s="37">
        <f t="shared" si="147"/>
        <v>1.4921936786020797E-2</v>
      </c>
      <c r="Q318" s="37">
        <v>4.7497999999999993E-3</v>
      </c>
      <c r="R318" s="36">
        <v>0.3175</v>
      </c>
      <c r="S318" s="38">
        <v>5741353.7999999998</v>
      </c>
      <c r="T318" s="36">
        <v>500.82843312480281</v>
      </c>
      <c r="U318" s="12">
        <f>+T318+BG318*S318*テーブル2[[#This Row],[Pw]]*R318/(N318*O318*K318)</f>
        <v>558.4018995106112</v>
      </c>
      <c r="V318" s="36">
        <v>0.03</v>
      </c>
      <c r="W318" s="37">
        <f t="shared" si="118"/>
        <v>228334.48867658273</v>
      </c>
      <c r="X318" s="36">
        <v>0.01</v>
      </c>
      <c r="Y318" s="36">
        <f t="shared" si="119"/>
        <v>10</v>
      </c>
      <c r="Z318" s="36">
        <f t="shared" si="120"/>
        <v>5.656140316735903</v>
      </c>
      <c r="AA318" s="36">
        <f t="shared" si="121"/>
        <v>4.343859683264097</v>
      </c>
      <c r="AB318" s="36">
        <f t="shared" si="122"/>
        <v>3.2364476210419978E-5</v>
      </c>
      <c r="AC318" s="36">
        <v>600</v>
      </c>
      <c r="AD318" s="36">
        <f t="shared" si="123"/>
        <v>4036.4216330493641</v>
      </c>
      <c r="AE318" s="36">
        <f>+gettm2(AD318,AC318,AK318,AL318,テーブル2[[#This Row],[Fcorr]])</f>
        <v>548.54430331365131</v>
      </c>
      <c r="AF318" s="39">
        <f t="shared" si="124"/>
        <v>-9.8575961969598893</v>
      </c>
      <c r="AG318" s="36">
        <v>1.0000000000000001E-5</v>
      </c>
      <c r="AH318" s="36">
        <f t="shared" si="125"/>
        <v>24.114012819041111</v>
      </c>
      <c r="AI318" s="36">
        <f t="shared" si="126"/>
        <v>0.19644508566443497</v>
      </c>
      <c r="AJ318" s="36">
        <f t="shared" si="127"/>
        <v>16.996175136003053</v>
      </c>
      <c r="AK318" s="36">
        <f>+S88*テーブル2[[#This Row],[F_form]]/(E88*CpFromTP((テーブル2[[#This Row],[Tin]]+テーブル2[[#This Row],[Tf]])/2,テーブル2[[#This Row],[P]])*AI88)</f>
        <v>2.0702262576200514</v>
      </c>
      <c r="AL318" s="36">
        <f t="shared" si="128"/>
        <v>1.1293676909872215</v>
      </c>
      <c r="AM318" s="36">
        <f t="shared" si="129"/>
        <v>574.74016808016063</v>
      </c>
      <c r="AN318" s="36">
        <f t="shared" si="130"/>
        <v>33.880905918362942</v>
      </c>
      <c r="AO318" s="36">
        <f t="shared" si="131"/>
        <v>-2.2364476210419979E-5</v>
      </c>
      <c r="AP318" s="36">
        <v>1</v>
      </c>
      <c r="AQ318" s="36">
        <f t="shared" si="132"/>
        <v>5.4530931276593132E-4</v>
      </c>
      <c r="AR318" s="36">
        <f t="shared" si="133"/>
        <v>-6.18223810520999E-6</v>
      </c>
      <c r="AS318" s="36">
        <f t="shared" si="134"/>
        <v>-10.507440156862064</v>
      </c>
      <c r="AT318" s="36">
        <f t="shared" si="135"/>
        <v>-10.507440156862064</v>
      </c>
      <c r="AU318" s="36">
        <f t="shared" si="136"/>
        <v>-2.0641349817286923</v>
      </c>
      <c r="AV318" s="36">
        <f t="shared" si="137"/>
        <v>3.0641349817286923</v>
      </c>
      <c r="AW318" s="36">
        <f t="shared" si="138"/>
        <v>1.9457883996376858E-2</v>
      </c>
      <c r="AX318" s="36">
        <f t="shared" si="139"/>
        <v>0.68879783528354954</v>
      </c>
      <c r="AY318" s="36">
        <f t="shared" si="140"/>
        <v>2.3753371464451427</v>
      </c>
      <c r="AZ318" s="36">
        <f t="shared" si="141"/>
        <v>1080577.7610325073</v>
      </c>
      <c r="BA318" s="36">
        <f t="shared" si="142"/>
        <v>5.4530931276593132E-4</v>
      </c>
      <c r="BB318" s="38">
        <f t="shared" si="143"/>
        <v>-27692297.690937955</v>
      </c>
      <c r="BC318" s="40">
        <f t="shared" si="144"/>
        <v>-33433651.490937956</v>
      </c>
      <c r="BD318" s="41">
        <f t="shared" si="145"/>
        <v>-582.3304512419694</v>
      </c>
      <c r="BE318" s="38">
        <v>5741353.7999999998</v>
      </c>
      <c r="BF318" s="42">
        <f>テーブル2[[#This Row],[q_P]]/テーブル2[[#This Row],[q_M]]</f>
        <v>-4.8233045124196936</v>
      </c>
      <c r="BG318" s="36">
        <v>1</v>
      </c>
      <c r="BH318" s="36">
        <v>-0.128</v>
      </c>
      <c r="BI318" s="36">
        <v>4.5999999999999999E-2</v>
      </c>
      <c r="BJ318" s="36">
        <v>5625</v>
      </c>
      <c r="BK318" s="22">
        <v>1</v>
      </c>
      <c r="BL318" s="36">
        <f>テーブル2[[#This Row],[Ts]]-テーブル2[[#This Row],[Tin]]</f>
        <v>107.79264087372076</v>
      </c>
      <c r="BM318" s="36">
        <f>テーブル2[[#This Row],[q_P]]*0.000001</f>
        <v>-27.692297690937952</v>
      </c>
      <c r="BN318" s="36">
        <f>テーブル2[[#This Row],[Tsub]]</f>
        <v>107.79264087372076</v>
      </c>
      <c r="BO318" s="36">
        <f>テーブル2[[#This Row],[Fcorr]]</f>
        <v>1</v>
      </c>
      <c r="BP318" s="36">
        <f>(テーブル2[[#This Row],[Tsub]]-40)^2</f>
        <v>4595.8421566332745</v>
      </c>
      <c r="BQ318" s="36">
        <v>1</v>
      </c>
      <c r="BR318" s="36">
        <v>0.3175</v>
      </c>
    </row>
    <row r="319" spans="1:70" x14ac:dyDescent="0.15">
      <c r="A319" s="35" t="s">
        <v>137</v>
      </c>
      <c r="B319" s="36">
        <v>13789514.586336</v>
      </c>
      <c r="C319" s="22">
        <f>TsatFromP(テーブル2[[#This Row],[P]])</f>
        <v>608.62107399852357</v>
      </c>
      <c r="D319" s="36">
        <f>RhoGFromP(テーブル2[[#This Row],[P]])</f>
        <v>85.147847035840741</v>
      </c>
      <c r="E319" s="36">
        <f>RhoFFromP(テーブル2[[#This Row],[P]])</f>
        <v>624.86636713482415</v>
      </c>
      <c r="F319" s="36">
        <f>HgFromP(テーブル2[[#This Row],[P]])</f>
        <v>2643264.5206450778</v>
      </c>
      <c r="G319" s="36">
        <f>HfFromP(テーブル2[[#This Row],[P]])</f>
        <v>1562686.7596125705</v>
      </c>
      <c r="H319" s="36">
        <f>MuGFromP(テーブル2[[#This Row],[P]])</f>
        <v>2.2019591234371903E-5</v>
      </c>
      <c r="I319" s="36">
        <f>MuFFromP(テーブル2[[#This Row],[P]])</f>
        <v>7.222326555143516E-5</v>
      </c>
      <c r="J319" s="36">
        <f>KfFromP(テーブル2[[#This Row],[P]])</f>
        <v>0.49112131073334553</v>
      </c>
      <c r="K319" s="36">
        <f>CpFFromP(テーブル2[[#This Row],[P]])</f>
        <v>7679.7488518783057</v>
      </c>
      <c r="L319" s="36">
        <f>SigmaFromP(テーブル2[[#This Row],[P]])</f>
        <v>6.5036449518301549E-3</v>
      </c>
      <c r="M319" s="36">
        <v>205.01</v>
      </c>
      <c r="N319" s="36">
        <v>3594.0095000000001</v>
      </c>
      <c r="O319" s="37">
        <f t="shared" si="146"/>
        <v>1.7719053836560394E-5</v>
      </c>
      <c r="P319" s="37">
        <f t="shared" si="147"/>
        <v>1.4921936786020797E-2</v>
      </c>
      <c r="Q319" s="37">
        <v>4.7497999999999993E-3</v>
      </c>
      <c r="R319" s="36">
        <v>0.3175</v>
      </c>
      <c r="S319" s="38">
        <v>6940098</v>
      </c>
      <c r="T319" s="36">
        <v>446.36479170134942</v>
      </c>
      <c r="U319" s="12">
        <f>+T319+BG319*S319*テーブル2[[#This Row],[Pw]]*R319/(N319*O319*K319)</f>
        <v>513.59551172724048</v>
      </c>
      <c r="V319" s="36">
        <v>0.03</v>
      </c>
      <c r="W319" s="37">
        <f t="shared" si="118"/>
        <v>236361.87304411881</v>
      </c>
      <c r="X319" s="36">
        <v>0.01</v>
      </c>
      <c r="Y319" s="36">
        <f t="shared" si="119"/>
        <v>10</v>
      </c>
      <c r="Z319" s="36">
        <f t="shared" si="120"/>
        <v>5.7139015929018795</v>
      </c>
      <c r="AA319" s="36">
        <f t="shared" si="121"/>
        <v>4.2860984070981205</v>
      </c>
      <c r="AB319" s="36">
        <f t="shared" si="122"/>
        <v>3.0203464762208382E-5</v>
      </c>
      <c r="AC319" s="36">
        <v>600</v>
      </c>
      <c r="AD319" s="36">
        <f t="shared" si="123"/>
        <v>4178.3270810862559</v>
      </c>
      <c r="AE319" s="36">
        <f>+gettm2(AD319,AC319,AK319,AL319,テーブル2[[#This Row],[Fcorr]])</f>
        <v>544.39259960887659</v>
      </c>
      <c r="AF319" s="39">
        <f t="shared" si="124"/>
        <v>30.797087881636116</v>
      </c>
      <c r="AG319" s="36">
        <v>1.0000000000000001E-5</v>
      </c>
      <c r="AH319" s="36">
        <f t="shared" si="125"/>
        <v>25.839333346819494</v>
      </c>
      <c r="AI319" s="36">
        <f t="shared" si="126"/>
        <v>0.20335135820732528</v>
      </c>
      <c r="AJ319" s="36">
        <f t="shared" si="127"/>
        <v>17.593696918128163</v>
      </c>
      <c r="AK319" s="36">
        <f>+S88*テーブル2[[#This Row],[F_form]]/(E88*CpFromTP((テーブル2[[#This Row],[Tin]]+テーブル2[[#This Row],[Tf]])/2,テーブル2[[#This Row],[P]])*AI88)</f>
        <v>2.2294617842623179</v>
      </c>
      <c r="AL319" s="36">
        <f t="shared" si="128"/>
        <v>1.1293676909872215</v>
      </c>
      <c r="AM319" s="36">
        <f t="shared" si="129"/>
        <v>572.39889742553794</v>
      </c>
      <c r="AN319" s="36">
        <f t="shared" si="130"/>
        <v>36.222176572985632</v>
      </c>
      <c r="AO319" s="36">
        <f t="shared" si="131"/>
        <v>-2.0203464762208383E-5</v>
      </c>
      <c r="AP319" s="36">
        <v>1</v>
      </c>
      <c r="AQ319" s="36">
        <f t="shared" si="132"/>
        <v>5.4530931276593132E-4</v>
      </c>
      <c r="AR319" s="36">
        <f t="shared" si="133"/>
        <v>-5.1017323811041921E-6</v>
      </c>
      <c r="AS319" s="36">
        <f t="shared" si="134"/>
        <v>-8.9758333270547457</v>
      </c>
      <c r="AT319" s="36">
        <f t="shared" si="135"/>
        <v>-8.9758333270547457</v>
      </c>
      <c r="AU319" s="36">
        <f t="shared" si="136"/>
        <v>-1.8252478980991578</v>
      </c>
      <c r="AV319" s="36">
        <f t="shared" si="137"/>
        <v>2.8252478980991578</v>
      </c>
      <c r="AW319" s="36">
        <f t="shared" si="138"/>
        <v>1.8158659816113261E-2</v>
      </c>
      <c r="AX319" s="36">
        <f t="shared" si="139"/>
        <v>0.71301338418023674</v>
      </c>
      <c r="AY319" s="36">
        <f t="shared" si="140"/>
        <v>2.1122345139189211</v>
      </c>
      <c r="AZ319" s="36">
        <f t="shared" si="141"/>
        <v>1080577.7610325073</v>
      </c>
      <c r="BA319" s="36">
        <f t="shared" si="142"/>
        <v>5.4530931276593132E-4</v>
      </c>
      <c r="BB319" s="38">
        <f t="shared" si="143"/>
        <v>-25016475.025816984</v>
      </c>
      <c r="BC319" s="40">
        <f t="shared" si="144"/>
        <v>-31956573.025816984</v>
      </c>
      <c r="BD319" s="41">
        <f t="shared" si="145"/>
        <v>-460.46284974386504</v>
      </c>
      <c r="BE319" s="38">
        <v>6940098</v>
      </c>
      <c r="BF319" s="42">
        <f>テーブル2[[#This Row],[q_P]]/テーブル2[[#This Row],[q_M]]</f>
        <v>-3.6046284974386507</v>
      </c>
      <c r="BG319" s="36">
        <v>1</v>
      </c>
      <c r="BH319" s="36">
        <v>-0.28399999999999997</v>
      </c>
      <c r="BI319" s="36">
        <v>4.5999999999999999E-2</v>
      </c>
      <c r="BJ319" s="36">
        <v>5625</v>
      </c>
      <c r="BK319" s="22">
        <v>1</v>
      </c>
      <c r="BL319" s="36">
        <f>テーブル2[[#This Row],[Ts]]-テーブル2[[#This Row],[Tin]]</f>
        <v>162.25628229717415</v>
      </c>
      <c r="BM319" s="36">
        <f>テーブル2[[#This Row],[q_P]]*0.000001</f>
        <v>-25.016475025816984</v>
      </c>
      <c r="BN319" s="36">
        <f>テーブル2[[#This Row],[Tsub]]</f>
        <v>162.25628229717415</v>
      </c>
      <c r="BO319" s="36">
        <f>テーブル2[[#This Row],[Fcorr]]</f>
        <v>1</v>
      </c>
      <c r="BP319" s="36">
        <f>(テーブル2[[#This Row],[Tsub]]-40)^2</f>
        <v>14946.598561126339</v>
      </c>
      <c r="BQ319" s="36">
        <v>1</v>
      </c>
      <c r="BR319" s="36">
        <v>0.3175</v>
      </c>
    </row>
    <row r="320" spans="1:70" x14ac:dyDescent="0.15">
      <c r="A320" s="35" t="s">
        <v>138</v>
      </c>
      <c r="B320" s="36">
        <v>13789514.586336</v>
      </c>
      <c r="C320" s="22">
        <f>TsatFromP(テーブル2[[#This Row],[P]])</f>
        <v>608.62107399852357</v>
      </c>
      <c r="D320" s="36">
        <f>RhoGFromP(テーブル2[[#This Row],[P]])</f>
        <v>85.147847035840741</v>
      </c>
      <c r="E320" s="36">
        <f>RhoFFromP(テーブル2[[#This Row],[P]])</f>
        <v>624.86636713482415</v>
      </c>
      <c r="F320" s="36">
        <f>HgFromP(テーブル2[[#This Row],[P]])</f>
        <v>2643264.5206450778</v>
      </c>
      <c r="G320" s="36">
        <f>HfFromP(テーブル2[[#This Row],[P]])</f>
        <v>1562686.7596125705</v>
      </c>
      <c r="H320" s="36">
        <f>MuGFromP(テーブル2[[#This Row],[P]])</f>
        <v>2.2019591234371903E-5</v>
      </c>
      <c r="I320" s="36">
        <f>MuFFromP(テーブル2[[#This Row],[P]])</f>
        <v>7.222326555143516E-5</v>
      </c>
      <c r="J320" s="36">
        <f>KfFromP(テーブル2[[#This Row],[P]])</f>
        <v>0.49112131073334553</v>
      </c>
      <c r="K320" s="36">
        <f>CpFFromP(テーブル2[[#This Row],[P]])</f>
        <v>7679.7488518783057</v>
      </c>
      <c r="L320" s="36">
        <f>SigmaFromP(テーブル2[[#This Row],[P]])</f>
        <v>6.5036449518301549E-3</v>
      </c>
      <c r="M320" s="36">
        <v>206.01</v>
      </c>
      <c r="N320" s="36">
        <v>3594.0095000000001</v>
      </c>
      <c r="O320" s="37">
        <f t="shared" si="146"/>
        <v>1.7719053836560394E-5</v>
      </c>
      <c r="P320" s="37">
        <f t="shared" si="147"/>
        <v>1.4921936786020797E-2</v>
      </c>
      <c r="Q320" s="37">
        <v>4.7497999999999993E-3</v>
      </c>
      <c r="R320" s="36">
        <v>0.3175</v>
      </c>
      <c r="S320" s="38">
        <v>6940098</v>
      </c>
      <c r="T320" s="36">
        <v>479.80174976923308</v>
      </c>
      <c r="U320" s="12">
        <f>+T320+BG320*S320*テーブル2[[#This Row],[Pw]]*R320/(N320*O320*K320)</f>
        <v>547.03246979512414</v>
      </c>
      <c r="V320" s="36">
        <v>0.03</v>
      </c>
      <c r="W320" s="37">
        <f t="shared" si="118"/>
        <v>236361.87304411881</v>
      </c>
      <c r="X320" s="36">
        <v>0.01</v>
      </c>
      <c r="Y320" s="36">
        <f t="shared" si="119"/>
        <v>10</v>
      </c>
      <c r="Z320" s="36">
        <f t="shared" si="120"/>
        <v>5.7139015929018795</v>
      </c>
      <c r="AA320" s="36">
        <f t="shared" si="121"/>
        <v>4.2860984070981205</v>
      </c>
      <c r="AB320" s="36">
        <f t="shared" si="122"/>
        <v>3.0203464762208382E-5</v>
      </c>
      <c r="AC320" s="36">
        <v>600</v>
      </c>
      <c r="AD320" s="36">
        <f t="shared" si="123"/>
        <v>4178.3270810862559</v>
      </c>
      <c r="AE320" s="36">
        <f>+gettm2(AD320,AC320,AK320,AL320,テーブル2[[#This Row],[Fcorr]])</f>
        <v>546.8110903135464</v>
      </c>
      <c r="AF320" s="39">
        <f t="shared" si="124"/>
        <v>-0.2213794815777419</v>
      </c>
      <c r="AG320" s="36">
        <v>1.0000000000000001E-5</v>
      </c>
      <c r="AH320" s="36">
        <f t="shared" si="125"/>
        <v>25.839333346819494</v>
      </c>
      <c r="AI320" s="36">
        <f t="shared" si="126"/>
        <v>0.20335135820732528</v>
      </c>
      <c r="AJ320" s="36">
        <f t="shared" si="127"/>
        <v>17.593696918128163</v>
      </c>
      <c r="AK320" s="36">
        <f>+S88*テーブル2[[#This Row],[F_form]]/(E88*CpFromTP((テーブル2[[#This Row],[Tin]]+テーブル2[[#This Row],[Tf]])/2,テーブル2[[#This Row],[P]])*AI88)</f>
        <v>2.1324974851990661</v>
      </c>
      <c r="AL320" s="36">
        <f t="shared" si="128"/>
        <v>1.1293676909872215</v>
      </c>
      <c r="AM320" s="36">
        <f t="shared" si="129"/>
        <v>573.59933135241556</v>
      </c>
      <c r="AN320" s="36">
        <f t="shared" si="130"/>
        <v>35.021742646108009</v>
      </c>
      <c r="AO320" s="36">
        <f t="shared" si="131"/>
        <v>-2.0203464762208383E-5</v>
      </c>
      <c r="AP320" s="36">
        <v>1</v>
      </c>
      <c r="AQ320" s="36">
        <f t="shared" si="132"/>
        <v>5.4530931276593132E-4</v>
      </c>
      <c r="AR320" s="36">
        <f t="shared" si="133"/>
        <v>-5.1017323811041921E-6</v>
      </c>
      <c r="AS320" s="36">
        <f t="shared" si="134"/>
        <v>-8.9758333270547457</v>
      </c>
      <c r="AT320" s="36">
        <f t="shared" si="135"/>
        <v>-8.9758333270547457</v>
      </c>
      <c r="AU320" s="36">
        <f t="shared" si="136"/>
        <v>-1.8252478980991578</v>
      </c>
      <c r="AV320" s="36">
        <f t="shared" si="137"/>
        <v>2.8252478980991578</v>
      </c>
      <c r="AW320" s="36">
        <f t="shared" si="138"/>
        <v>1.8158659816113261E-2</v>
      </c>
      <c r="AX320" s="36">
        <f t="shared" si="139"/>
        <v>0.71301338418023674</v>
      </c>
      <c r="AY320" s="36">
        <f t="shared" si="140"/>
        <v>2.1122345139189211</v>
      </c>
      <c r="AZ320" s="36">
        <f t="shared" si="141"/>
        <v>1080577.7610325073</v>
      </c>
      <c r="BA320" s="36">
        <f t="shared" si="142"/>
        <v>5.4530931276593132E-4</v>
      </c>
      <c r="BB320" s="38">
        <f t="shared" si="143"/>
        <v>-25016475.025816984</v>
      </c>
      <c r="BC320" s="40">
        <f t="shared" si="144"/>
        <v>-31956573.025816984</v>
      </c>
      <c r="BD320" s="41">
        <f t="shared" si="145"/>
        <v>-460.46284974386504</v>
      </c>
      <c r="BE320" s="38">
        <v>6940098</v>
      </c>
      <c r="BF320" s="42">
        <f>テーブル2[[#This Row],[q_P]]/テーブル2[[#This Row],[q_M]]</f>
        <v>-3.6046284974386507</v>
      </c>
      <c r="BG320" s="36">
        <v>1</v>
      </c>
      <c r="BH320" s="36">
        <v>-0.14799999999999999</v>
      </c>
      <c r="BI320" s="36">
        <v>4.5999999999999999E-2</v>
      </c>
      <c r="BJ320" s="36">
        <v>5625</v>
      </c>
      <c r="BK320" s="22">
        <v>1</v>
      </c>
      <c r="BL320" s="36">
        <f>テーブル2[[#This Row],[Ts]]-テーブル2[[#This Row],[Tin]]</f>
        <v>128.81932422929049</v>
      </c>
      <c r="BM320" s="36">
        <f>テーブル2[[#This Row],[q_P]]*0.000001</f>
        <v>-25.016475025816984</v>
      </c>
      <c r="BN320" s="36">
        <f>テーブル2[[#This Row],[Tsub]]</f>
        <v>128.81932422929049</v>
      </c>
      <c r="BO320" s="36">
        <f>テーブル2[[#This Row],[Fcorr]]</f>
        <v>1</v>
      </c>
      <c r="BP320" s="36">
        <f>(テーブル2[[#This Row],[Tsub]]-40)^2</f>
        <v>7888.8723565478285</v>
      </c>
      <c r="BQ320" s="36">
        <v>1</v>
      </c>
      <c r="BR320" s="36">
        <v>0.3175</v>
      </c>
    </row>
    <row r="321" spans="1:70" x14ac:dyDescent="0.15">
      <c r="A321" s="35" t="s">
        <v>139</v>
      </c>
      <c r="B321" s="36">
        <v>13789514.586336</v>
      </c>
      <c r="C321" s="22">
        <f>TsatFromP(テーブル2[[#This Row],[P]])</f>
        <v>608.62107399852357</v>
      </c>
      <c r="D321" s="36">
        <f>RhoGFromP(テーブル2[[#This Row],[P]])</f>
        <v>85.147847035840741</v>
      </c>
      <c r="E321" s="36">
        <f>RhoFFromP(テーブル2[[#This Row],[P]])</f>
        <v>624.86636713482415</v>
      </c>
      <c r="F321" s="36">
        <f>HgFromP(テーブル2[[#This Row],[P]])</f>
        <v>2643264.5206450778</v>
      </c>
      <c r="G321" s="36">
        <f>HfFromP(テーブル2[[#This Row],[P]])</f>
        <v>1562686.7596125705</v>
      </c>
      <c r="H321" s="36">
        <f>MuGFromP(テーブル2[[#This Row],[P]])</f>
        <v>2.2019591234371903E-5</v>
      </c>
      <c r="I321" s="36">
        <f>MuFFromP(テーブル2[[#This Row],[P]])</f>
        <v>7.222326555143516E-5</v>
      </c>
      <c r="J321" s="36">
        <f>KfFromP(テーブル2[[#This Row],[P]])</f>
        <v>0.49112131073334553</v>
      </c>
      <c r="K321" s="36">
        <f>CpFFromP(テーブル2[[#This Row],[P]])</f>
        <v>7679.7488518783057</v>
      </c>
      <c r="L321" s="36">
        <f>SigmaFromP(テーブル2[[#This Row],[P]])</f>
        <v>6.5036449518301549E-3</v>
      </c>
      <c r="M321" s="36">
        <v>207.01</v>
      </c>
      <c r="N321" s="36">
        <v>3607.5718000000002</v>
      </c>
      <c r="O321" s="37">
        <f t="shared" si="146"/>
        <v>1.7719053836560394E-5</v>
      </c>
      <c r="P321" s="37">
        <f t="shared" si="147"/>
        <v>1.4921936786020797E-2</v>
      </c>
      <c r="Q321" s="37">
        <v>4.7497999999999993E-3</v>
      </c>
      <c r="R321" s="36">
        <v>0.3175</v>
      </c>
      <c r="S321" s="38">
        <v>6214542.2999999998</v>
      </c>
      <c r="T321" s="36">
        <v>475.88059540297343</v>
      </c>
      <c r="U321" s="12">
        <f>+T321+BG321*S321*テーブル2[[#This Row],[Pw]]*R321/(N321*O321*K321)</f>
        <v>535.85632573365774</v>
      </c>
      <c r="V321" s="36">
        <v>0.03</v>
      </c>
      <c r="W321" s="37">
        <f t="shared" si="118"/>
        <v>237253.80464051172</v>
      </c>
      <c r="X321" s="36">
        <v>0.01</v>
      </c>
      <c r="Y321" s="36">
        <f t="shared" si="119"/>
        <v>10</v>
      </c>
      <c r="Z321" s="36">
        <f t="shared" si="120"/>
        <v>5.7201936338870967</v>
      </c>
      <c r="AA321" s="36">
        <f t="shared" si="121"/>
        <v>4.2798063661129033</v>
      </c>
      <c r="AB321" s="36">
        <f t="shared" si="122"/>
        <v>2.9976797910086547E-5</v>
      </c>
      <c r="AC321" s="36">
        <v>600</v>
      </c>
      <c r="AD321" s="36">
        <f t="shared" si="123"/>
        <v>4194.0943530903551</v>
      </c>
      <c r="AE321" s="36">
        <f>+gettm2(AD321,AC321,AK321,AL321,テーブル2[[#This Row],[Fcorr]])</f>
        <v>546.16256271827262</v>
      </c>
      <c r="AF321" s="39">
        <f t="shared" si="124"/>
        <v>10.306236984614884</v>
      </c>
      <c r="AG321" s="36">
        <v>1.0000000000000001E-5</v>
      </c>
      <c r="AH321" s="36">
        <f t="shared" si="125"/>
        <v>26.034715134034322</v>
      </c>
      <c r="AI321" s="36">
        <f t="shared" si="126"/>
        <v>0.20411872182320198</v>
      </c>
      <c r="AJ321" s="36">
        <f t="shared" si="127"/>
        <v>17.660088227253176</v>
      </c>
      <c r="AK321" s="36">
        <f>+S88*テーブル2[[#This Row],[F_form]]/(E88*CpFromTP((テーブル2[[#This Row],[Tin]]+テーブル2[[#This Row],[Tf]])/2,テーブル2[[#This Row],[P]])*AI88)</f>
        <v>2.15767884924457</v>
      </c>
      <c r="AL321" s="36">
        <f t="shared" si="128"/>
        <v>1.1293676909872215</v>
      </c>
      <c r="AM321" s="36">
        <f t="shared" si="129"/>
        <v>573.24558297436397</v>
      </c>
      <c r="AN321" s="36">
        <f t="shared" si="130"/>
        <v>35.375491024159601</v>
      </c>
      <c r="AO321" s="36">
        <f t="shared" si="131"/>
        <v>-1.9976797910086547E-5</v>
      </c>
      <c r="AP321" s="36">
        <v>1</v>
      </c>
      <c r="AQ321" s="36">
        <f t="shared" si="132"/>
        <v>5.4530931276593132E-4</v>
      </c>
      <c r="AR321" s="36">
        <f t="shared" si="133"/>
        <v>-4.9883989550432742E-6</v>
      </c>
      <c r="AS321" s="36">
        <f t="shared" si="134"/>
        <v>-8.8095565658801753</v>
      </c>
      <c r="AT321" s="36">
        <f t="shared" si="135"/>
        <v>-8.8095565658801753</v>
      </c>
      <c r="AU321" s="36">
        <f t="shared" si="136"/>
        <v>-1.7981954260566579</v>
      </c>
      <c r="AV321" s="36">
        <f t="shared" si="137"/>
        <v>2.7981954260566582</v>
      </c>
      <c r="AW321" s="36">
        <f t="shared" si="138"/>
        <v>1.802238517703875E-2</v>
      </c>
      <c r="AX321" s="36">
        <f t="shared" si="139"/>
        <v>0.71570400072431317</v>
      </c>
      <c r="AY321" s="36">
        <f t="shared" si="140"/>
        <v>2.082491425332345</v>
      </c>
      <c r="AZ321" s="36">
        <f t="shared" si="141"/>
        <v>1080577.7610325073</v>
      </c>
      <c r="BA321" s="36">
        <f t="shared" si="142"/>
        <v>5.4530931276593132E-4</v>
      </c>
      <c r="BB321" s="38">
        <f t="shared" si="143"/>
        <v>-24735810.015531559</v>
      </c>
      <c r="BC321" s="40">
        <f t="shared" si="144"/>
        <v>-30950352.315531559</v>
      </c>
      <c r="BD321" s="41">
        <f t="shared" si="145"/>
        <v>-498.0310829251506</v>
      </c>
      <c r="BE321" s="38">
        <v>6214542.2999999998</v>
      </c>
      <c r="BF321" s="42">
        <f>テーブル2[[#This Row],[q_P]]/テーブル2[[#This Row],[q_M]]</f>
        <v>-3.9803108292515055</v>
      </c>
      <c r="BG321" s="36">
        <v>1</v>
      </c>
      <c r="BH321" s="36">
        <v>-0.216</v>
      </c>
      <c r="BI321" s="36">
        <v>4.5999999999999999E-2</v>
      </c>
      <c r="BJ321" s="36">
        <v>5625</v>
      </c>
      <c r="BK321" s="22">
        <v>1</v>
      </c>
      <c r="BL321" s="36">
        <f>テーブル2[[#This Row],[Ts]]-テーブル2[[#This Row],[Tin]]</f>
        <v>132.74047859555014</v>
      </c>
      <c r="BM321" s="36">
        <f>テーブル2[[#This Row],[q_P]]*0.000001</f>
        <v>-24.735810015531559</v>
      </c>
      <c r="BN321" s="36">
        <f>テーブル2[[#This Row],[Tsub]]</f>
        <v>132.74047859555014</v>
      </c>
      <c r="BO321" s="36">
        <f>テーブル2[[#This Row],[Fcorr]]</f>
        <v>1</v>
      </c>
      <c r="BP321" s="36">
        <f>(テーブル2[[#This Row],[Tsub]]-40)^2</f>
        <v>8600.7963701316949</v>
      </c>
      <c r="BQ321" s="36">
        <v>1</v>
      </c>
      <c r="BR321" s="36">
        <v>0.3175</v>
      </c>
    </row>
    <row r="322" spans="1:70" x14ac:dyDescent="0.15">
      <c r="A322" s="35" t="s">
        <v>140</v>
      </c>
      <c r="B322" s="36">
        <v>13789514.586336</v>
      </c>
      <c r="C322" s="22">
        <f>TsatFromP(テーブル2[[#This Row],[P]])</f>
        <v>608.62107399852357</v>
      </c>
      <c r="D322" s="36">
        <f>RhoGFromP(テーブル2[[#This Row],[P]])</f>
        <v>85.147847035840741</v>
      </c>
      <c r="E322" s="36">
        <f>RhoFFromP(テーブル2[[#This Row],[P]])</f>
        <v>624.86636713482415</v>
      </c>
      <c r="F322" s="36">
        <f>HgFromP(テーブル2[[#This Row],[P]])</f>
        <v>2643264.5206450778</v>
      </c>
      <c r="G322" s="36">
        <f>HfFromP(テーブル2[[#This Row],[P]])</f>
        <v>1562686.7596125705</v>
      </c>
      <c r="H322" s="36">
        <f>MuGFromP(テーブル2[[#This Row],[P]])</f>
        <v>2.2019591234371903E-5</v>
      </c>
      <c r="I322" s="36">
        <f>MuFFromP(テーブル2[[#This Row],[P]])</f>
        <v>7.222326555143516E-5</v>
      </c>
      <c r="J322" s="36">
        <f>KfFromP(テーブル2[[#This Row],[P]])</f>
        <v>0.49112131073334553</v>
      </c>
      <c r="K322" s="36">
        <f>CpFFromP(テーブル2[[#This Row],[P]])</f>
        <v>7679.7488518783057</v>
      </c>
      <c r="L322" s="36">
        <f>SigmaFromP(テーブル2[[#This Row],[P]])</f>
        <v>6.5036449518301549E-3</v>
      </c>
      <c r="M322" s="36">
        <v>208.01</v>
      </c>
      <c r="N322" s="36">
        <v>3607.5718000000002</v>
      </c>
      <c r="O322" s="37">
        <f t="shared" si="146"/>
        <v>1.7719053836560394E-5</v>
      </c>
      <c r="P322" s="37">
        <f t="shared" si="147"/>
        <v>1.4921936786020797E-2</v>
      </c>
      <c r="Q322" s="37">
        <v>4.7497999999999993E-3</v>
      </c>
      <c r="R322" s="36">
        <v>0.3175</v>
      </c>
      <c r="S322" s="38">
        <v>6214542.2999999998</v>
      </c>
      <c r="T322" s="36">
        <v>507.00425215748538</v>
      </c>
      <c r="U322" s="12">
        <f>+T322+BG322*S322*テーブル2[[#This Row],[Pw]]*R322/(N322*O322*K322)</f>
        <v>566.97998248816964</v>
      </c>
      <c r="V322" s="36">
        <v>0.03</v>
      </c>
      <c r="W322" s="37">
        <f t="shared" ref="W322:W385" si="148">+N322*Q322/I322</f>
        <v>237253.80464051172</v>
      </c>
      <c r="X322" s="36">
        <v>0.01</v>
      </c>
      <c r="Y322" s="36">
        <f t="shared" ref="Y322:Y385" si="149">IF(X322&gt;0,1/X322^0.5,1)</f>
        <v>10</v>
      </c>
      <c r="Z322" s="36">
        <f t="shared" ref="Z322:Z385" si="150">IF(X322&gt;0,1.14-2*LOG((0.72*L322*E322)/(X322*Q322*N322^2)+9.35/(W322*X322^0.5)),0)</f>
        <v>5.7201936338870967</v>
      </c>
      <c r="AA322" s="36">
        <f t="shared" ref="AA322:AA385" si="151">+Y322-Z322</f>
        <v>4.2798063661129033</v>
      </c>
      <c r="AB322" s="36">
        <f t="shared" ref="AB322:AB385" si="152">32/X322*L322*V322*E322/N322^2</f>
        <v>2.9976797910086547E-5</v>
      </c>
      <c r="AC322" s="36">
        <v>600</v>
      </c>
      <c r="AD322" s="36">
        <f t="shared" ref="AD322:AD385" si="153">+Q322/2*AI322/I322*E322</f>
        <v>4194.0943530903551</v>
      </c>
      <c r="AE322" s="36">
        <f>+gettm2(AD322,AC322,AK322,AL322,テーブル2[[#This Row],[Fcorr]])</f>
        <v>549.16313833710251</v>
      </c>
      <c r="AF322" s="39">
        <f t="shared" ref="AF322:AF385" si="154">+AE322-U322</f>
        <v>-17.81684415106713</v>
      </c>
      <c r="AG322" s="36">
        <v>1.0000000000000001E-5</v>
      </c>
      <c r="AH322" s="36">
        <f t="shared" ref="AH322:AH385" si="155">+X322*N322^2/(8*E322)</f>
        <v>26.034715134034322</v>
      </c>
      <c r="AI322" s="36">
        <f t="shared" ref="AI322:AI385" si="156">+(AH322/E322)^0.5</f>
        <v>0.20411872182320198</v>
      </c>
      <c r="AJ322" s="36">
        <f t="shared" ref="AJ322:AJ385" si="157">+AG322*AI322/I322*E322</f>
        <v>17.660088227253176</v>
      </c>
      <c r="AK322" s="36">
        <f>+S88*テーブル2[[#This Row],[F_form]]/(E88*CpFromTP((テーブル2[[#This Row],[Tin]]+テーブル2[[#This Row],[Tf]])/2,テーブル2[[#This Row],[P]])*AI88)</f>
        <v>2.0374227806945582</v>
      </c>
      <c r="AL322" s="36">
        <f t="shared" ref="AL322:AL385" si="158">+K322*I322/J322</f>
        <v>1.1293676909872215</v>
      </c>
      <c r="AM322" s="36">
        <f t="shared" ref="AM322:AM385" si="159">+gettyp(AC322,AJ322,AK322,AL322)</f>
        <v>574.73671359789353</v>
      </c>
      <c r="AN322" s="36">
        <f t="shared" ref="AN322:AN385" si="160">+C322-AM322</f>
        <v>33.884360400630044</v>
      </c>
      <c r="AO322" s="36">
        <f t="shared" ref="AO322:AO385" si="161">+AG322-AB322</f>
        <v>-1.9976797910086547E-5</v>
      </c>
      <c r="AP322" s="36">
        <v>1</v>
      </c>
      <c r="AQ322" s="36">
        <f t="shared" ref="AQ322:AQ385" si="162">2*PI()*L322*(D322+E322)/(D322*E322*AP322^2)</f>
        <v>5.4530931276593132E-4</v>
      </c>
      <c r="AR322" s="36">
        <f t="shared" ref="AR322:AR385" si="163">+AO322+AB322/2</f>
        <v>-4.9883989550432742E-6</v>
      </c>
      <c r="AS322" s="36">
        <f t="shared" ref="AS322:AS385" si="164">+AR322*AI322/I322*E322</f>
        <v>-8.8095565658801753</v>
      </c>
      <c r="AT322" s="36">
        <f t="shared" ref="AT322:AT385" si="165">+getublp(AS322)</f>
        <v>-8.8095565658801753</v>
      </c>
      <c r="AU322" s="36">
        <f t="shared" ref="AU322:AU385" si="166">+AT322*AI322</f>
        <v>-1.7981954260566579</v>
      </c>
      <c r="AV322" s="36">
        <f t="shared" ref="AV322:AV385" si="167">+AP322-AU322</f>
        <v>2.7981954260566582</v>
      </c>
      <c r="AW322" s="36">
        <f t="shared" ref="AW322:AW385" si="168">2/3*AB322/(L322/(9.8*(E322-D322)))^0.5</f>
        <v>1.802238517703875E-2</v>
      </c>
      <c r="AX322" s="36">
        <f t="shared" ref="AX322:AX385" si="169">+(2*AQ322*9.8*(E322-D322)/(E322*AW322))^0.5</f>
        <v>0.71570400072431317</v>
      </c>
      <c r="AY322" s="36">
        <f t="shared" ref="AY322:AY385" si="170">+AV322-AX322</f>
        <v>2.082491425332345</v>
      </c>
      <c r="AZ322" s="36">
        <f t="shared" ref="AZ322:AZ385" si="171">+F322-G322</f>
        <v>1080577.7610325073</v>
      </c>
      <c r="BA322" s="36">
        <f t="shared" ref="BA322:BA385" si="172">+AQ322/AP322</f>
        <v>5.4530931276593132E-4</v>
      </c>
      <c r="BB322" s="38">
        <f t="shared" ref="BB322:BB385" si="173">+E322*AO322*AZ322/BA322</f>
        <v>-24735810.015531559</v>
      </c>
      <c r="BC322" s="40">
        <f t="shared" ref="BC322:BC385" si="174">BB322-S322</f>
        <v>-30950352.315531559</v>
      </c>
      <c r="BD322" s="41">
        <f t="shared" ref="BD322:BD385" si="175">+(BB322-S322)/S322*100</f>
        <v>-498.0310829251506</v>
      </c>
      <c r="BE322" s="38">
        <v>6214542.2999999998</v>
      </c>
      <c r="BF322" s="42">
        <f>テーブル2[[#This Row],[q_P]]/テーブル2[[#This Row],[q_M]]</f>
        <v>-3.9803108292515055</v>
      </c>
      <c r="BG322" s="36">
        <v>1</v>
      </c>
      <c r="BH322" s="36">
        <v>-8.5000000000000006E-2</v>
      </c>
      <c r="BI322" s="36">
        <v>4.5999999999999999E-2</v>
      </c>
      <c r="BJ322" s="36">
        <v>5625</v>
      </c>
      <c r="BK322" s="22">
        <v>1</v>
      </c>
      <c r="BL322" s="36">
        <f>テーブル2[[#This Row],[Ts]]-テーブル2[[#This Row],[Tin]]</f>
        <v>101.61682184103819</v>
      </c>
      <c r="BM322" s="36">
        <f>テーブル2[[#This Row],[q_P]]*0.000001</f>
        <v>-24.735810015531559</v>
      </c>
      <c r="BN322" s="36">
        <f>テーブル2[[#This Row],[Tsub]]</f>
        <v>101.61682184103819</v>
      </c>
      <c r="BO322" s="36">
        <f>テーブル2[[#This Row],[Fcorr]]</f>
        <v>1</v>
      </c>
      <c r="BP322" s="36">
        <f>(テーブル2[[#This Row],[Tsub]]-40)^2</f>
        <v>3796.6327337902408</v>
      </c>
      <c r="BQ322" s="36">
        <v>1</v>
      </c>
      <c r="BR322" s="36">
        <v>0.3175</v>
      </c>
    </row>
    <row r="323" spans="1:70" x14ac:dyDescent="0.15">
      <c r="A323" s="35" t="s">
        <v>141</v>
      </c>
      <c r="B323" s="36">
        <v>13789514.586336</v>
      </c>
      <c r="C323" s="22">
        <f>TsatFromP(テーブル2[[#This Row],[P]])</f>
        <v>608.62107399852357</v>
      </c>
      <c r="D323" s="36">
        <f>RhoGFromP(テーブル2[[#This Row],[P]])</f>
        <v>85.147847035840741</v>
      </c>
      <c r="E323" s="36">
        <f>RhoFFromP(テーブル2[[#This Row],[P]])</f>
        <v>624.86636713482415</v>
      </c>
      <c r="F323" s="36">
        <f>HgFromP(テーブル2[[#This Row],[P]])</f>
        <v>2643264.5206450778</v>
      </c>
      <c r="G323" s="36">
        <f>HfFromP(テーブル2[[#This Row],[P]])</f>
        <v>1562686.7596125705</v>
      </c>
      <c r="H323" s="36">
        <f>MuGFromP(テーブル2[[#This Row],[P]])</f>
        <v>2.2019591234371903E-5</v>
      </c>
      <c r="I323" s="36">
        <f>MuFFromP(テーブル2[[#This Row],[P]])</f>
        <v>7.222326555143516E-5</v>
      </c>
      <c r="J323" s="36">
        <f>KfFromP(テーブル2[[#This Row],[P]])</f>
        <v>0.49112131073334553</v>
      </c>
      <c r="K323" s="36">
        <f>CpFFromP(テーブル2[[#This Row],[P]])</f>
        <v>7679.7488518783057</v>
      </c>
      <c r="L323" s="36">
        <f>SigmaFromP(テーブル2[[#This Row],[P]])</f>
        <v>6.5036449518301549E-3</v>
      </c>
      <c r="M323" s="36">
        <v>209.01</v>
      </c>
      <c r="N323" s="36">
        <v>3648.2586999999999</v>
      </c>
      <c r="O323" s="37">
        <f t="shared" si="146"/>
        <v>1.7719053836560394E-5</v>
      </c>
      <c r="P323" s="37">
        <f t="shared" si="147"/>
        <v>1.4921936786020797E-2</v>
      </c>
      <c r="Q323" s="37">
        <v>4.7497999999999993E-3</v>
      </c>
      <c r="R323" s="36">
        <v>0.3175</v>
      </c>
      <c r="S323" s="38">
        <v>8170388.0999999987</v>
      </c>
      <c r="T323" s="36">
        <v>414.41366876683111</v>
      </c>
      <c r="U323" s="12">
        <f>+T323+BG323*S323*テーブル2[[#This Row],[Pw]]*R323/(N323*O323*K323)</f>
        <v>492.3856266745201</v>
      </c>
      <c r="V323" s="36">
        <v>0.03</v>
      </c>
      <c r="W323" s="37">
        <f t="shared" si="148"/>
        <v>239929.5994296904</v>
      </c>
      <c r="X323" s="36">
        <v>0.01</v>
      </c>
      <c r="Y323" s="36">
        <f t="shared" si="149"/>
        <v>10</v>
      </c>
      <c r="Z323" s="36">
        <f t="shared" si="150"/>
        <v>5.7389236129331929</v>
      </c>
      <c r="AA323" s="36">
        <f t="shared" si="151"/>
        <v>4.2610763870668071</v>
      </c>
      <c r="AB323" s="36">
        <f t="shared" si="152"/>
        <v>2.9311898853333759E-5</v>
      </c>
      <c r="AC323" s="36">
        <v>600</v>
      </c>
      <c r="AD323" s="36">
        <f t="shared" si="153"/>
        <v>4241.3961691026525</v>
      </c>
      <c r="AE323" s="36">
        <f>+gettm2(AD323,AC323,AK323,AL323,テーブル2[[#This Row],[Fcorr]])</f>
        <v>542.92917443979013</v>
      </c>
      <c r="AF323" s="39">
        <f t="shared" si="154"/>
        <v>50.543547765270034</v>
      </c>
      <c r="AG323" s="36">
        <v>1.0000000000000001E-5</v>
      </c>
      <c r="AH323" s="36">
        <f t="shared" si="155"/>
        <v>26.625275903299464</v>
      </c>
      <c r="AI323" s="36">
        <f t="shared" si="156"/>
        <v>0.20642081267083207</v>
      </c>
      <c r="AJ323" s="36">
        <f t="shared" si="157"/>
        <v>17.859262154628208</v>
      </c>
      <c r="AK323" s="36">
        <f>+S88*テーブル2[[#This Row],[F_form]]/(E88*CpFromTP((テーブル2[[#This Row],[Tin]]+テーブル2[[#This Row],[Tf]])/2,テーブル2[[#This Row],[P]])*AI88)</f>
        <v>2.2846813127718102</v>
      </c>
      <c r="AL323" s="36">
        <f t="shared" si="158"/>
        <v>1.1293676909872215</v>
      </c>
      <c r="AM323" s="36">
        <f t="shared" si="159"/>
        <v>571.5384158184404</v>
      </c>
      <c r="AN323" s="36">
        <f t="shared" si="160"/>
        <v>37.082658180083172</v>
      </c>
      <c r="AO323" s="36">
        <f t="shared" si="161"/>
        <v>-1.9311898853333756E-5</v>
      </c>
      <c r="AP323" s="36">
        <v>1</v>
      </c>
      <c r="AQ323" s="36">
        <f t="shared" si="162"/>
        <v>5.4530931276593132E-4</v>
      </c>
      <c r="AR323" s="36">
        <f t="shared" si="163"/>
        <v>-4.6559494266668768E-6</v>
      </c>
      <c r="AS323" s="36">
        <f t="shared" si="164"/>
        <v>-8.3151821389534657</v>
      </c>
      <c r="AT323" s="36">
        <f t="shared" si="165"/>
        <v>-8.3151821389534657</v>
      </c>
      <c r="AU323" s="36">
        <f t="shared" si="166"/>
        <v>-1.7164266546287621</v>
      </c>
      <c r="AV323" s="36">
        <f t="shared" si="167"/>
        <v>2.7164266546287621</v>
      </c>
      <c r="AW323" s="36">
        <f t="shared" si="168"/>
        <v>1.7622640449780323E-2</v>
      </c>
      <c r="AX323" s="36">
        <f t="shared" si="169"/>
        <v>0.72377585035654213</v>
      </c>
      <c r="AY323" s="36">
        <f t="shared" si="170"/>
        <v>1.99265080427222</v>
      </c>
      <c r="AZ323" s="36">
        <f t="shared" si="171"/>
        <v>1080577.7610325073</v>
      </c>
      <c r="BA323" s="36">
        <f t="shared" si="172"/>
        <v>5.4530931276593132E-4</v>
      </c>
      <c r="BB323" s="38">
        <f t="shared" si="173"/>
        <v>-23912514.06883537</v>
      </c>
      <c r="BC323" s="40">
        <f t="shared" si="174"/>
        <v>-32082902.168835368</v>
      </c>
      <c r="BD323" s="41">
        <f t="shared" si="175"/>
        <v>-392.67292784825452</v>
      </c>
      <c r="BE323" s="38">
        <v>8170388.0999999987</v>
      </c>
      <c r="BF323" s="42">
        <f>テーブル2[[#This Row],[q_P]]/テーブル2[[#This Row],[q_M]]</f>
        <v>-2.9267292784825454</v>
      </c>
      <c r="BG323" s="36">
        <v>1</v>
      </c>
      <c r="BH323" s="36">
        <v>-0.33400000000000002</v>
      </c>
      <c r="BI323" s="36">
        <v>4.5999999999999999E-2</v>
      </c>
      <c r="BJ323" s="36">
        <v>5625</v>
      </c>
      <c r="BK323" s="22">
        <v>1</v>
      </c>
      <c r="BL323" s="36">
        <f>テーブル2[[#This Row],[Ts]]-テーブル2[[#This Row],[Tin]]</f>
        <v>194.20740523169246</v>
      </c>
      <c r="BM323" s="36">
        <f>テーブル2[[#This Row],[q_P]]*0.000001</f>
        <v>-23.912514068835367</v>
      </c>
      <c r="BN323" s="36">
        <f>テーブル2[[#This Row],[Tsub]]</f>
        <v>194.20740523169246</v>
      </c>
      <c r="BO323" s="36">
        <f>テーブル2[[#This Row],[Fcorr]]</f>
        <v>1</v>
      </c>
      <c r="BP323" s="36">
        <f>(テーブル2[[#This Row],[Tsub]]-40)^2</f>
        <v>23779.923828291412</v>
      </c>
      <c r="BQ323" s="36">
        <v>1</v>
      </c>
      <c r="BR323" s="36">
        <v>0.3175</v>
      </c>
    </row>
    <row r="324" spans="1:70" x14ac:dyDescent="0.15">
      <c r="A324" s="35" t="s">
        <v>82</v>
      </c>
      <c r="B324" s="36">
        <v>13789514.586336</v>
      </c>
      <c r="C324" s="22">
        <f>TsatFromP(テーブル2[[#This Row],[P]])</f>
        <v>608.62107399852357</v>
      </c>
      <c r="D324" s="36">
        <f>RhoGFromP(テーブル2[[#This Row],[P]])</f>
        <v>85.147847035840741</v>
      </c>
      <c r="E324" s="36">
        <f>RhoFFromP(テーブル2[[#This Row],[P]])</f>
        <v>624.86636713482415</v>
      </c>
      <c r="F324" s="36">
        <f>HgFromP(テーブル2[[#This Row],[P]])</f>
        <v>2643264.5206450778</v>
      </c>
      <c r="G324" s="36">
        <f>HfFromP(テーブル2[[#This Row],[P]])</f>
        <v>1562686.7596125705</v>
      </c>
      <c r="H324" s="36">
        <f>MuGFromP(テーブル2[[#This Row],[P]])</f>
        <v>2.2019591234371903E-5</v>
      </c>
      <c r="I324" s="36">
        <f>MuFFromP(テーブル2[[#This Row],[P]])</f>
        <v>7.222326555143516E-5</v>
      </c>
      <c r="J324" s="36">
        <f>KfFromP(テーブル2[[#This Row],[P]])</f>
        <v>0.49112131073334553</v>
      </c>
      <c r="K324" s="36">
        <f>CpFFromP(テーブル2[[#This Row],[P]])</f>
        <v>7679.7488518783057</v>
      </c>
      <c r="L324" s="36">
        <f>SigmaFromP(テーブル2[[#This Row],[P]])</f>
        <v>6.5036449518301549E-3</v>
      </c>
      <c r="M324" s="36">
        <v>21.01</v>
      </c>
      <c r="N324" s="36">
        <v>3919.5047</v>
      </c>
      <c r="O324" s="37">
        <f t="shared" si="146"/>
        <v>2.8502295699234246E-6</v>
      </c>
      <c r="P324" s="37">
        <f t="shared" si="147"/>
        <v>5.9847340050885557E-3</v>
      </c>
      <c r="Q324" s="37">
        <v>1.905E-3</v>
      </c>
      <c r="R324" s="36">
        <v>0.15240000000000001</v>
      </c>
      <c r="S324" s="38">
        <v>5425894.7999999989</v>
      </c>
      <c r="T324" s="36">
        <v>527.60492889290185</v>
      </c>
      <c r="U324" s="12">
        <f>+T324+BG324*S324*テーブル2[[#This Row],[Pw]]*R324/(N324*O324*K324)</f>
        <v>585.28730477582167</v>
      </c>
      <c r="V324" s="36">
        <v>0.03</v>
      </c>
      <c r="W324" s="37">
        <f t="shared" si="148"/>
        <v>103382.98049099538</v>
      </c>
      <c r="X324" s="36">
        <v>0.01</v>
      </c>
      <c r="Y324" s="36">
        <f t="shared" si="149"/>
        <v>10</v>
      </c>
      <c r="Z324" s="36">
        <f t="shared" si="150"/>
        <v>5.0649444772592815</v>
      </c>
      <c r="AA324" s="36">
        <f t="shared" si="151"/>
        <v>4.9350555227407185</v>
      </c>
      <c r="AB324" s="36">
        <f t="shared" si="152"/>
        <v>2.5395269607955891E-5</v>
      </c>
      <c r="AC324" s="36">
        <v>600</v>
      </c>
      <c r="AD324" s="36">
        <f t="shared" si="153"/>
        <v>1827.5701641114845</v>
      </c>
      <c r="AE324" s="36">
        <f>+gettm2(AD324,AC324,AK324,AL324,テーブル2[[#This Row],[Fcorr]])</f>
        <v>555.82324676556073</v>
      </c>
      <c r="AF324" s="39">
        <f t="shared" si="154"/>
        <v>-29.464058010260942</v>
      </c>
      <c r="AG324" s="36">
        <v>1.0000000000000001E-5</v>
      </c>
      <c r="AH324" s="36">
        <f t="shared" si="155"/>
        <v>30.731604990526314</v>
      </c>
      <c r="AI324" s="36">
        <f t="shared" si="156"/>
        <v>0.22176808498836603</v>
      </c>
      <c r="AJ324" s="36">
        <f t="shared" si="157"/>
        <v>19.187088337128447</v>
      </c>
      <c r="AK324" s="36">
        <f>+S88*テーブル2[[#This Row],[F_form]]/(E88*CpFromTP((テーブル2[[#This Row],[Tin]]+テーブル2[[#This Row],[Tf]])/2,テーブル2[[#This Row],[P]])*AI88)</f>
        <v>1.9330531459918165</v>
      </c>
      <c r="AL324" s="36">
        <f t="shared" si="158"/>
        <v>1.1293676909872215</v>
      </c>
      <c r="AM324" s="36">
        <f t="shared" si="159"/>
        <v>575.20356573441052</v>
      </c>
      <c r="AN324" s="36">
        <f t="shared" si="160"/>
        <v>33.417508264113053</v>
      </c>
      <c r="AO324" s="36">
        <f t="shared" si="161"/>
        <v>-1.5395269607955892E-5</v>
      </c>
      <c r="AP324" s="36">
        <v>1</v>
      </c>
      <c r="AQ324" s="36">
        <f t="shared" si="162"/>
        <v>5.4530931276593132E-4</v>
      </c>
      <c r="AR324" s="36">
        <f t="shared" si="163"/>
        <v>-2.6976348039779465E-6</v>
      </c>
      <c r="AS324" s="36">
        <f t="shared" si="164"/>
        <v>-5.1759757285237038</v>
      </c>
      <c r="AT324" s="36">
        <f t="shared" si="165"/>
        <v>-5.1759757285237038</v>
      </c>
      <c r="AU324" s="36">
        <f t="shared" si="166"/>
        <v>-1.1478662252609646</v>
      </c>
      <c r="AV324" s="36">
        <f t="shared" si="167"/>
        <v>2.1478662252609646</v>
      </c>
      <c r="AW324" s="36">
        <f t="shared" si="168"/>
        <v>1.526791927283622E-2</v>
      </c>
      <c r="AX324" s="36">
        <f t="shared" si="169"/>
        <v>0.7775881812380695</v>
      </c>
      <c r="AY324" s="36">
        <f t="shared" si="170"/>
        <v>1.370278044022895</v>
      </c>
      <c r="AZ324" s="36">
        <f t="shared" si="171"/>
        <v>1080577.7610325073</v>
      </c>
      <c r="BA324" s="36">
        <f t="shared" si="172"/>
        <v>5.4530931276593132E-4</v>
      </c>
      <c r="BB324" s="38">
        <f t="shared" si="173"/>
        <v>-19062838.092185225</v>
      </c>
      <c r="BC324" s="40">
        <f t="shared" si="174"/>
        <v>-24488732.892185226</v>
      </c>
      <c r="BD324" s="41">
        <f t="shared" si="175"/>
        <v>-451.33077206335133</v>
      </c>
      <c r="BE324" s="38">
        <v>5425894.7999999989</v>
      </c>
      <c r="BF324" s="42">
        <f>テーブル2[[#This Row],[q_P]]/テーブル2[[#This Row],[q_M]]</f>
        <v>-3.5133077206335126</v>
      </c>
      <c r="BG324" s="36">
        <v>1</v>
      </c>
      <c r="BH324" s="36">
        <v>-1.2E-2</v>
      </c>
      <c r="BI324" s="36">
        <v>4.5999999999999999E-2</v>
      </c>
      <c r="BJ324" s="36">
        <v>5625</v>
      </c>
      <c r="BK324" s="22">
        <v>1</v>
      </c>
      <c r="BL324" s="36">
        <f>テーブル2[[#This Row],[Ts]]-テーブル2[[#This Row],[Tin]]</f>
        <v>81.016145105621717</v>
      </c>
      <c r="BM324" s="36">
        <f>テーブル2[[#This Row],[q_P]]*0.000001</f>
        <v>-19.062838092185224</v>
      </c>
      <c r="BN324" s="36">
        <f>テーブル2[[#This Row],[Tsub]]</f>
        <v>81.016145105621717</v>
      </c>
      <c r="BO324" s="36">
        <f>テーブル2[[#This Row],[Fcorr]]</f>
        <v>1</v>
      </c>
      <c r="BP324" s="36">
        <f>(テーブル2[[#This Row],[Tsub]]-40)^2</f>
        <v>1682.3241593254163</v>
      </c>
      <c r="BQ324" s="36">
        <v>1</v>
      </c>
      <c r="BR324" s="36">
        <v>0.15240000000000001</v>
      </c>
    </row>
    <row r="325" spans="1:70" x14ac:dyDescent="0.15">
      <c r="A325" s="35" t="s">
        <v>142</v>
      </c>
      <c r="B325" s="36">
        <v>13789514.586336</v>
      </c>
      <c r="C325" s="22">
        <f>TsatFromP(テーブル2[[#This Row],[P]])</f>
        <v>608.62107399852357</v>
      </c>
      <c r="D325" s="36">
        <f>RhoGFromP(テーブル2[[#This Row],[P]])</f>
        <v>85.147847035840741</v>
      </c>
      <c r="E325" s="36">
        <f>RhoFFromP(テーブル2[[#This Row],[P]])</f>
        <v>624.86636713482415</v>
      </c>
      <c r="F325" s="36">
        <f>HgFromP(テーブル2[[#This Row],[P]])</f>
        <v>2643264.5206450778</v>
      </c>
      <c r="G325" s="36">
        <f>HfFromP(テーブル2[[#This Row],[P]])</f>
        <v>1562686.7596125705</v>
      </c>
      <c r="H325" s="36">
        <f>MuGFromP(テーブル2[[#This Row],[P]])</f>
        <v>2.2019591234371903E-5</v>
      </c>
      <c r="I325" s="36">
        <f>MuFFromP(テーブル2[[#This Row],[P]])</f>
        <v>7.222326555143516E-5</v>
      </c>
      <c r="J325" s="36">
        <f>KfFromP(テーブル2[[#This Row],[P]])</f>
        <v>0.49112131073334553</v>
      </c>
      <c r="K325" s="36">
        <f>CpFFromP(テーブル2[[#This Row],[P]])</f>
        <v>7679.7488518783057</v>
      </c>
      <c r="L325" s="36">
        <f>SigmaFromP(テーブル2[[#This Row],[P]])</f>
        <v>6.5036449518301549E-3</v>
      </c>
      <c r="M325" s="36">
        <v>210.01</v>
      </c>
      <c r="N325" s="36">
        <v>3648.2586999999999</v>
      </c>
      <c r="O325" s="37">
        <f t="shared" si="146"/>
        <v>1.7719053836560394E-5</v>
      </c>
      <c r="P325" s="37">
        <f t="shared" si="147"/>
        <v>1.4921936786020797E-2</v>
      </c>
      <c r="Q325" s="37">
        <v>4.7497999999999993E-3</v>
      </c>
      <c r="R325" s="36">
        <v>0.3175</v>
      </c>
      <c r="S325" s="38">
        <v>7949566.7999999998</v>
      </c>
      <c r="T325" s="36">
        <v>419.60551540006668</v>
      </c>
      <c r="U325" s="12">
        <f>+T325+BG325*S325*テーブル2[[#This Row],[Pw]]*R325/(N325*O325*K325)</f>
        <v>495.47012309403436</v>
      </c>
      <c r="V325" s="36">
        <v>0.03</v>
      </c>
      <c r="W325" s="37">
        <f t="shared" si="148"/>
        <v>239929.5994296904</v>
      </c>
      <c r="X325" s="36">
        <v>0.01</v>
      </c>
      <c r="Y325" s="36">
        <f t="shared" si="149"/>
        <v>10</v>
      </c>
      <c r="Z325" s="36">
        <f t="shared" si="150"/>
        <v>5.7389236129331929</v>
      </c>
      <c r="AA325" s="36">
        <f t="shared" si="151"/>
        <v>4.2610763870668071</v>
      </c>
      <c r="AB325" s="36">
        <f t="shared" si="152"/>
        <v>2.9311898853333759E-5</v>
      </c>
      <c r="AC325" s="36">
        <v>600</v>
      </c>
      <c r="AD325" s="36">
        <f t="shared" si="153"/>
        <v>4241.3961691026525</v>
      </c>
      <c r="AE325" s="36">
        <f>+gettm2(AD325,AC325,AK325,AL325,テーブル2[[#This Row],[Fcorr]])</f>
        <v>543.11812691945352</v>
      </c>
      <c r="AF325" s="39">
        <f t="shared" si="154"/>
        <v>47.648003825419153</v>
      </c>
      <c r="AG325" s="36">
        <v>1.0000000000000001E-5</v>
      </c>
      <c r="AH325" s="36">
        <f t="shared" si="155"/>
        <v>26.625275903299464</v>
      </c>
      <c r="AI325" s="36">
        <f t="shared" si="156"/>
        <v>0.20642081267083207</v>
      </c>
      <c r="AJ325" s="36">
        <f t="shared" si="157"/>
        <v>17.859262154628208</v>
      </c>
      <c r="AK325" s="36">
        <f>+S88*テーブル2[[#This Row],[F_form]]/(E88*CpFromTP((テーブル2[[#This Row],[Tin]]+テーブル2[[#This Row],[Tf]])/2,テーブル2[[#This Row],[P]])*AI88)</f>
        <v>2.2771170941881236</v>
      </c>
      <c r="AL325" s="36">
        <f t="shared" si="158"/>
        <v>1.1293676909872215</v>
      </c>
      <c r="AM325" s="36">
        <f t="shared" si="159"/>
        <v>571.6326476234558</v>
      </c>
      <c r="AN325" s="36">
        <f t="shared" si="160"/>
        <v>36.988426375067775</v>
      </c>
      <c r="AO325" s="36">
        <f t="shared" si="161"/>
        <v>-1.9311898853333756E-5</v>
      </c>
      <c r="AP325" s="36">
        <v>1</v>
      </c>
      <c r="AQ325" s="36">
        <f t="shared" si="162"/>
        <v>5.4530931276593132E-4</v>
      </c>
      <c r="AR325" s="36">
        <f t="shared" si="163"/>
        <v>-4.6559494266668768E-6</v>
      </c>
      <c r="AS325" s="36">
        <f t="shared" si="164"/>
        <v>-8.3151821389534657</v>
      </c>
      <c r="AT325" s="36">
        <f t="shared" si="165"/>
        <v>-8.3151821389534657</v>
      </c>
      <c r="AU325" s="36">
        <f t="shared" si="166"/>
        <v>-1.7164266546287621</v>
      </c>
      <c r="AV325" s="36">
        <f t="shared" si="167"/>
        <v>2.7164266546287621</v>
      </c>
      <c r="AW325" s="36">
        <f t="shared" si="168"/>
        <v>1.7622640449780323E-2</v>
      </c>
      <c r="AX325" s="36">
        <f t="shared" si="169"/>
        <v>0.72377585035654213</v>
      </c>
      <c r="AY325" s="36">
        <f t="shared" si="170"/>
        <v>1.99265080427222</v>
      </c>
      <c r="AZ325" s="36">
        <f t="shared" si="171"/>
        <v>1080577.7610325073</v>
      </c>
      <c r="BA325" s="36">
        <f t="shared" si="172"/>
        <v>5.4530931276593132E-4</v>
      </c>
      <c r="BB325" s="38">
        <f t="shared" si="173"/>
        <v>-23912514.06883537</v>
      </c>
      <c r="BC325" s="40">
        <f t="shared" si="174"/>
        <v>-31862080.868835371</v>
      </c>
      <c r="BD325" s="41">
        <f t="shared" si="175"/>
        <v>-400.80273139959496</v>
      </c>
      <c r="BE325" s="38">
        <v>7949566.7999999998</v>
      </c>
      <c r="BF325" s="42">
        <f>テーブル2[[#This Row],[q_P]]/テーブル2[[#This Row],[q_M]]</f>
        <v>-3.008027313995949</v>
      </c>
      <c r="BG325" s="36">
        <v>1</v>
      </c>
      <c r="BH325" s="36">
        <v>-0.32900000000000001</v>
      </c>
      <c r="BI325" s="36">
        <v>4.5999999999999999E-2</v>
      </c>
      <c r="BJ325" s="36">
        <v>5625</v>
      </c>
      <c r="BK325" s="22">
        <v>1</v>
      </c>
      <c r="BL325" s="36">
        <f>テーブル2[[#This Row],[Ts]]-テーブル2[[#This Row],[Tin]]</f>
        <v>189.01555859845689</v>
      </c>
      <c r="BM325" s="36">
        <f>テーブル2[[#This Row],[q_P]]*0.000001</f>
        <v>-23.912514068835367</v>
      </c>
      <c r="BN325" s="36">
        <f>テーブル2[[#This Row],[Tsub]]</f>
        <v>189.01555859845689</v>
      </c>
      <c r="BO325" s="36">
        <f>テーブル2[[#This Row],[Fcorr]]</f>
        <v>1</v>
      </c>
      <c r="BP325" s="36">
        <f>(テーブル2[[#This Row],[Tsub]]-40)^2</f>
        <v>22205.636704410139</v>
      </c>
      <c r="BQ325" s="36">
        <v>1</v>
      </c>
      <c r="BR325" s="36">
        <v>0.3175</v>
      </c>
    </row>
    <row r="326" spans="1:70" x14ac:dyDescent="0.15">
      <c r="A326" s="35" t="s">
        <v>145</v>
      </c>
      <c r="B326" s="36">
        <v>13789514.586336</v>
      </c>
      <c r="C326" s="22">
        <f>TsatFromP(テーブル2[[#This Row],[P]])</f>
        <v>608.62107399852357</v>
      </c>
      <c r="D326" s="36">
        <f>RhoGFromP(テーブル2[[#This Row],[P]])</f>
        <v>85.147847035840741</v>
      </c>
      <c r="E326" s="36">
        <f>RhoFFromP(テーブル2[[#This Row],[P]])</f>
        <v>624.86636713482415</v>
      </c>
      <c r="F326" s="36">
        <f>HgFromP(テーブル2[[#This Row],[P]])</f>
        <v>2643264.5206450778</v>
      </c>
      <c r="G326" s="36">
        <f>HfFromP(テーブル2[[#This Row],[P]])</f>
        <v>1562686.7596125705</v>
      </c>
      <c r="H326" s="36">
        <f>MuGFromP(テーブル2[[#This Row],[P]])</f>
        <v>2.2019591234371903E-5</v>
      </c>
      <c r="I326" s="36">
        <f>MuFFromP(テーブル2[[#This Row],[P]])</f>
        <v>7.222326555143516E-5</v>
      </c>
      <c r="J326" s="36">
        <f>KfFromP(テーブル2[[#This Row],[P]])</f>
        <v>0.49112131073334553</v>
      </c>
      <c r="K326" s="36">
        <f>CpFFromP(テーブル2[[#This Row],[P]])</f>
        <v>7679.7488518783057</v>
      </c>
      <c r="L326" s="36">
        <f>SigmaFromP(テーブル2[[#This Row],[P]])</f>
        <v>6.5036449518301549E-3</v>
      </c>
      <c r="M326" s="36">
        <v>213.01</v>
      </c>
      <c r="N326" s="36">
        <v>3783.8816999999999</v>
      </c>
      <c r="O326" s="37">
        <f t="shared" si="146"/>
        <v>1.7719053836560394E-5</v>
      </c>
      <c r="P326" s="37">
        <f t="shared" si="147"/>
        <v>1.4921936786020797E-2</v>
      </c>
      <c r="Q326" s="37">
        <v>4.7497999999999993E-3</v>
      </c>
      <c r="R326" s="36">
        <v>0.3175</v>
      </c>
      <c r="S326" s="38">
        <v>9968504.4000000004</v>
      </c>
      <c r="T326" s="36">
        <v>357.88822397465339</v>
      </c>
      <c r="U326" s="12">
        <f>+T326+BG326*S326*テーブル2[[#This Row],[Pw]]*R326/(N326*O326*K326)</f>
        <v>449.61029134135458</v>
      </c>
      <c r="V326" s="36">
        <v>0.03</v>
      </c>
      <c r="W326" s="37">
        <f t="shared" si="148"/>
        <v>248848.91539361942</v>
      </c>
      <c r="X326" s="36">
        <v>0.01</v>
      </c>
      <c r="Y326" s="36">
        <f t="shared" si="149"/>
        <v>10</v>
      </c>
      <c r="Z326" s="36">
        <f t="shared" si="150"/>
        <v>5.7998273570252481</v>
      </c>
      <c r="AA326" s="36">
        <f t="shared" si="151"/>
        <v>4.2001726429747519</v>
      </c>
      <c r="AB326" s="36">
        <f t="shared" si="152"/>
        <v>2.7248343584050619E-5</v>
      </c>
      <c r="AC326" s="36">
        <v>600</v>
      </c>
      <c r="AD326" s="36">
        <f t="shared" si="153"/>
        <v>4399.0688891436439</v>
      </c>
      <c r="AE326" s="36">
        <f>+gettm2(AD326,AC326,AK326,AL326,テーブル2[[#This Row],[Fcorr]])</f>
        <v>541.04693151515278</v>
      </c>
      <c r="AF326" s="39">
        <f t="shared" si="154"/>
        <v>91.436640173798196</v>
      </c>
      <c r="AG326" s="36">
        <v>1.0000000000000001E-5</v>
      </c>
      <c r="AH326" s="36">
        <f t="shared" si="155"/>
        <v>28.641645383407276</v>
      </c>
      <c r="AI326" s="36">
        <f t="shared" si="156"/>
        <v>0.21409444882959908</v>
      </c>
      <c r="AJ326" s="36">
        <f t="shared" si="157"/>
        <v>18.523175245878331</v>
      </c>
      <c r="AK326" s="36">
        <f>+S88*テーブル2[[#This Row],[F_form]]/(E88*CpFromTP((テーブル2[[#This Row],[Tin]]+テーブル2[[#This Row],[Tf]])/2,テーブル2[[#This Row],[P]])*AI88)</f>
        <v>2.351387063683875</v>
      </c>
      <c r="AL326" s="36">
        <f t="shared" si="158"/>
        <v>1.1293676909872215</v>
      </c>
      <c r="AM326" s="36">
        <f t="shared" si="159"/>
        <v>570.26433762729744</v>
      </c>
      <c r="AN326" s="36">
        <f t="shared" si="160"/>
        <v>38.356736371226134</v>
      </c>
      <c r="AO326" s="36">
        <f t="shared" si="161"/>
        <v>-1.7248343584050616E-5</v>
      </c>
      <c r="AP326" s="36">
        <v>1</v>
      </c>
      <c r="AQ326" s="36">
        <f t="shared" si="162"/>
        <v>5.4530931276593132E-4</v>
      </c>
      <c r="AR326" s="36">
        <f t="shared" si="163"/>
        <v>-3.6241717920253069E-6</v>
      </c>
      <c r="AS326" s="36">
        <f t="shared" si="164"/>
        <v>-6.7131169224853666</v>
      </c>
      <c r="AT326" s="36">
        <f t="shared" si="165"/>
        <v>-6.7131169224853666</v>
      </c>
      <c r="AU326" s="36">
        <f t="shared" si="166"/>
        <v>-1.437241067448159</v>
      </c>
      <c r="AV326" s="36">
        <f t="shared" si="167"/>
        <v>2.4372410674481593</v>
      </c>
      <c r="AW326" s="36">
        <f t="shared" si="168"/>
        <v>1.6382008011029587E-2</v>
      </c>
      <c r="AX326" s="36">
        <f t="shared" si="169"/>
        <v>0.75068201579730576</v>
      </c>
      <c r="AY326" s="36">
        <f t="shared" si="170"/>
        <v>1.6865590516508535</v>
      </c>
      <c r="AZ326" s="36">
        <f t="shared" si="171"/>
        <v>1080577.7610325073</v>
      </c>
      <c r="BA326" s="36">
        <f t="shared" si="172"/>
        <v>5.4530931276593132E-4</v>
      </c>
      <c r="BB326" s="38">
        <f t="shared" si="173"/>
        <v>-21357364.273193486</v>
      </c>
      <c r="BC326" s="40">
        <f t="shared" si="174"/>
        <v>-31325868.673193485</v>
      </c>
      <c r="BD326" s="41">
        <f t="shared" si="175"/>
        <v>-314.24843102033924</v>
      </c>
      <c r="BE326" s="38">
        <v>9968504.4000000004</v>
      </c>
      <c r="BF326" s="42">
        <f>テーブル2[[#This Row],[q_P]]/テーブル2[[#This Row],[q_M]]</f>
        <v>-2.1424843102033928</v>
      </c>
      <c r="BG326" s="36">
        <v>1</v>
      </c>
      <c r="BH326" s="36">
        <v>-0.45700000000000002</v>
      </c>
      <c r="BI326" s="36">
        <v>4.5999999999999999E-2</v>
      </c>
      <c r="BJ326" s="36">
        <v>5625</v>
      </c>
      <c r="BK326" s="22">
        <v>1</v>
      </c>
      <c r="BL326" s="36">
        <f>テーブル2[[#This Row],[Ts]]-テーブル2[[#This Row],[Tin]]</f>
        <v>250.73285002387018</v>
      </c>
      <c r="BM326" s="36">
        <f>テーブル2[[#This Row],[q_P]]*0.000001</f>
        <v>-21.357364273193486</v>
      </c>
      <c r="BN326" s="36">
        <f>テーブル2[[#This Row],[Tsub]]</f>
        <v>250.73285002387018</v>
      </c>
      <c r="BO326" s="36">
        <f>テーブル2[[#This Row],[Fcorr]]</f>
        <v>1</v>
      </c>
      <c r="BP326" s="36">
        <f>(テーブル2[[#This Row],[Tsub]]-40)^2</f>
        <v>44408.334079182961</v>
      </c>
      <c r="BQ326" s="36">
        <v>1</v>
      </c>
      <c r="BR326" s="36">
        <v>0.3175</v>
      </c>
    </row>
    <row r="327" spans="1:70" x14ac:dyDescent="0.15">
      <c r="A327" s="35" t="s">
        <v>323</v>
      </c>
      <c r="B327" s="36">
        <v>13789514.586336</v>
      </c>
      <c r="C327" s="22">
        <f>TsatFromP(テーブル2[[#This Row],[P]])</f>
        <v>608.62107399852357</v>
      </c>
      <c r="D327" s="36">
        <f>RhoGFromP(テーブル2[[#This Row],[P]])</f>
        <v>85.147847035840741</v>
      </c>
      <c r="E327" s="36">
        <f>RhoFFromP(テーブル2[[#This Row],[P]])</f>
        <v>624.86636713482415</v>
      </c>
      <c r="F327" s="36">
        <f>HgFromP(テーブル2[[#This Row],[P]])</f>
        <v>2643264.5206450778</v>
      </c>
      <c r="G327" s="36">
        <f>HfFromP(テーブル2[[#This Row],[P]])</f>
        <v>1562686.7596125705</v>
      </c>
      <c r="H327" s="36">
        <f>MuGFromP(テーブル2[[#This Row],[P]])</f>
        <v>2.2019591234371903E-5</v>
      </c>
      <c r="I327" s="36">
        <f>MuFFromP(テーブル2[[#This Row],[P]])</f>
        <v>7.222326555143516E-5</v>
      </c>
      <c r="J327" s="36">
        <f>KfFromP(テーブル2[[#This Row],[P]])</f>
        <v>0.49112131073334553</v>
      </c>
      <c r="K327" s="36">
        <f>CpFFromP(テーブル2[[#This Row],[P]])</f>
        <v>7679.7488518783057</v>
      </c>
      <c r="L327" s="36">
        <f>SigmaFromP(テーブル2[[#This Row],[P]])</f>
        <v>6.5036449518301549E-3</v>
      </c>
      <c r="M327" s="36">
        <v>216.01</v>
      </c>
      <c r="N327" s="36">
        <v>4258.5622000000003</v>
      </c>
      <c r="O327" s="37">
        <f t="shared" si="146"/>
        <v>1.7719053836560394E-5</v>
      </c>
      <c r="P327" s="37">
        <f t="shared" si="147"/>
        <v>1.4921936786020797E-2</v>
      </c>
      <c r="Q327" s="37">
        <v>4.7497999999999993E-3</v>
      </c>
      <c r="R327" s="36">
        <v>0.3175</v>
      </c>
      <c r="S327" s="38">
        <v>4006329.3</v>
      </c>
      <c r="T327" s="36">
        <v>575.56190731292338</v>
      </c>
      <c r="U327" s="12">
        <f>+T327+BG327*S327*テーブル2[[#This Row],[Pw]]*R327/(N327*O327*K327)</f>
        <v>608.31595888315155</v>
      </c>
      <c r="V327" s="36">
        <v>0.03</v>
      </c>
      <c r="W327" s="37">
        <f t="shared" si="148"/>
        <v>280066.52126737096</v>
      </c>
      <c r="X327" s="36">
        <v>0.01</v>
      </c>
      <c r="Y327" s="36">
        <f t="shared" si="149"/>
        <v>10</v>
      </c>
      <c r="Z327" s="36">
        <f t="shared" si="150"/>
        <v>5.9964217258267274</v>
      </c>
      <c r="AA327" s="36">
        <f t="shared" si="151"/>
        <v>4.0035782741732726</v>
      </c>
      <c r="AB327" s="36">
        <f t="shared" si="152"/>
        <v>2.1512417470547321E-5</v>
      </c>
      <c r="AC327" s="36">
        <v>600</v>
      </c>
      <c r="AD327" s="36">
        <f t="shared" si="153"/>
        <v>4950.9234092871111</v>
      </c>
      <c r="AE327" s="36">
        <f>+gettm2(AD327,AC327,AK327,AL327,テーブル2[[#This Row],[Fcorr]])</f>
        <v>558.82262981297242</v>
      </c>
      <c r="AF327" s="39">
        <f t="shared" si="154"/>
        <v>-49.493329070179129</v>
      </c>
      <c r="AG327" s="36">
        <v>1.0000000000000001E-5</v>
      </c>
      <c r="AH327" s="36">
        <f t="shared" si="155"/>
        <v>36.278460813998073</v>
      </c>
      <c r="AI327" s="36">
        <f t="shared" si="156"/>
        <v>0.24095217538528355</v>
      </c>
      <c r="AJ327" s="36">
        <f t="shared" si="157"/>
        <v>20.846871065253747</v>
      </c>
      <c r="AK327" s="36">
        <f>+S88*テーブル2[[#This Row],[F_form]]/(E88*CpFromTP((テーブル2[[#This Row],[Tin]]+テーブル2[[#This Row],[Tf]])/2,テーブル2[[#This Row],[P]])*AI88)</f>
        <v>1.6231482464643971</v>
      </c>
      <c r="AL327" s="36">
        <f t="shared" si="158"/>
        <v>1.1293676909872215</v>
      </c>
      <c r="AM327" s="36">
        <f t="shared" si="159"/>
        <v>578.48571181235775</v>
      </c>
      <c r="AN327" s="36">
        <f t="shared" si="160"/>
        <v>30.135362186165821</v>
      </c>
      <c r="AO327" s="36">
        <f t="shared" si="161"/>
        <v>-1.1512417470547321E-5</v>
      </c>
      <c r="AP327" s="36">
        <v>1</v>
      </c>
      <c r="AQ327" s="36">
        <f t="shared" si="162"/>
        <v>5.4530931276593132E-4</v>
      </c>
      <c r="AR327" s="36">
        <f t="shared" si="163"/>
        <v>-7.5620873527365992E-7</v>
      </c>
      <c r="AS327" s="36">
        <f t="shared" si="164"/>
        <v>-1.576458600266859</v>
      </c>
      <c r="AT327" s="36">
        <f t="shared" si="165"/>
        <v>-1.576458600266859</v>
      </c>
      <c r="AU327" s="36">
        <f t="shared" si="166"/>
        <v>-0.37985112913913882</v>
      </c>
      <c r="AV327" s="36">
        <f t="shared" si="167"/>
        <v>1.3798511291391389</v>
      </c>
      <c r="AW327" s="36">
        <f t="shared" si="168"/>
        <v>1.2933505269854291E-2</v>
      </c>
      <c r="AX327" s="36">
        <f t="shared" si="169"/>
        <v>0.84485359483997868</v>
      </c>
      <c r="AY327" s="36">
        <f t="shared" si="170"/>
        <v>0.53499753429916019</v>
      </c>
      <c r="AZ327" s="36">
        <f t="shared" si="171"/>
        <v>1080577.7610325073</v>
      </c>
      <c r="BA327" s="36">
        <f t="shared" si="172"/>
        <v>5.4530931276593132E-4</v>
      </c>
      <c r="BB327" s="38">
        <f t="shared" si="173"/>
        <v>-14254985.841707962</v>
      </c>
      <c r="BC327" s="40">
        <f t="shared" si="174"/>
        <v>-18261315.141707961</v>
      </c>
      <c r="BD327" s="41">
        <f t="shared" si="175"/>
        <v>-455.81163639514006</v>
      </c>
      <c r="BE327" s="38">
        <v>4006329.3</v>
      </c>
      <c r="BF327" s="42">
        <f>テーブル2[[#This Row],[q_P]]/テーブル2[[#This Row],[q_M]]</f>
        <v>-3.5581163639514011</v>
      </c>
      <c r="BG327" s="36">
        <v>1</v>
      </c>
      <c r="BH327" s="36">
        <v>3.9E-2</v>
      </c>
      <c r="BI327" s="36">
        <v>4.5999999999999999E-2</v>
      </c>
      <c r="BJ327" s="36">
        <v>5625</v>
      </c>
      <c r="BK327" s="22">
        <v>1</v>
      </c>
      <c r="BL327" s="36">
        <f>テーブル2[[#This Row],[Ts]]-テーブル2[[#This Row],[Tin]]</f>
        <v>33.059166685600189</v>
      </c>
      <c r="BM327" s="36">
        <f>テーブル2[[#This Row],[q_P]]*0.000001</f>
        <v>-14.254985841707962</v>
      </c>
      <c r="BN327" s="36">
        <f>テーブル2[[#This Row],[Tsub]]</f>
        <v>33.059166685600189</v>
      </c>
      <c r="BO327" s="36">
        <f>テーブル2[[#This Row],[Fcorr]]</f>
        <v>1</v>
      </c>
      <c r="BP327" s="36">
        <f>(テーブル2[[#This Row],[Tsub]]-40)^2</f>
        <v>48.175167098282259</v>
      </c>
      <c r="BQ327" s="36">
        <v>1</v>
      </c>
      <c r="BR327" s="36">
        <v>0.3175</v>
      </c>
    </row>
    <row r="328" spans="1:70" x14ac:dyDescent="0.15">
      <c r="A328" s="35" t="s">
        <v>324</v>
      </c>
      <c r="B328" s="36">
        <v>13789514.586336</v>
      </c>
      <c r="C328" s="22">
        <f>TsatFromP(テーブル2[[#This Row],[P]])</f>
        <v>608.62107399852357</v>
      </c>
      <c r="D328" s="36">
        <f>RhoGFromP(テーブル2[[#This Row],[P]])</f>
        <v>85.147847035840741</v>
      </c>
      <c r="E328" s="36">
        <f>RhoFFromP(テーブル2[[#This Row],[P]])</f>
        <v>624.86636713482415</v>
      </c>
      <c r="F328" s="36">
        <f>HgFromP(テーブル2[[#This Row],[P]])</f>
        <v>2643264.5206450778</v>
      </c>
      <c r="G328" s="36">
        <f>HfFromP(テーブル2[[#This Row],[P]])</f>
        <v>1562686.7596125705</v>
      </c>
      <c r="H328" s="36">
        <f>MuGFromP(テーブル2[[#This Row],[P]])</f>
        <v>2.2019591234371903E-5</v>
      </c>
      <c r="I328" s="36">
        <f>MuFFromP(テーブル2[[#This Row],[P]])</f>
        <v>7.222326555143516E-5</v>
      </c>
      <c r="J328" s="36">
        <f>KfFromP(テーブル2[[#This Row],[P]])</f>
        <v>0.49112131073334553</v>
      </c>
      <c r="K328" s="36">
        <f>CpFFromP(テーブル2[[#This Row],[P]])</f>
        <v>7679.7488518783057</v>
      </c>
      <c r="L328" s="36">
        <f>SigmaFromP(テーブル2[[#This Row],[P]])</f>
        <v>6.5036449518301549E-3</v>
      </c>
      <c r="M328" s="36">
        <v>218.01</v>
      </c>
      <c r="N328" s="36">
        <v>4367.0606000000007</v>
      </c>
      <c r="O328" s="37">
        <f t="shared" si="146"/>
        <v>1.7719053836560394E-5</v>
      </c>
      <c r="P328" s="37">
        <f t="shared" si="147"/>
        <v>1.4921936786020797E-2</v>
      </c>
      <c r="Q328" s="37">
        <v>4.7497999999999993E-3</v>
      </c>
      <c r="R328" s="36">
        <v>0.3175</v>
      </c>
      <c r="S328" s="38">
        <v>4810749.7499999991</v>
      </c>
      <c r="T328" s="36">
        <v>560.21852819122319</v>
      </c>
      <c r="U328" s="12">
        <f>+T328+BG328*S328*テーブル2[[#This Row],[Pw]]*R328/(N328*O328*K328)</f>
        <v>598.57202159955636</v>
      </c>
      <c r="V328" s="36">
        <v>0.03</v>
      </c>
      <c r="W328" s="37">
        <f t="shared" si="148"/>
        <v>287201.97403851425</v>
      </c>
      <c r="X328" s="36">
        <v>0.01</v>
      </c>
      <c r="Y328" s="36">
        <f t="shared" si="149"/>
        <v>10</v>
      </c>
      <c r="Z328" s="36">
        <f t="shared" si="150"/>
        <v>6.0381485518870051</v>
      </c>
      <c r="AA328" s="36">
        <f t="shared" si="151"/>
        <v>3.9618514481129949</v>
      </c>
      <c r="AB328" s="36">
        <f t="shared" si="152"/>
        <v>2.0456756229756599E-5</v>
      </c>
      <c r="AC328" s="36">
        <v>600</v>
      </c>
      <c r="AD328" s="36">
        <f t="shared" si="153"/>
        <v>5077.0615853199051</v>
      </c>
      <c r="AE328" s="36">
        <f>+gettm2(AD328,AC328,AK328,AL328,テーブル2[[#This Row],[Fcorr]])</f>
        <v>555.26259252050795</v>
      </c>
      <c r="AF328" s="39">
        <f t="shared" si="154"/>
        <v>-43.309429079048414</v>
      </c>
      <c r="AG328" s="36">
        <v>1.0000000000000001E-5</v>
      </c>
      <c r="AH328" s="36">
        <f t="shared" si="155"/>
        <v>38.150593645163873</v>
      </c>
      <c r="AI328" s="36">
        <f t="shared" si="156"/>
        <v>0.24709108431229718</v>
      </c>
      <c r="AJ328" s="36">
        <f t="shared" si="157"/>
        <v>21.378001538253844</v>
      </c>
      <c r="AK328" s="36">
        <f>+S88*テーブル2[[#This Row],[F_form]]/(E88*CpFromTP((テーブル2[[#This Row],[Tin]]+テーブル2[[#This Row],[Tf]])/2,テーブル2[[#This Row],[P]])*AI88)</f>
        <v>1.7590939281998437</v>
      </c>
      <c r="AL328" s="36">
        <f t="shared" si="158"/>
        <v>1.1293676909872215</v>
      </c>
      <c r="AM328" s="36">
        <f t="shared" si="159"/>
        <v>576.45634478279055</v>
      </c>
      <c r="AN328" s="36">
        <f t="shared" si="160"/>
        <v>32.164729215733018</v>
      </c>
      <c r="AO328" s="36">
        <f t="shared" si="161"/>
        <v>-1.0456756229756599E-5</v>
      </c>
      <c r="AP328" s="36">
        <v>1</v>
      </c>
      <c r="AQ328" s="36">
        <f t="shared" si="162"/>
        <v>5.4530931276593132E-4</v>
      </c>
      <c r="AR328" s="36">
        <f t="shared" si="163"/>
        <v>-2.2837811487829886E-7</v>
      </c>
      <c r="AS328" s="36">
        <f t="shared" si="164"/>
        <v>-0.48822676911717866</v>
      </c>
      <c r="AT328" s="36">
        <f t="shared" si="165"/>
        <v>-0.48822676911717866</v>
      </c>
      <c r="AU328" s="36">
        <f t="shared" si="166"/>
        <v>-0.12063648177145324</v>
      </c>
      <c r="AV328" s="36">
        <f t="shared" si="167"/>
        <v>1.1206364817714531</v>
      </c>
      <c r="AW328" s="36">
        <f t="shared" si="168"/>
        <v>1.2298829960134193E-2</v>
      </c>
      <c r="AX328" s="36">
        <f t="shared" si="169"/>
        <v>0.86637852719258968</v>
      </c>
      <c r="AY328" s="36">
        <f t="shared" si="170"/>
        <v>0.25425795457886347</v>
      </c>
      <c r="AZ328" s="36">
        <f t="shared" si="171"/>
        <v>1080577.7610325073</v>
      </c>
      <c r="BA328" s="36">
        <f t="shared" si="172"/>
        <v>5.4530931276593132E-4</v>
      </c>
      <c r="BB328" s="38">
        <f t="shared" si="173"/>
        <v>-12947837.618529761</v>
      </c>
      <c r="BC328" s="40">
        <f t="shared" si="174"/>
        <v>-17758587.368529759</v>
      </c>
      <c r="BD328" s="41">
        <f t="shared" si="175"/>
        <v>-369.14386096532587</v>
      </c>
      <c r="BE328" s="38">
        <v>4810749.7499999991</v>
      </c>
      <c r="BF328" s="42">
        <f>テーブル2[[#This Row],[q_P]]/テーブル2[[#This Row],[q_M]]</f>
        <v>-2.6914386096532592</v>
      </c>
      <c r="BG328" s="36">
        <v>1</v>
      </c>
      <c r="BH328" s="36">
        <v>2E-3</v>
      </c>
      <c r="BI328" s="36">
        <v>4.5999999999999999E-2</v>
      </c>
      <c r="BJ328" s="36">
        <v>5625</v>
      </c>
      <c r="BK328" s="22">
        <v>1</v>
      </c>
      <c r="BL328" s="36">
        <f>テーブル2[[#This Row],[Ts]]-テーブル2[[#This Row],[Tin]]</f>
        <v>48.402545807300385</v>
      </c>
      <c r="BM328" s="36">
        <f>テーブル2[[#This Row],[q_P]]*0.000001</f>
        <v>-12.947837618529761</v>
      </c>
      <c r="BN328" s="36">
        <f>テーブル2[[#This Row],[Tsub]]</f>
        <v>48.402545807300385</v>
      </c>
      <c r="BO328" s="36">
        <f>テーブル2[[#This Row],[Fcorr]]</f>
        <v>1</v>
      </c>
      <c r="BP328" s="36">
        <f>(テーブル2[[#This Row],[Tsub]]-40)^2</f>
        <v>70.602776043781276</v>
      </c>
      <c r="BQ328" s="36">
        <v>1</v>
      </c>
      <c r="BR328" s="36">
        <v>0.3175</v>
      </c>
    </row>
    <row r="329" spans="1:70" x14ac:dyDescent="0.15">
      <c r="A329" s="35" t="s">
        <v>325</v>
      </c>
      <c r="B329" s="36">
        <v>13789514.586336</v>
      </c>
      <c r="C329" s="22">
        <f>TsatFromP(テーブル2[[#This Row],[P]])</f>
        <v>608.62107399852357</v>
      </c>
      <c r="D329" s="36">
        <f>RhoGFromP(テーブル2[[#This Row],[P]])</f>
        <v>85.147847035840741</v>
      </c>
      <c r="E329" s="36">
        <f>RhoFFromP(テーブル2[[#This Row],[P]])</f>
        <v>624.86636713482415</v>
      </c>
      <c r="F329" s="36">
        <f>HgFromP(テーブル2[[#This Row],[P]])</f>
        <v>2643264.5206450778</v>
      </c>
      <c r="G329" s="36">
        <f>HfFromP(テーブル2[[#This Row],[P]])</f>
        <v>1562686.7596125705</v>
      </c>
      <c r="H329" s="36">
        <f>MuGFromP(テーブル2[[#This Row],[P]])</f>
        <v>2.2019591234371903E-5</v>
      </c>
      <c r="I329" s="36">
        <f>MuFFromP(テーブル2[[#This Row],[P]])</f>
        <v>7.222326555143516E-5</v>
      </c>
      <c r="J329" s="36">
        <f>KfFromP(テーブル2[[#This Row],[P]])</f>
        <v>0.49112131073334553</v>
      </c>
      <c r="K329" s="36">
        <f>CpFFromP(テーブル2[[#This Row],[P]])</f>
        <v>7679.7488518783057</v>
      </c>
      <c r="L329" s="36">
        <f>SigmaFromP(テーブル2[[#This Row],[P]])</f>
        <v>6.5036449518301549E-3</v>
      </c>
      <c r="M329" s="36">
        <v>219.01</v>
      </c>
      <c r="N329" s="36">
        <v>4678.9934999999996</v>
      </c>
      <c r="O329" s="37">
        <f t="shared" si="146"/>
        <v>1.7719053836560394E-5</v>
      </c>
      <c r="P329" s="37">
        <f t="shared" si="147"/>
        <v>1.4921936786020797E-2</v>
      </c>
      <c r="Q329" s="37">
        <v>4.7497999999999993E-3</v>
      </c>
      <c r="R329" s="36">
        <v>0.3175</v>
      </c>
      <c r="S329" s="38">
        <v>5331257.0999999996</v>
      </c>
      <c r="T329" s="36">
        <v>546.62227303838222</v>
      </c>
      <c r="U329" s="12">
        <f>+T329+BG329*S329*テーブル2[[#This Row],[Pw]]*R329/(N329*O329*K329)</f>
        <v>586.291940974608</v>
      </c>
      <c r="V329" s="36">
        <v>0.03</v>
      </c>
      <c r="W329" s="37">
        <f t="shared" si="148"/>
        <v>307716.40075555089</v>
      </c>
      <c r="X329" s="36">
        <v>0.01</v>
      </c>
      <c r="Y329" s="36">
        <f t="shared" si="149"/>
        <v>10</v>
      </c>
      <c r="Z329" s="36">
        <f t="shared" si="150"/>
        <v>6.1523394635438899</v>
      </c>
      <c r="AA329" s="36">
        <f t="shared" si="151"/>
        <v>3.8476605364561101</v>
      </c>
      <c r="AB329" s="36">
        <f t="shared" si="152"/>
        <v>1.7820107649032424E-5</v>
      </c>
      <c r="AC329" s="36">
        <v>600</v>
      </c>
      <c r="AD329" s="36">
        <f t="shared" si="153"/>
        <v>5439.7088414141826</v>
      </c>
      <c r="AE329" s="36">
        <f>+gettm2(AD329,AC329,AK329,AL329,テーブル2[[#This Row],[Fcorr]])</f>
        <v>552.22308259601493</v>
      </c>
      <c r="AF329" s="39">
        <f t="shared" si="154"/>
        <v>-34.068858378593063</v>
      </c>
      <c r="AG329" s="36">
        <v>1.0000000000000001E-5</v>
      </c>
      <c r="AH329" s="36">
        <f t="shared" si="155"/>
        <v>43.795324337560544</v>
      </c>
      <c r="AI329" s="36">
        <f t="shared" si="156"/>
        <v>0.26474044747746117</v>
      </c>
      <c r="AJ329" s="36">
        <f t="shared" si="157"/>
        <v>22.905001648129115</v>
      </c>
      <c r="AK329" s="36">
        <f>+S88*テーブル2[[#This Row],[F_form]]/(E88*CpFromTP((テーブル2[[#This Row],[Tin]]+テーブル2[[#This Row],[Tf]])/2,テーブル2[[#This Row],[P]])*AI88)</f>
        <v>1.8658871760534725</v>
      </c>
      <c r="AL329" s="36">
        <f t="shared" si="158"/>
        <v>1.1293676909872215</v>
      </c>
      <c r="AM329" s="36">
        <f t="shared" si="159"/>
        <v>574.36625670926844</v>
      </c>
      <c r="AN329" s="36">
        <f t="shared" si="160"/>
        <v>34.254817289255129</v>
      </c>
      <c r="AO329" s="36">
        <f t="shared" si="161"/>
        <v>-7.8201076490324236E-6</v>
      </c>
      <c r="AP329" s="36">
        <v>1</v>
      </c>
      <c r="AQ329" s="36">
        <f t="shared" si="162"/>
        <v>5.4530931276593132E-4</v>
      </c>
      <c r="AR329" s="36">
        <f t="shared" si="163"/>
        <v>1.0899461754837886E-6</v>
      </c>
      <c r="AS329" s="36">
        <f t="shared" si="164"/>
        <v>2.4965218945828194</v>
      </c>
      <c r="AT329" s="36">
        <f t="shared" si="165"/>
        <v>2.4965218945828194</v>
      </c>
      <c r="AU329" s="36">
        <f t="shared" si="166"/>
        <v>0.66093032350913472</v>
      </c>
      <c r="AV329" s="36">
        <f t="shared" si="167"/>
        <v>0.33906967649086528</v>
      </c>
      <c r="AW329" s="36">
        <f t="shared" si="168"/>
        <v>1.0713647431939123E-2</v>
      </c>
      <c r="AX329" s="36">
        <f t="shared" si="169"/>
        <v>0.92826270770634578</v>
      </c>
      <c r="AY329" s="36">
        <f t="shared" si="170"/>
        <v>-0.5891930312154805</v>
      </c>
      <c r="AZ329" s="36">
        <f t="shared" si="171"/>
        <v>1080577.7610325073</v>
      </c>
      <c r="BA329" s="36">
        <f t="shared" si="172"/>
        <v>5.4530931276593132E-4</v>
      </c>
      <c r="BB329" s="38">
        <f t="shared" si="173"/>
        <v>-9683068.2263548579</v>
      </c>
      <c r="BC329" s="40">
        <f t="shared" si="174"/>
        <v>-15014325.326354858</v>
      </c>
      <c r="BD329" s="41">
        <f t="shared" si="175"/>
        <v>-281.62823598124464</v>
      </c>
      <c r="BE329" s="38">
        <v>5331257.0999999996</v>
      </c>
      <c r="BF329" s="42">
        <f>テーブル2[[#This Row],[q_P]]/テーブル2[[#This Row],[q_M]]</f>
        <v>-1.8162823598124462</v>
      </c>
      <c r="BG329" s="36">
        <v>1</v>
      </c>
      <c r="BH329" s="36">
        <v>-5.3999999999999999E-2</v>
      </c>
      <c r="BI329" s="36">
        <v>4.5999999999999999E-2</v>
      </c>
      <c r="BJ329" s="36">
        <v>5625</v>
      </c>
      <c r="BK329" s="22">
        <v>1</v>
      </c>
      <c r="BL329" s="36">
        <f>テーブル2[[#This Row],[Ts]]-テーブル2[[#This Row],[Tin]]</f>
        <v>61.998800960141352</v>
      </c>
      <c r="BM329" s="36">
        <f>テーブル2[[#This Row],[q_P]]*0.000001</f>
        <v>-9.6830682263548571</v>
      </c>
      <c r="BN329" s="36">
        <f>テーブル2[[#This Row],[Tsub]]</f>
        <v>61.998800960141352</v>
      </c>
      <c r="BO329" s="36">
        <f>テーブル2[[#This Row],[Fcorr]]</f>
        <v>1</v>
      </c>
      <c r="BP329" s="36">
        <f>(テーブル2[[#This Row],[Tsub]]-40)^2</f>
        <v>483.9472436839161</v>
      </c>
      <c r="BQ329" s="36">
        <v>1</v>
      </c>
      <c r="BR329" s="36">
        <v>0.3175</v>
      </c>
    </row>
    <row r="330" spans="1:70" x14ac:dyDescent="0.15">
      <c r="A330" s="35" t="s">
        <v>326</v>
      </c>
      <c r="B330" s="36">
        <v>13789514.586336</v>
      </c>
      <c r="C330" s="22">
        <f>TsatFromP(テーブル2[[#This Row],[P]])</f>
        <v>608.62107399852357</v>
      </c>
      <c r="D330" s="36">
        <f>RhoGFromP(テーブル2[[#This Row],[P]])</f>
        <v>85.147847035840741</v>
      </c>
      <c r="E330" s="36">
        <f>RhoFFromP(テーブル2[[#This Row],[P]])</f>
        <v>624.86636713482415</v>
      </c>
      <c r="F330" s="36">
        <f>HgFromP(テーブル2[[#This Row],[P]])</f>
        <v>2643264.5206450778</v>
      </c>
      <c r="G330" s="36">
        <f>HfFromP(テーブル2[[#This Row],[P]])</f>
        <v>1562686.7596125705</v>
      </c>
      <c r="H330" s="36">
        <f>MuGFromP(テーブル2[[#This Row],[P]])</f>
        <v>2.2019591234371903E-5</v>
      </c>
      <c r="I330" s="36">
        <f>MuFFromP(テーブル2[[#This Row],[P]])</f>
        <v>7.222326555143516E-5</v>
      </c>
      <c r="J330" s="36">
        <f>KfFromP(テーブル2[[#This Row],[P]])</f>
        <v>0.49112131073334553</v>
      </c>
      <c r="K330" s="36">
        <f>CpFFromP(テーブル2[[#This Row],[P]])</f>
        <v>7679.7488518783057</v>
      </c>
      <c r="L330" s="36">
        <f>SigmaFromP(テーブル2[[#This Row],[P]])</f>
        <v>6.5036449518301549E-3</v>
      </c>
      <c r="M330" s="36">
        <v>22.01</v>
      </c>
      <c r="N330" s="36">
        <v>2264.9041000000002</v>
      </c>
      <c r="O330" s="37">
        <f t="shared" si="146"/>
        <v>2.8502295699234246E-6</v>
      </c>
      <c r="P330" s="37">
        <f t="shared" si="147"/>
        <v>5.9847340050885557E-3</v>
      </c>
      <c r="Q330" s="37">
        <v>1.905E-3</v>
      </c>
      <c r="R330" s="36">
        <v>0.69595999999999991</v>
      </c>
      <c r="S330" s="38">
        <v>2116729.89</v>
      </c>
      <c r="T330" s="36">
        <v>298.74813078754812</v>
      </c>
      <c r="U330" s="12">
        <f>+T330+BG330*S330*テーブル2[[#This Row],[Pw]]*R330/(N330*O330*K330)</f>
        <v>476.58340035203196</v>
      </c>
      <c r="V330" s="36">
        <v>0.03</v>
      </c>
      <c r="W330" s="37">
        <f t="shared" si="148"/>
        <v>59740.338207599409</v>
      </c>
      <c r="X330" s="36">
        <v>0.01</v>
      </c>
      <c r="Y330" s="36">
        <f t="shared" si="149"/>
        <v>10</v>
      </c>
      <c r="Z330" s="36">
        <f t="shared" si="150"/>
        <v>4.1431809615314927</v>
      </c>
      <c r="AA330" s="36">
        <f t="shared" si="151"/>
        <v>5.8568190384685073</v>
      </c>
      <c r="AB330" s="36">
        <f t="shared" si="152"/>
        <v>7.6052863599486664E-5</v>
      </c>
      <c r="AC330" s="36">
        <v>600</v>
      </c>
      <c r="AD330" s="36">
        <f t="shared" si="153"/>
        <v>1056.0699564242834</v>
      </c>
      <c r="AE330" s="36">
        <f>+gettm2(AD330,AC330,AK330,AL330,テーブル2[[#This Row],[Fcorr]])</f>
        <v>549.25986508555752</v>
      </c>
      <c r="AF330" s="39">
        <f t="shared" si="154"/>
        <v>72.676464733525563</v>
      </c>
      <c r="AG330" s="36">
        <v>1.0000000000000001E-5</v>
      </c>
      <c r="AH330" s="36">
        <f t="shared" si="155"/>
        <v>10.261775261081509</v>
      </c>
      <c r="AI330" s="36">
        <f t="shared" si="156"/>
        <v>0.12814972385140877</v>
      </c>
      <c r="AJ330" s="36">
        <f t="shared" si="157"/>
        <v>11.087348623876993</v>
      </c>
      <c r="AK330" s="36">
        <f>+S88*テーブル2[[#This Row],[F_form]]/(E88*CpFromTP((テーブル2[[#This Row],[Tin]]+テーブル2[[#This Row],[Tf]])/2,テーブル2[[#This Row],[P]])*AI88)</f>
        <v>2.3650138722465446</v>
      </c>
      <c r="AL330" s="36">
        <f t="shared" si="158"/>
        <v>1.1293676909872215</v>
      </c>
      <c r="AM330" s="36">
        <f t="shared" si="159"/>
        <v>576.41663855520449</v>
      </c>
      <c r="AN330" s="36">
        <f t="shared" si="160"/>
        <v>32.204435443319085</v>
      </c>
      <c r="AO330" s="36">
        <f t="shared" si="161"/>
        <v>-6.6052863599486665E-5</v>
      </c>
      <c r="AP330" s="36">
        <v>1</v>
      </c>
      <c r="AQ330" s="36">
        <f t="shared" si="162"/>
        <v>5.4530931276593132E-4</v>
      </c>
      <c r="AR330" s="36">
        <f t="shared" si="163"/>
        <v>-2.8026431799743333E-5</v>
      </c>
      <c r="AS330" s="36">
        <f t="shared" si="164"/>
        <v>-31.073882004706665</v>
      </c>
      <c r="AT330" s="36">
        <f t="shared" si="165"/>
        <v>-31.073882004706665</v>
      </c>
      <c r="AU330" s="36">
        <f t="shared" si="166"/>
        <v>-3.9821093978944195</v>
      </c>
      <c r="AV330" s="36">
        <f t="shared" si="167"/>
        <v>4.9821093978944191</v>
      </c>
      <c r="AW330" s="36">
        <f t="shared" si="168"/>
        <v>4.5723829667128756E-2</v>
      </c>
      <c r="AX330" s="36">
        <f t="shared" si="169"/>
        <v>0.44933296286075297</v>
      </c>
      <c r="AY330" s="36">
        <f t="shared" si="170"/>
        <v>4.5327764350336661</v>
      </c>
      <c r="AZ330" s="36">
        <f t="shared" si="171"/>
        <v>1080577.7610325073</v>
      </c>
      <c r="BA330" s="36">
        <f t="shared" si="172"/>
        <v>5.4530931276593132E-4</v>
      </c>
      <c r="BB330" s="38">
        <f t="shared" si="173"/>
        <v>-81788437.382837981</v>
      </c>
      <c r="BC330" s="40">
        <f t="shared" si="174"/>
        <v>-83905167.272837982</v>
      </c>
      <c r="BD330" s="41">
        <f t="shared" si="175"/>
        <v>-3963.9052516444585</v>
      </c>
      <c r="BE330" s="38">
        <v>2116729.89</v>
      </c>
      <c r="BF330" s="42">
        <f>テーブル2[[#This Row],[q_P]]/テーブル2[[#This Row],[q_M]]</f>
        <v>-38.639052516444586</v>
      </c>
      <c r="BG330" s="36">
        <v>1</v>
      </c>
      <c r="BH330" s="36">
        <v>-7.0999999999999994E-2</v>
      </c>
      <c r="BI330" s="36">
        <v>4.5999999999999999E-2</v>
      </c>
      <c r="BJ330" s="36">
        <v>5625</v>
      </c>
      <c r="BK330" s="22">
        <v>1</v>
      </c>
      <c r="BL330" s="36">
        <f>テーブル2[[#This Row],[Ts]]-テーブル2[[#This Row],[Tin]]</f>
        <v>309.87294321097545</v>
      </c>
      <c r="BM330" s="36">
        <f>テーブル2[[#This Row],[q_P]]*0.000001</f>
        <v>-81.788437382837984</v>
      </c>
      <c r="BN330" s="36">
        <f>テーブル2[[#This Row],[Tsub]]</f>
        <v>309.87294321097545</v>
      </c>
      <c r="BO330" s="36">
        <f>テーブル2[[#This Row],[Fcorr]]</f>
        <v>1</v>
      </c>
      <c r="BP330" s="36">
        <f>(テーブル2[[#This Row],[Tsub]]-40)^2</f>
        <v>72831.405477354376</v>
      </c>
      <c r="BQ330" s="36">
        <v>1</v>
      </c>
      <c r="BR330" s="36">
        <v>0.69595999999999991</v>
      </c>
    </row>
    <row r="331" spans="1:70" x14ac:dyDescent="0.15">
      <c r="A331" s="35" t="s">
        <v>327</v>
      </c>
      <c r="B331" s="36">
        <v>13789514.586336</v>
      </c>
      <c r="C331" s="22">
        <f>TsatFromP(テーブル2[[#This Row],[P]])</f>
        <v>608.62107399852357</v>
      </c>
      <c r="D331" s="36">
        <f>RhoGFromP(テーブル2[[#This Row],[P]])</f>
        <v>85.147847035840741</v>
      </c>
      <c r="E331" s="36">
        <f>RhoFFromP(テーブル2[[#This Row],[P]])</f>
        <v>624.86636713482415</v>
      </c>
      <c r="F331" s="36">
        <f>HgFromP(テーブル2[[#This Row],[P]])</f>
        <v>2643264.5206450778</v>
      </c>
      <c r="G331" s="36">
        <f>HfFromP(テーブル2[[#This Row],[P]])</f>
        <v>1562686.7596125705</v>
      </c>
      <c r="H331" s="36">
        <f>MuGFromP(テーブル2[[#This Row],[P]])</f>
        <v>2.2019591234371903E-5</v>
      </c>
      <c r="I331" s="36">
        <f>MuFFromP(テーブル2[[#This Row],[P]])</f>
        <v>7.222326555143516E-5</v>
      </c>
      <c r="J331" s="36">
        <f>KfFromP(テーブル2[[#This Row],[P]])</f>
        <v>0.49112131073334553</v>
      </c>
      <c r="K331" s="36">
        <f>CpFFromP(テーブル2[[#This Row],[P]])</f>
        <v>7679.7488518783057</v>
      </c>
      <c r="L331" s="36">
        <f>SigmaFromP(テーブル2[[#This Row],[P]])</f>
        <v>6.5036449518301549E-3</v>
      </c>
      <c r="M331" s="36">
        <v>220.01</v>
      </c>
      <c r="N331" s="36">
        <v>4773.9296000000004</v>
      </c>
      <c r="O331" s="37">
        <f t="shared" si="146"/>
        <v>1.7719053836560394E-5</v>
      </c>
      <c r="P331" s="37">
        <f t="shared" si="147"/>
        <v>1.4921936786020797E-2</v>
      </c>
      <c r="Q331" s="37">
        <v>4.7497999999999993E-3</v>
      </c>
      <c r="R331" s="36">
        <v>0.3175</v>
      </c>
      <c r="S331" s="38">
        <v>6372271.7999999998</v>
      </c>
      <c r="T331" s="36">
        <v>501.38753824415329</v>
      </c>
      <c r="U331" s="12">
        <f>+T331+BG331*S331*テーブル2[[#This Row],[Pw]]*R331/(N331*O331*K331)</f>
        <v>547.86042619593468</v>
      </c>
      <c r="V331" s="36">
        <v>0.03</v>
      </c>
      <c r="W331" s="37">
        <f t="shared" si="148"/>
        <v>313959.92193030129</v>
      </c>
      <c r="X331" s="36">
        <v>0.01</v>
      </c>
      <c r="Y331" s="36">
        <f t="shared" si="149"/>
        <v>10</v>
      </c>
      <c r="Z331" s="36">
        <f t="shared" si="150"/>
        <v>6.1855178255955883</v>
      </c>
      <c r="AA331" s="36">
        <f t="shared" si="151"/>
        <v>3.8144821744044117</v>
      </c>
      <c r="AB331" s="36">
        <f t="shared" si="152"/>
        <v>1.7118400640222137E-5</v>
      </c>
      <c r="AC331" s="36">
        <v>600</v>
      </c>
      <c r="AD331" s="36">
        <f t="shared" si="153"/>
        <v>5550.0797454428757</v>
      </c>
      <c r="AE331" s="36">
        <f>+gettm2(AD331,AC331,AK331,AL331,テーブル2[[#This Row],[Fcorr]])</f>
        <v>546.36006734008026</v>
      </c>
      <c r="AF331" s="39">
        <f t="shared" si="154"/>
        <v>-1.5003588558544152</v>
      </c>
      <c r="AG331" s="36">
        <v>1.0000000000000001E-5</v>
      </c>
      <c r="AH331" s="36">
        <f t="shared" si="155"/>
        <v>45.590555485999609</v>
      </c>
      <c r="AI331" s="36">
        <f t="shared" si="156"/>
        <v>0.2701119927885981</v>
      </c>
      <c r="AJ331" s="36">
        <f t="shared" si="157"/>
        <v>23.369740812004199</v>
      </c>
      <c r="AK331" s="36">
        <f>+S88*テーブル2[[#This Row],[F_form]]/(E88*CpFromTP((テーブル2[[#This Row],[Tin]]+テーブル2[[#This Row],[Tf]])/2,テーブル2[[#This Row],[P]])*AI88)</f>
        <v>2.0907412123797582</v>
      </c>
      <c r="AL331" s="36">
        <f t="shared" si="158"/>
        <v>1.1293676909872215</v>
      </c>
      <c r="AM331" s="36">
        <f t="shared" si="159"/>
        <v>571.06187837134974</v>
      </c>
      <c r="AN331" s="36">
        <f t="shared" si="160"/>
        <v>37.559195627173835</v>
      </c>
      <c r="AO331" s="36">
        <f t="shared" si="161"/>
        <v>-7.1184006402221362E-6</v>
      </c>
      <c r="AP331" s="36">
        <v>1</v>
      </c>
      <c r="AQ331" s="36">
        <f t="shared" si="162"/>
        <v>5.4530931276593132E-4</v>
      </c>
      <c r="AR331" s="36">
        <f t="shared" si="163"/>
        <v>1.4407996798889323E-6</v>
      </c>
      <c r="AS331" s="36">
        <f t="shared" si="164"/>
        <v>3.3671115081022966</v>
      </c>
      <c r="AT331" s="36">
        <f t="shared" si="165"/>
        <v>3.3671115081022966</v>
      </c>
      <c r="AU331" s="36">
        <f t="shared" si="166"/>
        <v>0.90949719939493323</v>
      </c>
      <c r="AV331" s="36">
        <f t="shared" si="167"/>
        <v>9.0502800605066769E-2</v>
      </c>
      <c r="AW331" s="36">
        <f t="shared" si="168"/>
        <v>1.0291773353455529E-2</v>
      </c>
      <c r="AX331" s="36">
        <f t="shared" si="169"/>
        <v>0.94709702351488045</v>
      </c>
      <c r="AY331" s="36">
        <f t="shared" si="170"/>
        <v>-0.85659422290981369</v>
      </c>
      <c r="AZ331" s="36">
        <f t="shared" si="171"/>
        <v>1080577.7610325073</v>
      </c>
      <c r="BA331" s="36">
        <f t="shared" si="172"/>
        <v>5.4530931276593132E-4</v>
      </c>
      <c r="BB331" s="38">
        <f t="shared" si="173"/>
        <v>-8814195.6805834305</v>
      </c>
      <c r="BC331" s="40">
        <f t="shared" si="174"/>
        <v>-15186467.480583429</v>
      </c>
      <c r="BD331" s="41">
        <f t="shared" si="175"/>
        <v>-238.32108794517254</v>
      </c>
      <c r="BE331" s="38">
        <v>6372271.7999999998</v>
      </c>
      <c r="BF331" s="42">
        <f>テーブル2[[#This Row],[q_P]]/テーブル2[[#This Row],[q_M]]</f>
        <v>-1.3832108794517257</v>
      </c>
      <c r="BG331" s="36">
        <v>1</v>
      </c>
      <c r="BH331" s="36">
        <v>-0.20499999999999999</v>
      </c>
      <c r="BI331" s="36">
        <v>4.5999999999999999E-2</v>
      </c>
      <c r="BJ331" s="36">
        <v>5625</v>
      </c>
      <c r="BK331" s="22">
        <v>1</v>
      </c>
      <c r="BL331" s="36">
        <f>テーブル2[[#This Row],[Ts]]-テーブル2[[#This Row],[Tin]]</f>
        <v>107.23353575437028</v>
      </c>
      <c r="BM331" s="36">
        <f>テーブル2[[#This Row],[q_P]]*0.000001</f>
        <v>-8.8141956805834294</v>
      </c>
      <c r="BN331" s="36">
        <f>テーブル2[[#This Row],[Tsub]]</f>
        <v>107.23353575437028</v>
      </c>
      <c r="BO331" s="36">
        <f>テーブル2[[#This Row],[Fcorr]]</f>
        <v>1</v>
      </c>
      <c r="BP331" s="36">
        <f>(テーブル2[[#This Row],[Tsub]]-40)^2</f>
        <v>4520.3483300341868</v>
      </c>
      <c r="BQ331" s="36">
        <v>1</v>
      </c>
      <c r="BR331" s="36">
        <v>0.3175</v>
      </c>
    </row>
    <row r="332" spans="1:70" x14ac:dyDescent="0.15">
      <c r="A332" s="35" t="s">
        <v>328</v>
      </c>
      <c r="B332" s="36">
        <v>13789514.586336</v>
      </c>
      <c r="C332" s="22">
        <f>TsatFromP(テーブル2[[#This Row],[P]])</f>
        <v>608.62107399852357</v>
      </c>
      <c r="D332" s="36">
        <f>RhoGFromP(テーブル2[[#This Row],[P]])</f>
        <v>85.147847035840741</v>
      </c>
      <c r="E332" s="36">
        <f>RhoFFromP(テーブル2[[#This Row],[P]])</f>
        <v>624.86636713482415</v>
      </c>
      <c r="F332" s="36">
        <f>HgFromP(テーブル2[[#This Row],[P]])</f>
        <v>2643264.5206450778</v>
      </c>
      <c r="G332" s="36">
        <f>HfFromP(テーブル2[[#This Row],[P]])</f>
        <v>1562686.7596125705</v>
      </c>
      <c r="H332" s="36">
        <f>MuGFromP(テーブル2[[#This Row],[P]])</f>
        <v>2.2019591234371903E-5</v>
      </c>
      <c r="I332" s="36">
        <f>MuFFromP(テーブル2[[#This Row],[P]])</f>
        <v>7.222326555143516E-5</v>
      </c>
      <c r="J332" s="36">
        <f>KfFromP(テーブル2[[#This Row],[P]])</f>
        <v>0.49112131073334553</v>
      </c>
      <c r="K332" s="36">
        <f>CpFFromP(テーブル2[[#This Row],[P]])</f>
        <v>7679.7488518783057</v>
      </c>
      <c r="L332" s="36">
        <f>SigmaFromP(テーブル2[[#This Row],[P]])</f>
        <v>6.5036449518301549E-3</v>
      </c>
      <c r="M332" s="36">
        <v>221.01</v>
      </c>
      <c r="N332" s="36">
        <v>4787.4919</v>
      </c>
      <c r="O332" s="37">
        <f t="shared" si="146"/>
        <v>1.7719053836560394E-5</v>
      </c>
      <c r="P332" s="37">
        <f t="shared" si="147"/>
        <v>1.4921936786020797E-2</v>
      </c>
      <c r="Q332" s="37">
        <v>4.7497999999999993E-3</v>
      </c>
      <c r="R332" s="36">
        <v>0.3175</v>
      </c>
      <c r="S332" s="38">
        <v>5394348.8999999994</v>
      </c>
      <c r="T332" s="36">
        <v>549.44282081562312</v>
      </c>
      <c r="U332" s="12">
        <f>+T332+BG332*S332*テーブル2[[#This Row],[Pw]]*R332/(N332*O332*K332)</f>
        <v>588.67228357603074</v>
      </c>
      <c r="V332" s="36">
        <v>0.03</v>
      </c>
      <c r="W332" s="37">
        <f t="shared" si="148"/>
        <v>314851.85352669412</v>
      </c>
      <c r="X332" s="36">
        <v>0.01</v>
      </c>
      <c r="Y332" s="36">
        <f t="shared" si="149"/>
        <v>10</v>
      </c>
      <c r="Z332" s="36">
        <f t="shared" si="150"/>
        <v>6.1902011394955601</v>
      </c>
      <c r="AA332" s="36">
        <f t="shared" si="151"/>
        <v>3.8097988605044399</v>
      </c>
      <c r="AB332" s="36">
        <f t="shared" si="152"/>
        <v>1.7021549911531945E-5</v>
      </c>
      <c r="AC332" s="36">
        <v>600</v>
      </c>
      <c r="AD332" s="36">
        <f t="shared" si="153"/>
        <v>5565.8470174469749</v>
      </c>
      <c r="AE332" s="36">
        <f>+gettm2(AD332,AC332,AK332,AL332,テーブル2[[#This Row],[Fcorr]])</f>
        <v>552.61341587139077</v>
      </c>
      <c r="AF332" s="39">
        <f t="shared" si="154"/>
        <v>-36.058867704639965</v>
      </c>
      <c r="AG332" s="36">
        <v>1.0000000000000001E-5</v>
      </c>
      <c r="AH332" s="36">
        <f t="shared" si="155"/>
        <v>45.849960683714201</v>
      </c>
      <c r="AI332" s="36">
        <f t="shared" si="156"/>
        <v>0.2708793564044748</v>
      </c>
      <c r="AJ332" s="36">
        <f t="shared" si="157"/>
        <v>23.436132121129209</v>
      </c>
      <c r="AK332" s="36">
        <f>+S88*テーブル2[[#This Row],[F_form]]/(E88*CpFromTP((テーブル2[[#This Row],[Tin]]+テーブル2[[#This Row],[Tf]])/2,テーブル2[[#This Row],[P]])*AI88)</f>
        <v>1.846489410693581</v>
      </c>
      <c r="AL332" s="36">
        <f t="shared" si="158"/>
        <v>1.1293676909872215</v>
      </c>
      <c r="AM332" s="36">
        <f t="shared" si="159"/>
        <v>574.41573928834214</v>
      </c>
      <c r="AN332" s="36">
        <f t="shared" si="160"/>
        <v>34.205334710181432</v>
      </c>
      <c r="AO332" s="36">
        <f t="shared" si="161"/>
        <v>-7.0215499115319442E-6</v>
      </c>
      <c r="AP332" s="36">
        <v>1</v>
      </c>
      <c r="AQ332" s="36">
        <f t="shared" si="162"/>
        <v>5.4530931276593132E-4</v>
      </c>
      <c r="AR332" s="36">
        <f t="shared" si="163"/>
        <v>1.4892250442340283E-6</v>
      </c>
      <c r="AS332" s="36">
        <f t="shared" si="164"/>
        <v>3.4901674894763177</v>
      </c>
      <c r="AT332" s="36">
        <f t="shared" si="165"/>
        <v>3.4901674894763177</v>
      </c>
      <c r="AU332" s="36">
        <f t="shared" si="166"/>
        <v>0.94541432329316655</v>
      </c>
      <c r="AV332" s="36">
        <f t="shared" si="167"/>
        <v>5.4585676706833453E-2</v>
      </c>
      <c r="AW332" s="36">
        <f t="shared" si="168"/>
        <v>1.0233545615377333E-2</v>
      </c>
      <c r="AX332" s="36">
        <f t="shared" si="169"/>
        <v>0.94978764005895677</v>
      </c>
      <c r="AY332" s="36">
        <f t="shared" si="170"/>
        <v>-0.89520196335212332</v>
      </c>
      <c r="AZ332" s="36">
        <f t="shared" si="171"/>
        <v>1080577.7610325073</v>
      </c>
      <c r="BA332" s="36">
        <f t="shared" si="172"/>
        <v>5.4530931276593132E-4</v>
      </c>
      <c r="BB332" s="38">
        <f t="shared" si="173"/>
        <v>-8694272.4959204495</v>
      </c>
      <c r="BC332" s="40">
        <f t="shared" si="174"/>
        <v>-14088621.395920448</v>
      </c>
      <c r="BD332" s="41">
        <f t="shared" si="175"/>
        <v>-261.17371451298692</v>
      </c>
      <c r="BE332" s="38">
        <v>5394348.8999999994</v>
      </c>
      <c r="BF332" s="42">
        <f>テーブル2[[#This Row],[q_P]]/テーブル2[[#This Row],[q_M]]</f>
        <v>-1.6117371451298692</v>
      </c>
      <c r="BG332" s="36">
        <v>1</v>
      </c>
      <c r="BH332" s="36">
        <v>-4.3999999999999997E-2</v>
      </c>
      <c r="BI332" s="36">
        <v>4.5999999999999999E-2</v>
      </c>
      <c r="BJ332" s="36">
        <v>5625</v>
      </c>
      <c r="BK332" s="22">
        <v>1</v>
      </c>
      <c r="BL332" s="36">
        <f>テーブル2[[#This Row],[Ts]]-テーブル2[[#This Row],[Tin]]</f>
        <v>59.178253182900448</v>
      </c>
      <c r="BM332" s="36">
        <f>テーブル2[[#This Row],[q_P]]*0.000001</f>
        <v>-8.6942724959204494</v>
      </c>
      <c r="BN332" s="36">
        <f>テーブル2[[#This Row],[Tsub]]</f>
        <v>59.178253182900448</v>
      </c>
      <c r="BO332" s="36">
        <f>テーブル2[[#This Row],[Fcorr]]</f>
        <v>1</v>
      </c>
      <c r="BP332" s="36">
        <f>(テーブル2[[#This Row],[Tsub]]-40)^2</f>
        <v>367.80539514743117</v>
      </c>
      <c r="BQ332" s="36">
        <v>1</v>
      </c>
      <c r="BR332" s="36">
        <v>0.3175</v>
      </c>
    </row>
    <row r="333" spans="1:70" x14ac:dyDescent="0.15">
      <c r="A333" s="35" t="s">
        <v>329</v>
      </c>
      <c r="B333" s="36">
        <v>13789514.586336</v>
      </c>
      <c r="C333" s="22">
        <f>TsatFromP(テーブル2[[#This Row],[P]])</f>
        <v>608.62107399852357</v>
      </c>
      <c r="D333" s="36">
        <f>RhoGFromP(テーブル2[[#This Row],[P]])</f>
        <v>85.147847035840741</v>
      </c>
      <c r="E333" s="36">
        <f>RhoFFromP(テーブル2[[#This Row],[P]])</f>
        <v>624.86636713482415</v>
      </c>
      <c r="F333" s="36">
        <f>HgFromP(テーブル2[[#This Row],[P]])</f>
        <v>2643264.5206450778</v>
      </c>
      <c r="G333" s="36">
        <f>HfFromP(テーブル2[[#This Row],[P]])</f>
        <v>1562686.7596125705</v>
      </c>
      <c r="H333" s="36">
        <f>MuGFromP(テーブル2[[#This Row],[P]])</f>
        <v>2.2019591234371903E-5</v>
      </c>
      <c r="I333" s="36">
        <f>MuFFromP(テーブル2[[#This Row],[P]])</f>
        <v>7.222326555143516E-5</v>
      </c>
      <c r="J333" s="36">
        <f>KfFromP(テーブル2[[#This Row],[P]])</f>
        <v>0.49112131073334553</v>
      </c>
      <c r="K333" s="36">
        <f>CpFFromP(テーブル2[[#This Row],[P]])</f>
        <v>7679.7488518783057</v>
      </c>
      <c r="L333" s="36">
        <f>SigmaFromP(テーブル2[[#This Row],[P]])</f>
        <v>6.5036449518301549E-3</v>
      </c>
      <c r="M333" s="36">
        <v>222.01</v>
      </c>
      <c r="N333" s="36">
        <v>4882.4279999999999</v>
      </c>
      <c r="O333" s="37">
        <f t="shared" si="146"/>
        <v>1.7719053836560394E-5</v>
      </c>
      <c r="P333" s="37">
        <f t="shared" si="147"/>
        <v>1.4921936786020797E-2</v>
      </c>
      <c r="Q333" s="37">
        <v>4.7497999999999993E-3</v>
      </c>
      <c r="R333" s="36">
        <v>0.3175</v>
      </c>
      <c r="S333" s="38">
        <v>6687730.7999999998</v>
      </c>
      <c r="T333" s="36">
        <v>518.14095642642042</v>
      </c>
      <c r="U333" s="12">
        <f>+T333+BG333*S333*テーブル2[[#This Row],[Pw]]*R333/(N333*O333*K333)</f>
        <v>565.83062626296794</v>
      </c>
      <c r="V333" s="36">
        <v>0.03</v>
      </c>
      <c r="W333" s="37">
        <f t="shared" si="148"/>
        <v>321095.37470144447</v>
      </c>
      <c r="X333" s="36">
        <v>0.01</v>
      </c>
      <c r="Y333" s="36">
        <f t="shared" si="149"/>
        <v>10</v>
      </c>
      <c r="Z333" s="36">
        <f t="shared" si="150"/>
        <v>6.2226002747898539</v>
      </c>
      <c r="AA333" s="36">
        <f t="shared" si="151"/>
        <v>3.7773997252101461</v>
      </c>
      <c r="AB333" s="36">
        <f t="shared" si="152"/>
        <v>1.6366036365170402E-5</v>
      </c>
      <c r="AC333" s="36">
        <v>600</v>
      </c>
      <c r="AD333" s="36">
        <f t="shared" si="153"/>
        <v>5676.2179214756688</v>
      </c>
      <c r="AE333" s="36">
        <f>+gettm2(AD333,AC333,AK333,AL333,テーブル2[[#This Row],[Fcorr]])</f>
        <v>548.23265880963538</v>
      </c>
      <c r="AF333" s="39">
        <f t="shared" si="154"/>
        <v>-17.597967453332558</v>
      </c>
      <c r="AG333" s="36">
        <v>1.0000000000000001E-5</v>
      </c>
      <c r="AH333" s="36">
        <f t="shared" si="155"/>
        <v>47.686402303279543</v>
      </c>
      <c r="AI333" s="36">
        <f t="shared" si="156"/>
        <v>0.27625090171561167</v>
      </c>
      <c r="AJ333" s="36">
        <f t="shared" si="157"/>
        <v>23.900871285004293</v>
      </c>
      <c r="AK333" s="36">
        <f>+S88*テーブル2[[#This Row],[F_form]]/(E88*CpFromTP((テーブル2[[#This Row],[Tin]]+テーブル2[[#This Row],[Tf]])/2,テーブル2[[#This Row],[P]])*AI88)</f>
        <v>2.0133219194468377</v>
      </c>
      <c r="AL333" s="36">
        <f t="shared" si="158"/>
        <v>1.1293676909872215</v>
      </c>
      <c r="AM333" s="36">
        <f t="shared" si="159"/>
        <v>571.90160107170607</v>
      </c>
      <c r="AN333" s="36">
        <f t="shared" si="160"/>
        <v>36.719472926817502</v>
      </c>
      <c r="AO333" s="36">
        <f t="shared" si="161"/>
        <v>-6.3660363651704012E-6</v>
      </c>
      <c r="AP333" s="36">
        <v>1</v>
      </c>
      <c r="AQ333" s="36">
        <f t="shared" si="162"/>
        <v>5.4530931276593132E-4</v>
      </c>
      <c r="AR333" s="36">
        <f t="shared" si="163"/>
        <v>1.8169818174147998E-6</v>
      </c>
      <c r="AS333" s="36">
        <f t="shared" si="164"/>
        <v>4.3427448545224303</v>
      </c>
      <c r="AT333" s="36">
        <f t="shared" si="165"/>
        <v>4.3427448545224303</v>
      </c>
      <c r="AU333" s="36">
        <f t="shared" si="166"/>
        <v>1.1996871819826542</v>
      </c>
      <c r="AV333" s="36">
        <f t="shared" si="167"/>
        <v>-0.19968718198265423</v>
      </c>
      <c r="AW333" s="36">
        <f t="shared" si="168"/>
        <v>9.8394435616246459E-3</v>
      </c>
      <c r="AX333" s="36">
        <f t="shared" si="169"/>
        <v>0.96862195586749134</v>
      </c>
      <c r="AY333" s="36">
        <f t="shared" si="170"/>
        <v>-1.1683091378501456</v>
      </c>
      <c r="AZ333" s="36">
        <f t="shared" si="171"/>
        <v>1080577.7610325073</v>
      </c>
      <c r="BA333" s="36">
        <f t="shared" si="172"/>
        <v>5.4530931276593132E-4</v>
      </c>
      <c r="BB333" s="38">
        <f t="shared" si="173"/>
        <v>-7882597.9413503464</v>
      </c>
      <c r="BC333" s="40">
        <f t="shared" si="174"/>
        <v>-14570328.741350345</v>
      </c>
      <c r="BD333" s="41">
        <f t="shared" si="175"/>
        <v>-217.86655559386969</v>
      </c>
      <c r="BE333" s="38">
        <v>6687730.7999999998</v>
      </c>
      <c r="BF333" s="42">
        <f>テーブル2[[#This Row],[q_P]]/テーブル2[[#This Row],[q_M]]</f>
        <v>-1.1786655559386969</v>
      </c>
      <c r="BG333" s="36">
        <v>1</v>
      </c>
      <c r="BH333" s="36">
        <v>-0.124</v>
      </c>
      <c r="BI333" s="36">
        <v>4.5999999999999999E-2</v>
      </c>
      <c r="BJ333" s="36">
        <v>5625</v>
      </c>
      <c r="BK333" s="22">
        <v>1</v>
      </c>
      <c r="BL333" s="36">
        <f>テーブル2[[#This Row],[Ts]]-テーブル2[[#This Row],[Tin]]</f>
        <v>90.480117572103154</v>
      </c>
      <c r="BM333" s="36">
        <f>テーブル2[[#This Row],[q_P]]*0.000001</f>
        <v>-7.8825979413503457</v>
      </c>
      <c r="BN333" s="36">
        <f>テーブル2[[#This Row],[Tsub]]</f>
        <v>90.480117572103154</v>
      </c>
      <c r="BO333" s="36">
        <f>テーブル2[[#This Row],[Fcorr]]</f>
        <v>1</v>
      </c>
      <c r="BP333" s="36">
        <f>(テーブル2[[#This Row],[Tsub]]-40)^2</f>
        <v>2548.2422700933575</v>
      </c>
      <c r="BQ333" s="36">
        <v>1</v>
      </c>
      <c r="BR333" s="36">
        <v>0.3175</v>
      </c>
    </row>
    <row r="334" spans="1:70" x14ac:dyDescent="0.15">
      <c r="A334" s="35" t="s">
        <v>330</v>
      </c>
      <c r="B334" s="36">
        <v>13789514.586336</v>
      </c>
      <c r="C334" s="22">
        <f>TsatFromP(テーブル2[[#This Row],[P]])</f>
        <v>608.62107399852357</v>
      </c>
      <c r="D334" s="36">
        <f>RhoGFromP(テーブル2[[#This Row],[P]])</f>
        <v>85.147847035840741</v>
      </c>
      <c r="E334" s="36">
        <f>RhoFFromP(テーブル2[[#This Row],[P]])</f>
        <v>624.86636713482415</v>
      </c>
      <c r="F334" s="36">
        <f>HgFromP(テーブル2[[#This Row],[P]])</f>
        <v>2643264.5206450778</v>
      </c>
      <c r="G334" s="36">
        <f>HfFromP(テーブル2[[#This Row],[P]])</f>
        <v>1562686.7596125705</v>
      </c>
      <c r="H334" s="36">
        <f>MuGFromP(テーブル2[[#This Row],[P]])</f>
        <v>2.2019591234371903E-5</v>
      </c>
      <c r="I334" s="36">
        <f>MuFFromP(テーブル2[[#This Row],[P]])</f>
        <v>7.222326555143516E-5</v>
      </c>
      <c r="J334" s="36">
        <f>KfFromP(テーブル2[[#This Row],[P]])</f>
        <v>0.49112131073334553</v>
      </c>
      <c r="K334" s="36">
        <f>CpFFromP(テーブル2[[#This Row],[P]])</f>
        <v>7679.7488518783057</v>
      </c>
      <c r="L334" s="36">
        <f>SigmaFromP(テーブル2[[#This Row],[P]])</f>
        <v>6.5036449518301549E-3</v>
      </c>
      <c r="M334" s="36">
        <v>224.01</v>
      </c>
      <c r="N334" s="36">
        <v>4963.8018000000002</v>
      </c>
      <c r="O334" s="37">
        <f t="shared" si="146"/>
        <v>1.7719053836560394E-5</v>
      </c>
      <c r="P334" s="37">
        <f t="shared" si="147"/>
        <v>1.4921936786020797E-2</v>
      </c>
      <c r="Q334" s="37">
        <v>4.7497999999999993E-3</v>
      </c>
      <c r="R334" s="36">
        <v>0.3175</v>
      </c>
      <c r="S334" s="38">
        <v>6750822.6000000006</v>
      </c>
      <c r="T334" s="36">
        <v>503.61951592062832</v>
      </c>
      <c r="U334" s="12">
        <f>+T334+BG334*S334*テーブル2[[#This Row],[Pw]]*R334/(N334*O334*K334)</f>
        <v>550.96991498506304</v>
      </c>
      <c r="V334" s="36">
        <v>0.03</v>
      </c>
      <c r="W334" s="37">
        <f t="shared" si="148"/>
        <v>326446.96427980188</v>
      </c>
      <c r="X334" s="36">
        <v>0.01</v>
      </c>
      <c r="Y334" s="36">
        <f t="shared" si="149"/>
        <v>10</v>
      </c>
      <c r="Z334" s="36">
        <f t="shared" si="150"/>
        <v>6.249849826197301</v>
      </c>
      <c r="AA334" s="36">
        <f t="shared" si="151"/>
        <v>3.750150173802699</v>
      </c>
      <c r="AB334" s="36">
        <f t="shared" si="152"/>
        <v>1.5833843298740509E-5</v>
      </c>
      <c r="AC334" s="36">
        <v>600</v>
      </c>
      <c r="AD334" s="36">
        <f t="shared" si="153"/>
        <v>5770.8215535002646</v>
      </c>
      <c r="AE334" s="36">
        <f>+gettm2(AD334,AC334,AK334,AL334,テーブル2[[#This Row],[Fcorr]])</f>
        <v>546.43379380988551</v>
      </c>
      <c r="AF334" s="39">
        <f t="shared" si="154"/>
        <v>-4.5361211751775272</v>
      </c>
      <c r="AG334" s="36">
        <v>1.0000000000000001E-5</v>
      </c>
      <c r="AH334" s="36">
        <f t="shared" si="155"/>
        <v>49.289195269584226</v>
      </c>
      <c r="AI334" s="36">
        <f t="shared" si="156"/>
        <v>0.28085508341087195</v>
      </c>
      <c r="AJ334" s="36">
        <f t="shared" si="157"/>
        <v>24.299219139754371</v>
      </c>
      <c r="AK334" s="36">
        <f>+S88*テーブル2[[#This Row],[F_form]]/(E88*CpFromTP((テーブル2[[#This Row],[Tin]]+テーブル2[[#This Row],[Tf]])/2,テーブル2[[#This Row],[P]])*AI88)</f>
        <v>2.0799239460223951</v>
      </c>
      <c r="AL334" s="36">
        <f t="shared" si="158"/>
        <v>1.1293676909872215</v>
      </c>
      <c r="AM334" s="36">
        <f t="shared" si="159"/>
        <v>570.79600405523138</v>
      </c>
      <c r="AN334" s="36">
        <f t="shared" si="160"/>
        <v>37.825069943292192</v>
      </c>
      <c r="AO334" s="36">
        <f t="shared" si="161"/>
        <v>-5.8338432987405085E-6</v>
      </c>
      <c r="AP334" s="36">
        <v>1</v>
      </c>
      <c r="AQ334" s="36">
        <f t="shared" si="162"/>
        <v>5.4530931276593132E-4</v>
      </c>
      <c r="AR334" s="36">
        <f t="shared" si="163"/>
        <v>2.0830783506297462E-6</v>
      </c>
      <c r="AS334" s="36">
        <f t="shared" si="164"/>
        <v>5.0617177327230296</v>
      </c>
      <c r="AT334" s="36">
        <f t="shared" si="165"/>
        <v>5.0585294928083027</v>
      </c>
      <c r="AU334" s="36">
        <f t="shared" si="166"/>
        <v>1.4207137226390316</v>
      </c>
      <c r="AV334" s="36">
        <f t="shared" si="167"/>
        <v>-0.42071372263903162</v>
      </c>
      <c r="AW334" s="36">
        <f t="shared" si="168"/>
        <v>9.519483155562676E-3</v>
      </c>
      <c r="AX334" s="36">
        <f t="shared" si="169"/>
        <v>0.98476565513194958</v>
      </c>
      <c r="AY334" s="36">
        <f t="shared" si="170"/>
        <v>-1.4054793777709813</v>
      </c>
      <c r="AZ334" s="36">
        <f t="shared" si="171"/>
        <v>1080577.7610325073</v>
      </c>
      <c r="BA334" s="36">
        <f t="shared" si="172"/>
        <v>5.4530931276593132E-4</v>
      </c>
      <c r="BB334" s="38">
        <f t="shared" si="173"/>
        <v>-7223622.1314110467</v>
      </c>
      <c r="BC334" s="40">
        <f t="shared" si="174"/>
        <v>-13974444.731411047</v>
      </c>
      <c r="BD334" s="41">
        <f t="shared" si="175"/>
        <v>-207.00358399894921</v>
      </c>
      <c r="BE334" s="38">
        <v>6750822.6000000006</v>
      </c>
      <c r="BF334" s="42">
        <f>テーブル2[[#This Row],[q_P]]/テーブル2[[#This Row],[q_M]]</f>
        <v>-1.070035839989492</v>
      </c>
      <c r="BG334" s="36">
        <v>1</v>
      </c>
      <c r="BH334" s="36">
        <v>-0.189</v>
      </c>
      <c r="BI334" s="36">
        <v>4.5999999999999999E-2</v>
      </c>
      <c r="BJ334" s="36">
        <v>5625</v>
      </c>
      <c r="BK334" s="22">
        <v>1</v>
      </c>
      <c r="BL334" s="36">
        <f>テーブル2[[#This Row],[Ts]]-テーブル2[[#This Row],[Tin]]</f>
        <v>105.00155807789525</v>
      </c>
      <c r="BM334" s="36">
        <f>テーブル2[[#This Row],[q_P]]*0.000001</f>
        <v>-7.2236221314110463</v>
      </c>
      <c r="BN334" s="36">
        <f>テーブル2[[#This Row],[Tsub]]</f>
        <v>105.00155807789525</v>
      </c>
      <c r="BO334" s="36">
        <f>テーブル2[[#This Row],[Fcorr]]</f>
        <v>1</v>
      </c>
      <c r="BP334" s="36">
        <f>(テーブル2[[#This Row],[Tsub]]-40)^2</f>
        <v>4225.2025525539893</v>
      </c>
      <c r="BQ334" s="36">
        <v>1</v>
      </c>
      <c r="BR334" s="36">
        <v>0.3175</v>
      </c>
    </row>
    <row r="335" spans="1:70" x14ac:dyDescent="0.15">
      <c r="A335" s="35" t="s">
        <v>331</v>
      </c>
      <c r="B335" s="36">
        <v>13789514.586336</v>
      </c>
      <c r="C335" s="22">
        <f>TsatFromP(テーブル2[[#This Row],[P]])</f>
        <v>608.62107399852357</v>
      </c>
      <c r="D335" s="36">
        <f>RhoGFromP(テーブル2[[#This Row],[P]])</f>
        <v>85.147847035840741</v>
      </c>
      <c r="E335" s="36">
        <f>RhoFFromP(テーブル2[[#This Row],[P]])</f>
        <v>624.86636713482415</v>
      </c>
      <c r="F335" s="36">
        <f>HgFromP(テーブル2[[#This Row],[P]])</f>
        <v>2643264.5206450778</v>
      </c>
      <c r="G335" s="36">
        <f>HfFromP(テーブル2[[#This Row],[P]])</f>
        <v>1562686.7596125705</v>
      </c>
      <c r="H335" s="36">
        <f>MuGFromP(テーブル2[[#This Row],[P]])</f>
        <v>2.2019591234371903E-5</v>
      </c>
      <c r="I335" s="36">
        <f>MuFFromP(テーブル2[[#This Row],[P]])</f>
        <v>7.222326555143516E-5</v>
      </c>
      <c r="J335" s="36">
        <f>KfFromP(テーブル2[[#This Row],[P]])</f>
        <v>0.49112131073334553</v>
      </c>
      <c r="K335" s="36">
        <f>CpFFromP(テーブル2[[#This Row],[P]])</f>
        <v>7679.7488518783057</v>
      </c>
      <c r="L335" s="36">
        <f>SigmaFromP(テーブル2[[#This Row],[P]])</f>
        <v>6.5036449518301549E-3</v>
      </c>
      <c r="M335" s="36">
        <v>225.01</v>
      </c>
      <c r="N335" s="36">
        <v>4963.8018000000002</v>
      </c>
      <c r="O335" s="37">
        <f t="shared" si="146"/>
        <v>1.7719053836560394E-5</v>
      </c>
      <c r="P335" s="37">
        <f t="shared" si="147"/>
        <v>1.4921936786020797E-2</v>
      </c>
      <c r="Q335" s="37">
        <v>4.7497999999999993E-3</v>
      </c>
      <c r="R335" s="36">
        <v>0.3175</v>
      </c>
      <c r="S335" s="38">
        <v>6750822.6000000006</v>
      </c>
      <c r="T335" s="36">
        <v>540.49035799190642</v>
      </c>
      <c r="U335" s="12">
        <f>+T335+BG335*S335*テーブル2[[#This Row],[Pw]]*R335/(N335*O335*K335)</f>
        <v>587.8407570563412</v>
      </c>
      <c r="V335" s="36">
        <v>0.03</v>
      </c>
      <c r="W335" s="37">
        <f t="shared" si="148"/>
        <v>326446.96427980188</v>
      </c>
      <c r="X335" s="36">
        <v>0.01</v>
      </c>
      <c r="Y335" s="36">
        <f t="shared" si="149"/>
        <v>10</v>
      </c>
      <c r="Z335" s="36">
        <f t="shared" si="150"/>
        <v>6.249849826197301</v>
      </c>
      <c r="AA335" s="36">
        <f t="shared" si="151"/>
        <v>3.750150173802699</v>
      </c>
      <c r="AB335" s="36">
        <f t="shared" si="152"/>
        <v>1.5833843298740509E-5</v>
      </c>
      <c r="AC335" s="36">
        <v>600</v>
      </c>
      <c r="AD335" s="36">
        <f t="shared" si="153"/>
        <v>5770.8215535002646</v>
      </c>
      <c r="AE335" s="36">
        <f>+gettm2(AD335,AC335,AK335,AL335,テーブル2[[#This Row],[Fcorr]])</f>
        <v>551.52381174146365</v>
      </c>
      <c r="AF335" s="39">
        <f t="shared" si="154"/>
        <v>-36.316945314877557</v>
      </c>
      <c r="AG335" s="36">
        <v>1.0000000000000001E-5</v>
      </c>
      <c r="AH335" s="36">
        <f t="shared" si="155"/>
        <v>49.289195269584226</v>
      </c>
      <c r="AI335" s="36">
        <f t="shared" si="156"/>
        <v>0.28085508341087195</v>
      </c>
      <c r="AJ335" s="36">
        <f t="shared" si="157"/>
        <v>24.299219139754371</v>
      </c>
      <c r="AK335" s="36">
        <f>+S88*テーブル2[[#This Row],[F_form]]/(E88*CpFromTP((テーブル2[[#This Row],[Tin]]+テーブル2[[#This Row],[Tf]])/2,テーブル2[[#This Row],[P]])*AI88)</f>
        <v>1.8822834757602542</v>
      </c>
      <c r="AL335" s="36">
        <f t="shared" si="158"/>
        <v>1.1293676909872215</v>
      </c>
      <c r="AM335" s="36">
        <f t="shared" si="159"/>
        <v>573.57105335599829</v>
      </c>
      <c r="AN335" s="36">
        <f t="shared" si="160"/>
        <v>35.050020642525283</v>
      </c>
      <c r="AO335" s="36">
        <f t="shared" si="161"/>
        <v>-5.8338432987405085E-6</v>
      </c>
      <c r="AP335" s="36">
        <v>1</v>
      </c>
      <c r="AQ335" s="36">
        <f t="shared" si="162"/>
        <v>5.4530931276593132E-4</v>
      </c>
      <c r="AR335" s="36">
        <f t="shared" si="163"/>
        <v>2.0830783506297462E-6</v>
      </c>
      <c r="AS335" s="36">
        <f t="shared" si="164"/>
        <v>5.0617177327230296</v>
      </c>
      <c r="AT335" s="36">
        <f t="shared" si="165"/>
        <v>5.0585294928083027</v>
      </c>
      <c r="AU335" s="36">
        <f t="shared" si="166"/>
        <v>1.4207137226390316</v>
      </c>
      <c r="AV335" s="36">
        <f t="shared" si="167"/>
        <v>-0.42071372263903162</v>
      </c>
      <c r="AW335" s="36">
        <f t="shared" si="168"/>
        <v>9.519483155562676E-3</v>
      </c>
      <c r="AX335" s="36">
        <f t="shared" si="169"/>
        <v>0.98476565513194958</v>
      </c>
      <c r="AY335" s="36">
        <f t="shared" si="170"/>
        <v>-1.4054793777709813</v>
      </c>
      <c r="AZ335" s="36">
        <f t="shared" si="171"/>
        <v>1080577.7610325073</v>
      </c>
      <c r="BA335" s="36">
        <f t="shared" si="172"/>
        <v>5.4530931276593132E-4</v>
      </c>
      <c r="BB335" s="38">
        <f t="shared" si="173"/>
        <v>-7223622.1314110467</v>
      </c>
      <c r="BC335" s="40">
        <f t="shared" si="174"/>
        <v>-13974444.731411047</v>
      </c>
      <c r="BD335" s="41">
        <f t="shared" si="175"/>
        <v>-207.00358399894921</v>
      </c>
      <c r="BE335" s="38">
        <v>6750822.6000000006</v>
      </c>
      <c r="BF335" s="42">
        <f>テーブル2[[#This Row],[q_P]]/テーブル2[[#This Row],[q_M]]</f>
        <v>-1.070035839989492</v>
      </c>
      <c r="BG335" s="36">
        <v>1</v>
      </c>
      <c r="BH335" s="36">
        <v>-2.7E-2</v>
      </c>
      <c r="BI335" s="36">
        <v>4.5999999999999999E-2</v>
      </c>
      <c r="BJ335" s="36">
        <v>5625</v>
      </c>
      <c r="BK335" s="22">
        <v>1</v>
      </c>
      <c r="BL335" s="36">
        <f>テーブル2[[#This Row],[Ts]]-テーブル2[[#This Row],[Tin]]</f>
        <v>68.130716006617149</v>
      </c>
      <c r="BM335" s="36">
        <f>テーブル2[[#This Row],[q_P]]*0.000001</f>
        <v>-7.2236221314110463</v>
      </c>
      <c r="BN335" s="36">
        <f>テーブル2[[#This Row],[Tsub]]</f>
        <v>68.130716006617149</v>
      </c>
      <c r="BO335" s="36">
        <f>テーブル2[[#This Row],[Fcorr]]</f>
        <v>1</v>
      </c>
      <c r="BP335" s="36">
        <f>(テーブル2[[#This Row],[Tsub]]-40)^2</f>
        <v>791.3371830449463</v>
      </c>
      <c r="BQ335" s="36">
        <v>1</v>
      </c>
      <c r="BR335" s="36">
        <v>0.3175</v>
      </c>
    </row>
    <row r="336" spans="1:70" x14ac:dyDescent="0.15">
      <c r="A336" s="35" t="s">
        <v>332</v>
      </c>
      <c r="B336" s="36">
        <v>13789514.586336</v>
      </c>
      <c r="C336" s="22">
        <f>TsatFromP(テーブル2[[#This Row],[P]])</f>
        <v>608.62107399852357</v>
      </c>
      <c r="D336" s="36">
        <f>RhoGFromP(テーブル2[[#This Row],[P]])</f>
        <v>85.147847035840741</v>
      </c>
      <c r="E336" s="36">
        <f>RhoFFromP(テーブル2[[#This Row],[P]])</f>
        <v>624.86636713482415</v>
      </c>
      <c r="F336" s="36">
        <f>HgFromP(テーブル2[[#This Row],[P]])</f>
        <v>2643264.5206450778</v>
      </c>
      <c r="G336" s="36">
        <f>HfFromP(テーブル2[[#This Row],[P]])</f>
        <v>1562686.7596125705</v>
      </c>
      <c r="H336" s="36">
        <f>MuGFromP(テーブル2[[#This Row],[P]])</f>
        <v>2.2019591234371903E-5</v>
      </c>
      <c r="I336" s="36">
        <f>MuFFromP(テーブル2[[#This Row],[P]])</f>
        <v>7.222326555143516E-5</v>
      </c>
      <c r="J336" s="36">
        <f>KfFromP(テーブル2[[#This Row],[P]])</f>
        <v>0.49112131073334553</v>
      </c>
      <c r="K336" s="36">
        <f>CpFFromP(テーブル2[[#This Row],[P]])</f>
        <v>7679.7488518783057</v>
      </c>
      <c r="L336" s="36">
        <f>SigmaFromP(テーブル2[[#This Row],[P]])</f>
        <v>6.5036449518301549E-3</v>
      </c>
      <c r="M336" s="36">
        <v>228.01</v>
      </c>
      <c r="N336" s="36">
        <v>5221.4854999999998</v>
      </c>
      <c r="O336" s="37">
        <f t="shared" si="146"/>
        <v>1.7719053836560394E-5</v>
      </c>
      <c r="P336" s="37">
        <f t="shared" si="147"/>
        <v>1.4921936786020797E-2</v>
      </c>
      <c r="Q336" s="37">
        <v>4.7497999999999993E-3</v>
      </c>
      <c r="R336" s="36">
        <v>0.3175</v>
      </c>
      <c r="S336" s="38">
        <v>9495315.8999999985</v>
      </c>
      <c r="T336" s="36">
        <v>440.8217339696256</v>
      </c>
      <c r="U336" s="12">
        <f>+T336+BG336*S336*テーブル2[[#This Row],[Pw]]*R336/(N336*O336*K336)</f>
        <v>504.13529220888421</v>
      </c>
      <c r="V336" s="36">
        <v>0.03</v>
      </c>
      <c r="W336" s="37">
        <f t="shared" si="148"/>
        <v>343393.66461126693</v>
      </c>
      <c r="X336" s="36">
        <v>0.01</v>
      </c>
      <c r="Y336" s="36">
        <f t="shared" si="149"/>
        <v>10</v>
      </c>
      <c r="Z336" s="36">
        <f t="shared" si="150"/>
        <v>6.3331461398512063</v>
      </c>
      <c r="AA336" s="36">
        <f t="shared" si="151"/>
        <v>3.6668538601487937</v>
      </c>
      <c r="AB336" s="36">
        <f t="shared" si="152"/>
        <v>1.4309585514765283E-5</v>
      </c>
      <c r="AC336" s="36">
        <v>600</v>
      </c>
      <c r="AD336" s="36">
        <f t="shared" si="153"/>
        <v>6070.3997215781455</v>
      </c>
      <c r="AE336" s="36">
        <f>+gettm2(AD336,AC336,AK336,AL336,テーブル2[[#This Row],[Fcorr]])</f>
        <v>541.85269341640549</v>
      </c>
      <c r="AF336" s="39">
        <f t="shared" si="154"/>
        <v>37.717401207521277</v>
      </c>
      <c r="AG336" s="36">
        <v>1.0000000000000001E-5</v>
      </c>
      <c r="AH336" s="36">
        <f t="shared" si="155"/>
        <v>54.539482881200691</v>
      </c>
      <c r="AI336" s="36">
        <f t="shared" si="156"/>
        <v>0.29543499211252916</v>
      </c>
      <c r="AJ336" s="36">
        <f t="shared" si="157"/>
        <v>25.560654013129593</v>
      </c>
      <c r="AK336" s="36">
        <f>+S88*テーブル2[[#This Row],[F_form]]/(E88*CpFromTP((テーブル2[[#This Row],[Tin]]+テーブル2[[#This Row],[Tf]])/2,テーブル2[[#This Row],[P]])*AI88)</f>
        <v>2.2467140063973132</v>
      </c>
      <c r="AL336" s="36">
        <f t="shared" si="158"/>
        <v>1.1293676909872215</v>
      </c>
      <c r="AM336" s="36">
        <f t="shared" si="159"/>
        <v>567.87221660842783</v>
      </c>
      <c r="AN336" s="36">
        <f t="shared" si="160"/>
        <v>40.748857390095736</v>
      </c>
      <c r="AO336" s="36">
        <f t="shared" si="161"/>
        <v>-4.3095855147652824E-6</v>
      </c>
      <c r="AP336" s="36">
        <v>1</v>
      </c>
      <c r="AQ336" s="36">
        <f t="shared" si="162"/>
        <v>5.4530931276593132E-4</v>
      </c>
      <c r="AR336" s="36">
        <f t="shared" si="163"/>
        <v>2.8452072426173592E-6</v>
      </c>
      <c r="AS336" s="36">
        <f t="shared" si="164"/>
        <v>7.2725357924192782</v>
      </c>
      <c r="AT336" s="36">
        <f t="shared" si="165"/>
        <v>6.8705251649327987</v>
      </c>
      <c r="AU336" s="36">
        <f t="shared" si="166"/>
        <v>2.0297935479108546</v>
      </c>
      <c r="AV336" s="36">
        <f t="shared" si="167"/>
        <v>-1.0297935479108546</v>
      </c>
      <c r="AW336" s="36">
        <f t="shared" si="168"/>
        <v>8.6030823787252748E-3</v>
      </c>
      <c r="AX336" s="36">
        <f t="shared" si="169"/>
        <v>1.0358873694694006</v>
      </c>
      <c r="AY336" s="36">
        <f t="shared" si="170"/>
        <v>-2.0656809173802553</v>
      </c>
      <c r="AZ336" s="36">
        <f t="shared" si="171"/>
        <v>1080577.7610325073</v>
      </c>
      <c r="BA336" s="36">
        <f t="shared" si="172"/>
        <v>5.4530931276593132E-4</v>
      </c>
      <c r="BB336" s="38">
        <f t="shared" si="173"/>
        <v>-5336245.0287939543</v>
      </c>
      <c r="BC336" s="40">
        <f t="shared" si="174"/>
        <v>-14831560.928793952</v>
      </c>
      <c r="BD336" s="41">
        <f t="shared" si="175"/>
        <v>-156.19870981642597</v>
      </c>
      <c r="BE336" s="38">
        <v>9495315.8999999985</v>
      </c>
      <c r="BF336" s="42">
        <f>テーブル2[[#This Row],[q_P]]/テーブル2[[#This Row],[q_M]]</f>
        <v>-0.56198709816425962</v>
      </c>
      <c r="BG336" s="36">
        <v>1</v>
      </c>
      <c r="BH336" s="36">
        <v>-0.33400000000000002</v>
      </c>
      <c r="BI336" s="36">
        <v>4.5999999999999999E-2</v>
      </c>
      <c r="BJ336" s="36">
        <v>5625</v>
      </c>
      <c r="BK336" s="22">
        <v>1</v>
      </c>
      <c r="BL336" s="36">
        <f>テーブル2[[#This Row],[Ts]]-テーブル2[[#This Row],[Tin]]</f>
        <v>167.79934002889797</v>
      </c>
      <c r="BM336" s="36">
        <f>テーブル2[[#This Row],[q_P]]*0.000001</f>
        <v>-5.3362450287939538</v>
      </c>
      <c r="BN336" s="36">
        <f>テーブル2[[#This Row],[Tsub]]</f>
        <v>167.79934002889797</v>
      </c>
      <c r="BO336" s="36">
        <f>テーブル2[[#This Row],[Fcorr]]</f>
        <v>1</v>
      </c>
      <c r="BP336" s="36">
        <f>(テーブル2[[#This Row],[Tsub]]-40)^2</f>
        <v>16332.671311821883</v>
      </c>
      <c r="BQ336" s="36">
        <v>1</v>
      </c>
      <c r="BR336" s="36">
        <v>0.3175</v>
      </c>
    </row>
    <row r="337" spans="1:70" x14ac:dyDescent="0.15">
      <c r="A337" s="35" t="s">
        <v>333</v>
      </c>
      <c r="B337" s="36">
        <v>13789514.586336</v>
      </c>
      <c r="C337" s="22">
        <f>TsatFromP(テーブル2[[#This Row],[P]])</f>
        <v>608.62107399852357</v>
      </c>
      <c r="D337" s="36">
        <f>RhoGFromP(テーブル2[[#This Row],[P]])</f>
        <v>85.147847035840741</v>
      </c>
      <c r="E337" s="36">
        <f>RhoFFromP(テーブル2[[#This Row],[P]])</f>
        <v>624.86636713482415</v>
      </c>
      <c r="F337" s="36">
        <f>HgFromP(テーブル2[[#This Row],[P]])</f>
        <v>2643264.5206450778</v>
      </c>
      <c r="G337" s="36">
        <f>HfFromP(テーブル2[[#This Row],[P]])</f>
        <v>1562686.7596125705</v>
      </c>
      <c r="H337" s="36">
        <f>MuGFromP(テーブル2[[#This Row],[P]])</f>
        <v>2.2019591234371903E-5</v>
      </c>
      <c r="I337" s="36">
        <f>MuFFromP(テーブル2[[#This Row],[P]])</f>
        <v>7.222326555143516E-5</v>
      </c>
      <c r="J337" s="36">
        <f>KfFromP(テーブル2[[#This Row],[P]])</f>
        <v>0.49112131073334553</v>
      </c>
      <c r="K337" s="36">
        <f>CpFFromP(テーブル2[[#This Row],[P]])</f>
        <v>7679.7488518783057</v>
      </c>
      <c r="L337" s="36">
        <f>SigmaFromP(テーブル2[[#This Row],[P]])</f>
        <v>6.5036449518301549E-3</v>
      </c>
      <c r="M337" s="36">
        <v>23.01</v>
      </c>
      <c r="N337" s="36">
        <v>2292.0286999999998</v>
      </c>
      <c r="O337" s="37">
        <f t="shared" si="146"/>
        <v>2.8502295699234246E-6</v>
      </c>
      <c r="P337" s="37">
        <f t="shared" si="147"/>
        <v>5.9847340050885557E-3</v>
      </c>
      <c r="Q337" s="37">
        <v>1.905E-3</v>
      </c>
      <c r="R337" s="36">
        <v>0.69595999999999991</v>
      </c>
      <c r="S337" s="38">
        <v>2132502.84</v>
      </c>
      <c r="T337" s="36">
        <v>297.06437057857693</v>
      </c>
      <c r="U337" s="12">
        <f>+T337+BG337*S337*テーブル2[[#This Row],[Pw]]*R337/(N337*O337*K337)</f>
        <v>474.1045495190765</v>
      </c>
      <c r="V337" s="36">
        <v>0.03</v>
      </c>
      <c r="W337" s="37">
        <f t="shared" si="148"/>
        <v>60455.791359786221</v>
      </c>
      <c r="X337" s="36">
        <v>0.01</v>
      </c>
      <c r="Y337" s="36">
        <f t="shared" si="149"/>
        <v>10</v>
      </c>
      <c r="Z337" s="36">
        <f t="shared" si="150"/>
        <v>4.1633453207387223</v>
      </c>
      <c r="AA337" s="36">
        <f t="shared" si="151"/>
        <v>5.8366546792612777</v>
      </c>
      <c r="AB337" s="36">
        <f t="shared" si="152"/>
        <v>7.426344711060832E-5</v>
      </c>
      <c r="AC337" s="36">
        <v>600</v>
      </c>
      <c r="AD337" s="36">
        <f t="shared" si="153"/>
        <v>1068.7175008125982</v>
      </c>
      <c r="AE337" s="36">
        <f>+gettm2(AD337,AC337,AK337,AL337,テーブル2[[#This Row],[Fcorr]])</f>
        <v>549.15483354781361</v>
      </c>
      <c r="AF337" s="39">
        <f t="shared" si="154"/>
        <v>75.05028402873711</v>
      </c>
      <c r="AG337" s="36">
        <v>1.0000000000000001E-5</v>
      </c>
      <c r="AH337" s="36">
        <f t="shared" si="155"/>
        <v>10.509038087839251</v>
      </c>
      <c r="AI337" s="36">
        <f t="shared" si="156"/>
        <v>0.12968445108316215</v>
      </c>
      <c r="AJ337" s="36">
        <f t="shared" si="157"/>
        <v>11.220131242127014</v>
      </c>
      <c r="AK337" s="36">
        <f>+S88*テーブル2[[#This Row],[F_form]]/(E88*CpFromTP((テーブル2[[#This Row],[Tin]]+テーブル2[[#This Row],[Tf]])/2,テーブル2[[#This Row],[P]])*AI88)</f>
        <v>2.3665405350936504</v>
      </c>
      <c r="AL337" s="36">
        <f t="shared" si="158"/>
        <v>1.1293676909872215</v>
      </c>
      <c r="AM337" s="36">
        <f t="shared" si="159"/>
        <v>576.25292259813602</v>
      </c>
      <c r="AN337" s="36">
        <f t="shared" si="160"/>
        <v>32.368151400387546</v>
      </c>
      <c r="AO337" s="36">
        <f t="shared" si="161"/>
        <v>-6.4263447110608321E-5</v>
      </c>
      <c r="AP337" s="36">
        <v>1</v>
      </c>
      <c r="AQ337" s="36">
        <f t="shared" si="162"/>
        <v>5.4530931276593132E-4</v>
      </c>
      <c r="AR337" s="36">
        <f t="shared" si="163"/>
        <v>-2.7131723555304161E-5</v>
      </c>
      <c r="AS337" s="36">
        <f t="shared" si="164"/>
        <v>-30.442149911562169</v>
      </c>
      <c r="AT337" s="36">
        <f t="shared" si="165"/>
        <v>-30.442149911562169</v>
      </c>
      <c r="AU337" s="36">
        <f t="shared" si="166"/>
        <v>-3.947873501072273</v>
      </c>
      <c r="AV337" s="36">
        <f t="shared" si="167"/>
        <v>4.947873501072273</v>
      </c>
      <c r="AW337" s="36">
        <f t="shared" si="168"/>
        <v>4.4648012520099228E-2</v>
      </c>
      <c r="AX337" s="36">
        <f t="shared" si="169"/>
        <v>0.45471419594890566</v>
      </c>
      <c r="AY337" s="36">
        <f t="shared" si="170"/>
        <v>4.4931593051233669</v>
      </c>
      <c r="AZ337" s="36">
        <f t="shared" si="171"/>
        <v>1080577.7610325073</v>
      </c>
      <c r="BA337" s="36">
        <f t="shared" si="172"/>
        <v>5.4530931276593132E-4</v>
      </c>
      <c r="BB337" s="38">
        <f t="shared" si="173"/>
        <v>-79572733.619563416</v>
      </c>
      <c r="BC337" s="40">
        <f t="shared" si="174"/>
        <v>-81705236.459563419</v>
      </c>
      <c r="BD337" s="41">
        <f t="shared" si="175"/>
        <v>-3831.4245086568526</v>
      </c>
      <c r="BE337" s="38">
        <v>2132502.84</v>
      </c>
      <c r="BF337" s="42">
        <f>テーブル2[[#This Row],[q_P]]/テーブル2[[#This Row],[q_M]]</f>
        <v>-37.314245086568526</v>
      </c>
      <c r="BG337" s="36">
        <v>1</v>
      </c>
      <c r="BH337" s="36">
        <v>-8.3000000000000004E-2</v>
      </c>
      <c r="BI337" s="36">
        <v>4.5999999999999999E-2</v>
      </c>
      <c r="BJ337" s="36">
        <v>5625</v>
      </c>
      <c r="BK337" s="22">
        <v>1</v>
      </c>
      <c r="BL337" s="36">
        <f>テーブル2[[#This Row],[Ts]]-テーブル2[[#This Row],[Tin]]</f>
        <v>311.55670341994664</v>
      </c>
      <c r="BM337" s="36">
        <f>テーブル2[[#This Row],[q_P]]*0.000001</f>
        <v>-79.572733619563408</v>
      </c>
      <c r="BN337" s="36">
        <f>テーブル2[[#This Row],[Tsub]]</f>
        <v>311.55670341994664</v>
      </c>
      <c r="BO337" s="36">
        <f>テーブル2[[#This Row],[Fcorr]]</f>
        <v>1</v>
      </c>
      <c r="BP337" s="36">
        <f>(テーブル2[[#This Row],[Tsub]]-40)^2</f>
        <v>73743.043172308855</v>
      </c>
      <c r="BQ337" s="36">
        <v>1</v>
      </c>
      <c r="BR337" s="36">
        <v>0.69595999999999991</v>
      </c>
    </row>
    <row r="338" spans="1:70" x14ac:dyDescent="0.15">
      <c r="A338" s="35" t="s">
        <v>334</v>
      </c>
      <c r="B338" s="36">
        <v>13789514.586336</v>
      </c>
      <c r="C338" s="22">
        <f>TsatFromP(テーブル2[[#This Row],[P]])</f>
        <v>608.62107399852357</v>
      </c>
      <c r="D338" s="36">
        <f>RhoGFromP(テーブル2[[#This Row],[P]])</f>
        <v>85.147847035840741</v>
      </c>
      <c r="E338" s="36">
        <f>RhoFFromP(テーブル2[[#This Row],[P]])</f>
        <v>624.86636713482415</v>
      </c>
      <c r="F338" s="36">
        <f>HgFromP(テーブル2[[#This Row],[P]])</f>
        <v>2643264.5206450778</v>
      </c>
      <c r="G338" s="36">
        <f>HfFromP(テーブル2[[#This Row],[P]])</f>
        <v>1562686.7596125705</v>
      </c>
      <c r="H338" s="36">
        <f>MuGFromP(テーブル2[[#This Row],[P]])</f>
        <v>2.2019591234371903E-5</v>
      </c>
      <c r="I338" s="36">
        <f>MuFFromP(テーブル2[[#This Row],[P]])</f>
        <v>7.222326555143516E-5</v>
      </c>
      <c r="J338" s="36">
        <f>KfFromP(テーブル2[[#This Row],[P]])</f>
        <v>0.49112131073334553</v>
      </c>
      <c r="K338" s="36">
        <f>CpFFromP(テーブル2[[#This Row],[P]])</f>
        <v>7679.7488518783057</v>
      </c>
      <c r="L338" s="36">
        <f>SigmaFromP(テーブル2[[#This Row],[P]])</f>
        <v>6.5036449518301549E-3</v>
      </c>
      <c r="M338" s="36">
        <v>230.01</v>
      </c>
      <c r="N338" s="36">
        <v>5316.4215999999997</v>
      </c>
      <c r="O338" s="37">
        <f t="shared" si="146"/>
        <v>1.7719053836560394E-5</v>
      </c>
      <c r="P338" s="37">
        <f t="shared" si="147"/>
        <v>1.4921936786020797E-2</v>
      </c>
      <c r="Q338" s="37">
        <v>4.7497999999999993E-3</v>
      </c>
      <c r="R338" s="36">
        <v>0.3175</v>
      </c>
      <c r="S338" s="38">
        <v>9526861.7999999989</v>
      </c>
      <c r="T338" s="36">
        <v>441.89967563146701</v>
      </c>
      <c r="U338" s="12">
        <f>+T338+BG338*S338*テーブル2[[#This Row],[Pw]]*R338/(N338*O338*K338)</f>
        <v>504.28922252005771</v>
      </c>
      <c r="V338" s="36">
        <v>0.03</v>
      </c>
      <c r="W338" s="37">
        <f t="shared" si="148"/>
        <v>349637.18578601722</v>
      </c>
      <c r="X338" s="36">
        <v>0.01</v>
      </c>
      <c r="Y338" s="36">
        <f t="shared" si="149"/>
        <v>10</v>
      </c>
      <c r="Z338" s="36">
        <f t="shared" si="150"/>
        <v>6.3627507324620431</v>
      </c>
      <c r="AA338" s="36">
        <f t="shared" si="151"/>
        <v>3.6372492675379569</v>
      </c>
      <c r="AB338" s="36">
        <f t="shared" si="152"/>
        <v>1.3803091894823018E-5</v>
      </c>
      <c r="AC338" s="36">
        <v>600</v>
      </c>
      <c r="AD338" s="36">
        <f t="shared" si="153"/>
        <v>6180.7706256068404</v>
      </c>
      <c r="AE338" s="36">
        <f>+gettm2(AD338,AC338,AK338,AL338,テーブル2[[#This Row],[Fcorr]])</f>
        <v>541.78633081335113</v>
      </c>
      <c r="AF338" s="39">
        <f t="shared" si="154"/>
        <v>37.497108293293422</v>
      </c>
      <c r="AG338" s="36">
        <v>1.0000000000000001E-5</v>
      </c>
      <c r="AH338" s="36">
        <f t="shared" si="155"/>
        <v>56.540766385271205</v>
      </c>
      <c r="AI338" s="36">
        <f t="shared" si="156"/>
        <v>0.30080653742366609</v>
      </c>
      <c r="AJ338" s="36">
        <f t="shared" si="157"/>
        <v>26.025393177004677</v>
      </c>
      <c r="AK338" s="36">
        <f>+S88*テーブル2[[#This Row],[F_form]]/(E88*CpFromTP((テーブル2[[#This Row],[Tin]]+テーブル2[[#This Row],[Tf]])/2,テーブル2[[#This Row],[P]])*AI88)</f>
        <v>2.245352335804049</v>
      </c>
      <c r="AL338" s="36">
        <f t="shared" si="158"/>
        <v>1.1293676909872215</v>
      </c>
      <c r="AM338" s="36">
        <f t="shared" si="159"/>
        <v>567.68480471178918</v>
      </c>
      <c r="AN338" s="36">
        <f t="shared" si="160"/>
        <v>40.936269286734387</v>
      </c>
      <c r="AO338" s="36">
        <f t="shared" si="161"/>
        <v>-3.8030918948230167E-6</v>
      </c>
      <c r="AP338" s="36">
        <v>1</v>
      </c>
      <c r="AQ338" s="36">
        <f t="shared" si="162"/>
        <v>5.4530931276593132E-4</v>
      </c>
      <c r="AR338" s="36">
        <f t="shared" si="163"/>
        <v>3.0984540525884921E-6</v>
      </c>
      <c r="AS338" s="36">
        <f t="shared" si="164"/>
        <v>8.0638484959499035</v>
      </c>
      <c r="AT338" s="36">
        <f t="shared" si="165"/>
        <v>7.386954617239482</v>
      </c>
      <c r="AU338" s="36">
        <f t="shared" si="166"/>
        <v>2.2220442405175711</v>
      </c>
      <c r="AV338" s="36">
        <f t="shared" si="167"/>
        <v>-1.2220442405175711</v>
      </c>
      <c r="AW338" s="36">
        <f t="shared" si="168"/>
        <v>8.2985727664680996E-3</v>
      </c>
      <c r="AX338" s="36">
        <f t="shared" si="169"/>
        <v>1.0547216852779351</v>
      </c>
      <c r="AY338" s="36">
        <f t="shared" si="170"/>
        <v>-2.2767659257955062</v>
      </c>
      <c r="AZ338" s="36">
        <f t="shared" si="171"/>
        <v>1080577.7610325073</v>
      </c>
      <c r="BA338" s="36">
        <f t="shared" si="172"/>
        <v>5.4530931276593132E-4</v>
      </c>
      <c r="BB338" s="38">
        <f t="shared" si="173"/>
        <v>-4709090.9666985022</v>
      </c>
      <c r="BC338" s="40">
        <f t="shared" si="174"/>
        <v>-14235952.766698502</v>
      </c>
      <c r="BD338" s="41">
        <f t="shared" si="175"/>
        <v>-149.42961350293237</v>
      </c>
      <c r="BE338" s="38">
        <v>9526861.7999999989</v>
      </c>
      <c r="BF338" s="42">
        <f>テーブル2[[#This Row],[q_P]]/テーブル2[[#This Row],[q_M]]</f>
        <v>-0.4942961350293234</v>
      </c>
      <c r="BG338" s="36">
        <v>1</v>
      </c>
      <c r="BH338" s="36">
        <v>-0.33600000000000002</v>
      </c>
      <c r="BI338" s="36">
        <v>4.5999999999999999E-2</v>
      </c>
      <c r="BJ338" s="36">
        <v>5625</v>
      </c>
      <c r="BK338" s="22">
        <v>1</v>
      </c>
      <c r="BL338" s="36">
        <f>テーブル2[[#This Row],[Ts]]-テーブル2[[#This Row],[Tin]]</f>
        <v>166.72139836705657</v>
      </c>
      <c r="BM338" s="36">
        <f>テーブル2[[#This Row],[q_P]]*0.000001</f>
        <v>-4.7090909666985024</v>
      </c>
      <c r="BN338" s="36">
        <f>テーブル2[[#This Row],[Tsub]]</f>
        <v>166.72139836705657</v>
      </c>
      <c r="BO338" s="36">
        <f>テーブル2[[#This Row],[Fcorr]]</f>
        <v>1</v>
      </c>
      <c r="BP338" s="36">
        <f>(テーブル2[[#This Row],[Tsub]]-40)^2</f>
        <v>16058.312804102246</v>
      </c>
      <c r="BQ338" s="36">
        <v>1</v>
      </c>
      <c r="BR338" s="36">
        <v>0.3175</v>
      </c>
    </row>
    <row r="339" spans="1:70" x14ac:dyDescent="0.15">
      <c r="A339" s="35" t="s">
        <v>335</v>
      </c>
      <c r="B339" s="36">
        <v>13789514.586336</v>
      </c>
      <c r="C339" s="22">
        <f>TsatFromP(テーブル2[[#This Row],[P]])</f>
        <v>608.62107399852357</v>
      </c>
      <c r="D339" s="36">
        <f>RhoGFromP(テーブル2[[#This Row],[P]])</f>
        <v>85.147847035840741</v>
      </c>
      <c r="E339" s="36">
        <f>RhoFFromP(テーブル2[[#This Row],[P]])</f>
        <v>624.86636713482415</v>
      </c>
      <c r="F339" s="36">
        <f>HgFromP(テーブル2[[#This Row],[P]])</f>
        <v>2643264.5206450778</v>
      </c>
      <c r="G339" s="36">
        <f>HfFromP(テーブル2[[#This Row],[P]])</f>
        <v>1562686.7596125705</v>
      </c>
      <c r="H339" s="36">
        <f>MuGFromP(テーブル2[[#This Row],[P]])</f>
        <v>2.2019591234371903E-5</v>
      </c>
      <c r="I339" s="36">
        <f>MuFFromP(テーブル2[[#This Row],[P]])</f>
        <v>7.222326555143516E-5</v>
      </c>
      <c r="J339" s="36">
        <f>KfFromP(テーブル2[[#This Row],[P]])</f>
        <v>0.49112131073334553</v>
      </c>
      <c r="K339" s="36">
        <f>CpFFromP(テーブル2[[#This Row],[P]])</f>
        <v>7679.7488518783057</v>
      </c>
      <c r="L339" s="36">
        <f>SigmaFromP(テーブル2[[#This Row],[P]])</f>
        <v>6.5036449518301549E-3</v>
      </c>
      <c r="M339" s="36">
        <v>232.01</v>
      </c>
      <c r="N339" s="36">
        <v>5397.7954</v>
      </c>
      <c r="O339" s="37">
        <f t="shared" si="146"/>
        <v>1.7719053836560394E-5</v>
      </c>
      <c r="P339" s="37">
        <f t="shared" si="147"/>
        <v>1.4921936786020797E-2</v>
      </c>
      <c r="Q339" s="37">
        <v>4.7497999999999993E-3</v>
      </c>
      <c r="R339" s="36">
        <v>0.3175</v>
      </c>
      <c r="S339" s="38">
        <v>10220871.6</v>
      </c>
      <c r="T339" s="36">
        <v>429.18752876690559</v>
      </c>
      <c r="U339" s="12">
        <f>+T339+BG339*S339*テーブル2[[#This Row],[Pw]]*R339/(N339*O339*K339)</f>
        <v>495.11294701065856</v>
      </c>
      <c r="V339" s="36">
        <v>0.03</v>
      </c>
      <c r="W339" s="37">
        <f t="shared" si="148"/>
        <v>354988.77536437468</v>
      </c>
      <c r="X339" s="36">
        <v>0.01</v>
      </c>
      <c r="Y339" s="36">
        <f t="shared" si="149"/>
        <v>10</v>
      </c>
      <c r="Z339" s="36">
        <f t="shared" si="150"/>
        <v>6.3876870226188407</v>
      </c>
      <c r="AA339" s="36">
        <f t="shared" si="151"/>
        <v>3.6123129773811593</v>
      </c>
      <c r="AB339" s="36">
        <f t="shared" si="152"/>
        <v>1.3390055256976363E-5</v>
      </c>
      <c r="AC339" s="36">
        <v>600</v>
      </c>
      <c r="AD339" s="36">
        <f t="shared" si="153"/>
        <v>6275.3742576314353</v>
      </c>
      <c r="AE339" s="36">
        <f>+gettm2(AD339,AC339,AK339,AL339,テーブル2[[#This Row],[Fcorr]])</f>
        <v>541.1058025001679</v>
      </c>
      <c r="AF339" s="39">
        <f t="shared" si="154"/>
        <v>45.992855489509338</v>
      </c>
      <c r="AG339" s="36">
        <v>1.0000000000000001E-5</v>
      </c>
      <c r="AH339" s="36">
        <f t="shared" si="155"/>
        <v>58.284852395437454</v>
      </c>
      <c r="AI339" s="36">
        <f t="shared" si="156"/>
        <v>0.30541071911892631</v>
      </c>
      <c r="AJ339" s="36">
        <f t="shared" si="157"/>
        <v>26.423741031754751</v>
      </c>
      <c r="AK339" s="36">
        <f>+S88*テーブル2[[#This Row],[F_form]]/(E88*CpFromTP((テーブル2[[#This Row],[Tin]]+テーブル2[[#This Row],[Tf]])/2,テーブル2[[#This Row],[P]])*AI88)</f>
        <v>2.2682636428499681</v>
      </c>
      <c r="AL339" s="36">
        <f t="shared" si="158"/>
        <v>1.1293676909872215</v>
      </c>
      <c r="AM339" s="36">
        <f t="shared" si="159"/>
        <v>567.17894114285366</v>
      </c>
      <c r="AN339" s="36">
        <f t="shared" si="160"/>
        <v>41.442132855669911</v>
      </c>
      <c r="AO339" s="36">
        <f t="shared" si="161"/>
        <v>-3.3900552569763624E-6</v>
      </c>
      <c r="AP339" s="36">
        <v>1</v>
      </c>
      <c r="AQ339" s="36">
        <f t="shared" si="162"/>
        <v>5.4530931276593132E-4</v>
      </c>
      <c r="AR339" s="36">
        <f t="shared" si="163"/>
        <v>3.3049723715118192E-6</v>
      </c>
      <c r="AS339" s="36">
        <f t="shared" si="164"/>
        <v>8.7329734061932669</v>
      </c>
      <c r="AT339" s="36">
        <f t="shared" si="165"/>
        <v>7.7855295410917797</v>
      </c>
      <c r="AU339" s="36">
        <f t="shared" si="166"/>
        <v>2.3777841758664846</v>
      </c>
      <c r="AV339" s="36">
        <f t="shared" si="167"/>
        <v>-1.3777841758664846</v>
      </c>
      <c r="AW339" s="36">
        <f t="shared" si="168"/>
        <v>8.0502505339925378E-3</v>
      </c>
      <c r="AX339" s="36">
        <f t="shared" si="169"/>
        <v>1.0708653845423932</v>
      </c>
      <c r="AY339" s="36">
        <f t="shared" si="170"/>
        <v>-2.448649560408878</v>
      </c>
      <c r="AZ339" s="36">
        <f t="shared" si="171"/>
        <v>1080577.7610325073</v>
      </c>
      <c r="BA339" s="36">
        <f t="shared" si="172"/>
        <v>5.4530931276593132E-4</v>
      </c>
      <c r="BB339" s="38">
        <f t="shared" si="173"/>
        <v>-4197657.8606915502</v>
      </c>
      <c r="BC339" s="40">
        <f t="shared" si="174"/>
        <v>-14418529.460691549</v>
      </c>
      <c r="BD339" s="41">
        <f t="shared" si="175"/>
        <v>-141.0694706378226</v>
      </c>
      <c r="BE339" s="38">
        <v>10220871.6</v>
      </c>
      <c r="BF339" s="42">
        <f>テーブル2[[#This Row],[q_P]]/テーブル2[[#This Row],[q_M]]</f>
        <v>-0.41069470637822614</v>
      </c>
      <c r="BG339" s="36">
        <v>1</v>
      </c>
      <c r="BH339" s="36">
        <v>-0.36199999999999999</v>
      </c>
      <c r="BI339" s="36">
        <v>4.5999999999999999E-2</v>
      </c>
      <c r="BJ339" s="36">
        <v>5625</v>
      </c>
      <c r="BK339" s="22">
        <v>1</v>
      </c>
      <c r="BL339" s="36">
        <f>テーブル2[[#This Row],[Ts]]-テーブル2[[#This Row],[Tin]]</f>
        <v>179.43354523161798</v>
      </c>
      <c r="BM339" s="36">
        <f>テーブル2[[#This Row],[q_P]]*0.000001</f>
        <v>-4.1976578606915496</v>
      </c>
      <c r="BN339" s="36">
        <f>テーブル2[[#This Row],[Tsub]]</f>
        <v>179.43354523161798</v>
      </c>
      <c r="BO339" s="36">
        <f>テーブル2[[#This Row],[Fcorr]]</f>
        <v>1</v>
      </c>
      <c r="BP339" s="36">
        <f>(テーブル2[[#This Row],[Tsub]]-40)^2</f>
        <v>19441.71353585766</v>
      </c>
      <c r="BQ339" s="36">
        <v>1</v>
      </c>
      <c r="BR339" s="36">
        <v>0.3175</v>
      </c>
    </row>
    <row r="340" spans="1:70" x14ac:dyDescent="0.15">
      <c r="A340" s="35" t="s">
        <v>336</v>
      </c>
      <c r="B340" s="36">
        <v>13789514.586336</v>
      </c>
      <c r="C340" s="22">
        <f>TsatFromP(テーブル2[[#This Row],[P]])</f>
        <v>608.62107399852357</v>
      </c>
      <c r="D340" s="36">
        <f>RhoGFromP(テーブル2[[#This Row],[P]])</f>
        <v>85.147847035840741</v>
      </c>
      <c r="E340" s="36">
        <f>RhoFFromP(テーブル2[[#This Row],[P]])</f>
        <v>624.86636713482415</v>
      </c>
      <c r="F340" s="36">
        <f>HgFromP(テーブル2[[#This Row],[P]])</f>
        <v>2643264.5206450778</v>
      </c>
      <c r="G340" s="36">
        <f>HfFromP(テーブル2[[#This Row],[P]])</f>
        <v>1562686.7596125705</v>
      </c>
      <c r="H340" s="36">
        <f>MuGFromP(テーブル2[[#This Row],[P]])</f>
        <v>2.2019591234371903E-5</v>
      </c>
      <c r="I340" s="36">
        <f>MuFFromP(テーブル2[[#This Row],[P]])</f>
        <v>7.222326555143516E-5</v>
      </c>
      <c r="J340" s="36">
        <f>KfFromP(テーブル2[[#This Row],[P]])</f>
        <v>0.49112131073334553</v>
      </c>
      <c r="K340" s="36">
        <f>CpFFromP(テーブル2[[#This Row],[P]])</f>
        <v>7679.7488518783057</v>
      </c>
      <c r="L340" s="36">
        <f>SigmaFromP(テーブル2[[#This Row],[P]])</f>
        <v>6.5036449518301549E-3</v>
      </c>
      <c r="M340" s="36">
        <v>233.01</v>
      </c>
      <c r="N340" s="36">
        <v>5533.4183999999996</v>
      </c>
      <c r="O340" s="37">
        <f t="shared" si="146"/>
        <v>1.7719053836560394E-5</v>
      </c>
      <c r="P340" s="37">
        <f t="shared" si="147"/>
        <v>1.4921936786020797E-2</v>
      </c>
      <c r="Q340" s="37">
        <v>4.7497999999999993E-3</v>
      </c>
      <c r="R340" s="36">
        <v>0.3175</v>
      </c>
      <c r="S340" s="38">
        <v>4952706.3</v>
      </c>
      <c r="T340" s="36">
        <v>576.64124834370148</v>
      </c>
      <c r="U340" s="12">
        <f>+T340+BG340*S340*テーブル2[[#This Row],[Pw]]*R340/(N340*O340*K340)</f>
        <v>607.80361584233333</v>
      </c>
      <c r="V340" s="36">
        <v>0.03</v>
      </c>
      <c r="W340" s="37">
        <f t="shared" si="148"/>
        <v>363908.09132830362</v>
      </c>
      <c r="X340" s="36">
        <v>0.01</v>
      </c>
      <c r="Y340" s="36">
        <f t="shared" si="149"/>
        <v>10</v>
      </c>
      <c r="Z340" s="36">
        <f t="shared" si="150"/>
        <v>6.42838121554583</v>
      </c>
      <c r="AA340" s="36">
        <f t="shared" si="151"/>
        <v>3.57161878445417</v>
      </c>
      <c r="AB340" s="36">
        <f t="shared" si="152"/>
        <v>1.2741723813713981E-5</v>
      </c>
      <c r="AC340" s="36">
        <v>600</v>
      </c>
      <c r="AD340" s="36">
        <f t="shared" si="153"/>
        <v>6433.046977672424</v>
      </c>
      <c r="AE340" s="36">
        <f>+gettm2(AD340,AC340,AK340,AL340,テーブル2[[#This Row],[Fcorr]])</f>
        <v>557.84894402984457</v>
      </c>
      <c r="AF340" s="39">
        <f t="shared" si="154"/>
        <v>-49.954671812488755</v>
      </c>
      <c r="AG340" s="36">
        <v>1.0000000000000001E-5</v>
      </c>
      <c r="AH340" s="36">
        <f t="shared" si="155"/>
        <v>61.250534513990161</v>
      </c>
      <c r="AI340" s="36">
        <f t="shared" si="156"/>
        <v>0.31308435527769324</v>
      </c>
      <c r="AJ340" s="36">
        <f t="shared" si="157"/>
        <v>27.087654123004867</v>
      </c>
      <c r="AK340" s="36">
        <f>+S88*テーブル2[[#This Row],[F_form]]/(E88*CpFromTP((テーブル2[[#This Row],[Tin]]+テーブル2[[#This Row],[Tf]])/2,テーブル2[[#This Row],[P]])*AI88)</f>
        <v>1.6195281826992816</v>
      </c>
      <c r="AL340" s="36">
        <f t="shared" si="158"/>
        <v>1.1293676909872215</v>
      </c>
      <c r="AM340" s="36">
        <f t="shared" si="159"/>
        <v>576.36059806677019</v>
      </c>
      <c r="AN340" s="36">
        <f t="shared" si="160"/>
        <v>32.260475931753376</v>
      </c>
      <c r="AO340" s="36">
        <f t="shared" si="161"/>
        <v>-2.7417238137139804E-6</v>
      </c>
      <c r="AP340" s="36">
        <v>1</v>
      </c>
      <c r="AQ340" s="36">
        <f t="shared" si="162"/>
        <v>5.4530931276593132E-4</v>
      </c>
      <c r="AR340" s="36">
        <f t="shared" si="163"/>
        <v>3.6291380931430102E-6</v>
      </c>
      <c r="AS340" s="36">
        <f t="shared" si="164"/>
        <v>9.8304837431679264</v>
      </c>
      <c r="AT340" s="36">
        <f t="shared" si="165"/>
        <v>8.3774407192519362</v>
      </c>
      <c r="AU340" s="36">
        <f t="shared" si="166"/>
        <v>2.6228456264640871</v>
      </c>
      <c r="AV340" s="36">
        <f t="shared" si="167"/>
        <v>-1.6228456264640871</v>
      </c>
      <c r="AW340" s="36">
        <f t="shared" si="168"/>
        <v>7.6604664407112291E-3</v>
      </c>
      <c r="AX340" s="36">
        <f t="shared" si="169"/>
        <v>1.0977715499831568</v>
      </c>
      <c r="AY340" s="36">
        <f t="shared" si="170"/>
        <v>-2.7206171764472442</v>
      </c>
      <c r="AZ340" s="36">
        <f t="shared" si="171"/>
        <v>1080577.7610325073</v>
      </c>
      <c r="BA340" s="36">
        <f t="shared" si="172"/>
        <v>5.4530931276593132E-4</v>
      </c>
      <c r="BB340" s="38">
        <f t="shared" si="173"/>
        <v>-3394876.3799049635</v>
      </c>
      <c r="BC340" s="40">
        <f t="shared" si="174"/>
        <v>-8347582.6799049638</v>
      </c>
      <c r="BD340" s="41">
        <f t="shared" si="175"/>
        <v>-168.54588530527167</v>
      </c>
      <c r="BE340" s="38">
        <v>4952706.3</v>
      </c>
      <c r="BF340" s="42">
        <f>テーブル2[[#This Row],[q_P]]/テーブル2[[#This Row],[q_M]]</f>
        <v>-0.68545885305271659</v>
      </c>
      <c r="BG340" s="36">
        <v>1</v>
      </c>
      <c r="BH340" s="36">
        <v>3.3000000000000002E-2</v>
      </c>
      <c r="BI340" s="36">
        <v>4.5999999999999999E-2</v>
      </c>
      <c r="BJ340" s="36">
        <v>5625</v>
      </c>
      <c r="BK340" s="22">
        <v>1</v>
      </c>
      <c r="BL340" s="36">
        <f>テーブル2[[#This Row],[Ts]]-テーブル2[[#This Row],[Tin]]</f>
        <v>31.979825654822093</v>
      </c>
      <c r="BM340" s="36">
        <f>テーブル2[[#This Row],[q_P]]*0.000001</f>
        <v>-3.3948763799049635</v>
      </c>
      <c r="BN340" s="36">
        <f>テーブル2[[#This Row],[Tsub]]</f>
        <v>31.979825654822093</v>
      </c>
      <c r="BO340" s="36">
        <f>テーブル2[[#This Row],[Fcorr]]</f>
        <v>1</v>
      </c>
      <c r="BP340" s="36">
        <f>(テーブル2[[#This Row],[Tsub]]-40)^2</f>
        <v>64.323196527049859</v>
      </c>
      <c r="BQ340" s="36">
        <v>1</v>
      </c>
      <c r="BR340" s="36">
        <v>0.3175</v>
      </c>
    </row>
    <row r="341" spans="1:70" x14ac:dyDescent="0.15">
      <c r="A341" s="35" t="s">
        <v>337</v>
      </c>
      <c r="B341" s="36">
        <v>13789514.586336</v>
      </c>
      <c r="C341" s="22">
        <f>TsatFromP(テーブル2[[#This Row],[P]])</f>
        <v>608.62107399852357</v>
      </c>
      <c r="D341" s="36">
        <f>RhoGFromP(テーブル2[[#This Row],[P]])</f>
        <v>85.147847035840741</v>
      </c>
      <c r="E341" s="36">
        <f>RhoFFromP(テーブル2[[#This Row],[P]])</f>
        <v>624.86636713482415</v>
      </c>
      <c r="F341" s="36">
        <f>HgFromP(テーブル2[[#This Row],[P]])</f>
        <v>2643264.5206450778</v>
      </c>
      <c r="G341" s="36">
        <f>HfFromP(テーブル2[[#This Row],[P]])</f>
        <v>1562686.7596125705</v>
      </c>
      <c r="H341" s="36">
        <f>MuGFromP(テーブル2[[#This Row],[P]])</f>
        <v>2.2019591234371903E-5</v>
      </c>
      <c r="I341" s="36">
        <f>MuFFromP(テーブル2[[#This Row],[P]])</f>
        <v>7.222326555143516E-5</v>
      </c>
      <c r="J341" s="36">
        <f>KfFromP(テーブル2[[#This Row],[P]])</f>
        <v>0.49112131073334553</v>
      </c>
      <c r="K341" s="36">
        <f>CpFFromP(テーブル2[[#This Row],[P]])</f>
        <v>7679.7488518783057</v>
      </c>
      <c r="L341" s="36">
        <f>SigmaFromP(テーブル2[[#This Row],[P]])</f>
        <v>6.5036449518301549E-3</v>
      </c>
      <c r="M341" s="36">
        <v>234.01</v>
      </c>
      <c r="N341" s="36">
        <v>5574.1053000000002</v>
      </c>
      <c r="O341" s="37">
        <f t="shared" si="146"/>
        <v>1.7719053836560394E-5</v>
      </c>
      <c r="P341" s="37">
        <f t="shared" si="147"/>
        <v>1.4921936786020797E-2</v>
      </c>
      <c r="Q341" s="37">
        <v>4.7497999999999993E-3</v>
      </c>
      <c r="R341" s="36">
        <v>0.3175</v>
      </c>
      <c r="S341" s="38">
        <v>12681451.800000001</v>
      </c>
      <c r="T341" s="36">
        <v>380.74557364051998</v>
      </c>
      <c r="U341" s="12">
        <f>+T341+BG341*S341*テーブル2[[#This Row],[Pw]]*R341/(N341*O341*K341)</f>
        <v>459.95469335251045</v>
      </c>
      <c r="V341" s="36">
        <v>0.03</v>
      </c>
      <c r="W341" s="37">
        <f t="shared" si="148"/>
        <v>366583.88611748238</v>
      </c>
      <c r="X341" s="36">
        <v>0.01</v>
      </c>
      <c r="Y341" s="36">
        <f t="shared" si="149"/>
        <v>10</v>
      </c>
      <c r="Z341" s="36">
        <f t="shared" si="150"/>
        <v>6.4403849058603084</v>
      </c>
      <c r="AA341" s="36">
        <f t="shared" si="151"/>
        <v>3.5596150941396916</v>
      </c>
      <c r="AB341" s="36">
        <f t="shared" si="152"/>
        <v>1.2556392117771526E-5</v>
      </c>
      <c r="AC341" s="36">
        <v>600</v>
      </c>
      <c r="AD341" s="36">
        <f t="shared" si="153"/>
        <v>6480.3487936847223</v>
      </c>
      <c r="AE341" s="36">
        <f>+gettm2(AD341,AC341,AK341,AL341,テーブル2[[#This Row],[Fcorr]])</f>
        <v>539.22181366331813</v>
      </c>
      <c r="AF341" s="39">
        <f t="shared" si="154"/>
        <v>79.267120310807684</v>
      </c>
      <c r="AG341" s="36">
        <v>1.0000000000000001E-5</v>
      </c>
      <c r="AH341" s="36">
        <f t="shared" si="155"/>
        <v>62.154589224323182</v>
      </c>
      <c r="AI341" s="36">
        <f t="shared" si="156"/>
        <v>0.31538644612532335</v>
      </c>
      <c r="AJ341" s="36">
        <f t="shared" si="157"/>
        <v>27.286828050379903</v>
      </c>
      <c r="AK341" s="36">
        <f>+S88*テーブル2[[#This Row],[F_form]]/(E88*CpFromTP((テーブル2[[#This Row],[Tin]]+テーブル2[[#This Row],[Tf]])/2,テーブル2[[#This Row],[P]])*AI88)</f>
        <v>2.3335707075342613</v>
      </c>
      <c r="AL341" s="36">
        <f t="shared" si="158"/>
        <v>1.1293676909872215</v>
      </c>
      <c r="AM341" s="36">
        <f t="shared" si="159"/>
        <v>565.85077582041083</v>
      </c>
      <c r="AN341" s="36">
        <f t="shared" si="160"/>
        <v>42.770298178112739</v>
      </c>
      <c r="AO341" s="36">
        <f t="shared" si="161"/>
        <v>-2.5563921177715249E-6</v>
      </c>
      <c r="AP341" s="36">
        <v>1</v>
      </c>
      <c r="AQ341" s="36">
        <f t="shared" si="162"/>
        <v>5.4530931276593132E-4</v>
      </c>
      <c r="AR341" s="36">
        <f t="shared" si="163"/>
        <v>3.7218039411142379E-6</v>
      </c>
      <c r="AS341" s="36">
        <f t="shared" si="164"/>
        <v>10.155622417841045</v>
      </c>
      <c r="AT341" s="36">
        <f t="shared" si="165"/>
        <v>8.5401374245794077</v>
      </c>
      <c r="AU341" s="36">
        <f t="shared" si="166"/>
        <v>2.6934435917599711</v>
      </c>
      <c r="AV341" s="36">
        <f t="shared" si="167"/>
        <v>-1.6934435917599711</v>
      </c>
      <c r="AW341" s="36">
        <f t="shared" si="168"/>
        <v>7.5490429584631506E-3</v>
      </c>
      <c r="AX341" s="36">
        <f t="shared" si="169"/>
        <v>1.105843399615386</v>
      </c>
      <c r="AY341" s="36">
        <f t="shared" si="170"/>
        <v>-2.7992869913753573</v>
      </c>
      <c r="AZ341" s="36">
        <f t="shared" si="171"/>
        <v>1080577.7610325073</v>
      </c>
      <c r="BA341" s="36">
        <f t="shared" si="172"/>
        <v>5.4530931276593132E-4</v>
      </c>
      <c r="BB341" s="38">
        <f t="shared" si="173"/>
        <v>-3165393.6749528279</v>
      </c>
      <c r="BC341" s="40">
        <f t="shared" si="174"/>
        <v>-15846845.474952828</v>
      </c>
      <c r="BD341" s="41">
        <f t="shared" si="175"/>
        <v>-124.96081462023794</v>
      </c>
      <c r="BE341" s="38">
        <v>12681451.800000001</v>
      </c>
      <c r="BF341" s="42">
        <f>テーブル2[[#This Row],[q_P]]/テーブル2[[#This Row],[q_M]]</f>
        <v>-0.24960814620237942</v>
      </c>
      <c r="BG341" s="36">
        <v>1</v>
      </c>
      <c r="BH341" s="36">
        <v>-0.45700000000000002</v>
      </c>
      <c r="BI341" s="36">
        <v>4.5999999999999999E-2</v>
      </c>
      <c r="BJ341" s="36">
        <v>5625</v>
      </c>
      <c r="BK341" s="22">
        <v>1</v>
      </c>
      <c r="BL341" s="36">
        <f>テーブル2[[#This Row],[Ts]]-テーブル2[[#This Row],[Tin]]</f>
        <v>227.87550035800359</v>
      </c>
      <c r="BM341" s="36">
        <f>テーブル2[[#This Row],[q_P]]*0.000001</f>
        <v>-3.1653936749528278</v>
      </c>
      <c r="BN341" s="36">
        <f>テーブル2[[#This Row],[Tsub]]</f>
        <v>227.87550035800359</v>
      </c>
      <c r="BO341" s="36">
        <f>テーブル2[[#This Row],[Fcorr]]</f>
        <v>1</v>
      </c>
      <c r="BP341" s="36">
        <f>(テーブル2[[#This Row],[Tsub]]-40)^2</f>
        <v>35297.203634770209</v>
      </c>
      <c r="BQ341" s="36">
        <v>1</v>
      </c>
      <c r="BR341" s="36">
        <v>0.3175</v>
      </c>
    </row>
    <row r="342" spans="1:70" x14ac:dyDescent="0.15">
      <c r="A342" s="35" t="s">
        <v>338</v>
      </c>
      <c r="B342" s="36">
        <v>13789514.586336</v>
      </c>
      <c r="C342" s="22">
        <f>TsatFromP(テーブル2[[#This Row],[P]])</f>
        <v>608.62107399852357</v>
      </c>
      <c r="D342" s="36">
        <f>RhoGFromP(テーブル2[[#This Row],[P]])</f>
        <v>85.147847035840741</v>
      </c>
      <c r="E342" s="36">
        <f>RhoFFromP(テーブル2[[#This Row],[P]])</f>
        <v>624.86636713482415</v>
      </c>
      <c r="F342" s="36">
        <f>HgFromP(テーブル2[[#This Row],[P]])</f>
        <v>2643264.5206450778</v>
      </c>
      <c r="G342" s="36">
        <f>HfFromP(テーブル2[[#This Row],[P]])</f>
        <v>1562686.7596125705</v>
      </c>
      <c r="H342" s="36">
        <f>MuGFromP(テーブル2[[#This Row],[P]])</f>
        <v>2.2019591234371903E-5</v>
      </c>
      <c r="I342" s="36">
        <f>MuFFromP(テーブル2[[#This Row],[P]])</f>
        <v>7.222326555143516E-5</v>
      </c>
      <c r="J342" s="36">
        <f>KfFromP(テーブル2[[#This Row],[P]])</f>
        <v>0.49112131073334553</v>
      </c>
      <c r="K342" s="36">
        <f>CpFFromP(テーブル2[[#This Row],[P]])</f>
        <v>7679.7488518783057</v>
      </c>
      <c r="L342" s="36">
        <f>SigmaFromP(テーブル2[[#This Row],[P]])</f>
        <v>6.5036449518301549E-3</v>
      </c>
      <c r="M342" s="36">
        <v>235.01</v>
      </c>
      <c r="N342" s="36">
        <v>5587.6675999999998</v>
      </c>
      <c r="O342" s="37">
        <f t="shared" si="146"/>
        <v>1.7719053836560394E-5</v>
      </c>
      <c r="P342" s="37">
        <f t="shared" si="147"/>
        <v>1.4921936786020797E-2</v>
      </c>
      <c r="Q342" s="37">
        <v>4.7497999999999993E-3</v>
      </c>
      <c r="R342" s="36">
        <v>0.3175</v>
      </c>
      <c r="S342" s="38">
        <v>4668793.1999999993</v>
      </c>
      <c r="T342" s="36">
        <v>576.10233569936702</v>
      </c>
      <c r="U342" s="12">
        <f>+T342+BG342*S342*テーブル2[[#This Row],[Pw]]*R342/(N342*O342*K342)</f>
        <v>605.19312165937856</v>
      </c>
      <c r="V342" s="36">
        <v>0.03</v>
      </c>
      <c r="W342" s="37">
        <f t="shared" si="148"/>
        <v>367475.81771387527</v>
      </c>
      <c r="X342" s="36">
        <v>0.01</v>
      </c>
      <c r="Y342" s="36">
        <f t="shared" si="149"/>
        <v>10</v>
      </c>
      <c r="Z342" s="36">
        <f t="shared" si="150"/>
        <v>6.4443656345327094</v>
      </c>
      <c r="AA342" s="36">
        <f t="shared" si="151"/>
        <v>3.5556343654672906</v>
      </c>
      <c r="AB342" s="36">
        <f t="shared" si="152"/>
        <v>1.2495512730500542E-5</v>
      </c>
      <c r="AC342" s="36">
        <v>600</v>
      </c>
      <c r="AD342" s="36">
        <f t="shared" si="153"/>
        <v>6496.1160656888214</v>
      </c>
      <c r="AE342" s="36">
        <f>+gettm2(AD342,AC342,AK342,AL342,テーブル2[[#This Row],[Fcorr]])</f>
        <v>557.29919026421828</v>
      </c>
      <c r="AF342" s="39">
        <f t="shared" si="154"/>
        <v>-47.89393139516028</v>
      </c>
      <c r="AG342" s="36">
        <v>1.0000000000000001E-5</v>
      </c>
      <c r="AH342" s="36">
        <f t="shared" si="155"/>
        <v>62.457412596974407</v>
      </c>
      <c r="AI342" s="36">
        <f t="shared" si="156"/>
        <v>0.31615380974120005</v>
      </c>
      <c r="AJ342" s="36">
        <f t="shared" si="157"/>
        <v>27.353219359504916</v>
      </c>
      <c r="AK342" s="36">
        <f>+S88*テーブル2[[#This Row],[F_form]]/(E88*CpFromTP((テーブル2[[#This Row],[Tin]]+テーブル2[[#This Row],[Tf]])/2,テーブル2[[#This Row],[P]])*AI88)</f>
        <v>1.6391081595848058</v>
      </c>
      <c r="AL342" s="36">
        <f t="shared" si="158"/>
        <v>1.1293676909872215</v>
      </c>
      <c r="AM342" s="36">
        <f t="shared" si="159"/>
        <v>575.99312374044234</v>
      </c>
      <c r="AN342" s="36">
        <f t="shared" si="160"/>
        <v>32.627950258081228</v>
      </c>
      <c r="AO342" s="36">
        <f t="shared" si="161"/>
        <v>-2.4955127305005409E-6</v>
      </c>
      <c r="AP342" s="36">
        <v>1</v>
      </c>
      <c r="AQ342" s="36">
        <f t="shared" si="162"/>
        <v>5.4530931276593132E-4</v>
      </c>
      <c r="AR342" s="36">
        <f t="shared" si="163"/>
        <v>3.75224363474973E-6</v>
      </c>
      <c r="AS342" s="36">
        <f t="shared" si="164"/>
        <v>10.26359432316154</v>
      </c>
      <c r="AT342" s="36">
        <f t="shared" si="165"/>
        <v>8.5930155114421112</v>
      </c>
      <c r="AU342" s="36">
        <f t="shared" si="166"/>
        <v>2.71671459110765</v>
      </c>
      <c r="AV342" s="36">
        <f t="shared" si="167"/>
        <v>-1.71671459110765</v>
      </c>
      <c r="AW342" s="36">
        <f t="shared" si="168"/>
        <v>7.5124415919652771E-3</v>
      </c>
      <c r="AX342" s="36">
        <f t="shared" si="169"/>
        <v>1.1085340161594623</v>
      </c>
      <c r="AY342" s="36">
        <f t="shared" si="170"/>
        <v>-2.8252486072671124</v>
      </c>
      <c r="AZ342" s="36">
        <f t="shared" si="171"/>
        <v>1080577.7610325073</v>
      </c>
      <c r="BA342" s="36">
        <f t="shared" si="172"/>
        <v>5.4530931276593132E-4</v>
      </c>
      <c r="BB342" s="38">
        <f t="shared" si="173"/>
        <v>-3090011.1755064731</v>
      </c>
      <c r="BC342" s="40">
        <f t="shared" si="174"/>
        <v>-7758804.3755064718</v>
      </c>
      <c r="BD342" s="41">
        <f t="shared" si="175"/>
        <v>-166.18436591936592</v>
      </c>
      <c r="BE342" s="38">
        <v>4668793.1999999993</v>
      </c>
      <c r="BF342" s="42">
        <f>テーブル2[[#This Row],[q_P]]/テーブル2[[#This Row],[q_M]]</f>
        <v>-0.66184365919365917</v>
      </c>
      <c r="BG342" s="36">
        <v>1</v>
      </c>
      <c r="BH342" s="36">
        <v>1.4999999999999999E-2</v>
      </c>
      <c r="BI342" s="36">
        <v>4.5999999999999999E-2</v>
      </c>
      <c r="BJ342" s="36">
        <v>5625</v>
      </c>
      <c r="BK342" s="22">
        <v>1</v>
      </c>
      <c r="BL342" s="36">
        <f>テーブル2[[#This Row],[Ts]]-テーブル2[[#This Row],[Tin]]</f>
        <v>32.518738299156553</v>
      </c>
      <c r="BM342" s="36">
        <f>テーブル2[[#This Row],[q_P]]*0.000001</f>
        <v>-3.090011175506473</v>
      </c>
      <c r="BN342" s="36">
        <f>テーブル2[[#This Row],[Tsub]]</f>
        <v>32.518738299156553</v>
      </c>
      <c r="BO342" s="36">
        <f>テーブル2[[#This Row],[Fcorr]]</f>
        <v>1</v>
      </c>
      <c r="BP342" s="36">
        <f>(テーブル2[[#This Row],[Tsub]]-40)^2</f>
        <v>55.96927663650699</v>
      </c>
      <c r="BQ342" s="36">
        <v>1</v>
      </c>
      <c r="BR342" s="36">
        <v>0.3175</v>
      </c>
    </row>
    <row r="343" spans="1:70" x14ac:dyDescent="0.15">
      <c r="A343" s="35" t="s">
        <v>339</v>
      </c>
      <c r="B343" s="36">
        <v>13789514.586336</v>
      </c>
      <c r="C343" s="22">
        <f>TsatFromP(テーブル2[[#This Row],[P]])</f>
        <v>608.62107399852357</v>
      </c>
      <c r="D343" s="36">
        <f>RhoGFromP(テーブル2[[#This Row],[P]])</f>
        <v>85.147847035840741</v>
      </c>
      <c r="E343" s="36">
        <f>RhoFFromP(テーブル2[[#This Row],[P]])</f>
        <v>624.86636713482415</v>
      </c>
      <c r="F343" s="36">
        <f>HgFromP(テーブル2[[#This Row],[P]])</f>
        <v>2643264.5206450778</v>
      </c>
      <c r="G343" s="36">
        <f>HfFromP(テーブル2[[#This Row],[P]])</f>
        <v>1562686.7596125705</v>
      </c>
      <c r="H343" s="36">
        <f>MuGFromP(テーブル2[[#This Row],[P]])</f>
        <v>2.2019591234371903E-5</v>
      </c>
      <c r="I343" s="36">
        <f>MuFFromP(テーブル2[[#This Row],[P]])</f>
        <v>7.222326555143516E-5</v>
      </c>
      <c r="J343" s="36">
        <f>KfFromP(テーブル2[[#This Row],[P]])</f>
        <v>0.49112131073334553</v>
      </c>
      <c r="K343" s="36">
        <f>CpFFromP(テーブル2[[#This Row],[P]])</f>
        <v>7679.7488518783057</v>
      </c>
      <c r="L343" s="36">
        <f>SigmaFromP(テーブル2[[#This Row],[P]])</f>
        <v>6.5036449518301549E-3</v>
      </c>
      <c r="M343" s="36">
        <v>236.01</v>
      </c>
      <c r="N343" s="36">
        <v>5791.1020999999992</v>
      </c>
      <c r="O343" s="37">
        <f t="shared" si="146"/>
        <v>1.7719053836560394E-5</v>
      </c>
      <c r="P343" s="37">
        <f t="shared" si="147"/>
        <v>1.4921936786020797E-2</v>
      </c>
      <c r="Q343" s="37">
        <v>4.7497999999999993E-3</v>
      </c>
      <c r="R343" s="36">
        <v>0.3175</v>
      </c>
      <c r="S343" s="38">
        <v>4195604.6999999993</v>
      </c>
      <c r="T343" s="36">
        <v>576.64124834370148</v>
      </c>
      <c r="U343" s="12">
        <f>+T343+BG343*S343*テーブル2[[#This Row],[Pw]]*R343/(N343*O343*K343)</f>
        <v>601.86529270512938</v>
      </c>
      <c r="V343" s="36">
        <v>0.03</v>
      </c>
      <c r="W343" s="37">
        <f t="shared" si="148"/>
        <v>380854.79165976879</v>
      </c>
      <c r="X343" s="36">
        <v>0.01</v>
      </c>
      <c r="Y343" s="36">
        <f t="shared" si="149"/>
        <v>10</v>
      </c>
      <c r="Z343" s="36">
        <f t="shared" si="150"/>
        <v>6.5028835423386102</v>
      </c>
      <c r="AA343" s="36">
        <f t="shared" si="151"/>
        <v>3.4971164576613898</v>
      </c>
      <c r="AB343" s="36">
        <f t="shared" si="152"/>
        <v>1.1633027729686909E-5</v>
      </c>
      <c r="AC343" s="36">
        <v>600</v>
      </c>
      <c r="AD343" s="36">
        <f t="shared" si="153"/>
        <v>6732.6251457503058</v>
      </c>
      <c r="AE343" s="36">
        <f>+gettm2(AD343,AC343,AK343,AL343,テーブル2[[#This Row],[Fcorr]])</f>
        <v>556.71550585640875</v>
      </c>
      <c r="AF343" s="39">
        <f t="shared" si="154"/>
        <v>-45.149786848720623</v>
      </c>
      <c r="AG343" s="36">
        <v>1.0000000000000001E-5</v>
      </c>
      <c r="AH343" s="36">
        <f t="shared" si="155"/>
        <v>67.088071339156272</v>
      </c>
      <c r="AI343" s="36">
        <f t="shared" si="156"/>
        <v>0.3276642639793505</v>
      </c>
      <c r="AJ343" s="36">
        <f t="shared" si="157"/>
        <v>28.349088996380093</v>
      </c>
      <c r="AK343" s="36">
        <f>+S88*テーブル2[[#This Row],[F_form]]/(E88*CpFromTP((テーブル2[[#This Row],[Tin]]+テーブル2[[#This Row],[Tf]])/2,テーブル2[[#This Row],[P]])*AI88)</f>
        <v>1.6558071621612895</v>
      </c>
      <c r="AL343" s="36">
        <f t="shared" si="158"/>
        <v>1.1293676909872215</v>
      </c>
      <c r="AM343" s="36">
        <f t="shared" si="159"/>
        <v>575.44626366435193</v>
      </c>
      <c r="AN343" s="36">
        <f t="shared" si="160"/>
        <v>33.174810334171639</v>
      </c>
      <c r="AO343" s="36">
        <f t="shared" si="161"/>
        <v>-1.6330277296869085E-6</v>
      </c>
      <c r="AP343" s="36">
        <v>1</v>
      </c>
      <c r="AQ343" s="36">
        <f t="shared" si="162"/>
        <v>5.4530931276593132E-4</v>
      </c>
      <c r="AR343" s="36">
        <f t="shared" si="163"/>
        <v>4.1834861351565461E-6</v>
      </c>
      <c r="AS343" s="36">
        <f t="shared" si="164"/>
        <v>11.85980207606751</v>
      </c>
      <c r="AT343" s="36">
        <f t="shared" si="165"/>
        <v>9.3157735253588498</v>
      </c>
      <c r="AU343" s="36">
        <f t="shared" si="166"/>
        <v>3.0524460755850269</v>
      </c>
      <c r="AV343" s="36">
        <f t="shared" si="167"/>
        <v>-2.0524460755850269</v>
      </c>
      <c r="AW343" s="36">
        <f t="shared" si="168"/>
        <v>6.9939059918419687E-3</v>
      </c>
      <c r="AX343" s="36">
        <f t="shared" si="169"/>
        <v>1.1488932643206076</v>
      </c>
      <c r="AY343" s="36">
        <f t="shared" si="170"/>
        <v>-3.2013393399056342</v>
      </c>
      <c r="AZ343" s="36">
        <f t="shared" si="171"/>
        <v>1080577.7610325073</v>
      </c>
      <c r="BA343" s="36">
        <f t="shared" si="172"/>
        <v>5.4530931276593132E-4</v>
      </c>
      <c r="BB343" s="38">
        <f t="shared" si="173"/>
        <v>-2022058.9832985497</v>
      </c>
      <c r="BC343" s="40">
        <f t="shared" si="174"/>
        <v>-6217663.6832985487</v>
      </c>
      <c r="BD343" s="41">
        <f t="shared" si="175"/>
        <v>-148.19469725778859</v>
      </c>
      <c r="BE343" s="38">
        <v>4195604.6999999993</v>
      </c>
      <c r="BF343" s="42">
        <f>テーブル2[[#This Row],[q_P]]/テーブル2[[#This Row],[q_M]]</f>
        <v>-0.4819469725778861</v>
      </c>
      <c r="BG343" s="36">
        <v>1</v>
      </c>
      <c r="BH343" s="36">
        <v>-0.01</v>
      </c>
      <c r="BI343" s="36">
        <v>4.5999999999999999E-2</v>
      </c>
      <c r="BJ343" s="36">
        <v>5625</v>
      </c>
      <c r="BK343" s="22">
        <v>1</v>
      </c>
      <c r="BL343" s="36">
        <f>テーブル2[[#This Row],[Ts]]-テーブル2[[#This Row],[Tin]]</f>
        <v>31.979825654822093</v>
      </c>
      <c r="BM343" s="36">
        <f>テーブル2[[#This Row],[q_P]]*0.000001</f>
        <v>-2.0220589832985496</v>
      </c>
      <c r="BN343" s="36">
        <f>テーブル2[[#This Row],[Tsub]]</f>
        <v>31.979825654822093</v>
      </c>
      <c r="BO343" s="36">
        <f>テーブル2[[#This Row],[Fcorr]]</f>
        <v>1</v>
      </c>
      <c r="BP343" s="36">
        <f>(テーブル2[[#This Row],[Tsub]]-40)^2</f>
        <v>64.323196527049859</v>
      </c>
      <c r="BQ343" s="36">
        <v>1</v>
      </c>
      <c r="BR343" s="36">
        <v>0.3175</v>
      </c>
    </row>
    <row r="344" spans="1:70" x14ac:dyDescent="0.15">
      <c r="A344" s="35" t="s">
        <v>340</v>
      </c>
      <c r="B344" s="36">
        <v>13789514.586336</v>
      </c>
      <c r="C344" s="22">
        <f>TsatFromP(テーブル2[[#This Row],[P]])</f>
        <v>608.62107399852357</v>
      </c>
      <c r="D344" s="36">
        <f>RhoGFromP(テーブル2[[#This Row],[P]])</f>
        <v>85.147847035840741</v>
      </c>
      <c r="E344" s="36">
        <f>RhoFFromP(テーブル2[[#This Row],[P]])</f>
        <v>624.86636713482415</v>
      </c>
      <c r="F344" s="36">
        <f>HgFromP(テーブル2[[#This Row],[P]])</f>
        <v>2643264.5206450778</v>
      </c>
      <c r="G344" s="36">
        <f>HfFromP(テーブル2[[#This Row],[P]])</f>
        <v>1562686.7596125705</v>
      </c>
      <c r="H344" s="36">
        <f>MuGFromP(テーブル2[[#This Row],[P]])</f>
        <v>2.2019591234371903E-5</v>
      </c>
      <c r="I344" s="36">
        <f>MuFFromP(テーブル2[[#This Row],[P]])</f>
        <v>7.222326555143516E-5</v>
      </c>
      <c r="J344" s="36">
        <f>KfFromP(テーブル2[[#This Row],[P]])</f>
        <v>0.49112131073334553</v>
      </c>
      <c r="K344" s="36">
        <f>CpFFromP(テーブル2[[#This Row],[P]])</f>
        <v>7679.7488518783057</v>
      </c>
      <c r="L344" s="36">
        <f>SigmaFromP(テーブル2[[#This Row],[P]])</f>
        <v>6.5036449518301549E-3</v>
      </c>
      <c r="M344" s="36">
        <v>237.01</v>
      </c>
      <c r="N344" s="36">
        <v>5899.6004999999996</v>
      </c>
      <c r="O344" s="37">
        <f t="shared" ref="O344:O407" si="176">PI()*Q344^2/4</f>
        <v>1.7719053836560394E-5</v>
      </c>
      <c r="P344" s="37">
        <f t="shared" ref="P344:P407" si="177">PI()*Q344</f>
        <v>1.4921936786020797E-2</v>
      </c>
      <c r="Q344" s="37">
        <v>4.7497999999999993E-3</v>
      </c>
      <c r="R344" s="36">
        <v>0.3175</v>
      </c>
      <c r="S344" s="38">
        <v>5867537.3999999994</v>
      </c>
      <c r="T344" s="36">
        <v>555.51116161193988</v>
      </c>
      <c r="U344" s="12">
        <f>+T344+BG344*S344*テーブル2[[#This Row],[Pw]]*R344/(N344*O344*K344)</f>
        <v>590.13814374439733</v>
      </c>
      <c r="V344" s="36">
        <v>0.03</v>
      </c>
      <c r="W344" s="37">
        <f t="shared" si="148"/>
        <v>387990.24443091196</v>
      </c>
      <c r="X344" s="36">
        <v>0.01</v>
      </c>
      <c r="Y344" s="36">
        <f t="shared" si="149"/>
        <v>10</v>
      </c>
      <c r="Z344" s="36">
        <f t="shared" si="150"/>
        <v>6.5332126479000525</v>
      </c>
      <c r="AA344" s="36">
        <f t="shared" si="151"/>
        <v>3.4667873520999475</v>
      </c>
      <c r="AB344" s="36">
        <f t="shared" si="152"/>
        <v>1.1209080792316472E-5</v>
      </c>
      <c r="AC344" s="36">
        <v>600</v>
      </c>
      <c r="AD344" s="36">
        <f t="shared" si="153"/>
        <v>6858.7633217830989</v>
      </c>
      <c r="AE344" s="36">
        <f>+gettm2(AD344,AC344,AK344,AL344,テーブル2[[#This Row],[Fcorr]])</f>
        <v>552.42602528679618</v>
      </c>
      <c r="AF344" s="39">
        <f t="shared" si="154"/>
        <v>-37.71211845760115</v>
      </c>
      <c r="AG344" s="36">
        <v>1.0000000000000001E-5</v>
      </c>
      <c r="AH344" s="36">
        <f t="shared" si="155"/>
        <v>69.625458918503625</v>
      </c>
      <c r="AI344" s="36">
        <f t="shared" si="156"/>
        <v>0.33380317290636408</v>
      </c>
      <c r="AJ344" s="36">
        <f t="shared" si="157"/>
        <v>28.880219469380183</v>
      </c>
      <c r="AK344" s="36">
        <f>+S88*テーブル2[[#This Row],[F_form]]/(E88*CpFromTP((テーブル2[[#This Row],[Tin]]+テーブル2[[#This Row],[Tf]])/2,テーブル2[[#This Row],[P]])*AI88)</f>
        <v>1.8166590627811752</v>
      </c>
      <c r="AL344" s="36">
        <f t="shared" si="158"/>
        <v>1.1293676909872215</v>
      </c>
      <c r="AM344" s="36">
        <f t="shared" si="159"/>
        <v>572.88896482246173</v>
      </c>
      <c r="AN344" s="36">
        <f t="shared" si="160"/>
        <v>35.73210917606184</v>
      </c>
      <c r="AO344" s="36">
        <f t="shared" si="161"/>
        <v>-1.2090807923164708E-6</v>
      </c>
      <c r="AP344" s="36">
        <v>1</v>
      </c>
      <c r="AQ344" s="36">
        <f t="shared" si="162"/>
        <v>5.4530931276593132E-4</v>
      </c>
      <c r="AR344" s="36">
        <f t="shared" si="163"/>
        <v>4.395459603841765E-6</v>
      </c>
      <c r="AS344" s="36">
        <f t="shared" si="164"/>
        <v>12.694183802774504</v>
      </c>
      <c r="AT344" s="36">
        <f t="shared" si="165"/>
        <v>9.6557196013978484</v>
      </c>
      <c r="AU344" s="36">
        <f t="shared" si="166"/>
        <v>3.2231098396407747</v>
      </c>
      <c r="AV344" s="36">
        <f t="shared" si="167"/>
        <v>-2.2231098396407747</v>
      </c>
      <c r="AW344" s="36">
        <f t="shared" si="168"/>
        <v>6.7390243656311492E-3</v>
      </c>
      <c r="AX344" s="36">
        <f t="shared" si="169"/>
        <v>1.1704181966732188</v>
      </c>
      <c r="AY344" s="36">
        <f t="shared" si="170"/>
        <v>-3.3935280363139935</v>
      </c>
      <c r="AZ344" s="36">
        <f t="shared" si="171"/>
        <v>1080577.7610325073</v>
      </c>
      <c r="BA344" s="36">
        <f t="shared" si="172"/>
        <v>5.4530931276593132E-4</v>
      </c>
      <c r="BB344" s="38">
        <f t="shared" si="173"/>
        <v>-1497116.4501327742</v>
      </c>
      <c r="BC344" s="40">
        <f t="shared" si="174"/>
        <v>-7364653.8501327736</v>
      </c>
      <c r="BD344" s="41">
        <f t="shared" si="175"/>
        <v>-125.51524341596483</v>
      </c>
      <c r="BE344" s="38">
        <v>5867537.3999999994</v>
      </c>
      <c r="BF344" s="42">
        <f>テーブル2[[#This Row],[q_P]]/テーブル2[[#This Row],[q_M]]</f>
        <v>-0.25515243415964839</v>
      </c>
      <c r="BG344" s="36">
        <v>1</v>
      </c>
      <c r="BH344" s="36">
        <v>-4.8000000000000001E-2</v>
      </c>
      <c r="BI344" s="36">
        <v>4.5999999999999999E-2</v>
      </c>
      <c r="BJ344" s="36">
        <v>5625</v>
      </c>
      <c r="BK344" s="22">
        <v>1</v>
      </c>
      <c r="BL344" s="36">
        <f>テーブル2[[#This Row],[Ts]]-テーブル2[[#This Row],[Tin]]</f>
        <v>53.109912386583687</v>
      </c>
      <c r="BM344" s="36">
        <f>テーブル2[[#This Row],[q_P]]*0.000001</f>
        <v>-1.4971164501327741</v>
      </c>
      <c r="BN344" s="36">
        <f>テーブル2[[#This Row],[Tsub]]</f>
        <v>53.109912386583687</v>
      </c>
      <c r="BO344" s="36">
        <f>テーブル2[[#This Row],[Fcorr]]</f>
        <v>1</v>
      </c>
      <c r="BP344" s="36">
        <f>(テーブル2[[#This Row],[Tsub]]-40)^2</f>
        <v>171.86980278390038</v>
      </c>
      <c r="BQ344" s="36">
        <v>1</v>
      </c>
      <c r="BR344" s="36">
        <v>0.3175</v>
      </c>
    </row>
    <row r="345" spans="1:70" x14ac:dyDescent="0.15">
      <c r="A345" s="35" t="s">
        <v>341</v>
      </c>
      <c r="B345" s="36">
        <v>13789514.586336</v>
      </c>
      <c r="C345" s="22">
        <f>TsatFromP(テーブル2[[#This Row],[P]])</f>
        <v>608.62107399852357</v>
      </c>
      <c r="D345" s="36">
        <f>RhoGFromP(テーブル2[[#This Row],[P]])</f>
        <v>85.147847035840741</v>
      </c>
      <c r="E345" s="36">
        <f>RhoFFromP(テーブル2[[#This Row],[P]])</f>
        <v>624.86636713482415</v>
      </c>
      <c r="F345" s="36">
        <f>HgFromP(テーブル2[[#This Row],[P]])</f>
        <v>2643264.5206450778</v>
      </c>
      <c r="G345" s="36">
        <f>HfFromP(テーブル2[[#This Row],[P]])</f>
        <v>1562686.7596125705</v>
      </c>
      <c r="H345" s="36">
        <f>MuGFromP(テーブル2[[#This Row],[P]])</f>
        <v>2.2019591234371903E-5</v>
      </c>
      <c r="I345" s="36">
        <f>MuFFromP(テーブル2[[#This Row],[P]])</f>
        <v>7.222326555143516E-5</v>
      </c>
      <c r="J345" s="36">
        <f>KfFromP(テーブル2[[#This Row],[P]])</f>
        <v>0.49112131073334553</v>
      </c>
      <c r="K345" s="36">
        <f>CpFFromP(テーブル2[[#This Row],[P]])</f>
        <v>7679.7488518783057</v>
      </c>
      <c r="L345" s="36">
        <f>SigmaFromP(テーブル2[[#This Row],[P]])</f>
        <v>6.5036449518301549E-3</v>
      </c>
      <c r="M345" s="36">
        <v>238.01</v>
      </c>
      <c r="N345" s="36">
        <v>6021.6611999999996</v>
      </c>
      <c r="O345" s="37">
        <f t="shared" si="176"/>
        <v>1.7719053836560394E-5</v>
      </c>
      <c r="P345" s="37">
        <f t="shared" si="177"/>
        <v>1.4921936786020797E-2</v>
      </c>
      <c r="Q345" s="37">
        <v>4.7497999999999993E-3</v>
      </c>
      <c r="R345" s="36">
        <v>0.3175</v>
      </c>
      <c r="S345" s="38">
        <v>5457440.6999999993</v>
      </c>
      <c r="T345" s="36">
        <v>561.10639943531271</v>
      </c>
      <c r="U345" s="12">
        <f>+T345+BG345*S345*テーブル2[[#This Row],[Pw]]*R345/(N345*O345*K345)</f>
        <v>592.66037527056028</v>
      </c>
      <c r="V345" s="36">
        <v>0.03</v>
      </c>
      <c r="W345" s="37">
        <f t="shared" si="148"/>
        <v>396017.62879844807</v>
      </c>
      <c r="X345" s="36">
        <v>0.01</v>
      </c>
      <c r="Y345" s="36">
        <f t="shared" si="149"/>
        <v>10</v>
      </c>
      <c r="Z345" s="36">
        <f t="shared" si="150"/>
        <v>6.5666365677303391</v>
      </c>
      <c r="AA345" s="36">
        <f t="shared" si="151"/>
        <v>3.4333634322696609</v>
      </c>
      <c r="AB345" s="36">
        <f t="shared" si="152"/>
        <v>1.0759264228380834E-5</v>
      </c>
      <c r="AC345" s="36">
        <v>600</v>
      </c>
      <c r="AD345" s="36">
        <f t="shared" si="153"/>
        <v>7000.6687698199912</v>
      </c>
      <c r="AE345" s="36">
        <f>+gettm2(AD345,AC345,AK345,AL345,テーブル2[[#This Row],[Fcorr]])</f>
        <v>553.24148404466541</v>
      </c>
      <c r="AF345" s="39">
        <f t="shared" si="154"/>
        <v>-39.418891225894868</v>
      </c>
      <c r="AG345" s="36">
        <v>1.0000000000000001E-5</v>
      </c>
      <c r="AH345" s="36">
        <f t="shared" si="155"/>
        <v>72.536316392432994</v>
      </c>
      <c r="AI345" s="36">
        <f t="shared" si="156"/>
        <v>0.34070944544925441</v>
      </c>
      <c r="AJ345" s="36">
        <f t="shared" si="157"/>
        <v>29.477741251505297</v>
      </c>
      <c r="AK345" s="36">
        <f>+S88*テーブル2[[#This Row],[F_form]]/(E88*CpFromTP((テーブル2[[#This Row],[Tin]]+テーブル2[[#This Row],[Tf]])/2,テーブル2[[#This Row],[P]])*AI88)</f>
        <v>1.7820221602772006</v>
      </c>
      <c r="AL345" s="36">
        <f t="shared" si="158"/>
        <v>1.1293676909872215</v>
      </c>
      <c r="AM345" s="36">
        <f t="shared" si="159"/>
        <v>573.21975147914418</v>
      </c>
      <c r="AN345" s="36">
        <f t="shared" si="160"/>
        <v>35.401322519379391</v>
      </c>
      <c r="AO345" s="36">
        <f t="shared" si="161"/>
        <v>-7.5926422838083271E-7</v>
      </c>
      <c r="AP345" s="36">
        <v>1</v>
      </c>
      <c r="AQ345" s="36">
        <f t="shared" si="162"/>
        <v>5.4530931276593132E-4</v>
      </c>
      <c r="AR345" s="36">
        <f t="shared" si="163"/>
        <v>4.6203678858095841E-6</v>
      </c>
      <c r="AS345" s="36">
        <f t="shared" si="164"/>
        <v>13.619800902465947</v>
      </c>
      <c r="AT345" s="36">
        <f t="shared" si="165"/>
        <v>10.007623412935294</v>
      </c>
      <c r="AU345" s="36">
        <f t="shared" si="166"/>
        <v>3.4096918232861588</v>
      </c>
      <c r="AV345" s="36">
        <f t="shared" si="167"/>
        <v>-2.4096918232861588</v>
      </c>
      <c r="AW345" s="36">
        <f t="shared" si="168"/>
        <v>6.4685896314552087E-3</v>
      </c>
      <c r="AX345" s="36">
        <f t="shared" si="169"/>
        <v>1.1946337455699061</v>
      </c>
      <c r="AY345" s="36">
        <f t="shared" si="170"/>
        <v>-3.6043255688560647</v>
      </c>
      <c r="AZ345" s="36">
        <f t="shared" si="171"/>
        <v>1080577.7610325073</v>
      </c>
      <c r="BA345" s="36">
        <f t="shared" si="172"/>
        <v>5.4530931276593132E-4</v>
      </c>
      <c r="BB345" s="38">
        <f t="shared" si="173"/>
        <v>-940141.44756075554</v>
      </c>
      <c r="BC345" s="40">
        <f t="shared" si="174"/>
        <v>-6397582.1475607548</v>
      </c>
      <c r="BD345" s="41">
        <f t="shared" si="175"/>
        <v>-117.22678264851794</v>
      </c>
      <c r="BE345" s="38">
        <v>5457440.6999999993</v>
      </c>
      <c r="BF345" s="42">
        <f>テーブル2[[#This Row],[q_P]]/テーブル2[[#This Row],[q_M]]</f>
        <v>-0.17226782648517933</v>
      </c>
      <c r="BG345" s="36">
        <v>1</v>
      </c>
      <c r="BH345" s="36">
        <v>-4.2999999999999997E-2</v>
      </c>
      <c r="BI345" s="36">
        <v>4.5999999999999999E-2</v>
      </c>
      <c r="BJ345" s="36">
        <v>5625</v>
      </c>
      <c r="BK345" s="22">
        <v>1</v>
      </c>
      <c r="BL345" s="36">
        <f>テーブル2[[#This Row],[Ts]]-テーブル2[[#This Row],[Tin]]</f>
        <v>47.51467456321086</v>
      </c>
      <c r="BM345" s="36">
        <f>テーブル2[[#This Row],[q_P]]*0.000001</f>
        <v>-0.94014144756075546</v>
      </c>
      <c r="BN345" s="36">
        <f>テーブル2[[#This Row],[Tsub]]</f>
        <v>47.51467456321086</v>
      </c>
      <c r="BO345" s="36">
        <f>テーブル2[[#This Row],[Fcorr]]</f>
        <v>1</v>
      </c>
      <c r="BP345" s="36">
        <f>(テーブル2[[#This Row],[Tsub]]-40)^2</f>
        <v>56.47033379096834</v>
      </c>
      <c r="BQ345" s="36">
        <v>1</v>
      </c>
      <c r="BR345" s="36">
        <v>0.3175</v>
      </c>
    </row>
    <row r="346" spans="1:70" x14ac:dyDescent="0.15">
      <c r="A346" s="35" t="s">
        <v>342</v>
      </c>
      <c r="B346" s="36">
        <v>13789514.586336</v>
      </c>
      <c r="C346" s="22">
        <f>TsatFromP(テーブル2[[#This Row],[P]])</f>
        <v>608.62107399852357</v>
      </c>
      <c r="D346" s="36">
        <f>RhoGFromP(テーブル2[[#This Row],[P]])</f>
        <v>85.147847035840741</v>
      </c>
      <c r="E346" s="36">
        <f>RhoFFromP(テーブル2[[#This Row],[P]])</f>
        <v>624.86636713482415</v>
      </c>
      <c r="F346" s="36">
        <f>HgFromP(テーブル2[[#This Row],[P]])</f>
        <v>2643264.5206450778</v>
      </c>
      <c r="G346" s="36">
        <f>HfFromP(テーブル2[[#This Row],[P]])</f>
        <v>1562686.7596125705</v>
      </c>
      <c r="H346" s="36">
        <f>MuGFromP(テーブル2[[#This Row],[P]])</f>
        <v>2.2019591234371903E-5</v>
      </c>
      <c r="I346" s="36">
        <f>MuFFromP(テーブル2[[#This Row],[P]])</f>
        <v>7.222326555143516E-5</v>
      </c>
      <c r="J346" s="36">
        <f>KfFromP(テーブル2[[#This Row],[P]])</f>
        <v>0.49112131073334553</v>
      </c>
      <c r="K346" s="36">
        <f>CpFFromP(テーブル2[[#This Row],[P]])</f>
        <v>7679.7488518783057</v>
      </c>
      <c r="L346" s="36">
        <f>SigmaFromP(テーブル2[[#This Row],[P]])</f>
        <v>6.5036449518301549E-3</v>
      </c>
      <c r="M346" s="36">
        <v>24.01</v>
      </c>
      <c r="N346" s="36">
        <v>2603.9616000000001</v>
      </c>
      <c r="O346" s="37">
        <f t="shared" si="176"/>
        <v>2.8502295699234246E-6</v>
      </c>
      <c r="P346" s="37">
        <f t="shared" si="177"/>
        <v>5.9847340050885557E-3</v>
      </c>
      <c r="Q346" s="37">
        <v>1.905E-3</v>
      </c>
      <c r="R346" s="36">
        <v>0.69595999999999991</v>
      </c>
      <c r="S346" s="38">
        <v>2476353.15</v>
      </c>
      <c r="T346" s="36">
        <v>299.25325464249761</v>
      </c>
      <c r="U346" s="12">
        <f>+T346+BG346*S346*テーブル2[[#This Row],[Pw]]*R346/(N346*O346*K346)</f>
        <v>480.21229171058633</v>
      </c>
      <c r="V346" s="36">
        <v>0.03</v>
      </c>
      <c r="W346" s="37">
        <f t="shared" si="148"/>
        <v>68683.502609934643</v>
      </c>
      <c r="X346" s="36">
        <v>0.01</v>
      </c>
      <c r="Y346" s="36">
        <f t="shared" si="149"/>
        <v>10</v>
      </c>
      <c r="Z346" s="36">
        <f t="shared" si="150"/>
        <v>4.3790847855993302</v>
      </c>
      <c r="AA346" s="36">
        <f t="shared" si="151"/>
        <v>5.6209152144006698</v>
      </c>
      <c r="AB346" s="36">
        <f t="shared" si="152"/>
        <v>5.7536846596302183E-5</v>
      </c>
      <c r="AC346" s="36">
        <v>600</v>
      </c>
      <c r="AD346" s="36">
        <f t="shared" si="153"/>
        <v>1214.1642612782182</v>
      </c>
      <c r="AE346" s="36">
        <f>+gettm2(AD346,AC346,AK346,AL346,テーブル2[[#This Row],[Fcorr]])</f>
        <v>548.44896845867038</v>
      </c>
      <c r="AF346" s="39">
        <f t="shared" si="154"/>
        <v>68.236676748084051</v>
      </c>
      <c r="AG346" s="36">
        <v>1.0000000000000001E-5</v>
      </c>
      <c r="AH346" s="36">
        <f t="shared" si="155"/>
        <v>13.564132210710627</v>
      </c>
      <c r="AI346" s="36">
        <f t="shared" si="156"/>
        <v>0.14733381424832623</v>
      </c>
      <c r="AJ346" s="36">
        <f t="shared" si="157"/>
        <v>12.747131352002288</v>
      </c>
      <c r="AK346" s="36">
        <f>+S88*テーブル2[[#This Row],[F_form]]/(E88*CpFromTP((テーブル2[[#This Row],[Tin]]+テーブル2[[#This Row],[Tf]])/2,テーブル2[[#This Row],[P]])*AI88)</f>
        <v>2.3634464141799012</v>
      </c>
      <c r="AL346" s="36">
        <f t="shared" si="158"/>
        <v>1.1293676909872215</v>
      </c>
      <c r="AM346" s="36">
        <f t="shared" si="159"/>
        <v>574.7002273487135</v>
      </c>
      <c r="AN346" s="36">
        <f t="shared" si="160"/>
        <v>33.920846649810073</v>
      </c>
      <c r="AO346" s="36">
        <f t="shared" si="161"/>
        <v>-4.7536846596302184E-5</v>
      </c>
      <c r="AP346" s="36">
        <v>1</v>
      </c>
      <c r="AQ346" s="36">
        <f t="shared" si="162"/>
        <v>5.4530931276593132E-4</v>
      </c>
      <c r="AR346" s="36">
        <f t="shared" si="163"/>
        <v>-1.8768423298151092E-5</v>
      </c>
      <c r="AS346" s="36">
        <f t="shared" si="164"/>
        <v>-23.924355705151203</v>
      </c>
      <c r="AT346" s="36">
        <f t="shared" si="165"/>
        <v>-23.924355705151203</v>
      </c>
      <c r="AU346" s="36">
        <f t="shared" si="166"/>
        <v>-3.5248665794736311</v>
      </c>
      <c r="AV346" s="36">
        <f t="shared" si="167"/>
        <v>4.5248665794736311</v>
      </c>
      <c r="AW346" s="36">
        <f t="shared" si="168"/>
        <v>3.4591793771336636E-2</v>
      </c>
      <c r="AX346" s="36">
        <f t="shared" si="169"/>
        <v>0.51659837646266205</v>
      </c>
      <c r="AY346" s="36">
        <f t="shared" si="170"/>
        <v>4.0082682030109691</v>
      </c>
      <c r="AZ346" s="36">
        <f t="shared" si="171"/>
        <v>1080577.7610325073</v>
      </c>
      <c r="BA346" s="36">
        <f t="shared" si="172"/>
        <v>5.4530931276593132E-4</v>
      </c>
      <c r="BB346" s="38">
        <f t="shared" si="173"/>
        <v>-58861405.688540831</v>
      </c>
      <c r="BC346" s="40">
        <f t="shared" si="174"/>
        <v>-61337758.83854083</v>
      </c>
      <c r="BD346" s="41">
        <f t="shared" si="175"/>
        <v>-2476.939076259815</v>
      </c>
      <c r="BE346" s="38">
        <v>2476353.15</v>
      </c>
      <c r="BF346" s="42">
        <f>テーブル2[[#This Row],[q_P]]/テーブル2[[#This Row],[q_M]]</f>
        <v>-23.76939076259815</v>
      </c>
      <c r="BG346" s="36">
        <v>1</v>
      </c>
      <c r="BH346" s="36">
        <v>-4.7E-2</v>
      </c>
      <c r="BI346" s="36">
        <v>4.5999999999999999E-2</v>
      </c>
      <c r="BJ346" s="36">
        <v>5625</v>
      </c>
      <c r="BK346" s="22">
        <v>1</v>
      </c>
      <c r="BL346" s="36">
        <f>テーブル2[[#This Row],[Ts]]-テーブル2[[#This Row],[Tin]]</f>
        <v>309.36781935602596</v>
      </c>
      <c r="BM346" s="36">
        <f>テーブル2[[#This Row],[q_P]]*0.000001</f>
        <v>-58.861405688540827</v>
      </c>
      <c r="BN346" s="36">
        <f>テーブル2[[#This Row],[Tsub]]</f>
        <v>309.36781935602596</v>
      </c>
      <c r="BO346" s="36">
        <f>テーブル2[[#This Row],[Fcorr]]</f>
        <v>1</v>
      </c>
      <c r="BP346" s="36">
        <f>(テーブル2[[#This Row],[Tsub]]-40)^2</f>
        <v>72559.022104620628</v>
      </c>
      <c r="BQ346" s="36">
        <v>1</v>
      </c>
      <c r="BR346" s="36">
        <v>0.69595999999999991</v>
      </c>
    </row>
    <row r="347" spans="1:70" x14ac:dyDescent="0.15">
      <c r="A347" s="35" t="s">
        <v>343</v>
      </c>
      <c r="B347" s="36">
        <v>13789514.586336</v>
      </c>
      <c r="C347" s="22">
        <f>TsatFromP(テーブル2[[#This Row],[P]])</f>
        <v>608.62107399852357</v>
      </c>
      <c r="D347" s="36">
        <f>RhoGFromP(テーブル2[[#This Row],[P]])</f>
        <v>85.147847035840741</v>
      </c>
      <c r="E347" s="36">
        <f>RhoFFromP(テーブル2[[#This Row],[P]])</f>
        <v>624.86636713482415</v>
      </c>
      <c r="F347" s="36">
        <f>HgFromP(テーブル2[[#This Row],[P]])</f>
        <v>2643264.5206450778</v>
      </c>
      <c r="G347" s="36">
        <f>HfFromP(テーブル2[[#This Row],[P]])</f>
        <v>1562686.7596125705</v>
      </c>
      <c r="H347" s="36">
        <f>MuGFromP(テーブル2[[#This Row],[P]])</f>
        <v>2.2019591234371903E-5</v>
      </c>
      <c r="I347" s="36">
        <f>MuFFromP(テーブル2[[#This Row],[P]])</f>
        <v>7.222326555143516E-5</v>
      </c>
      <c r="J347" s="36">
        <f>KfFromP(テーブル2[[#This Row],[P]])</f>
        <v>0.49112131073334553</v>
      </c>
      <c r="K347" s="36">
        <f>CpFFromP(テーブル2[[#This Row],[P]])</f>
        <v>7679.7488518783057</v>
      </c>
      <c r="L347" s="36">
        <f>SigmaFromP(テーブル2[[#This Row],[P]])</f>
        <v>6.5036449518301549E-3</v>
      </c>
      <c r="M347" s="36">
        <v>240.01</v>
      </c>
      <c r="N347" s="36">
        <v>6197.9711000000007</v>
      </c>
      <c r="O347" s="37">
        <f t="shared" si="176"/>
        <v>1.7719053836560394E-5</v>
      </c>
      <c r="P347" s="37">
        <f t="shared" si="177"/>
        <v>1.4921936786020797E-2</v>
      </c>
      <c r="Q347" s="37">
        <v>4.7497999999999993E-3</v>
      </c>
      <c r="R347" s="36">
        <v>0.3175</v>
      </c>
      <c r="S347" s="38">
        <v>5962175.0999999996</v>
      </c>
      <c r="T347" s="36">
        <v>540.49035799190642</v>
      </c>
      <c r="U347" s="12">
        <f>+T347+BG347*S347*テーブル2[[#This Row],[Pw]]*R347/(N347*O347*K347)</f>
        <v>573.98200920034833</v>
      </c>
      <c r="V347" s="36">
        <v>0.03</v>
      </c>
      <c r="W347" s="37">
        <f t="shared" si="148"/>
        <v>407612.73955155595</v>
      </c>
      <c r="X347" s="36">
        <v>0.01</v>
      </c>
      <c r="Y347" s="36">
        <f t="shared" si="149"/>
        <v>10</v>
      </c>
      <c r="Z347" s="36">
        <f t="shared" si="150"/>
        <v>6.6136719580429562</v>
      </c>
      <c r="AA347" s="36">
        <f t="shared" si="151"/>
        <v>3.3863280419570438</v>
      </c>
      <c r="AB347" s="36">
        <f t="shared" si="152"/>
        <v>1.0155846151650635E-5</v>
      </c>
      <c r="AC347" s="36">
        <v>600</v>
      </c>
      <c r="AD347" s="36">
        <f t="shared" si="153"/>
        <v>7205.6433058732791</v>
      </c>
      <c r="AE347" s="36">
        <f>+gettm2(AD347,AC347,AK347,AL347,テーブル2[[#This Row],[Fcorr]])</f>
        <v>549.26762834913893</v>
      </c>
      <c r="AF347" s="39">
        <f t="shared" si="154"/>
        <v>-24.714380851209398</v>
      </c>
      <c r="AG347" s="36">
        <v>1.0000000000000001E-5</v>
      </c>
      <c r="AH347" s="36">
        <f t="shared" si="155"/>
        <v>76.84612218084591</v>
      </c>
      <c r="AI347" s="36">
        <f t="shared" si="156"/>
        <v>0.35068517245565151</v>
      </c>
      <c r="AJ347" s="36">
        <f t="shared" si="157"/>
        <v>30.340828270130455</v>
      </c>
      <c r="AK347" s="36">
        <f>+S88*テーブル2[[#This Row],[F_form]]/(E88*CpFromTP((テーブル2[[#This Row],[Tin]]+テーブル2[[#This Row],[Tf]])/2,テーブル2[[#This Row],[P]])*AI88)</f>
        <v>1.9281480654018071</v>
      </c>
      <c r="AL347" s="36">
        <f t="shared" si="158"/>
        <v>1.1293676909872215</v>
      </c>
      <c r="AM347" s="36">
        <f t="shared" si="159"/>
        <v>570.79667953737749</v>
      </c>
      <c r="AN347" s="36">
        <f t="shared" si="160"/>
        <v>37.824394461146085</v>
      </c>
      <c r="AO347" s="36">
        <f t="shared" si="161"/>
        <v>-1.5584615165063446E-7</v>
      </c>
      <c r="AP347" s="36">
        <v>1</v>
      </c>
      <c r="AQ347" s="36">
        <f t="shared" si="162"/>
        <v>5.4530931276593132E-4</v>
      </c>
      <c r="AR347" s="36">
        <f t="shared" si="163"/>
        <v>4.9220769241746832E-6</v>
      </c>
      <c r="AS347" s="36">
        <f t="shared" si="164"/>
        <v>14.933989068875594</v>
      </c>
      <c r="AT347" s="36">
        <f t="shared" si="165"/>
        <v>10.468198803254907</v>
      </c>
      <c r="AU347" s="36">
        <f t="shared" si="166"/>
        <v>3.6710421026194919</v>
      </c>
      <c r="AV347" s="36">
        <f t="shared" si="167"/>
        <v>-2.6710421026194919</v>
      </c>
      <c r="AW347" s="36">
        <f t="shared" si="168"/>
        <v>6.1058079549653277E-3</v>
      </c>
      <c r="AX347" s="36">
        <f t="shared" si="169"/>
        <v>1.2296117606428989</v>
      </c>
      <c r="AY347" s="36">
        <f t="shared" si="170"/>
        <v>-3.9006538632623906</v>
      </c>
      <c r="AZ347" s="36">
        <f t="shared" si="171"/>
        <v>1080577.7610325073</v>
      </c>
      <c r="BA347" s="36">
        <f t="shared" si="172"/>
        <v>5.4530931276593132E-4</v>
      </c>
      <c r="BB347" s="38">
        <f t="shared" si="173"/>
        <v>-192972.90868299687</v>
      </c>
      <c r="BC347" s="40">
        <f t="shared" si="174"/>
        <v>-6155148.008682996</v>
      </c>
      <c r="BD347" s="41">
        <f t="shared" si="175"/>
        <v>-103.2366192781389</v>
      </c>
      <c r="BE347" s="38">
        <v>5962175.0999999996</v>
      </c>
      <c r="BF347" s="42">
        <f>テーブル2[[#This Row],[q_P]]/テーブル2[[#This Row],[q_M]]</f>
        <v>-3.2366192781388942E-2</v>
      </c>
      <c r="BG347" s="36">
        <v>1</v>
      </c>
      <c r="BH347" s="36">
        <v>-0.126</v>
      </c>
      <c r="BI347" s="36">
        <v>4.5999999999999999E-2</v>
      </c>
      <c r="BJ347" s="36">
        <v>5625</v>
      </c>
      <c r="BK347" s="22">
        <v>1</v>
      </c>
      <c r="BL347" s="36">
        <f>テーブル2[[#This Row],[Ts]]-テーブル2[[#This Row],[Tin]]</f>
        <v>68.130716006617149</v>
      </c>
      <c r="BM347" s="36">
        <f>テーブル2[[#This Row],[q_P]]*0.000001</f>
        <v>-0.19297290868299685</v>
      </c>
      <c r="BN347" s="36">
        <f>テーブル2[[#This Row],[Tsub]]</f>
        <v>68.130716006617149</v>
      </c>
      <c r="BO347" s="36">
        <f>テーブル2[[#This Row],[Fcorr]]</f>
        <v>1</v>
      </c>
      <c r="BP347" s="36">
        <f>(テーブル2[[#This Row],[Tsub]]-40)^2</f>
        <v>791.3371830449463</v>
      </c>
      <c r="BQ347" s="36">
        <v>1</v>
      </c>
      <c r="BR347" s="36">
        <v>0.3175</v>
      </c>
    </row>
    <row r="348" spans="1:70" x14ac:dyDescent="0.15">
      <c r="A348" s="35" t="s">
        <v>344</v>
      </c>
      <c r="B348" s="36">
        <v>13789514.586336</v>
      </c>
      <c r="C348" s="22">
        <f>TsatFromP(テーブル2[[#This Row],[P]])</f>
        <v>608.62107399852357</v>
      </c>
      <c r="D348" s="36">
        <f>RhoGFromP(テーブル2[[#This Row],[P]])</f>
        <v>85.147847035840741</v>
      </c>
      <c r="E348" s="36">
        <f>RhoFFromP(テーブル2[[#This Row],[P]])</f>
        <v>624.86636713482415</v>
      </c>
      <c r="F348" s="36">
        <f>HgFromP(テーブル2[[#This Row],[P]])</f>
        <v>2643264.5206450778</v>
      </c>
      <c r="G348" s="36">
        <f>HfFromP(テーブル2[[#This Row],[P]])</f>
        <v>1562686.7596125705</v>
      </c>
      <c r="H348" s="36">
        <f>MuGFromP(テーブル2[[#This Row],[P]])</f>
        <v>2.2019591234371903E-5</v>
      </c>
      <c r="I348" s="36">
        <f>MuFFromP(テーブル2[[#This Row],[P]])</f>
        <v>7.222326555143516E-5</v>
      </c>
      <c r="J348" s="36">
        <f>KfFromP(テーブル2[[#This Row],[P]])</f>
        <v>0.49112131073334553</v>
      </c>
      <c r="K348" s="36">
        <f>CpFFromP(テーブル2[[#This Row],[P]])</f>
        <v>7679.7488518783057</v>
      </c>
      <c r="L348" s="36">
        <f>SigmaFromP(テーブル2[[#This Row],[P]])</f>
        <v>6.5036449518301549E-3</v>
      </c>
      <c r="M348" s="36">
        <v>241.01</v>
      </c>
      <c r="N348" s="36">
        <v>6211.5334000000003</v>
      </c>
      <c r="O348" s="37">
        <f t="shared" si="176"/>
        <v>1.7719053836560394E-5</v>
      </c>
      <c r="P348" s="37">
        <f t="shared" si="177"/>
        <v>1.4921936786020797E-2</v>
      </c>
      <c r="Q348" s="37">
        <v>4.7497999999999993E-3</v>
      </c>
      <c r="R348" s="36">
        <v>0.3175</v>
      </c>
      <c r="S348" s="38">
        <v>6340725.8999999994</v>
      </c>
      <c r="T348" s="36">
        <v>547.73470908089655</v>
      </c>
      <c r="U348" s="12">
        <f>+T348+BG348*S348*テーブル2[[#This Row],[Pw]]*R348/(N348*O348*K348)</f>
        <v>583.27504554555605</v>
      </c>
      <c r="V348" s="36">
        <v>0.03</v>
      </c>
      <c r="W348" s="37">
        <f t="shared" si="148"/>
        <v>408504.67114794877</v>
      </c>
      <c r="X348" s="36">
        <v>0.01</v>
      </c>
      <c r="Y348" s="36">
        <f t="shared" si="149"/>
        <v>10</v>
      </c>
      <c r="Z348" s="36">
        <f t="shared" si="150"/>
        <v>6.6172312551903625</v>
      </c>
      <c r="AA348" s="36">
        <f t="shared" si="151"/>
        <v>3.3827687448096375</v>
      </c>
      <c r="AB348" s="36">
        <f t="shared" si="152"/>
        <v>1.0111545894081368E-5</v>
      </c>
      <c r="AC348" s="36">
        <v>600</v>
      </c>
      <c r="AD348" s="36">
        <f t="shared" si="153"/>
        <v>7221.4105778773783</v>
      </c>
      <c r="AE348" s="36">
        <f>+gettm2(AD348,AC348,AK348,AL348,テーブル2[[#This Row],[Fcorr]])</f>
        <v>550.71427701146467</v>
      </c>
      <c r="AF348" s="39">
        <f t="shared" si="154"/>
        <v>-32.56076853409138</v>
      </c>
      <c r="AG348" s="36">
        <v>1.0000000000000001E-5</v>
      </c>
      <c r="AH348" s="36">
        <f t="shared" si="155"/>
        <v>77.182797011922304</v>
      </c>
      <c r="AI348" s="36">
        <f t="shared" si="156"/>
        <v>0.35145253607152821</v>
      </c>
      <c r="AJ348" s="36">
        <f t="shared" si="157"/>
        <v>30.407219579255464</v>
      </c>
      <c r="AK348" s="36">
        <f>+S88*テーブル2[[#This Row],[F_form]]/(E88*CpFromTP((テーブル2[[#This Row],[Tin]]+テーブル2[[#This Row],[Tf]])/2,テーブル2[[#This Row],[P]])*AI88)</f>
        <v>1.8727759034411646</v>
      </c>
      <c r="AL348" s="36">
        <f t="shared" si="158"/>
        <v>1.1293676909872215</v>
      </c>
      <c r="AM348" s="36">
        <f t="shared" si="159"/>
        <v>571.62510077205218</v>
      </c>
      <c r="AN348" s="36">
        <f t="shared" si="160"/>
        <v>36.995973226471392</v>
      </c>
      <c r="AO348" s="36">
        <f t="shared" si="161"/>
        <v>-1.115458940813672E-7</v>
      </c>
      <c r="AP348" s="36">
        <v>1</v>
      </c>
      <c r="AQ348" s="36">
        <f t="shared" si="162"/>
        <v>5.4530931276593132E-4</v>
      </c>
      <c r="AR348" s="36">
        <f t="shared" si="163"/>
        <v>4.9442270529593168E-6</v>
      </c>
      <c r="AS348" s="36">
        <f t="shared" si="164"/>
        <v>15.034019764902908</v>
      </c>
      <c r="AT348" s="36">
        <f t="shared" si="165"/>
        <v>10.501578087173325</v>
      </c>
      <c r="AU348" s="36">
        <f t="shared" si="166"/>
        <v>3.6908062514902533</v>
      </c>
      <c r="AV348" s="36">
        <f t="shared" si="167"/>
        <v>-2.6908062514902533</v>
      </c>
      <c r="AW348" s="36">
        <f t="shared" si="168"/>
        <v>6.0791741461192293E-3</v>
      </c>
      <c r="AX348" s="36">
        <f t="shared" si="169"/>
        <v>1.2323023771869752</v>
      </c>
      <c r="AY348" s="36">
        <f t="shared" si="170"/>
        <v>-3.9231086286772285</v>
      </c>
      <c r="AZ348" s="36">
        <f t="shared" si="171"/>
        <v>1080577.7610325073</v>
      </c>
      <c r="BA348" s="36">
        <f t="shared" si="172"/>
        <v>5.4530931276593132E-4</v>
      </c>
      <c r="BB348" s="38">
        <f t="shared" si="173"/>
        <v>-138119.13482971961</v>
      </c>
      <c r="BC348" s="40">
        <f t="shared" si="174"/>
        <v>-6478845.034829719</v>
      </c>
      <c r="BD348" s="41">
        <f t="shared" si="175"/>
        <v>-102.17828584625808</v>
      </c>
      <c r="BE348" s="38">
        <v>6340725.8999999994</v>
      </c>
      <c r="BF348" s="42">
        <f>テーブル2[[#This Row],[q_P]]/テーブル2[[#This Row],[q_M]]</f>
        <v>-2.1782858462580698E-2</v>
      </c>
      <c r="BG348" s="36">
        <v>1</v>
      </c>
      <c r="BH348" s="36">
        <v>-7.8E-2</v>
      </c>
      <c r="BI348" s="36">
        <v>4.5999999999999999E-2</v>
      </c>
      <c r="BJ348" s="36">
        <v>5625</v>
      </c>
      <c r="BK348" s="22">
        <v>1</v>
      </c>
      <c r="BL348" s="36">
        <f>テーブル2[[#This Row],[Ts]]-テーブル2[[#This Row],[Tin]]</f>
        <v>60.88636491762702</v>
      </c>
      <c r="BM348" s="36">
        <f>テーブル2[[#This Row],[q_P]]*0.000001</f>
        <v>-0.1381191348297196</v>
      </c>
      <c r="BN348" s="36">
        <f>テーブル2[[#This Row],[Tsub]]</f>
        <v>60.88636491762702</v>
      </c>
      <c r="BO348" s="36">
        <f>テーブル2[[#This Row],[Fcorr]]</f>
        <v>1</v>
      </c>
      <c r="BP348" s="36">
        <f>(テーブル2[[#This Row],[Tsub]]-40)^2</f>
        <v>436.24023947228073</v>
      </c>
      <c r="BQ348" s="36">
        <v>1</v>
      </c>
      <c r="BR348" s="36">
        <v>0.3175</v>
      </c>
    </row>
    <row r="349" spans="1:70" x14ac:dyDescent="0.15">
      <c r="A349" s="35" t="s">
        <v>345</v>
      </c>
      <c r="B349" s="36">
        <v>13789514.586336</v>
      </c>
      <c r="C349" s="22">
        <f>TsatFromP(テーブル2[[#This Row],[P]])</f>
        <v>608.62107399852357</v>
      </c>
      <c r="D349" s="36">
        <f>RhoGFromP(テーブル2[[#This Row],[P]])</f>
        <v>85.147847035840741</v>
      </c>
      <c r="E349" s="36">
        <f>RhoFFromP(テーブル2[[#This Row],[P]])</f>
        <v>624.86636713482415</v>
      </c>
      <c r="F349" s="36">
        <f>HgFromP(テーブル2[[#This Row],[P]])</f>
        <v>2643264.5206450778</v>
      </c>
      <c r="G349" s="36">
        <f>HfFromP(テーブル2[[#This Row],[P]])</f>
        <v>1562686.7596125705</v>
      </c>
      <c r="H349" s="36">
        <f>MuGFromP(テーブル2[[#This Row],[P]])</f>
        <v>2.2019591234371903E-5</v>
      </c>
      <c r="I349" s="36">
        <f>MuFFromP(テーブル2[[#This Row],[P]])</f>
        <v>7.222326555143516E-5</v>
      </c>
      <c r="J349" s="36">
        <f>KfFromP(テーブル2[[#This Row],[P]])</f>
        <v>0.49112131073334553</v>
      </c>
      <c r="K349" s="36">
        <f>CpFFromP(テーブル2[[#This Row],[P]])</f>
        <v>7679.7488518783057</v>
      </c>
      <c r="L349" s="36">
        <f>SigmaFromP(テーブル2[[#This Row],[P]])</f>
        <v>6.5036449518301549E-3</v>
      </c>
      <c r="M349" s="36">
        <v>242.01</v>
      </c>
      <c r="N349" s="36">
        <v>6238.6579999999994</v>
      </c>
      <c r="O349" s="37">
        <f t="shared" si="176"/>
        <v>1.7719053836560394E-5</v>
      </c>
      <c r="P349" s="37">
        <f t="shared" si="177"/>
        <v>1.4921936786020797E-2</v>
      </c>
      <c r="Q349" s="37">
        <v>4.7497999999999993E-3</v>
      </c>
      <c r="R349" s="36">
        <v>0.3175</v>
      </c>
      <c r="S349" s="38">
        <v>7318648.7999999989</v>
      </c>
      <c r="T349" s="36">
        <v>529.30241020894164</v>
      </c>
      <c r="U349" s="12">
        <f>+T349+BG349*S349*テーブル2[[#This Row],[Pw]]*R349/(N349*O349*K349)</f>
        <v>570.14573695984859</v>
      </c>
      <c r="V349" s="36">
        <v>0.03</v>
      </c>
      <c r="W349" s="37">
        <f t="shared" si="148"/>
        <v>410288.53434073454</v>
      </c>
      <c r="X349" s="36">
        <v>0.01</v>
      </c>
      <c r="Y349" s="36">
        <f t="shared" si="149"/>
        <v>10</v>
      </c>
      <c r="Z349" s="36">
        <f t="shared" si="150"/>
        <v>6.6243252359714893</v>
      </c>
      <c r="AA349" s="36">
        <f t="shared" si="151"/>
        <v>3.3756747640285107</v>
      </c>
      <c r="AB349" s="36">
        <f t="shared" si="152"/>
        <v>1.0023810552580738E-5</v>
      </c>
      <c r="AC349" s="36">
        <v>600</v>
      </c>
      <c r="AD349" s="36">
        <f t="shared" si="153"/>
        <v>7252.9451218855775</v>
      </c>
      <c r="AE349" s="36">
        <f>+gettm2(AD349,AC349,AK349,AL349,テーブル2[[#This Row],[Fcorr]])</f>
        <v>548.06846014738346</v>
      </c>
      <c r="AF349" s="39">
        <f t="shared" si="154"/>
        <v>-22.077276812465129</v>
      </c>
      <c r="AG349" s="36">
        <v>1.0000000000000001E-5</v>
      </c>
      <c r="AH349" s="36">
        <f t="shared" si="155"/>
        <v>77.858354377885419</v>
      </c>
      <c r="AI349" s="36">
        <f t="shared" si="156"/>
        <v>0.35298726330328162</v>
      </c>
      <c r="AJ349" s="36">
        <f t="shared" si="157"/>
        <v>30.54000219750549</v>
      </c>
      <c r="AK349" s="36">
        <f>+S88*テーブル2[[#This Row],[F_form]]/(E88*CpFromTP((テーブル2[[#This Row],[Tin]]+テーブル2[[#This Row],[Tf]])/2,テーブル2[[#This Row],[P]])*AI88)</f>
        <v>1.9724929610947823</v>
      </c>
      <c r="AL349" s="36">
        <f t="shared" si="158"/>
        <v>1.1293676909872215</v>
      </c>
      <c r="AM349" s="36">
        <f t="shared" si="159"/>
        <v>570.09277564002866</v>
      </c>
      <c r="AN349" s="36">
        <f t="shared" si="160"/>
        <v>38.528298358494908</v>
      </c>
      <c r="AO349" s="36">
        <f t="shared" si="161"/>
        <v>-2.3810552580737478E-8</v>
      </c>
      <c r="AP349" s="36">
        <v>1</v>
      </c>
      <c r="AQ349" s="36">
        <f t="shared" si="162"/>
        <v>5.4530931276593132E-4</v>
      </c>
      <c r="AR349" s="36">
        <f t="shared" si="163"/>
        <v>4.9880947237096317E-6</v>
      </c>
      <c r="AS349" s="36">
        <f t="shared" si="164"/>
        <v>15.233642382345769</v>
      </c>
      <c r="AT349" s="36">
        <f t="shared" si="165"/>
        <v>10.567531483537993</v>
      </c>
      <c r="AU349" s="36">
        <f t="shared" si="166"/>
        <v>3.7302040182453435</v>
      </c>
      <c r="AV349" s="36">
        <f t="shared" si="167"/>
        <v>-2.7302040182453435</v>
      </c>
      <c r="AW349" s="36">
        <f t="shared" si="168"/>
        <v>6.0264266804657563E-3</v>
      </c>
      <c r="AX349" s="36">
        <f t="shared" si="169"/>
        <v>1.2376836102751279</v>
      </c>
      <c r="AY349" s="36">
        <f t="shared" si="170"/>
        <v>-3.9678876285204714</v>
      </c>
      <c r="AZ349" s="36">
        <f t="shared" si="171"/>
        <v>1080577.7610325073</v>
      </c>
      <c r="BA349" s="36">
        <f t="shared" si="172"/>
        <v>5.4530931276593132E-4</v>
      </c>
      <c r="BB349" s="38">
        <f t="shared" si="173"/>
        <v>-29482.868458341196</v>
      </c>
      <c r="BC349" s="40">
        <f t="shared" si="174"/>
        <v>-7348131.6684583398</v>
      </c>
      <c r="BD349" s="41">
        <f t="shared" si="175"/>
        <v>-100.40284578839665</v>
      </c>
      <c r="BE349" s="38">
        <v>7318648.7999999989</v>
      </c>
      <c r="BF349" s="42">
        <f>テーブル2[[#This Row],[q_P]]/テーブル2[[#This Row],[q_M]]</f>
        <v>-4.0284578839663958E-3</v>
      </c>
      <c r="BG349" s="36">
        <v>1</v>
      </c>
      <c r="BH349" s="36">
        <v>-0.124</v>
      </c>
      <c r="BI349" s="36">
        <v>4.5999999999999999E-2</v>
      </c>
      <c r="BJ349" s="36">
        <v>5625</v>
      </c>
      <c r="BK349" s="22">
        <v>1</v>
      </c>
      <c r="BL349" s="36">
        <f>テーブル2[[#This Row],[Ts]]-テーブル2[[#This Row],[Tin]]</f>
        <v>79.318663789581933</v>
      </c>
      <c r="BM349" s="36">
        <f>テーブル2[[#This Row],[q_P]]*0.000001</f>
        <v>-2.9482868458341194E-2</v>
      </c>
      <c r="BN349" s="36">
        <f>テーブル2[[#This Row],[Tsub]]</f>
        <v>79.318663789581933</v>
      </c>
      <c r="BO349" s="36">
        <f>テーブル2[[#This Row],[Fcorr]]</f>
        <v>1</v>
      </c>
      <c r="BP349" s="36">
        <f>(テーブル2[[#This Row],[Tsub]]-40)^2</f>
        <v>1545.9573221981816</v>
      </c>
      <c r="BQ349" s="36">
        <v>1</v>
      </c>
      <c r="BR349" s="36">
        <v>0.3175</v>
      </c>
    </row>
    <row r="350" spans="1:70" x14ac:dyDescent="0.15">
      <c r="A350" s="35" t="s">
        <v>346</v>
      </c>
      <c r="B350" s="36">
        <v>13789514.586336</v>
      </c>
      <c r="C350" s="22">
        <f>TsatFromP(テーブル2[[#This Row],[P]])</f>
        <v>608.62107399852357</v>
      </c>
      <c r="D350" s="36">
        <f>RhoGFromP(テーブル2[[#This Row],[P]])</f>
        <v>85.147847035840741</v>
      </c>
      <c r="E350" s="36">
        <f>RhoFFromP(テーブル2[[#This Row],[P]])</f>
        <v>624.86636713482415</v>
      </c>
      <c r="F350" s="36">
        <f>HgFromP(テーブル2[[#This Row],[P]])</f>
        <v>2643264.5206450778</v>
      </c>
      <c r="G350" s="36">
        <f>HfFromP(テーブル2[[#This Row],[P]])</f>
        <v>1562686.7596125705</v>
      </c>
      <c r="H350" s="36">
        <f>MuGFromP(テーブル2[[#This Row],[P]])</f>
        <v>2.2019591234371903E-5</v>
      </c>
      <c r="I350" s="36">
        <f>MuFFromP(テーブル2[[#This Row],[P]])</f>
        <v>7.222326555143516E-5</v>
      </c>
      <c r="J350" s="36">
        <f>KfFromP(テーブル2[[#This Row],[P]])</f>
        <v>0.49112131073334553</v>
      </c>
      <c r="K350" s="36">
        <f>CpFFromP(テーブル2[[#This Row],[P]])</f>
        <v>7679.7488518783057</v>
      </c>
      <c r="L350" s="36">
        <f>SigmaFromP(テーブル2[[#This Row],[P]])</f>
        <v>6.5036449518301549E-3</v>
      </c>
      <c r="M350" s="36">
        <v>243.01</v>
      </c>
      <c r="N350" s="36">
        <v>6428.5302000000001</v>
      </c>
      <c r="O350" s="37">
        <f t="shared" si="176"/>
        <v>1.7719053836560394E-5</v>
      </c>
      <c r="P350" s="37">
        <f t="shared" si="177"/>
        <v>1.4921936786020797E-2</v>
      </c>
      <c r="Q350" s="37">
        <v>4.7497999999999993E-3</v>
      </c>
      <c r="R350" s="36">
        <v>0.3175</v>
      </c>
      <c r="S350" s="38">
        <v>7192465.1999999993</v>
      </c>
      <c r="T350" s="36">
        <v>513.67104454054311</v>
      </c>
      <c r="U350" s="12">
        <f>+T350+BG350*S350*テーブル2[[#This Row],[Pw]]*R350/(N350*O350*K350)</f>
        <v>552.62463203540642</v>
      </c>
      <c r="V350" s="36">
        <v>0.03</v>
      </c>
      <c r="W350" s="37">
        <f t="shared" si="148"/>
        <v>422775.57669023518</v>
      </c>
      <c r="X350" s="36">
        <v>0.01</v>
      </c>
      <c r="Y350" s="36">
        <f t="shared" si="149"/>
        <v>10</v>
      </c>
      <c r="Z350" s="36">
        <f t="shared" si="150"/>
        <v>6.6730865051382997</v>
      </c>
      <c r="AA350" s="36">
        <f t="shared" si="151"/>
        <v>3.3269134948617003</v>
      </c>
      <c r="AB350" s="36">
        <f t="shared" si="152"/>
        <v>9.4404311672189457E-6</v>
      </c>
      <c r="AC350" s="36">
        <v>600</v>
      </c>
      <c r="AD350" s="36">
        <f t="shared" si="153"/>
        <v>7473.6869299429645</v>
      </c>
      <c r="AE350" s="36">
        <f>+gettm2(AD350,AC350,AK350,AL350,テーブル2[[#This Row],[Fcorr]])</f>
        <v>545.74403973137476</v>
      </c>
      <c r="AF350" s="39">
        <f t="shared" si="154"/>
        <v>-6.8805923040316657</v>
      </c>
      <c r="AG350" s="36">
        <v>1.0000000000000001E-5</v>
      </c>
      <c r="AH350" s="36">
        <f t="shared" si="155"/>
        <v>82.669676881879909</v>
      </c>
      <c r="AI350" s="36">
        <f t="shared" si="156"/>
        <v>0.36373035392555542</v>
      </c>
      <c r="AJ350" s="36">
        <f t="shared" si="157"/>
        <v>31.469480525255658</v>
      </c>
      <c r="AK350" s="36">
        <f>+S88*テーブル2[[#This Row],[F_form]]/(E88*CpFromTP((テーブル2[[#This Row],[Tin]]+テーブル2[[#This Row],[Tf]])/2,テーブル2[[#This Row],[P]])*AI88)</f>
        <v>2.0549082408304127</v>
      </c>
      <c r="AL350" s="36">
        <f t="shared" si="158"/>
        <v>1.1293676909872215</v>
      </c>
      <c r="AM350" s="36">
        <f t="shared" si="159"/>
        <v>568.68916356748935</v>
      </c>
      <c r="AN350" s="36">
        <f t="shared" si="160"/>
        <v>39.931910431034225</v>
      </c>
      <c r="AO350" s="36">
        <f t="shared" si="161"/>
        <v>5.5956883278105514E-7</v>
      </c>
      <c r="AP350" s="36">
        <v>1</v>
      </c>
      <c r="AQ350" s="36">
        <f t="shared" si="162"/>
        <v>5.4530931276593132E-4</v>
      </c>
      <c r="AR350" s="36">
        <f t="shared" si="163"/>
        <v>5.279784416390528E-6</v>
      </c>
      <c r="AS350" s="36">
        <f t="shared" si="164"/>
        <v>16.615207286915002</v>
      </c>
      <c r="AT350" s="36">
        <f t="shared" si="165"/>
        <v>11.00159188809447</v>
      </c>
      <c r="AU350" s="36">
        <f t="shared" si="166"/>
        <v>4.0016129112011214</v>
      </c>
      <c r="AV350" s="36">
        <f t="shared" si="167"/>
        <v>-3.0016129112011214</v>
      </c>
      <c r="AW350" s="36">
        <f t="shared" si="168"/>
        <v>5.6756924886794931E-3</v>
      </c>
      <c r="AX350" s="36">
        <f t="shared" si="169"/>
        <v>1.275352241892197</v>
      </c>
      <c r="AY350" s="36">
        <f t="shared" si="170"/>
        <v>-4.2769651530933182</v>
      </c>
      <c r="AZ350" s="36">
        <f t="shared" si="171"/>
        <v>1080577.7610325073</v>
      </c>
      <c r="BA350" s="36">
        <f t="shared" si="172"/>
        <v>5.4530931276593132E-4</v>
      </c>
      <c r="BB350" s="38">
        <f t="shared" si="173"/>
        <v>692873.22225431481</v>
      </c>
      <c r="BC350" s="40">
        <f t="shared" si="174"/>
        <v>-6499591.9777456848</v>
      </c>
      <c r="BD350" s="41">
        <f t="shared" si="175"/>
        <v>-90.36667953215381</v>
      </c>
      <c r="BE350" s="38">
        <v>7192465.1999999993</v>
      </c>
      <c r="BF350" s="42">
        <f>テーブル2[[#This Row],[q_P]]/テーブル2[[#This Row],[q_M]]</f>
        <v>9.6333204678461973E-2</v>
      </c>
      <c r="BG350" s="36">
        <v>1</v>
      </c>
      <c r="BH350" s="36">
        <v>-0.20599999999999999</v>
      </c>
      <c r="BI350" s="36">
        <v>4.5999999999999999E-2</v>
      </c>
      <c r="BJ350" s="36">
        <v>5625</v>
      </c>
      <c r="BK350" s="22">
        <v>1</v>
      </c>
      <c r="BL350" s="36">
        <f>テーブル2[[#This Row],[Ts]]-テーブル2[[#This Row],[Tin]]</f>
        <v>94.950029457980463</v>
      </c>
      <c r="BM350" s="36">
        <f>テーブル2[[#This Row],[q_P]]*0.000001</f>
        <v>0.6928732222543148</v>
      </c>
      <c r="BN350" s="36">
        <f>テーブル2[[#This Row],[Tsub]]</f>
        <v>94.950029457980463</v>
      </c>
      <c r="BO350" s="36">
        <f>テーブル2[[#This Row],[Fcorr]]</f>
        <v>1</v>
      </c>
      <c r="BP350" s="36">
        <f>(テーブル2[[#This Row],[Tsub]]-40)^2</f>
        <v>3019.5057374329208</v>
      </c>
      <c r="BQ350" s="36">
        <v>1</v>
      </c>
      <c r="BR350" s="36">
        <v>0.3175</v>
      </c>
    </row>
    <row r="351" spans="1:70" x14ac:dyDescent="0.15">
      <c r="A351" s="35" t="s">
        <v>347</v>
      </c>
      <c r="B351" s="36">
        <v>13789514.586336</v>
      </c>
      <c r="C351" s="22">
        <f>TsatFromP(テーブル2[[#This Row],[P]])</f>
        <v>608.62107399852357</v>
      </c>
      <c r="D351" s="36">
        <f>RhoGFromP(テーブル2[[#This Row],[P]])</f>
        <v>85.147847035840741</v>
      </c>
      <c r="E351" s="36">
        <f>RhoFFromP(テーブル2[[#This Row],[P]])</f>
        <v>624.86636713482415</v>
      </c>
      <c r="F351" s="36">
        <f>HgFromP(テーブル2[[#This Row],[P]])</f>
        <v>2643264.5206450778</v>
      </c>
      <c r="G351" s="36">
        <f>HfFromP(テーブル2[[#This Row],[P]])</f>
        <v>1562686.7596125705</v>
      </c>
      <c r="H351" s="36">
        <f>MuGFromP(テーブル2[[#This Row],[P]])</f>
        <v>2.2019591234371903E-5</v>
      </c>
      <c r="I351" s="36">
        <f>MuFFromP(テーブル2[[#This Row],[P]])</f>
        <v>7.222326555143516E-5</v>
      </c>
      <c r="J351" s="36">
        <f>KfFromP(テーブル2[[#This Row],[P]])</f>
        <v>0.49112131073334553</v>
      </c>
      <c r="K351" s="36">
        <f>CpFFromP(テーブル2[[#This Row],[P]])</f>
        <v>7679.7488518783057</v>
      </c>
      <c r="L351" s="36">
        <f>SigmaFromP(テーブル2[[#This Row],[P]])</f>
        <v>6.5036449518301549E-3</v>
      </c>
      <c r="M351" s="36">
        <v>244.01</v>
      </c>
      <c r="N351" s="36">
        <v>6523.4662999999991</v>
      </c>
      <c r="O351" s="37">
        <f t="shared" si="176"/>
        <v>1.7719053836560394E-5</v>
      </c>
      <c r="P351" s="37">
        <f t="shared" si="177"/>
        <v>1.4921936786020797E-2</v>
      </c>
      <c r="Q351" s="37">
        <v>4.7497999999999993E-3</v>
      </c>
      <c r="R351" s="36">
        <v>0.3175</v>
      </c>
      <c r="S351" s="38">
        <v>8612030.6999999993</v>
      </c>
      <c r="T351" s="36">
        <v>470.89141925863748</v>
      </c>
      <c r="U351" s="12">
        <f>+T351+BG351*S351*テーブル2[[#This Row],[Pw]]*R351/(N351*O351*K351)</f>
        <v>516.854436082235</v>
      </c>
      <c r="V351" s="36">
        <v>0.03</v>
      </c>
      <c r="W351" s="37">
        <f t="shared" si="148"/>
        <v>429019.09786498547</v>
      </c>
      <c r="X351" s="36">
        <v>0.01</v>
      </c>
      <c r="Y351" s="36">
        <f t="shared" si="149"/>
        <v>10</v>
      </c>
      <c r="Z351" s="36">
        <f t="shared" si="150"/>
        <v>6.6968978073953469</v>
      </c>
      <c r="AA351" s="36">
        <f t="shared" si="151"/>
        <v>3.3031021926046531</v>
      </c>
      <c r="AB351" s="36">
        <f t="shared" si="152"/>
        <v>9.1676570940049728E-6</v>
      </c>
      <c r="AC351" s="36">
        <v>600</v>
      </c>
      <c r="AD351" s="36">
        <f t="shared" si="153"/>
        <v>7584.0578339716576</v>
      </c>
      <c r="AE351" s="36">
        <f>+gettm2(AD351,AC351,AK351,AL351,テーブル2[[#This Row],[Fcorr]])</f>
        <v>542.00397611093103</v>
      </c>
      <c r="AF351" s="39">
        <f t="shared" si="154"/>
        <v>25.149540028696038</v>
      </c>
      <c r="AG351" s="36">
        <v>1.0000000000000001E-5</v>
      </c>
      <c r="AH351" s="36">
        <f t="shared" si="155"/>
        <v>85.129426877230372</v>
      </c>
      <c r="AI351" s="36">
        <f t="shared" si="156"/>
        <v>0.36910189923669229</v>
      </c>
      <c r="AJ351" s="36">
        <f t="shared" si="157"/>
        <v>31.934219689130735</v>
      </c>
      <c r="AK351" s="36">
        <f>+S88*テーブル2[[#This Row],[F_form]]/(E88*CpFromTP((テーブル2[[#This Row],[Tin]]+テーブル2[[#This Row],[Tf]])/2,テーブル2[[#This Row],[P]])*AI88)</f>
        <v>2.1935046210462823</v>
      </c>
      <c r="AL351" s="36">
        <f t="shared" si="158"/>
        <v>1.1293676909872215</v>
      </c>
      <c r="AM351" s="36">
        <f t="shared" si="159"/>
        <v>566.4969654005871</v>
      </c>
      <c r="AN351" s="36">
        <f t="shared" si="160"/>
        <v>42.12410859793647</v>
      </c>
      <c r="AO351" s="36">
        <f t="shared" si="161"/>
        <v>8.3234290599502798E-7</v>
      </c>
      <c r="AP351" s="36">
        <v>1</v>
      </c>
      <c r="AQ351" s="36">
        <f t="shared" si="162"/>
        <v>5.4530931276593132E-4</v>
      </c>
      <c r="AR351" s="36">
        <f t="shared" si="163"/>
        <v>5.4161714529975144E-6</v>
      </c>
      <c r="AS351" s="36">
        <f t="shared" si="164"/>
        <v>17.296120905402105</v>
      </c>
      <c r="AT351" s="36">
        <f t="shared" si="165"/>
        <v>11.202411256201284</v>
      </c>
      <c r="AU351" s="36">
        <f t="shared" si="166"/>
        <v>4.1348312706943942</v>
      </c>
      <c r="AV351" s="36">
        <f t="shared" si="167"/>
        <v>-3.1348312706943942</v>
      </c>
      <c r="AW351" s="36">
        <f t="shared" si="168"/>
        <v>5.5116976741393505E-3</v>
      </c>
      <c r="AX351" s="36">
        <f t="shared" si="169"/>
        <v>1.2941865577007314</v>
      </c>
      <c r="AY351" s="36">
        <f t="shared" si="170"/>
        <v>-4.4290178283951258</v>
      </c>
      <c r="AZ351" s="36">
        <f t="shared" si="171"/>
        <v>1080577.7610325073</v>
      </c>
      <c r="BA351" s="36">
        <f t="shared" si="172"/>
        <v>5.4530931276593132E-4</v>
      </c>
      <c r="BB351" s="38">
        <f t="shared" si="173"/>
        <v>1030629.4373670849</v>
      </c>
      <c r="BC351" s="40">
        <f t="shared" si="174"/>
        <v>-7581401.2626329139</v>
      </c>
      <c r="BD351" s="41">
        <f t="shared" si="175"/>
        <v>-88.032678084077361</v>
      </c>
      <c r="BE351" s="38">
        <v>8612030.6999999993</v>
      </c>
      <c r="BF351" s="42">
        <f>テーブル2[[#This Row],[q_P]]/テーブル2[[#This Row],[q_M]]</f>
        <v>0.11967321915922628</v>
      </c>
      <c r="BG351" s="36">
        <v>1</v>
      </c>
      <c r="BH351" s="36">
        <v>-0.33600000000000002</v>
      </c>
      <c r="BI351" s="36">
        <v>4.5999999999999999E-2</v>
      </c>
      <c r="BJ351" s="36">
        <v>5625</v>
      </c>
      <c r="BK351" s="22">
        <v>1</v>
      </c>
      <c r="BL351" s="36">
        <f>テーブル2[[#This Row],[Ts]]-テーブル2[[#This Row],[Tin]]</f>
        <v>137.72965473988609</v>
      </c>
      <c r="BM351" s="36">
        <f>テーブル2[[#This Row],[q_P]]*0.000001</f>
        <v>1.0306294373670848</v>
      </c>
      <c r="BN351" s="36">
        <f>テーブル2[[#This Row],[Tsub]]</f>
        <v>137.72965473988609</v>
      </c>
      <c r="BO351" s="36">
        <f>テーブル2[[#This Row],[Fcorr]]</f>
        <v>1</v>
      </c>
      <c r="BP351" s="36">
        <f>(テーブル2[[#This Row],[Tsub]]-40)^2</f>
        <v>9551.0854155773395</v>
      </c>
      <c r="BQ351" s="36">
        <v>1</v>
      </c>
      <c r="BR351" s="36">
        <v>0.3175</v>
      </c>
    </row>
    <row r="352" spans="1:70" x14ac:dyDescent="0.15">
      <c r="A352" s="35" t="s">
        <v>348</v>
      </c>
      <c r="B352" s="36">
        <v>13789514.586336</v>
      </c>
      <c r="C352" s="22">
        <f>TsatFromP(テーブル2[[#This Row],[P]])</f>
        <v>608.62107399852357</v>
      </c>
      <c r="D352" s="36">
        <f>RhoGFromP(テーブル2[[#This Row],[P]])</f>
        <v>85.147847035840741</v>
      </c>
      <c r="E352" s="36">
        <f>RhoFFromP(テーブル2[[#This Row],[P]])</f>
        <v>624.86636713482415</v>
      </c>
      <c r="F352" s="36">
        <f>HgFromP(テーブル2[[#This Row],[P]])</f>
        <v>2643264.5206450778</v>
      </c>
      <c r="G352" s="36">
        <f>HfFromP(テーブル2[[#This Row],[P]])</f>
        <v>1562686.7596125705</v>
      </c>
      <c r="H352" s="36">
        <f>MuGFromP(テーブル2[[#This Row],[P]])</f>
        <v>2.2019591234371903E-5</v>
      </c>
      <c r="I352" s="36">
        <f>MuFFromP(テーブル2[[#This Row],[P]])</f>
        <v>7.222326555143516E-5</v>
      </c>
      <c r="J352" s="36">
        <f>KfFromP(テーブル2[[#This Row],[P]])</f>
        <v>0.49112131073334553</v>
      </c>
      <c r="K352" s="36">
        <f>CpFFromP(テーブル2[[#This Row],[P]])</f>
        <v>7679.7488518783057</v>
      </c>
      <c r="L352" s="36">
        <f>SigmaFromP(テーブル2[[#This Row],[P]])</f>
        <v>6.5036449518301549E-3</v>
      </c>
      <c r="M352" s="36">
        <v>245.01</v>
      </c>
      <c r="N352" s="36">
        <v>6984.5845000000008</v>
      </c>
      <c r="O352" s="37">
        <f t="shared" si="176"/>
        <v>1.7719053836560394E-5</v>
      </c>
      <c r="P352" s="37">
        <f t="shared" si="177"/>
        <v>1.4921936786020797E-2</v>
      </c>
      <c r="Q352" s="37">
        <v>4.7497999999999993E-3</v>
      </c>
      <c r="R352" s="36">
        <v>0.3175</v>
      </c>
      <c r="S352" s="38">
        <v>10757151.9</v>
      </c>
      <c r="T352" s="36">
        <v>458.07749281419427</v>
      </c>
      <c r="U352" s="12">
        <f>+T352+BG352*S352*テーブル2[[#This Row],[Pw]]*R352/(N352*O352*K352)</f>
        <v>511.69888747562101</v>
      </c>
      <c r="V352" s="36">
        <v>0.03</v>
      </c>
      <c r="W352" s="37">
        <f t="shared" si="148"/>
        <v>459344.77214234415</v>
      </c>
      <c r="X352" s="36">
        <v>0.01</v>
      </c>
      <c r="Y352" s="36">
        <f t="shared" si="149"/>
        <v>10</v>
      </c>
      <c r="Z352" s="36">
        <f t="shared" si="150"/>
        <v>6.8075493418702777</v>
      </c>
      <c r="AA352" s="36">
        <f t="shared" si="151"/>
        <v>3.1924506581297223</v>
      </c>
      <c r="AB352" s="36">
        <f t="shared" si="152"/>
        <v>7.9971281475203457E-6</v>
      </c>
      <c r="AC352" s="36">
        <v>600</v>
      </c>
      <c r="AD352" s="36">
        <f t="shared" si="153"/>
        <v>8120.1450821110293</v>
      </c>
      <c r="AE352" s="36">
        <f>+gettm2(AD352,AC352,AK352,AL352,テーブル2[[#This Row],[Fcorr]])</f>
        <v>540.9927676208066</v>
      </c>
      <c r="AF352" s="39">
        <f t="shared" si="154"/>
        <v>29.293880145185597</v>
      </c>
      <c r="AG352" s="36">
        <v>1.0000000000000001E-5</v>
      </c>
      <c r="AH352" s="36">
        <f t="shared" si="155"/>
        <v>97.589707182772543</v>
      </c>
      <c r="AI352" s="36">
        <f t="shared" si="156"/>
        <v>0.39519226217650016</v>
      </c>
      <c r="AJ352" s="36">
        <f t="shared" si="157"/>
        <v>34.191524199381156</v>
      </c>
      <c r="AK352" s="36">
        <f>+S88*テーブル2[[#This Row],[F_form]]/(E88*CpFromTP((テーブル2[[#This Row],[Tin]]+テーブル2[[#This Row],[Tf]])/2,テーブル2[[#This Row],[P]])*AI88)</f>
        <v>2.2173795552683093</v>
      </c>
      <c r="AL352" s="36">
        <f t="shared" si="158"/>
        <v>1.1293676909872215</v>
      </c>
      <c r="AM352" s="36">
        <f t="shared" si="159"/>
        <v>565.75369018483968</v>
      </c>
      <c r="AN352" s="36">
        <f t="shared" si="160"/>
        <v>42.867383813683887</v>
      </c>
      <c r="AO352" s="36">
        <f t="shared" si="161"/>
        <v>2.0028718524796552E-6</v>
      </c>
      <c r="AP352" s="36">
        <v>1</v>
      </c>
      <c r="AQ352" s="36">
        <f t="shared" si="162"/>
        <v>5.4530931276593132E-4</v>
      </c>
      <c r="AR352" s="36">
        <f t="shared" si="163"/>
        <v>6.001435926239828E-6</v>
      </c>
      <c r="AS352" s="36">
        <f t="shared" si="164"/>
        <v>20.51982417030645</v>
      </c>
      <c r="AT352" s="36">
        <f t="shared" si="165"/>
        <v>12.056957257836707</v>
      </c>
      <c r="AU352" s="36">
        <f t="shared" si="166"/>
        <v>4.7648162136898602</v>
      </c>
      <c r="AV352" s="36">
        <f t="shared" si="167"/>
        <v>-3.7648162136898602</v>
      </c>
      <c r="AW352" s="36">
        <f t="shared" si="168"/>
        <v>4.8079626188577765E-3</v>
      </c>
      <c r="AX352" s="36">
        <f t="shared" si="169"/>
        <v>1.385667520199328</v>
      </c>
      <c r="AY352" s="36">
        <f t="shared" si="170"/>
        <v>-5.150483733889188</v>
      </c>
      <c r="AZ352" s="36">
        <f t="shared" si="171"/>
        <v>1080577.7610325073</v>
      </c>
      <c r="BA352" s="36">
        <f t="shared" si="172"/>
        <v>5.4530931276593132E-4</v>
      </c>
      <c r="BB352" s="38">
        <f t="shared" si="173"/>
        <v>2480009.952114386</v>
      </c>
      <c r="BC352" s="40">
        <f t="shared" si="174"/>
        <v>-8277141.9478856139</v>
      </c>
      <c r="BD352" s="41">
        <f t="shared" si="175"/>
        <v>-76.945477992977061</v>
      </c>
      <c r="BE352" s="38">
        <v>10757151.9</v>
      </c>
      <c r="BF352" s="42">
        <f>テーブル2[[#This Row],[q_P]]/テーブル2[[#This Row],[q_M]]</f>
        <v>0.23054522007022937</v>
      </c>
      <c r="BG352" s="36">
        <v>1</v>
      </c>
      <c r="BH352" s="36">
        <v>-0.33400000000000002</v>
      </c>
      <c r="BI352" s="36">
        <v>4.5999999999999999E-2</v>
      </c>
      <c r="BJ352" s="36">
        <v>5625</v>
      </c>
      <c r="BK352" s="22">
        <v>1</v>
      </c>
      <c r="BL352" s="36">
        <f>テーブル2[[#This Row],[Ts]]-テーブル2[[#This Row],[Tin]]</f>
        <v>150.5435811843293</v>
      </c>
      <c r="BM352" s="36">
        <f>テーブル2[[#This Row],[q_P]]*0.000001</f>
        <v>2.4800099521143859</v>
      </c>
      <c r="BN352" s="36">
        <f>テーブル2[[#This Row],[Tsub]]</f>
        <v>150.5435811843293</v>
      </c>
      <c r="BO352" s="36">
        <f>テーブル2[[#This Row],[Fcorr]]</f>
        <v>1</v>
      </c>
      <c r="BP352" s="36">
        <f>(テーブル2[[#This Row],[Tsub]]-40)^2</f>
        <v>12219.883341056402</v>
      </c>
      <c r="BQ352" s="36">
        <v>1</v>
      </c>
      <c r="BR352" s="36">
        <v>0.3175</v>
      </c>
    </row>
    <row r="353" spans="1:70" x14ac:dyDescent="0.15">
      <c r="A353" s="35" t="s">
        <v>349</v>
      </c>
      <c r="B353" s="36">
        <v>13789514.586336</v>
      </c>
      <c r="C353" s="22">
        <f>TsatFromP(テーブル2[[#This Row],[P]])</f>
        <v>608.62107399852357</v>
      </c>
      <c r="D353" s="36">
        <f>RhoGFromP(テーブル2[[#This Row],[P]])</f>
        <v>85.147847035840741</v>
      </c>
      <c r="E353" s="36">
        <f>RhoFFromP(テーブル2[[#This Row],[P]])</f>
        <v>624.86636713482415</v>
      </c>
      <c r="F353" s="36">
        <f>HgFromP(テーブル2[[#This Row],[P]])</f>
        <v>2643264.5206450778</v>
      </c>
      <c r="G353" s="36">
        <f>HfFromP(テーブル2[[#This Row],[P]])</f>
        <v>1562686.7596125705</v>
      </c>
      <c r="H353" s="36">
        <f>MuGFromP(テーブル2[[#This Row],[P]])</f>
        <v>2.2019591234371903E-5</v>
      </c>
      <c r="I353" s="36">
        <f>MuFFromP(テーブル2[[#This Row],[P]])</f>
        <v>7.222326555143516E-5</v>
      </c>
      <c r="J353" s="36">
        <f>KfFromP(テーブル2[[#This Row],[P]])</f>
        <v>0.49112131073334553</v>
      </c>
      <c r="K353" s="36">
        <f>CpFFromP(テーブル2[[#This Row],[P]])</f>
        <v>7679.7488518783057</v>
      </c>
      <c r="L353" s="36">
        <f>SigmaFromP(テーブル2[[#This Row],[P]])</f>
        <v>6.5036449518301549E-3</v>
      </c>
      <c r="M353" s="36">
        <v>246.01</v>
      </c>
      <c r="N353" s="36">
        <v>7011.7091</v>
      </c>
      <c r="O353" s="37">
        <f t="shared" si="176"/>
        <v>1.7719053836560394E-5</v>
      </c>
      <c r="P353" s="37">
        <f t="shared" si="177"/>
        <v>1.4921936786020797E-2</v>
      </c>
      <c r="Q353" s="37">
        <v>4.7497999999999993E-3</v>
      </c>
      <c r="R353" s="36">
        <v>0.3175</v>
      </c>
      <c r="S353" s="38">
        <v>10725606</v>
      </c>
      <c r="T353" s="36">
        <v>457.49169905535632</v>
      </c>
      <c r="U353" s="12">
        <f>+T353+BG353*S353*テーブル2[[#This Row],[Pw]]*R353/(N353*O353*K353)</f>
        <v>510.74902167125913</v>
      </c>
      <c r="V353" s="36">
        <v>0.03</v>
      </c>
      <c r="W353" s="37">
        <f t="shared" si="148"/>
        <v>461128.63533512986</v>
      </c>
      <c r="X353" s="36">
        <v>0.01</v>
      </c>
      <c r="Y353" s="36">
        <f t="shared" si="149"/>
        <v>10</v>
      </c>
      <c r="Z353" s="36">
        <f t="shared" si="150"/>
        <v>6.8138144669325635</v>
      </c>
      <c r="AA353" s="36">
        <f t="shared" si="151"/>
        <v>3.1861855330674365</v>
      </c>
      <c r="AB353" s="36">
        <f t="shared" si="152"/>
        <v>7.9353744932491937E-6</v>
      </c>
      <c r="AC353" s="36">
        <v>600</v>
      </c>
      <c r="AD353" s="36">
        <f t="shared" si="153"/>
        <v>8151.6796261192248</v>
      </c>
      <c r="AE353" s="36">
        <f>+gettm2(AD353,AC353,AK353,AL353,テーブル2[[#This Row],[Fcorr]])</f>
        <v>540.91975034352436</v>
      </c>
      <c r="AF353" s="39">
        <f t="shared" si="154"/>
        <v>30.170728672265227</v>
      </c>
      <c r="AG353" s="36">
        <v>1.0000000000000001E-5</v>
      </c>
      <c r="AH353" s="36">
        <f t="shared" si="155"/>
        <v>98.349157293528449</v>
      </c>
      <c r="AI353" s="36">
        <f t="shared" si="156"/>
        <v>0.39672698940825346</v>
      </c>
      <c r="AJ353" s="36">
        <f t="shared" si="157"/>
        <v>34.324306817631168</v>
      </c>
      <c r="AK353" s="36">
        <f>+S88*テーブル2[[#This Row],[F_form]]/(E88*CpFromTP((テーブル2[[#This Row],[Tin]]+テーブル2[[#This Row],[Tf]])/2,テーブル2[[#This Row],[P]])*AI88)</f>
        <v>2.2193125259753188</v>
      </c>
      <c r="AL353" s="36">
        <f t="shared" si="158"/>
        <v>1.1293676909872215</v>
      </c>
      <c r="AM353" s="36">
        <f t="shared" si="159"/>
        <v>565.70233143310247</v>
      </c>
      <c r="AN353" s="36">
        <f t="shared" si="160"/>
        <v>42.918742565421098</v>
      </c>
      <c r="AO353" s="36">
        <f t="shared" si="161"/>
        <v>2.0646255067508071E-6</v>
      </c>
      <c r="AP353" s="36">
        <v>1</v>
      </c>
      <c r="AQ353" s="36">
        <f t="shared" si="162"/>
        <v>5.4530931276593132E-4</v>
      </c>
      <c r="AR353" s="36">
        <f t="shared" si="163"/>
        <v>6.032312753375404E-6</v>
      </c>
      <c r="AS353" s="36">
        <f t="shared" si="164"/>
        <v>20.70549537667668</v>
      </c>
      <c r="AT353" s="36">
        <f t="shared" si="165"/>
        <v>12.101995710863218</v>
      </c>
      <c r="AU353" s="36">
        <f t="shared" si="166"/>
        <v>4.8011883242023607</v>
      </c>
      <c r="AV353" s="36">
        <f t="shared" si="167"/>
        <v>-3.8011883242023607</v>
      </c>
      <c r="AW353" s="36">
        <f t="shared" si="168"/>
        <v>4.7708356332903856E-3</v>
      </c>
      <c r="AX353" s="36">
        <f t="shared" si="169"/>
        <v>1.3910487532874807</v>
      </c>
      <c r="AY353" s="36">
        <f t="shared" si="170"/>
        <v>-5.1922370774898416</v>
      </c>
      <c r="AZ353" s="36">
        <f t="shared" si="171"/>
        <v>1080577.7610325073</v>
      </c>
      <c r="BA353" s="36">
        <f t="shared" si="172"/>
        <v>5.4530931276593132E-4</v>
      </c>
      <c r="BB353" s="38">
        <f t="shared" si="173"/>
        <v>2556474.9925423497</v>
      </c>
      <c r="BC353" s="40">
        <f t="shared" si="174"/>
        <v>-8169131.0074576503</v>
      </c>
      <c r="BD353" s="41">
        <f t="shared" si="175"/>
        <v>-76.164750107897405</v>
      </c>
      <c r="BE353" s="38">
        <v>10725606</v>
      </c>
      <c r="BF353" s="42">
        <f>テーブル2[[#This Row],[q_P]]/テーブル2[[#This Row],[q_M]]</f>
        <v>0.23835249892102597</v>
      </c>
      <c r="BG353" s="36">
        <v>1</v>
      </c>
      <c r="BH353" s="36">
        <v>-0.33800000000000002</v>
      </c>
      <c r="BI353" s="36">
        <v>4.5999999999999999E-2</v>
      </c>
      <c r="BJ353" s="36">
        <v>5625</v>
      </c>
      <c r="BK353" s="22">
        <v>1</v>
      </c>
      <c r="BL353" s="36">
        <f>テーブル2[[#This Row],[Ts]]-テーブル2[[#This Row],[Tin]]</f>
        <v>151.12937494316725</v>
      </c>
      <c r="BM353" s="36">
        <f>テーブル2[[#This Row],[q_P]]*0.000001</f>
        <v>2.5564749925423498</v>
      </c>
      <c r="BN353" s="36">
        <f>テーブル2[[#This Row],[Tsub]]</f>
        <v>151.12937494316725</v>
      </c>
      <c r="BO353" s="36">
        <f>テーブル2[[#This Row],[Fcorr]]</f>
        <v>1</v>
      </c>
      <c r="BP353" s="36">
        <f>(テーブル2[[#This Row],[Tsub]]-40)^2</f>
        <v>12349.73797525905</v>
      </c>
      <c r="BQ353" s="36">
        <v>1</v>
      </c>
      <c r="BR353" s="36">
        <v>0.3175</v>
      </c>
    </row>
    <row r="354" spans="1:70" x14ac:dyDescent="0.15">
      <c r="A354" s="35" t="s">
        <v>350</v>
      </c>
      <c r="B354" s="36">
        <v>13789514.586336</v>
      </c>
      <c r="C354" s="22">
        <f>TsatFromP(テーブル2[[#This Row],[P]])</f>
        <v>608.62107399852357</v>
      </c>
      <c r="D354" s="36">
        <f>RhoGFromP(テーブル2[[#This Row],[P]])</f>
        <v>85.147847035840741</v>
      </c>
      <c r="E354" s="36">
        <f>RhoFFromP(テーブル2[[#This Row],[P]])</f>
        <v>624.86636713482415</v>
      </c>
      <c r="F354" s="36">
        <f>HgFromP(テーブル2[[#This Row],[P]])</f>
        <v>2643264.5206450778</v>
      </c>
      <c r="G354" s="36">
        <f>HfFromP(テーブル2[[#This Row],[P]])</f>
        <v>1562686.7596125705</v>
      </c>
      <c r="H354" s="36">
        <f>MuGFromP(テーブル2[[#This Row],[P]])</f>
        <v>2.2019591234371903E-5</v>
      </c>
      <c r="I354" s="36">
        <f>MuFFromP(テーブル2[[#This Row],[P]])</f>
        <v>7.222326555143516E-5</v>
      </c>
      <c r="J354" s="36">
        <f>KfFromP(テーブル2[[#This Row],[P]])</f>
        <v>0.49112131073334553</v>
      </c>
      <c r="K354" s="36">
        <f>CpFFromP(テーブル2[[#This Row],[P]])</f>
        <v>7679.7488518783057</v>
      </c>
      <c r="L354" s="36">
        <f>SigmaFromP(テーブル2[[#This Row],[P]])</f>
        <v>6.5036449518301549E-3</v>
      </c>
      <c r="M354" s="36">
        <v>247.01</v>
      </c>
      <c r="N354" s="36">
        <v>7025.2713999999996</v>
      </c>
      <c r="O354" s="37">
        <f t="shared" si="176"/>
        <v>1.7719053836560394E-5</v>
      </c>
      <c r="P354" s="37">
        <f t="shared" si="177"/>
        <v>1.4921936786020797E-2</v>
      </c>
      <c r="Q354" s="37">
        <v>4.7497999999999993E-3</v>
      </c>
      <c r="R354" s="36">
        <v>0.3175</v>
      </c>
      <c r="S354" s="38">
        <v>4921160.3999999994</v>
      </c>
      <c r="T354" s="36">
        <v>576.10233569936702</v>
      </c>
      <c r="U354" s="12">
        <f>+T354+BG354*S354*テーブル2[[#This Row],[Pw]]*R354/(N354*O354*K354)</f>
        <v>600.49087523841877</v>
      </c>
      <c r="V354" s="36">
        <v>0.03</v>
      </c>
      <c r="W354" s="37">
        <f t="shared" si="148"/>
        <v>462020.56693152274</v>
      </c>
      <c r="X354" s="36">
        <v>0.01</v>
      </c>
      <c r="Y354" s="36">
        <f t="shared" si="149"/>
        <v>10</v>
      </c>
      <c r="Z354" s="36">
        <f t="shared" si="150"/>
        <v>6.8169373625426504</v>
      </c>
      <c r="AA354" s="36">
        <f t="shared" si="151"/>
        <v>3.1830626374573496</v>
      </c>
      <c r="AB354" s="36">
        <f t="shared" si="152"/>
        <v>7.9047655555451036E-6</v>
      </c>
      <c r="AC354" s="36">
        <v>600</v>
      </c>
      <c r="AD354" s="36">
        <f t="shared" si="153"/>
        <v>8167.446898123324</v>
      </c>
      <c r="AE354" s="36">
        <f>+gettm2(AD354,AC354,AK354,AL354,テーブル2[[#This Row],[Fcorr]])</f>
        <v>555.6170051049321</v>
      </c>
      <c r="AF354" s="39">
        <f t="shared" si="154"/>
        <v>-44.873870133486662</v>
      </c>
      <c r="AG354" s="36">
        <v>1.0000000000000001E-5</v>
      </c>
      <c r="AH354" s="36">
        <f t="shared" si="155"/>
        <v>98.729986200811567</v>
      </c>
      <c r="AI354" s="36">
        <f t="shared" si="156"/>
        <v>0.39749435302413016</v>
      </c>
      <c r="AJ354" s="36">
        <f t="shared" si="157"/>
        <v>34.390698126756178</v>
      </c>
      <c r="AK354" s="36">
        <f>+S88*テーブル2[[#This Row],[F_form]]/(E88*CpFromTP((テーブル2[[#This Row],[Tin]]+テーブル2[[#This Row],[Tf]])/2,テーブル2[[#This Row],[P]])*AI88)</f>
        <v>1.6669158410832889</v>
      </c>
      <c r="AL354" s="36">
        <f t="shared" si="158"/>
        <v>1.1293676909872215</v>
      </c>
      <c r="AM354" s="36">
        <f t="shared" si="159"/>
        <v>574.23111981075783</v>
      </c>
      <c r="AN354" s="36">
        <f t="shared" si="160"/>
        <v>34.389954187765738</v>
      </c>
      <c r="AO354" s="36">
        <f t="shared" si="161"/>
        <v>2.0952344444548972E-6</v>
      </c>
      <c r="AP354" s="36">
        <v>1</v>
      </c>
      <c r="AQ354" s="36">
        <f t="shared" si="162"/>
        <v>5.4530931276593132E-4</v>
      </c>
      <c r="AR354" s="36">
        <f t="shared" si="163"/>
        <v>6.047617222227449E-6</v>
      </c>
      <c r="AS354" s="36">
        <f t="shared" si="164"/>
        <v>20.798177827579593</v>
      </c>
      <c r="AT354" s="36">
        <f t="shared" si="165"/>
        <v>12.124326892132451</v>
      </c>
      <c r="AU354" s="36">
        <f t="shared" si="166"/>
        <v>4.8193514738412517</v>
      </c>
      <c r="AV354" s="36">
        <f t="shared" si="167"/>
        <v>-3.8193514738412517</v>
      </c>
      <c r="AW354" s="36">
        <f t="shared" si="168"/>
        <v>4.7524331986201537E-3</v>
      </c>
      <c r="AX354" s="36">
        <f t="shared" si="169"/>
        <v>1.393739369831557</v>
      </c>
      <c r="AY354" s="36">
        <f t="shared" si="170"/>
        <v>-5.2130908436728092</v>
      </c>
      <c r="AZ354" s="36">
        <f t="shared" si="171"/>
        <v>1080577.7610325073</v>
      </c>
      <c r="BA354" s="36">
        <f t="shared" si="172"/>
        <v>5.4530931276593132E-4</v>
      </c>
      <c r="BB354" s="38">
        <f t="shared" si="173"/>
        <v>2594375.8048363621</v>
      </c>
      <c r="BC354" s="40">
        <f t="shared" si="174"/>
        <v>-2326784.5951636373</v>
      </c>
      <c r="BD354" s="41">
        <f t="shared" si="175"/>
        <v>-47.281218372066022</v>
      </c>
      <c r="BE354" s="38">
        <v>4921160.3999999994</v>
      </c>
      <c r="BF354" s="42">
        <f>テーブル2[[#This Row],[q_P]]/テーブル2[[#This Row],[q_M]]</f>
        <v>0.52718781627933986</v>
      </c>
      <c r="BG354" s="36">
        <v>1</v>
      </c>
      <c r="BH354" s="36">
        <v>-1.7999999999999999E-2</v>
      </c>
      <c r="BI354" s="36">
        <v>4.5999999999999999E-2</v>
      </c>
      <c r="BJ354" s="36">
        <v>5625</v>
      </c>
      <c r="BK354" s="22">
        <v>1</v>
      </c>
      <c r="BL354" s="36">
        <f>テーブル2[[#This Row],[Ts]]-テーブル2[[#This Row],[Tin]]</f>
        <v>32.518738299156553</v>
      </c>
      <c r="BM354" s="36">
        <f>テーブル2[[#This Row],[q_P]]*0.000001</f>
        <v>2.5943758048363619</v>
      </c>
      <c r="BN354" s="36">
        <f>テーブル2[[#This Row],[Tsub]]</f>
        <v>32.518738299156553</v>
      </c>
      <c r="BO354" s="36">
        <f>テーブル2[[#This Row],[Fcorr]]</f>
        <v>1</v>
      </c>
      <c r="BP354" s="36">
        <f>(テーブル2[[#This Row],[Tsub]]-40)^2</f>
        <v>55.96927663650699</v>
      </c>
      <c r="BQ354" s="36">
        <v>1</v>
      </c>
      <c r="BR354" s="36">
        <v>0.3175</v>
      </c>
    </row>
    <row r="355" spans="1:70" x14ac:dyDescent="0.15">
      <c r="A355" s="35" t="s">
        <v>351</v>
      </c>
      <c r="B355" s="36">
        <v>13789514.586336</v>
      </c>
      <c r="C355" s="22">
        <f>TsatFromP(テーブル2[[#This Row],[P]])</f>
        <v>608.62107399852357</v>
      </c>
      <c r="D355" s="36">
        <f>RhoGFromP(テーブル2[[#This Row],[P]])</f>
        <v>85.147847035840741</v>
      </c>
      <c r="E355" s="36">
        <f>RhoFFromP(テーブル2[[#This Row],[P]])</f>
        <v>624.86636713482415</v>
      </c>
      <c r="F355" s="36">
        <f>HgFromP(テーブル2[[#This Row],[P]])</f>
        <v>2643264.5206450778</v>
      </c>
      <c r="G355" s="36">
        <f>HfFromP(テーブル2[[#This Row],[P]])</f>
        <v>1562686.7596125705</v>
      </c>
      <c r="H355" s="36">
        <f>MuGFromP(テーブル2[[#This Row],[P]])</f>
        <v>2.2019591234371903E-5</v>
      </c>
      <c r="I355" s="36">
        <f>MuFFromP(テーブル2[[#This Row],[P]])</f>
        <v>7.222326555143516E-5</v>
      </c>
      <c r="J355" s="36">
        <f>KfFromP(テーブル2[[#This Row],[P]])</f>
        <v>0.49112131073334553</v>
      </c>
      <c r="K355" s="36">
        <f>CpFFromP(テーブル2[[#This Row],[P]])</f>
        <v>7679.7488518783057</v>
      </c>
      <c r="L355" s="36">
        <f>SigmaFromP(テーブル2[[#This Row],[P]])</f>
        <v>6.5036449518301549E-3</v>
      </c>
      <c r="M355" s="36">
        <v>248.01</v>
      </c>
      <c r="N355" s="36">
        <v>7106.6451999999999</v>
      </c>
      <c r="O355" s="37">
        <f t="shared" si="176"/>
        <v>1.7719053836560394E-5</v>
      </c>
      <c r="P355" s="37">
        <f t="shared" si="177"/>
        <v>1.4921936786020797E-2</v>
      </c>
      <c r="Q355" s="37">
        <v>4.7497999999999993E-3</v>
      </c>
      <c r="R355" s="36">
        <v>0.3175</v>
      </c>
      <c r="S355" s="38">
        <v>9968504.4000000004</v>
      </c>
      <c r="T355" s="36">
        <v>435.79943735362332</v>
      </c>
      <c r="U355" s="12">
        <f>+T355+BG355*S355*テーブル2[[#This Row],[Pw]]*R355/(N355*O355*K355)</f>
        <v>484.63618696299284</v>
      </c>
      <c r="V355" s="36">
        <v>0.03</v>
      </c>
      <c r="W355" s="37">
        <f t="shared" si="148"/>
        <v>467372.15650988021</v>
      </c>
      <c r="X355" s="36">
        <v>0.01</v>
      </c>
      <c r="Y355" s="36">
        <f t="shared" si="149"/>
        <v>10</v>
      </c>
      <c r="Z355" s="36">
        <f t="shared" si="150"/>
        <v>6.8355409674988019</v>
      </c>
      <c r="AA355" s="36">
        <f t="shared" si="151"/>
        <v>3.1644590325011981</v>
      </c>
      <c r="AB355" s="36">
        <f t="shared" si="152"/>
        <v>7.7247767937696083E-6</v>
      </c>
      <c r="AC355" s="36">
        <v>600</v>
      </c>
      <c r="AD355" s="36">
        <f t="shared" si="153"/>
        <v>8262.050530147917</v>
      </c>
      <c r="AE355" s="36">
        <f>+gettm2(AD355,AC355,AK355,AL355,テーブル2[[#This Row],[Fcorr]])</f>
        <v>539.43975104194715</v>
      </c>
      <c r="AF355" s="39">
        <f t="shared" si="154"/>
        <v>54.803564078954309</v>
      </c>
      <c r="AG355" s="36">
        <v>1.0000000000000001E-5</v>
      </c>
      <c r="AH355" s="36">
        <f t="shared" si="155"/>
        <v>101.03041357118273</v>
      </c>
      <c r="AI355" s="36">
        <f t="shared" si="156"/>
        <v>0.40209853471939033</v>
      </c>
      <c r="AJ355" s="36">
        <f t="shared" si="157"/>
        <v>34.789045981506256</v>
      </c>
      <c r="AK355" s="36">
        <f>+S88*テーブル2[[#This Row],[F_form]]/(E88*CpFromTP((テーブル2[[#This Row],[Tin]]+テーブル2[[#This Row],[Tf]])/2,テーブル2[[#This Row],[P]])*AI88)</f>
        <v>2.2720284952630858</v>
      </c>
      <c r="AL355" s="36">
        <f t="shared" si="158"/>
        <v>1.1293676909872215</v>
      </c>
      <c r="AM355" s="36">
        <f t="shared" si="159"/>
        <v>564.81125884079427</v>
      </c>
      <c r="AN355" s="36">
        <f t="shared" si="160"/>
        <v>43.809815157729304</v>
      </c>
      <c r="AO355" s="36">
        <f t="shared" si="161"/>
        <v>2.2752232062303925E-6</v>
      </c>
      <c r="AP355" s="36">
        <v>1</v>
      </c>
      <c r="AQ355" s="36">
        <f t="shared" si="162"/>
        <v>5.4530931276593132E-4</v>
      </c>
      <c r="AR355" s="36">
        <f t="shared" si="163"/>
        <v>6.1376116031151967E-6</v>
      </c>
      <c r="AS355" s="36">
        <f t="shared" si="164"/>
        <v>21.352165227740084</v>
      </c>
      <c r="AT355" s="36">
        <f t="shared" si="165"/>
        <v>12.255765751758023</v>
      </c>
      <c r="AU355" s="36">
        <f t="shared" si="166"/>
        <v>4.9280254506459888</v>
      </c>
      <c r="AV355" s="36">
        <f t="shared" si="167"/>
        <v>-3.9280254506459888</v>
      </c>
      <c r="AW355" s="36">
        <f t="shared" si="168"/>
        <v>4.6442219479727069E-3</v>
      </c>
      <c r="AX355" s="36">
        <f t="shared" si="169"/>
        <v>1.4098830690960154</v>
      </c>
      <c r="AY355" s="36">
        <f t="shared" si="170"/>
        <v>-5.3379085197420046</v>
      </c>
      <c r="AZ355" s="36">
        <f t="shared" si="171"/>
        <v>1080577.7610325073</v>
      </c>
      <c r="BA355" s="36">
        <f t="shared" si="172"/>
        <v>5.4530931276593132E-4</v>
      </c>
      <c r="BB355" s="38">
        <f t="shared" si="173"/>
        <v>2817242.7445855732</v>
      </c>
      <c r="BC355" s="40">
        <f t="shared" si="174"/>
        <v>-7151261.6554144267</v>
      </c>
      <c r="BD355" s="41">
        <f t="shared" si="175"/>
        <v>-71.738561457769208</v>
      </c>
      <c r="BE355" s="38">
        <v>9968504.4000000004</v>
      </c>
      <c r="BF355" s="42">
        <f>テーブル2[[#This Row],[q_P]]/テーブル2[[#This Row],[q_M]]</f>
        <v>0.28261438542230799</v>
      </c>
      <c r="BG355" s="36">
        <v>1</v>
      </c>
      <c r="BH355" s="36">
        <v>-0.45700000000000002</v>
      </c>
      <c r="BI355" s="36">
        <v>4.5999999999999999E-2</v>
      </c>
      <c r="BJ355" s="36">
        <v>5625</v>
      </c>
      <c r="BK355" s="22">
        <v>1</v>
      </c>
      <c r="BL355" s="36">
        <f>テーブル2[[#This Row],[Ts]]-テーブル2[[#This Row],[Tin]]</f>
        <v>172.82163664490025</v>
      </c>
      <c r="BM355" s="36">
        <f>テーブル2[[#This Row],[q_P]]*0.000001</f>
        <v>2.817242744585573</v>
      </c>
      <c r="BN355" s="36">
        <f>テーブル2[[#This Row],[Tsub]]</f>
        <v>172.82163664490025</v>
      </c>
      <c r="BO355" s="36">
        <f>テーブル2[[#This Row],[Fcorr]]</f>
        <v>1</v>
      </c>
      <c r="BP355" s="36">
        <f>(テーブル2[[#This Row],[Tsub]]-40)^2</f>
        <v>17641.587161029911</v>
      </c>
      <c r="BQ355" s="36">
        <v>1</v>
      </c>
      <c r="BR355" s="36">
        <v>0.3175</v>
      </c>
    </row>
    <row r="356" spans="1:70" x14ac:dyDescent="0.15">
      <c r="A356" s="35" t="s">
        <v>352</v>
      </c>
      <c r="B356" s="36">
        <v>13789514.586336</v>
      </c>
      <c r="C356" s="22">
        <f>TsatFromP(テーブル2[[#This Row],[P]])</f>
        <v>608.62107399852357</v>
      </c>
      <c r="D356" s="36">
        <f>RhoGFromP(テーブル2[[#This Row],[P]])</f>
        <v>85.147847035840741</v>
      </c>
      <c r="E356" s="36">
        <f>RhoFFromP(テーブル2[[#This Row],[P]])</f>
        <v>624.86636713482415</v>
      </c>
      <c r="F356" s="36">
        <f>HgFromP(テーブル2[[#This Row],[P]])</f>
        <v>2643264.5206450778</v>
      </c>
      <c r="G356" s="36">
        <f>HfFromP(テーブル2[[#This Row],[P]])</f>
        <v>1562686.7596125705</v>
      </c>
      <c r="H356" s="36">
        <f>MuGFromP(テーブル2[[#This Row],[P]])</f>
        <v>2.2019591234371903E-5</v>
      </c>
      <c r="I356" s="36">
        <f>MuFFromP(テーブル2[[#This Row],[P]])</f>
        <v>7.222326555143516E-5</v>
      </c>
      <c r="J356" s="36">
        <f>KfFromP(テーブル2[[#This Row],[P]])</f>
        <v>0.49112131073334553</v>
      </c>
      <c r="K356" s="36">
        <f>CpFFromP(テーブル2[[#This Row],[P]])</f>
        <v>7679.7488518783057</v>
      </c>
      <c r="L356" s="36">
        <f>SigmaFromP(テーブル2[[#This Row],[P]])</f>
        <v>6.5036449518301549E-3</v>
      </c>
      <c r="M356" s="36">
        <v>249.01</v>
      </c>
      <c r="N356" s="36">
        <v>7364.3289000000004</v>
      </c>
      <c r="O356" s="37">
        <f t="shared" si="176"/>
        <v>1.7719053836560394E-5</v>
      </c>
      <c r="P356" s="37">
        <f t="shared" si="177"/>
        <v>1.4921936786020797E-2</v>
      </c>
      <c r="Q356" s="37">
        <v>4.7497999999999993E-3</v>
      </c>
      <c r="R356" s="36">
        <v>0.3175</v>
      </c>
      <c r="S356" s="38">
        <v>14763481.199999999</v>
      </c>
      <c r="T356" s="36">
        <v>398.21304431350183</v>
      </c>
      <c r="U356" s="12">
        <f>+T356+BG356*S356*テーブル2[[#This Row],[Pw]]*R356/(N356*O356*K356)</f>
        <v>468.01008012139579</v>
      </c>
      <c r="V356" s="36">
        <v>0.03</v>
      </c>
      <c r="W356" s="37">
        <f t="shared" si="148"/>
        <v>484318.85684134538</v>
      </c>
      <c r="X356" s="36">
        <v>0.01</v>
      </c>
      <c r="Y356" s="36">
        <f t="shared" si="149"/>
        <v>10</v>
      </c>
      <c r="Z356" s="36">
        <f t="shared" si="150"/>
        <v>6.8929887567015564</v>
      </c>
      <c r="AA356" s="36">
        <f t="shared" si="151"/>
        <v>3.1070112432984436</v>
      </c>
      <c r="AB356" s="36">
        <f t="shared" si="152"/>
        <v>7.1936425523779413E-6</v>
      </c>
      <c r="AC356" s="36">
        <v>600</v>
      </c>
      <c r="AD356" s="36">
        <f t="shared" si="153"/>
        <v>8561.6286982258025</v>
      </c>
      <c r="AE356" s="36">
        <f>+gettm2(AD356,AC356,AK356,AL356,テーブル2[[#This Row],[Fcorr]])</f>
        <v>538.03489223590702</v>
      </c>
      <c r="AF356" s="39">
        <f t="shared" si="154"/>
        <v>70.024812114511235</v>
      </c>
      <c r="AG356" s="36">
        <v>1.0000000000000001E-5</v>
      </c>
      <c r="AH356" s="36">
        <f t="shared" si="155"/>
        <v>108.48987679567649</v>
      </c>
      <c r="AI356" s="36">
        <f t="shared" si="156"/>
        <v>0.41667844342104771</v>
      </c>
      <c r="AJ356" s="36">
        <f t="shared" si="157"/>
        <v>36.050480854881485</v>
      </c>
      <c r="AK356" s="36">
        <f>+S88*テーブル2[[#This Row],[F_form]]/(E88*CpFromTP((テーブル2[[#This Row],[Tin]]+テーブル2[[#This Row],[Tf]])/2,テーブル2[[#This Row],[P]])*AI88)</f>
        <v>2.3169685564396669</v>
      </c>
      <c r="AL356" s="36">
        <f t="shared" si="158"/>
        <v>1.1293676909872215</v>
      </c>
      <c r="AM356" s="36">
        <f t="shared" si="159"/>
        <v>563.90892344628969</v>
      </c>
      <c r="AN356" s="36">
        <f t="shared" si="160"/>
        <v>44.712150552233879</v>
      </c>
      <c r="AO356" s="36">
        <f t="shared" si="161"/>
        <v>2.8063574476220596E-6</v>
      </c>
      <c r="AP356" s="36">
        <v>1</v>
      </c>
      <c r="AQ356" s="36">
        <f t="shared" si="162"/>
        <v>5.4530931276593132E-4</v>
      </c>
      <c r="AR356" s="36">
        <f t="shared" si="163"/>
        <v>6.4031787238110306E-6</v>
      </c>
      <c r="AS356" s="36">
        <f t="shared" si="164"/>
        <v>23.083767199313399</v>
      </c>
      <c r="AT356" s="36">
        <f t="shared" si="165"/>
        <v>12.64564825930414</v>
      </c>
      <c r="AU356" s="36">
        <f t="shared" si="166"/>
        <v>5.2691690327369303</v>
      </c>
      <c r="AV356" s="36">
        <f t="shared" si="167"/>
        <v>-4.2691690327369303</v>
      </c>
      <c r="AW356" s="36">
        <f t="shared" si="168"/>
        <v>4.3248981193307542E-3</v>
      </c>
      <c r="AX356" s="36">
        <f t="shared" si="169"/>
        <v>1.4610047834334663</v>
      </c>
      <c r="AY356" s="36">
        <f t="shared" si="170"/>
        <v>-5.7301738161703968</v>
      </c>
      <c r="AZ356" s="36">
        <f t="shared" si="171"/>
        <v>1080577.7610325073</v>
      </c>
      <c r="BA356" s="36">
        <f t="shared" si="172"/>
        <v>5.4530931276593132E-4</v>
      </c>
      <c r="BB356" s="38">
        <f t="shared" si="173"/>
        <v>3474907.488802372</v>
      </c>
      <c r="BC356" s="40">
        <f t="shared" si="174"/>
        <v>-11288573.711197628</v>
      </c>
      <c r="BD356" s="41">
        <f t="shared" si="175"/>
        <v>-76.462817666592258</v>
      </c>
      <c r="BE356" s="38">
        <v>14763481.199999999</v>
      </c>
      <c r="BF356" s="42">
        <f>テーブル2[[#This Row],[q_P]]/テーブル2[[#This Row],[q_M]]</f>
        <v>0.23537182333407736</v>
      </c>
      <c r="BG356" s="36">
        <v>1</v>
      </c>
      <c r="BH356" s="36">
        <v>-0.45600000000000002</v>
      </c>
      <c r="BI356" s="36">
        <v>4.5999999999999999E-2</v>
      </c>
      <c r="BJ356" s="36">
        <v>5625</v>
      </c>
      <c r="BK356" s="22">
        <v>1</v>
      </c>
      <c r="BL356" s="36">
        <f>テーブル2[[#This Row],[Ts]]-テーブル2[[#This Row],[Tin]]</f>
        <v>210.40802968502175</v>
      </c>
      <c r="BM356" s="36">
        <f>テーブル2[[#This Row],[q_P]]*0.000001</f>
        <v>3.4749074888023719</v>
      </c>
      <c r="BN356" s="36">
        <f>テーブル2[[#This Row],[Tsub]]</f>
        <v>210.40802968502175</v>
      </c>
      <c r="BO356" s="36">
        <f>テーブル2[[#This Row],[Fcorr]]</f>
        <v>1</v>
      </c>
      <c r="BP356" s="36">
        <f>(テーブル2[[#This Row],[Tsub]]-40)^2</f>
        <v>29038.896581131252</v>
      </c>
      <c r="BQ356" s="36">
        <v>1</v>
      </c>
      <c r="BR356" s="36">
        <v>0.3175</v>
      </c>
    </row>
    <row r="357" spans="1:70" x14ac:dyDescent="0.15">
      <c r="A357" s="35" t="s">
        <v>353</v>
      </c>
      <c r="B357" s="36">
        <v>13789514.586336</v>
      </c>
      <c r="C357" s="22">
        <f>TsatFromP(テーブル2[[#This Row],[P]])</f>
        <v>608.62107399852357</v>
      </c>
      <c r="D357" s="36">
        <f>RhoGFromP(テーブル2[[#This Row],[P]])</f>
        <v>85.147847035840741</v>
      </c>
      <c r="E357" s="36">
        <f>RhoFFromP(テーブル2[[#This Row],[P]])</f>
        <v>624.86636713482415</v>
      </c>
      <c r="F357" s="36">
        <f>HgFromP(テーブル2[[#This Row],[P]])</f>
        <v>2643264.5206450778</v>
      </c>
      <c r="G357" s="36">
        <f>HfFromP(テーブル2[[#This Row],[P]])</f>
        <v>1562686.7596125705</v>
      </c>
      <c r="H357" s="36">
        <f>MuGFromP(テーブル2[[#This Row],[P]])</f>
        <v>2.2019591234371903E-5</v>
      </c>
      <c r="I357" s="36">
        <f>MuFFromP(テーブル2[[#This Row],[P]])</f>
        <v>7.222326555143516E-5</v>
      </c>
      <c r="J357" s="36">
        <f>KfFromP(テーブル2[[#This Row],[P]])</f>
        <v>0.49112131073334553</v>
      </c>
      <c r="K357" s="36">
        <f>CpFFromP(テーブル2[[#This Row],[P]])</f>
        <v>7679.7488518783057</v>
      </c>
      <c r="L357" s="36">
        <f>SigmaFromP(テーブル2[[#This Row],[P]])</f>
        <v>6.5036449518301549E-3</v>
      </c>
      <c r="M357" s="36">
        <v>25.01</v>
      </c>
      <c r="N357" s="36">
        <v>2698.8977</v>
      </c>
      <c r="O357" s="37">
        <f t="shared" si="176"/>
        <v>2.8502295699234246E-6</v>
      </c>
      <c r="P357" s="37">
        <f t="shared" si="177"/>
        <v>5.9847340050885557E-3</v>
      </c>
      <c r="Q357" s="37">
        <v>1.905E-3</v>
      </c>
      <c r="R357" s="36">
        <v>0.69595999999999991</v>
      </c>
      <c r="S357" s="38">
        <v>2548908.7200000002</v>
      </c>
      <c r="T357" s="36">
        <v>297.62562573329501</v>
      </c>
      <c r="U357" s="12">
        <f>+T357+BG357*S357*テーブル2[[#This Row],[Pw]]*R357/(N357*O357*K357)</f>
        <v>477.33475209500818</v>
      </c>
      <c r="V357" s="36">
        <v>0.03</v>
      </c>
      <c r="W357" s="37">
        <f t="shared" si="148"/>
        <v>71187.588642588511</v>
      </c>
      <c r="X357" s="36">
        <v>0.01</v>
      </c>
      <c r="Y357" s="36">
        <f t="shared" si="149"/>
        <v>10</v>
      </c>
      <c r="Z357" s="36">
        <f t="shared" si="150"/>
        <v>4.4394988296593123</v>
      </c>
      <c r="AA357" s="36">
        <f t="shared" si="151"/>
        <v>5.5605011703406877</v>
      </c>
      <c r="AB357" s="36">
        <f t="shared" si="152"/>
        <v>5.3560221027905453E-5</v>
      </c>
      <c r="AC357" s="36">
        <v>600</v>
      </c>
      <c r="AD357" s="36">
        <f t="shared" si="153"/>
        <v>1258.43066663732</v>
      </c>
      <c r="AE357" s="36">
        <f>+gettm2(AD357,AC357,AK357,AL357,テーブル2[[#This Row],[Fcorr]])</f>
        <v>548.19526610201228</v>
      </c>
      <c r="AF357" s="39">
        <f t="shared" si="154"/>
        <v>70.860514007004099</v>
      </c>
      <c r="AG357" s="36">
        <v>1.0000000000000001E-5</v>
      </c>
      <c r="AH357" s="36">
        <f t="shared" si="155"/>
        <v>14.571213098859364</v>
      </c>
      <c r="AI357" s="36">
        <f t="shared" si="156"/>
        <v>0.15270535955946316</v>
      </c>
      <c r="AJ357" s="36">
        <f t="shared" si="157"/>
        <v>13.211870515877376</v>
      </c>
      <c r="AK357" s="36">
        <f>+S88*テーブル2[[#This Row],[F_form]]/(E88*CpFromTP((テーブル2[[#This Row],[Tin]]+テーブル2[[#This Row],[Tf]])/2,テーブル2[[#This Row],[P]])*AI88)</f>
        <v>2.3651519259624481</v>
      </c>
      <c r="AL357" s="36">
        <f t="shared" si="158"/>
        <v>1.1293676909872215</v>
      </c>
      <c r="AM357" s="36">
        <f t="shared" si="159"/>
        <v>574.23894286051291</v>
      </c>
      <c r="AN357" s="36">
        <f t="shared" si="160"/>
        <v>34.382131138010664</v>
      </c>
      <c r="AO357" s="36">
        <f t="shared" si="161"/>
        <v>-4.3560221027905454E-5</v>
      </c>
      <c r="AP357" s="36">
        <v>1</v>
      </c>
      <c r="AQ357" s="36">
        <f t="shared" si="162"/>
        <v>5.4530931276593132E-4</v>
      </c>
      <c r="AR357" s="36">
        <f t="shared" si="163"/>
        <v>-1.6780110513952727E-5</v>
      </c>
      <c r="AS357" s="36">
        <f t="shared" si="164"/>
        <v>-22.1696647352456</v>
      </c>
      <c r="AT357" s="36">
        <f t="shared" si="165"/>
        <v>-22.1696647352456</v>
      </c>
      <c r="AU357" s="36">
        <f t="shared" si="166"/>
        <v>-3.3854266247084301</v>
      </c>
      <c r="AV357" s="36">
        <f t="shared" si="167"/>
        <v>4.3854266247084297</v>
      </c>
      <c r="AW357" s="36">
        <f t="shared" si="168"/>
        <v>3.2201002135970151E-2</v>
      </c>
      <c r="AX357" s="36">
        <f t="shared" si="169"/>
        <v>0.53543269227119661</v>
      </c>
      <c r="AY357" s="36">
        <f t="shared" si="170"/>
        <v>3.8499939324372332</v>
      </c>
      <c r="AZ357" s="36">
        <f t="shared" si="171"/>
        <v>1080577.7610325073</v>
      </c>
      <c r="BA357" s="36">
        <f t="shared" si="172"/>
        <v>5.4530931276593132E-4</v>
      </c>
      <c r="BB357" s="38">
        <f t="shared" si="173"/>
        <v>-53937440.646420598</v>
      </c>
      <c r="BC357" s="40">
        <f t="shared" si="174"/>
        <v>-56486349.366420597</v>
      </c>
      <c r="BD357" s="41">
        <f t="shared" si="175"/>
        <v>-2216.0993417771583</v>
      </c>
      <c r="BE357" s="38">
        <v>2548908.7200000002</v>
      </c>
      <c r="BF357" s="42">
        <f>テーブル2[[#This Row],[q_P]]/テーブル2[[#This Row],[q_M]]</f>
        <v>-21.160993417771586</v>
      </c>
      <c r="BG357" s="36">
        <v>1</v>
      </c>
      <c r="BH357" s="36">
        <v>-6.2E-2</v>
      </c>
      <c r="BI357" s="36">
        <v>4.5999999999999999E-2</v>
      </c>
      <c r="BJ357" s="36">
        <v>5625</v>
      </c>
      <c r="BK357" s="22">
        <v>1</v>
      </c>
      <c r="BL357" s="36">
        <f>テーブル2[[#This Row],[Ts]]-テーブル2[[#This Row],[Tin]]</f>
        <v>310.99544826522856</v>
      </c>
      <c r="BM357" s="36">
        <f>テーブル2[[#This Row],[q_P]]*0.000001</f>
        <v>-53.937440646420598</v>
      </c>
      <c r="BN357" s="36">
        <f>テーブル2[[#This Row],[Tsub]]</f>
        <v>310.99544826522856</v>
      </c>
      <c r="BO357" s="36">
        <f>テーブル2[[#This Row],[Fcorr]]</f>
        <v>1</v>
      </c>
      <c r="BP357" s="36">
        <f>(テーブル2[[#This Row],[Tsub]]-40)^2</f>
        <v>73438.53298047217</v>
      </c>
      <c r="BQ357" s="36">
        <v>1</v>
      </c>
      <c r="BR357" s="36">
        <v>0.69595999999999991</v>
      </c>
    </row>
    <row r="358" spans="1:70" x14ac:dyDescent="0.15">
      <c r="A358" s="35" t="s">
        <v>354</v>
      </c>
      <c r="B358" s="36">
        <v>13789514.586336</v>
      </c>
      <c r="C358" s="22">
        <f>TsatFromP(テーブル2[[#This Row],[P]])</f>
        <v>608.62107399852357</v>
      </c>
      <c r="D358" s="36">
        <f>RhoGFromP(テーブル2[[#This Row],[P]])</f>
        <v>85.147847035840741</v>
      </c>
      <c r="E358" s="36">
        <f>RhoFFromP(テーブル2[[#This Row],[P]])</f>
        <v>624.86636713482415</v>
      </c>
      <c r="F358" s="36">
        <f>HgFromP(テーブル2[[#This Row],[P]])</f>
        <v>2643264.5206450778</v>
      </c>
      <c r="G358" s="36">
        <f>HfFromP(テーブル2[[#This Row],[P]])</f>
        <v>1562686.7596125705</v>
      </c>
      <c r="H358" s="36">
        <f>MuGFromP(テーブル2[[#This Row],[P]])</f>
        <v>2.2019591234371903E-5</v>
      </c>
      <c r="I358" s="36">
        <f>MuFFromP(テーブル2[[#This Row],[P]])</f>
        <v>7.222326555143516E-5</v>
      </c>
      <c r="J358" s="36">
        <f>KfFromP(テーブル2[[#This Row],[P]])</f>
        <v>0.49112131073334553</v>
      </c>
      <c r="K358" s="36">
        <f>CpFFromP(テーブル2[[#This Row],[P]])</f>
        <v>7679.7488518783057</v>
      </c>
      <c r="L358" s="36">
        <f>SigmaFromP(テーブル2[[#This Row],[P]])</f>
        <v>6.5036449518301549E-3</v>
      </c>
      <c r="M358" s="36">
        <v>250.01</v>
      </c>
      <c r="N358" s="36">
        <v>7391.4535000000014</v>
      </c>
      <c r="O358" s="37">
        <f t="shared" si="176"/>
        <v>1.7719053836560394E-5</v>
      </c>
      <c r="P358" s="37">
        <f t="shared" si="177"/>
        <v>1.4921936786020797E-2</v>
      </c>
      <c r="Q358" s="37">
        <v>4.7497999999999993E-3</v>
      </c>
      <c r="R358" s="36">
        <v>0.3175</v>
      </c>
      <c r="S358" s="38">
        <v>6687730.7999999998</v>
      </c>
      <c r="T358" s="36">
        <v>543.8261294077754</v>
      </c>
      <c r="U358" s="12">
        <f>+T358+BG358*S358*テーブル2[[#This Row],[Pw]]*R358/(N358*O358*K358)</f>
        <v>575.32756269430217</v>
      </c>
      <c r="V358" s="36">
        <v>0.03</v>
      </c>
      <c r="W358" s="37">
        <f t="shared" si="148"/>
        <v>486102.72003413131</v>
      </c>
      <c r="X358" s="36">
        <v>0.01</v>
      </c>
      <c r="Y358" s="36">
        <f t="shared" si="149"/>
        <v>10</v>
      </c>
      <c r="Z358" s="36">
        <f t="shared" si="150"/>
        <v>6.8989108220803184</v>
      </c>
      <c r="AA358" s="36">
        <f t="shared" si="151"/>
        <v>3.1010891779196816</v>
      </c>
      <c r="AB358" s="36">
        <f t="shared" si="152"/>
        <v>7.1409420517669653E-6</v>
      </c>
      <c r="AC358" s="36">
        <v>600</v>
      </c>
      <c r="AD358" s="36">
        <f t="shared" si="153"/>
        <v>8593.1632422340008</v>
      </c>
      <c r="AE358" s="36">
        <f>+gettm2(AD358,AC358,AK358,AL358,テーブル2[[#This Row],[Fcorr]])</f>
        <v>548.8148640762771</v>
      </c>
      <c r="AF358" s="39">
        <f t="shared" si="154"/>
        <v>-26.51269861802507</v>
      </c>
      <c r="AG358" s="36">
        <v>1.0000000000000001E-5</v>
      </c>
      <c r="AH358" s="36">
        <f t="shared" si="155"/>
        <v>109.29053737755875</v>
      </c>
      <c r="AI358" s="36">
        <f t="shared" si="156"/>
        <v>0.41821317065280117</v>
      </c>
      <c r="AJ358" s="36">
        <f t="shared" si="157"/>
        <v>36.183263473131518</v>
      </c>
      <c r="AK358" s="36">
        <f>+S88*テーブル2[[#This Row],[F_form]]/(E88*CpFromTP((テーブル2[[#This Row],[Tin]]+テーブル2[[#This Row],[Tf]])/2,テーブル2[[#This Row],[P]])*AI88)</f>
        <v>1.913229543098687</v>
      </c>
      <c r="AL358" s="36">
        <f t="shared" si="158"/>
        <v>1.1293676909872215</v>
      </c>
      <c r="AM358" s="36">
        <f t="shared" si="159"/>
        <v>570.18032149911085</v>
      </c>
      <c r="AN358" s="36">
        <f t="shared" si="160"/>
        <v>38.440752499412724</v>
      </c>
      <c r="AO358" s="36">
        <f t="shared" si="161"/>
        <v>2.8590579482330355E-6</v>
      </c>
      <c r="AP358" s="36">
        <v>1</v>
      </c>
      <c r="AQ358" s="36">
        <f t="shared" si="162"/>
        <v>5.4530931276593132E-4</v>
      </c>
      <c r="AR358" s="36">
        <f t="shared" si="163"/>
        <v>6.4295289741165182E-6</v>
      </c>
      <c r="AS358" s="36">
        <f t="shared" si="164"/>
        <v>23.264134087859091</v>
      </c>
      <c r="AT358" s="36">
        <f t="shared" si="165"/>
        <v>12.684564325417998</v>
      </c>
      <c r="AU358" s="36">
        <f t="shared" si="166"/>
        <v>5.3048518648824707</v>
      </c>
      <c r="AV358" s="36">
        <f t="shared" si="167"/>
        <v>-4.3048518648824707</v>
      </c>
      <c r="AW358" s="36">
        <f t="shared" si="168"/>
        <v>4.2932139906962487E-3</v>
      </c>
      <c r="AX358" s="36">
        <f t="shared" si="169"/>
        <v>1.4663860165216194</v>
      </c>
      <c r="AY358" s="36">
        <f t="shared" si="170"/>
        <v>-5.7712378814040903</v>
      </c>
      <c r="AZ358" s="36">
        <f t="shared" si="171"/>
        <v>1080577.7610325073</v>
      </c>
      <c r="BA358" s="36">
        <f t="shared" si="172"/>
        <v>5.4530931276593132E-4</v>
      </c>
      <c r="BB358" s="38">
        <f t="shared" si="173"/>
        <v>3540162.6701734727</v>
      </c>
      <c r="BC358" s="40">
        <f t="shared" si="174"/>
        <v>-3147568.1298265271</v>
      </c>
      <c r="BD358" s="41">
        <f t="shared" si="175"/>
        <v>-47.064815016575231</v>
      </c>
      <c r="BE358" s="38">
        <v>6687730.7999999998</v>
      </c>
      <c r="BF358" s="42">
        <f>テーブル2[[#This Row],[q_P]]/テーブル2[[#This Row],[q_M]]</f>
        <v>0.52935184983424766</v>
      </c>
      <c r="BG358" s="36">
        <v>1</v>
      </c>
      <c r="BH358" s="36">
        <v>-0.125</v>
      </c>
      <c r="BI358" s="36">
        <v>4.5999999999999999E-2</v>
      </c>
      <c r="BJ358" s="36">
        <v>5625</v>
      </c>
      <c r="BK358" s="22">
        <v>1</v>
      </c>
      <c r="BL358" s="36">
        <f>テーブル2[[#This Row],[Ts]]-テーブル2[[#This Row],[Tin]]</f>
        <v>64.794944590748173</v>
      </c>
      <c r="BM358" s="36">
        <f>テーブル2[[#This Row],[q_P]]*0.000001</f>
        <v>3.5401626701734727</v>
      </c>
      <c r="BN358" s="36">
        <f>テーブル2[[#This Row],[Tsub]]</f>
        <v>64.794944590748173</v>
      </c>
      <c r="BO358" s="36">
        <f>テーブル2[[#This Row],[Fcorr]]</f>
        <v>1</v>
      </c>
      <c r="BP358" s="36">
        <f>(テーブル2[[#This Row],[Tsub]]-40)^2</f>
        <v>614.78927725827214</v>
      </c>
      <c r="BQ358" s="36">
        <v>1</v>
      </c>
      <c r="BR358" s="36">
        <v>0.3175</v>
      </c>
    </row>
    <row r="359" spans="1:70" x14ac:dyDescent="0.15">
      <c r="A359" s="35" t="s">
        <v>355</v>
      </c>
      <c r="B359" s="36">
        <v>13789514.586336</v>
      </c>
      <c r="C359" s="22">
        <f>TsatFromP(テーブル2[[#This Row],[P]])</f>
        <v>608.62107399852357</v>
      </c>
      <c r="D359" s="36">
        <f>RhoGFromP(テーブル2[[#This Row],[P]])</f>
        <v>85.147847035840741</v>
      </c>
      <c r="E359" s="36">
        <f>RhoFFromP(テーブル2[[#This Row],[P]])</f>
        <v>624.86636713482415</v>
      </c>
      <c r="F359" s="36">
        <f>HgFromP(テーブル2[[#This Row],[P]])</f>
        <v>2643264.5206450778</v>
      </c>
      <c r="G359" s="36">
        <f>HfFromP(テーブル2[[#This Row],[P]])</f>
        <v>1562686.7596125705</v>
      </c>
      <c r="H359" s="36">
        <f>MuGFromP(テーブル2[[#This Row],[P]])</f>
        <v>2.2019591234371903E-5</v>
      </c>
      <c r="I359" s="36">
        <f>MuFFromP(テーブル2[[#This Row],[P]])</f>
        <v>7.222326555143516E-5</v>
      </c>
      <c r="J359" s="36">
        <f>KfFromP(テーブル2[[#This Row],[P]])</f>
        <v>0.49112131073334553</v>
      </c>
      <c r="K359" s="36">
        <f>CpFFromP(テーブル2[[#This Row],[P]])</f>
        <v>7679.7488518783057</v>
      </c>
      <c r="L359" s="36">
        <f>SigmaFromP(テーブル2[[#This Row],[P]])</f>
        <v>6.5036449518301549E-3</v>
      </c>
      <c r="M359" s="36">
        <v>252.01</v>
      </c>
      <c r="N359" s="36">
        <v>7974.6324000000004</v>
      </c>
      <c r="O359" s="37">
        <f t="shared" si="176"/>
        <v>1.7719053836560394E-5</v>
      </c>
      <c r="P359" s="37">
        <f t="shared" si="177"/>
        <v>1.4921936786020797E-2</v>
      </c>
      <c r="Q359" s="37">
        <v>4.7497999999999993E-3</v>
      </c>
      <c r="R359" s="36">
        <v>0.3175</v>
      </c>
      <c r="S359" s="38">
        <v>7949566.7999999998</v>
      </c>
      <c r="T359" s="36">
        <v>521.49485592597796</v>
      </c>
      <c r="U359" s="12">
        <f>+T359+BG359*S359*テーブル2[[#This Row],[Pw]]*R359/(N359*O359*K359)</f>
        <v>556.20162373155165</v>
      </c>
      <c r="V359" s="36">
        <v>0.03</v>
      </c>
      <c r="W359" s="37">
        <f t="shared" si="148"/>
        <v>524455.77867902594</v>
      </c>
      <c r="X359" s="36">
        <v>0.01</v>
      </c>
      <c r="Y359" s="36">
        <f t="shared" si="149"/>
        <v>10</v>
      </c>
      <c r="Z359" s="36">
        <f t="shared" si="150"/>
        <v>7.0209043192173244</v>
      </c>
      <c r="AA359" s="36">
        <f t="shared" si="151"/>
        <v>2.9790956807826756</v>
      </c>
      <c r="AB359" s="36">
        <f t="shared" si="152"/>
        <v>6.134707508810229E-6</v>
      </c>
      <c r="AC359" s="36">
        <v>600</v>
      </c>
      <c r="AD359" s="36">
        <f t="shared" si="153"/>
        <v>9271.155938410262</v>
      </c>
      <c r="AE359" s="36">
        <f>+gettm2(AD359,AC359,AK359,AL359,テーブル2[[#This Row],[Fcorr]])</f>
        <v>545.34067295513546</v>
      </c>
      <c r="AF359" s="39">
        <f t="shared" si="154"/>
        <v>-10.860950776416189</v>
      </c>
      <c r="AG359" s="36">
        <v>1.0000000000000001E-5</v>
      </c>
      <c r="AH359" s="36">
        <f t="shared" si="155"/>
        <v>127.21672436686023</v>
      </c>
      <c r="AI359" s="36">
        <f t="shared" si="156"/>
        <v>0.45120980613549916</v>
      </c>
      <c r="AJ359" s="36">
        <f t="shared" si="157"/>
        <v>39.038089765507017</v>
      </c>
      <c r="AK359" s="36">
        <f>+S88*テーブル2[[#This Row],[F_form]]/(E88*CpFromTP((テーブル2[[#This Row],[Tin]]+テーブル2[[#This Row],[Tf]])/2,テーブル2[[#This Row],[P]])*AI88)</f>
        <v>2.028648941880419</v>
      </c>
      <c r="AL359" s="36">
        <f t="shared" si="158"/>
        <v>1.1293676909872215</v>
      </c>
      <c r="AM359" s="36">
        <f t="shared" si="159"/>
        <v>567.99624490168981</v>
      </c>
      <c r="AN359" s="36">
        <f t="shared" si="160"/>
        <v>40.624829096833764</v>
      </c>
      <c r="AO359" s="36">
        <f t="shared" si="161"/>
        <v>3.8652924911897718E-6</v>
      </c>
      <c r="AP359" s="36">
        <v>1</v>
      </c>
      <c r="AQ359" s="36">
        <f t="shared" si="162"/>
        <v>5.4530931276593132E-4</v>
      </c>
      <c r="AR359" s="36">
        <f t="shared" si="163"/>
        <v>6.9326462455948868E-6</v>
      </c>
      <c r="AS359" s="36">
        <f t="shared" si="164"/>
        <v>27.063726644803843</v>
      </c>
      <c r="AT359" s="36">
        <f t="shared" si="165"/>
        <v>13.440971655511929</v>
      </c>
      <c r="AU359" s="36">
        <f t="shared" si="166"/>
        <v>6.0646982149562767</v>
      </c>
      <c r="AV359" s="36">
        <f t="shared" si="167"/>
        <v>-5.0646982149562767</v>
      </c>
      <c r="AW359" s="36">
        <f t="shared" si="168"/>
        <v>3.6882545628747101E-3</v>
      </c>
      <c r="AX359" s="36">
        <f t="shared" si="169"/>
        <v>1.5820825279169026</v>
      </c>
      <c r="AY359" s="36">
        <f t="shared" si="170"/>
        <v>-6.6467807428731795</v>
      </c>
      <c r="AZ359" s="36">
        <f t="shared" si="171"/>
        <v>1080577.7610325073</v>
      </c>
      <c r="BA359" s="36">
        <f t="shared" si="172"/>
        <v>5.4530931276593132E-4</v>
      </c>
      <c r="BB359" s="38">
        <f t="shared" si="173"/>
        <v>4786109.4228848144</v>
      </c>
      <c r="BC359" s="40">
        <f t="shared" si="174"/>
        <v>-3163457.3771151854</v>
      </c>
      <c r="BD359" s="41">
        <f t="shared" si="175"/>
        <v>-39.79408509549458</v>
      </c>
      <c r="BE359" s="38">
        <v>7949566.7999999998</v>
      </c>
      <c r="BF359" s="42">
        <f>テーブル2[[#This Row],[q_P]]/テーブル2[[#This Row],[q_M]]</f>
        <v>0.6020591490450542</v>
      </c>
      <c r="BG359" s="36">
        <v>1</v>
      </c>
      <c r="BH359" s="36">
        <v>-0.20200000000000001</v>
      </c>
      <c r="BI359" s="36">
        <v>4.5999999999999999E-2</v>
      </c>
      <c r="BJ359" s="36">
        <v>5625</v>
      </c>
      <c r="BK359" s="22">
        <v>1</v>
      </c>
      <c r="BL359" s="36">
        <f>テーブル2[[#This Row],[Ts]]-テーブル2[[#This Row],[Tin]]</f>
        <v>87.126218072545612</v>
      </c>
      <c r="BM359" s="36">
        <f>テーブル2[[#This Row],[q_P]]*0.000001</f>
        <v>4.786109422884814</v>
      </c>
      <c r="BN359" s="36">
        <f>テーブル2[[#This Row],[Tsub]]</f>
        <v>87.126218072545612</v>
      </c>
      <c r="BO359" s="36">
        <f>テーブル2[[#This Row],[Fcorr]]</f>
        <v>1</v>
      </c>
      <c r="BP359" s="36">
        <f>(テーブル2[[#This Row],[Tsub]]-40)^2</f>
        <v>2220.8804298211248</v>
      </c>
      <c r="BQ359" s="36">
        <v>1</v>
      </c>
      <c r="BR359" s="36">
        <v>0.3175</v>
      </c>
    </row>
    <row r="360" spans="1:70" x14ac:dyDescent="0.15">
      <c r="A360" s="35" t="s">
        <v>356</v>
      </c>
      <c r="B360" s="36">
        <v>13789514.586336</v>
      </c>
      <c r="C360" s="22">
        <f>TsatFromP(テーブル2[[#This Row],[P]])</f>
        <v>608.62107399852357</v>
      </c>
      <c r="D360" s="36">
        <f>RhoGFromP(テーブル2[[#This Row],[P]])</f>
        <v>85.147847035840741</v>
      </c>
      <c r="E360" s="36">
        <f>RhoFFromP(テーブル2[[#This Row],[P]])</f>
        <v>624.86636713482415</v>
      </c>
      <c r="F360" s="36">
        <f>HgFromP(テーブル2[[#This Row],[P]])</f>
        <v>2643264.5206450778</v>
      </c>
      <c r="G360" s="36">
        <f>HfFromP(テーブル2[[#This Row],[P]])</f>
        <v>1562686.7596125705</v>
      </c>
      <c r="H360" s="36">
        <f>MuGFromP(テーブル2[[#This Row],[P]])</f>
        <v>2.2019591234371903E-5</v>
      </c>
      <c r="I360" s="36">
        <f>MuFFromP(テーブル2[[#This Row],[P]])</f>
        <v>7.222326555143516E-5</v>
      </c>
      <c r="J360" s="36">
        <f>KfFromP(テーブル2[[#This Row],[P]])</f>
        <v>0.49112131073334553</v>
      </c>
      <c r="K360" s="36">
        <f>CpFFromP(テーブル2[[#This Row],[P]])</f>
        <v>7679.7488518783057</v>
      </c>
      <c r="L360" s="36">
        <f>SigmaFromP(テーブル2[[#This Row],[P]])</f>
        <v>6.5036449518301549E-3</v>
      </c>
      <c r="M360" s="36">
        <v>253.01</v>
      </c>
      <c r="N360" s="36">
        <v>8340.8145000000004</v>
      </c>
      <c r="O360" s="37">
        <f t="shared" si="176"/>
        <v>1.7719053836560394E-5</v>
      </c>
      <c r="P360" s="37">
        <f t="shared" si="177"/>
        <v>1.4921936786020797E-2</v>
      </c>
      <c r="Q360" s="37">
        <v>4.7497999999999993E-3</v>
      </c>
      <c r="R360" s="36">
        <v>0.3175</v>
      </c>
      <c r="S360" s="38">
        <v>5173527.5999999987</v>
      </c>
      <c r="T360" s="36">
        <v>580.00476809257589</v>
      </c>
      <c r="U360" s="12">
        <f>+T360+BG360*S360*テーブル2[[#This Row],[Pw]]*R360/(N360*O360*K360)</f>
        <v>601.60009028271065</v>
      </c>
      <c r="V360" s="36">
        <v>0.03</v>
      </c>
      <c r="W360" s="37">
        <f t="shared" si="148"/>
        <v>548537.93178163422</v>
      </c>
      <c r="X360" s="36">
        <v>0.01</v>
      </c>
      <c r="Y360" s="36">
        <f t="shared" si="149"/>
        <v>10</v>
      </c>
      <c r="Z360" s="36">
        <f t="shared" si="150"/>
        <v>7.0927180120862969</v>
      </c>
      <c r="AA360" s="36">
        <f t="shared" si="151"/>
        <v>2.9072819879137031</v>
      </c>
      <c r="AB360" s="36">
        <f t="shared" si="152"/>
        <v>5.607874447553926E-6</v>
      </c>
      <c r="AC360" s="36">
        <v>600</v>
      </c>
      <c r="AD360" s="36">
        <f t="shared" si="153"/>
        <v>9696.8722825209352</v>
      </c>
      <c r="AE360" s="36">
        <f>+gettm2(AD360,AC360,AK360,AL360,テーブル2[[#This Row],[Fcorr]])</f>
        <v>555.70246800504697</v>
      </c>
      <c r="AF360" s="39">
        <f t="shared" si="154"/>
        <v>-45.897622277663686</v>
      </c>
      <c r="AG360" s="36">
        <v>1.0000000000000001E-5</v>
      </c>
      <c r="AH360" s="36">
        <f t="shared" si="155"/>
        <v>139.16812894411967</v>
      </c>
      <c r="AI360" s="36">
        <f t="shared" si="156"/>
        <v>0.47192862376417005</v>
      </c>
      <c r="AJ360" s="36">
        <f t="shared" si="157"/>
        <v>40.830655111882344</v>
      </c>
      <c r="AK360" s="36">
        <f>+S88*テーブル2[[#This Row],[F_form]]/(E88*CpFromTP((テーブル2[[#This Row],[Tin]]+テーブル2[[#This Row],[Tf]])/2,テーブル2[[#This Row],[P]])*AI88)</f>
        <v>1.6372368011649236</v>
      </c>
      <c r="AL360" s="36">
        <f t="shared" si="158"/>
        <v>1.1293676909872215</v>
      </c>
      <c r="AM360" s="36">
        <f t="shared" si="159"/>
        <v>573.98736152339438</v>
      </c>
      <c r="AN360" s="36">
        <f t="shared" si="160"/>
        <v>34.633712475129187</v>
      </c>
      <c r="AO360" s="36">
        <f t="shared" si="161"/>
        <v>4.3921255524460749E-6</v>
      </c>
      <c r="AP360" s="36">
        <v>1</v>
      </c>
      <c r="AQ360" s="36">
        <f t="shared" si="162"/>
        <v>5.4530931276593132E-4</v>
      </c>
      <c r="AR360" s="36">
        <f t="shared" si="163"/>
        <v>7.1960627762230374E-6</v>
      </c>
      <c r="AS360" s="36">
        <f t="shared" si="164"/>
        <v>29.381995737941743</v>
      </c>
      <c r="AT360" s="36">
        <f t="shared" si="165"/>
        <v>13.851910484457232</v>
      </c>
      <c r="AU360" s="36">
        <f t="shared" si="166"/>
        <v>6.5371130514343792</v>
      </c>
      <c r="AV360" s="36">
        <f t="shared" si="167"/>
        <v>-5.5371130514343792</v>
      </c>
      <c r="AW360" s="36">
        <f t="shared" si="168"/>
        <v>3.3715166516929177E-3</v>
      </c>
      <c r="AX360" s="36">
        <f t="shared" si="169"/>
        <v>1.6547291746069646</v>
      </c>
      <c r="AY360" s="36">
        <f t="shared" si="170"/>
        <v>-7.1918422260413433</v>
      </c>
      <c r="AZ360" s="36">
        <f t="shared" si="171"/>
        <v>1080577.7610325073</v>
      </c>
      <c r="BA360" s="36">
        <f t="shared" si="172"/>
        <v>5.4530931276593132E-4</v>
      </c>
      <c r="BB360" s="38">
        <f t="shared" si="173"/>
        <v>5438448.3298403164</v>
      </c>
      <c r="BC360" s="40">
        <f t="shared" si="174"/>
        <v>264920.72984031774</v>
      </c>
      <c r="BD360" s="41">
        <f t="shared" si="175"/>
        <v>5.1206981062654</v>
      </c>
      <c r="BE360" s="38">
        <v>5173527.5999999987</v>
      </c>
      <c r="BF360" s="42">
        <f>テーブル2[[#This Row],[q_P]]/テーブル2[[#This Row],[q_M]]</f>
        <v>1.0512069810626541</v>
      </c>
      <c r="BG360" s="36">
        <v>1</v>
      </c>
      <c r="BH360" s="36">
        <v>-1.7999999999999999E-2</v>
      </c>
      <c r="BI360" s="36">
        <v>4.5999999999999999E-2</v>
      </c>
      <c r="BJ360" s="36">
        <v>5625</v>
      </c>
      <c r="BK360" s="22">
        <v>1</v>
      </c>
      <c r="BL360" s="36">
        <f>テーブル2[[#This Row],[Ts]]-テーブル2[[#This Row],[Tin]]</f>
        <v>28.616305905947684</v>
      </c>
      <c r="BM360" s="36">
        <f>テーブル2[[#This Row],[q_P]]*0.000001</f>
        <v>5.4384483298403161</v>
      </c>
      <c r="BN360" s="36">
        <f>テーブル2[[#This Row],[Tsub]]</f>
        <v>28.616305905947684</v>
      </c>
      <c r="BO360" s="36">
        <f>テーブル2[[#This Row],[Fcorr]]</f>
        <v>1</v>
      </c>
      <c r="BP360" s="36">
        <f>(テーブル2[[#This Row],[Tsub]]-40)^2</f>
        <v>129.58849122696159</v>
      </c>
      <c r="BQ360" s="36">
        <v>1</v>
      </c>
      <c r="BR360" s="36">
        <v>0.3175</v>
      </c>
    </row>
    <row r="361" spans="1:70" x14ac:dyDescent="0.15">
      <c r="A361" s="35" t="s">
        <v>357</v>
      </c>
      <c r="B361" s="36">
        <v>13789514.586336</v>
      </c>
      <c r="C361" s="22">
        <f>TsatFromP(テーブル2[[#This Row],[P]])</f>
        <v>608.62107399852357</v>
      </c>
      <c r="D361" s="36">
        <f>RhoGFromP(テーブル2[[#This Row],[P]])</f>
        <v>85.147847035840741</v>
      </c>
      <c r="E361" s="36">
        <f>RhoFFromP(テーブル2[[#This Row],[P]])</f>
        <v>624.86636713482415</v>
      </c>
      <c r="F361" s="36">
        <f>HgFromP(テーブル2[[#This Row],[P]])</f>
        <v>2643264.5206450778</v>
      </c>
      <c r="G361" s="36">
        <f>HfFromP(テーブル2[[#This Row],[P]])</f>
        <v>1562686.7596125705</v>
      </c>
      <c r="H361" s="36">
        <f>MuGFromP(テーブル2[[#This Row],[P]])</f>
        <v>2.2019591234371903E-5</v>
      </c>
      <c r="I361" s="36">
        <f>MuFFromP(テーブル2[[#This Row],[P]])</f>
        <v>7.222326555143516E-5</v>
      </c>
      <c r="J361" s="36">
        <f>KfFromP(テーブル2[[#This Row],[P]])</f>
        <v>0.49112131073334553</v>
      </c>
      <c r="K361" s="36">
        <f>CpFFromP(テーブル2[[#This Row],[P]])</f>
        <v>7679.7488518783057</v>
      </c>
      <c r="L361" s="36">
        <f>SigmaFromP(テーブル2[[#This Row],[P]])</f>
        <v>6.5036449518301549E-3</v>
      </c>
      <c r="M361" s="36">
        <v>254.01</v>
      </c>
      <c r="N361" s="36">
        <v>8408.6260000000002</v>
      </c>
      <c r="O361" s="37">
        <f t="shared" si="176"/>
        <v>1.7719053836560394E-5</v>
      </c>
      <c r="P361" s="37">
        <f t="shared" si="177"/>
        <v>1.4921936786020797E-2</v>
      </c>
      <c r="Q361" s="37">
        <v>4.7497999999999993E-3</v>
      </c>
      <c r="R361" s="36">
        <v>0.3175</v>
      </c>
      <c r="S361" s="38">
        <v>9810774.8999999985</v>
      </c>
      <c r="T361" s="36">
        <v>480.89677829033621</v>
      </c>
      <c r="U361" s="12">
        <f>+T361+BG361*S361*テーブル2[[#This Row],[Pw]]*R361/(N361*O361*K361)</f>
        <v>521.51862426492426</v>
      </c>
      <c r="V361" s="36">
        <v>0.03</v>
      </c>
      <c r="W361" s="37">
        <f t="shared" si="148"/>
        <v>552997.58976359875</v>
      </c>
      <c r="X361" s="36">
        <v>0.01</v>
      </c>
      <c r="Y361" s="36">
        <f t="shared" si="149"/>
        <v>10</v>
      </c>
      <c r="Z361" s="36">
        <f t="shared" si="150"/>
        <v>7.1056451375417931</v>
      </c>
      <c r="AA361" s="36">
        <f t="shared" si="151"/>
        <v>2.8943548624582069</v>
      </c>
      <c r="AB361" s="36">
        <f t="shared" si="152"/>
        <v>5.5177895757702502E-6</v>
      </c>
      <c r="AC361" s="36">
        <v>600</v>
      </c>
      <c r="AD361" s="36">
        <f t="shared" si="153"/>
        <v>9775.7086425414309</v>
      </c>
      <c r="AE361" s="36">
        <f>+gettm2(AD361,AC361,AK361,AL361,テーブル2[[#This Row],[Fcorr]])</f>
        <v>541.18498597791256</v>
      </c>
      <c r="AF361" s="39">
        <f t="shared" si="154"/>
        <v>19.666361712988305</v>
      </c>
      <c r="AG361" s="36">
        <v>1.0000000000000001E-5</v>
      </c>
      <c r="AH361" s="36">
        <f t="shared" si="155"/>
        <v>141.44022411559149</v>
      </c>
      <c r="AI361" s="36">
        <f t="shared" si="156"/>
        <v>0.47576544184355346</v>
      </c>
      <c r="AJ361" s="36">
        <f t="shared" si="157"/>
        <v>41.162611657507398</v>
      </c>
      <c r="AK361" s="36">
        <f>+S88*テーブル2[[#This Row],[F_form]]/(E88*CpFromTP((テーブル2[[#This Row],[Tin]]+テーブル2[[#This Row],[Tf]])/2,テーブル2[[#This Row],[P]])*AI88)</f>
        <v>2.1721731184682094</v>
      </c>
      <c r="AL361" s="36">
        <f t="shared" si="158"/>
        <v>1.1293676909872215</v>
      </c>
      <c r="AM361" s="36">
        <f t="shared" si="159"/>
        <v>565.44425001850198</v>
      </c>
      <c r="AN361" s="36">
        <f t="shared" si="160"/>
        <v>43.176823980021595</v>
      </c>
      <c r="AO361" s="36">
        <f t="shared" si="161"/>
        <v>4.4822104242297507E-6</v>
      </c>
      <c r="AP361" s="36">
        <v>1</v>
      </c>
      <c r="AQ361" s="36">
        <f t="shared" si="162"/>
        <v>5.4530931276593132E-4</v>
      </c>
      <c r="AR361" s="36">
        <f t="shared" si="163"/>
        <v>7.2411052121148762E-6</v>
      </c>
      <c r="AS361" s="36">
        <f t="shared" si="164"/>
        <v>29.806280181743734</v>
      </c>
      <c r="AT361" s="36">
        <f t="shared" si="165"/>
        <v>13.923595578308518</v>
      </c>
      <c r="AU361" s="36">
        <f t="shared" si="166"/>
        <v>6.6243656023648994</v>
      </c>
      <c r="AV361" s="36">
        <f t="shared" si="167"/>
        <v>-5.6243656023648994</v>
      </c>
      <c r="AW361" s="36">
        <f t="shared" si="168"/>
        <v>3.3173566222334913E-3</v>
      </c>
      <c r="AX361" s="36">
        <f t="shared" si="169"/>
        <v>1.6681822573273462</v>
      </c>
      <c r="AY361" s="36">
        <f t="shared" si="170"/>
        <v>-7.2925478596922453</v>
      </c>
      <c r="AZ361" s="36">
        <f t="shared" si="171"/>
        <v>1080577.7610325073</v>
      </c>
      <c r="BA361" s="36">
        <f t="shared" si="172"/>
        <v>5.4530931276593132E-4</v>
      </c>
      <c r="BB361" s="38">
        <f t="shared" si="173"/>
        <v>5549993.8479831116</v>
      </c>
      <c r="BC361" s="40">
        <f t="shared" si="174"/>
        <v>-4260781.0520168869</v>
      </c>
      <c r="BD361" s="41">
        <f t="shared" si="175"/>
        <v>-43.429607706287172</v>
      </c>
      <c r="BE361" s="38">
        <v>9810774.8999999985</v>
      </c>
      <c r="BF361" s="42">
        <f>テーブル2[[#This Row],[q_P]]/テーブル2[[#This Row],[q_M]]</f>
        <v>0.56570392293712823</v>
      </c>
      <c r="BG361" s="36">
        <v>1</v>
      </c>
      <c r="BH361" s="36">
        <v>-0.33300000000000002</v>
      </c>
      <c r="BI361" s="36">
        <v>4.5999999999999999E-2</v>
      </c>
      <c r="BJ361" s="36">
        <v>5625</v>
      </c>
      <c r="BK361" s="22">
        <v>1</v>
      </c>
      <c r="BL361" s="36">
        <f>テーブル2[[#This Row],[Ts]]-テーブル2[[#This Row],[Tin]]</f>
        <v>127.72429570818736</v>
      </c>
      <c r="BM361" s="36">
        <f>テーブル2[[#This Row],[q_P]]*0.000001</f>
        <v>5.549993847983111</v>
      </c>
      <c r="BN361" s="36">
        <f>テーブル2[[#This Row],[Tsub]]</f>
        <v>127.72429570818736</v>
      </c>
      <c r="BO361" s="36">
        <f>テーブル2[[#This Row],[Fcorr]]</f>
        <v>1</v>
      </c>
      <c r="BP361" s="36">
        <f>(テーブル2[[#This Row],[Tsub]]-40)^2</f>
        <v>7695.5520574974989</v>
      </c>
      <c r="BQ361" s="36">
        <v>1</v>
      </c>
      <c r="BR361" s="36">
        <v>0.3175</v>
      </c>
    </row>
    <row r="362" spans="1:70" x14ac:dyDescent="0.15">
      <c r="A362" s="35" t="s">
        <v>358</v>
      </c>
      <c r="B362" s="36">
        <v>13789514.586336</v>
      </c>
      <c r="C362" s="22">
        <f>TsatFromP(テーブル2[[#This Row],[P]])</f>
        <v>608.62107399852357</v>
      </c>
      <c r="D362" s="36">
        <f>RhoGFromP(テーブル2[[#This Row],[P]])</f>
        <v>85.147847035840741</v>
      </c>
      <c r="E362" s="36">
        <f>RhoFFromP(テーブル2[[#This Row],[P]])</f>
        <v>624.86636713482415</v>
      </c>
      <c r="F362" s="36">
        <f>HgFromP(テーブル2[[#This Row],[P]])</f>
        <v>2643264.5206450778</v>
      </c>
      <c r="G362" s="36">
        <f>HfFromP(テーブル2[[#This Row],[P]])</f>
        <v>1562686.7596125705</v>
      </c>
      <c r="H362" s="36">
        <f>MuGFromP(テーブル2[[#This Row],[P]])</f>
        <v>2.2019591234371903E-5</v>
      </c>
      <c r="I362" s="36">
        <f>MuFFromP(テーブル2[[#This Row],[P]])</f>
        <v>7.222326555143516E-5</v>
      </c>
      <c r="J362" s="36">
        <f>KfFromP(テーブル2[[#This Row],[P]])</f>
        <v>0.49112131073334553</v>
      </c>
      <c r="K362" s="36">
        <f>CpFFromP(テーブル2[[#This Row],[P]])</f>
        <v>7679.7488518783057</v>
      </c>
      <c r="L362" s="36">
        <f>SigmaFromP(テーブル2[[#This Row],[P]])</f>
        <v>6.5036449518301549E-3</v>
      </c>
      <c r="M362" s="36">
        <v>255.01</v>
      </c>
      <c r="N362" s="36">
        <v>8652.7474000000002</v>
      </c>
      <c r="O362" s="37">
        <f t="shared" si="176"/>
        <v>1.7719053836560394E-5</v>
      </c>
      <c r="P362" s="37">
        <f t="shared" si="177"/>
        <v>1.4921936786020797E-2</v>
      </c>
      <c r="Q362" s="37">
        <v>4.7497999999999993E-3</v>
      </c>
      <c r="R362" s="36">
        <v>0.3175</v>
      </c>
      <c r="S362" s="38">
        <v>11829712.5</v>
      </c>
      <c r="T362" s="36">
        <v>438.01554182477679</v>
      </c>
      <c r="U362" s="12">
        <f>+T362+BG362*S362*テーブル2[[#This Row],[Pw]]*R362/(N362*O362*K362)</f>
        <v>485.61494908163723</v>
      </c>
      <c r="V362" s="36">
        <v>0.03</v>
      </c>
      <c r="W362" s="37">
        <f t="shared" si="148"/>
        <v>569052.35849867098</v>
      </c>
      <c r="X362" s="36">
        <v>0.01</v>
      </c>
      <c r="Y362" s="36">
        <f t="shared" si="149"/>
        <v>10</v>
      </c>
      <c r="Z362" s="36">
        <f t="shared" si="150"/>
        <v>7.1512724109495842</v>
      </c>
      <c r="AA362" s="36">
        <f t="shared" si="151"/>
        <v>2.8487275890504158</v>
      </c>
      <c r="AB362" s="36">
        <f t="shared" si="152"/>
        <v>5.2108330129570363E-6</v>
      </c>
      <c r="AC362" s="36">
        <v>600</v>
      </c>
      <c r="AD362" s="36">
        <f t="shared" si="153"/>
        <v>10059.519538615214</v>
      </c>
      <c r="AE362" s="36">
        <f>+gettm2(AD362,AC362,AK362,AL362,テーブル2[[#This Row],[Fcorr]])</f>
        <v>538.40256966632592</v>
      </c>
      <c r="AF362" s="39">
        <f t="shared" si="154"/>
        <v>52.787620584688682</v>
      </c>
      <c r="AG362" s="36">
        <v>1.0000000000000001E-5</v>
      </c>
      <c r="AH362" s="36">
        <f t="shared" si="155"/>
        <v>149.77209829580337</v>
      </c>
      <c r="AI362" s="36">
        <f t="shared" si="156"/>
        <v>0.48957798692933402</v>
      </c>
      <c r="AJ362" s="36">
        <f t="shared" si="157"/>
        <v>42.357655221757611</v>
      </c>
      <c r="AK362" s="36">
        <f>+S88*テーブル2[[#This Row],[F_form]]/(E88*CpFromTP((テーブル2[[#This Row],[Tin]]+テーブル2[[#This Row],[Tf]])/2,テーブル2[[#This Row],[P]])*AI88)</f>
        <v>2.268921917034433</v>
      </c>
      <c r="AL362" s="36">
        <f t="shared" si="158"/>
        <v>1.1293676909872215</v>
      </c>
      <c r="AM362" s="36">
        <f t="shared" si="159"/>
        <v>563.74279902096384</v>
      </c>
      <c r="AN362" s="36">
        <f t="shared" si="160"/>
        <v>44.878274977559727</v>
      </c>
      <c r="AO362" s="36">
        <f t="shared" si="161"/>
        <v>4.7891669870429645E-6</v>
      </c>
      <c r="AP362" s="36">
        <v>1</v>
      </c>
      <c r="AQ362" s="36">
        <f t="shared" si="162"/>
        <v>5.4530931276593132E-4</v>
      </c>
      <c r="AR362" s="36">
        <f t="shared" si="163"/>
        <v>7.3945834935214822E-6</v>
      </c>
      <c r="AS362" s="36">
        <f t="shared" si="164"/>
        <v>31.321721812708283</v>
      </c>
      <c r="AT362" s="36">
        <f t="shared" si="165"/>
        <v>14.110779611186279</v>
      </c>
      <c r="AU362" s="36">
        <f t="shared" si="166"/>
        <v>6.9083270760480691</v>
      </c>
      <c r="AV362" s="36">
        <f t="shared" si="167"/>
        <v>-5.9083270760480691</v>
      </c>
      <c r="AW362" s="36">
        <f t="shared" si="168"/>
        <v>3.1328109137748108E-3</v>
      </c>
      <c r="AX362" s="36">
        <f t="shared" si="169"/>
        <v>1.7166133551207208</v>
      </c>
      <c r="AY362" s="36">
        <f t="shared" si="170"/>
        <v>-7.6249404311687901</v>
      </c>
      <c r="AZ362" s="36">
        <f t="shared" si="171"/>
        <v>1080577.7610325073</v>
      </c>
      <c r="BA362" s="36">
        <f t="shared" si="172"/>
        <v>5.4530931276593132E-4</v>
      </c>
      <c r="BB362" s="38">
        <f t="shared" si="173"/>
        <v>5930075.7437375123</v>
      </c>
      <c r="BC362" s="40">
        <f t="shared" si="174"/>
        <v>-5899636.7562624877</v>
      </c>
      <c r="BD362" s="41">
        <f t="shared" si="175"/>
        <v>-49.871345193405908</v>
      </c>
      <c r="BE362" s="38">
        <v>11829712.5</v>
      </c>
      <c r="BF362" s="42">
        <f>テーブル2[[#This Row],[q_P]]/テーブル2[[#This Row],[q_M]]</f>
        <v>0.50128654806594097</v>
      </c>
      <c r="BG362" s="36">
        <v>1</v>
      </c>
      <c r="BH362" s="36">
        <v>-0.45700000000000002</v>
      </c>
      <c r="BI362" s="36">
        <v>4.5999999999999999E-2</v>
      </c>
      <c r="BJ362" s="36">
        <v>5625</v>
      </c>
      <c r="BK362" s="22">
        <v>1</v>
      </c>
      <c r="BL362" s="36">
        <f>テーブル2[[#This Row],[Ts]]-テーブル2[[#This Row],[Tin]]</f>
        <v>170.60553217374678</v>
      </c>
      <c r="BM362" s="36">
        <f>テーブル2[[#This Row],[q_P]]*0.000001</f>
        <v>5.930075743737512</v>
      </c>
      <c r="BN362" s="36">
        <f>テーブル2[[#This Row],[Tsub]]</f>
        <v>170.60553217374678</v>
      </c>
      <c r="BO362" s="36">
        <f>テーブル2[[#This Row],[Fcorr]]</f>
        <v>1</v>
      </c>
      <c r="BP362" s="36">
        <f>(テーブル2[[#This Row],[Tsub]]-40)^2</f>
        <v>17057.805034387606</v>
      </c>
      <c r="BQ362" s="36">
        <v>1</v>
      </c>
      <c r="BR362" s="36">
        <v>0.3175</v>
      </c>
    </row>
    <row r="363" spans="1:70" x14ac:dyDescent="0.15">
      <c r="A363" s="35" t="s">
        <v>359</v>
      </c>
      <c r="B363" s="36">
        <v>13789514.586336</v>
      </c>
      <c r="C363" s="22">
        <f>TsatFromP(テーブル2[[#This Row],[P]])</f>
        <v>608.62107399852357</v>
      </c>
      <c r="D363" s="36">
        <f>RhoGFromP(テーブル2[[#This Row],[P]])</f>
        <v>85.147847035840741</v>
      </c>
      <c r="E363" s="36">
        <f>RhoFFromP(テーブル2[[#This Row],[P]])</f>
        <v>624.86636713482415</v>
      </c>
      <c r="F363" s="36">
        <f>HgFromP(テーブル2[[#This Row],[P]])</f>
        <v>2643264.5206450778</v>
      </c>
      <c r="G363" s="36">
        <f>HfFromP(テーブル2[[#This Row],[P]])</f>
        <v>1562686.7596125705</v>
      </c>
      <c r="H363" s="36">
        <f>MuGFromP(テーブル2[[#This Row],[P]])</f>
        <v>2.2019591234371903E-5</v>
      </c>
      <c r="I363" s="36">
        <f>MuFFromP(テーブル2[[#This Row],[P]])</f>
        <v>7.222326555143516E-5</v>
      </c>
      <c r="J363" s="36">
        <f>KfFromP(テーブル2[[#This Row],[P]])</f>
        <v>0.49112131073334553</v>
      </c>
      <c r="K363" s="36">
        <f>CpFFromP(テーブル2[[#This Row],[P]])</f>
        <v>7679.7488518783057</v>
      </c>
      <c r="L363" s="36">
        <f>SigmaFromP(テーブル2[[#This Row],[P]])</f>
        <v>6.5036449518301549E-3</v>
      </c>
      <c r="M363" s="36">
        <v>256.01</v>
      </c>
      <c r="N363" s="36">
        <v>8923.9933999999994</v>
      </c>
      <c r="O363" s="37">
        <f t="shared" si="176"/>
        <v>1.7719053836560394E-5</v>
      </c>
      <c r="P363" s="37">
        <f t="shared" si="177"/>
        <v>1.4921936786020797E-2</v>
      </c>
      <c r="Q363" s="37">
        <v>4.7497999999999993E-3</v>
      </c>
      <c r="R363" s="36">
        <v>0.3175</v>
      </c>
      <c r="S363" s="38">
        <v>7066281.5999999996</v>
      </c>
      <c r="T363" s="36">
        <v>549.99498243460437</v>
      </c>
      <c r="U363" s="12">
        <f>+T363+BG363*S363*テーブル2[[#This Row],[Pw]]*R363/(N363*O363*K363)</f>
        <v>577.56347884754234</v>
      </c>
      <c r="V363" s="36">
        <v>0.03</v>
      </c>
      <c r="W363" s="37">
        <f t="shared" si="148"/>
        <v>586890.99042652897</v>
      </c>
      <c r="X363" s="36">
        <v>0.01</v>
      </c>
      <c r="Y363" s="36">
        <f t="shared" si="149"/>
        <v>10</v>
      </c>
      <c r="Z363" s="36">
        <f t="shared" si="150"/>
        <v>7.2003727484710502</v>
      </c>
      <c r="AA363" s="36">
        <f t="shared" si="151"/>
        <v>2.7996272515289498</v>
      </c>
      <c r="AB363" s="36">
        <f t="shared" si="152"/>
        <v>4.898879151444656E-6</v>
      </c>
      <c r="AC363" s="36">
        <v>600</v>
      </c>
      <c r="AD363" s="36">
        <f t="shared" si="153"/>
        <v>10374.864978697195</v>
      </c>
      <c r="AE363" s="36">
        <f>+gettm2(AD363,AC363,AK363,AL363,テーブル2[[#This Row],[Fcorr]])</f>
        <v>548.68009781225669</v>
      </c>
      <c r="AF363" s="39">
        <f t="shared" si="154"/>
        <v>-28.883381035285652</v>
      </c>
      <c r="AG363" s="36">
        <v>1.0000000000000001E-5</v>
      </c>
      <c r="AH363" s="36">
        <f t="shared" si="155"/>
        <v>159.3093787564593</v>
      </c>
      <c r="AI363" s="36">
        <f t="shared" si="156"/>
        <v>0.50492525924686804</v>
      </c>
      <c r="AJ363" s="36">
        <f t="shared" si="157"/>
        <v>43.685481404257857</v>
      </c>
      <c r="AK363" s="36">
        <f>+S88*テーブル2[[#This Row],[F_form]]/(E88*CpFromTP((テーブル2[[#This Row],[Tin]]+テーブル2[[#This Row],[Tf]])/2,テーブル2[[#This Row],[P]])*AI88)</f>
        <v>1.884979938021905</v>
      </c>
      <c r="AL363" s="36">
        <f t="shared" si="158"/>
        <v>1.1293676909872215</v>
      </c>
      <c r="AM363" s="36">
        <f t="shared" si="159"/>
        <v>569.73270533566676</v>
      </c>
      <c r="AN363" s="36">
        <f t="shared" si="160"/>
        <v>38.888368662856806</v>
      </c>
      <c r="AO363" s="36">
        <f t="shared" si="161"/>
        <v>5.1011208485553449E-6</v>
      </c>
      <c r="AP363" s="36">
        <v>1</v>
      </c>
      <c r="AQ363" s="36">
        <f t="shared" si="162"/>
        <v>5.4530931276593132E-4</v>
      </c>
      <c r="AR363" s="36">
        <f t="shared" si="163"/>
        <v>7.5505604242776724E-6</v>
      </c>
      <c r="AS363" s="36">
        <f t="shared" si="164"/>
        <v>32.984986700650751</v>
      </c>
      <c r="AT363" s="36">
        <f t="shared" si="165"/>
        <v>14.24013127370225</v>
      </c>
      <c r="AU363" s="36">
        <f t="shared" si="166"/>
        <v>7.190201975083542</v>
      </c>
      <c r="AV363" s="36">
        <f t="shared" si="167"/>
        <v>-6.190201975083542</v>
      </c>
      <c r="AW363" s="36">
        <f t="shared" si="168"/>
        <v>2.9452607736129427E-3</v>
      </c>
      <c r="AX363" s="36">
        <f t="shared" si="169"/>
        <v>1.770425686002248</v>
      </c>
      <c r="AY363" s="36">
        <f t="shared" si="170"/>
        <v>-7.9606276610857902</v>
      </c>
      <c r="AZ363" s="36">
        <f t="shared" si="171"/>
        <v>1080577.7610325073</v>
      </c>
      <c r="BA363" s="36">
        <f t="shared" si="172"/>
        <v>5.4530931276593132E-4</v>
      </c>
      <c r="BB363" s="38">
        <f t="shared" si="173"/>
        <v>6316345.429535633</v>
      </c>
      <c r="BC363" s="40">
        <f t="shared" si="174"/>
        <v>-749936.17046436667</v>
      </c>
      <c r="BD363" s="41">
        <f t="shared" si="175"/>
        <v>-10.612882601004278</v>
      </c>
      <c r="BE363" s="38">
        <v>7066281.5999999996</v>
      </c>
      <c r="BF363" s="42">
        <f>テーブル2[[#This Row],[q_P]]/テーブル2[[#This Row],[q_M]]</f>
        <v>0.89387117398995719</v>
      </c>
      <c r="BG363" s="36">
        <v>1</v>
      </c>
      <c r="BH363" s="36">
        <v>-0.124</v>
      </c>
      <c r="BI363" s="36">
        <v>4.5999999999999999E-2</v>
      </c>
      <c r="BJ363" s="36">
        <v>5625</v>
      </c>
      <c r="BK363" s="22">
        <v>1</v>
      </c>
      <c r="BL363" s="36">
        <f>テーブル2[[#This Row],[Ts]]-テーブル2[[#This Row],[Tin]]</f>
        <v>58.626091563919204</v>
      </c>
      <c r="BM363" s="36">
        <f>テーブル2[[#This Row],[q_P]]*0.000001</f>
        <v>6.3163454295356329</v>
      </c>
      <c r="BN363" s="36">
        <f>テーブル2[[#This Row],[Tsub]]</f>
        <v>58.626091563919204</v>
      </c>
      <c r="BO363" s="36">
        <f>テーブル2[[#This Row],[Fcorr]]</f>
        <v>1</v>
      </c>
      <c r="BP363" s="36">
        <f>(テーブル2[[#This Row],[Tsub]]-40)^2</f>
        <v>346.93128694750214</v>
      </c>
      <c r="BQ363" s="36">
        <v>1</v>
      </c>
      <c r="BR363" s="36">
        <v>0.3175</v>
      </c>
    </row>
    <row r="364" spans="1:70" x14ac:dyDescent="0.15">
      <c r="A364" s="35" t="s">
        <v>360</v>
      </c>
      <c r="B364" s="36">
        <v>13789514.586336</v>
      </c>
      <c r="C364" s="22">
        <f>TsatFromP(テーブル2[[#This Row],[P]])</f>
        <v>608.62107399852357</v>
      </c>
      <c r="D364" s="36">
        <f>RhoGFromP(テーブル2[[#This Row],[P]])</f>
        <v>85.147847035840741</v>
      </c>
      <c r="E364" s="36">
        <f>RhoFFromP(テーブル2[[#This Row],[P]])</f>
        <v>624.86636713482415</v>
      </c>
      <c r="F364" s="36">
        <f>HgFromP(テーブル2[[#This Row],[P]])</f>
        <v>2643264.5206450778</v>
      </c>
      <c r="G364" s="36">
        <f>HfFromP(テーブル2[[#This Row],[P]])</f>
        <v>1562686.7596125705</v>
      </c>
      <c r="H364" s="36">
        <f>MuGFromP(テーブル2[[#This Row],[P]])</f>
        <v>2.2019591234371903E-5</v>
      </c>
      <c r="I364" s="36">
        <f>MuFFromP(テーブル2[[#This Row],[P]])</f>
        <v>7.222326555143516E-5</v>
      </c>
      <c r="J364" s="36">
        <f>KfFromP(テーブル2[[#This Row],[P]])</f>
        <v>0.49112131073334553</v>
      </c>
      <c r="K364" s="36">
        <f>CpFFromP(テーブル2[[#This Row],[P]])</f>
        <v>7679.7488518783057</v>
      </c>
      <c r="L364" s="36">
        <f>SigmaFromP(テーブル2[[#This Row],[P]])</f>
        <v>6.5036449518301549E-3</v>
      </c>
      <c r="M364" s="36">
        <v>257.01</v>
      </c>
      <c r="N364" s="36">
        <v>9412.2362000000012</v>
      </c>
      <c r="O364" s="37">
        <f t="shared" si="176"/>
        <v>1.7719053836560394E-5</v>
      </c>
      <c r="P364" s="37">
        <f t="shared" si="177"/>
        <v>1.4921936786020797E-2</v>
      </c>
      <c r="Q364" s="37">
        <v>4.7497999999999993E-3</v>
      </c>
      <c r="R364" s="36">
        <v>0.3175</v>
      </c>
      <c r="S364" s="38">
        <v>8548938.9000000004</v>
      </c>
      <c r="T364" s="36">
        <v>526.53489877455388</v>
      </c>
      <c r="U364" s="12">
        <f>+T364+BG364*S364*テーブル2[[#This Row],[Pw]]*R364/(N364*O364*K364)</f>
        <v>558.15773188078504</v>
      </c>
      <c r="V364" s="36">
        <v>0.03</v>
      </c>
      <c r="W364" s="37">
        <f t="shared" si="148"/>
        <v>619000.52789667353</v>
      </c>
      <c r="X364" s="36">
        <v>0.01</v>
      </c>
      <c r="Y364" s="36">
        <f t="shared" si="149"/>
        <v>10</v>
      </c>
      <c r="Z364" s="36">
        <f t="shared" si="150"/>
        <v>7.2848289347017863</v>
      </c>
      <c r="AA364" s="36">
        <f t="shared" si="151"/>
        <v>2.7151710652982137</v>
      </c>
      <c r="AB364" s="36">
        <f t="shared" si="152"/>
        <v>4.4038201316473089E-6</v>
      </c>
      <c r="AC364" s="36">
        <v>600</v>
      </c>
      <c r="AD364" s="36">
        <f t="shared" si="153"/>
        <v>10942.486770844764</v>
      </c>
      <c r="AE364" s="36">
        <f>+gettm2(AD364,AC364,AK364,AL364,テーブル2[[#This Row],[Fcorr]])</f>
        <v>544.96672887885245</v>
      </c>
      <c r="AF364" s="39">
        <f t="shared" si="154"/>
        <v>-13.191003001932586</v>
      </c>
      <c r="AG364" s="36">
        <v>1.0000000000000001E-5</v>
      </c>
      <c r="AH364" s="36">
        <f t="shared" si="155"/>
        <v>177.21827206591323</v>
      </c>
      <c r="AI364" s="36">
        <f t="shared" si="156"/>
        <v>0.53255034941842927</v>
      </c>
      <c r="AJ364" s="36">
        <f t="shared" si="157"/>
        <v>46.075568532758282</v>
      </c>
      <c r="AK364" s="36">
        <f>+S88*テーブル2[[#This Row],[F_form]]/(E88*CpFromTP((テーブル2[[#This Row],[Tin]]+テーブル2[[#This Row],[Tf]])/2,テーブル2[[#This Row],[P]])*AI88)</f>
        <v>2.0115075093766657</v>
      </c>
      <c r="AL364" s="36">
        <f t="shared" si="158"/>
        <v>1.1293676909872215</v>
      </c>
      <c r="AM364" s="36">
        <f t="shared" si="159"/>
        <v>567.43317301753461</v>
      </c>
      <c r="AN364" s="36">
        <f t="shared" si="160"/>
        <v>41.187900980988957</v>
      </c>
      <c r="AO364" s="36">
        <f t="shared" si="161"/>
        <v>5.5961798683526919E-6</v>
      </c>
      <c r="AP364" s="36">
        <v>1</v>
      </c>
      <c r="AQ364" s="36">
        <f t="shared" si="162"/>
        <v>5.4530931276593132E-4</v>
      </c>
      <c r="AR364" s="36">
        <f t="shared" si="163"/>
        <v>7.7980899341763464E-6</v>
      </c>
      <c r="AS364" s="36">
        <f t="shared" si="164"/>
        <v>35.930142718675476</v>
      </c>
      <c r="AT364" s="36">
        <f t="shared" si="165"/>
        <v>14.453941433121948</v>
      </c>
      <c r="AU364" s="36">
        <f t="shared" si="166"/>
        <v>7.6974515606826053</v>
      </c>
      <c r="AV364" s="36">
        <f t="shared" si="167"/>
        <v>-6.6974515606826053</v>
      </c>
      <c r="AW364" s="36">
        <f t="shared" si="168"/>
        <v>2.6476257704709646E-3</v>
      </c>
      <c r="AX364" s="36">
        <f t="shared" si="169"/>
        <v>1.8672878815889977</v>
      </c>
      <c r="AY364" s="36">
        <f t="shared" si="170"/>
        <v>-8.5647394422716037</v>
      </c>
      <c r="AZ364" s="36">
        <f t="shared" si="171"/>
        <v>1080577.7610325073</v>
      </c>
      <c r="BA364" s="36">
        <f t="shared" si="172"/>
        <v>5.4530931276593132E-4</v>
      </c>
      <c r="BB364" s="38">
        <f t="shared" si="173"/>
        <v>6929340.8613009732</v>
      </c>
      <c r="BC364" s="40">
        <f t="shared" si="174"/>
        <v>-1619598.0386990272</v>
      </c>
      <c r="BD364" s="41">
        <f t="shared" si="175"/>
        <v>-18.945018295767994</v>
      </c>
      <c r="BE364" s="38">
        <v>8548938.9000000004</v>
      </c>
      <c r="BF364" s="42">
        <f>テーブル2[[#This Row],[q_P]]/テーブル2[[#This Row],[q_M]]</f>
        <v>0.8105498170423201</v>
      </c>
      <c r="BG364" s="36">
        <v>1</v>
      </c>
      <c r="BH364" s="36">
        <v>-0.20200000000000001</v>
      </c>
      <c r="BI364" s="36">
        <v>4.5999999999999999E-2</v>
      </c>
      <c r="BJ364" s="36">
        <v>5625</v>
      </c>
      <c r="BK364" s="22">
        <v>1</v>
      </c>
      <c r="BL364" s="36">
        <f>テーブル2[[#This Row],[Ts]]-テーブル2[[#This Row],[Tin]]</f>
        <v>82.08617522396969</v>
      </c>
      <c r="BM364" s="36">
        <f>テーブル2[[#This Row],[q_P]]*0.000001</f>
        <v>6.9293408613009726</v>
      </c>
      <c r="BN364" s="36">
        <f>テーブル2[[#This Row],[Tsub]]</f>
        <v>82.08617522396969</v>
      </c>
      <c r="BO364" s="36">
        <f>テーブル2[[#This Row],[Fcorr]]</f>
        <v>1</v>
      </c>
      <c r="BP364" s="36">
        <f>(テーブル2[[#This Row],[Tsub]]-40)^2</f>
        <v>1771.2461449826801</v>
      </c>
      <c r="BQ364" s="36">
        <v>1</v>
      </c>
      <c r="BR364" s="36">
        <v>0.3175</v>
      </c>
    </row>
    <row r="365" spans="1:70" x14ac:dyDescent="0.15">
      <c r="A365" s="35" t="s">
        <v>361</v>
      </c>
      <c r="B365" s="36">
        <v>13789514.586336</v>
      </c>
      <c r="C365" s="22">
        <f>TsatFromP(テーブル2[[#This Row],[P]])</f>
        <v>608.62107399852357</v>
      </c>
      <c r="D365" s="36">
        <f>RhoGFromP(テーブル2[[#This Row],[P]])</f>
        <v>85.147847035840741</v>
      </c>
      <c r="E365" s="36">
        <f>RhoFFromP(テーブル2[[#This Row],[P]])</f>
        <v>624.86636713482415</v>
      </c>
      <c r="F365" s="36">
        <f>HgFromP(テーブル2[[#This Row],[P]])</f>
        <v>2643264.5206450778</v>
      </c>
      <c r="G365" s="36">
        <f>HfFromP(テーブル2[[#This Row],[P]])</f>
        <v>1562686.7596125705</v>
      </c>
      <c r="H365" s="36">
        <f>MuGFromP(テーブル2[[#This Row],[P]])</f>
        <v>2.2019591234371903E-5</v>
      </c>
      <c r="I365" s="36">
        <f>MuFFromP(テーブル2[[#This Row],[P]])</f>
        <v>7.222326555143516E-5</v>
      </c>
      <c r="J365" s="36">
        <f>KfFromP(テーブル2[[#This Row],[P]])</f>
        <v>0.49112131073334553</v>
      </c>
      <c r="K365" s="36">
        <f>CpFFromP(テーブル2[[#This Row],[P]])</f>
        <v>7679.7488518783057</v>
      </c>
      <c r="L365" s="36">
        <f>SigmaFromP(テーブル2[[#This Row],[P]])</f>
        <v>6.5036449518301549E-3</v>
      </c>
      <c r="M365" s="36">
        <v>258.01</v>
      </c>
      <c r="N365" s="36">
        <v>9873.3544000000002</v>
      </c>
      <c r="O365" s="37">
        <f t="shared" si="176"/>
        <v>1.7719053836560394E-5</v>
      </c>
      <c r="P365" s="37">
        <f t="shared" si="177"/>
        <v>1.4921936786020797E-2</v>
      </c>
      <c r="Q365" s="37">
        <v>4.7497999999999993E-3</v>
      </c>
      <c r="R365" s="36">
        <v>0.3175</v>
      </c>
      <c r="S365" s="38">
        <v>10599422.4</v>
      </c>
      <c r="T365" s="36">
        <v>485.88591020696032</v>
      </c>
      <c r="U365" s="12">
        <f>+T365+BG365*S365*テーブル2[[#This Row],[Pw]]*R365/(N365*O365*K365)</f>
        <v>523.26242938219343</v>
      </c>
      <c r="V365" s="36">
        <v>0.03</v>
      </c>
      <c r="W365" s="37">
        <f t="shared" si="148"/>
        <v>649326.20217403211</v>
      </c>
      <c r="X365" s="36">
        <v>0.01</v>
      </c>
      <c r="Y365" s="36">
        <f t="shared" si="149"/>
        <v>10</v>
      </c>
      <c r="Z365" s="36">
        <f t="shared" si="150"/>
        <v>7.3603556056157897</v>
      </c>
      <c r="AA365" s="36">
        <f t="shared" si="151"/>
        <v>2.6396443943842103</v>
      </c>
      <c r="AB365" s="36">
        <f t="shared" si="152"/>
        <v>4.0020798984989802E-6</v>
      </c>
      <c r="AC365" s="36">
        <v>600</v>
      </c>
      <c r="AD365" s="36">
        <f t="shared" si="153"/>
        <v>11478.574018984133</v>
      </c>
      <c r="AE365" s="36">
        <f>+gettm2(AD365,AC365,AK365,AL365,テーブル2[[#This Row],[Fcorr]])</f>
        <v>540.59630652749297</v>
      </c>
      <c r="AF365" s="39">
        <f t="shared" si="154"/>
        <v>17.333877145299539</v>
      </c>
      <c r="AG365" s="36">
        <v>1.0000000000000001E-5</v>
      </c>
      <c r="AH365" s="36">
        <f t="shared" si="155"/>
        <v>195.00794936960887</v>
      </c>
      <c r="AI365" s="36">
        <f t="shared" si="156"/>
        <v>0.55864071235823709</v>
      </c>
      <c r="AJ365" s="36">
        <f t="shared" si="157"/>
        <v>48.332873043008696</v>
      </c>
      <c r="AK365" s="36">
        <f>+S88*テーブル2[[#This Row],[F_form]]/(E88*CpFromTP((テーブル2[[#This Row],[Tin]]+テーブル2[[#This Row],[Tf]])/2,テーブル2[[#This Row],[P]])*AI88)</f>
        <v>2.1617782923519955</v>
      </c>
      <c r="AL365" s="36">
        <f t="shared" si="158"/>
        <v>1.1293676909872215</v>
      </c>
      <c r="AM365" s="36">
        <f t="shared" si="159"/>
        <v>564.74176045519357</v>
      </c>
      <c r="AN365" s="36">
        <f t="shared" si="160"/>
        <v>43.879313543329999</v>
      </c>
      <c r="AO365" s="36">
        <f t="shared" si="161"/>
        <v>5.9979201015010206E-6</v>
      </c>
      <c r="AP365" s="36">
        <v>1</v>
      </c>
      <c r="AQ365" s="36">
        <f t="shared" si="162"/>
        <v>5.4530931276593132E-4</v>
      </c>
      <c r="AR365" s="36">
        <f t="shared" si="163"/>
        <v>7.9989600507505107E-6</v>
      </c>
      <c r="AS365" s="36">
        <f t="shared" si="164"/>
        <v>38.661272060902284</v>
      </c>
      <c r="AT365" s="36">
        <f t="shared" si="165"/>
        <v>14.637095942596797</v>
      </c>
      <c r="AU365" s="36">
        <f t="shared" si="166"/>
        <v>8.1768777042281364</v>
      </c>
      <c r="AV365" s="36">
        <f t="shared" si="167"/>
        <v>-7.1768777042281364</v>
      </c>
      <c r="AW365" s="36">
        <f t="shared" si="168"/>
        <v>2.4060950624670814E-3</v>
      </c>
      <c r="AX365" s="36">
        <f t="shared" si="169"/>
        <v>1.9587688440875939</v>
      </c>
      <c r="AY365" s="36">
        <f t="shared" si="170"/>
        <v>-9.1356465483157301</v>
      </c>
      <c r="AZ365" s="36">
        <f t="shared" si="171"/>
        <v>1080577.7610325073</v>
      </c>
      <c r="BA365" s="36">
        <f t="shared" si="172"/>
        <v>5.4530931276593132E-4</v>
      </c>
      <c r="BB365" s="38">
        <f t="shared" si="173"/>
        <v>7426786.4543073932</v>
      </c>
      <c r="BC365" s="40">
        <f t="shared" si="174"/>
        <v>-3172635.9456926072</v>
      </c>
      <c r="BD365" s="41">
        <f t="shared" si="175"/>
        <v>-29.932158809829172</v>
      </c>
      <c r="BE365" s="38">
        <v>10599422.4</v>
      </c>
      <c r="BF365" s="42">
        <f>テーブル2[[#This Row],[q_P]]/テーブル2[[#This Row],[q_M]]</f>
        <v>0.70067841190170821</v>
      </c>
      <c r="BG365" s="36">
        <v>1</v>
      </c>
      <c r="BH365" s="36">
        <v>-0.33500000000000002</v>
      </c>
      <c r="BI365" s="36">
        <v>4.5999999999999999E-2</v>
      </c>
      <c r="BJ365" s="36">
        <v>5625</v>
      </c>
      <c r="BK365" s="22">
        <v>1</v>
      </c>
      <c r="BL365" s="36">
        <f>テーブル2[[#This Row],[Ts]]-テーブル2[[#This Row],[Tin]]</f>
        <v>122.73516379156325</v>
      </c>
      <c r="BM365" s="36">
        <f>テーブル2[[#This Row],[q_P]]*0.000001</f>
        <v>7.4267864543073925</v>
      </c>
      <c r="BN365" s="36">
        <f>テーブル2[[#This Row],[Tsub]]</f>
        <v>122.73516379156325</v>
      </c>
      <c r="BO365" s="36">
        <f>テーブル2[[#This Row],[Fcorr]]</f>
        <v>1</v>
      </c>
      <c r="BP365" s="36">
        <f>(テーブル2[[#This Row],[Tsub]]-40)^2</f>
        <v>6845.107327616799</v>
      </c>
      <c r="BQ365" s="36">
        <v>1</v>
      </c>
      <c r="BR365" s="36">
        <v>0.3175</v>
      </c>
    </row>
    <row r="366" spans="1:70" x14ac:dyDescent="0.15">
      <c r="A366" s="35" t="s">
        <v>362</v>
      </c>
      <c r="B366" s="36">
        <v>13789514.586336</v>
      </c>
      <c r="C366" s="22">
        <f>TsatFromP(テーブル2[[#This Row],[P]])</f>
        <v>608.62107399852357</v>
      </c>
      <c r="D366" s="36">
        <f>RhoGFromP(テーブル2[[#This Row],[P]])</f>
        <v>85.147847035840741</v>
      </c>
      <c r="E366" s="36">
        <f>RhoFFromP(テーブル2[[#This Row],[P]])</f>
        <v>624.86636713482415</v>
      </c>
      <c r="F366" s="36">
        <f>HgFromP(テーブル2[[#This Row],[P]])</f>
        <v>2643264.5206450778</v>
      </c>
      <c r="G366" s="36">
        <f>HfFromP(テーブル2[[#This Row],[P]])</f>
        <v>1562686.7596125705</v>
      </c>
      <c r="H366" s="36">
        <f>MuGFromP(テーブル2[[#This Row],[P]])</f>
        <v>2.2019591234371903E-5</v>
      </c>
      <c r="I366" s="36">
        <f>MuFFromP(テーブル2[[#This Row],[P]])</f>
        <v>7.222326555143516E-5</v>
      </c>
      <c r="J366" s="36">
        <f>KfFromP(テーブル2[[#This Row],[P]])</f>
        <v>0.49112131073334553</v>
      </c>
      <c r="K366" s="36">
        <f>CpFFromP(テーブル2[[#This Row],[P]])</f>
        <v>7679.7488518783057</v>
      </c>
      <c r="L366" s="36">
        <f>SigmaFromP(テーブル2[[#This Row],[P]])</f>
        <v>6.5036449518301549E-3</v>
      </c>
      <c r="M366" s="36">
        <v>259.01</v>
      </c>
      <c r="N366" s="36">
        <v>10524.344800000001</v>
      </c>
      <c r="O366" s="37">
        <f t="shared" si="176"/>
        <v>1.7719053836560394E-5</v>
      </c>
      <c r="P366" s="37">
        <f t="shared" si="177"/>
        <v>1.4921936786020797E-2</v>
      </c>
      <c r="Q366" s="37">
        <v>4.7497999999999993E-3</v>
      </c>
      <c r="R366" s="36">
        <v>0.3175</v>
      </c>
      <c r="S366" s="38">
        <v>12902273.1</v>
      </c>
      <c r="T366" s="36">
        <v>446.36479170134942</v>
      </c>
      <c r="U366" s="12">
        <f>+T366+BG366*S366*テーブル2[[#This Row],[Pw]]*R366/(N366*O366*K366)</f>
        <v>489.04755640382251</v>
      </c>
      <c r="V366" s="36">
        <v>0.03</v>
      </c>
      <c r="W366" s="37">
        <f t="shared" si="148"/>
        <v>692138.91880089138</v>
      </c>
      <c r="X366" s="36">
        <v>0.01</v>
      </c>
      <c r="Y366" s="36">
        <f t="shared" si="149"/>
        <v>10</v>
      </c>
      <c r="Z366" s="36">
        <f t="shared" si="150"/>
        <v>7.4607134912297974</v>
      </c>
      <c r="AA366" s="36">
        <f t="shared" si="151"/>
        <v>2.5392865087702026</v>
      </c>
      <c r="AB366" s="36">
        <f t="shared" si="152"/>
        <v>3.5222896842884532E-6</v>
      </c>
      <c r="AC366" s="36">
        <v>600</v>
      </c>
      <c r="AD366" s="36">
        <f t="shared" si="153"/>
        <v>12235.403075180888</v>
      </c>
      <c r="AE366" s="36">
        <f>+gettm2(AD366,AC366,AK366,AL366,テーブル2[[#This Row],[Fcorr]])</f>
        <v>537.619226269298</v>
      </c>
      <c r="AF366" s="39">
        <f t="shared" si="154"/>
        <v>48.571669865475485</v>
      </c>
      <c r="AG366" s="36">
        <v>1.0000000000000001E-5</v>
      </c>
      <c r="AH366" s="36">
        <f t="shared" si="155"/>
        <v>221.57104161558385</v>
      </c>
      <c r="AI366" s="36">
        <f t="shared" si="156"/>
        <v>0.59547416592031854</v>
      </c>
      <c r="AJ366" s="36">
        <f t="shared" si="157"/>
        <v>51.519655881009257</v>
      </c>
      <c r="AK366" s="36">
        <f>+S88*テーブル2[[#This Row],[F_form]]/(E88*CpFromTP((テーブル2[[#This Row],[Tin]]+テーブル2[[#This Row],[Tf]])/2,テーブル2[[#This Row],[P]])*AI88)</f>
        <v>2.2569763723853464</v>
      </c>
      <c r="AL366" s="36">
        <f t="shared" si="158"/>
        <v>1.1293676909872215</v>
      </c>
      <c r="AM366" s="36">
        <f t="shared" si="159"/>
        <v>562.82881765802017</v>
      </c>
      <c r="AN366" s="36">
        <f t="shared" si="160"/>
        <v>45.7922563405034</v>
      </c>
      <c r="AO366" s="36">
        <f t="shared" si="161"/>
        <v>6.4777103157115476E-6</v>
      </c>
      <c r="AP366" s="36">
        <v>1</v>
      </c>
      <c r="AQ366" s="36">
        <f t="shared" si="162"/>
        <v>5.4530931276593132E-4</v>
      </c>
      <c r="AR366" s="36">
        <f t="shared" si="163"/>
        <v>8.2388551578557742E-6</v>
      </c>
      <c r="AS366" s="36">
        <f t="shared" si="164"/>
        <v>42.446298258620764</v>
      </c>
      <c r="AT366" s="36">
        <f t="shared" si="165"/>
        <v>14.87059926641701</v>
      </c>
      <c r="AU366" s="36">
        <f t="shared" si="166"/>
        <v>8.8550576949049695</v>
      </c>
      <c r="AV366" s="36">
        <f t="shared" si="167"/>
        <v>-7.8550576949049695</v>
      </c>
      <c r="AW366" s="36">
        <f t="shared" si="168"/>
        <v>2.1176398355074824E-3</v>
      </c>
      <c r="AX366" s="36">
        <f t="shared" si="169"/>
        <v>2.0879184382032592</v>
      </c>
      <c r="AY366" s="36">
        <f t="shared" si="170"/>
        <v>-9.9429761331082283</v>
      </c>
      <c r="AZ366" s="36">
        <f t="shared" si="171"/>
        <v>1080577.7610325073</v>
      </c>
      <c r="BA366" s="36">
        <f t="shared" si="172"/>
        <v>5.4530931276593132E-4</v>
      </c>
      <c r="BB366" s="38">
        <f t="shared" si="173"/>
        <v>8020875.6391426893</v>
      </c>
      <c r="BC366" s="40">
        <f t="shared" si="174"/>
        <v>-4881397.4608573103</v>
      </c>
      <c r="BD366" s="41">
        <f t="shared" si="175"/>
        <v>-37.833623757795905</v>
      </c>
      <c r="BE366" s="38">
        <v>12902273.1</v>
      </c>
      <c r="BF366" s="42">
        <f>テーブル2[[#This Row],[q_P]]/テーブル2[[#This Row],[q_M]]</f>
        <v>0.62166376242204091</v>
      </c>
      <c r="BG366" s="36">
        <v>1</v>
      </c>
      <c r="BH366" s="36">
        <v>-0.45900000000000002</v>
      </c>
      <c r="BI366" s="36">
        <v>4.5999999999999999E-2</v>
      </c>
      <c r="BJ366" s="36">
        <v>5625</v>
      </c>
      <c r="BK366" s="22">
        <v>1</v>
      </c>
      <c r="BL366" s="36">
        <f>テーブル2[[#This Row],[Ts]]-テーブル2[[#This Row],[Tin]]</f>
        <v>162.25628229717415</v>
      </c>
      <c r="BM366" s="36">
        <f>テーブル2[[#This Row],[q_P]]*0.000001</f>
        <v>8.0208756391426892</v>
      </c>
      <c r="BN366" s="36">
        <f>テーブル2[[#This Row],[Tsub]]</f>
        <v>162.25628229717415</v>
      </c>
      <c r="BO366" s="36">
        <f>テーブル2[[#This Row],[Fcorr]]</f>
        <v>1</v>
      </c>
      <c r="BP366" s="36">
        <f>(テーブル2[[#This Row],[Tsub]]-40)^2</f>
        <v>14946.598561126339</v>
      </c>
      <c r="BQ366" s="36">
        <v>1</v>
      </c>
      <c r="BR366" s="36">
        <v>0.3175</v>
      </c>
    </row>
    <row r="367" spans="1:70" x14ac:dyDescent="0.15">
      <c r="A367" s="35" t="s">
        <v>363</v>
      </c>
      <c r="B367" s="36">
        <v>13789514.586336</v>
      </c>
      <c r="C367" s="22">
        <f>TsatFromP(テーブル2[[#This Row],[P]])</f>
        <v>608.62107399852357</v>
      </c>
      <c r="D367" s="36">
        <f>RhoGFromP(テーブル2[[#This Row],[P]])</f>
        <v>85.147847035840741</v>
      </c>
      <c r="E367" s="36">
        <f>RhoFFromP(テーブル2[[#This Row],[P]])</f>
        <v>624.86636713482415</v>
      </c>
      <c r="F367" s="36">
        <f>HgFromP(テーブル2[[#This Row],[P]])</f>
        <v>2643264.5206450778</v>
      </c>
      <c r="G367" s="36">
        <f>HfFromP(テーブル2[[#This Row],[P]])</f>
        <v>1562686.7596125705</v>
      </c>
      <c r="H367" s="36">
        <f>MuGFromP(テーブル2[[#This Row],[P]])</f>
        <v>2.2019591234371903E-5</v>
      </c>
      <c r="I367" s="36">
        <f>MuFFromP(テーブル2[[#This Row],[P]])</f>
        <v>7.222326555143516E-5</v>
      </c>
      <c r="J367" s="36">
        <f>KfFromP(テーブル2[[#This Row],[P]])</f>
        <v>0.49112131073334553</v>
      </c>
      <c r="K367" s="36">
        <f>CpFFromP(テーブル2[[#This Row],[P]])</f>
        <v>7679.7488518783057</v>
      </c>
      <c r="L367" s="36">
        <f>SigmaFromP(テーブル2[[#This Row],[P]])</f>
        <v>6.5036449518301549E-3</v>
      </c>
      <c r="M367" s="36">
        <v>26.01</v>
      </c>
      <c r="N367" s="36">
        <v>3173.5781999999999</v>
      </c>
      <c r="O367" s="37">
        <f t="shared" si="176"/>
        <v>2.8502295699234246E-6</v>
      </c>
      <c r="P367" s="37">
        <f t="shared" si="177"/>
        <v>5.9847340050885557E-3</v>
      </c>
      <c r="Q367" s="37">
        <v>1.905E-3</v>
      </c>
      <c r="R367" s="36">
        <v>0.69595999999999991</v>
      </c>
      <c r="S367" s="38">
        <v>3025251.81</v>
      </c>
      <c r="T367" s="36">
        <v>297.62562573329501</v>
      </c>
      <c r="U367" s="12">
        <f>+T367+BG367*S367*テーブル2[[#This Row],[Pw]]*R367/(N367*O367*K367)</f>
        <v>479.01615095117864</v>
      </c>
      <c r="V367" s="36">
        <v>0.03</v>
      </c>
      <c r="W367" s="37">
        <f t="shared" si="148"/>
        <v>83708.01880585785</v>
      </c>
      <c r="X367" s="36">
        <v>0.01</v>
      </c>
      <c r="Y367" s="36">
        <f t="shared" si="149"/>
        <v>10</v>
      </c>
      <c r="Z367" s="36">
        <f t="shared" si="150"/>
        <v>4.7120383428666432</v>
      </c>
      <c r="AA367" s="36">
        <f t="shared" si="151"/>
        <v>5.2879616571333568</v>
      </c>
      <c r="AB367" s="36">
        <f t="shared" si="152"/>
        <v>3.8736180745965446E-5</v>
      </c>
      <c r="AC367" s="36">
        <v>600</v>
      </c>
      <c r="AD367" s="36">
        <f t="shared" si="153"/>
        <v>1479.7626934328284</v>
      </c>
      <c r="AE367" s="36">
        <f>+gettm2(AD367,AC367,AK367,AL367,テーブル2[[#This Row],[Fcorr]])</f>
        <v>547.2317778363049</v>
      </c>
      <c r="AF367" s="39">
        <f t="shared" si="154"/>
        <v>68.215626885126255</v>
      </c>
      <c r="AG367" s="36">
        <v>1.0000000000000001E-5</v>
      </c>
      <c r="AH367" s="36">
        <f t="shared" si="155"/>
        <v>20.147504973135607</v>
      </c>
      <c r="AI367" s="36">
        <f t="shared" si="156"/>
        <v>0.1795630861151476</v>
      </c>
      <c r="AJ367" s="36">
        <f t="shared" si="157"/>
        <v>15.535566335252792</v>
      </c>
      <c r="AK367" s="36">
        <f>+S88*テーブル2[[#This Row],[F_form]]/(E88*CpFromTP((テーブル2[[#This Row],[Tin]]+テーブル2[[#This Row],[Tf]])/2,テーブル2[[#This Row],[P]])*AI88)</f>
        <v>2.364522636968486</v>
      </c>
      <c r="AL367" s="36">
        <f t="shared" si="158"/>
        <v>1.1293676909872215</v>
      </c>
      <c r="AM367" s="36">
        <f t="shared" si="159"/>
        <v>572.250478869262</v>
      </c>
      <c r="AN367" s="36">
        <f t="shared" si="160"/>
        <v>36.370595129261574</v>
      </c>
      <c r="AO367" s="36">
        <f t="shared" si="161"/>
        <v>-2.8736180745965447E-5</v>
      </c>
      <c r="AP367" s="36">
        <v>1</v>
      </c>
      <c r="AQ367" s="36">
        <f t="shared" si="162"/>
        <v>5.4530931276593132E-4</v>
      </c>
      <c r="AR367" s="36">
        <f t="shared" si="163"/>
        <v>-9.3680903729827238E-6</v>
      </c>
      <c r="AS367" s="36">
        <f t="shared" si="164"/>
        <v>-14.553858942411617</v>
      </c>
      <c r="AT367" s="36">
        <f t="shared" si="165"/>
        <v>-14.553858942411617</v>
      </c>
      <c r="AU367" s="36">
        <f t="shared" si="166"/>
        <v>-2.6133358265839681</v>
      </c>
      <c r="AV367" s="36">
        <f t="shared" si="167"/>
        <v>3.6133358265839681</v>
      </c>
      <c r="AW367" s="36">
        <f t="shared" si="168"/>
        <v>2.3288623814496201E-2</v>
      </c>
      <c r="AX367" s="36">
        <f t="shared" si="169"/>
        <v>0.62960427131386931</v>
      </c>
      <c r="AY367" s="36">
        <f t="shared" si="170"/>
        <v>2.9837315552700989</v>
      </c>
      <c r="AZ367" s="36">
        <f t="shared" si="171"/>
        <v>1080577.7610325073</v>
      </c>
      <c r="BA367" s="36">
        <f t="shared" si="172"/>
        <v>5.4530931276593132E-4</v>
      </c>
      <c r="BB367" s="38">
        <f t="shared" si="173"/>
        <v>-35581914.113736846</v>
      </c>
      <c r="BC367" s="40">
        <f t="shared" si="174"/>
        <v>-38607165.923736848</v>
      </c>
      <c r="BD367" s="41">
        <f t="shared" si="175"/>
        <v>-1276.1637162275379</v>
      </c>
      <c r="BE367" s="38">
        <v>3025251.81</v>
      </c>
      <c r="BF367" s="42">
        <f>テーブル2[[#This Row],[q_P]]/テーブル2[[#This Row],[q_M]]</f>
        <v>-11.761637162275376</v>
      </c>
      <c r="BG367" s="36">
        <v>1</v>
      </c>
      <c r="BH367" s="36">
        <v>-0.05</v>
      </c>
      <c r="BI367" s="36">
        <v>4.5999999999999999E-2</v>
      </c>
      <c r="BJ367" s="36">
        <v>5625</v>
      </c>
      <c r="BK367" s="22">
        <v>1</v>
      </c>
      <c r="BL367" s="36">
        <f>テーブル2[[#This Row],[Ts]]-テーブル2[[#This Row],[Tin]]</f>
        <v>310.99544826522856</v>
      </c>
      <c r="BM367" s="36">
        <f>テーブル2[[#This Row],[q_P]]*0.000001</f>
        <v>-35.581914113736843</v>
      </c>
      <c r="BN367" s="36">
        <f>テーブル2[[#This Row],[Tsub]]</f>
        <v>310.99544826522856</v>
      </c>
      <c r="BO367" s="36">
        <f>テーブル2[[#This Row],[Fcorr]]</f>
        <v>1</v>
      </c>
      <c r="BP367" s="36">
        <f>(テーブル2[[#This Row],[Tsub]]-40)^2</f>
        <v>73438.53298047217</v>
      </c>
      <c r="BQ367" s="36">
        <v>1</v>
      </c>
      <c r="BR367" s="36">
        <v>0.69595999999999991</v>
      </c>
    </row>
    <row r="368" spans="1:70" x14ac:dyDescent="0.15">
      <c r="A368" s="35" t="s">
        <v>364</v>
      </c>
      <c r="B368" s="36">
        <v>13789514.586336</v>
      </c>
      <c r="C368" s="22">
        <f>TsatFromP(テーブル2[[#This Row],[P]])</f>
        <v>608.62107399852357</v>
      </c>
      <c r="D368" s="36">
        <f>RhoGFromP(テーブル2[[#This Row],[P]])</f>
        <v>85.147847035840741</v>
      </c>
      <c r="E368" s="36">
        <f>RhoFFromP(テーブル2[[#This Row],[P]])</f>
        <v>624.86636713482415</v>
      </c>
      <c r="F368" s="36">
        <f>HgFromP(テーブル2[[#This Row],[P]])</f>
        <v>2643264.5206450778</v>
      </c>
      <c r="G368" s="36">
        <f>HfFromP(テーブル2[[#This Row],[P]])</f>
        <v>1562686.7596125705</v>
      </c>
      <c r="H368" s="36">
        <f>MuGFromP(テーブル2[[#This Row],[P]])</f>
        <v>2.2019591234371903E-5</v>
      </c>
      <c r="I368" s="36">
        <f>MuFFromP(テーブル2[[#This Row],[P]])</f>
        <v>7.222326555143516E-5</v>
      </c>
      <c r="J368" s="36">
        <f>KfFromP(テーブル2[[#This Row],[P]])</f>
        <v>0.49112131073334553</v>
      </c>
      <c r="K368" s="36">
        <f>CpFFromP(テーブル2[[#This Row],[P]])</f>
        <v>7679.7488518783057</v>
      </c>
      <c r="L368" s="36">
        <f>SigmaFromP(テーブル2[[#This Row],[P]])</f>
        <v>6.5036449518301549E-3</v>
      </c>
      <c r="M368" s="36">
        <v>260.01</v>
      </c>
      <c r="N368" s="36">
        <v>1301.9808</v>
      </c>
      <c r="O368" s="37">
        <f t="shared" si="176"/>
        <v>2.5880591202383804E-5</v>
      </c>
      <c r="P368" s="37">
        <f t="shared" si="177"/>
        <v>1.8033998468666854E-2</v>
      </c>
      <c r="Q368" s="37">
        <v>5.7404000000000014E-3</v>
      </c>
      <c r="R368" s="36">
        <v>0.62484000000000006</v>
      </c>
      <c r="S368" s="38">
        <v>3501594.9</v>
      </c>
      <c r="T368" s="36">
        <v>330.15723750573608</v>
      </c>
      <c r="U368" s="12">
        <f>+T368+BG368*S368*テーブル2[[#This Row],[Pw]]*R368/(N368*O368*K368)</f>
        <v>482.63305230711057</v>
      </c>
      <c r="V368" s="36">
        <v>0.03</v>
      </c>
      <c r="W368" s="37">
        <f t="shared" si="148"/>
        <v>103483.14393230157</v>
      </c>
      <c r="X368" s="36">
        <v>0.01</v>
      </c>
      <c r="Y368" s="36">
        <f t="shared" si="149"/>
        <v>10</v>
      </c>
      <c r="Z368" s="36">
        <f t="shared" si="150"/>
        <v>4.1580346896216644</v>
      </c>
      <c r="AA368" s="36">
        <f t="shared" si="151"/>
        <v>5.8419653103783356</v>
      </c>
      <c r="AB368" s="36">
        <f t="shared" si="152"/>
        <v>2.3014738638520873E-4</v>
      </c>
      <c r="AC368" s="36">
        <v>600</v>
      </c>
      <c r="AD368" s="36">
        <f t="shared" si="153"/>
        <v>1829.3408203258489</v>
      </c>
      <c r="AE368" s="36">
        <f>+gettm2(AD368,AC368,AK368,AL368,テーブル2[[#This Row],[Fcorr]])</f>
        <v>546.31591701518471</v>
      </c>
      <c r="AF368" s="39">
        <f t="shared" si="154"/>
        <v>63.682864708074135</v>
      </c>
      <c r="AG368" s="36">
        <v>1.0000000000000001E-5</v>
      </c>
      <c r="AH368" s="36">
        <f t="shared" si="155"/>
        <v>3.3910330526776566</v>
      </c>
      <c r="AI368" s="36">
        <f t="shared" si="156"/>
        <v>7.3666907124163114E-2</v>
      </c>
      <c r="AJ368" s="36">
        <f t="shared" si="157"/>
        <v>6.3735656760011441</v>
      </c>
      <c r="AK368" s="36">
        <f>+S88*テーブル2[[#This Row],[F_form]]/(E88*CpFromTP((テーブル2[[#This Row],[Tin]]+テーブル2[[#This Row],[Tf]])/2,テーブル2[[#This Row],[P]])*AI88)</f>
        <v>2.348815124115978</v>
      </c>
      <c r="AL368" s="36">
        <f t="shared" si="158"/>
        <v>1.1293676909872215</v>
      </c>
      <c r="AM368" s="36">
        <f t="shared" si="159"/>
        <v>583.56314111859649</v>
      </c>
      <c r="AN368" s="36">
        <f t="shared" si="160"/>
        <v>25.05793287992708</v>
      </c>
      <c r="AO368" s="36">
        <f t="shared" si="161"/>
        <v>-2.2014738638520873E-4</v>
      </c>
      <c r="AP368" s="36">
        <v>1</v>
      </c>
      <c r="AQ368" s="36">
        <f t="shared" si="162"/>
        <v>5.4530931276593132E-4</v>
      </c>
      <c r="AR368" s="36">
        <f t="shared" si="163"/>
        <v>-1.0507369319260437E-4</v>
      </c>
      <c r="AS368" s="36">
        <f t="shared" si="164"/>
        <v>-66.969408438305834</v>
      </c>
      <c r="AT368" s="36">
        <f t="shared" si="165"/>
        <v>-66.969408438305834</v>
      </c>
      <c r="AU368" s="36">
        <f t="shared" si="166"/>
        <v>-4.9334291915848212</v>
      </c>
      <c r="AV368" s="36">
        <f t="shared" si="167"/>
        <v>5.9334291915848212</v>
      </c>
      <c r="AW368" s="36">
        <f t="shared" si="168"/>
        <v>0.13836717508534654</v>
      </c>
      <c r="AX368" s="36">
        <f t="shared" si="169"/>
        <v>0.25829918823133102</v>
      </c>
      <c r="AY368" s="36">
        <f t="shared" si="170"/>
        <v>5.6751300033534902</v>
      </c>
      <c r="AZ368" s="36">
        <f t="shared" si="171"/>
        <v>1080577.7610325073</v>
      </c>
      <c r="BA368" s="36">
        <f t="shared" si="172"/>
        <v>5.4530931276593132E-4</v>
      </c>
      <c r="BB368" s="38">
        <f t="shared" si="173"/>
        <v>-272592431.95781767</v>
      </c>
      <c r="BC368" s="40">
        <f t="shared" si="174"/>
        <v>-276094026.85781765</v>
      </c>
      <c r="BD368" s="41">
        <f t="shared" si="175"/>
        <v>-7884.8077731041258</v>
      </c>
      <c r="BE368" s="38">
        <v>3501594.9</v>
      </c>
      <c r="BF368" s="42">
        <f>テーブル2[[#This Row],[q_P]]/テーブル2[[#This Row],[q_M]]</f>
        <v>-77.848077731041272</v>
      </c>
      <c r="BG368" s="36">
        <v>1</v>
      </c>
      <c r="BH368" s="36">
        <v>-0.13100000000000001</v>
      </c>
      <c r="BI368" s="36">
        <v>4.5999999999999999E-2</v>
      </c>
      <c r="BJ368" s="36">
        <v>5625</v>
      </c>
      <c r="BK368" s="22">
        <v>1</v>
      </c>
      <c r="BL368" s="36">
        <f>テーブル2[[#This Row],[Ts]]-テーブル2[[#This Row],[Tin]]</f>
        <v>278.46383649278749</v>
      </c>
      <c r="BM368" s="36">
        <f>テーブル2[[#This Row],[q_P]]*0.000001</f>
        <v>-272.59243195781767</v>
      </c>
      <c r="BN368" s="36">
        <f>テーブル2[[#This Row],[Tsub]]</f>
        <v>278.46383649278749</v>
      </c>
      <c r="BO368" s="36">
        <f>テーブル2[[#This Row],[Fcorr]]</f>
        <v>1</v>
      </c>
      <c r="BP368" s="36">
        <f>(テーブル2[[#This Row],[Tsub]]-40)^2</f>
        <v>56865.001314858891</v>
      </c>
      <c r="BQ368" s="36">
        <v>1</v>
      </c>
      <c r="BR368" s="36">
        <v>0.62484000000000006</v>
      </c>
    </row>
    <row r="369" spans="1:70" x14ac:dyDescent="0.15">
      <c r="A369" s="35" t="s">
        <v>365</v>
      </c>
      <c r="B369" s="36">
        <v>13789514.586336</v>
      </c>
      <c r="C369" s="22">
        <f>TsatFromP(テーブル2[[#This Row],[P]])</f>
        <v>608.62107399852357</v>
      </c>
      <c r="D369" s="36">
        <f>RhoGFromP(テーブル2[[#This Row],[P]])</f>
        <v>85.147847035840741</v>
      </c>
      <c r="E369" s="36">
        <f>RhoFFromP(テーブル2[[#This Row],[P]])</f>
        <v>624.86636713482415</v>
      </c>
      <c r="F369" s="36">
        <f>HgFromP(テーブル2[[#This Row],[P]])</f>
        <v>2643264.5206450778</v>
      </c>
      <c r="G369" s="36">
        <f>HfFromP(テーブル2[[#This Row],[P]])</f>
        <v>1562686.7596125705</v>
      </c>
      <c r="H369" s="36">
        <f>MuGFromP(テーブル2[[#This Row],[P]])</f>
        <v>2.2019591234371903E-5</v>
      </c>
      <c r="I369" s="36">
        <f>MuFFromP(テーブル2[[#This Row],[P]])</f>
        <v>7.222326555143516E-5</v>
      </c>
      <c r="J369" s="36">
        <f>KfFromP(テーブル2[[#This Row],[P]])</f>
        <v>0.49112131073334553</v>
      </c>
      <c r="K369" s="36">
        <f>CpFFromP(テーブル2[[#This Row],[P]])</f>
        <v>7679.7488518783057</v>
      </c>
      <c r="L369" s="36">
        <f>SigmaFromP(テーブル2[[#This Row],[P]])</f>
        <v>6.5036449518301549E-3</v>
      </c>
      <c r="M369" s="36">
        <v>262.01</v>
      </c>
      <c r="N369" s="36">
        <v>1312.8306399999999</v>
      </c>
      <c r="O369" s="37">
        <f t="shared" si="176"/>
        <v>2.5880591202383804E-5</v>
      </c>
      <c r="P369" s="37">
        <f t="shared" si="177"/>
        <v>1.8033998468666854E-2</v>
      </c>
      <c r="Q369" s="37">
        <v>5.7404000000000014E-3</v>
      </c>
      <c r="R369" s="36">
        <v>0.62484000000000006</v>
      </c>
      <c r="S369" s="38">
        <v>1567831.23</v>
      </c>
      <c r="T369" s="36">
        <v>514.21920812086432</v>
      </c>
      <c r="U369" s="12">
        <f>+T369+BG369*S369*テーブル2[[#This Row],[Pw]]*R369/(N369*O369*K369)</f>
        <v>581.92569010101454</v>
      </c>
      <c r="V369" s="36">
        <v>0.03</v>
      </c>
      <c r="W369" s="37">
        <f t="shared" si="148"/>
        <v>104345.50346507074</v>
      </c>
      <c r="X369" s="36">
        <v>0.01</v>
      </c>
      <c r="Y369" s="36">
        <f t="shared" si="149"/>
        <v>10</v>
      </c>
      <c r="Z369" s="36">
        <f t="shared" si="150"/>
        <v>4.1722400617178126</v>
      </c>
      <c r="AA369" s="36">
        <f t="shared" si="151"/>
        <v>5.8277599382821874</v>
      </c>
      <c r="AB369" s="36">
        <f t="shared" si="152"/>
        <v>2.2635901673021013E-4</v>
      </c>
      <c r="AC369" s="36">
        <v>600</v>
      </c>
      <c r="AD369" s="36">
        <f t="shared" si="153"/>
        <v>1844.5853271618978</v>
      </c>
      <c r="AE369" s="36">
        <f>+gettm2(AD369,AC369,AK369,AL369,テーブル2[[#This Row],[Fcorr]])</f>
        <v>554.6672537833341</v>
      </c>
      <c r="AF369" s="39">
        <f t="shared" si="154"/>
        <v>-27.258436317680435</v>
      </c>
      <c r="AG369" s="36">
        <v>1.0000000000000001E-5</v>
      </c>
      <c r="AH369" s="36">
        <f t="shared" si="155"/>
        <v>3.4477857586287195</v>
      </c>
      <c r="AI369" s="36">
        <f t="shared" si="156"/>
        <v>7.4280798016864477E-2</v>
      </c>
      <c r="AJ369" s="36">
        <f t="shared" si="157"/>
        <v>6.4266787233011549</v>
      </c>
      <c r="AK369" s="36">
        <f>+S88*テーブル2[[#This Row],[F_form]]/(E88*CpFromTP((テーブル2[[#This Row],[Tin]]+テーブル2[[#This Row],[Tf]])/2,テーブル2[[#This Row],[P]])*AI88)</f>
        <v>1.9815969050459663</v>
      </c>
      <c r="AL369" s="36">
        <f t="shared" si="158"/>
        <v>1.1293676909872215</v>
      </c>
      <c r="AM369" s="36">
        <f t="shared" si="159"/>
        <v>586.0426049216677</v>
      </c>
      <c r="AN369" s="36">
        <f t="shared" si="160"/>
        <v>22.578469076855868</v>
      </c>
      <c r="AO369" s="36">
        <f t="shared" si="161"/>
        <v>-2.1635901673021013E-4</v>
      </c>
      <c r="AP369" s="36">
        <v>1</v>
      </c>
      <c r="AQ369" s="36">
        <f t="shared" si="162"/>
        <v>5.4530931276593132E-4</v>
      </c>
      <c r="AR369" s="36">
        <f t="shared" si="163"/>
        <v>-1.0317950836510507E-4</v>
      </c>
      <c r="AS369" s="36">
        <f t="shared" si="164"/>
        <v>-66.310155109069427</v>
      </c>
      <c r="AT369" s="36">
        <f t="shared" si="165"/>
        <v>-66.310155109069427</v>
      </c>
      <c r="AU369" s="36">
        <f t="shared" si="166"/>
        <v>-4.92557123812374</v>
      </c>
      <c r="AV369" s="36">
        <f t="shared" si="167"/>
        <v>5.92557123812374</v>
      </c>
      <c r="AW369" s="36">
        <f t="shared" si="168"/>
        <v>0.13608956500437064</v>
      </c>
      <c r="AX369" s="36">
        <f t="shared" si="169"/>
        <v>0.26045168146659214</v>
      </c>
      <c r="AY369" s="36">
        <f t="shared" si="170"/>
        <v>5.6651195566571477</v>
      </c>
      <c r="AZ369" s="36">
        <f t="shared" si="171"/>
        <v>1080577.7610325073</v>
      </c>
      <c r="BA369" s="36">
        <f t="shared" si="172"/>
        <v>5.4530931276593132E-4</v>
      </c>
      <c r="BB369" s="38">
        <f t="shared" si="173"/>
        <v>-267901570.46557951</v>
      </c>
      <c r="BC369" s="40">
        <f t="shared" si="174"/>
        <v>-269469401.69557953</v>
      </c>
      <c r="BD369" s="41">
        <f t="shared" si="175"/>
        <v>-17187.398524749347</v>
      </c>
      <c r="BE369" s="38">
        <v>1567831.23</v>
      </c>
      <c r="BF369" s="42">
        <f>テーブル2[[#This Row],[q_P]]/テーブル2[[#This Row],[q_M]]</f>
        <v>-170.87398524749347</v>
      </c>
      <c r="BG369" s="36">
        <v>1</v>
      </c>
      <c r="BH369" s="36">
        <v>1E-3</v>
      </c>
      <c r="BI369" s="36">
        <v>4.5999999999999999E-2</v>
      </c>
      <c r="BJ369" s="36">
        <v>5625</v>
      </c>
      <c r="BK369" s="22">
        <v>1</v>
      </c>
      <c r="BL369" s="36">
        <f>テーブル2[[#This Row],[Ts]]-テーブル2[[#This Row],[Tin]]</f>
        <v>94.401865877659247</v>
      </c>
      <c r="BM369" s="36">
        <f>テーブル2[[#This Row],[q_P]]*0.000001</f>
        <v>-267.90157046557948</v>
      </c>
      <c r="BN369" s="36">
        <f>テーブル2[[#This Row],[Tsub]]</f>
        <v>94.401865877659247</v>
      </c>
      <c r="BO369" s="36">
        <f>テーブル2[[#This Row],[Fcorr]]</f>
        <v>1</v>
      </c>
      <c r="BP369" s="36">
        <f>(テーブル2[[#This Row],[Tsub]]-40)^2</f>
        <v>2959.5630109708254</v>
      </c>
      <c r="BQ369" s="36">
        <v>1</v>
      </c>
      <c r="BR369" s="36">
        <v>0.62484000000000006</v>
      </c>
    </row>
    <row r="370" spans="1:70" x14ac:dyDescent="0.15">
      <c r="A370" s="35" t="s">
        <v>366</v>
      </c>
      <c r="B370" s="36">
        <v>13789514.586336</v>
      </c>
      <c r="C370" s="22">
        <f>TsatFromP(テーブル2[[#This Row],[P]])</f>
        <v>608.62107399852357</v>
      </c>
      <c r="D370" s="36">
        <f>RhoGFromP(テーブル2[[#This Row],[P]])</f>
        <v>85.147847035840741</v>
      </c>
      <c r="E370" s="36">
        <f>RhoFFromP(テーブル2[[#This Row],[P]])</f>
        <v>624.86636713482415</v>
      </c>
      <c r="F370" s="36">
        <f>HgFromP(テーブル2[[#This Row],[P]])</f>
        <v>2643264.5206450778</v>
      </c>
      <c r="G370" s="36">
        <f>HfFromP(テーブル2[[#This Row],[P]])</f>
        <v>1562686.7596125705</v>
      </c>
      <c r="H370" s="36">
        <f>MuGFromP(テーブル2[[#This Row],[P]])</f>
        <v>2.2019591234371903E-5</v>
      </c>
      <c r="I370" s="36">
        <f>MuFFromP(テーブル2[[#This Row],[P]])</f>
        <v>7.222326555143516E-5</v>
      </c>
      <c r="J370" s="36">
        <f>KfFromP(テーブル2[[#This Row],[P]])</f>
        <v>0.49112131073334553</v>
      </c>
      <c r="K370" s="36">
        <f>CpFFromP(テーブル2[[#This Row],[P]])</f>
        <v>7679.7488518783057</v>
      </c>
      <c r="L370" s="36">
        <f>SigmaFromP(テーブル2[[#This Row],[P]])</f>
        <v>6.5036449518301549E-3</v>
      </c>
      <c r="M370" s="36">
        <v>263.01</v>
      </c>
      <c r="N370" s="36">
        <v>1315.5431000000001</v>
      </c>
      <c r="O370" s="37">
        <f t="shared" si="176"/>
        <v>2.5880591202383804E-5</v>
      </c>
      <c r="P370" s="37">
        <f t="shared" si="177"/>
        <v>1.8033998468666854E-2</v>
      </c>
      <c r="Q370" s="37">
        <v>5.7404000000000014E-3</v>
      </c>
      <c r="R370" s="36">
        <v>0.62484000000000006</v>
      </c>
      <c r="S370" s="38">
        <v>3406957.2</v>
      </c>
      <c r="T370" s="36">
        <v>344.15010926032551</v>
      </c>
      <c r="U370" s="12">
        <f>+T370+BG370*S370*テーブル2[[#This Row],[Pw]]*R370/(N370*O370*K370)</f>
        <v>490.97552468343792</v>
      </c>
      <c r="V370" s="36">
        <v>0.03</v>
      </c>
      <c r="W370" s="37">
        <f t="shared" si="148"/>
        <v>104561.09334826305</v>
      </c>
      <c r="X370" s="36">
        <v>0.01</v>
      </c>
      <c r="Y370" s="36">
        <f t="shared" si="149"/>
        <v>10</v>
      </c>
      <c r="Z370" s="36">
        <f t="shared" si="150"/>
        <v>4.1757727963218034</v>
      </c>
      <c r="AA370" s="36">
        <f t="shared" si="151"/>
        <v>5.8242272036781966</v>
      </c>
      <c r="AB370" s="36">
        <f t="shared" si="152"/>
        <v>2.2542653979446101E-4</v>
      </c>
      <c r="AC370" s="36">
        <v>600</v>
      </c>
      <c r="AD370" s="36">
        <f t="shared" si="153"/>
        <v>1848.3964538709099</v>
      </c>
      <c r="AE370" s="36">
        <f>+gettm2(AD370,AC370,AK370,AL370,テーブル2[[#This Row],[Fcorr]])</f>
        <v>546.52794894008389</v>
      </c>
      <c r="AF370" s="39">
        <f t="shared" si="154"/>
        <v>55.552424256645963</v>
      </c>
      <c r="AG370" s="36">
        <v>1.0000000000000001E-5</v>
      </c>
      <c r="AH370" s="36">
        <f t="shared" si="155"/>
        <v>3.4620475252434977</v>
      </c>
      <c r="AI370" s="36">
        <f t="shared" si="156"/>
        <v>7.4434270740039818E-2</v>
      </c>
      <c r="AJ370" s="36">
        <f t="shared" si="157"/>
        <v>6.4399569851261571</v>
      </c>
      <c r="AK370" s="36">
        <f>+S88*テーブル2[[#This Row],[F_form]]/(E88*CpFromTP((テーブル2[[#This Row],[Tin]]+テーブル2[[#This Row],[Tf]])/2,テーブル2[[#This Row],[P]])*AI88)</f>
        <v>2.3368493104267625</v>
      </c>
      <c r="AL370" s="36">
        <f t="shared" si="158"/>
        <v>1.1293676909872215</v>
      </c>
      <c r="AM370" s="36">
        <f t="shared" si="159"/>
        <v>583.51390857908132</v>
      </c>
      <c r="AN370" s="36">
        <f t="shared" si="160"/>
        <v>25.107165419442254</v>
      </c>
      <c r="AO370" s="36">
        <f t="shared" si="161"/>
        <v>-2.1542653979446101E-4</v>
      </c>
      <c r="AP370" s="36">
        <v>1</v>
      </c>
      <c r="AQ370" s="36">
        <f t="shared" si="162"/>
        <v>5.4530931276593132E-4</v>
      </c>
      <c r="AR370" s="36">
        <f t="shared" si="163"/>
        <v>-1.027132698972305E-4</v>
      </c>
      <c r="AS370" s="36">
        <f t="shared" si="164"/>
        <v>-66.14690399398178</v>
      </c>
      <c r="AT370" s="36">
        <f t="shared" si="165"/>
        <v>-66.14690399398178</v>
      </c>
      <c r="AU370" s="36">
        <f t="shared" si="166"/>
        <v>-4.9235965605034613</v>
      </c>
      <c r="AV370" s="36">
        <f t="shared" si="167"/>
        <v>5.9235965605034613</v>
      </c>
      <c r="AW370" s="36">
        <f t="shared" si="168"/>
        <v>0.13552894947247887</v>
      </c>
      <c r="AX370" s="36">
        <f t="shared" si="169"/>
        <v>0.2609898047754074</v>
      </c>
      <c r="AY370" s="36">
        <f t="shared" si="170"/>
        <v>5.6626067557280537</v>
      </c>
      <c r="AZ370" s="36">
        <f t="shared" si="171"/>
        <v>1080577.7610325073</v>
      </c>
      <c r="BA370" s="36">
        <f t="shared" si="172"/>
        <v>5.4530931276593132E-4</v>
      </c>
      <c r="BB370" s="38">
        <f t="shared" si="173"/>
        <v>-266746952.37161013</v>
      </c>
      <c r="BC370" s="40">
        <f t="shared" si="174"/>
        <v>-270153909.57161015</v>
      </c>
      <c r="BD370" s="41">
        <f t="shared" si="175"/>
        <v>-7929.4776456719246</v>
      </c>
      <c r="BE370" s="38">
        <v>3406957.2</v>
      </c>
      <c r="BF370" s="42">
        <f>テーブル2[[#This Row],[q_P]]/テーブル2[[#This Row],[q_M]]</f>
        <v>-78.294776456719248</v>
      </c>
      <c r="BG370" s="36">
        <v>1</v>
      </c>
      <c r="BH370" s="36">
        <v>-0.11700000000000001</v>
      </c>
      <c r="BI370" s="36">
        <v>4.5999999999999999E-2</v>
      </c>
      <c r="BJ370" s="36">
        <v>5625</v>
      </c>
      <c r="BK370" s="22">
        <v>1</v>
      </c>
      <c r="BL370" s="36">
        <f>テーブル2[[#This Row],[Ts]]-テーブル2[[#This Row],[Tin]]</f>
        <v>264.47096473819806</v>
      </c>
      <c r="BM370" s="36">
        <f>テーブル2[[#This Row],[q_P]]*0.000001</f>
        <v>-266.74695237161012</v>
      </c>
      <c r="BN370" s="36">
        <f>テーブル2[[#This Row],[Tsub]]</f>
        <v>264.47096473819806</v>
      </c>
      <c r="BO370" s="36">
        <f>テーブル2[[#This Row],[Fcorr]]</f>
        <v>1</v>
      </c>
      <c r="BP370" s="36">
        <f>(テーブル2[[#This Row],[Tsub]]-40)^2</f>
        <v>50387.214010497359</v>
      </c>
      <c r="BQ370" s="36">
        <v>1</v>
      </c>
      <c r="BR370" s="36">
        <v>0.62484000000000006</v>
      </c>
    </row>
    <row r="371" spans="1:70" x14ac:dyDescent="0.15">
      <c r="A371" s="35" t="s">
        <v>367</v>
      </c>
      <c r="B371" s="36">
        <v>13789514.586336</v>
      </c>
      <c r="C371" s="22">
        <f>TsatFromP(テーブル2[[#This Row],[P]])</f>
        <v>608.62107399852357</v>
      </c>
      <c r="D371" s="36">
        <f>RhoGFromP(テーブル2[[#This Row],[P]])</f>
        <v>85.147847035840741</v>
      </c>
      <c r="E371" s="36">
        <f>RhoFFromP(テーブル2[[#This Row],[P]])</f>
        <v>624.86636713482415</v>
      </c>
      <c r="F371" s="36">
        <f>HgFromP(テーブル2[[#This Row],[P]])</f>
        <v>2643264.5206450778</v>
      </c>
      <c r="G371" s="36">
        <f>HfFromP(テーブル2[[#This Row],[P]])</f>
        <v>1562686.7596125705</v>
      </c>
      <c r="H371" s="36">
        <f>MuGFromP(テーブル2[[#This Row],[P]])</f>
        <v>2.2019591234371903E-5</v>
      </c>
      <c r="I371" s="36">
        <f>MuFFromP(テーブル2[[#This Row],[P]])</f>
        <v>7.222326555143516E-5</v>
      </c>
      <c r="J371" s="36">
        <f>KfFromP(テーブル2[[#This Row],[P]])</f>
        <v>0.49112131073334553</v>
      </c>
      <c r="K371" s="36">
        <f>CpFFromP(テーブル2[[#This Row],[P]])</f>
        <v>7679.7488518783057</v>
      </c>
      <c r="L371" s="36">
        <f>SigmaFromP(テーブル2[[#This Row],[P]])</f>
        <v>6.5036449518301549E-3</v>
      </c>
      <c r="M371" s="36">
        <v>264.01</v>
      </c>
      <c r="N371" s="36">
        <v>1315.5431000000001</v>
      </c>
      <c r="O371" s="37">
        <f t="shared" si="176"/>
        <v>2.5880591202383804E-5</v>
      </c>
      <c r="P371" s="37">
        <f t="shared" si="177"/>
        <v>1.8033998468666854E-2</v>
      </c>
      <c r="Q371" s="37">
        <v>5.7404000000000014E-3</v>
      </c>
      <c r="R371" s="36">
        <v>0.62484000000000006</v>
      </c>
      <c r="S371" s="38">
        <v>3375411.3</v>
      </c>
      <c r="T371" s="36">
        <v>342.47243610361289</v>
      </c>
      <c r="U371" s="12">
        <f>+T371+BG371*S371*テーブル2[[#This Row],[Pw]]*R371/(N371*O371*K371)</f>
        <v>487.93835693947426</v>
      </c>
      <c r="V371" s="36">
        <v>0.03</v>
      </c>
      <c r="W371" s="37">
        <f t="shared" si="148"/>
        <v>104561.09334826305</v>
      </c>
      <c r="X371" s="36">
        <v>0.01</v>
      </c>
      <c r="Y371" s="36">
        <f t="shared" si="149"/>
        <v>10</v>
      </c>
      <c r="Z371" s="36">
        <f t="shared" si="150"/>
        <v>4.1757727963218034</v>
      </c>
      <c r="AA371" s="36">
        <f t="shared" si="151"/>
        <v>5.8242272036781966</v>
      </c>
      <c r="AB371" s="36">
        <f t="shared" si="152"/>
        <v>2.2542653979446101E-4</v>
      </c>
      <c r="AC371" s="36">
        <v>600</v>
      </c>
      <c r="AD371" s="36">
        <f t="shared" si="153"/>
        <v>1848.3964538709099</v>
      </c>
      <c r="AE371" s="36">
        <f>+gettm2(AD371,AC371,AK371,AL371,テーブル2[[#This Row],[Fcorr]])</f>
        <v>546.46661072350889</v>
      </c>
      <c r="AF371" s="39">
        <f t="shared" si="154"/>
        <v>58.528253784034632</v>
      </c>
      <c r="AG371" s="36">
        <v>1.0000000000000001E-5</v>
      </c>
      <c r="AH371" s="36">
        <f t="shared" si="155"/>
        <v>3.4620475252434977</v>
      </c>
      <c r="AI371" s="36">
        <f t="shared" si="156"/>
        <v>7.4434270740039818E-2</v>
      </c>
      <c r="AJ371" s="36">
        <f t="shared" si="157"/>
        <v>6.4399569851261571</v>
      </c>
      <c r="AK371" s="36">
        <f>+S88*テーブル2[[#This Row],[F_form]]/(E88*CpFromTP((テーブル2[[#This Row],[Tin]]+テーブル2[[#This Row],[Tf]])/2,テーブル2[[#This Row],[P]])*AI88)</f>
        <v>2.3395299289230538</v>
      </c>
      <c r="AL371" s="36">
        <f t="shared" si="158"/>
        <v>1.1293676909872215</v>
      </c>
      <c r="AM371" s="36">
        <f t="shared" si="159"/>
        <v>583.4949972520235</v>
      </c>
      <c r="AN371" s="36">
        <f t="shared" si="160"/>
        <v>25.126076746500075</v>
      </c>
      <c r="AO371" s="36">
        <f t="shared" si="161"/>
        <v>-2.1542653979446101E-4</v>
      </c>
      <c r="AP371" s="36">
        <v>1</v>
      </c>
      <c r="AQ371" s="36">
        <f t="shared" si="162"/>
        <v>5.4530931276593132E-4</v>
      </c>
      <c r="AR371" s="36">
        <f t="shared" si="163"/>
        <v>-1.027132698972305E-4</v>
      </c>
      <c r="AS371" s="36">
        <f t="shared" si="164"/>
        <v>-66.14690399398178</v>
      </c>
      <c r="AT371" s="36">
        <f t="shared" si="165"/>
        <v>-66.14690399398178</v>
      </c>
      <c r="AU371" s="36">
        <f t="shared" si="166"/>
        <v>-4.9235965605034613</v>
      </c>
      <c r="AV371" s="36">
        <f t="shared" si="167"/>
        <v>5.9235965605034613</v>
      </c>
      <c r="AW371" s="36">
        <f t="shared" si="168"/>
        <v>0.13552894947247887</v>
      </c>
      <c r="AX371" s="36">
        <f t="shared" si="169"/>
        <v>0.2609898047754074</v>
      </c>
      <c r="AY371" s="36">
        <f t="shared" si="170"/>
        <v>5.6626067557280537</v>
      </c>
      <c r="AZ371" s="36">
        <f t="shared" si="171"/>
        <v>1080577.7610325073</v>
      </c>
      <c r="BA371" s="36">
        <f t="shared" si="172"/>
        <v>5.4530931276593132E-4</v>
      </c>
      <c r="BB371" s="38">
        <f t="shared" si="173"/>
        <v>-266746952.37161013</v>
      </c>
      <c r="BC371" s="40">
        <f t="shared" si="174"/>
        <v>-270122363.67161012</v>
      </c>
      <c r="BD371" s="41">
        <f t="shared" si="175"/>
        <v>-8002.6503339492319</v>
      </c>
      <c r="BE371" s="38">
        <v>3375411.3</v>
      </c>
      <c r="BF371" s="42">
        <f>テーブル2[[#This Row],[q_P]]/テーブル2[[#This Row],[q_M]]</f>
        <v>-79.026503339492336</v>
      </c>
      <c r="BG371" s="36">
        <v>1</v>
      </c>
      <c r="BH371" s="36">
        <v>-0.13400000000000001</v>
      </c>
      <c r="BI371" s="36">
        <v>4.5999999999999999E-2</v>
      </c>
      <c r="BJ371" s="36">
        <v>5625</v>
      </c>
      <c r="BK371" s="22">
        <v>1</v>
      </c>
      <c r="BL371" s="36">
        <f>テーブル2[[#This Row],[Ts]]-テーブル2[[#This Row],[Tin]]</f>
        <v>266.14863789491068</v>
      </c>
      <c r="BM371" s="36">
        <f>テーブル2[[#This Row],[q_P]]*0.000001</f>
        <v>-266.74695237161012</v>
      </c>
      <c r="BN371" s="36">
        <f>テーブル2[[#This Row],[Tsub]]</f>
        <v>266.14863789491068</v>
      </c>
      <c r="BO371" s="36">
        <f>テーブル2[[#This Row],[Fcorr]]</f>
        <v>1</v>
      </c>
      <c r="BP371" s="36">
        <f>(テーブル2[[#This Row],[Tsub]]-40)^2</f>
        <v>51143.206421723429</v>
      </c>
      <c r="BQ371" s="36">
        <v>1</v>
      </c>
      <c r="BR371" s="36">
        <v>0.62484000000000006</v>
      </c>
    </row>
    <row r="372" spans="1:70" x14ac:dyDescent="0.15">
      <c r="A372" s="35" t="s">
        <v>368</v>
      </c>
      <c r="B372" s="36">
        <v>13789514.586336</v>
      </c>
      <c r="C372" s="22">
        <f>TsatFromP(テーブル2[[#This Row],[P]])</f>
        <v>608.62107399852357</v>
      </c>
      <c r="D372" s="36">
        <f>RhoGFromP(テーブル2[[#This Row],[P]])</f>
        <v>85.147847035840741</v>
      </c>
      <c r="E372" s="36">
        <f>RhoFFromP(テーブル2[[#This Row],[P]])</f>
        <v>624.86636713482415</v>
      </c>
      <c r="F372" s="36">
        <f>HgFromP(テーブル2[[#This Row],[P]])</f>
        <v>2643264.5206450778</v>
      </c>
      <c r="G372" s="36">
        <f>HfFromP(テーブル2[[#This Row],[P]])</f>
        <v>1562686.7596125705</v>
      </c>
      <c r="H372" s="36">
        <f>MuGFromP(テーブル2[[#This Row],[P]])</f>
        <v>2.2019591234371903E-5</v>
      </c>
      <c r="I372" s="36">
        <f>MuFFromP(テーブル2[[#This Row],[P]])</f>
        <v>7.222326555143516E-5</v>
      </c>
      <c r="J372" s="36">
        <f>KfFromP(テーブル2[[#This Row],[P]])</f>
        <v>0.49112131073334553</v>
      </c>
      <c r="K372" s="36">
        <f>CpFFromP(テーブル2[[#This Row],[P]])</f>
        <v>7679.7488518783057</v>
      </c>
      <c r="L372" s="36">
        <f>SigmaFromP(テーブル2[[#This Row],[P]])</f>
        <v>6.5036449518301549E-3</v>
      </c>
      <c r="M372" s="36">
        <v>265.01</v>
      </c>
      <c r="N372" s="36">
        <v>1315.5431000000001</v>
      </c>
      <c r="O372" s="37">
        <f t="shared" si="176"/>
        <v>2.5880591202383804E-5</v>
      </c>
      <c r="P372" s="37">
        <f t="shared" si="177"/>
        <v>1.8033998468666854E-2</v>
      </c>
      <c r="Q372" s="37">
        <v>5.7404000000000014E-3</v>
      </c>
      <c r="R372" s="36">
        <v>0.62484000000000006</v>
      </c>
      <c r="S372" s="38">
        <v>3501594.9</v>
      </c>
      <c r="T372" s="36">
        <v>329.5970068579449</v>
      </c>
      <c r="U372" s="12">
        <f>+T372+BG372*S372*テーブル2[[#This Row],[Pw]]*R372/(N372*O372*K372)</f>
        <v>480.50090604281041</v>
      </c>
      <c r="V372" s="36">
        <v>0.03</v>
      </c>
      <c r="W372" s="37">
        <f t="shared" si="148"/>
        <v>104561.09334826305</v>
      </c>
      <c r="X372" s="36">
        <v>0.01</v>
      </c>
      <c r="Y372" s="36">
        <f t="shared" si="149"/>
        <v>10</v>
      </c>
      <c r="Z372" s="36">
        <f t="shared" si="150"/>
        <v>4.1757727963218034</v>
      </c>
      <c r="AA372" s="36">
        <f t="shared" si="151"/>
        <v>5.8242272036781966</v>
      </c>
      <c r="AB372" s="36">
        <f t="shared" si="152"/>
        <v>2.2542653979446101E-4</v>
      </c>
      <c r="AC372" s="36">
        <v>600</v>
      </c>
      <c r="AD372" s="36">
        <f t="shared" si="153"/>
        <v>1848.3964538709099</v>
      </c>
      <c r="AE372" s="36">
        <f>+gettm2(AD372,AC372,AK372,AL372,テーブル2[[#This Row],[Fcorr]])</f>
        <v>546.22389563916772</v>
      </c>
      <c r="AF372" s="39">
        <f t="shared" si="154"/>
        <v>65.722989596357309</v>
      </c>
      <c r="AG372" s="36">
        <v>1.0000000000000001E-5</v>
      </c>
      <c r="AH372" s="36">
        <f t="shared" si="155"/>
        <v>3.4620475252434977</v>
      </c>
      <c r="AI372" s="36">
        <f t="shared" si="156"/>
        <v>7.4434270740039818E-2</v>
      </c>
      <c r="AJ372" s="36">
        <f t="shared" si="157"/>
        <v>6.4399569851261571</v>
      </c>
      <c r="AK372" s="36">
        <f>+S88*テーブル2[[#This Row],[F_form]]/(E88*CpFromTP((テーブル2[[#This Row],[Tin]]+テーブル2[[#This Row],[Tf]])/2,テーブル2[[#This Row],[P]])*AI88)</f>
        <v>2.3501371258835304</v>
      </c>
      <c r="AL372" s="36">
        <f t="shared" si="158"/>
        <v>1.1293676909872215</v>
      </c>
      <c r="AM372" s="36">
        <f t="shared" si="159"/>
        <v>583.42016520443281</v>
      </c>
      <c r="AN372" s="36">
        <f t="shared" si="160"/>
        <v>25.200908794090765</v>
      </c>
      <c r="AO372" s="36">
        <f t="shared" si="161"/>
        <v>-2.1542653979446101E-4</v>
      </c>
      <c r="AP372" s="36">
        <v>1</v>
      </c>
      <c r="AQ372" s="36">
        <f t="shared" si="162"/>
        <v>5.4530931276593132E-4</v>
      </c>
      <c r="AR372" s="36">
        <f t="shared" si="163"/>
        <v>-1.027132698972305E-4</v>
      </c>
      <c r="AS372" s="36">
        <f t="shared" si="164"/>
        <v>-66.14690399398178</v>
      </c>
      <c r="AT372" s="36">
        <f t="shared" si="165"/>
        <v>-66.14690399398178</v>
      </c>
      <c r="AU372" s="36">
        <f t="shared" si="166"/>
        <v>-4.9235965605034613</v>
      </c>
      <c r="AV372" s="36">
        <f t="shared" si="167"/>
        <v>5.9235965605034613</v>
      </c>
      <c r="AW372" s="36">
        <f t="shared" si="168"/>
        <v>0.13552894947247887</v>
      </c>
      <c r="AX372" s="36">
        <f t="shared" si="169"/>
        <v>0.2609898047754074</v>
      </c>
      <c r="AY372" s="36">
        <f t="shared" si="170"/>
        <v>5.6626067557280537</v>
      </c>
      <c r="AZ372" s="36">
        <f t="shared" si="171"/>
        <v>1080577.7610325073</v>
      </c>
      <c r="BA372" s="36">
        <f t="shared" si="172"/>
        <v>5.4530931276593132E-4</v>
      </c>
      <c r="BB372" s="38">
        <f t="shared" si="173"/>
        <v>-266746952.37161013</v>
      </c>
      <c r="BC372" s="40">
        <f t="shared" si="174"/>
        <v>-270248547.27161014</v>
      </c>
      <c r="BD372" s="41">
        <f t="shared" si="175"/>
        <v>-7717.8701417348466</v>
      </c>
      <c r="BE372" s="38">
        <v>3501594.9</v>
      </c>
      <c r="BF372" s="42">
        <f>テーブル2[[#This Row],[q_P]]/テーブル2[[#This Row],[q_M]]</f>
        <v>-76.178701417348464</v>
      </c>
      <c r="BG372" s="36">
        <v>1</v>
      </c>
      <c r="BH372" s="36">
        <v>-0.14399999999999999</v>
      </c>
      <c r="BI372" s="36">
        <v>4.5999999999999999E-2</v>
      </c>
      <c r="BJ372" s="36">
        <v>5625</v>
      </c>
      <c r="BK372" s="22">
        <v>1</v>
      </c>
      <c r="BL372" s="36">
        <f>テーブル2[[#This Row],[Ts]]-テーブル2[[#This Row],[Tin]]</f>
        <v>279.02406714057867</v>
      </c>
      <c r="BM372" s="36">
        <f>テーブル2[[#This Row],[q_P]]*0.000001</f>
        <v>-266.74695237161012</v>
      </c>
      <c r="BN372" s="36">
        <f>テーブル2[[#This Row],[Tsub]]</f>
        <v>279.02406714057867</v>
      </c>
      <c r="BO372" s="36">
        <f>テーブル2[[#This Row],[Fcorr]]</f>
        <v>1</v>
      </c>
      <c r="BP372" s="36">
        <f>(テーブル2[[#This Row],[Tsub]]-40)^2</f>
        <v>57132.504672423856</v>
      </c>
      <c r="BQ372" s="36">
        <v>1</v>
      </c>
      <c r="BR372" s="36">
        <v>0.62484000000000006</v>
      </c>
    </row>
    <row r="373" spans="1:70" x14ac:dyDescent="0.15">
      <c r="A373" s="35" t="s">
        <v>369</v>
      </c>
      <c r="B373" s="36">
        <v>13789514.586336</v>
      </c>
      <c r="C373" s="22">
        <f>TsatFromP(テーブル2[[#This Row],[P]])</f>
        <v>608.62107399852357</v>
      </c>
      <c r="D373" s="36">
        <f>RhoGFromP(テーブル2[[#This Row],[P]])</f>
        <v>85.147847035840741</v>
      </c>
      <c r="E373" s="36">
        <f>RhoFFromP(テーブル2[[#This Row],[P]])</f>
        <v>624.86636713482415</v>
      </c>
      <c r="F373" s="36">
        <f>HgFromP(テーブル2[[#This Row],[P]])</f>
        <v>2643264.5206450778</v>
      </c>
      <c r="G373" s="36">
        <f>HfFromP(テーブル2[[#This Row],[P]])</f>
        <v>1562686.7596125705</v>
      </c>
      <c r="H373" s="36">
        <f>MuGFromP(テーブル2[[#This Row],[P]])</f>
        <v>2.2019591234371903E-5</v>
      </c>
      <c r="I373" s="36">
        <f>MuFFromP(テーブル2[[#This Row],[P]])</f>
        <v>7.222326555143516E-5</v>
      </c>
      <c r="J373" s="36">
        <f>KfFromP(テーブル2[[#This Row],[P]])</f>
        <v>0.49112131073334553</v>
      </c>
      <c r="K373" s="36">
        <f>CpFFromP(テーブル2[[#This Row],[P]])</f>
        <v>7679.7488518783057</v>
      </c>
      <c r="L373" s="36">
        <f>SigmaFromP(テーブル2[[#This Row],[P]])</f>
        <v>6.5036449518301549E-3</v>
      </c>
      <c r="M373" s="36">
        <v>266.01</v>
      </c>
      <c r="N373" s="36">
        <v>1315.5431000000001</v>
      </c>
      <c r="O373" s="37">
        <f t="shared" si="176"/>
        <v>2.5880591202383804E-5</v>
      </c>
      <c r="P373" s="37">
        <f t="shared" si="177"/>
        <v>1.8033998468666854E-2</v>
      </c>
      <c r="Q373" s="37">
        <v>5.7404000000000014E-3</v>
      </c>
      <c r="R373" s="36">
        <v>0.62484000000000006</v>
      </c>
      <c r="S373" s="38">
        <v>3533140.8</v>
      </c>
      <c r="T373" s="36">
        <v>354.65243796477353</v>
      </c>
      <c r="U373" s="12">
        <f>+T373+BG373*S373*テーブル2[[#This Row],[Pw]]*R373/(N373*O373*K373)</f>
        <v>506.91583173689008</v>
      </c>
      <c r="V373" s="36">
        <v>0.03</v>
      </c>
      <c r="W373" s="37">
        <f t="shared" si="148"/>
        <v>104561.09334826305</v>
      </c>
      <c r="X373" s="36">
        <v>0.01</v>
      </c>
      <c r="Y373" s="36">
        <f t="shared" si="149"/>
        <v>10</v>
      </c>
      <c r="Z373" s="36">
        <f t="shared" si="150"/>
        <v>4.1757727963218034</v>
      </c>
      <c r="AA373" s="36">
        <f t="shared" si="151"/>
        <v>5.8242272036781966</v>
      </c>
      <c r="AB373" s="36">
        <f t="shared" si="152"/>
        <v>2.2542653979446101E-4</v>
      </c>
      <c r="AC373" s="36">
        <v>600</v>
      </c>
      <c r="AD373" s="36">
        <f t="shared" si="153"/>
        <v>1848.3964538709099</v>
      </c>
      <c r="AE373" s="36">
        <f>+gettm2(AD373,AC373,AK373,AL373,テーブル2[[#This Row],[Fcorr]])</f>
        <v>546.90898365188662</v>
      </c>
      <c r="AF373" s="39">
        <f t="shared" si="154"/>
        <v>39.993151914996531</v>
      </c>
      <c r="AG373" s="36">
        <v>1.0000000000000001E-5</v>
      </c>
      <c r="AH373" s="36">
        <f t="shared" si="155"/>
        <v>3.4620475252434977</v>
      </c>
      <c r="AI373" s="36">
        <f t="shared" si="156"/>
        <v>7.4434270740039818E-2</v>
      </c>
      <c r="AJ373" s="36">
        <f t="shared" si="157"/>
        <v>6.4399569851261571</v>
      </c>
      <c r="AK373" s="36">
        <f>+S88*テーブル2[[#This Row],[F_form]]/(E88*CpFromTP((テーブル2[[#This Row],[Tin]]+テーブル2[[#This Row],[Tf]])/2,テーブル2[[#This Row],[P]])*AI88)</f>
        <v>2.320197233577741</v>
      </c>
      <c r="AL373" s="36">
        <f t="shared" si="158"/>
        <v>1.1293676909872215</v>
      </c>
      <c r="AM373" s="36">
        <f t="shared" si="159"/>
        <v>583.63138627011438</v>
      </c>
      <c r="AN373" s="36">
        <f t="shared" si="160"/>
        <v>24.989687728409194</v>
      </c>
      <c r="AO373" s="36">
        <f t="shared" si="161"/>
        <v>-2.1542653979446101E-4</v>
      </c>
      <c r="AP373" s="36">
        <v>1</v>
      </c>
      <c r="AQ373" s="36">
        <f t="shared" si="162"/>
        <v>5.4530931276593132E-4</v>
      </c>
      <c r="AR373" s="36">
        <f t="shared" si="163"/>
        <v>-1.027132698972305E-4</v>
      </c>
      <c r="AS373" s="36">
        <f t="shared" si="164"/>
        <v>-66.14690399398178</v>
      </c>
      <c r="AT373" s="36">
        <f t="shared" si="165"/>
        <v>-66.14690399398178</v>
      </c>
      <c r="AU373" s="36">
        <f t="shared" si="166"/>
        <v>-4.9235965605034613</v>
      </c>
      <c r="AV373" s="36">
        <f t="shared" si="167"/>
        <v>5.9235965605034613</v>
      </c>
      <c r="AW373" s="36">
        <f t="shared" si="168"/>
        <v>0.13552894947247887</v>
      </c>
      <c r="AX373" s="36">
        <f t="shared" si="169"/>
        <v>0.2609898047754074</v>
      </c>
      <c r="AY373" s="36">
        <f t="shared" si="170"/>
        <v>5.6626067557280537</v>
      </c>
      <c r="AZ373" s="36">
        <f t="shared" si="171"/>
        <v>1080577.7610325073</v>
      </c>
      <c r="BA373" s="36">
        <f t="shared" si="172"/>
        <v>5.4530931276593132E-4</v>
      </c>
      <c r="BB373" s="38">
        <f t="shared" si="173"/>
        <v>-266746952.37161013</v>
      </c>
      <c r="BC373" s="40">
        <f t="shared" si="174"/>
        <v>-270280093.17161012</v>
      </c>
      <c r="BD373" s="41">
        <f t="shared" si="175"/>
        <v>-7649.8534440407848</v>
      </c>
      <c r="BE373" s="38">
        <v>3533140.8</v>
      </c>
      <c r="BF373" s="42">
        <f>テーブル2[[#This Row],[q_P]]/テーブル2[[#This Row],[q_M]]</f>
        <v>-75.498534440407852</v>
      </c>
      <c r="BG373" s="36">
        <v>1</v>
      </c>
      <c r="BH373" s="36">
        <v>-3.7999999999999999E-2</v>
      </c>
      <c r="BI373" s="36">
        <v>4.5999999999999999E-2</v>
      </c>
      <c r="BJ373" s="36">
        <v>5625</v>
      </c>
      <c r="BK373" s="22">
        <v>1</v>
      </c>
      <c r="BL373" s="36">
        <f>テーブル2[[#This Row],[Ts]]-テーブル2[[#This Row],[Tin]]</f>
        <v>253.96863603375004</v>
      </c>
      <c r="BM373" s="36">
        <f>テーブル2[[#This Row],[q_P]]*0.000001</f>
        <v>-266.74695237161012</v>
      </c>
      <c r="BN373" s="36">
        <f>テーブル2[[#This Row],[Tsub]]</f>
        <v>253.96863603375004</v>
      </c>
      <c r="BO373" s="36">
        <f>テーブル2[[#This Row],[Fcorr]]</f>
        <v>1</v>
      </c>
      <c r="BP373" s="36">
        <f>(テーブル2[[#This Row],[Tsub]]-40)^2</f>
        <v>45782.577206143396</v>
      </c>
      <c r="BQ373" s="36">
        <v>1</v>
      </c>
      <c r="BR373" s="36">
        <v>0.62484000000000006</v>
      </c>
    </row>
    <row r="374" spans="1:70" x14ac:dyDescent="0.15">
      <c r="A374" s="35" t="s">
        <v>370</v>
      </c>
      <c r="B374" s="36">
        <v>13789514.586336</v>
      </c>
      <c r="C374" s="22">
        <f>TsatFromP(テーブル2[[#This Row],[P]])</f>
        <v>608.62107399852357</v>
      </c>
      <c r="D374" s="36">
        <f>RhoGFromP(テーブル2[[#This Row],[P]])</f>
        <v>85.147847035840741</v>
      </c>
      <c r="E374" s="36">
        <f>RhoFFromP(テーブル2[[#This Row],[P]])</f>
        <v>624.86636713482415</v>
      </c>
      <c r="F374" s="36">
        <f>HgFromP(テーブル2[[#This Row],[P]])</f>
        <v>2643264.5206450778</v>
      </c>
      <c r="G374" s="36">
        <f>HfFromP(テーブル2[[#This Row],[P]])</f>
        <v>1562686.7596125705</v>
      </c>
      <c r="H374" s="36">
        <f>MuGFromP(テーブル2[[#This Row],[P]])</f>
        <v>2.2019591234371903E-5</v>
      </c>
      <c r="I374" s="36">
        <f>MuFFromP(テーブル2[[#This Row],[P]])</f>
        <v>7.222326555143516E-5</v>
      </c>
      <c r="J374" s="36">
        <f>KfFromP(テーブル2[[#This Row],[P]])</f>
        <v>0.49112131073334553</v>
      </c>
      <c r="K374" s="36">
        <f>CpFFromP(テーブル2[[#This Row],[P]])</f>
        <v>7679.7488518783057</v>
      </c>
      <c r="L374" s="36">
        <f>SigmaFromP(テーブル2[[#This Row],[P]])</f>
        <v>6.5036449518301549E-3</v>
      </c>
      <c r="M374" s="36">
        <v>267.01</v>
      </c>
      <c r="N374" s="36">
        <v>1315.5431000000001</v>
      </c>
      <c r="O374" s="37">
        <f t="shared" si="176"/>
        <v>2.5880591202383804E-5</v>
      </c>
      <c r="P374" s="37">
        <f t="shared" si="177"/>
        <v>1.8033998468666854E-2</v>
      </c>
      <c r="Q374" s="37">
        <v>5.7404000000000014E-3</v>
      </c>
      <c r="R374" s="36">
        <v>0.62484000000000006</v>
      </c>
      <c r="S374" s="38">
        <v>3280773.6</v>
      </c>
      <c r="T374" s="36">
        <v>354.09432580844162</v>
      </c>
      <c r="U374" s="12">
        <f>+T374+BG374*S374*テーブル2[[#This Row],[Pw]]*R374/(N374*O374*K374)</f>
        <v>495.48176288254984</v>
      </c>
      <c r="V374" s="36">
        <v>0.03</v>
      </c>
      <c r="W374" s="37">
        <f t="shared" si="148"/>
        <v>104561.09334826305</v>
      </c>
      <c r="X374" s="36">
        <v>0.01</v>
      </c>
      <c r="Y374" s="36">
        <f t="shared" si="149"/>
        <v>10</v>
      </c>
      <c r="Z374" s="36">
        <f t="shared" si="150"/>
        <v>4.1757727963218034</v>
      </c>
      <c r="AA374" s="36">
        <f t="shared" si="151"/>
        <v>5.8242272036781966</v>
      </c>
      <c r="AB374" s="36">
        <f t="shared" si="152"/>
        <v>2.2542653979446101E-4</v>
      </c>
      <c r="AC374" s="36">
        <v>600</v>
      </c>
      <c r="AD374" s="36">
        <f t="shared" si="153"/>
        <v>1848.3964538709099</v>
      </c>
      <c r="AE374" s="36">
        <f>+gettm2(AD374,AC374,AK374,AL374,テーブル2[[#This Row],[Fcorr]])</f>
        <v>546.72817756074267</v>
      </c>
      <c r="AF374" s="39">
        <f t="shared" si="154"/>
        <v>51.246414678192821</v>
      </c>
      <c r="AG374" s="36">
        <v>1.0000000000000001E-5</v>
      </c>
      <c r="AH374" s="36">
        <f t="shared" si="155"/>
        <v>3.4620475252434977</v>
      </c>
      <c r="AI374" s="36">
        <f t="shared" si="156"/>
        <v>7.4434270740039818E-2</v>
      </c>
      <c r="AJ374" s="36">
        <f t="shared" si="157"/>
        <v>6.4399569851261571</v>
      </c>
      <c r="AK374" s="36">
        <f>+S88*テーブル2[[#This Row],[F_form]]/(E88*CpFromTP((テーブル2[[#This Row],[Tin]]+テーブル2[[#This Row],[Tf]])/2,テーブル2[[#This Row],[P]])*AI88)</f>
        <v>2.3280988678153518</v>
      </c>
      <c r="AL374" s="36">
        <f t="shared" si="158"/>
        <v>1.1293676909872215</v>
      </c>
      <c r="AM374" s="36">
        <f t="shared" si="159"/>
        <v>583.5756415270389</v>
      </c>
      <c r="AN374" s="36">
        <f t="shared" si="160"/>
        <v>25.045432471484673</v>
      </c>
      <c r="AO374" s="36">
        <f t="shared" si="161"/>
        <v>-2.1542653979446101E-4</v>
      </c>
      <c r="AP374" s="36">
        <v>1</v>
      </c>
      <c r="AQ374" s="36">
        <f t="shared" si="162"/>
        <v>5.4530931276593132E-4</v>
      </c>
      <c r="AR374" s="36">
        <f t="shared" si="163"/>
        <v>-1.027132698972305E-4</v>
      </c>
      <c r="AS374" s="36">
        <f t="shared" si="164"/>
        <v>-66.14690399398178</v>
      </c>
      <c r="AT374" s="36">
        <f t="shared" si="165"/>
        <v>-66.14690399398178</v>
      </c>
      <c r="AU374" s="36">
        <f t="shared" si="166"/>
        <v>-4.9235965605034613</v>
      </c>
      <c r="AV374" s="36">
        <f t="shared" si="167"/>
        <v>5.9235965605034613</v>
      </c>
      <c r="AW374" s="36">
        <f t="shared" si="168"/>
        <v>0.13552894947247887</v>
      </c>
      <c r="AX374" s="36">
        <f t="shared" si="169"/>
        <v>0.2609898047754074</v>
      </c>
      <c r="AY374" s="36">
        <f t="shared" si="170"/>
        <v>5.6626067557280537</v>
      </c>
      <c r="AZ374" s="36">
        <f t="shared" si="171"/>
        <v>1080577.7610325073</v>
      </c>
      <c r="BA374" s="36">
        <f t="shared" si="172"/>
        <v>5.4530931276593132E-4</v>
      </c>
      <c r="BB374" s="38">
        <f t="shared" si="173"/>
        <v>-266746952.37161013</v>
      </c>
      <c r="BC374" s="40">
        <f t="shared" si="174"/>
        <v>-270027725.97161013</v>
      </c>
      <c r="BD374" s="41">
        <f t="shared" si="175"/>
        <v>-8230.6114012746912</v>
      </c>
      <c r="BE374" s="38">
        <v>3280773.6</v>
      </c>
      <c r="BF374" s="42">
        <f>テーブル2[[#This Row],[q_P]]/テーブル2[[#This Row],[q_M]]</f>
        <v>-81.306114012746917</v>
      </c>
      <c r="BG374" s="36">
        <v>1</v>
      </c>
      <c r="BH374" s="36">
        <v>-0.11799999999999999</v>
      </c>
      <c r="BI374" s="36">
        <v>4.5999999999999999E-2</v>
      </c>
      <c r="BJ374" s="36">
        <v>5625</v>
      </c>
      <c r="BK374" s="22">
        <v>1</v>
      </c>
      <c r="BL374" s="36">
        <f>テーブル2[[#This Row],[Ts]]-テーブル2[[#This Row],[Tin]]</f>
        <v>254.52674819008195</v>
      </c>
      <c r="BM374" s="36">
        <f>テーブル2[[#This Row],[q_P]]*0.000001</f>
        <v>-266.74695237161012</v>
      </c>
      <c r="BN374" s="36">
        <f>テーブル2[[#This Row],[Tsub]]</f>
        <v>254.52674819008195</v>
      </c>
      <c r="BO374" s="36">
        <f>テーブル2[[#This Row],[Fcorr]]</f>
        <v>1</v>
      </c>
      <c r="BP374" s="36">
        <f>(テーブル2[[#This Row],[Tsub]]-40)^2</f>
        <v>46021.725689010826</v>
      </c>
      <c r="BQ374" s="36">
        <v>1</v>
      </c>
      <c r="BR374" s="36">
        <v>0.62484000000000006</v>
      </c>
    </row>
    <row r="375" spans="1:70" x14ac:dyDescent="0.15">
      <c r="A375" s="35" t="s">
        <v>371</v>
      </c>
      <c r="B375" s="36">
        <v>13789514.586336</v>
      </c>
      <c r="C375" s="22">
        <f>TsatFromP(テーブル2[[#This Row],[P]])</f>
        <v>608.62107399852357</v>
      </c>
      <c r="D375" s="36">
        <f>RhoGFromP(テーブル2[[#This Row],[P]])</f>
        <v>85.147847035840741</v>
      </c>
      <c r="E375" s="36">
        <f>RhoFFromP(テーブル2[[#This Row],[P]])</f>
        <v>624.86636713482415</v>
      </c>
      <c r="F375" s="36">
        <f>HgFromP(テーブル2[[#This Row],[P]])</f>
        <v>2643264.5206450778</v>
      </c>
      <c r="G375" s="36">
        <f>HfFromP(テーブル2[[#This Row],[P]])</f>
        <v>1562686.7596125705</v>
      </c>
      <c r="H375" s="36">
        <f>MuGFromP(テーブル2[[#This Row],[P]])</f>
        <v>2.2019591234371903E-5</v>
      </c>
      <c r="I375" s="36">
        <f>MuFFromP(テーブル2[[#This Row],[P]])</f>
        <v>7.222326555143516E-5</v>
      </c>
      <c r="J375" s="36">
        <f>KfFromP(テーブル2[[#This Row],[P]])</f>
        <v>0.49112131073334553</v>
      </c>
      <c r="K375" s="36">
        <f>CpFFromP(テーブル2[[#This Row],[P]])</f>
        <v>7679.7488518783057</v>
      </c>
      <c r="L375" s="36">
        <f>SigmaFromP(テーブル2[[#This Row],[P]])</f>
        <v>6.5036449518301549E-3</v>
      </c>
      <c r="M375" s="36">
        <v>268.01</v>
      </c>
      <c r="N375" s="36">
        <v>1315.5431000000001</v>
      </c>
      <c r="O375" s="37">
        <f t="shared" si="176"/>
        <v>2.5880591202383804E-5</v>
      </c>
      <c r="P375" s="37">
        <f t="shared" si="177"/>
        <v>1.8033998468666854E-2</v>
      </c>
      <c r="Q375" s="37">
        <v>5.7404000000000014E-3</v>
      </c>
      <c r="R375" s="36">
        <v>0.62484000000000006</v>
      </c>
      <c r="S375" s="38">
        <v>3186135.9</v>
      </c>
      <c r="T375" s="36">
        <v>352.41961761268772</v>
      </c>
      <c r="U375" s="12">
        <f>+T375+BG375*S375*テーブル2[[#This Row],[Pw]]*R375/(N375*O375*K375)</f>
        <v>489.72857092504285</v>
      </c>
      <c r="V375" s="36">
        <v>0.03</v>
      </c>
      <c r="W375" s="37">
        <f t="shared" si="148"/>
        <v>104561.09334826305</v>
      </c>
      <c r="X375" s="36">
        <v>0.01</v>
      </c>
      <c r="Y375" s="36">
        <f t="shared" si="149"/>
        <v>10</v>
      </c>
      <c r="Z375" s="36">
        <f t="shared" si="150"/>
        <v>4.1757727963218034</v>
      </c>
      <c r="AA375" s="36">
        <f t="shared" si="151"/>
        <v>5.8242272036781966</v>
      </c>
      <c r="AB375" s="36">
        <f t="shared" si="152"/>
        <v>2.2542653979446101E-4</v>
      </c>
      <c r="AC375" s="36">
        <v>600</v>
      </c>
      <c r="AD375" s="36">
        <f t="shared" si="153"/>
        <v>1848.3964538709099</v>
      </c>
      <c r="AE375" s="36">
        <f>+gettm2(AD375,AC375,AK375,AL375,テーブル2[[#This Row],[Fcorr]])</f>
        <v>546.62287889650111</v>
      </c>
      <c r="AF375" s="39">
        <f t="shared" si="154"/>
        <v>56.894307971458261</v>
      </c>
      <c r="AG375" s="36">
        <v>1.0000000000000001E-5</v>
      </c>
      <c r="AH375" s="36">
        <f t="shared" si="155"/>
        <v>3.4620475252434977</v>
      </c>
      <c r="AI375" s="36">
        <f t="shared" si="156"/>
        <v>7.4434270740039818E-2</v>
      </c>
      <c r="AJ375" s="36">
        <f t="shared" si="157"/>
        <v>6.4399569851261571</v>
      </c>
      <c r="AK375" s="36">
        <f>+S88*テーブル2[[#This Row],[F_form]]/(E88*CpFromTP((テーブル2[[#This Row],[Tin]]+テーブル2[[#This Row],[Tf]])/2,テーブル2[[#This Row],[P]])*AI88)</f>
        <v>2.3327006570873974</v>
      </c>
      <c r="AL375" s="36">
        <f t="shared" si="158"/>
        <v>1.1293676909872215</v>
      </c>
      <c r="AM375" s="36">
        <f t="shared" si="159"/>
        <v>583.54317665294525</v>
      </c>
      <c r="AN375" s="36">
        <f t="shared" si="160"/>
        <v>25.077897345578322</v>
      </c>
      <c r="AO375" s="36">
        <f t="shared" si="161"/>
        <v>-2.1542653979446101E-4</v>
      </c>
      <c r="AP375" s="36">
        <v>1</v>
      </c>
      <c r="AQ375" s="36">
        <f t="shared" si="162"/>
        <v>5.4530931276593132E-4</v>
      </c>
      <c r="AR375" s="36">
        <f t="shared" si="163"/>
        <v>-1.027132698972305E-4</v>
      </c>
      <c r="AS375" s="36">
        <f t="shared" si="164"/>
        <v>-66.14690399398178</v>
      </c>
      <c r="AT375" s="36">
        <f t="shared" si="165"/>
        <v>-66.14690399398178</v>
      </c>
      <c r="AU375" s="36">
        <f t="shared" si="166"/>
        <v>-4.9235965605034613</v>
      </c>
      <c r="AV375" s="36">
        <f t="shared" si="167"/>
        <v>5.9235965605034613</v>
      </c>
      <c r="AW375" s="36">
        <f t="shared" si="168"/>
        <v>0.13552894947247887</v>
      </c>
      <c r="AX375" s="36">
        <f t="shared" si="169"/>
        <v>0.2609898047754074</v>
      </c>
      <c r="AY375" s="36">
        <f t="shared" si="170"/>
        <v>5.6626067557280537</v>
      </c>
      <c r="AZ375" s="36">
        <f t="shared" si="171"/>
        <v>1080577.7610325073</v>
      </c>
      <c r="BA375" s="36">
        <f t="shared" si="172"/>
        <v>5.4530931276593132E-4</v>
      </c>
      <c r="BB375" s="38">
        <f t="shared" si="173"/>
        <v>-266746952.37161013</v>
      </c>
      <c r="BC375" s="40">
        <f t="shared" si="174"/>
        <v>-269933088.27161014</v>
      </c>
      <c r="BD375" s="41">
        <f t="shared" si="175"/>
        <v>-8472.1147102234463</v>
      </c>
      <c r="BE375" s="38">
        <v>3186135.9</v>
      </c>
      <c r="BF375" s="42">
        <f>テーブル2[[#This Row],[q_P]]/テーブル2[[#This Row],[q_M]]</f>
        <v>-83.721147102234454</v>
      </c>
      <c r="BG375" s="36">
        <v>1</v>
      </c>
      <c r="BH375" s="36">
        <v>-0.153</v>
      </c>
      <c r="BI375" s="36">
        <v>4.5999999999999999E-2</v>
      </c>
      <c r="BJ375" s="36">
        <v>5625</v>
      </c>
      <c r="BK375" s="22">
        <v>1</v>
      </c>
      <c r="BL375" s="36">
        <f>テーブル2[[#This Row],[Ts]]-テーブル2[[#This Row],[Tin]]</f>
        <v>256.20145638583585</v>
      </c>
      <c r="BM375" s="36">
        <f>テーブル2[[#This Row],[q_P]]*0.000001</f>
        <v>-266.74695237161012</v>
      </c>
      <c r="BN375" s="36">
        <f>テーブル2[[#This Row],[Tsub]]</f>
        <v>256.20145638583585</v>
      </c>
      <c r="BO375" s="36">
        <f>テーブル2[[#This Row],[Fcorr]]</f>
        <v>1</v>
      </c>
      <c r="BP375" s="36">
        <f>(テーブル2[[#This Row],[Tsub]]-40)^2</f>
        <v>46743.069743356486</v>
      </c>
      <c r="BQ375" s="36">
        <v>1</v>
      </c>
      <c r="BR375" s="36">
        <v>0.62484000000000006</v>
      </c>
    </row>
    <row r="376" spans="1:70" x14ac:dyDescent="0.15">
      <c r="A376" s="35" t="s">
        <v>372</v>
      </c>
      <c r="B376" s="36">
        <v>13789514.586336</v>
      </c>
      <c r="C376" s="22">
        <f>TsatFromP(テーブル2[[#This Row],[P]])</f>
        <v>608.62107399852357</v>
      </c>
      <c r="D376" s="36">
        <f>RhoGFromP(テーブル2[[#This Row],[P]])</f>
        <v>85.147847035840741</v>
      </c>
      <c r="E376" s="36">
        <f>RhoFFromP(テーブル2[[#This Row],[P]])</f>
        <v>624.86636713482415</v>
      </c>
      <c r="F376" s="36">
        <f>HgFromP(テーブル2[[#This Row],[P]])</f>
        <v>2643264.5206450778</v>
      </c>
      <c r="G376" s="36">
        <f>HfFromP(テーブル2[[#This Row],[P]])</f>
        <v>1562686.7596125705</v>
      </c>
      <c r="H376" s="36">
        <f>MuGFromP(テーブル2[[#This Row],[P]])</f>
        <v>2.2019591234371903E-5</v>
      </c>
      <c r="I376" s="36">
        <f>MuFFromP(テーブル2[[#This Row],[P]])</f>
        <v>7.222326555143516E-5</v>
      </c>
      <c r="J376" s="36">
        <f>KfFromP(テーブル2[[#This Row],[P]])</f>
        <v>0.49112131073334553</v>
      </c>
      <c r="K376" s="36">
        <f>CpFFromP(テーブル2[[#This Row],[P]])</f>
        <v>7679.7488518783057</v>
      </c>
      <c r="L376" s="36">
        <f>SigmaFromP(テーブル2[[#This Row],[P]])</f>
        <v>6.5036449518301549E-3</v>
      </c>
      <c r="M376" s="36">
        <v>269.01</v>
      </c>
      <c r="N376" s="36">
        <v>1315.5431000000001</v>
      </c>
      <c r="O376" s="37">
        <f t="shared" si="176"/>
        <v>2.5880591202383804E-5</v>
      </c>
      <c r="P376" s="37">
        <f t="shared" si="177"/>
        <v>1.8033998468666854E-2</v>
      </c>
      <c r="Q376" s="37">
        <v>5.7404000000000014E-3</v>
      </c>
      <c r="R376" s="36">
        <v>0.62484000000000006</v>
      </c>
      <c r="S376" s="38">
        <v>2965314.6</v>
      </c>
      <c r="T376" s="36">
        <v>387.22520179256071</v>
      </c>
      <c r="U376" s="12">
        <f>+T376+BG376*S376*テーブル2[[#This Row],[Pw]]*R376/(N376*O376*K376)</f>
        <v>515.01769299415855</v>
      </c>
      <c r="V376" s="36">
        <v>0.03</v>
      </c>
      <c r="W376" s="37">
        <f t="shared" si="148"/>
        <v>104561.09334826305</v>
      </c>
      <c r="X376" s="36">
        <v>0.01</v>
      </c>
      <c r="Y376" s="36">
        <f t="shared" si="149"/>
        <v>10</v>
      </c>
      <c r="Z376" s="36">
        <f t="shared" si="150"/>
        <v>4.1757727963218034</v>
      </c>
      <c r="AA376" s="36">
        <f t="shared" si="151"/>
        <v>5.8242272036781966</v>
      </c>
      <c r="AB376" s="36">
        <f t="shared" si="152"/>
        <v>2.2542653979446101E-4</v>
      </c>
      <c r="AC376" s="36">
        <v>600</v>
      </c>
      <c r="AD376" s="36">
        <f t="shared" si="153"/>
        <v>1848.3964538709099</v>
      </c>
      <c r="AE376" s="36">
        <f>+gettm2(AD376,AC376,AK376,AL376,テーブル2[[#This Row],[Fcorr]])</f>
        <v>547.62974223312904</v>
      </c>
      <c r="AF376" s="39">
        <f t="shared" si="154"/>
        <v>32.612049238970485</v>
      </c>
      <c r="AG376" s="36">
        <v>1.0000000000000001E-5</v>
      </c>
      <c r="AH376" s="36">
        <f t="shared" si="155"/>
        <v>3.4620475252434977</v>
      </c>
      <c r="AI376" s="36">
        <f t="shared" si="156"/>
        <v>7.4434270740039818E-2</v>
      </c>
      <c r="AJ376" s="36">
        <f t="shared" si="157"/>
        <v>6.4399569851261571</v>
      </c>
      <c r="AK376" s="36">
        <f>+S88*テーブル2[[#This Row],[F_form]]/(E88*CpFromTP((テーブル2[[#This Row],[Tin]]+テーブル2[[#This Row],[Tf]])/2,テーブル2[[#This Row],[P]])*AI88)</f>
        <v>2.2886984569238678</v>
      </c>
      <c r="AL376" s="36">
        <f t="shared" si="158"/>
        <v>1.1293676909872215</v>
      </c>
      <c r="AM376" s="36">
        <f t="shared" si="159"/>
        <v>583.85360501106868</v>
      </c>
      <c r="AN376" s="36">
        <f t="shared" si="160"/>
        <v>24.76746898745489</v>
      </c>
      <c r="AO376" s="36">
        <f t="shared" si="161"/>
        <v>-2.1542653979446101E-4</v>
      </c>
      <c r="AP376" s="36">
        <v>1</v>
      </c>
      <c r="AQ376" s="36">
        <f t="shared" si="162"/>
        <v>5.4530931276593132E-4</v>
      </c>
      <c r="AR376" s="36">
        <f t="shared" si="163"/>
        <v>-1.027132698972305E-4</v>
      </c>
      <c r="AS376" s="36">
        <f t="shared" si="164"/>
        <v>-66.14690399398178</v>
      </c>
      <c r="AT376" s="36">
        <f t="shared" si="165"/>
        <v>-66.14690399398178</v>
      </c>
      <c r="AU376" s="36">
        <f t="shared" si="166"/>
        <v>-4.9235965605034613</v>
      </c>
      <c r="AV376" s="36">
        <f t="shared" si="167"/>
        <v>5.9235965605034613</v>
      </c>
      <c r="AW376" s="36">
        <f t="shared" si="168"/>
        <v>0.13552894947247887</v>
      </c>
      <c r="AX376" s="36">
        <f t="shared" si="169"/>
        <v>0.2609898047754074</v>
      </c>
      <c r="AY376" s="36">
        <f t="shared" si="170"/>
        <v>5.6626067557280537</v>
      </c>
      <c r="AZ376" s="36">
        <f t="shared" si="171"/>
        <v>1080577.7610325073</v>
      </c>
      <c r="BA376" s="36">
        <f t="shared" si="172"/>
        <v>5.4530931276593132E-4</v>
      </c>
      <c r="BB376" s="38">
        <f t="shared" si="173"/>
        <v>-266746952.37161013</v>
      </c>
      <c r="BC376" s="40">
        <f t="shared" si="174"/>
        <v>-269712266.97161013</v>
      </c>
      <c r="BD376" s="41">
        <f t="shared" si="175"/>
        <v>-9095.5700609847645</v>
      </c>
      <c r="BE376" s="38">
        <v>2965314.6</v>
      </c>
      <c r="BF376" s="42">
        <f>テーブル2[[#This Row],[q_P]]/テーブル2[[#This Row],[q_M]]</f>
        <v>-89.955700609847639</v>
      </c>
      <c r="BG376" s="36">
        <v>1</v>
      </c>
      <c r="BH376" s="36">
        <v>-8.5999999999999993E-2</v>
      </c>
      <c r="BI376" s="36">
        <v>4.5999999999999999E-2</v>
      </c>
      <c r="BJ376" s="36">
        <v>5625</v>
      </c>
      <c r="BK376" s="22">
        <v>1</v>
      </c>
      <c r="BL376" s="36">
        <f>テーブル2[[#This Row],[Ts]]-テーブル2[[#This Row],[Tin]]</f>
        <v>221.39587220596286</v>
      </c>
      <c r="BM376" s="36">
        <f>テーブル2[[#This Row],[q_P]]*0.000001</f>
        <v>-266.74695237161012</v>
      </c>
      <c r="BN376" s="36">
        <f>テーブル2[[#This Row],[Tsub]]</f>
        <v>221.39587220596286</v>
      </c>
      <c r="BO376" s="36">
        <f>テーブル2[[#This Row],[Fcorr]]</f>
        <v>1</v>
      </c>
      <c r="BP376" s="36">
        <f>(テーブル2[[#This Row],[Tsub]]-40)^2</f>
        <v>32904.462453362008</v>
      </c>
      <c r="BQ376" s="36">
        <v>1</v>
      </c>
      <c r="BR376" s="36">
        <v>0.62484000000000006</v>
      </c>
    </row>
    <row r="377" spans="1:70" x14ac:dyDescent="0.15">
      <c r="A377" s="35" t="s">
        <v>373</v>
      </c>
      <c r="B377" s="36">
        <v>13789514.586336</v>
      </c>
      <c r="C377" s="22">
        <f>TsatFromP(テーブル2[[#This Row],[P]])</f>
        <v>608.62107399852357</v>
      </c>
      <c r="D377" s="36">
        <f>RhoGFromP(テーブル2[[#This Row],[P]])</f>
        <v>85.147847035840741</v>
      </c>
      <c r="E377" s="36">
        <f>RhoFFromP(テーブル2[[#This Row],[P]])</f>
        <v>624.86636713482415</v>
      </c>
      <c r="F377" s="36">
        <f>HgFromP(テーブル2[[#This Row],[P]])</f>
        <v>2643264.5206450778</v>
      </c>
      <c r="G377" s="36">
        <f>HfFromP(テーブル2[[#This Row],[P]])</f>
        <v>1562686.7596125705</v>
      </c>
      <c r="H377" s="36">
        <f>MuGFromP(テーブル2[[#This Row],[P]])</f>
        <v>2.2019591234371903E-5</v>
      </c>
      <c r="I377" s="36">
        <f>MuFFromP(テーブル2[[#This Row],[P]])</f>
        <v>7.222326555143516E-5</v>
      </c>
      <c r="J377" s="36">
        <f>KfFromP(テーブル2[[#This Row],[P]])</f>
        <v>0.49112131073334553</v>
      </c>
      <c r="K377" s="36">
        <f>CpFFromP(テーブル2[[#This Row],[P]])</f>
        <v>7679.7488518783057</v>
      </c>
      <c r="L377" s="36">
        <f>SigmaFromP(テーブル2[[#This Row],[P]])</f>
        <v>6.5036449518301549E-3</v>
      </c>
      <c r="M377" s="36">
        <v>27.01</v>
      </c>
      <c r="N377" s="36">
        <v>3282.0765999999999</v>
      </c>
      <c r="O377" s="37">
        <f t="shared" si="176"/>
        <v>2.8502295699234246E-6</v>
      </c>
      <c r="P377" s="37">
        <f t="shared" si="177"/>
        <v>5.9847340050885557E-3</v>
      </c>
      <c r="Q377" s="37">
        <v>1.905E-3</v>
      </c>
      <c r="R377" s="36">
        <v>0.69595999999999991</v>
      </c>
      <c r="S377" s="38">
        <v>3091498.2</v>
      </c>
      <c r="T377" s="36">
        <v>295.43672856397882</v>
      </c>
      <c r="U377" s="12">
        <f>+T377+BG377*S377*テーブル2[[#This Row],[Pw]]*R377/(N377*O377*K377)</f>
        <v>474.67162046655073</v>
      </c>
      <c r="V377" s="36">
        <v>0.03</v>
      </c>
      <c r="W377" s="37">
        <f t="shared" si="148"/>
        <v>86569.831414605127</v>
      </c>
      <c r="X377" s="36">
        <v>0.01</v>
      </c>
      <c r="Y377" s="36">
        <f t="shared" si="149"/>
        <v>10</v>
      </c>
      <c r="Z377" s="36">
        <f t="shared" si="150"/>
        <v>4.7684122116591849</v>
      </c>
      <c r="AA377" s="36">
        <f t="shared" si="151"/>
        <v>5.2315877883408151</v>
      </c>
      <c r="AB377" s="36">
        <f t="shared" si="152"/>
        <v>3.6217442676833614E-5</v>
      </c>
      <c r="AC377" s="36">
        <v>600</v>
      </c>
      <c r="AD377" s="36">
        <f t="shared" si="153"/>
        <v>1530.3528709860875</v>
      </c>
      <c r="AE377" s="36">
        <f>+gettm2(AD377,AC377,AK377,AL377,テーブル2[[#This Row],[Fcorr]])</f>
        <v>546.97562323381726</v>
      </c>
      <c r="AF377" s="39">
        <f t="shared" si="154"/>
        <v>72.304002767266525</v>
      </c>
      <c r="AG377" s="36">
        <v>1.0000000000000001E-5</v>
      </c>
      <c r="AH377" s="36">
        <f t="shared" si="155"/>
        <v>21.5486609914295</v>
      </c>
      <c r="AI377" s="36">
        <f t="shared" si="156"/>
        <v>0.1857019950421612</v>
      </c>
      <c r="AJ377" s="36">
        <f t="shared" si="157"/>
        <v>16.066696808252889</v>
      </c>
      <c r="AK377" s="36">
        <f>+S88*テーブル2[[#This Row],[F_form]]/(E88*CpFromTP((テーブル2[[#This Row],[Tin]]+テーブル2[[#This Row],[Tf]])/2,テーブル2[[#This Row],[P]])*AI88)</f>
        <v>2.3669225349067409</v>
      </c>
      <c r="AL377" s="36">
        <f t="shared" si="158"/>
        <v>1.1293676909872215</v>
      </c>
      <c r="AM377" s="36">
        <f t="shared" si="159"/>
        <v>571.80950878680153</v>
      </c>
      <c r="AN377" s="36">
        <f t="shared" si="160"/>
        <v>36.811565211722041</v>
      </c>
      <c r="AO377" s="36">
        <f t="shared" si="161"/>
        <v>-2.6217442676833615E-5</v>
      </c>
      <c r="AP377" s="36">
        <v>1</v>
      </c>
      <c r="AQ377" s="36">
        <f t="shared" si="162"/>
        <v>5.4530931276593132E-4</v>
      </c>
      <c r="AR377" s="36">
        <f t="shared" si="163"/>
        <v>-8.1087213384168081E-6</v>
      </c>
      <c r="AS377" s="36">
        <f t="shared" si="164"/>
        <v>-13.02803672469534</v>
      </c>
      <c r="AT377" s="36">
        <f t="shared" si="165"/>
        <v>-13.02803672469534</v>
      </c>
      <c r="AU377" s="36">
        <f t="shared" si="166"/>
        <v>-2.419332411258468</v>
      </c>
      <c r="AV377" s="36">
        <f t="shared" si="167"/>
        <v>3.419332411258468</v>
      </c>
      <c r="AW377" s="36">
        <f t="shared" si="168"/>
        <v>2.1774330400699302E-2</v>
      </c>
      <c r="AX377" s="36">
        <f t="shared" si="169"/>
        <v>0.65112920366648031</v>
      </c>
      <c r="AY377" s="36">
        <f t="shared" si="170"/>
        <v>2.7682032075919878</v>
      </c>
      <c r="AZ377" s="36">
        <f t="shared" si="171"/>
        <v>1080577.7610325073</v>
      </c>
      <c r="BA377" s="36">
        <f t="shared" si="172"/>
        <v>5.4530931276593132E-4</v>
      </c>
      <c r="BB377" s="38">
        <f t="shared" si="173"/>
        <v>-32463144.69746948</v>
      </c>
      <c r="BC377" s="40">
        <f t="shared" si="174"/>
        <v>-35554642.897469483</v>
      </c>
      <c r="BD377" s="41">
        <f t="shared" si="175"/>
        <v>-1150.0780720968714</v>
      </c>
      <c r="BE377" s="38">
        <v>3091498.2</v>
      </c>
      <c r="BF377" s="42">
        <f>テーブル2[[#This Row],[q_P]]/テーブル2[[#This Row],[q_M]]</f>
        <v>-10.500780720968713</v>
      </c>
      <c r="BG377" s="36">
        <v>1</v>
      </c>
      <c r="BH377" s="36">
        <v>-7.3999999999999996E-2</v>
      </c>
      <c r="BI377" s="36">
        <v>4.5999999999999999E-2</v>
      </c>
      <c r="BJ377" s="36">
        <v>5625</v>
      </c>
      <c r="BK377" s="22">
        <v>1</v>
      </c>
      <c r="BL377" s="36">
        <f>テーブル2[[#This Row],[Ts]]-テーブル2[[#This Row],[Tin]]</f>
        <v>313.18434543454475</v>
      </c>
      <c r="BM377" s="36">
        <f>テーブル2[[#This Row],[q_P]]*0.000001</f>
        <v>-32.463144697469481</v>
      </c>
      <c r="BN377" s="36">
        <f>テーブル2[[#This Row],[Tsub]]</f>
        <v>313.18434543454475</v>
      </c>
      <c r="BO377" s="36">
        <f>テーブル2[[#This Row],[Fcorr]]</f>
        <v>1</v>
      </c>
      <c r="BP377" s="36">
        <f>(テーブル2[[#This Row],[Tsub]]-40)^2</f>
        <v>74629.686590500671</v>
      </c>
      <c r="BQ377" s="36">
        <v>1</v>
      </c>
      <c r="BR377" s="36">
        <v>0.69595999999999991</v>
      </c>
    </row>
    <row r="378" spans="1:70" x14ac:dyDescent="0.15">
      <c r="A378" s="35" t="s">
        <v>374</v>
      </c>
      <c r="B378" s="36">
        <v>13789514.586336</v>
      </c>
      <c r="C378" s="22">
        <f>TsatFromP(テーブル2[[#This Row],[P]])</f>
        <v>608.62107399852357</v>
      </c>
      <c r="D378" s="36">
        <f>RhoGFromP(テーブル2[[#This Row],[P]])</f>
        <v>85.147847035840741</v>
      </c>
      <c r="E378" s="36">
        <f>RhoFFromP(テーブル2[[#This Row],[P]])</f>
        <v>624.86636713482415</v>
      </c>
      <c r="F378" s="36">
        <f>HgFromP(テーブル2[[#This Row],[P]])</f>
        <v>2643264.5206450778</v>
      </c>
      <c r="G378" s="36">
        <f>HfFromP(テーブル2[[#This Row],[P]])</f>
        <v>1562686.7596125705</v>
      </c>
      <c r="H378" s="36">
        <f>MuGFromP(テーブル2[[#This Row],[P]])</f>
        <v>2.2019591234371903E-5</v>
      </c>
      <c r="I378" s="36">
        <f>MuFFromP(テーブル2[[#This Row],[P]])</f>
        <v>7.222326555143516E-5</v>
      </c>
      <c r="J378" s="36">
        <f>KfFromP(テーブル2[[#This Row],[P]])</f>
        <v>0.49112131073334553</v>
      </c>
      <c r="K378" s="36">
        <f>CpFFromP(テーブル2[[#This Row],[P]])</f>
        <v>7679.7488518783057</v>
      </c>
      <c r="L378" s="36">
        <f>SigmaFromP(テーブル2[[#This Row],[P]])</f>
        <v>6.5036449518301549E-3</v>
      </c>
      <c r="M378" s="36">
        <v>270.01</v>
      </c>
      <c r="N378" s="36">
        <v>5207.9232000000002</v>
      </c>
      <c r="O378" s="37">
        <f t="shared" si="176"/>
        <v>2.5880591202383804E-5</v>
      </c>
      <c r="P378" s="37">
        <f t="shared" si="177"/>
        <v>1.8033998468666854E-2</v>
      </c>
      <c r="Q378" s="37">
        <v>5.7404000000000014E-3</v>
      </c>
      <c r="R378" s="36">
        <v>0.62484000000000006</v>
      </c>
      <c r="S378" s="38">
        <v>3627778.5</v>
      </c>
      <c r="T378" s="36">
        <v>563.31337111174798</v>
      </c>
      <c r="U378" s="12">
        <f>+T378+BG378*S378*テーブル2[[#This Row],[Pw]]*R378/(N378*O378*K378)</f>
        <v>602.80598080129323</v>
      </c>
      <c r="V378" s="36">
        <v>0.03</v>
      </c>
      <c r="W378" s="37">
        <f t="shared" si="148"/>
        <v>413932.57572920626</v>
      </c>
      <c r="X378" s="36">
        <v>0.01</v>
      </c>
      <c r="Y378" s="36">
        <f t="shared" si="149"/>
        <v>10</v>
      </c>
      <c r="Z378" s="36">
        <f t="shared" si="150"/>
        <v>6.4934044492313072</v>
      </c>
      <c r="AA378" s="36">
        <f t="shared" si="151"/>
        <v>3.5065955507686928</v>
      </c>
      <c r="AB378" s="36">
        <f t="shared" si="152"/>
        <v>1.4384211649075546E-5</v>
      </c>
      <c r="AC378" s="36">
        <v>600</v>
      </c>
      <c r="AD378" s="36">
        <f t="shared" si="153"/>
        <v>7317.3632813033955</v>
      </c>
      <c r="AE378" s="36">
        <f>+gettm2(AD378,AC378,AK378,AL378,テーブル2[[#This Row],[Fcorr]])</f>
        <v>554.58766660360118</v>
      </c>
      <c r="AF378" s="39">
        <f t="shared" si="154"/>
        <v>-48.218314197692052</v>
      </c>
      <c r="AG378" s="36">
        <v>1.0000000000000001E-5</v>
      </c>
      <c r="AH378" s="36">
        <f t="shared" si="155"/>
        <v>54.256528842842506</v>
      </c>
      <c r="AI378" s="36">
        <f t="shared" si="156"/>
        <v>0.29466762849665246</v>
      </c>
      <c r="AJ378" s="36">
        <f t="shared" si="157"/>
        <v>25.494262704004576</v>
      </c>
      <c r="AK378" s="36">
        <f>+S88*テーブル2[[#This Row],[F_form]]/(E88*CpFromTP((テーブル2[[#This Row],[Tin]]+テーブル2[[#This Row],[Tf]])/2,テーブル2[[#This Row],[P]])*AI88)</f>
        <v>1.7234242010108058</v>
      </c>
      <c r="AL378" s="36">
        <f t="shared" si="158"/>
        <v>1.1293676909872215</v>
      </c>
      <c r="AM378" s="36">
        <f t="shared" si="159"/>
        <v>575.37813359666177</v>
      </c>
      <c r="AN378" s="36">
        <f t="shared" si="160"/>
        <v>33.242940401861802</v>
      </c>
      <c r="AO378" s="36">
        <f t="shared" si="161"/>
        <v>-4.3842116490755449E-6</v>
      </c>
      <c r="AP378" s="36">
        <v>1</v>
      </c>
      <c r="AQ378" s="36">
        <f t="shared" si="162"/>
        <v>5.4530931276593132E-4</v>
      </c>
      <c r="AR378" s="36">
        <f t="shared" si="163"/>
        <v>2.807894175462228E-6</v>
      </c>
      <c r="AS378" s="36">
        <f t="shared" si="164"/>
        <v>7.1585191754278368</v>
      </c>
      <c r="AT378" s="36">
        <f t="shared" si="165"/>
        <v>6.7915157025410782</v>
      </c>
      <c r="AU378" s="36">
        <f t="shared" si="166"/>
        <v>2.0012398259655559</v>
      </c>
      <c r="AV378" s="36">
        <f t="shared" si="167"/>
        <v>-1.0012398259655559</v>
      </c>
      <c r="AW378" s="36">
        <f t="shared" si="168"/>
        <v>8.647948442834159E-3</v>
      </c>
      <c r="AX378" s="36">
        <f t="shared" si="169"/>
        <v>1.0331967529253241</v>
      </c>
      <c r="AY378" s="36">
        <f t="shared" si="170"/>
        <v>-2.03443657889088</v>
      </c>
      <c r="AZ378" s="36">
        <f t="shared" si="171"/>
        <v>1080577.7610325073</v>
      </c>
      <c r="BA378" s="36">
        <f t="shared" si="172"/>
        <v>5.4530931276593132E-4</v>
      </c>
      <c r="BB378" s="38">
        <f t="shared" si="173"/>
        <v>-5428649.1212216085</v>
      </c>
      <c r="BC378" s="40">
        <f t="shared" si="174"/>
        <v>-9056427.6212216094</v>
      </c>
      <c r="BD378" s="41">
        <f t="shared" si="175"/>
        <v>-249.64114047265039</v>
      </c>
      <c r="BE378" s="38">
        <v>3627778.5</v>
      </c>
      <c r="BF378" s="42">
        <f>テーブル2[[#This Row],[q_P]]/テーブル2[[#This Row],[q_M]]</f>
        <v>-1.4964114047265038</v>
      </c>
      <c r="BG378" s="36">
        <v>1</v>
      </c>
      <c r="BH378" s="36">
        <v>2.5000000000000001E-2</v>
      </c>
      <c r="BI378" s="36">
        <v>4.5999999999999999E-2</v>
      </c>
      <c r="BJ378" s="36">
        <v>5625</v>
      </c>
      <c r="BK378" s="22">
        <v>1</v>
      </c>
      <c r="BL378" s="36">
        <f>テーブル2[[#This Row],[Ts]]-テーブル2[[#This Row],[Tin]]</f>
        <v>45.307702886775587</v>
      </c>
      <c r="BM378" s="36">
        <f>テーブル2[[#This Row],[q_P]]*0.000001</f>
        <v>-5.4286491212216079</v>
      </c>
      <c r="BN378" s="36">
        <f>テーブル2[[#This Row],[Tsub]]</f>
        <v>45.307702886775587</v>
      </c>
      <c r="BO378" s="36">
        <f>テーブル2[[#This Row],[Fcorr]]</f>
        <v>1</v>
      </c>
      <c r="BP378" s="36">
        <f>(テーブル2[[#This Row],[Tsub]]-40)^2</f>
        <v>28.1717099342859</v>
      </c>
      <c r="BQ378" s="36">
        <v>1</v>
      </c>
      <c r="BR378" s="36">
        <v>0.62484000000000006</v>
      </c>
    </row>
    <row r="379" spans="1:70" x14ac:dyDescent="0.15">
      <c r="A379" s="35" t="s">
        <v>375</v>
      </c>
      <c r="B379" s="36">
        <v>13789514.586336</v>
      </c>
      <c r="C379" s="22">
        <f>TsatFromP(テーブル2[[#This Row],[P]])</f>
        <v>608.62107399852357</v>
      </c>
      <c r="D379" s="36">
        <f>RhoGFromP(テーブル2[[#This Row],[P]])</f>
        <v>85.147847035840741</v>
      </c>
      <c r="E379" s="36">
        <f>RhoFFromP(テーブル2[[#This Row],[P]])</f>
        <v>624.86636713482415</v>
      </c>
      <c r="F379" s="36">
        <f>HgFromP(テーブル2[[#This Row],[P]])</f>
        <v>2643264.5206450778</v>
      </c>
      <c r="G379" s="36">
        <f>HfFromP(テーブル2[[#This Row],[P]])</f>
        <v>1562686.7596125705</v>
      </c>
      <c r="H379" s="36">
        <f>MuGFromP(テーブル2[[#This Row],[P]])</f>
        <v>2.2019591234371903E-5</v>
      </c>
      <c r="I379" s="36">
        <f>MuFFromP(テーブル2[[#This Row],[P]])</f>
        <v>7.222326555143516E-5</v>
      </c>
      <c r="J379" s="36">
        <f>KfFromP(テーブル2[[#This Row],[P]])</f>
        <v>0.49112131073334553</v>
      </c>
      <c r="K379" s="36">
        <f>CpFFromP(テーブル2[[#This Row],[P]])</f>
        <v>7679.7488518783057</v>
      </c>
      <c r="L379" s="36">
        <f>SigmaFromP(テーブル2[[#This Row],[P]])</f>
        <v>6.5036449518301549E-3</v>
      </c>
      <c r="M379" s="36">
        <v>271.01</v>
      </c>
      <c r="N379" s="36">
        <v>5248.6100999999999</v>
      </c>
      <c r="O379" s="37">
        <f t="shared" si="176"/>
        <v>2.5880591202383804E-5</v>
      </c>
      <c r="P379" s="37">
        <f t="shared" si="177"/>
        <v>1.8033998468666854E-2</v>
      </c>
      <c r="Q379" s="37">
        <v>5.7404000000000014E-3</v>
      </c>
      <c r="R379" s="36">
        <v>0.62484000000000006</v>
      </c>
      <c r="S379" s="38">
        <v>5047344</v>
      </c>
      <c r="T379" s="36">
        <v>521.49485592597796</v>
      </c>
      <c r="U379" s="12">
        <f>+T379+BG379*S379*テーブル2[[#This Row],[Pw]]*R379/(N379*O379*K379)</f>
        <v>576.01515565242801</v>
      </c>
      <c r="V379" s="36">
        <v>0.03</v>
      </c>
      <c r="W379" s="37">
        <f t="shared" si="148"/>
        <v>417166.42397709069</v>
      </c>
      <c r="X379" s="36">
        <v>0.01</v>
      </c>
      <c r="Y379" s="36">
        <f t="shared" si="149"/>
        <v>10</v>
      </c>
      <c r="Z379" s="36">
        <f t="shared" si="150"/>
        <v>6.5061956209612655</v>
      </c>
      <c r="AA379" s="36">
        <f t="shared" si="151"/>
        <v>3.4938043790387345</v>
      </c>
      <c r="AB379" s="36">
        <f t="shared" si="152"/>
        <v>1.416206499960662E-5</v>
      </c>
      <c r="AC379" s="36">
        <v>600</v>
      </c>
      <c r="AD379" s="36">
        <f t="shared" si="153"/>
        <v>7374.5301819385795</v>
      </c>
      <c r="AE379" s="36">
        <f>+gettm2(AD379,AC379,AK379,AL379,テーブル2[[#This Row],[Fcorr]])</f>
        <v>547.84469918616674</v>
      </c>
      <c r="AF379" s="39">
        <f t="shared" si="154"/>
        <v>-28.170456466261271</v>
      </c>
      <c r="AG379" s="36">
        <v>1.0000000000000001E-5</v>
      </c>
      <c r="AH379" s="36">
        <f t="shared" si="155"/>
        <v>55.10759866172743</v>
      </c>
      <c r="AI379" s="36">
        <f t="shared" si="156"/>
        <v>0.29696971934428257</v>
      </c>
      <c r="AJ379" s="36">
        <f t="shared" si="157"/>
        <v>25.693436631379619</v>
      </c>
      <c r="AK379" s="36">
        <f>+S88*テーブル2[[#This Row],[F_form]]/(E88*CpFromTP((テーブル2[[#This Row],[Tin]]+テーブル2[[#This Row],[Tf]])/2,テーブル2[[#This Row],[P]])*AI88)</f>
        <v>1.9778578322272609</v>
      </c>
      <c r="AL379" s="36">
        <f t="shared" si="158"/>
        <v>1.1293676909872215</v>
      </c>
      <c r="AM379" s="36">
        <f t="shared" si="159"/>
        <v>571.66442143587403</v>
      </c>
      <c r="AN379" s="36">
        <f t="shared" si="160"/>
        <v>36.956652562649538</v>
      </c>
      <c r="AO379" s="36">
        <f t="shared" si="161"/>
        <v>-4.1620649996066189E-6</v>
      </c>
      <c r="AP379" s="36">
        <v>1</v>
      </c>
      <c r="AQ379" s="36">
        <f t="shared" si="162"/>
        <v>5.4530931276593132E-4</v>
      </c>
      <c r="AR379" s="36">
        <f t="shared" si="163"/>
        <v>2.918967500196691E-6</v>
      </c>
      <c r="AS379" s="36">
        <f t="shared" si="164"/>
        <v>7.4998306495360234</v>
      </c>
      <c r="AT379" s="36">
        <f t="shared" si="165"/>
        <v>7.024402201127339</v>
      </c>
      <c r="AU379" s="36">
        <f t="shared" si="166"/>
        <v>2.0860347502301466</v>
      </c>
      <c r="AV379" s="36">
        <f t="shared" si="167"/>
        <v>-1.0860347502301466</v>
      </c>
      <c r="AW379" s="36">
        <f t="shared" si="168"/>
        <v>8.5143913999996927E-3</v>
      </c>
      <c r="AX379" s="36">
        <f t="shared" si="169"/>
        <v>1.0412686025575533</v>
      </c>
      <c r="AY379" s="36">
        <f t="shared" si="170"/>
        <v>-2.1273033527876999</v>
      </c>
      <c r="AZ379" s="36">
        <f t="shared" si="171"/>
        <v>1080577.7610325073</v>
      </c>
      <c r="BA379" s="36">
        <f t="shared" si="172"/>
        <v>5.4530931276593132E-4</v>
      </c>
      <c r="BB379" s="38">
        <f t="shared" si="173"/>
        <v>-5153581.147786499</v>
      </c>
      <c r="BC379" s="40">
        <f t="shared" si="174"/>
        <v>-10200925.147786498</v>
      </c>
      <c r="BD379" s="41">
        <f t="shared" si="175"/>
        <v>-202.10481290331109</v>
      </c>
      <c r="BE379" s="38">
        <v>5047344</v>
      </c>
      <c r="BF379" s="42">
        <f>テーブル2[[#This Row],[q_P]]/テーブル2[[#This Row],[q_M]]</f>
        <v>-1.021048129033111</v>
      </c>
      <c r="BG379" s="36">
        <v>1</v>
      </c>
      <c r="BH379" s="36">
        <v>-6.0999999999999999E-2</v>
      </c>
      <c r="BI379" s="36">
        <v>4.5999999999999999E-2</v>
      </c>
      <c r="BJ379" s="36">
        <v>5625</v>
      </c>
      <c r="BK379" s="22">
        <v>1</v>
      </c>
      <c r="BL379" s="36">
        <f>テーブル2[[#This Row],[Ts]]-テーブル2[[#This Row],[Tin]]</f>
        <v>87.126218072545612</v>
      </c>
      <c r="BM379" s="36">
        <f>テーブル2[[#This Row],[q_P]]*0.000001</f>
        <v>-5.1535811477864986</v>
      </c>
      <c r="BN379" s="36">
        <f>テーブル2[[#This Row],[Tsub]]</f>
        <v>87.126218072545612</v>
      </c>
      <c r="BO379" s="36">
        <f>テーブル2[[#This Row],[Fcorr]]</f>
        <v>1</v>
      </c>
      <c r="BP379" s="36">
        <f>(テーブル2[[#This Row],[Tsub]]-40)^2</f>
        <v>2220.8804298211248</v>
      </c>
      <c r="BQ379" s="36">
        <v>1</v>
      </c>
      <c r="BR379" s="36">
        <v>0.62484000000000006</v>
      </c>
    </row>
    <row r="380" spans="1:70" x14ac:dyDescent="0.15">
      <c r="A380" s="35" t="s">
        <v>376</v>
      </c>
      <c r="B380" s="36">
        <v>13789514.586336</v>
      </c>
      <c r="C380" s="22">
        <f>TsatFromP(テーブル2[[#This Row],[P]])</f>
        <v>608.62107399852357</v>
      </c>
      <c r="D380" s="36">
        <f>RhoGFromP(テーブル2[[#This Row],[P]])</f>
        <v>85.147847035840741</v>
      </c>
      <c r="E380" s="36">
        <f>RhoFFromP(テーブル2[[#This Row],[P]])</f>
        <v>624.86636713482415</v>
      </c>
      <c r="F380" s="36">
        <f>HgFromP(テーブル2[[#This Row],[P]])</f>
        <v>2643264.5206450778</v>
      </c>
      <c r="G380" s="36">
        <f>HfFromP(テーブル2[[#This Row],[P]])</f>
        <v>1562686.7596125705</v>
      </c>
      <c r="H380" s="36">
        <f>MuGFromP(テーブル2[[#This Row],[P]])</f>
        <v>2.2019591234371903E-5</v>
      </c>
      <c r="I380" s="36">
        <f>MuFFromP(テーブル2[[#This Row],[P]])</f>
        <v>7.222326555143516E-5</v>
      </c>
      <c r="J380" s="36">
        <f>KfFromP(テーブル2[[#This Row],[P]])</f>
        <v>0.49112131073334553</v>
      </c>
      <c r="K380" s="36">
        <f>CpFFromP(テーブル2[[#This Row],[P]])</f>
        <v>7679.7488518783057</v>
      </c>
      <c r="L380" s="36">
        <f>SigmaFromP(テーブル2[[#This Row],[P]])</f>
        <v>6.5036449518301549E-3</v>
      </c>
      <c r="M380" s="36">
        <v>272.01</v>
      </c>
      <c r="N380" s="36">
        <v>5262.1724000000004</v>
      </c>
      <c r="O380" s="37">
        <f t="shared" si="176"/>
        <v>2.5880591202383804E-5</v>
      </c>
      <c r="P380" s="37">
        <f t="shared" si="177"/>
        <v>1.8033998468666854E-2</v>
      </c>
      <c r="Q380" s="37">
        <v>5.7404000000000014E-3</v>
      </c>
      <c r="R380" s="36">
        <v>0.62484000000000006</v>
      </c>
      <c r="S380" s="38">
        <v>8927489.6999999993</v>
      </c>
      <c r="T380" s="36">
        <v>365.35518008105089</v>
      </c>
      <c r="U380" s="12">
        <f>+T380+BG380*S380*テーブル2[[#This Row],[Pw]]*R380/(N380*O380*K380)</f>
        <v>461.53942212906202</v>
      </c>
      <c r="V380" s="36">
        <v>0.03</v>
      </c>
      <c r="W380" s="37">
        <f t="shared" si="148"/>
        <v>418244.3733930522</v>
      </c>
      <c r="X380" s="36">
        <v>0.01</v>
      </c>
      <c r="Y380" s="36">
        <f t="shared" si="149"/>
        <v>10</v>
      </c>
      <c r="Z380" s="36">
        <f t="shared" si="150"/>
        <v>6.510436201755569</v>
      </c>
      <c r="AA380" s="36">
        <f t="shared" si="151"/>
        <v>3.489563798244431</v>
      </c>
      <c r="AB380" s="36">
        <f t="shared" si="152"/>
        <v>1.4089158737153813E-5</v>
      </c>
      <c r="AC380" s="36">
        <v>600</v>
      </c>
      <c r="AD380" s="36">
        <f t="shared" si="153"/>
        <v>7393.5858154836396</v>
      </c>
      <c r="AE380" s="36">
        <f>+gettm2(AD380,AC380,AK380,AL380,テーブル2[[#This Row],[Fcorr]])</f>
        <v>538.24114583785911</v>
      </c>
      <c r="AF380" s="39">
        <f t="shared" si="154"/>
        <v>76.70172370879709</v>
      </c>
      <c r="AG380" s="36">
        <v>1.0000000000000001E-5</v>
      </c>
      <c r="AH380" s="36">
        <f t="shared" si="155"/>
        <v>55.392760403895963</v>
      </c>
      <c r="AI380" s="36">
        <f t="shared" si="156"/>
        <v>0.29773708296015927</v>
      </c>
      <c r="AJ380" s="36">
        <f t="shared" si="157"/>
        <v>25.759827940504628</v>
      </c>
      <c r="AK380" s="36">
        <f>+S88*テーブル2[[#This Row],[F_form]]/(E88*CpFromTP((テーブル2[[#This Row],[Tin]]+テーブル2[[#This Row],[Tf]])/2,テーブル2[[#This Row],[P]])*AI88)</f>
        <v>2.3414732705037631</v>
      </c>
      <c r="AL380" s="36">
        <f t="shared" si="158"/>
        <v>1.1293676909872215</v>
      </c>
      <c r="AM380" s="36">
        <f t="shared" si="159"/>
        <v>566.42422143086048</v>
      </c>
      <c r="AN380" s="36">
        <f t="shared" si="160"/>
        <v>42.196852567663086</v>
      </c>
      <c r="AO380" s="36">
        <f t="shared" si="161"/>
        <v>-4.0891587371538122E-6</v>
      </c>
      <c r="AP380" s="36">
        <v>1</v>
      </c>
      <c r="AQ380" s="36">
        <f t="shared" si="162"/>
        <v>5.4530931276593132E-4</v>
      </c>
      <c r="AR380" s="36">
        <f t="shared" si="163"/>
        <v>2.9554206314230943E-6</v>
      </c>
      <c r="AS380" s="36">
        <f t="shared" si="164"/>
        <v>7.6131126957276463</v>
      </c>
      <c r="AT380" s="36">
        <f t="shared" si="165"/>
        <v>7.0993605763934848</v>
      </c>
      <c r="AU380" s="36">
        <f t="shared" si="166"/>
        <v>2.1137429088977511</v>
      </c>
      <c r="AV380" s="36">
        <f t="shared" si="167"/>
        <v>-1.1137429088977511</v>
      </c>
      <c r="AW380" s="36">
        <f t="shared" si="168"/>
        <v>8.4705593420299295E-3</v>
      </c>
      <c r="AX380" s="36">
        <f t="shared" si="169"/>
        <v>1.0439592191016296</v>
      </c>
      <c r="AY380" s="36">
        <f t="shared" si="170"/>
        <v>-2.1577021279993804</v>
      </c>
      <c r="AZ380" s="36">
        <f t="shared" si="171"/>
        <v>1080577.7610325073</v>
      </c>
      <c r="BA380" s="36">
        <f t="shared" si="172"/>
        <v>5.4530931276593132E-4</v>
      </c>
      <c r="BB380" s="38">
        <f t="shared" si="173"/>
        <v>-5063306.6470836326</v>
      </c>
      <c r="BC380" s="40">
        <f t="shared" si="174"/>
        <v>-13990796.347083632</v>
      </c>
      <c r="BD380" s="41">
        <f t="shared" si="175"/>
        <v>-156.71590578349964</v>
      </c>
      <c r="BE380" s="38">
        <v>8927489.6999999993</v>
      </c>
      <c r="BF380" s="42">
        <f>テーブル2[[#This Row],[q_P]]/テーブル2[[#This Row],[q_M]]</f>
        <v>-0.56715905783499621</v>
      </c>
      <c r="BG380" s="36">
        <v>1</v>
      </c>
      <c r="BH380" s="36">
        <v>-0.39600000000000002</v>
      </c>
      <c r="BI380" s="36">
        <v>4.5999999999999999E-2</v>
      </c>
      <c r="BJ380" s="36">
        <v>5625</v>
      </c>
      <c r="BK380" s="22">
        <v>1</v>
      </c>
      <c r="BL380" s="36">
        <f>テーブル2[[#This Row],[Ts]]-テーブル2[[#This Row],[Tin]]</f>
        <v>243.26589391747268</v>
      </c>
      <c r="BM380" s="36">
        <f>テーブル2[[#This Row],[q_P]]*0.000001</f>
        <v>-5.0633066470836328</v>
      </c>
      <c r="BN380" s="36">
        <f>テーブル2[[#This Row],[Tsub]]</f>
        <v>243.26589391747268</v>
      </c>
      <c r="BO380" s="36">
        <f>テーブル2[[#This Row],[Fcorr]]</f>
        <v>1</v>
      </c>
      <c r="BP380" s="36">
        <f>(テーブル2[[#This Row],[Tsub]]-40)^2</f>
        <v>41317.023630069256</v>
      </c>
      <c r="BQ380" s="36">
        <v>1</v>
      </c>
      <c r="BR380" s="36">
        <v>0.62484000000000006</v>
      </c>
    </row>
    <row r="381" spans="1:70" x14ac:dyDescent="0.15">
      <c r="A381" s="35" t="s">
        <v>377</v>
      </c>
      <c r="B381" s="36">
        <v>13789514.586336</v>
      </c>
      <c r="C381" s="22">
        <f>TsatFromP(テーブル2[[#This Row],[P]])</f>
        <v>608.62107399852357</v>
      </c>
      <c r="D381" s="36">
        <f>RhoGFromP(テーブル2[[#This Row],[P]])</f>
        <v>85.147847035840741</v>
      </c>
      <c r="E381" s="36">
        <f>RhoFFromP(テーブル2[[#This Row],[P]])</f>
        <v>624.86636713482415</v>
      </c>
      <c r="F381" s="36">
        <f>HgFromP(テーブル2[[#This Row],[P]])</f>
        <v>2643264.5206450778</v>
      </c>
      <c r="G381" s="36">
        <f>HfFromP(テーブル2[[#This Row],[P]])</f>
        <v>1562686.7596125705</v>
      </c>
      <c r="H381" s="36">
        <f>MuGFromP(テーブル2[[#This Row],[P]])</f>
        <v>2.2019591234371903E-5</v>
      </c>
      <c r="I381" s="36">
        <f>MuFFromP(テーブル2[[#This Row],[P]])</f>
        <v>7.222326555143516E-5</v>
      </c>
      <c r="J381" s="36">
        <f>KfFromP(テーブル2[[#This Row],[P]])</f>
        <v>0.49112131073334553</v>
      </c>
      <c r="K381" s="36">
        <f>CpFFromP(テーブル2[[#This Row],[P]])</f>
        <v>7679.7488518783057</v>
      </c>
      <c r="L381" s="36">
        <f>SigmaFromP(テーブル2[[#This Row],[P]])</f>
        <v>6.5036449518301549E-3</v>
      </c>
      <c r="M381" s="36">
        <v>273.01</v>
      </c>
      <c r="N381" s="36">
        <v>5262.1724000000004</v>
      </c>
      <c r="O381" s="37">
        <f t="shared" si="176"/>
        <v>2.5880591202383804E-5</v>
      </c>
      <c r="P381" s="37">
        <f t="shared" si="177"/>
        <v>1.8033998468666854E-2</v>
      </c>
      <c r="Q381" s="37">
        <v>5.7404000000000014E-3</v>
      </c>
      <c r="R381" s="36">
        <v>0.62484000000000006</v>
      </c>
      <c r="S381" s="38">
        <v>8359663.5</v>
      </c>
      <c r="T381" s="36">
        <v>380.19114123178491</v>
      </c>
      <c r="U381" s="12">
        <f>+T381+BG381*S381*テーブル2[[#This Row],[Pw]]*R381/(N381*O381*K381)</f>
        <v>470.25765763716635</v>
      </c>
      <c r="V381" s="36">
        <v>0.03</v>
      </c>
      <c r="W381" s="37">
        <f t="shared" si="148"/>
        <v>418244.3733930522</v>
      </c>
      <c r="X381" s="36">
        <v>0.01</v>
      </c>
      <c r="Y381" s="36">
        <f t="shared" si="149"/>
        <v>10</v>
      </c>
      <c r="Z381" s="36">
        <f t="shared" si="150"/>
        <v>6.510436201755569</v>
      </c>
      <c r="AA381" s="36">
        <f t="shared" si="151"/>
        <v>3.489563798244431</v>
      </c>
      <c r="AB381" s="36">
        <f t="shared" si="152"/>
        <v>1.4089158737153813E-5</v>
      </c>
      <c r="AC381" s="36">
        <v>600</v>
      </c>
      <c r="AD381" s="36">
        <f t="shared" si="153"/>
        <v>7393.5858154836396</v>
      </c>
      <c r="AE381" s="36">
        <f>+gettm2(AD381,AC381,AK381,AL381,テーブル2[[#This Row],[Fcorr]])</f>
        <v>538.60855303172229</v>
      </c>
      <c r="AF381" s="39">
        <f t="shared" si="154"/>
        <v>68.350895394555948</v>
      </c>
      <c r="AG381" s="36">
        <v>1.0000000000000001E-5</v>
      </c>
      <c r="AH381" s="36">
        <f t="shared" si="155"/>
        <v>55.392760403895963</v>
      </c>
      <c r="AI381" s="36">
        <f t="shared" si="156"/>
        <v>0.29773708296015927</v>
      </c>
      <c r="AJ381" s="36">
        <f t="shared" si="157"/>
        <v>25.759827940504628</v>
      </c>
      <c r="AK381" s="36">
        <f>+S88*テーブル2[[#This Row],[F_form]]/(E88*CpFromTP((テーブル2[[#This Row],[Tin]]+テーブル2[[#This Row],[Tf]])/2,テーブル2[[#This Row],[P]])*AI88)</f>
        <v>2.3275437030677573</v>
      </c>
      <c r="AL381" s="36">
        <f t="shared" si="158"/>
        <v>1.1293676909872215</v>
      </c>
      <c r="AM381" s="36">
        <f t="shared" si="159"/>
        <v>566.62396578741027</v>
      </c>
      <c r="AN381" s="36">
        <f t="shared" si="160"/>
        <v>41.9971082111133</v>
      </c>
      <c r="AO381" s="36">
        <f t="shared" si="161"/>
        <v>-4.0891587371538122E-6</v>
      </c>
      <c r="AP381" s="36">
        <v>1</v>
      </c>
      <c r="AQ381" s="36">
        <f t="shared" si="162"/>
        <v>5.4530931276593132E-4</v>
      </c>
      <c r="AR381" s="36">
        <f t="shared" si="163"/>
        <v>2.9554206314230943E-6</v>
      </c>
      <c r="AS381" s="36">
        <f t="shared" si="164"/>
        <v>7.6131126957276463</v>
      </c>
      <c r="AT381" s="36">
        <f t="shared" si="165"/>
        <v>7.0993605763934848</v>
      </c>
      <c r="AU381" s="36">
        <f t="shared" si="166"/>
        <v>2.1137429088977511</v>
      </c>
      <c r="AV381" s="36">
        <f t="shared" si="167"/>
        <v>-1.1137429088977511</v>
      </c>
      <c r="AW381" s="36">
        <f t="shared" si="168"/>
        <v>8.4705593420299295E-3</v>
      </c>
      <c r="AX381" s="36">
        <f t="shared" si="169"/>
        <v>1.0439592191016296</v>
      </c>
      <c r="AY381" s="36">
        <f t="shared" si="170"/>
        <v>-2.1577021279993804</v>
      </c>
      <c r="AZ381" s="36">
        <f t="shared" si="171"/>
        <v>1080577.7610325073</v>
      </c>
      <c r="BA381" s="36">
        <f t="shared" si="172"/>
        <v>5.4530931276593132E-4</v>
      </c>
      <c r="BB381" s="38">
        <f t="shared" si="173"/>
        <v>-5063306.6470836326</v>
      </c>
      <c r="BC381" s="40">
        <f t="shared" si="174"/>
        <v>-13422970.147083633</v>
      </c>
      <c r="BD381" s="41">
        <f t="shared" si="175"/>
        <v>-160.56830693105809</v>
      </c>
      <c r="BE381" s="38">
        <v>8359663.5</v>
      </c>
      <c r="BF381" s="42">
        <f>テーブル2[[#This Row],[q_P]]/テーブル2[[#This Row],[q_M]]</f>
        <v>-0.6056830693105808</v>
      </c>
      <c r="BG381" s="36">
        <v>1</v>
      </c>
      <c r="BH381" s="36">
        <v>-0.38200000000000001</v>
      </c>
      <c r="BI381" s="36">
        <v>4.5999999999999999E-2</v>
      </c>
      <c r="BJ381" s="36">
        <v>5625</v>
      </c>
      <c r="BK381" s="22">
        <v>1</v>
      </c>
      <c r="BL381" s="36">
        <f>テーブル2[[#This Row],[Ts]]-テーブル2[[#This Row],[Tin]]</f>
        <v>228.42993276673866</v>
      </c>
      <c r="BM381" s="36">
        <f>テーブル2[[#This Row],[q_P]]*0.000001</f>
        <v>-5.0633066470836328</v>
      </c>
      <c r="BN381" s="36">
        <f>テーブル2[[#This Row],[Tsub]]</f>
        <v>228.42993276673866</v>
      </c>
      <c r="BO381" s="36">
        <f>テーブル2[[#This Row],[Fcorr]]</f>
        <v>1</v>
      </c>
      <c r="BP381" s="36">
        <f>(テーブル2[[#This Row],[Tsub]]-40)^2</f>
        <v>35505.839562477653</v>
      </c>
      <c r="BQ381" s="36">
        <v>1</v>
      </c>
      <c r="BR381" s="36">
        <v>0.62484000000000006</v>
      </c>
    </row>
    <row r="382" spans="1:70" x14ac:dyDescent="0.15">
      <c r="A382" s="35" t="s">
        <v>378</v>
      </c>
      <c r="B382" s="36">
        <v>13789514.586336</v>
      </c>
      <c r="C382" s="22">
        <f>TsatFromP(テーブル2[[#This Row],[P]])</f>
        <v>608.62107399852357</v>
      </c>
      <c r="D382" s="36">
        <f>RhoGFromP(テーブル2[[#This Row],[P]])</f>
        <v>85.147847035840741</v>
      </c>
      <c r="E382" s="36">
        <f>RhoFFromP(テーブル2[[#This Row],[P]])</f>
        <v>624.86636713482415</v>
      </c>
      <c r="F382" s="36">
        <f>HgFromP(テーブル2[[#This Row],[P]])</f>
        <v>2643264.5206450778</v>
      </c>
      <c r="G382" s="36">
        <f>HfFromP(テーブル2[[#This Row],[P]])</f>
        <v>1562686.7596125705</v>
      </c>
      <c r="H382" s="36">
        <f>MuGFromP(テーブル2[[#This Row],[P]])</f>
        <v>2.2019591234371903E-5</v>
      </c>
      <c r="I382" s="36">
        <f>MuFFromP(テーブル2[[#This Row],[P]])</f>
        <v>7.222326555143516E-5</v>
      </c>
      <c r="J382" s="36">
        <f>KfFromP(テーブル2[[#This Row],[P]])</f>
        <v>0.49112131073334553</v>
      </c>
      <c r="K382" s="36">
        <f>CpFFromP(テーブル2[[#This Row],[P]])</f>
        <v>7679.7488518783057</v>
      </c>
      <c r="L382" s="36">
        <f>SigmaFromP(テーブル2[[#This Row],[P]])</f>
        <v>6.5036449518301549E-3</v>
      </c>
      <c r="M382" s="36">
        <v>274.01</v>
      </c>
      <c r="N382" s="36">
        <v>5262.1724000000004</v>
      </c>
      <c r="O382" s="37">
        <f t="shared" si="176"/>
        <v>2.5880591202383804E-5</v>
      </c>
      <c r="P382" s="37">
        <f t="shared" si="177"/>
        <v>1.8033998468666854E-2</v>
      </c>
      <c r="Q382" s="37">
        <v>5.7404000000000014E-3</v>
      </c>
      <c r="R382" s="36">
        <v>0.62484000000000006</v>
      </c>
      <c r="S382" s="38">
        <v>5930629.1999999993</v>
      </c>
      <c r="T382" s="36">
        <v>495.31612486348979</v>
      </c>
      <c r="U382" s="12">
        <f>+T382+BG382*S382*テーブル2[[#This Row],[Pw]]*R382/(N382*O382*K382)</f>
        <v>559.21237046428871</v>
      </c>
      <c r="V382" s="36">
        <v>0.03</v>
      </c>
      <c r="W382" s="37">
        <f t="shared" si="148"/>
        <v>418244.3733930522</v>
      </c>
      <c r="X382" s="36">
        <v>0.01</v>
      </c>
      <c r="Y382" s="36">
        <f t="shared" si="149"/>
        <v>10</v>
      </c>
      <c r="Z382" s="36">
        <f t="shared" si="150"/>
        <v>6.510436201755569</v>
      </c>
      <c r="AA382" s="36">
        <f t="shared" si="151"/>
        <v>3.489563798244431</v>
      </c>
      <c r="AB382" s="36">
        <f t="shared" si="152"/>
        <v>1.4089158737153813E-5</v>
      </c>
      <c r="AC382" s="36">
        <v>600</v>
      </c>
      <c r="AD382" s="36">
        <f t="shared" si="153"/>
        <v>7393.5858154836396</v>
      </c>
      <c r="AE382" s="36">
        <f>+gettm2(AD382,AC382,AK382,AL382,テーブル2[[#This Row],[Fcorr]])</f>
        <v>545.13646732996096</v>
      </c>
      <c r="AF382" s="39">
        <f t="shared" si="154"/>
        <v>-14.075903134327746</v>
      </c>
      <c r="AG382" s="36">
        <v>1.0000000000000001E-5</v>
      </c>
      <c r="AH382" s="36">
        <f t="shared" si="155"/>
        <v>55.392760403895963</v>
      </c>
      <c r="AI382" s="36">
        <f t="shared" si="156"/>
        <v>0.29773708296015927</v>
      </c>
      <c r="AJ382" s="36">
        <f t="shared" si="157"/>
        <v>25.759827940504628</v>
      </c>
      <c r="AK382" s="36">
        <f>+S88*テーブル2[[#This Row],[F_form]]/(E88*CpFromTP((テーブル2[[#This Row],[Tin]]+テーブル2[[#This Row],[Tf]])/2,テーブル2[[#This Row],[P]])*AI88)</f>
        <v>2.080049848966512</v>
      </c>
      <c r="AL382" s="36">
        <f t="shared" si="158"/>
        <v>1.1293676909872215</v>
      </c>
      <c r="AM382" s="36">
        <f t="shared" si="159"/>
        <v>570.17292743784094</v>
      </c>
      <c r="AN382" s="36">
        <f t="shared" si="160"/>
        <v>38.44814656068263</v>
      </c>
      <c r="AO382" s="36">
        <f t="shared" si="161"/>
        <v>-4.0891587371538122E-6</v>
      </c>
      <c r="AP382" s="36">
        <v>1</v>
      </c>
      <c r="AQ382" s="36">
        <f t="shared" si="162"/>
        <v>5.4530931276593132E-4</v>
      </c>
      <c r="AR382" s="36">
        <f t="shared" si="163"/>
        <v>2.9554206314230943E-6</v>
      </c>
      <c r="AS382" s="36">
        <f t="shared" si="164"/>
        <v>7.6131126957276463</v>
      </c>
      <c r="AT382" s="36">
        <f t="shared" si="165"/>
        <v>7.0993605763934848</v>
      </c>
      <c r="AU382" s="36">
        <f t="shared" si="166"/>
        <v>2.1137429088977511</v>
      </c>
      <c r="AV382" s="36">
        <f t="shared" si="167"/>
        <v>-1.1137429088977511</v>
      </c>
      <c r="AW382" s="36">
        <f t="shared" si="168"/>
        <v>8.4705593420299295E-3</v>
      </c>
      <c r="AX382" s="36">
        <f t="shared" si="169"/>
        <v>1.0439592191016296</v>
      </c>
      <c r="AY382" s="36">
        <f t="shared" si="170"/>
        <v>-2.1577021279993804</v>
      </c>
      <c r="AZ382" s="36">
        <f t="shared" si="171"/>
        <v>1080577.7610325073</v>
      </c>
      <c r="BA382" s="36">
        <f t="shared" si="172"/>
        <v>5.4530931276593132E-4</v>
      </c>
      <c r="BB382" s="38">
        <f t="shared" si="173"/>
        <v>-5063306.6470836326</v>
      </c>
      <c r="BC382" s="40">
        <f t="shared" si="174"/>
        <v>-10993935.847083632</v>
      </c>
      <c r="BD382" s="41">
        <f t="shared" si="175"/>
        <v>-185.37553902516166</v>
      </c>
      <c r="BE382" s="38">
        <v>5930629.1999999993</v>
      </c>
      <c r="BF382" s="42">
        <f>テーブル2[[#This Row],[q_P]]/テーブル2[[#This Row],[q_M]]</f>
        <v>-0.85375539025161673</v>
      </c>
      <c r="BG382" s="36">
        <v>1</v>
      </c>
      <c r="BH382" s="36">
        <v>-0.107</v>
      </c>
      <c r="BI382" s="36">
        <v>4.5999999999999999E-2</v>
      </c>
      <c r="BJ382" s="36">
        <v>5625</v>
      </c>
      <c r="BK382" s="22">
        <v>1</v>
      </c>
      <c r="BL382" s="36">
        <f>テーブル2[[#This Row],[Ts]]-テーブル2[[#This Row],[Tin]]</f>
        <v>113.30494913503378</v>
      </c>
      <c r="BM382" s="36">
        <f>テーブル2[[#This Row],[q_P]]*0.000001</f>
        <v>-5.0633066470836328</v>
      </c>
      <c r="BN382" s="36">
        <f>テーブル2[[#This Row],[Tsub]]</f>
        <v>113.30494913503378</v>
      </c>
      <c r="BO382" s="36">
        <f>テーブル2[[#This Row],[Fcorr]]</f>
        <v>1</v>
      </c>
      <c r="BP382" s="36">
        <f>(テーブル2[[#This Row],[Tsub]]-40)^2</f>
        <v>5373.6155676898898</v>
      </c>
      <c r="BQ382" s="36">
        <v>1</v>
      </c>
      <c r="BR382" s="36">
        <v>0.62484000000000006</v>
      </c>
    </row>
    <row r="383" spans="1:70" x14ac:dyDescent="0.15">
      <c r="A383" s="35" t="s">
        <v>379</v>
      </c>
      <c r="B383" s="36">
        <v>13789514.586336</v>
      </c>
      <c r="C383" s="22">
        <f>TsatFromP(テーブル2[[#This Row],[P]])</f>
        <v>608.62107399852357</v>
      </c>
      <c r="D383" s="36">
        <f>RhoGFromP(テーブル2[[#This Row],[P]])</f>
        <v>85.147847035840741</v>
      </c>
      <c r="E383" s="36">
        <f>RhoFFromP(テーブル2[[#This Row],[P]])</f>
        <v>624.86636713482415</v>
      </c>
      <c r="F383" s="36">
        <f>HgFromP(テーブル2[[#This Row],[P]])</f>
        <v>2643264.5206450778</v>
      </c>
      <c r="G383" s="36">
        <f>HfFromP(テーブル2[[#This Row],[P]])</f>
        <v>1562686.7596125705</v>
      </c>
      <c r="H383" s="36">
        <f>MuGFromP(テーブル2[[#This Row],[P]])</f>
        <v>2.2019591234371903E-5</v>
      </c>
      <c r="I383" s="36">
        <f>MuFFromP(テーブル2[[#This Row],[P]])</f>
        <v>7.222326555143516E-5</v>
      </c>
      <c r="J383" s="36">
        <f>KfFromP(テーブル2[[#This Row],[P]])</f>
        <v>0.49112131073334553</v>
      </c>
      <c r="K383" s="36">
        <f>CpFFromP(テーブル2[[#This Row],[P]])</f>
        <v>7679.7488518783057</v>
      </c>
      <c r="L383" s="36">
        <f>SigmaFromP(テーブル2[[#This Row],[P]])</f>
        <v>6.5036449518301549E-3</v>
      </c>
      <c r="M383" s="36">
        <v>275.01</v>
      </c>
      <c r="N383" s="36">
        <v>5262.1724000000004</v>
      </c>
      <c r="O383" s="37">
        <f t="shared" si="176"/>
        <v>2.5880591202383804E-5</v>
      </c>
      <c r="P383" s="37">
        <f t="shared" si="177"/>
        <v>1.8033998468666854E-2</v>
      </c>
      <c r="Q383" s="37">
        <v>5.7404000000000014E-3</v>
      </c>
      <c r="R383" s="36">
        <v>0.62484000000000006</v>
      </c>
      <c r="S383" s="38">
        <v>4479517.7999999989</v>
      </c>
      <c r="T383" s="36">
        <v>539.35633944579172</v>
      </c>
      <c r="U383" s="12">
        <f>+T383+BG383*S383*テーブル2[[#This Row],[Pw]]*R383/(N383*O383*K383)</f>
        <v>587.61839729320366</v>
      </c>
      <c r="V383" s="36">
        <v>0.03</v>
      </c>
      <c r="W383" s="37">
        <f t="shared" si="148"/>
        <v>418244.3733930522</v>
      </c>
      <c r="X383" s="36">
        <v>0.01</v>
      </c>
      <c r="Y383" s="36">
        <f t="shared" si="149"/>
        <v>10</v>
      </c>
      <c r="Z383" s="36">
        <f t="shared" si="150"/>
        <v>6.510436201755569</v>
      </c>
      <c r="AA383" s="36">
        <f t="shared" si="151"/>
        <v>3.489563798244431</v>
      </c>
      <c r="AB383" s="36">
        <f t="shared" si="152"/>
        <v>1.4089158737153813E-5</v>
      </c>
      <c r="AC383" s="36">
        <v>600</v>
      </c>
      <c r="AD383" s="36">
        <f t="shared" si="153"/>
        <v>7393.5858154836396</v>
      </c>
      <c r="AE383" s="36">
        <f>+gettm2(AD383,AC383,AK383,AL383,テーブル2[[#This Row],[Fcorr]])</f>
        <v>550.22834569503539</v>
      </c>
      <c r="AF383" s="39">
        <f t="shared" si="154"/>
        <v>-37.39005159816827</v>
      </c>
      <c r="AG383" s="36">
        <v>1.0000000000000001E-5</v>
      </c>
      <c r="AH383" s="36">
        <f t="shared" si="155"/>
        <v>55.392760403895963</v>
      </c>
      <c r="AI383" s="36">
        <f t="shared" si="156"/>
        <v>0.29773708296015927</v>
      </c>
      <c r="AJ383" s="36">
        <f t="shared" si="157"/>
        <v>25.759827940504628</v>
      </c>
      <c r="AK383" s="36">
        <f>+S88*テーブル2[[#This Row],[F_form]]/(E88*CpFromTP((テーブル2[[#This Row],[Tin]]+テーブル2[[#This Row],[Tf]])/2,テーブル2[[#This Row],[P]])*AI88)</f>
        <v>1.8870006538312363</v>
      </c>
      <c r="AL383" s="36">
        <f t="shared" si="158"/>
        <v>1.1293676909872215</v>
      </c>
      <c r="AM383" s="36">
        <f t="shared" si="159"/>
        <v>572.94117472490825</v>
      </c>
      <c r="AN383" s="36">
        <f t="shared" si="160"/>
        <v>35.67989927361532</v>
      </c>
      <c r="AO383" s="36">
        <f t="shared" si="161"/>
        <v>-4.0891587371538122E-6</v>
      </c>
      <c r="AP383" s="36">
        <v>1</v>
      </c>
      <c r="AQ383" s="36">
        <f t="shared" si="162"/>
        <v>5.4530931276593132E-4</v>
      </c>
      <c r="AR383" s="36">
        <f t="shared" si="163"/>
        <v>2.9554206314230943E-6</v>
      </c>
      <c r="AS383" s="36">
        <f t="shared" si="164"/>
        <v>7.6131126957276463</v>
      </c>
      <c r="AT383" s="36">
        <f t="shared" si="165"/>
        <v>7.0993605763934848</v>
      </c>
      <c r="AU383" s="36">
        <f t="shared" si="166"/>
        <v>2.1137429088977511</v>
      </c>
      <c r="AV383" s="36">
        <f t="shared" si="167"/>
        <v>-1.1137429088977511</v>
      </c>
      <c r="AW383" s="36">
        <f t="shared" si="168"/>
        <v>8.4705593420299295E-3</v>
      </c>
      <c r="AX383" s="36">
        <f t="shared" si="169"/>
        <v>1.0439592191016296</v>
      </c>
      <c r="AY383" s="36">
        <f t="shared" si="170"/>
        <v>-2.1577021279993804</v>
      </c>
      <c r="AZ383" s="36">
        <f t="shared" si="171"/>
        <v>1080577.7610325073</v>
      </c>
      <c r="BA383" s="36">
        <f t="shared" si="172"/>
        <v>5.4530931276593132E-4</v>
      </c>
      <c r="BB383" s="38">
        <f t="shared" si="173"/>
        <v>-5063306.6470836326</v>
      </c>
      <c r="BC383" s="40">
        <f t="shared" si="174"/>
        <v>-9542824.4470836315</v>
      </c>
      <c r="BD383" s="41">
        <f t="shared" si="175"/>
        <v>-213.03240377979154</v>
      </c>
      <c r="BE383" s="38">
        <v>4479517.7999999989</v>
      </c>
      <c r="BF383" s="42">
        <f>テーブル2[[#This Row],[q_P]]/テーブル2[[#This Row],[q_M]]</f>
        <v>-1.1303240377979151</v>
      </c>
      <c r="BG383" s="36">
        <v>1</v>
      </c>
      <c r="BH383" s="36">
        <v>-2.5999999999999999E-2</v>
      </c>
      <c r="BI383" s="36">
        <v>4.5999999999999999E-2</v>
      </c>
      <c r="BJ383" s="36">
        <v>5625</v>
      </c>
      <c r="BK383" s="22">
        <v>1</v>
      </c>
      <c r="BL383" s="36">
        <f>テーブル2[[#This Row],[Ts]]-テーブル2[[#This Row],[Tin]]</f>
        <v>69.264734552731852</v>
      </c>
      <c r="BM383" s="36">
        <f>テーブル2[[#This Row],[q_P]]*0.000001</f>
        <v>-5.0633066470836328</v>
      </c>
      <c r="BN383" s="36">
        <f>テーブル2[[#This Row],[Tsub]]</f>
        <v>69.264734552731852</v>
      </c>
      <c r="BO383" s="36">
        <f>テーブル2[[#This Row],[Fcorr]]</f>
        <v>1</v>
      </c>
      <c r="BP383" s="36">
        <f>(テーブル2[[#This Row],[Tsub]]-40)^2</f>
        <v>856.4246884418576</v>
      </c>
      <c r="BQ383" s="36">
        <v>1</v>
      </c>
      <c r="BR383" s="36">
        <v>0.62484000000000006</v>
      </c>
    </row>
    <row r="384" spans="1:70" x14ac:dyDescent="0.15">
      <c r="A384" s="35" t="s">
        <v>380</v>
      </c>
      <c r="B384" s="36">
        <v>13789514.586336</v>
      </c>
      <c r="C384" s="22">
        <f>TsatFromP(テーブル2[[#This Row],[P]])</f>
        <v>608.62107399852357</v>
      </c>
      <c r="D384" s="36">
        <f>RhoGFromP(テーブル2[[#This Row],[P]])</f>
        <v>85.147847035840741</v>
      </c>
      <c r="E384" s="36">
        <f>RhoFFromP(テーブル2[[#This Row],[P]])</f>
        <v>624.86636713482415</v>
      </c>
      <c r="F384" s="36">
        <f>HgFromP(テーブル2[[#This Row],[P]])</f>
        <v>2643264.5206450778</v>
      </c>
      <c r="G384" s="36">
        <f>HfFromP(テーブル2[[#This Row],[P]])</f>
        <v>1562686.7596125705</v>
      </c>
      <c r="H384" s="36">
        <f>MuGFromP(テーブル2[[#This Row],[P]])</f>
        <v>2.2019591234371903E-5</v>
      </c>
      <c r="I384" s="36">
        <f>MuFFromP(テーブル2[[#This Row],[P]])</f>
        <v>7.222326555143516E-5</v>
      </c>
      <c r="J384" s="36">
        <f>KfFromP(テーブル2[[#This Row],[P]])</f>
        <v>0.49112131073334553</v>
      </c>
      <c r="K384" s="36">
        <f>CpFFromP(テーブル2[[#This Row],[P]])</f>
        <v>7679.7488518783057</v>
      </c>
      <c r="L384" s="36">
        <f>SigmaFromP(テーブル2[[#This Row],[P]])</f>
        <v>6.5036449518301549E-3</v>
      </c>
      <c r="M384" s="36">
        <v>276.01</v>
      </c>
      <c r="N384" s="36">
        <v>5289.2969999999996</v>
      </c>
      <c r="O384" s="37">
        <f t="shared" si="176"/>
        <v>2.5880591202383804E-5</v>
      </c>
      <c r="P384" s="37">
        <f t="shared" si="177"/>
        <v>1.8033998468666854E-2</v>
      </c>
      <c r="Q384" s="37">
        <v>5.7404000000000014E-3</v>
      </c>
      <c r="R384" s="36">
        <v>0.62484000000000006</v>
      </c>
      <c r="S384" s="38">
        <v>7949566.7999999998</v>
      </c>
      <c r="T384" s="36">
        <v>397.11075105704589</v>
      </c>
      <c r="U384" s="12">
        <f>+T384+BG384*S384*テーブル2[[#This Row],[Pw]]*R384/(N384*O384*K384)</f>
        <v>482.31968872567268</v>
      </c>
      <c r="V384" s="36">
        <v>0.03</v>
      </c>
      <c r="W384" s="37">
        <f t="shared" si="148"/>
        <v>420400.27222497505</v>
      </c>
      <c r="X384" s="36">
        <v>0.01</v>
      </c>
      <c r="Y384" s="36">
        <f t="shared" si="149"/>
        <v>10</v>
      </c>
      <c r="Z384" s="36">
        <f t="shared" si="150"/>
        <v>6.5188830074216781</v>
      </c>
      <c r="AA384" s="36">
        <f t="shared" si="151"/>
        <v>3.4811169925783219</v>
      </c>
      <c r="AB384" s="36">
        <f t="shared" si="152"/>
        <v>1.3945025068547562E-5</v>
      </c>
      <c r="AC384" s="36">
        <v>600</v>
      </c>
      <c r="AD384" s="36">
        <f t="shared" si="153"/>
        <v>7431.6970825737617</v>
      </c>
      <c r="AE384" s="36">
        <f>+gettm2(AD384,AC384,AK384,AL384,テーブル2[[#This Row],[Fcorr]])</f>
        <v>539.11294145140073</v>
      </c>
      <c r="AF384" s="39">
        <f t="shared" si="154"/>
        <v>56.793252725728053</v>
      </c>
      <c r="AG384" s="36">
        <v>1.0000000000000001E-5</v>
      </c>
      <c r="AH384" s="36">
        <f t="shared" si="155"/>
        <v>55.96529159204335</v>
      </c>
      <c r="AI384" s="36">
        <f t="shared" si="156"/>
        <v>0.29927181019191268</v>
      </c>
      <c r="AJ384" s="36">
        <f t="shared" si="157"/>
        <v>25.892610558754651</v>
      </c>
      <c r="AK384" s="36">
        <f>+S88*テーブル2[[#This Row],[F_form]]/(E88*CpFromTP((テーブル2[[#This Row],[Tin]]+テーブル2[[#This Row],[Tf]])/2,テーブル2[[#This Row],[P]])*AI88)</f>
        <v>2.3072921431566127</v>
      </c>
      <c r="AL384" s="36">
        <f t="shared" si="158"/>
        <v>1.1293676909872215</v>
      </c>
      <c r="AM384" s="36">
        <f t="shared" si="159"/>
        <v>566.85370617677609</v>
      </c>
      <c r="AN384" s="36">
        <f t="shared" si="160"/>
        <v>41.767367821747484</v>
      </c>
      <c r="AO384" s="36">
        <f t="shared" si="161"/>
        <v>-3.9450250685475613E-6</v>
      </c>
      <c r="AP384" s="36">
        <v>1</v>
      </c>
      <c r="AQ384" s="36">
        <f t="shared" si="162"/>
        <v>5.4530931276593132E-4</v>
      </c>
      <c r="AR384" s="36">
        <f t="shared" si="163"/>
        <v>3.0274874657262198E-6</v>
      </c>
      <c r="AS384" s="36">
        <f t="shared" si="164"/>
        <v>7.8389553921560085</v>
      </c>
      <c r="AT384" s="36">
        <f t="shared" si="165"/>
        <v>7.2455279234427268</v>
      </c>
      <c r="AU384" s="36">
        <f t="shared" si="166"/>
        <v>2.1683822574447551</v>
      </c>
      <c r="AV384" s="36">
        <f t="shared" si="167"/>
        <v>-1.1683822574447551</v>
      </c>
      <c r="AW384" s="36">
        <f t="shared" si="168"/>
        <v>8.3839045732186333E-3</v>
      </c>
      <c r="AX384" s="36">
        <f t="shared" si="169"/>
        <v>1.0493404521897824</v>
      </c>
      <c r="AY384" s="36">
        <f t="shared" si="170"/>
        <v>-2.2177227096345375</v>
      </c>
      <c r="AZ384" s="36">
        <f t="shared" si="171"/>
        <v>1080577.7610325073</v>
      </c>
      <c r="BA384" s="36">
        <f t="shared" si="172"/>
        <v>5.4530931276593132E-4</v>
      </c>
      <c r="BB384" s="38">
        <f t="shared" si="173"/>
        <v>-4884836.4508323278</v>
      </c>
      <c r="BC384" s="40">
        <f t="shared" si="174"/>
        <v>-12834403.250832327</v>
      </c>
      <c r="BD384" s="41">
        <f t="shared" si="175"/>
        <v>-161.44783198541495</v>
      </c>
      <c r="BE384" s="38">
        <v>7949566.7999999998</v>
      </c>
      <c r="BF384" s="42">
        <f>テーブル2[[#This Row],[q_P]]/テーブル2[[#This Row],[q_M]]</f>
        <v>-0.61447831985414958</v>
      </c>
      <c r="BG384" s="36">
        <v>1</v>
      </c>
      <c r="BH384" s="36">
        <v>-0.35099999999999998</v>
      </c>
      <c r="BI384" s="36">
        <v>4.5999999999999999E-2</v>
      </c>
      <c r="BJ384" s="36">
        <v>5625</v>
      </c>
      <c r="BK384" s="22">
        <v>1</v>
      </c>
      <c r="BL384" s="36">
        <f>テーブル2[[#This Row],[Ts]]-テーブル2[[#This Row],[Tin]]</f>
        <v>211.51032294147768</v>
      </c>
      <c r="BM384" s="36">
        <f>テーブル2[[#This Row],[q_P]]*0.000001</f>
        <v>-4.8848364508323279</v>
      </c>
      <c r="BN384" s="36">
        <f>テーブル2[[#This Row],[Tsub]]</f>
        <v>211.51032294147768</v>
      </c>
      <c r="BO384" s="36">
        <f>テーブル2[[#This Row],[Fcorr]]</f>
        <v>1</v>
      </c>
      <c r="BP384" s="36">
        <f>(テーブル2[[#This Row],[Tsub]]-40)^2</f>
        <v>29415.790875489965</v>
      </c>
      <c r="BQ384" s="36">
        <v>1</v>
      </c>
      <c r="BR384" s="36">
        <v>0.62484000000000006</v>
      </c>
    </row>
    <row r="385" spans="1:70" x14ac:dyDescent="0.15">
      <c r="A385" s="35" t="s">
        <v>381</v>
      </c>
      <c r="B385" s="36">
        <v>13789514.586336</v>
      </c>
      <c r="C385" s="22">
        <f>TsatFromP(テーブル2[[#This Row],[P]])</f>
        <v>608.62107399852357</v>
      </c>
      <c r="D385" s="36">
        <f>RhoGFromP(テーブル2[[#This Row],[P]])</f>
        <v>85.147847035840741</v>
      </c>
      <c r="E385" s="36">
        <f>RhoFFromP(テーブル2[[#This Row],[P]])</f>
        <v>624.86636713482415</v>
      </c>
      <c r="F385" s="36">
        <f>HgFromP(テーブル2[[#This Row],[P]])</f>
        <v>2643264.5206450778</v>
      </c>
      <c r="G385" s="36">
        <f>HfFromP(テーブル2[[#This Row],[P]])</f>
        <v>1562686.7596125705</v>
      </c>
      <c r="H385" s="36">
        <f>MuGFromP(テーブル2[[#This Row],[P]])</f>
        <v>2.2019591234371903E-5</v>
      </c>
      <c r="I385" s="36">
        <f>MuFFromP(テーブル2[[#This Row],[P]])</f>
        <v>7.222326555143516E-5</v>
      </c>
      <c r="J385" s="36">
        <f>KfFromP(テーブル2[[#This Row],[P]])</f>
        <v>0.49112131073334553</v>
      </c>
      <c r="K385" s="36">
        <f>CpFFromP(テーブル2[[#This Row],[P]])</f>
        <v>7679.7488518783057</v>
      </c>
      <c r="L385" s="36">
        <f>SigmaFromP(テーブル2[[#This Row],[P]])</f>
        <v>6.5036449518301549E-3</v>
      </c>
      <c r="M385" s="36">
        <v>277.01</v>
      </c>
      <c r="N385" s="36">
        <v>5289.2969999999996</v>
      </c>
      <c r="O385" s="37">
        <f t="shared" si="176"/>
        <v>2.5880591202383804E-5</v>
      </c>
      <c r="P385" s="37">
        <f t="shared" si="177"/>
        <v>1.8033998468666854E-2</v>
      </c>
      <c r="Q385" s="37">
        <v>5.7404000000000014E-3</v>
      </c>
      <c r="R385" s="36">
        <v>0.62484000000000006</v>
      </c>
      <c r="S385" s="38">
        <v>6813914.3999999994</v>
      </c>
      <c r="T385" s="36">
        <v>465.87844081376909</v>
      </c>
      <c r="U385" s="12">
        <f>+T385+BG385*S385*テーブル2[[#This Row],[Pw]]*R385/(N385*O385*K385)</f>
        <v>538.91467310116343</v>
      </c>
      <c r="V385" s="36">
        <v>0.03</v>
      </c>
      <c r="W385" s="37">
        <f t="shared" si="148"/>
        <v>420400.27222497505</v>
      </c>
      <c r="X385" s="36">
        <v>0.01</v>
      </c>
      <c r="Y385" s="36">
        <f t="shared" si="149"/>
        <v>10</v>
      </c>
      <c r="Z385" s="36">
        <f t="shared" si="150"/>
        <v>6.5188830074216781</v>
      </c>
      <c r="AA385" s="36">
        <f t="shared" si="151"/>
        <v>3.4811169925783219</v>
      </c>
      <c r="AB385" s="36">
        <f t="shared" si="152"/>
        <v>1.3945025068547562E-5</v>
      </c>
      <c r="AC385" s="36">
        <v>600</v>
      </c>
      <c r="AD385" s="36">
        <f t="shared" si="153"/>
        <v>7431.6970825737617</v>
      </c>
      <c r="AE385" s="36">
        <f>+gettm2(AD385,AC385,AK385,AL385,テーブル2[[#This Row],[Fcorr]])</f>
        <v>542.774302155957</v>
      </c>
      <c r="AF385" s="39">
        <f t="shared" si="154"/>
        <v>3.8596290547935723</v>
      </c>
      <c r="AG385" s="36">
        <v>1.0000000000000001E-5</v>
      </c>
      <c r="AH385" s="36">
        <f t="shared" si="155"/>
        <v>55.96529159204335</v>
      </c>
      <c r="AI385" s="36">
        <f t="shared" si="156"/>
        <v>0.29927181019191268</v>
      </c>
      <c r="AJ385" s="36">
        <f t="shared" si="157"/>
        <v>25.892610558754651</v>
      </c>
      <c r="AK385" s="36">
        <f>+S88*テーブル2[[#This Row],[F_form]]/(E88*CpFromTP((テーブル2[[#This Row],[Tin]]+テーブル2[[#This Row],[Tf]])/2,テーブル2[[#This Row],[P]])*AI88)</f>
        <v>2.1685462587558701</v>
      </c>
      <c r="AL385" s="36">
        <f t="shared" si="158"/>
        <v>1.1293676909872215</v>
      </c>
      <c r="AM385" s="36">
        <f t="shared" si="159"/>
        <v>568.8469136103256</v>
      </c>
      <c r="AN385" s="36">
        <f t="shared" si="160"/>
        <v>39.77416038819797</v>
      </c>
      <c r="AO385" s="36">
        <f t="shared" si="161"/>
        <v>-3.9450250685475613E-6</v>
      </c>
      <c r="AP385" s="36">
        <v>1</v>
      </c>
      <c r="AQ385" s="36">
        <f t="shared" si="162"/>
        <v>5.4530931276593132E-4</v>
      </c>
      <c r="AR385" s="36">
        <f t="shared" si="163"/>
        <v>3.0274874657262198E-6</v>
      </c>
      <c r="AS385" s="36">
        <f t="shared" si="164"/>
        <v>7.8389553921560085</v>
      </c>
      <c r="AT385" s="36">
        <f t="shared" si="165"/>
        <v>7.2455279234427268</v>
      </c>
      <c r="AU385" s="36">
        <f t="shared" si="166"/>
        <v>2.1683822574447551</v>
      </c>
      <c r="AV385" s="36">
        <f t="shared" si="167"/>
        <v>-1.1683822574447551</v>
      </c>
      <c r="AW385" s="36">
        <f t="shared" si="168"/>
        <v>8.3839045732186333E-3</v>
      </c>
      <c r="AX385" s="36">
        <f t="shared" si="169"/>
        <v>1.0493404521897824</v>
      </c>
      <c r="AY385" s="36">
        <f t="shared" si="170"/>
        <v>-2.2177227096345375</v>
      </c>
      <c r="AZ385" s="36">
        <f t="shared" si="171"/>
        <v>1080577.7610325073</v>
      </c>
      <c r="BA385" s="36">
        <f t="shared" si="172"/>
        <v>5.4530931276593132E-4</v>
      </c>
      <c r="BB385" s="38">
        <f t="shared" si="173"/>
        <v>-4884836.4508323278</v>
      </c>
      <c r="BC385" s="40">
        <f t="shared" si="174"/>
        <v>-11698750.850832328</v>
      </c>
      <c r="BD385" s="41">
        <f t="shared" si="175"/>
        <v>-171.68913731631744</v>
      </c>
      <c r="BE385" s="38">
        <v>6813914.3999999994</v>
      </c>
      <c r="BF385" s="42">
        <f>テーブル2[[#This Row],[q_P]]/テーブル2[[#This Row],[q_M]]</f>
        <v>-0.71689137316317453</v>
      </c>
      <c r="BG385" s="36">
        <v>1</v>
      </c>
      <c r="BH385" s="36">
        <v>-0.16300000000000001</v>
      </c>
      <c r="BI385" s="36">
        <v>4.5999999999999999E-2</v>
      </c>
      <c r="BJ385" s="36">
        <v>5625</v>
      </c>
      <c r="BK385" s="22">
        <v>1</v>
      </c>
      <c r="BL385" s="36">
        <f>テーブル2[[#This Row],[Ts]]-テーブル2[[#This Row],[Tin]]</f>
        <v>142.74263318475448</v>
      </c>
      <c r="BM385" s="36">
        <f>テーブル2[[#This Row],[q_P]]*0.000001</f>
        <v>-4.8848364508323279</v>
      </c>
      <c r="BN385" s="36">
        <f>テーブル2[[#This Row],[Tsub]]</f>
        <v>142.74263318475448</v>
      </c>
      <c r="BO385" s="36">
        <f>テーブル2[[#This Row],[Fcorr]]</f>
        <v>1</v>
      </c>
      <c r="BP385" s="36">
        <f>(テーブル2[[#This Row],[Tsub]]-40)^2</f>
        <v>10556.048673737012</v>
      </c>
      <c r="BQ385" s="36">
        <v>1</v>
      </c>
      <c r="BR385" s="36">
        <v>0.62484000000000006</v>
      </c>
    </row>
    <row r="386" spans="1:70" x14ac:dyDescent="0.15">
      <c r="A386" s="35" t="s">
        <v>382</v>
      </c>
      <c r="B386" s="36">
        <v>13789514.586336</v>
      </c>
      <c r="C386" s="22">
        <f>TsatFromP(テーブル2[[#This Row],[P]])</f>
        <v>608.62107399852357</v>
      </c>
      <c r="D386" s="36">
        <f>RhoGFromP(テーブル2[[#This Row],[P]])</f>
        <v>85.147847035840741</v>
      </c>
      <c r="E386" s="36">
        <f>RhoFFromP(テーブル2[[#This Row],[P]])</f>
        <v>624.86636713482415</v>
      </c>
      <c r="F386" s="36">
        <f>HgFromP(テーブル2[[#This Row],[P]])</f>
        <v>2643264.5206450778</v>
      </c>
      <c r="G386" s="36">
        <f>HfFromP(テーブル2[[#This Row],[P]])</f>
        <v>1562686.7596125705</v>
      </c>
      <c r="H386" s="36">
        <f>MuGFromP(テーブル2[[#This Row],[P]])</f>
        <v>2.2019591234371903E-5</v>
      </c>
      <c r="I386" s="36">
        <f>MuFFromP(テーブル2[[#This Row],[P]])</f>
        <v>7.222326555143516E-5</v>
      </c>
      <c r="J386" s="36">
        <f>KfFromP(テーブル2[[#This Row],[P]])</f>
        <v>0.49112131073334553</v>
      </c>
      <c r="K386" s="36">
        <f>CpFFromP(テーブル2[[#This Row],[P]])</f>
        <v>7679.7488518783057</v>
      </c>
      <c r="L386" s="36">
        <f>SigmaFromP(テーブル2[[#This Row],[P]])</f>
        <v>6.5036449518301549E-3</v>
      </c>
      <c r="M386" s="36">
        <v>278.01</v>
      </c>
      <c r="N386" s="36">
        <v>5316.4215999999997</v>
      </c>
      <c r="O386" s="37">
        <f t="shared" si="176"/>
        <v>2.5880591202383804E-5</v>
      </c>
      <c r="P386" s="37">
        <f t="shared" si="177"/>
        <v>1.8033998468666854E-2</v>
      </c>
      <c r="Q386" s="37">
        <v>5.7404000000000014E-3</v>
      </c>
      <c r="R386" s="36">
        <v>0.62484000000000006</v>
      </c>
      <c r="S386" s="38">
        <v>6561547.1999999993</v>
      </c>
      <c r="T386" s="36">
        <v>471.41773874322757</v>
      </c>
      <c r="U386" s="12">
        <f>+T386+BG386*S386*テーブル2[[#This Row],[Pw]]*R386/(N386*O386*K386)</f>
        <v>541.39009280541381</v>
      </c>
      <c r="V386" s="36">
        <v>0.03</v>
      </c>
      <c r="W386" s="37">
        <f t="shared" ref="W386:W449" si="178">+N386*Q386/I386</f>
        <v>422556.17105689802</v>
      </c>
      <c r="X386" s="36">
        <v>0.01</v>
      </c>
      <c r="Y386" s="36">
        <f t="shared" ref="Y386:Y449" si="179">IF(X386&gt;0,1/X386^0.5,1)</f>
        <v>10</v>
      </c>
      <c r="Z386" s="36">
        <f t="shared" ref="Z386:Z449" si="180">IF(X386&gt;0,1.14-2*LOG((0.72*L386*E386)/(X386*Q386*N386^2)+9.35/(W386*X386^0.5)),0)</f>
        <v>6.5272843976838475</v>
      </c>
      <c r="AA386" s="36">
        <f t="shared" ref="AA386:AA449" si="181">+Y386-Z386</f>
        <v>3.4727156023161525</v>
      </c>
      <c r="AB386" s="36">
        <f t="shared" ref="AB386:AB449" si="182">32/X386*L386*V386*E386/N386^2</f>
        <v>1.3803091894823018E-5</v>
      </c>
      <c r="AC386" s="36">
        <v>600</v>
      </c>
      <c r="AD386" s="36">
        <f t="shared" ref="AD386:AD449" si="183">+Q386/2*AI386/I386*E386</f>
        <v>7469.8083496638837</v>
      </c>
      <c r="AE386" s="36">
        <f>+gettm2(AD386,AC386,AK386,AL386,テーブル2[[#This Row],[Fcorr]])</f>
        <v>543.07874171767071</v>
      </c>
      <c r="AF386" s="39">
        <f t="shared" ref="AF386:AF449" si="184">+AE386-U386</f>
        <v>1.6886489122568946</v>
      </c>
      <c r="AG386" s="36">
        <v>1.0000000000000001E-5</v>
      </c>
      <c r="AH386" s="36">
        <f t="shared" ref="AH386:AH449" si="185">+X386*N386^2/(8*E386)</f>
        <v>56.540766385271205</v>
      </c>
      <c r="AI386" s="36">
        <f t="shared" ref="AI386:AI449" si="186">+(AH386/E386)^0.5</f>
        <v>0.30080653742366609</v>
      </c>
      <c r="AJ386" s="36">
        <f t="shared" ref="AJ386:AJ449" si="187">+AG386*AI386/I386*E386</f>
        <v>26.025393177004677</v>
      </c>
      <c r="AK386" s="36">
        <f>+S88*テーブル2[[#This Row],[F_form]]/(E88*CpFromTP((テーブル2[[#This Row],[Tin]]+テーブル2[[#This Row],[Tf]])/2,テーブル2[[#This Row],[P]])*AI88)</f>
        <v>2.1559609850582566</v>
      </c>
      <c r="AL386" s="36">
        <f t="shared" ref="AL386:AL449" si="188">+K386*I386/J386</f>
        <v>1.1293676909872215</v>
      </c>
      <c r="AM386" s="36">
        <f t="shared" ref="AM386:AM449" si="189">+gettyp(AC386,AJ386,AK386,AL386)</f>
        <v>568.97132839467167</v>
      </c>
      <c r="AN386" s="36">
        <f t="shared" ref="AN386:AN449" si="190">+C386-AM386</f>
        <v>39.649745603851898</v>
      </c>
      <c r="AO386" s="36">
        <f t="shared" ref="AO386:AO449" si="191">+AG386-AB386</f>
        <v>-3.8030918948230167E-6</v>
      </c>
      <c r="AP386" s="36">
        <v>1</v>
      </c>
      <c r="AQ386" s="36">
        <f t="shared" ref="AQ386:AQ449" si="192">2*PI()*L386*(D386+E386)/(D386*E386*AP386^2)</f>
        <v>5.4530931276593132E-4</v>
      </c>
      <c r="AR386" s="36">
        <f t="shared" ref="AR386:AR449" si="193">+AO386+AB386/2</f>
        <v>3.0984540525884921E-6</v>
      </c>
      <c r="AS386" s="36">
        <f t="shared" ref="AS386:AS449" si="194">+AR386*AI386/I386*E386</f>
        <v>8.0638484959499035</v>
      </c>
      <c r="AT386" s="36">
        <f t="shared" ref="AT386:AT449" si="195">+getublp(AS386)</f>
        <v>7.386954617239482</v>
      </c>
      <c r="AU386" s="36">
        <f t="shared" ref="AU386:AU449" si="196">+AT386*AI386</f>
        <v>2.2220442405175711</v>
      </c>
      <c r="AV386" s="36">
        <f t="shared" ref="AV386:AV449" si="197">+AP386-AU386</f>
        <v>-1.2220442405175711</v>
      </c>
      <c r="AW386" s="36">
        <f t="shared" ref="AW386:AW449" si="198">2/3*AB386/(L386/(9.8*(E386-D386)))^0.5</f>
        <v>8.2985727664680996E-3</v>
      </c>
      <c r="AX386" s="36">
        <f t="shared" ref="AX386:AX449" si="199">+(2*AQ386*9.8*(E386-D386)/(E386*AW386))^0.5</f>
        <v>1.0547216852779351</v>
      </c>
      <c r="AY386" s="36">
        <f t="shared" ref="AY386:AY449" si="200">+AV386-AX386</f>
        <v>-2.2767659257955062</v>
      </c>
      <c r="AZ386" s="36">
        <f t="shared" ref="AZ386:AZ449" si="201">+F386-G386</f>
        <v>1080577.7610325073</v>
      </c>
      <c r="BA386" s="36">
        <f t="shared" ref="BA386:BA449" si="202">+AQ386/AP386</f>
        <v>5.4530931276593132E-4</v>
      </c>
      <c r="BB386" s="38">
        <f t="shared" ref="BB386:BB449" si="203">+E386*AO386*AZ386/BA386</f>
        <v>-4709090.9666985022</v>
      </c>
      <c r="BC386" s="40">
        <f t="shared" ref="BC386:BC449" si="204">BB386-S386</f>
        <v>-11270638.166698501</v>
      </c>
      <c r="BD386" s="41">
        <f t="shared" ref="BD386:BD449" si="205">+(BB386-S386)/S386*100</f>
        <v>-171.76799652829598</v>
      </c>
      <c r="BE386" s="38">
        <v>6561547.1999999993</v>
      </c>
      <c r="BF386" s="42">
        <f>テーブル2[[#This Row],[q_P]]/テーブル2[[#This Row],[q_M]]</f>
        <v>-0.71767996528295985</v>
      </c>
      <c r="BG386" s="36">
        <v>1</v>
      </c>
      <c r="BH386" s="36">
        <v>-0.16300000000000001</v>
      </c>
      <c r="BI386" s="36">
        <v>4.5999999999999999E-2</v>
      </c>
      <c r="BJ386" s="36">
        <v>5625</v>
      </c>
      <c r="BK386" s="22">
        <v>1</v>
      </c>
      <c r="BL386" s="36">
        <f>テーブル2[[#This Row],[Ts]]-テーブル2[[#This Row],[Tin]]</f>
        <v>137.203335255296</v>
      </c>
      <c r="BM386" s="36">
        <f>テーブル2[[#This Row],[q_P]]*0.000001</f>
        <v>-4.7090909666985024</v>
      </c>
      <c r="BN386" s="36">
        <f>テーブル2[[#This Row],[Tsub]]</f>
        <v>137.203335255296</v>
      </c>
      <c r="BO386" s="36">
        <f>テーブル2[[#This Row],[Fcorr]]</f>
        <v>1</v>
      </c>
      <c r="BP386" s="36">
        <f>(テーブル2[[#This Row],[Tsub]]-40)^2</f>
        <v>9448.4883847534693</v>
      </c>
      <c r="BQ386" s="36">
        <v>1</v>
      </c>
      <c r="BR386" s="36">
        <v>0.62484000000000006</v>
      </c>
    </row>
    <row r="387" spans="1:70" x14ac:dyDescent="0.15">
      <c r="A387" s="35" t="s">
        <v>383</v>
      </c>
      <c r="B387" s="36">
        <v>13789514.586336</v>
      </c>
      <c r="C387" s="22">
        <f>TsatFromP(テーブル2[[#This Row],[P]])</f>
        <v>608.62107399852357</v>
      </c>
      <c r="D387" s="36">
        <f>RhoGFromP(テーブル2[[#This Row],[P]])</f>
        <v>85.147847035840741</v>
      </c>
      <c r="E387" s="36">
        <f>RhoFFromP(テーブル2[[#This Row],[P]])</f>
        <v>624.86636713482415</v>
      </c>
      <c r="F387" s="36">
        <f>HgFromP(テーブル2[[#This Row],[P]])</f>
        <v>2643264.5206450778</v>
      </c>
      <c r="G387" s="36">
        <f>HfFromP(テーブル2[[#This Row],[P]])</f>
        <v>1562686.7596125705</v>
      </c>
      <c r="H387" s="36">
        <f>MuGFromP(テーブル2[[#This Row],[P]])</f>
        <v>2.2019591234371903E-5</v>
      </c>
      <c r="I387" s="36">
        <f>MuFFromP(テーブル2[[#This Row],[P]])</f>
        <v>7.222326555143516E-5</v>
      </c>
      <c r="J387" s="36">
        <f>KfFromP(テーブル2[[#This Row],[P]])</f>
        <v>0.49112131073334553</v>
      </c>
      <c r="K387" s="36">
        <f>CpFFromP(テーブル2[[#This Row],[P]])</f>
        <v>7679.7488518783057</v>
      </c>
      <c r="L387" s="36">
        <f>SigmaFromP(テーブル2[[#This Row],[P]])</f>
        <v>6.5036449518301549E-3</v>
      </c>
      <c r="M387" s="36">
        <v>279.01</v>
      </c>
      <c r="N387" s="36">
        <v>5357.1085000000003</v>
      </c>
      <c r="O387" s="37">
        <f t="shared" si="176"/>
        <v>2.5880591202383804E-5</v>
      </c>
      <c r="P387" s="37">
        <f t="shared" si="177"/>
        <v>1.8033998468666854E-2</v>
      </c>
      <c r="Q387" s="37">
        <v>5.7404000000000014E-3</v>
      </c>
      <c r="R387" s="36">
        <v>0.62484000000000006</v>
      </c>
      <c r="S387" s="38">
        <v>9337586.3999999985</v>
      </c>
      <c r="T387" s="36">
        <v>352.41961761268772</v>
      </c>
      <c r="U387" s="12">
        <f>+T387+BG387*S387*テーブル2[[#This Row],[Pw]]*R387/(N387*O387*K387)</f>
        <v>451.23938619281904</v>
      </c>
      <c r="V387" s="36">
        <v>0.03</v>
      </c>
      <c r="W387" s="37">
        <f t="shared" si="178"/>
        <v>425790.0193047825</v>
      </c>
      <c r="X387" s="36">
        <v>0.01</v>
      </c>
      <c r="Y387" s="36">
        <f t="shared" si="179"/>
        <v>10</v>
      </c>
      <c r="Z387" s="36">
        <f t="shared" si="180"/>
        <v>6.5398023437833013</v>
      </c>
      <c r="AA387" s="36">
        <f t="shared" si="181"/>
        <v>3.4601976562166987</v>
      </c>
      <c r="AB387" s="36">
        <f t="shared" si="182"/>
        <v>1.3594220880795282E-5</v>
      </c>
      <c r="AC387" s="36">
        <v>600</v>
      </c>
      <c r="AD387" s="36">
        <f t="shared" si="183"/>
        <v>7526.9752502990668</v>
      </c>
      <c r="AE387" s="36">
        <f>+gettm2(AD387,AC387,AK387,AL387,テーブル2[[#This Row],[Fcorr]])</f>
        <v>537.82645412181375</v>
      </c>
      <c r="AF387" s="39">
        <f t="shared" si="184"/>
        <v>86.587067928994713</v>
      </c>
      <c r="AG387" s="36">
        <v>1.0000000000000001E-5</v>
      </c>
      <c r="AH387" s="36">
        <f t="shared" si="185"/>
        <v>57.409497834638834</v>
      </c>
      <c r="AI387" s="36">
        <f t="shared" si="186"/>
        <v>0.3031086282712962</v>
      </c>
      <c r="AJ387" s="36">
        <f t="shared" si="187"/>
        <v>26.224567104379716</v>
      </c>
      <c r="AK387" s="36">
        <f>+S88*テーブル2[[#This Row],[F_form]]/(E88*CpFromTP((テーブル2[[#This Row],[Tin]]+テーブル2[[#This Row],[Tf]])/2,テーブル2[[#This Row],[P]])*AI88)</f>
        <v>2.3531925794925539</v>
      </c>
      <c r="AL387" s="36">
        <f t="shared" si="188"/>
        <v>1.1293676909872215</v>
      </c>
      <c r="AM387" s="36">
        <f t="shared" si="189"/>
        <v>566.04105037205227</v>
      </c>
      <c r="AN387" s="36">
        <f t="shared" si="190"/>
        <v>42.580023626471302</v>
      </c>
      <c r="AO387" s="36">
        <f t="shared" si="191"/>
        <v>-3.5942208807952807E-6</v>
      </c>
      <c r="AP387" s="36">
        <v>1</v>
      </c>
      <c r="AQ387" s="36">
        <f t="shared" si="192"/>
        <v>5.4530931276593132E-4</v>
      </c>
      <c r="AR387" s="36">
        <f t="shared" si="193"/>
        <v>3.2028895596023601E-6</v>
      </c>
      <c r="AS387" s="36">
        <f t="shared" si="194"/>
        <v>8.3994392183709277</v>
      </c>
      <c r="AT387" s="36">
        <f t="shared" si="195"/>
        <v>7.590824719514961</v>
      </c>
      <c r="AU387" s="36">
        <f t="shared" si="196"/>
        <v>2.3008444681800264</v>
      </c>
      <c r="AV387" s="36">
        <f t="shared" si="197"/>
        <v>-1.3008444681800264</v>
      </c>
      <c r="AW387" s="36">
        <f t="shared" si="198"/>
        <v>8.1729971836984709E-3</v>
      </c>
      <c r="AX387" s="36">
        <f t="shared" si="199"/>
        <v>1.0627935349101643</v>
      </c>
      <c r="AY387" s="36">
        <f t="shared" si="200"/>
        <v>-2.3636380030901907</v>
      </c>
      <c r="AZ387" s="36">
        <f t="shared" si="201"/>
        <v>1080577.7610325073</v>
      </c>
      <c r="BA387" s="36">
        <f t="shared" si="202"/>
        <v>5.4530931276593132E-4</v>
      </c>
      <c r="BB387" s="38">
        <f t="shared" si="203"/>
        <v>-4450461.2431564303</v>
      </c>
      <c r="BC387" s="40">
        <f t="shared" si="204"/>
        <v>-13788047.643156428</v>
      </c>
      <c r="BD387" s="41">
        <f t="shared" si="205"/>
        <v>-147.66179452065288</v>
      </c>
      <c r="BE387" s="38">
        <v>9337586.3999999985</v>
      </c>
      <c r="BF387" s="42">
        <f>テーブル2[[#This Row],[q_P]]/テーブル2[[#This Row],[q_M]]</f>
        <v>-0.47661794520652906</v>
      </c>
      <c r="BG387" s="36">
        <v>1</v>
      </c>
      <c r="BH387" s="36">
        <v>-0.42799999999999999</v>
      </c>
      <c r="BI387" s="36">
        <v>4.5999999999999999E-2</v>
      </c>
      <c r="BJ387" s="36">
        <v>5625</v>
      </c>
      <c r="BK387" s="22">
        <v>1</v>
      </c>
      <c r="BL387" s="36">
        <f>テーブル2[[#This Row],[Ts]]-テーブル2[[#This Row],[Tin]]</f>
        <v>256.20145638583585</v>
      </c>
      <c r="BM387" s="36">
        <f>テーブル2[[#This Row],[q_P]]*0.000001</f>
        <v>-4.4504612431564299</v>
      </c>
      <c r="BN387" s="36">
        <f>テーブル2[[#This Row],[Tsub]]</f>
        <v>256.20145638583585</v>
      </c>
      <c r="BO387" s="36">
        <f>テーブル2[[#This Row],[Fcorr]]</f>
        <v>1</v>
      </c>
      <c r="BP387" s="36">
        <f>(テーブル2[[#This Row],[Tsub]]-40)^2</f>
        <v>46743.069743356486</v>
      </c>
      <c r="BQ387" s="36">
        <v>1</v>
      </c>
      <c r="BR387" s="36">
        <v>0.62484000000000006</v>
      </c>
    </row>
    <row r="388" spans="1:70" x14ac:dyDescent="0.15">
      <c r="A388" s="35" t="s">
        <v>384</v>
      </c>
      <c r="B388" s="36">
        <v>13789514.586336</v>
      </c>
      <c r="C388" s="22">
        <f>TsatFromP(テーブル2[[#This Row],[P]])</f>
        <v>608.62107399852357</v>
      </c>
      <c r="D388" s="36">
        <f>RhoGFromP(テーブル2[[#This Row],[P]])</f>
        <v>85.147847035840741</v>
      </c>
      <c r="E388" s="36">
        <f>RhoFFromP(テーブル2[[#This Row],[P]])</f>
        <v>624.86636713482415</v>
      </c>
      <c r="F388" s="36">
        <f>HgFromP(テーブル2[[#This Row],[P]])</f>
        <v>2643264.5206450778</v>
      </c>
      <c r="G388" s="36">
        <f>HfFromP(テーブル2[[#This Row],[P]])</f>
        <v>1562686.7596125705</v>
      </c>
      <c r="H388" s="36">
        <f>MuGFromP(テーブル2[[#This Row],[P]])</f>
        <v>2.2019591234371903E-5</v>
      </c>
      <c r="I388" s="36">
        <f>MuFFromP(テーブル2[[#This Row],[P]])</f>
        <v>7.222326555143516E-5</v>
      </c>
      <c r="J388" s="36">
        <f>KfFromP(テーブル2[[#This Row],[P]])</f>
        <v>0.49112131073334553</v>
      </c>
      <c r="K388" s="36">
        <f>CpFFromP(テーブル2[[#This Row],[P]])</f>
        <v>7679.7488518783057</v>
      </c>
      <c r="L388" s="36">
        <f>SigmaFromP(テーブル2[[#This Row],[P]])</f>
        <v>6.5036449518301549E-3</v>
      </c>
      <c r="M388" s="36">
        <v>28.01</v>
      </c>
      <c r="N388" s="36">
        <v>3838.1309000000001</v>
      </c>
      <c r="O388" s="37">
        <f t="shared" si="176"/>
        <v>2.8502295699234246E-6</v>
      </c>
      <c r="P388" s="37">
        <f t="shared" si="177"/>
        <v>5.9847340050885557E-3</v>
      </c>
      <c r="Q388" s="37">
        <v>1.905E-3</v>
      </c>
      <c r="R388" s="36">
        <v>0.69595999999999991</v>
      </c>
      <c r="S388" s="38">
        <v>3649860.63</v>
      </c>
      <c r="T388" s="36">
        <v>299.81450008393688</v>
      </c>
      <c r="U388" s="12">
        <f>+T388+BG388*S388*テーブル2[[#This Row],[Pw]]*R388/(N388*O388*K388)</f>
        <v>480.76457696923546</v>
      </c>
      <c r="V388" s="36">
        <v>0.03</v>
      </c>
      <c r="W388" s="37">
        <f t="shared" si="178"/>
        <v>101236.62103443492</v>
      </c>
      <c r="X388" s="36">
        <v>0.01</v>
      </c>
      <c r="Y388" s="36">
        <f t="shared" si="179"/>
        <v>10</v>
      </c>
      <c r="Z388" s="36">
        <f t="shared" si="180"/>
        <v>5.0299960377835546</v>
      </c>
      <c r="AA388" s="36">
        <f t="shared" si="181"/>
        <v>4.9700039622164454</v>
      </c>
      <c r="AB388" s="36">
        <f t="shared" si="182"/>
        <v>2.6483516000026016E-5</v>
      </c>
      <c r="AC388" s="36">
        <v>600</v>
      </c>
      <c r="AD388" s="36">
        <f t="shared" si="183"/>
        <v>1789.6275309465404</v>
      </c>
      <c r="AE388" s="36">
        <f>+gettm2(AD388,AC388,AK388,AL388,テーブル2[[#This Row],[Fcorr]])</f>
        <v>546.12301551228359</v>
      </c>
      <c r="AF388" s="39">
        <f t="shared" si="184"/>
        <v>65.358438543048123</v>
      </c>
      <c r="AG388" s="36">
        <v>1.0000000000000001E-5</v>
      </c>
      <c r="AH388" s="36">
        <f t="shared" si="185"/>
        <v>29.468798411013552</v>
      </c>
      <c r="AI388" s="36">
        <f t="shared" si="186"/>
        <v>0.21716390329310589</v>
      </c>
      <c r="AJ388" s="36">
        <f t="shared" si="187"/>
        <v>18.78874048237838</v>
      </c>
      <c r="AK388" s="36">
        <f>+S88*テーブル2[[#This Row],[F_form]]/(E88*CpFromTP((テーブル2[[#This Row],[Tin]]+テーブル2[[#This Row],[Tf]])/2,テーブル2[[#This Row],[P]])*AI88)</f>
        <v>2.3630152122144463</v>
      </c>
      <c r="AL388" s="36">
        <f t="shared" si="188"/>
        <v>1.1293676909872215</v>
      </c>
      <c r="AM388" s="36">
        <f t="shared" si="189"/>
        <v>569.9437717935258</v>
      </c>
      <c r="AN388" s="36">
        <f t="shared" si="190"/>
        <v>38.677302204997773</v>
      </c>
      <c r="AO388" s="36">
        <f t="shared" si="191"/>
        <v>-1.6483516000026017E-5</v>
      </c>
      <c r="AP388" s="36">
        <v>1</v>
      </c>
      <c r="AQ388" s="36">
        <f t="shared" si="192"/>
        <v>5.4530931276593132E-4</v>
      </c>
      <c r="AR388" s="36">
        <f t="shared" si="193"/>
        <v>-3.2417580000130089E-6</v>
      </c>
      <c r="AS388" s="36">
        <f t="shared" si="194"/>
        <v>-6.0908549768918379</v>
      </c>
      <c r="AT388" s="36">
        <f t="shared" si="195"/>
        <v>-6.0908549768918379</v>
      </c>
      <c r="AU388" s="36">
        <f t="shared" si="196"/>
        <v>-1.3227138411740718</v>
      </c>
      <c r="AV388" s="36">
        <f t="shared" si="197"/>
        <v>2.322713841174072</v>
      </c>
      <c r="AW388" s="36">
        <f t="shared" si="198"/>
        <v>1.5922185138864932E-2</v>
      </c>
      <c r="AX388" s="36">
        <f t="shared" si="199"/>
        <v>0.76144448197361148</v>
      </c>
      <c r="AY388" s="36">
        <f t="shared" si="200"/>
        <v>1.5612693592004605</v>
      </c>
      <c r="AZ388" s="36">
        <f t="shared" si="201"/>
        <v>1080577.7610325073</v>
      </c>
      <c r="BA388" s="36">
        <f t="shared" si="202"/>
        <v>5.4530931276593132E-4</v>
      </c>
      <c r="BB388" s="38">
        <f t="shared" si="203"/>
        <v>-20410334.128611695</v>
      </c>
      <c r="BC388" s="40">
        <f t="shared" si="204"/>
        <v>-24060194.758611694</v>
      </c>
      <c r="BD388" s="41">
        <f t="shared" si="205"/>
        <v>-659.2085889759494</v>
      </c>
      <c r="BE388" s="38">
        <v>3649860.63</v>
      </c>
      <c r="BF388" s="42">
        <f>テーブル2[[#This Row],[q_P]]/テーブル2[[#This Row],[q_M]]</f>
        <v>-5.5920858897594936</v>
      </c>
      <c r="BG388" s="36">
        <v>1</v>
      </c>
      <c r="BH388" s="36">
        <v>-4.4999999999999998E-2</v>
      </c>
      <c r="BI388" s="36">
        <v>4.5999999999999999E-2</v>
      </c>
      <c r="BJ388" s="36">
        <v>5625</v>
      </c>
      <c r="BK388" s="22">
        <v>1</v>
      </c>
      <c r="BL388" s="36">
        <f>テーブル2[[#This Row],[Ts]]-テーブル2[[#This Row],[Tin]]</f>
        <v>308.80657391458669</v>
      </c>
      <c r="BM388" s="36">
        <f>テーブル2[[#This Row],[q_P]]*0.000001</f>
        <v>-20.410334128611694</v>
      </c>
      <c r="BN388" s="36">
        <f>テーブル2[[#This Row],[Tsub]]</f>
        <v>308.80657391458669</v>
      </c>
      <c r="BO388" s="36">
        <f>テーブル2[[#This Row],[Fcorr]]</f>
        <v>1</v>
      </c>
      <c r="BP388" s="36">
        <f>(テーブル2[[#This Row],[Tsub]]-40)^2</f>
        <v>72256.974179698154</v>
      </c>
      <c r="BQ388" s="36">
        <v>1</v>
      </c>
      <c r="BR388" s="36">
        <v>0.69595999999999991</v>
      </c>
    </row>
    <row r="389" spans="1:70" x14ac:dyDescent="0.15">
      <c r="A389" s="35" t="s">
        <v>385</v>
      </c>
      <c r="B389" s="36">
        <v>13789514.586336</v>
      </c>
      <c r="C389" s="22">
        <f>TsatFromP(テーブル2[[#This Row],[P]])</f>
        <v>608.62107399852357</v>
      </c>
      <c r="D389" s="36">
        <f>RhoGFromP(テーブル2[[#This Row],[P]])</f>
        <v>85.147847035840741</v>
      </c>
      <c r="E389" s="36">
        <f>RhoFFromP(テーブル2[[#This Row],[P]])</f>
        <v>624.86636713482415</v>
      </c>
      <c r="F389" s="36">
        <f>HgFromP(テーブル2[[#This Row],[P]])</f>
        <v>2643264.5206450778</v>
      </c>
      <c r="G389" s="36">
        <f>HfFromP(テーブル2[[#This Row],[P]])</f>
        <v>1562686.7596125705</v>
      </c>
      <c r="H389" s="36">
        <f>MuGFromP(テーブル2[[#This Row],[P]])</f>
        <v>2.2019591234371903E-5</v>
      </c>
      <c r="I389" s="36">
        <f>MuFFromP(テーブル2[[#This Row],[P]])</f>
        <v>7.222326555143516E-5</v>
      </c>
      <c r="J389" s="36">
        <f>KfFromP(テーブル2[[#This Row],[P]])</f>
        <v>0.49112131073334553</v>
      </c>
      <c r="K389" s="36">
        <f>CpFFromP(テーブル2[[#This Row],[P]])</f>
        <v>7679.7488518783057</v>
      </c>
      <c r="L389" s="36">
        <f>SigmaFromP(テーブル2[[#This Row],[P]])</f>
        <v>6.5036449518301549E-3</v>
      </c>
      <c r="M389" s="36">
        <v>280.01</v>
      </c>
      <c r="N389" s="36">
        <v>5357.1085000000003</v>
      </c>
      <c r="O389" s="37">
        <f t="shared" si="176"/>
        <v>2.5880591202383804E-5</v>
      </c>
      <c r="P389" s="37">
        <f t="shared" si="177"/>
        <v>1.8033998468666854E-2</v>
      </c>
      <c r="Q389" s="37">
        <v>5.7404000000000014E-3</v>
      </c>
      <c r="R389" s="36">
        <v>0.62484000000000006</v>
      </c>
      <c r="S389" s="38">
        <v>7507924.1999999993</v>
      </c>
      <c r="T389" s="36">
        <v>382.35288894824299</v>
      </c>
      <c r="U389" s="12">
        <f>+T389+BG389*S389*テーブル2[[#This Row],[Pw]]*R389/(N389*O389*K389)</f>
        <v>461.80932449578103</v>
      </c>
      <c r="V389" s="36">
        <v>0.03</v>
      </c>
      <c r="W389" s="37">
        <f t="shared" si="178"/>
        <v>425790.0193047825</v>
      </c>
      <c r="X389" s="36">
        <v>0.01</v>
      </c>
      <c r="Y389" s="36">
        <f t="shared" si="179"/>
        <v>10</v>
      </c>
      <c r="Z389" s="36">
        <f t="shared" si="180"/>
        <v>6.5398023437833013</v>
      </c>
      <c r="AA389" s="36">
        <f t="shared" si="181"/>
        <v>3.4601976562166987</v>
      </c>
      <c r="AB389" s="36">
        <f t="shared" si="182"/>
        <v>1.3594220880795282E-5</v>
      </c>
      <c r="AC389" s="36">
        <v>600</v>
      </c>
      <c r="AD389" s="36">
        <f t="shared" si="183"/>
        <v>7526.9752502990668</v>
      </c>
      <c r="AE389" s="36">
        <f>+gettm2(AD389,AC389,AK389,AL389,テーブル2[[#This Row],[Fcorr]])</f>
        <v>538.4002583027476</v>
      </c>
      <c r="AF389" s="39">
        <f t="shared" si="184"/>
        <v>76.590933806966575</v>
      </c>
      <c r="AG389" s="36">
        <v>1.0000000000000001E-5</v>
      </c>
      <c r="AH389" s="36">
        <f t="shared" si="185"/>
        <v>57.409497834638834</v>
      </c>
      <c r="AI389" s="36">
        <f t="shared" si="186"/>
        <v>0.3031086282712962</v>
      </c>
      <c r="AJ389" s="36">
        <f t="shared" si="187"/>
        <v>26.224567104379716</v>
      </c>
      <c r="AK389" s="36">
        <f>+S88*テーブル2[[#This Row],[F_form]]/(E88*CpFromTP((テーブル2[[#This Row],[Tin]]+テーブル2[[#This Row],[Tf]])/2,テーブル2[[#This Row],[P]])*AI88)</f>
        <v>2.3314747938719447</v>
      </c>
      <c r="AL389" s="36">
        <f t="shared" si="188"/>
        <v>1.1293676909872215</v>
      </c>
      <c r="AM389" s="36">
        <f t="shared" si="189"/>
        <v>566.35445999026547</v>
      </c>
      <c r="AN389" s="36">
        <f t="shared" si="190"/>
        <v>42.266614008258102</v>
      </c>
      <c r="AO389" s="36">
        <f t="shared" si="191"/>
        <v>-3.5942208807952807E-6</v>
      </c>
      <c r="AP389" s="36">
        <v>1</v>
      </c>
      <c r="AQ389" s="36">
        <f t="shared" si="192"/>
        <v>5.4530931276593132E-4</v>
      </c>
      <c r="AR389" s="36">
        <f t="shared" si="193"/>
        <v>3.2028895596023601E-6</v>
      </c>
      <c r="AS389" s="36">
        <f t="shared" si="194"/>
        <v>8.3994392183709277</v>
      </c>
      <c r="AT389" s="36">
        <f t="shared" si="195"/>
        <v>7.590824719514961</v>
      </c>
      <c r="AU389" s="36">
        <f t="shared" si="196"/>
        <v>2.3008444681800264</v>
      </c>
      <c r="AV389" s="36">
        <f t="shared" si="197"/>
        <v>-1.3008444681800264</v>
      </c>
      <c r="AW389" s="36">
        <f t="shared" si="198"/>
        <v>8.1729971836984709E-3</v>
      </c>
      <c r="AX389" s="36">
        <f t="shared" si="199"/>
        <v>1.0627935349101643</v>
      </c>
      <c r="AY389" s="36">
        <f t="shared" si="200"/>
        <v>-2.3636380030901907</v>
      </c>
      <c r="AZ389" s="36">
        <f t="shared" si="201"/>
        <v>1080577.7610325073</v>
      </c>
      <c r="BA389" s="36">
        <f t="shared" si="202"/>
        <v>5.4530931276593132E-4</v>
      </c>
      <c r="BB389" s="38">
        <f t="shared" si="203"/>
        <v>-4450461.2431564303</v>
      </c>
      <c r="BC389" s="40">
        <f t="shared" si="204"/>
        <v>-11958385.443156429</v>
      </c>
      <c r="BD389" s="41">
        <f t="shared" si="205"/>
        <v>-159.2768536895515</v>
      </c>
      <c r="BE389" s="38">
        <v>7507924.1999999993</v>
      </c>
      <c r="BF389" s="42">
        <f>テーブル2[[#This Row],[q_P]]/テーブル2[[#This Row],[q_M]]</f>
        <v>-0.59276853689551512</v>
      </c>
      <c r="BG389" s="36">
        <v>1</v>
      </c>
      <c r="BH389" s="36">
        <v>-0.44900000000000001</v>
      </c>
      <c r="BI389" s="36">
        <v>4.5999999999999999E-2</v>
      </c>
      <c r="BJ389" s="36">
        <v>5625</v>
      </c>
      <c r="BK389" s="22">
        <v>1</v>
      </c>
      <c r="BL389" s="36">
        <f>テーブル2[[#This Row],[Ts]]-テーブル2[[#This Row],[Tin]]</f>
        <v>226.26818505028058</v>
      </c>
      <c r="BM389" s="36">
        <f>テーブル2[[#This Row],[q_P]]*0.000001</f>
        <v>-4.4504612431564299</v>
      </c>
      <c r="BN389" s="36">
        <f>テーブル2[[#This Row],[Tsub]]</f>
        <v>226.26818505028058</v>
      </c>
      <c r="BO389" s="36">
        <f>テーブル2[[#This Row],[Fcorr]]</f>
        <v>1</v>
      </c>
      <c r="BP389" s="36">
        <f>(テーブル2[[#This Row],[Tsub]]-40)^2</f>
        <v>34695.836761925566</v>
      </c>
      <c r="BQ389" s="36">
        <v>1</v>
      </c>
      <c r="BR389" s="36">
        <v>0.62484000000000006</v>
      </c>
    </row>
    <row r="390" spans="1:70" x14ac:dyDescent="0.15">
      <c r="A390" s="35" t="s">
        <v>386</v>
      </c>
      <c r="B390" s="36">
        <v>13789514.586336</v>
      </c>
      <c r="C390" s="22">
        <f>TsatFromP(テーブル2[[#This Row],[P]])</f>
        <v>608.62107399852357</v>
      </c>
      <c r="D390" s="36">
        <f>RhoGFromP(テーブル2[[#This Row],[P]])</f>
        <v>85.147847035840741</v>
      </c>
      <c r="E390" s="36">
        <f>RhoFFromP(テーブル2[[#This Row],[P]])</f>
        <v>624.86636713482415</v>
      </c>
      <c r="F390" s="36">
        <f>HgFromP(テーブル2[[#This Row],[P]])</f>
        <v>2643264.5206450778</v>
      </c>
      <c r="G390" s="36">
        <f>HfFromP(テーブル2[[#This Row],[P]])</f>
        <v>1562686.7596125705</v>
      </c>
      <c r="H390" s="36">
        <f>MuGFromP(テーブル2[[#This Row],[P]])</f>
        <v>2.2019591234371903E-5</v>
      </c>
      <c r="I390" s="36">
        <f>MuFFromP(テーブル2[[#This Row],[P]])</f>
        <v>7.222326555143516E-5</v>
      </c>
      <c r="J390" s="36">
        <f>KfFromP(テーブル2[[#This Row],[P]])</f>
        <v>0.49112131073334553</v>
      </c>
      <c r="K390" s="36">
        <f>CpFFromP(テーブル2[[#This Row],[P]])</f>
        <v>7679.7488518783057</v>
      </c>
      <c r="L390" s="36">
        <f>SigmaFromP(テーブル2[[#This Row],[P]])</f>
        <v>6.5036449518301549E-3</v>
      </c>
      <c r="M390" s="36">
        <v>281.01</v>
      </c>
      <c r="N390" s="36">
        <v>5357.1085000000003</v>
      </c>
      <c r="O390" s="37">
        <f t="shared" si="176"/>
        <v>2.5880591202383804E-5</v>
      </c>
      <c r="P390" s="37">
        <f t="shared" si="177"/>
        <v>1.8033998468666854E-2</v>
      </c>
      <c r="Q390" s="37">
        <v>5.7404000000000014E-3</v>
      </c>
      <c r="R390" s="36">
        <v>0.62484000000000006</v>
      </c>
      <c r="S390" s="38">
        <v>9211402.7999999989</v>
      </c>
      <c r="T390" s="36">
        <v>470.3121633284058</v>
      </c>
      <c r="U390" s="12">
        <f>+T390+BG390*S390*テーブル2[[#This Row],[Pw]]*R390/(N390*O390*K390)</f>
        <v>567.79652963042724</v>
      </c>
      <c r="V390" s="36">
        <v>0.03</v>
      </c>
      <c r="W390" s="37">
        <f t="shared" si="178"/>
        <v>425790.0193047825</v>
      </c>
      <c r="X390" s="36">
        <v>0.01</v>
      </c>
      <c r="Y390" s="36">
        <f t="shared" si="179"/>
        <v>10</v>
      </c>
      <c r="Z390" s="36">
        <f t="shared" si="180"/>
        <v>6.5398023437833013</v>
      </c>
      <c r="AA390" s="36">
        <f t="shared" si="181"/>
        <v>3.4601976562166987</v>
      </c>
      <c r="AB390" s="36">
        <f t="shared" si="182"/>
        <v>1.3594220880795282E-5</v>
      </c>
      <c r="AC390" s="36">
        <v>600</v>
      </c>
      <c r="AD390" s="36">
        <f t="shared" si="183"/>
        <v>7526.9752502990668</v>
      </c>
      <c r="AE390" s="36">
        <f>+gettm2(AD390,AC390,AK390,AL390,テーブル2[[#This Row],[Fcorr]])</f>
        <v>544.19371924592906</v>
      </c>
      <c r="AF390" s="39">
        <f t="shared" si="184"/>
        <v>-23.602810384498184</v>
      </c>
      <c r="AG390" s="36">
        <v>1.0000000000000001E-5</v>
      </c>
      <c r="AH390" s="36">
        <f t="shared" si="185"/>
        <v>57.409497834638834</v>
      </c>
      <c r="AI390" s="36">
        <f t="shared" si="186"/>
        <v>0.3031086282712962</v>
      </c>
      <c r="AJ390" s="36">
        <f t="shared" si="187"/>
        <v>26.224567104379716</v>
      </c>
      <c r="AK390" s="36">
        <f>+S88*テーブル2[[#This Row],[F_form]]/(E88*CpFromTP((テーブル2[[#This Row],[Tin]]+テーブル2[[#This Row],[Tf]])/2,テーブル2[[#This Row],[P]])*AI88)</f>
        <v>2.1121993913110972</v>
      </c>
      <c r="AL390" s="36">
        <f t="shared" si="188"/>
        <v>1.1293676909872215</v>
      </c>
      <c r="AM390" s="36">
        <f t="shared" si="189"/>
        <v>569.51882588836702</v>
      </c>
      <c r="AN390" s="36">
        <f t="shared" si="190"/>
        <v>39.102248110156552</v>
      </c>
      <c r="AO390" s="36">
        <f t="shared" si="191"/>
        <v>-3.5942208807952807E-6</v>
      </c>
      <c r="AP390" s="36">
        <v>1</v>
      </c>
      <c r="AQ390" s="36">
        <f t="shared" si="192"/>
        <v>5.4530931276593132E-4</v>
      </c>
      <c r="AR390" s="36">
        <f t="shared" si="193"/>
        <v>3.2028895596023601E-6</v>
      </c>
      <c r="AS390" s="36">
        <f t="shared" si="194"/>
        <v>8.3994392183709277</v>
      </c>
      <c r="AT390" s="36">
        <f t="shared" si="195"/>
        <v>7.590824719514961</v>
      </c>
      <c r="AU390" s="36">
        <f t="shared" si="196"/>
        <v>2.3008444681800264</v>
      </c>
      <c r="AV390" s="36">
        <f t="shared" si="197"/>
        <v>-1.3008444681800264</v>
      </c>
      <c r="AW390" s="36">
        <f t="shared" si="198"/>
        <v>8.1729971836984709E-3</v>
      </c>
      <c r="AX390" s="36">
        <f t="shared" si="199"/>
        <v>1.0627935349101643</v>
      </c>
      <c r="AY390" s="36">
        <f t="shared" si="200"/>
        <v>-2.3636380030901907</v>
      </c>
      <c r="AZ390" s="36">
        <f t="shared" si="201"/>
        <v>1080577.7610325073</v>
      </c>
      <c r="BA390" s="36">
        <f t="shared" si="202"/>
        <v>5.4530931276593132E-4</v>
      </c>
      <c r="BB390" s="38">
        <f t="shared" si="203"/>
        <v>-4450461.2431564303</v>
      </c>
      <c r="BC390" s="40">
        <f t="shared" si="204"/>
        <v>-13661864.04315643</v>
      </c>
      <c r="BD390" s="41">
        <f t="shared" si="205"/>
        <v>-148.31469581545639</v>
      </c>
      <c r="BE390" s="38">
        <v>9211402.7999999989</v>
      </c>
      <c r="BF390" s="42">
        <f>テーブル2[[#This Row],[q_P]]/テーブル2[[#This Row],[q_M]]</f>
        <v>-0.48314695815456371</v>
      </c>
      <c r="BG390" s="36">
        <v>1</v>
      </c>
      <c r="BH390" s="36">
        <v>2.9000000000000001E-2</v>
      </c>
      <c r="BI390" s="36">
        <v>4.5999999999999999E-2</v>
      </c>
      <c r="BJ390" s="36">
        <v>5625</v>
      </c>
      <c r="BK390" s="22">
        <v>1</v>
      </c>
      <c r="BL390" s="36">
        <f>テーブル2[[#This Row],[Ts]]-テーブル2[[#This Row],[Tin]]</f>
        <v>138.30891067011777</v>
      </c>
      <c r="BM390" s="36">
        <f>テーブル2[[#This Row],[q_P]]*0.000001</f>
        <v>-4.4504612431564299</v>
      </c>
      <c r="BN390" s="36">
        <f>テーブル2[[#This Row],[Tsub]]</f>
        <v>138.30891067011777</v>
      </c>
      <c r="BO390" s="36">
        <f>テーブル2[[#This Row],[Fcorr]]</f>
        <v>1</v>
      </c>
      <c r="BP390" s="36">
        <f>(テーブル2[[#This Row],[Tsub]]-40)^2</f>
        <v>9664.6419171451944</v>
      </c>
      <c r="BQ390" s="36">
        <v>1</v>
      </c>
      <c r="BR390" s="36">
        <v>0.62484000000000006</v>
      </c>
    </row>
    <row r="391" spans="1:70" x14ac:dyDescent="0.15">
      <c r="A391" s="35" t="s">
        <v>387</v>
      </c>
      <c r="B391" s="36">
        <v>13789514.586336</v>
      </c>
      <c r="C391" s="22">
        <f>TsatFromP(テーブル2[[#This Row],[P]])</f>
        <v>608.62107399852357</v>
      </c>
      <c r="D391" s="36">
        <f>RhoGFromP(テーブル2[[#This Row],[P]])</f>
        <v>85.147847035840741</v>
      </c>
      <c r="E391" s="36">
        <f>RhoFFromP(テーブル2[[#This Row],[P]])</f>
        <v>624.86636713482415</v>
      </c>
      <c r="F391" s="36">
        <f>HgFromP(テーブル2[[#This Row],[P]])</f>
        <v>2643264.5206450778</v>
      </c>
      <c r="G391" s="36">
        <f>HfFromP(テーブル2[[#This Row],[P]])</f>
        <v>1562686.7596125705</v>
      </c>
      <c r="H391" s="36">
        <f>MuGFromP(テーブル2[[#This Row],[P]])</f>
        <v>2.2019591234371903E-5</v>
      </c>
      <c r="I391" s="36">
        <f>MuFFromP(テーブル2[[#This Row],[P]])</f>
        <v>7.222326555143516E-5</v>
      </c>
      <c r="J391" s="36">
        <f>KfFromP(テーブル2[[#This Row],[P]])</f>
        <v>0.49112131073334553</v>
      </c>
      <c r="K391" s="36">
        <f>CpFFromP(テーブル2[[#This Row],[P]])</f>
        <v>7679.7488518783057</v>
      </c>
      <c r="L391" s="36">
        <f>SigmaFromP(テーブル2[[#This Row],[P]])</f>
        <v>6.5036449518301549E-3</v>
      </c>
      <c r="M391" s="36">
        <v>282.01</v>
      </c>
      <c r="N391" s="36">
        <v>9859.7920999999988</v>
      </c>
      <c r="O391" s="37">
        <f t="shared" si="176"/>
        <v>2.5880591202383804E-5</v>
      </c>
      <c r="P391" s="37">
        <f t="shared" si="177"/>
        <v>1.8033998468666854E-2</v>
      </c>
      <c r="Q391" s="37">
        <v>5.7404000000000014E-3</v>
      </c>
      <c r="R391" s="36">
        <v>0.62484000000000006</v>
      </c>
      <c r="S391" s="38">
        <v>9526861.7999999989</v>
      </c>
      <c r="T391" s="36">
        <v>500.2688889860072</v>
      </c>
      <c r="U391" s="12">
        <f>+T391+BG391*S391*テーブル2[[#This Row],[Pw]]*R391/(N391*O391*K391)</f>
        <v>555.04885382635382</v>
      </c>
      <c r="V391" s="36">
        <v>0.03</v>
      </c>
      <c r="W391" s="37">
        <f t="shared" si="178"/>
        <v>783669.22540399199</v>
      </c>
      <c r="X391" s="36">
        <v>0.01</v>
      </c>
      <c r="Y391" s="36">
        <f t="shared" si="179"/>
        <v>10</v>
      </c>
      <c r="Z391" s="36">
        <f t="shared" si="180"/>
        <v>7.5227228414577549</v>
      </c>
      <c r="AA391" s="36">
        <f t="shared" si="181"/>
        <v>2.4772771585422451</v>
      </c>
      <c r="AB391" s="36">
        <f t="shared" si="182"/>
        <v>4.0130973190233356E-6</v>
      </c>
      <c r="AC391" s="36">
        <v>600</v>
      </c>
      <c r="AD391" s="36">
        <f t="shared" si="183"/>
        <v>13853.445587259295</v>
      </c>
      <c r="AE391" s="36">
        <f>+gettm2(AD391,AC391,AK391,AL391,テーブル2[[#This Row],[Fcorr]])</f>
        <v>541.90762233815792</v>
      </c>
      <c r="AF391" s="39">
        <f t="shared" si="184"/>
        <v>-13.141231488195899</v>
      </c>
      <c r="AG391" s="36">
        <v>1.0000000000000001E-5</v>
      </c>
      <c r="AH391" s="36">
        <f t="shared" si="185"/>
        <v>194.47258119560206</v>
      </c>
      <c r="AI391" s="36">
        <f t="shared" si="186"/>
        <v>0.55787334874236028</v>
      </c>
      <c r="AJ391" s="36">
        <f t="shared" si="187"/>
        <v>48.266481733883673</v>
      </c>
      <c r="AK391" s="36">
        <f>+S88*テーブル2[[#This Row],[F_form]]/(E88*CpFromTP((テーブル2[[#This Row],[Tin]]+テーブル2[[#This Row],[Tf]])/2,テーブル2[[#This Row],[P]])*AI88)</f>
        <v>2.0784203125101355</v>
      </c>
      <c r="AL391" s="36">
        <f t="shared" si="188"/>
        <v>1.1293676909872215</v>
      </c>
      <c r="AM391" s="36">
        <f t="shared" si="189"/>
        <v>566.10845739401759</v>
      </c>
      <c r="AN391" s="36">
        <f t="shared" si="190"/>
        <v>42.512616604505979</v>
      </c>
      <c r="AO391" s="36">
        <f t="shared" si="191"/>
        <v>5.9869026809766652E-6</v>
      </c>
      <c r="AP391" s="36">
        <v>1</v>
      </c>
      <c r="AQ391" s="36">
        <f t="shared" si="192"/>
        <v>5.4530931276593132E-4</v>
      </c>
      <c r="AR391" s="36">
        <f t="shared" si="193"/>
        <v>7.9934513404883322E-6</v>
      </c>
      <c r="AS391" s="36">
        <f t="shared" si="194"/>
        <v>38.581577311636799</v>
      </c>
      <c r="AT391" s="36">
        <f t="shared" si="195"/>
        <v>14.631937227052831</v>
      </c>
      <c r="AU391" s="36">
        <f t="shared" si="196"/>
        <v>8.1627678194439675</v>
      </c>
      <c r="AV391" s="36">
        <f t="shared" si="197"/>
        <v>-7.1627678194439675</v>
      </c>
      <c r="AW391" s="36">
        <f t="shared" si="198"/>
        <v>2.4127188585423968E-3</v>
      </c>
      <c r="AX391" s="36">
        <f t="shared" si="199"/>
        <v>1.9560782275435169</v>
      </c>
      <c r="AY391" s="36">
        <f t="shared" si="200"/>
        <v>-9.1188460469874837</v>
      </c>
      <c r="AZ391" s="36">
        <f t="shared" si="201"/>
        <v>1080577.7610325073</v>
      </c>
      <c r="BA391" s="36">
        <f t="shared" si="202"/>
        <v>5.4530931276593132E-4</v>
      </c>
      <c r="BB391" s="38">
        <f t="shared" si="203"/>
        <v>7413144.3870362388</v>
      </c>
      <c r="BC391" s="40">
        <f t="shared" si="204"/>
        <v>-2113717.4129637601</v>
      </c>
      <c r="BD391" s="41">
        <f t="shared" si="205"/>
        <v>-22.186922171619624</v>
      </c>
      <c r="BE391" s="38">
        <v>9526861.7999999989</v>
      </c>
      <c r="BF391" s="42">
        <f>テーブル2[[#This Row],[q_P]]/テーブル2[[#This Row],[q_M]]</f>
        <v>0.77813077828380373</v>
      </c>
      <c r="BG391" s="36">
        <v>1</v>
      </c>
      <c r="BH391" s="36">
        <v>-0.151</v>
      </c>
      <c r="BI391" s="36">
        <v>4.5999999999999999E-2</v>
      </c>
      <c r="BJ391" s="36">
        <v>5625</v>
      </c>
      <c r="BK391" s="22">
        <v>1</v>
      </c>
      <c r="BL391" s="36">
        <f>テーブル2[[#This Row],[Ts]]-テーブル2[[#This Row],[Tin]]</f>
        <v>108.35218501251637</v>
      </c>
      <c r="BM391" s="36">
        <f>テーブル2[[#This Row],[q_P]]*0.000001</f>
        <v>7.4131443870362386</v>
      </c>
      <c r="BN391" s="36">
        <f>テーブル2[[#This Row],[Tsub]]</f>
        <v>108.35218501251637</v>
      </c>
      <c r="BO391" s="36">
        <f>テーブル2[[#This Row],[Fcorr]]</f>
        <v>1</v>
      </c>
      <c r="BP391" s="36">
        <f>(テーブル2[[#This Row],[Tsub]]-40)^2</f>
        <v>4672.0211959852677</v>
      </c>
      <c r="BQ391" s="36">
        <v>1</v>
      </c>
      <c r="BR391" s="36">
        <v>0.62484000000000006</v>
      </c>
    </row>
    <row r="392" spans="1:70" x14ac:dyDescent="0.15">
      <c r="A392" s="35" t="s">
        <v>388</v>
      </c>
      <c r="B392" s="36">
        <v>13789514.586336</v>
      </c>
      <c r="C392" s="22">
        <f>TsatFromP(テーブル2[[#This Row],[P]])</f>
        <v>608.62107399852357</v>
      </c>
      <c r="D392" s="36">
        <f>RhoGFromP(テーブル2[[#This Row],[P]])</f>
        <v>85.147847035840741</v>
      </c>
      <c r="E392" s="36">
        <f>RhoFFromP(テーブル2[[#This Row],[P]])</f>
        <v>624.86636713482415</v>
      </c>
      <c r="F392" s="36">
        <f>HgFromP(テーブル2[[#This Row],[P]])</f>
        <v>2643264.5206450778</v>
      </c>
      <c r="G392" s="36">
        <f>HfFromP(テーブル2[[#This Row],[P]])</f>
        <v>1562686.7596125705</v>
      </c>
      <c r="H392" s="36">
        <f>MuGFromP(テーブル2[[#This Row],[P]])</f>
        <v>2.2019591234371903E-5</v>
      </c>
      <c r="I392" s="36">
        <f>MuFFromP(テーブル2[[#This Row],[P]])</f>
        <v>7.222326555143516E-5</v>
      </c>
      <c r="J392" s="36">
        <f>KfFromP(テーブル2[[#This Row],[P]])</f>
        <v>0.49112131073334553</v>
      </c>
      <c r="K392" s="36">
        <f>CpFFromP(テーブル2[[#This Row],[P]])</f>
        <v>7679.7488518783057</v>
      </c>
      <c r="L392" s="36">
        <f>SigmaFromP(テーブル2[[#This Row],[P]])</f>
        <v>6.5036449518301549E-3</v>
      </c>
      <c r="M392" s="36">
        <v>283.01</v>
      </c>
      <c r="N392" s="36">
        <v>10470.095600000001</v>
      </c>
      <c r="O392" s="37">
        <f t="shared" si="176"/>
        <v>2.5880591202383804E-5</v>
      </c>
      <c r="P392" s="37">
        <f t="shared" si="177"/>
        <v>1.8033998468666854E-2</v>
      </c>
      <c r="Q392" s="37">
        <v>5.7404000000000014E-3</v>
      </c>
      <c r="R392" s="36">
        <v>0.62484000000000006</v>
      </c>
      <c r="S392" s="38">
        <v>8895943.7999999989</v>
      </c>
      <c r="T392" s="36">
        <v>518.14095642642042</v>
      </c>
      <c r="U392" s="12">
        <f>+T392+BG392*S392*テーブル2[[#This Row],[Pw]]*R392/(N392*O392*K392)</f>
        <v>566.31144209956153</v>
      </c>
      <c r="V392" s="36">
        <v>0.03</v>
      </c>
      <c r="W392" s="37">
        <f t="shared" si="178"/>
        <v>832176.94912225846</v>
      </c>
      <c r="X392" s="36">
        <v>0.01</v>
      </c>
      <c r="Y392" s="36">
        <f t="shared" si="179"/>
        <v>10</v>
      </c>
      <c r="Z392" s="36">
        <f t="shared" si="180"/>
        <v>7.6171448726663318</v>
      </c>
      <c r="AA392" s="36">
        <f t="shared" si="181"/>
        <v>2.3828551273336682</v>
      </c>
      <c r="AB392" s="36">
        <f t="shared" si="182"/>
        <v>3.5588846561754741E-6</v>
      </c>
      <c r="AC392" s="36">
        <v>600</v>
      </c>
      <c r="AD392" s="36">
        <f t="shared" si="183"/>
        <v>14710.949096787033</v>
      </c>
      <c r="AE392" s="36">
        <f>+gettm2(AD392,AC392,AK392,AL392,テーブル2[[#This Row],[Fcorr]])</f>
        <v>543.4582561649645</v>
      </c>
      <c r="AF392" s="39">
        <f t="shared" si="184"/>
        <v>-22.853185934597036</v>
      </c>
      <c r="AG392" s="36">
        <v>1.0000000000000001E-5</v>
      </c>
      <c r="AH392" s="36">
        <f t="shared" si="185"/>
        <v>219.29269128331603</v>
      </c>
      <c r="AI392" s="36">
        <f t="shared" si="186"/>
        <v>0.59240471145681173</v>
      </c>
      <c r="AJ392" s="36">
        <f t="shared" si="187"/>
        <v>51.254090644509205</v>
      </c>
      <c r="AK392" s="36">
        <f>+S88*テーブル2[[#This Row],[F_form]]/(E88*CpFromTP((テーブル2[[#This Row],[Tin]]+テーブル2[[#This Row],[Tf]])/2,テーブル2[[#This Row],[P]])*AI88)</f>
        <v>2.0121120975300473</v>
      </c>
      <c r="AL392" s="36">
        <f t="shared" si="188"/>
        <v>1.1293676909872215</v>
      </c>
      <c r="AM392" s="36">
        <f t="shared" si="189"/>
        <v>566.88759640414492</v>
      </c>
      <c r="AN392" s="36">
        <f t="shared" si="190"/>
        <v>41.733477594378655</v>
      </c>
      <c r="AO392" s="36">
        <f t="shared" si="191"/>
        <v>6.4411153438245268E-6</v>
      </c>
      <c r="AP392" s="36">
        <v>1</v>
      </c>
      <c r="AQ392" s="36">
        <f t="shared" si="192"/>
        <v>5.4530931276593132E-4</v>
      </c>
      <c r="AR392" s="36">
        <f t="shared" si="193"/>
        <v>8.2205576719122629E-6</v>
      </c>
      <c r="AS392" s="36">
        <f t="shared" si="194"/>
        <v>42.133720806460673</v>
      </c>
      <c r="AT392" s="36">
        <f t="shared" si="195"/>
        <v>14.852120973395579</v>
      </c>
      <c r="AU392" s="36">
        <f t="shared" si="196"/>
        <v>8.7984664397660701</v>
      </c>
      <c r="AV392" s="36">
        <f t="shared" si="197"/>
        <v>-7.7984664397660701</v>
      </c>
      <c r="AW392" s="36">
        <f t="shared" si="198"/>
        <v>2.1396411406792025E-3</v>
      </c>
      <c r="AX392" s="36">
        <f t="shared" si="199"/>
        <v>2.0771559720269539</v>
      </c>
      <c r="AY392" s="36">
        <f t="shared" si="200"/>
        <v>-9.8756224117930245</v>
      </c>
      <c r="AZ392" s="36">
        <f t="shared" si="201"/>
        <v>1080577.7610325073</v>
      </c>
      <c r="BA392" s="36">
        <f t="shared" si="202"/>
        <v>5.4530931276593132E-4</v>
      </c>
      <c r="BB392" s="38">
        <f t="shared" si="203"/>
        <v>7975562.7578593483</v>
      </c>
      <c r="BC392" s="40">
        <f t="shared" si="204"/>
        <v>-920381.04214065056</v>
      </c>
      <c r="BD392" s="41">
        <f t="shared" si="205"/>
        <v>-10.34607527692172</v>
      </c>
      <c r="BE392" s="38">
        <v>8895943.7999999989</v>
      </c>
      <c r="BF392" s="42">
        <f>テーブル2[[#This Row],[q_P]]/テーブル2[[#This Row],[q_M]]</f>
        <v>0.89653924723078282</v>
      </c>
      <c r="BG392" s="36">
        <v>1</v>
      </c>
      <c r="BH392" s="36">
        <v>-0.121</v>
      </c>
      <c r="BI392" s="36">
        <v>4.5999999999999999E-2</v>
      </c>
      <c r="BJ392" s="36">
        <v>5625</v>
      </c>
      <c r="BK392" s="22">
        <v>1</v>
      </c>
      <c r="BL392" s="36">
        <f>テーブル2[[#This Row],[Ts]]-テーブル2[[#This Row],[Tin]]</f>
        <v>90.480117572103154</v>
      </c>
      <c r="BM392" s="36">
        <f>テーブル2[[#This Row],[q_P]]*0.000001</f>
        <v>7.9755627578593478</v>
      </c>
      <c r="BN392" s="36">
        <f>テーブル2[[#This Row],[Tsub]]</f>
        <v>90.480117572103154</v>
      </c>
      <c r="BO392" s="36">
        <f>テーブル2[[#This Row],[Fcorr]]</f>
        <v>1</v>
      </c>
      <c r="BP392" s="36">
        <f>(テーブル2[[#This Row],[Tsub]]-40)^2</f>
        <v>2548.2422700933575</v>
      </c>
      <c r="BQ392" s="36">
        <v>1</v>
      </c>
      <c r="BR392" s="36">
        <v>0.62484000000000006</v>
      </c>
    </row>
    <row r="393" spans="1:70" x14ac:dyDescent="0.15">
      <c r="A393" s="35" t="s">
        <v>389</v>
      </c>
      <c r="B393" s="36">
        <v>13789514.586336</v>
      </c>
      <c r="C393" s="22">
        <f>TsatFromP(テーブル2[[#This Row],[P]])</f>
        <v>608.62107399852357</v>
      </c>
      <c r="D393" s="36">
        <f>RhoGFromP(テーブル2[[#This Row],[P]])</f>
        <v>85.147847035840741</v>
      </c>
      <c r="E393" s="36">
        <f>RhoFFromP(テーブル2[[#This Row],[P]])</f>
        <v>624.86636713482415</v>
      </c>
      <c r="F393" s="36">
        <f>HgFromP(テーブル2[[#This Row],[P]])</f>
        <v>2643264.5206450778</v>
      </c>
      <c r="G393" s="36">
        <f>HfFromP(テーブル2[[#This Row],[P]])</f>
        <v>1562686.7596125705</v>
      </c>
      <c r="H393" s="36">
        <f>MuGFromP(テーブル2[[#This Row],[P]])</f>
        <v>2.2019591234371903E-5</v>
      </c>
      <c r="I393" s="36">
        <f>MuFFromP(テーブル2[[#This Row],[P]])</f>
        <v>7.222326555143516E-5</v>
      </c>
      <c r="J393" s="36">
        <f>KfFromP(テーブル2[[#This Row],[P]])</f>
        <v>0.49112131073334553</v>
      </c>
      <c r="K393" s="36">
        <f>CpFFromP(テーブル2[[#This Row],[P]])</f>
        <v>7679.7488518783057</v>
      </c>
      <c r="L393" s="36">
        <f>SigmaFromP(テーブル2[[#This Row],[P]])</f>
        <v>6.5036449518301549E-3</v>
      </c>
      <c r="M393" s="36">
        <v>284.01</v>
      </c>
      <c r="N393" s="36">
        <v>10497.2202</v>
      </c>
      <c r="O393" s="37">
        <f t="shared" si="176"/>
        <v>2.5880591202383804E-5</v>
      </c>
      <c r="P393" s="37">
        <f t="shared" si="177"/>
        <v>1.8033998468666854E-2</v>
      </c>
      <c r="Q393" s="37">
        <v>5.7404000000000014E-3</v>
      </c>
      <c r="R393" s="36">
        <v>0.62484000000000006</v>
      </c>
      <c r="S393" s="38">
        <v>11924350.199999999</v>
      </c>
      <c r="T393" s="36">
        <v>427.50340389306911</v>
      </c>
      <c r="U393" s="12">
        <f>+T393+BG393*S393*テーブル2[[#This Row],[Pw]]*R393/(N393*O393*K393)</f>
        <v>491.90550794493817</v>
      </c>
      <c r="V393" s="36">
        <v>0.03</v>
      </c>
      <c r="W393" s="37">
        <f t="shared" si="178"/>
        <v>834332.84795418137</v>
      </c>
      <c r="X393" s="36">
        <v>0.01</v>
      </c>
      <c r="Y393" s="36">
        <f t="shared" si="179"/>
        <v>10</v>
      </c>
      <c r="Z393" s="36">
        <f t="shared" si="180"/>
        <v>7.6212017038196613</v>
      </c>
      <c r="AA393" s="36">
        <f t="shared" si="181"/>
        <v>2.3787982961803387</v>
      </c>
      <c r="AB393" s="36">
        <f t="shared" si="182"/>
        <v>3.5405162499016549E-6</v>
      </c>
      <c r="AC393" s="36">
        <v>600</v>
      </c>
      <c r="AD393" s="36">
        <f t="shared" si="183"/>
        <v>14749.060363877159</v>
      </c>
      <c r="AE393" s="36">
        <f>+gettm2(AD393,AC393,AK393,AL393,テーブル2[[#This Row],[Fcorr]])</f>
        <v>536.11197968536817</v>
      </c>
      <c r="AF393" s="39">
        <f t="shared" si="184"/>
        <v>44.206471740430004</v>
      </c>
      <c r="AG393" s="36">
        <v>1.0000000000000001E-5</v>
      </c>
      <c r="AH393" s="36">
        <f t="shared" si="185"/>
        <v>220.43039464690972</v>
      </c>
      <c r="AI393" s="36">
        <f t="shared" si="186"/>
        <v>0.59393943868856514</v>
      </c>
      <c r="AJ393" s="36">
        <f t="shared" si="187"/>
        <v>51.386873262759238</v>
      </c>
      <c r="AK393" s="36">
        <f>+S88*テーブル2[[#This Row],[F_form]]/(E88*CpFromTP((テーブル2[[#This Row],[Tin]]+テーブル2[[#This Row],[Tf]])/2,テーブル2[[#This Row],[P]])*AI88)</f>
        <v>2.2730147812397599</v>
      </c>
      <c r="AL393" s="36">
        <f t="shared" si="188"/>
        <v>1.1293676909872215</v>
      </c>
      <c r="AM393" s="36">
        <f t="shared" si="189"/>
        <v>562.57933834273967</v>
      </c>
      <c r="AN393" s="36">
        <f t="shared" si="190"/>
        <v>46.041735655783896</v>
      </c>
      <c r="AO393" s="36">
        <f t="shared" si="191"/>
        <v>6.4594837500983459E-6</v>
      </c>
      <c r="AP393" s="36">
        <v>1</v>
      </c>
      <c r="AQ393" s="36">
        <f t="shared" si="192"/>
        <v>5.4530931276593132E-4</v>
      </c>
      <c r="AR393" s="36">
        <f t="shared" si="193"/>
        <v>8.2297418750491742E-6</v>
      </c>
      <c r="AS393" s="36">
        <f t="shared" si="194"/>
        <v>42.290070271837443</v>
      </c>
      <c r="AT393" s="36">
        <f t="shared" si="195"/>
        <v>14.861380782871496</v>
      </c>
      <c r="AU393" s="36">
        <f t="shared" si="196"/>
        <v>8.8267601603157253</v>
      </c>
      <c r="AV393" s="36">
        <f t="shared" si="197"/>
        <v>-7.8267601603157253</v>
      </c>
      <c r="AW393" s="36">
        <f t="shared" si="198"/>
        <v>2.1285978499999232E-3</v>
      </c>
      <c r="AX393" s="36">
        <f t="shared" si="199"/>
        <v>2.0825372051151065</v>
      </c>
      <c r="AY393" s="36">
        <f t="shared" si="200"/>
        <v>-9.909297365430831</v>
      </c>
      <c r="AZ393" s="36">
        <f t="shared" si="201"/>
        <v>1080577.7610325073</v>
      </c>
      <c r="BA393" s="36">
        <f t="shared" si="202"/>
        <v>5.4530931276593132E-4</v>
      </c>
      <c r="BB393" s="38">
        <f t="shared" si="203"/>
        <v>7998307.0139669729</v>
      </c>
      <c r="BC393" s="40">
        <f t="shared" si="204"/>
        <v>-3926043.1860330263</v>
      </c>
      <c r="BD393" s="41">
        <f t="shared" si="205"/>
        <v>-32.924588092297277</v>
      </c>
      <c r="BE393" s="38">
        <v>11924350.199999999</v>
      </c>
      <c r="BF393" s="42">
        <f>テーブル2[[#This Row],[q_P]]/テーブル2[[#This Row],[q_M]]</f>
        <v>0.6707541190770272</v>
      </c>
      <c r="BG393" s="36">
        <v>1</v>
      </c>
      <c r="BH393" s="36">
        <v>-0.379</v>
      </c>
      <c r="BI393" s="36">
        <v>4.5999999999999999E-2</v>
      </c>
      <c r="BJ393" s="36">
        <v>5625</v>
      </c>
      <c r="BK393" s="22">
        <v>1</v>
      </c>
      <c r="BL393" s="36">
        <f>テーブル2[[#This Row],[Ts]]-テーブル2[[#This Row],[Tin]]</f>
        <v>181.11767010545447</v>
      </c>
      <c r="BM393" s="36">
        <f>テーブル2[[#This Row],[q_P]]*0.000001</f>
        <v>7.998307013966973</v>
      </c>
      <c r="BN393" s="36">
        <f>テーブル2[[#This Row],[Tsub]]</f>
        <v>181.11767010545447</v>
      </c>
      <c r="BO393" s="36">
        <f>テーブル2[[#This Row],[Fcorr]]</f>
        <v>1</v>
      </c>
      <c r="BP393" s="36">
        <f>(テーブル2[[#This Row],[Tsub]]-40)^2</f>
        <v>19914.196815991876</v>
      </c>
      <c r="BQ393" s="36">
        <v>1</v>
      </c>
      <c r="BR393" s="36">
        <v>0.62484000000000006</v>
      </c>
    </row>
    <row r="394" spans="1:70" x14ac:dyDescent="0.15">
      <c r="A394" s="35" t="s">
        <v>390</v>
      </c>
      <c r="B394" s="36">
        <v>13789514.586336</v>
      </c>
      <c r="C394" s="22">
        <f>TsatFromP(テーブル2[[#This Row],[P]])</f>
        <v>608.62107399852357</v>
      </c>
      <c r="D394" s="36">
        <f>RhoGFromP(テーブル2[[#This Row],[P]])</f>
        <v>85.147847035840741</v>
      </c>
      <c r="E394" s="36">
        <f>RhoFFromP(テーブル2[[#This Row],[P]])</f>
        <v>624.86636713482415</v>
      </c>
      <c r="F394" s="36">
        <f>HgFromP(テーブル2[[#This Row],[P]])</f>
        <v>2643264.5206450778</v>
      </c>
      <c r="G394" s="36">
        <f>HfFromP(テーブル2[[#This Row],[P]])</f>
        <v>1562686.7596125705</v>
      </c>
      <c r="H394" s="36">
        <f>MuGFromP(テーブル2[[#This Row],[P]])</f>
        <v>2.2019591234371903E-5</v>
      </c>
      <c r="I394" s="36">
        <f>MuFFromP(テーブル2[[#This Row],[P]])</f>
        <v>7.222326555143516E-5</v>
      </c>
      <c r="J394" s="36">
        <f>KfFromP(テーブル2[[#This Row],[P]])</f>
        <v>0.49112131073334553</v>
      </c>
      <c r="K394" s="36">
        <f>CpFFromP(テーブル2[[#This Row],[P]])</f>
        <v>7679.7488518783057</v>
      </c>
      <c r="L394" s="36">
        <f>SigmaFromP(テーブル2[[#This Row],[P]])</f>
        <v>6.5036449518301549E-3</v>
      </c>
      <c r="M394" s="36">
        <v>285.01</v>
      </c>
      <c r="N394" s="36">
        <v>10497.2202</v>
      </c>
      <c r="O394" s="37">
        <f t="shared" si="176"/>
        <v>2.5880591202383804E-5</v>
      </c>
      <c r="P394" s="37">
        <f t="shared" si="177"/>
        <v>1.8033998468666854E-2</v>
      </c>
      <c r="Q394" s="37">
        <v>5.7404000000000014E-3</v>
      </c>
      <c r="R394" s="36">
        <v>0.62484000000000006</v>
      </c>
      <c r="S394" s="38">
        <v>11230340.4</v>
      </c>
      <c r="T394" s="36">
        <v>438.01554182477679</v>
      </c>
      <c r="U394" s="12">
        <f>+T394+BG394*S394*テーブル2[[#This Row],[Pw]]*R394/(N394*O394*K394)</f>
        <v>498.66937527045241</v>
      </c>
      <c r="V394" s="36">
        <v>0.03</v>
      </c>
      <c r="W394" s="37">
        <f t="shared" si="178"/>
        <v>834332.84795418137</v>
      </c>
      <c r="X394" s="36">
        <v>0.01</v>
      </c>
      <c r="Y394" s="36">
        <f t="shared" si="179"/>
        <v>10</v>
      </c>
      <c r="Z394" s="36">
        <f t="shared" si="180"/>
        <v>7.6212017038196613</v>
      </c>
      <c r="AA394" s="36">
        <f t="shared" si="181"/>
        <v>2.3787982961803387</v>
      </c>
      <c r="AB394" s="36">
        <f t="shared" si="182"/>
        <v>3.5405162499016549E-6</v>
      </c>
      <c r="AC394" s="36">
        <v>600</v>
      </c>
      <c r="AD394" s="36">
        <f t="shared" si="183"/>
        <v>14749.060363877159</v>
      </c>
      <c r="AE394" s="36">
        <f>+gettm2(AD394,AC394,AK394,AL394,テーブル2[[#This Row],[Fcorr]])</f>
        <v>536.60036800612863</v>
      </c>
      <c r="AF394" s="39">
        <f t="shared" si="184"/>
        <v>37.930992735676227</v>
      </c>
      <c r="AG394" s="36">
        <v>1.0000000000000001E-5</v>
      </c>
      <c r="AH394" s="36">
        <f t="shared" si="185"/>
        <v>220.43039464690972</v>
      </c>
      <c r="AI394" s="36">
        <f t="shared" si="186"/>
        <v>0.59393943868856514</v>
      </c>
      <c r="AJ394" s="36">
        <f t="shared" si="187"/>
        <v>51.386873262759238</v>
      </c>
      <c r="AK394" s="36">
        <f>+S88*テーブル2[[#This Row],[F_form]]/(E88*CpFromTP((テーブル2[[#This Row],[Tin]]+テーブル2[[#This Row],[Tf]])/2,テーブル2[[#This Row],[P]])*AI88)</f>
        <v>2.2556388496236823</v>
      </c>
      <c r="AL394" s="36">
        <f t="shared" si="188"/>
        <v>1.1293676909872215</v>
      </c>
      <c r="AM394" s="36">
        <f t="shared" si="189"/>
        <v>562.86539845257778</v>
      </c>
      <c r="AN394" s="36">
        <f t="shared" si="190"/>
        <v>45.755675545945792</v>
      </c>
      <c r="AO394" s="36">
        <f t="shared" si="191"/>
        <v>6.4594837500983459E-6</v>
      </c>
      <c r="AP394" s="36">
        <v>1</v>
      </c>
      <c r="AQ394" s="36">
        <f t="shared" si="192"/>
        <v>5.4530931276593132E-4</v>
      </c>
      <c r="AR394" s="36">
        <f t="shared" si="193"/>
        <v>8.2297418750491742E-6</v>
      </c>
      <c r="AS394" s="36">
        <f t="shared" si="194"/>
        <v>42.290070271837443</v>
      </c>
      <c r="AT394" s="36">
        <f t="shared" si="195"/>
        <v>14.861380782871496</v>
      </c>
      <c r="AU394" s="36">
        <f t="shared" si="196"/>
        <v>8.8267601603157253</v>
      </c>
      <c r="AV394" s="36">
        <f t="shared" si="197"/>
        <v>-7.8267601603157253</v>
      </c>
      <c r="AW394" s="36">
        <f t="shared" si="198"/>
        <v>2.1285978499999232E-3</v>
      </c>
      <c r="AX394" s="36">
        <f t="shared" si="199"/>
        <v>2.0825372051151065</v>
      </c>
      <c r="AY394" s="36">
        <f t="shared" si="200"/>
        <v>-9.909297365430831</v>
      </c>
      <c r="AZ394" s="36">
        <f t="shared" si="201"/>
        <v>1080577.7610325073</v>
      </c>
      <c r="BA394" s="36">
        <f t="shared" si="202"/>
        <v>5.4530931276593132E-4</v>
      </c>
      <c r="BB394" s="38">
        <f t="shared" si="203"/>
        <v>7998307.0139669729</v>
      </c>
      <c r="BC394" s="40">
        <f t="shared" si="204"/>
        <v>-3232033.3860330274</v>
      </c>
      <c r="BD394" s="41">
        <f t="shared" si="205"/>
        <v>-28.77947836766397</v>
      </c>
      <c r="BE394" s="38">
        <v>11230340.4</v>
      </c>
      <c r="BF394" s="42">
        <f>テーブル2[[#This Row],[q_P]]/テーブル2[[#This Row],[q_M]]</f>
        <v>0.71220521632336031</v>
      </c>
      <c r="BG394" s="36">
        <v>1</v>
      </c>
      <c r="BH394" s="36">
        <v>-0.36399999999999999</v>
      </c>
      <c r="BI394" s="36">
        <v>4.5999999999999999E-2</v>
      </c>
      <c r="BJ394" s="36">
        <v>5625</v>
      </c>
      <c r="BK394" s="22">
        <v>1</v>
      </c>
      <c r="BL394" s="36">
        <f>テーブル2[[#This Row],[Ts]]-テーブル2[[#This Row],[Tin]]</f>
        <v>170.60553217374678</v>
      </c>
      <c r="BM394" s="36">
        <f>テーブル2[[#This Row],[q_P]]*0.000001</f>
        <v>7.998307013966973</v>
      </c>
      <c r="BN394" s="36">
        <f>テーブル2[[#This Row],[Tsub]]</f>
        <v>170.60553217374678</v>
      </c>
      <c r="BO394" s="36">
        <f>テーブル2[[#This Row],[Fcorr]]</f>
        <v>1</v>
      </c>
      <c r="BP394" s="36">
        <f>(テーブル2[[#This Row],[Tsub]]-40)^2</f>
        <v>17057.805034387606</v>
      </c>
      <c r="BQ394" s="36">
        <v>1</v>
      </c>
      <c r="BR394" s="36">
        <v>0.62484000000000006</v>
      </c>
    </row>
    <row r="395" spans="1:70" x14ac:dyDescent="0.15">
      <c r="A395" s="35" t="s">
        <v>391</v>
      </c>
      <c r="B395" s="36">
        <v>13789514.586336</v>
      </c>
      <c r="C395" s="22">
        <f>TsatFromP(テーブル2[[#This Row],[P]])</f>
        <v>608.62107399852357</v>
      </c>
      <c r="D395" s="36">
        <f>RhoGFromP(テーブル2[[#This Row],[P]])</f>
        <v>85.147847035840741</v>
      </c>
      <c r="E395" s="36">
        <f>RhoFFromP(テーブル2[[#This Row],[P]])</f>
        <v>624.86636713482415</v>
      </c>
      <c r="F395" s="36">
        <f>HgFromP(テーブル2[[#This Row],[P]])</f>
        <v>2643264.5206450778</v>
      </c>
      <c r="G395" s="36">
        <f>HfFromP(テーブル2[[#This Row],[P]])</f>
        <v>1562686.7596125705</v>
      </c>
      <c r="H395" s="36">
        <f>MuGFromP(テーブル2[[#This Row],[P]])</f>
        <v>2.2019591234371903E-5</v>
      </c>
      <c r="I395" s="36">
        <f>MuFFromP(テーブル2[[#This Row],[P]])</f>
        <v>7.222326555143516E-5</v>
      </c>
      <c r="J395" s="36">
        <f>KfFromP(テーブル2[[#This Row],[P]])</f>
        <v>0.49112131073334553</v>
      </c>
      <c r="K395" s="36">
        <f>CpFFromP(テーブル2[[#This Row],[P]])</f>
        <v>7679.7488518783057</v>
      </c>
      <c r="L395" s="36">
        <f>SigmaFromP(テーブル2[[#This Row],[P]])</f>
        <v>6.5036449518301549E-3</v>
      </c>
      <c r="M395" s="36">
        <v>286.01</v>
      </c>
      <c r="N395" s="36">
        <v>10497.2202</v>
      </c>
      <c r="O395" s="37">
        <f t="shared" si="176"/>
        <v>2.5880591202383804E-5</v>
      </c>
      <c r="P395" s="37">
        <f t="shared" si="177"/>
        <v>1.8033998468666854E-2</v>
      </c>
      <c r="Q395" s="37">
        <v>5.7404000000000014E-3</v>
      </c>
      <c r="R395" s="36">
        <v>0.62484000000000006</v>
      </c>
      <c r="S395" s="38">
        <v>10536330.6</v>
      </c>
      <c r="T395" s="36">
        <v>481.46984911945867</v>
      </c>
      <c r="U395" s="12">
        <f>+T395+BG395*S395*テーブル2[[#This Row],[Pw]]*R395/(N395*O395*K395)</f>
        <v>538.37541195894084</v>
      </c>
      <c r="V395" s="36">
        <v>0.03</v>
      </c>
      <c r="W395" s="37">
        <f t="shared" si="178"/>
        <v>834332.84795418137</v>
      </c>
      <c r="X395" s="36">
        <v>0.01</v>
      </c>
      <c r="Y395" s="36">
        <f t="shared" si="179"/>
        <v>10</v>
      </c>
      <c r="Z395" s="36">
        <f t="shared" si="180"/>
        <v>7.6212017038196613</v>
      </c>
      <c r="AA395" s="36">
        <f t="shared" si="181"/>
        <v>2.3787982961803387</v>
      </c>
      <c r="AB395" s="36">
        <f t="shared" si="182"/>
        <v>3.5405162499016549E-6</v>
      </c>
      <c r="AC395" s="36">
        <v>600</v>
      </c>
      <c r="AD395" s="36">
        <f t="shared" si="183"/>
        <v>14749.060363877159</v>
      </c>
      <c r="AE395" s="36">
        <f>+gettm2(AD395,AC395,AK395,AL395,テーブル2[[#This Row],[Fcorr]])</f>
        <v>539.7261272300135</v>
      </c>
      <c r="AF395" s="39">
        <f t="shared" si="184"/>
        <v>1.3507152710726587</v>
      </c>
      <c r="AG395" s="36">
        <v>1.0000000000000001E-5</v>
      </c>
      <c r="AH395" s="36">
        <f t="shared" si="185"/>
        <v>220.43039464690972</v>
      </c>
      <c r="AI395" s="36">
        <f t="shared" si="186"/>
        <v>0.59393943868856514</v>
      </c>
      <c r="AJ395" s="36">
        <f t="shared" si="187"/>
        <v>51.386873262759238</v>
      </c>
      <c r="AK395" s="36">
        <f>+S88*テーブル2[[#This Row],[F_form]]/(E88*CpFromTP((テーブル2[[#This Row],[Tin]]+テーブル2[[#This Row],[Tf]])/2,テーブル2[[#This Row],[P]])*AI88)</f>
        <v>2.1444302555320642</v>
      </c>
      <c r="AL395" s="36">
        <f t="shared" si="188"/>
        <v>1.1293676909872215</v>
      </c>
      <c r="AM395" s="36">
        <f t="shared" si="189"/>
        <v>564.69622648204279</v>
      </c>
      <c r="AN395" s="36">
        <f t="shared" si="190"/>
        <v>43.924847516480781</v>
      </c>
      <c r="AO395" s="36">
        <f t="shared" si="191"/>
        <v>6.4594837500983459E-6</v>
      </c>
      <c r="AP395" s="36">
        <v>1</v>
      </c>
      <c r="AQ395" s="36">
        <f t="shared" si="192"/>
        <v>5.4530931276593132E-4</v>
      </c>
      <c r="AR395" s="36">
        <f t="shared" si="193"/>
        <v>8.2297418750491742E-6</v>
      </c>
      <c r="AS395" s="36">
        <f t="shared" si="194"/>
        <v>42.290070271837443</v>
      </c>
      <c r="AT395" s="36">
        <f t="shared" si="195"/>
        <v>14.861380782871496</v>
      </c>
      <c r="AU395" s="36">
        <f t="shared" si="196"/>
        <v>8.8267601603157253</v>
      </c>
      <c r="AV395" s="36">
        <f t="shared" si="197"/>
        <v>-7.8267601603157253</v>
      </c>
      <c r="AW395" s="36">
        <f t="shared" si="198"/>
        <v>2.1285978499999232E-3</v>
      </c>
      <c r="AX395" s="36">
        <f t="shared" si="199"/>
        <v>2.0825372051151065</v>
      </c>
      <c r="AY395" s="36">
        <f t="shared" si="200"/>
        <v>-9.909297365430831</v>
      </c>
      <c r="AZ395" s="36">
        <f t="shared" si="201"/>
        <v>1080577.7610325073</v>
      </c>
      <c r="BA395" s="36">
        <f t="shared" si="202"/>
        <v>5.4530931276593132E-4</v>
      </c>
      <c r="BB395" s="38">
        <f t="shared" si="203"/>
        <v>7998307.0139669729</v>
      </c>
      <c r="BC395" s="40">
        <f t="shared" si="204"/>
        <v>-2538023.5860330267</v>
      </c>
      <c r="BD395" s="41">
        <f t="shared" si="205"/>
        <v>-24.08830628409692</v>
      </c>
      <c r="BE395" s="38">
        <v>10536330.6</v>
      </c>
      <c r="BF395" s="42">
        <f>テーブル2[[#This Row],[q_P]]/テーブル2[[#This Row],[q_M]]</f>
        <v>0.75911693715903084</v>
      </c>
      <c r="BG395" s="36">
        <v>1</v>
      </c>
      <c r="BH395" s="36">
        <v>-0.214</v>
      </c>
      <c r="BI395" s="36">
        <v>4.5999999999999999E-2</v>
      </c>
      <c r="BJ395" s="36">
        <v>5625</v>
      </c>
      <c r="BK395" s="22">
        <v>1</v>
      </c>
      <c r="BL395" s="36">
        <f>テーブル2[[#This Row],[Ts]]-テーブル2[[#This Row],[Tin]]</f>
        <v>127.1512248790649</v>
      </c>
      <c r="BM395" s="36">
        <f>テーブル2[[#This Row],[q_P]]*0.000001</f>
        <v>7.998307013966973</v>
      </c>
      <c r="BN395" s="36">
        <f>テーブル2[[#This Row],[Tsub]]</f>
        <v>127.1512248790649</v>
      </c>
      <c r="BO395" s="36">
        <f>テーブル2[[#This Row],[Fcorr]]</f>
        <v>1</v>
      </c>
      <c r="BP395" s="36">
        <f>(テーブル2[[#This Row],[Tsub]]-40)^2</f>
        <v>7595.3359979213401</v>
      </c>
      <c r="BQ395" s="36">
        <v>1</v>
      </c>
      <c r="BR395" s="36">
        <v>0.62484000000000006</v>
      </c>
    </row>
    <row r="396" spans="1:70" x14ac:dyDescent="0.15">
      <c r="A396" s="35" t="s">
        <v>392</v>
      </c>
      <c r="B396" s="36">
        <v>13789514.586336</v>
      </c>
      <c r="C396" s="22">
        <f>TsatFromP(テーブル2[[#This Row],[P]])</f>
        <v>608.62107399852357</v>
      </c>
      <c r="D396" s="36">
        <f>RhoGFromP(テーブル2[[#This Row],[P]])</f>
        <v>85.147847035840741</v>
      </c>
      <c r="E396" s="36">
        <f>RhoFFromP(テーブル2[[#This Row],[P]])</f>
        <v>624.86636713482415</v>
      </c>
      <c r="F396" s="36">
        <f>HgFromP(テーブル2[[#This Row],[P]])</f>
        <v>2643264.5206450778</v>
      </c>
      <c r="G396" s="36">
        <f>HfFromP(テーブル2[[#This Row],[P]])</f>
        <v>1562686.7596125705</v>
      </c>
      <c r="H396" s="36">
        <f>MuGFromP(テーブル2[[#This Row],[P]])</f>
        <v>2.2019591234371903E-5</v>
      </c>
      <c r="I396" s="36">
        <f>MuFFromP(テーブル2[[#This Row],[P]])</f>
        <v>7.222326555143516E-5</v>
      </c>
      <c r="J396" s="36">
        <f>KfFromP(テーブル2[[#This Row],[P]])</f>
        <v>0.49112131073334553</v>
      </c>
      <c r="K396" s="36">
        <f>CpFFromP(テーブル2[[#This Row],[P]])</f>
        <v>7679.7488518783057</v>
      </c>
      <c r="L396" s="36">
        <f>SigmaFromP(テーブル2[[#This Row],[P]])</f>
        <v>6.5036449518301549E-3</v>
      </c>
      <c r="M396" s="36">
        <v>287.01</v>
      </c>
      <c r="N396" s="36">
        <v>10524.344800000001</v>
      </c>
      <c r="O396" s="37">
        <f t="shared" si="176"/>
        <v>2.5880591202383804E-5</v>
      </c>
      <c r="P396" s="37">
        <f t="shared" si="177"/>
        <v>1.8033998468666854E-2</v>
      </c>
      <c r="Q396" s="37">
        <v>5.7404000000000014E-3</v>
      </c>
      <c r="R396" s="36">
        <v>0.62484000000000006</v>
      </c>
      <c r="S396" s="38">
        <v>7192465.1999999993</v>
      </c>
      <c r="T396" s="36">
        <v>550.54624213656678</v>
      </c>
      <c r="U396" s="12">
        <f>+T396+BG396*S396*テーブル2[[#This Row],[Pw]]*R396/(N396*O396*K396)</f>
        <v>589.29183787322143</v>
      </c>
      <c r="V396" s="36">
        <v>0.03</v>
      </c>
      <c r="W396" s="37">
        <f t="shared" si="178"/>
        <v>836488.7467861044</v>
      </c>
      <c r="X396" s="36">
        <v>0.01</v>
      </c>
      <c r="Y396" s="36">
        <f t="shared" si="179"/>
        <v>10</v>
      </c>
      <c r="Z396" s="36">
        <f t="shared" si="180"/>
        <v>7.6252471564516018</v>
      </c>
      <c r="AA396" s="36">
        <f t="shared" si="181"/>
        <v>2.3747528435483982</v>
      </c>
      <c r="AB396" s="36">
        <f t="shared" si="182"/>
        <v>3.5222896842884532E-6</v>
      </c>
      <c r="AC396" s="36">
        <v>600</v>
      </c>
      <c r="AD396" s="36">
        <f t="shared" si="183"/>
        <v>14787.171630967279</v>
      </c>
      <c r="AE396" s="36">
        <f>+gettm2(AD396,AC396,AK396,AL396,テーブル2[[#This Row],[Fcorr]])</f>
        <v>548.27509112441328</v>
      </c>
      <c r="AF396" s="39">
        <f t="shared" si="184"/>
        <v>-41.016746748808146</v>
      </c>
      <c r="AG396" s="36">
        <v>1.0000000000000001E-5</v>
      </c>
      <c r="AH396" s="36">
        <f t="shared" si="185"/>
        <v>221.57104161558385</v>
      </c>
      <c r="AI396" s="36">
        <f t="shared" si="186"/>
        <v>0.59547416592031854</v>
      </c>
      <c r="AJ396" s="36">
        <f t="shared" si="187"/>
        <v>51.519655881009257</v>
      </c>
      <c r="AK396" s="36">
        <f>+S88*テーブル2[[#This Row],[F_form]]/(E88*CpFromTP((テーブル2[[#This Row],[Tin]]+テーブル2[[#This Row],[Tf]])/2,テーブル2[[#This Row],[P]])*AI88)</f>
        <v>1.8398512008332912</v>
      </c>
      <c r="AL396" s="36">
        <f t="shared" si="188"/>
        <v>1.1293676909872215</v>
      </c>
      <c r="AM396" s="36">
        <f t="shared" si="189"/>
        <v>569.69864403320901</v>
      </c>
      <c r="AN396" s="36">
        <f t="shared" si="190"/>
        <v>38.922429965314564</v>
      </c>
      <c r="AO396" s="36">
        <f t="shared" si="191"/>
        <v>6.4777103157115476E-6</v>
      </c>
      <c r="AP396" s="36">
        <v>1</v>
      </c>
      <c r="AQ396" s="36">
        <f t="shared" si="192"/>
        <v>5.4530931276593132E-4</v>
      </c>
      <c r="AR396" s="36">
        <f t="shared" si="193"/>
        <v>8.2388551578557742E-6</v>
      </c>
      <c r="AS396" s="36">
        <f t="shared" si="194"/>
        <v>42.446298258620764</v>
      </c>
      <c r="AT396" s="36">
        <f t="shared" si="195"/>
        <v>14.87059926641701</v>
      </c>
      <c r="AU396" s="36">
        <f t="shared" si="196"/>
        <v>8.8550576949049695</v>
      </c>
      <c r="AV396" s="36">
        <f t="shared" si="197"/>
        <v>-7.8550576949049695</v>
      </c>
      <c r="AW396" s="36">
        <f t="shared" si="198"/>
        <v>2.1176398355074824E-3</v>
      </c>
      <c r="AX396" s="36">
        <f t="shared" si="199"/>
        <v>2.0879184382032592</v>
      </c>
      <c r="AY396" s="36">
        <f t="shared" si="200"/>
        <v>-9.9429761331082283</v>
      </c>
      <c r="AZ396" s="36">
        <f t="shared" si="201"/>
        <v>1080577.7610325073</v>
      </c>
      <c r="BA396" s="36">
        <f t="shared" si="202"/>
        <v>5.4530931276593132E-4</v>
      </c>
      <c r="BB396" s="38">
        <f t="shared" si="203"/>
        <v>8020875.6391426893</v>
      </c>
      <c r="BC396" s="40">
        <f t="shared" si="204"/>
        <v>828410.43914269004</v>
      </c>
      <c r="BD396" s="41">
        <f t="shared" si="205"/>
        <v>11.517753873076648</v>
      </c>
      <c r="BE396" s="38">
        <v>7192465.1999999993</v>
      </c>
      <c r="BF396" s="42">
        <f>テーブル2[[#This Row],[q_P]]/テーブル2[[#This Row],[q_M]]</f>
        <v>1.1151775387307665</v>
      </c>
      <c r="BG396" s="36">
        <v>1</v>
      </c>
      <c r="BH396" s="36">
        <v>-4.2000000000000003E-2</v>
      </c>
      <c r="BI396" s="36">
        <v>4.5999999999999999E-2</v>
      </c>
      <c r="BJ396" s="36">
        <v>5625</v>
      </c>
      <c r="BK396" s="22">
        <v>1</v>
      </c>
      <c r="BL396" s="36">
        <f>テーブル2[[#This Row],[Ts]]-テーブル2[[#This Row],[Tin]]</f>
        <v>58.074831861956795</v>
      </c>
      <c r="BM396" s="36">
        <f>テーブル2[[#This Row],[q_P]]*0.000001</f>
        <v>8.0208756391426892</v>
      </c>
      <c r="BN396" s="36">
        <f>テーブル2[[#This Row],[Tsub]]</f>
        <v>58.074831861956795</v>
      </c>
      <c r="BO396" s="36">
        <f>テーブル2[[#This Row],[Fcorr]]</f>
        <v>1</v>
      </c>
      <c r="BP396" s="36">
        <f>(テーブル2[[#This Row],[Tsub]]-40)^2</f>
        <v>326.69954683800853</v>
      </c>
      <c r="BQ396" s="36">
        <v>1</v>
      </c>
      <c r="BR396" s="36">
        <v>0.62484000000000006</v>
      </c>
    </row>
    <row r="397" spans="1:70" x14ac:dyDescent="0.15">
      <c r="A397" s="35" t="s">
        <v>393</v>
      </c>
      <c r="B397" s="36">
        <v>13789514.586336</v>
      </c>
      <c r="C397" s="22">
        <f>TsatFromP(テーブル2[[#This Row],[P]])</f>
        <v>608.62107399852357</v>
      </c>
      <c r="D397" s="36">
        <f>RhoGFromP(テーブル2[[#This Row],[P]])</f>
        <v>85.147847035840741</v>
      </c>
      <c r="E397" s="36">
        <f>RhoFFromP(テーブル2[[#This Row],[P]])</f>
        <v>624.86636713482415</v>
      </c>
      <c r="F397" s="36">
        <f>HgFromP(テーブル2[[#This Row],[P]])</f>
        <v>2643264.5206450778</v>
      </c>
      <c r="G397" s="36">
        <f>HfFromP(テーブル2[[#This Row],[P]])</f>
        <v>1562686.7596125705</v>
      </c>
      <c r="H397" s="36">
        <f>MuGFromP(テーブル2[[#This Row],[P]])</f>
        <v>2.2019591234371903E-5</v>
      </c>
      <c r="I397" s="36">
        <f>MuFFromP(テーブル2[[#This Row],[P]])</f>
        <v>7.222326555143516E-5</v>
      </c>
      <c r="J397" s="36">
        <f>KfFromP(テーブル2[[#This Row],[P]])</f>
        <v>0.49112131073334553</v>
      </c>
      <c r="K397" s="36">
        <f>CpFFromP(テーブル2[[#This Row],[P]])</f>
        <v>7679.7488518783057</v>
      </c>
      <c r="L397" s="36">
        <f>SigmaFromP(テーブル2[[#This Row],[P]])</f>
        <v>6.5036449518301549E-3</v>
      </c>
      <c r="M397" s="36">
        <v>288.01</v>
      </c>
      <c r="N397" s="36">
        <v>10524.344800000001</v>
      </c>
      <c r="O397" s="37">
        <f t="shared" si="176"/>
        <v>2.5880591202383804E-5</v>
      </c>
      <c r="P397" s="37">
        <f t="shared" si="177"/>
        <v>1.8033998468666854E-2</v>
      </c>
      <c r="Q397" s="37">
        <v>5.7404000000000014E-3</v>
      </c>
      <c r="R397" s="36">
        <v>0.62484000000000006</v>
      </c>
      <c r="S397" s="38">
        <v>7539470.0999999996</v>
      </c>
      <c r="T397" s="36">
        <v>549.44282081562312</v>
      </c>
      <c r="U397" s="12">
        <f>+T397+BG397*S397*テーブル2[[#This Row],[Pw]]*R397/(N397*O397*K397)</f>
        <v>590.057721609748</v>
      </c>
      <c r="V397" s="36">
        <v>0.03</v>
      </c>
      <c r="W397" s="37">
        <f t="shared" si="178"/>
        <v>836488.7467861044</v>
      </c>
      <c r="X397" s="36">
        <v>0.01</v>
      </c>
      <c r="Y397" s="36">
        <f t="shared" si="179"/>
        <v>10</v>
      </c>
      <c r="Z397" s="36">
        <f t="shared" si="180"/>
        <v>7.6252471564516018</v>
      </c>
      <c r="AA397" s="36">
        <f t="shared" si="181"/>
        <v>2.3747528435483982</v>
      </c>
      <c r="AB397" s="36">
        <f t="shared" si="182"/>
        <v>3.5222896842884532E-6</v>
      </c>
      <c r="AC397" s="36">
        <v>600</v>
      </c>
      <c r="AD397" s="36">
        <f t="shared" si="183"/>
        <v>14787.171630967279</v>
      </c>
      <c r="AE397" s="36">
        <f>+gettm2(AD397,AC397,AK397,AL397,テーブル2[[#This Row],[Fcorr]])</f>
        <v>548.23863647960161</v>
      </c>
      <c r="AF397" s="39">
        <f t="shared" si="184"/>
        <v>-41.819085130146391</v>
      </c>
      <c r="AG397" s="36">
        <v>1.0000000000000001E-5</v>
      </c>
      <c r="AH397" s="36">
        <f t="shared" si="185"/>
        <v>221.57104161558385</v>
      </c>
      <c r="AI397" s="36">
        <f t="shared" si="186"/>
        <v>0.59547416592031854</v>
      </c>
      <c r="AJ397" s="36">
        <f t="shared" si="187"/>
        <v>51.519655881009257</v>
      </c>
      <c r="AK397" s="36">
        <f>+S88*テーブル2[[#This Row],[F_form]]/(E88*CpFromTP((テーブル2[[#This Row],[Tin]]+テーブル2[[#This Row],[Tf]])/2,テーブル2[[#This Row],[P]])*AI88)</f>
        <v>1.8411478898655291</v>
      </c>
      <c r="AL397" s="36">
        <f t="shared" si="188"/>
        <v>1.1293676909872215</v>
      </c>
      <c r="AM397" s="36">
        <f t="shared" si="189"/>
        <v>569.67728826491305</v>
      </c>
      <c r="AN397" s="36">
        <f t="shared" si="190"/>
        <v>38.943785733610525</v>
      </c>
      <c r="AO397" s="36">
        <f t="shared" si="191"/>
        <v>6.4777103157115476E-6</v>
      </c>
      <c r="AP397" s="36">
        <v>1</v>
      </c>
      <c r="AQ397" s="36">
        <f t="shared" si="192"/>
        <v>5.4530931276593132E-4</v>
      </c>
      <c r="AR397" s="36">
        <f t="shared" si="193"/>
        <v>8.2388551578557742E-6</v>
      </c>
      <c r="AS397" s="36">
        <f t="shared" si="194"/>
        <v>42.446298258620764</v>
      </c>
      <c r="AT397" s="36">
        <f t="shared" si="195"/>
        <v>14.87059926641701</v>
      </c>
      <c r="AU397" s="36">
        <f t="shared" si="196"/>
        <v>8.8550576949049695</v>
      </c>
      <c r="AV397" s="36">
        <f t="shared" si="197"/>
        <v>-7.8550576949049695</v>
      </c>
      <c r="AW397" s="36">
        <f t="shared" si="198"/>
        <v>2.1176398355074824E-3</v>
      </c>
      <c r="AX397" s="36">
        <f t="shared" si="199"/>
        <v>2.0879184382032592</v>
      </c>
      <c r="AY397" s="36">
        <f t="shared" si="200"/>
        <v>-9.9429761331082283</v>
      </c>
      <c r="AZ397" s="36">
        <f t="shared" si="201"/>
        <v>1080577.7610325073</v>
      </c>
      <c r="BA397" s="36">
        <f t="shared" si="202"/>
        <v>5.4530931276593132E-4</v>
      </c>
      <c r="BB397" s="38">
        <f t="shared" si="203"/>
        <v>8020875.6391426893</v>
      </c>
      <c r="BC397" s="40">
        <f t="shared" si="204"/>
        <v>481405.53914268967</v>
      </c>
      <c r="BD397" s="41">
        <f t="shared" si="205"/>
        <v>6.3851375860312736</v>
      </c>
      <c r="BE397" s="38">
        <v>7539470.0999999996</v>
      </c>
      <c r="BF397" s="42">
        <f>テーブル2[[#This Row],[q_P]]/テーブル2[[#This Row],[q_M]]</f>
        <v>1.0638513758603128</v>
      </c>
      <c r="BG397" s="36">
        <v>1</v>
      </c>
      <c r="BH397" s="36">
        <v>-3.4000000000000002E-2</v>
      </c>
      <c r="BI397" s="36">
        <v>4.5999999999999999E-2</v>
      </c>
      <c r="BJ397" s="36">
        <v>5625</v>
      </c>
      <c r="BK397" s="22">
        <v>1</v>
      </c>
      <c r="BL397" s="36">
        <f>テーブル2[[#This Row],[Ts]]-テーブル2[[#This Row],[Tin]]</f>
        <v>59.178253182900448</v>
      </c>
      <c r="BM397" s="36">
        <f>テーブル2[[#This Row],[q_P]]*0.000001</f>
        <v>8.0208756391426892</v>
      </c>
      <c r="BN397" s="36">
        <f>テーブル2[[#This Row],[Tsub]]</f>
        <v>59.178253182900448</v>
      </c>
      <c r="BO397" s="36">
        <f>テーブル2[[#This Row],[Fcorr]]</f>
        <v>1</v>
      </c>
      <c r="BP397" s="36">
        <f>(テーブル2[[#This Row],[Tsub]]-40)^2</f>
        <v>367.80539514743117</v>
      </c>
      <c r="BQ397" s="36">
        <v>1</v>
      </c>
      <c r="BR397" s="36">
        <v>0.62484000000000006</v>
      </c>
    </row>
    <row r="398" spans="1:70" x14ac:dyDescent="0.15">
      <c r="A398" s="35" t="s">
        <v>394</v>
      </c>
      <c r="B398" s="36">
        <v>13789514.586336</v>
      </c>
      <c r="C398" s="22">
        <f>TsatFromP(テーブル2[[#This Row],[P]])</f>
        <v>608.62107399852357</v>
      </c>
      <c r="D398" s="36">
        <f>RhoGFromP(テーブル2[[#This Row],[P]])</f>
        <v>85.147847035840741</v>
      </c>
      <c r="E398" s="36">
        <f>RhoFFromP(テーブル2[[#This Row],[P]])</f>
        <v>624.86636713482415</v>
      </c>
      <c r="F398" s="36">
        <f>HgFromP(テーブル2[[#This Row],[P]])</f>
        <v>2643264.5206450778</v>
      </c>
      <c r="G398" s="36">
        <f>HfFromP(テーブル2[[#This Row],[P]])</f>
        <v>1562686.7596125705</v>
      </c>
      <c r="H398" s="36">
        <f>MuGFromP(テーブル2[[#This Row],[P]])</f>
        <v>2.2019591234371903E-5</v>
      </c>
      <c r="I398" s="36">
        <f>MuFFromP(テーブル2[[#This Row],[P]])</f>
        <v>7.222326555143516E-5</v>
      </c>
      <c r="J398" s="36">
        <f>KfFromP(テーブル2[[#This Row],[P]])</f>
        <v>0.49112131073334553</v>
      </c>
      <c r="K398" s="36">
        <f>CpFFromP(テーブル2[[#This Row],[P]])</f>
        <v>7679.7488518783057</v>
      </c>
      <c r="L398" s="36">
        <f>SigmaFromP(テーブル2[[#This Row],[P]])</f>
        <v>6.5036449518301549E-3</v>
      </c>
      <c r="M398" s="36">
        <v>289.01</v>
      </c>
      <c r="N398" s="36">
        <v>10565.0317</v>
      </c>
      <c r="O398" s="37">
        <f t="shared" si="176"/>
        <v>2.5880591202383804E-5</v>
      </c>
      <c r="P398" s="37">
        <f t="shared" si="177"/>
        <v>1.8033998468666854E-2</v>
      </c>
      <c r="Q398" s="37">
        <v>5.7404000000000014E-3</v>
      </c>
      <c r="R398" s="36">
        <v>0.62484000000000006</v>
      </c>
      <c r="S398" s="38">
        <v>6466909.4999999991</v>
      </c>
      <c r="T398" s="36">
        <v>560.5296093896327</v>
      </c>
      <c r="U398" s="12">
        <f>+T398+BG398*S398*テーブル2[[#This Row],[Pw]]*R398/(N398*O398*K398)</f>
        <v>595.23249753788298</v>
      </c>
      <c r="V398" s="36">
        <v>0.03</v>
      </c>
      <c r="W398" s="37">
        <f t="shared" si="178"/>
        <v>839722.59503398871</v>
      </c>
      <c r="X398" s="36">
        <v>0.01</v>
      </c>
      <c r="Y398" s="36">
        <f t="shared" si="179"/>
        <v>10</v>
      </c>
      <c r="Z398" s="36">
        <f t="shared" si="180"/>
        <v>7.6312941306807796</v>
      </c>
      <c r="AA398" s="36">
        <f t="shared" si="181"/>
        <v>2.3687058693192204</v>
      </c>
      <c r="AB398" s="36">
        <f t="shared" si="182"/>
        <v>3.4952126058161593E-6</v>
      </c>
      <c r="AC398" s="36">
        <v>600</v>
      </c>
      <c r="AD398" s="36">
        <f t="shared" si="183"/>
        <v>14844.338531602463</v>
      </c>
      <c r="AE398" s="36">
        <f>+gettm2(AD398,AC398,AK398,AL398,テーブル2[[#This Row],[Fcorr]])</f>
        <v>550.13552836369058</v>
      </c>
      <c r="AF398" s="39">
        <f t="shared" si="184"/>
        <v>-45.096969174192395</v>
      </c>
      <c r="AG398" s="36">
        <v>1.0000000000000001E-5</v>
      </c>
      <c r="AH398" s="36">
        <f t="shared" si="185"/>
        <v>223.28753132812082</v>
      </c>
      <c r="AI398" s="36">
        <f t="shared" si="186"/>
        <v>0.59777625676794865</v>
      </c>
      <c r="AJ398" s="36">
        <f t="shared" si="187"/>
        <v>51.718829808384299</v>
      </c>
      <c r="AK398" s="36">
        <f>+S88*テーブル2[[#This Row],[F_form]]/(E88*CpFromTP((テーブル2[[#This Row],[Tin]]+テーブル2[[#This Row],[Tf]])/2,テーブル2[[#This Row],[P]])*AI88)</f>
        <v>1.7730660708714667</v>
      </c>
      <c r="AL398" s="36">
        <f t="shared" si="188"/>
        <v>1.1293676909872215</v>
      </c>
      <c r="AM398" s="36">
        <f t="shared" si="189"/>
        <v>570.78145551483601</v>
      </c>
      <c r="AN398" s="36">
        <f t="shared" si="190"/>
        <v>37.839618483687559</v>
      </c>
      <c r="AO398" s="36">
        <f t="shared" si="191"/>
        <v>6.5047873941838415E-6</v>
      </c>
      <c r="AP398" s="36">
        <v>1</v>
      </c>
      <c r="AQ398" s="36">
        <f t="shared" si="192"/>
        <v>5.4530931276593132E-4</v>
      </c>
      <c r="AR398" s="36">
        <f t="shared" si="193"/>
        <v>8.2523936970919203E-6</v>
      </c>
      <c r="AS398" s="36">
        <f t="shared" si="194"/>
        <v>42.680414513168017</v>
      </c>
      <c r="AT398" s="36">
        <f t="shared" si="195"/>
        <v>14.884350346259323</v>
      </c>
      <c r="AU398" s="36">
        <f t="shared" si="196"/>
        <v>8.8975112344096186</v>
      </c>
      <c r="AV398" s="36">
        <f t="shared" si="197"/>
        <v>-7.8975112344096186</v>
      </c>
      <c r="AW398" s="36">
        <f t="shared" si="198"/>
        <v>2.1013607939914308E-3</v>
      </c>
      <c r="AX398" s="36">
        <f t="shared" si="199"/>
        <v>2.0959902878354884</v>
      </c>
      <c r="AY398" s="36">
        <f t="shared" si="200"/>
        <v>-9.9935015222451078</v>
      </c>
      <c r="AZ398" s="36">
        <f t="shared" si="201"/>
        <v>1080577.7610325073</v>
      </c>
      <c r="BA398" s="36">
        <f t="shared" si="202"/>
        <v>5.4530931276593132E-4</v>
      </c>
      <c r="BB398" s="38">
        <f t="shared" si="203"/>
        <v>8054403.2080694456</v>
      </c>
      <c r="BC398" s="40">
        <f t="shared" si="204"/>
        <v>1587493.7080694465</v>
      </c>
      <c r="BD398" s="41">
        <f t="shared" si="205"/>
        <v>24.547949960788021</v>
      </c>
      <c r="BE398" s="38">
        <v>6466909.4999999991</v>
      </c>
      <c r="BF398" s="42">
        <f>テーブル2[[#This Row],[q_P]]/テーブル2[[#This Row],[q_M]]</f>
        <v>1.2454794996078802</v>
      </c>
      <c r="BG398" s="36">
        <v>1</v>
      </c>
      <c r="BH398" s="36">
        <v>-2.3E-2</v>
      </c>
      <c r="BI398" s="36">
        <v>4.5999999999999999E-2</v>
      </c>
      <c r="BJ398" s="36">
        <v>5625</v>
      </c>
      <c r="BK398" s="22">
        <v>1</v>
      </c>
      <c r="BL398" s="36">
        <f>テーブル2[[#This Row],[Ts]]-テーブル2[[#This Row],[Tin]]</f>
        <v>48.091464608890874</v>
      </c>
      <c r="BM398" s="36">
        <f>テーブル2[[#This Row],[q_P]]*0.000001</f>
        <v>8.054403208069445</v>
      </c>
      <c r="BN398" s="36">
        <f>テーブル2[[#This Row],[Tsub]]</f>
        <v>48.091464608890874</v>
      </c>
      <c r="BO398" s="36">
        <f>テーブル2[[#This Row],[Fcorr]]</f>
        <v>1</v>
      </c>
      <c r="BP398" s="36">
        <f>(テーブル2[[#This Row],[Tsub]]-40)^2</f>
        <v>65.471799516933544</v>
      </c>
      <c r="BQ398" s="36">
        <v>1</v>
      </c>
      <c r="BR398" s="36">
        <v>0.62484000000000006</v>
      </c>
    </row>
    <row r="399" spans="1:70" x14ac:dyDescent="0.15">
      <c r="A399" s="35" t="s">
        <v>395</v>
      </c>
      <c r="B399" s="36">
        <v>13789514.586336</v>
      </c>
      <c r="C399" s="22">
        <f>TsatFromP(テーブル2[[#This Row],[P]])</f>
        <v>608.62107399852357</v>
      </c>
      <c r="D399" s="36">
        <f>RhoGFromP(テーブル2[[#This Row],[P]])</f>
        <v>85.147847035840741</v>
      </c>
      <c r="E399" s="36">
        <f>RhoFFromP(テーブル2[[#This Row],[P]])</f>
        <v>624.86636713482415</v>
      </c>
      <c r="F399" s="36">
        <f>HgFromP(テーブル2[[#This Row],[P]])</f>
        <v>2643264.5206450778</v>
      </c>
      <c r="G399" s="36">
        <f>HfFromP(テーブル2[[#This Row],[P]])</f>
        <v>1562686.7596125705</v>
      </c>
      <c r="H399" s="36">
        <f>MuGFromP(テーブル2[[#This Row],[P]])</f>
        <v>2.2019591234371903E-5</v>
      </c>
      <c r="I399" s="36">
        <f>MuFFromP(テーブル2[[#This Row],[P]])</f>
        <v>7.222326555143516E-5</v>
      </c>
      <c r="J399" s="36">
        <f>KfFromP(テーブル2[[#This Row],[P]])</f>
        <v>0.49112131073334553</v>
      </c>
      <c r="K399" s="36">
        <f>CpFFromP(テーブル2[[#This Row],[P]])</f>
        <v>7679.7488518783057</v>
      </c>
      <c r="L399" s="36">
        <f>SigmaFromP(テーブル2[[#This Row],[P]])</f>
        <v>6.5036449518301549E-3</v>
      </c>
      <c r="M399" s="36">
        <v>29.01</v>
      </c>
      <c r="N399" s="36">
        <v>3919.5047</v>
      </c>
      <c r="O399" s="37">
        <f t="shared" si="176"/>
        <v>2.8502295699234246E-6</v>
      </c>
      <c r="P399" s="37">
        <f t="shared" si="177"/>
        <v>5.9847340050885557E-3</v>
      </c>
      <c r="Q399" s="37">
        <v>1.905E-3</v>
      </c>
      <c r="R399" s="36">
        <v>0.69595999999999991</v>
      </c>
      <c r="S399" s="38">
        <v>3653015.2199999988</v>
      </c>
      <c r="T399" s="36">
        <v>298.18687936210421</v>
      </c>
      <c r="U399" s="12">
        <f>+T399+BG399*S399*テーブル2[[#This Row],[Pw]]*R399/(N399*O399*K399)</f>
        <v>475.53335619004406</v>
      </c>
      <c r="V399" s="36">
        <v>0.03</v>
      </c>
      <c r="W399" s="37">
        <f t="shared" si="178"/>
        <v>103382.98049099538</v>
      </c>
      <c r="X399" s="36">
        <v>0.01</v>
      </c>
      <c r="Y399" s="36">
        <f t="shared" si="179"/>
        <v>10</v>
      </c>
      <c r="Z399" s="36">
        <f t="shared" si="180"/>
        <v>5.0649444772592815</v>
      </c>
      <c r="AA399" s="36">
        <f t="shared" si="181"/>
        <v>4.9350555227407185</v>
      </c>
      <c r="AB399" s="36">
        <f t="shared" si="182"/>
        <v>2.5395269607955891E-5</v>
      </c>
      <c r="AC399" s="36">
        <v>600</v>
      </c>
      <c r="AD399" s="36">
        <f t="shared" si="183"/>
        <v>1827.5701641114845</v>
      </c>
      <c r="AE399" s="36">
        <f>+gettm2(AD399,AC399,AK399,AL399,テーブル2[[#This Row],[Fcorr]])</f>
        <v>545.9378341661461</v>
      </c>
      <c r="AF399" s="39">
        <f t="shared" si="184"/>
        <v>70.404477976102044</v>
      </c>
      <c r="AG399" s="36">
        <v>1.0000000000000001E-5</v>
      </c>
      <c r="AH399" s="36">
        <f t="shared" si="185"/>
        <v>30.731604990526314</v>
      </c>
      <c r="AI399" s="36">
        <f t="shared" si="186"/>
        <v>0.22176808498836603</v>
      </c>
      <c r="AJ399" s="36">
        <f t="shared" si="187"/>
        <v>19.187088337128447</v>
      </c>
      <c r="AK399" s="36">
        <f>+S88*テーブル2[[#This Row],[F_form]]/(E88*CpFromTP((テーブル2[[#This Row],[Tin]]+テーブル2[[#This Row],[Tf]])/2,テーブル2[[#This Row],[P]])*AI88)</f>
        <v>2.3656115964355751</v>
      </c>
      <c r="AL399" s="36">
        <f t="shared" si="188"/>
        <v>1.1293676909872215</v>
      </c>
      <c r="AM399" s="36">
        <f t="shared" si="189"/>
        <v>569.65487856836228</v>
      </c>
      <c r="AN399" s="36">
        <f t="shared" si="190"/>
        <v>38.966195430161292</v>
      </c>
      <c r="AO399" s="36">
        <f t="shared" si="191"/>
        <v>-1.5395269607955892E-5</v>
      </c>
      <c r="AP399" s="36">
        <v>1</v>
      </c>
      <c r="AQ399" s="36">
        <f t="shared" si="192"/>
        <v>5.4530931276593132E-4</v>
      </c>
      <c r="AR399" s="36">
        <f t="shared" si="193"/>
        <v>-2.6976348039779465E-6</v>
      </c>
      <c r="AS399" s="36">
        <f t="shared" si="194"/>
        <v>-5.1759757285237038</v>
      </c>
      <c r="AT399" s="36">
        <f t="shared" si="195"/>
        <v>-5.1759757285237038</v>
      </c>
      <c r="AU399" s="36">
        <f t="shared" si="196"/>
        <v>-1.1478662252609646</v>
      </c>
      <c r="AV399" s="36">
        <f t="shared" si="197"/>
        <v>2.1478662252609646</v>
      </c>
      <c r="AW399" s="36">
        <f t="shared" si="198"/>
        <v>1.526791927283622E-2</v>
      </c>
      <c r="AX399" s="36">
        <f t="shared" si="199"/>
        <v>0.7775881812380695</v>
      </c>
      <c r="AY399" s="36">
        <f t="shared" si="200"/>
        <v>1.370278044022895</v>
      </c>
      <c r="AZ399" s="36">
        <f t="shared" si="201"/>
        <v>1080577.7610325073</v>
      </c>
      <c r="BA399" s="36">
        <f t="shared" si="202"/>
        <v>5.4530931276593132E-4</v>
      </c>
      <c r="BB399" s="38">
        <f t="shared" si="203"/>
        <v>-19062838.092185225</v>
      </c>
      <c r="BC399" s="40">
        <f t="shared" si="204"/>
        <v>-22715853.312185224</v>
      </c>
      <c r="BD399" s="41">
        <f t="shared" si="205"/>
        <v>-621.83845246024555</v>
      </c>
      <c r="BE399" s="38">
        <v>3653015.2199999988</v>
      </c>
      <c r="BF399" s="42">
        <f>テーブル2[[#This Row],[q_P]]/テーブル2[[#This Row],[q_M]]</f>
        <v>-5.2183845246024552</v>
      </c>
      <c r="BG399" s="36">
        <v>1</v>
      </c>
      <c r="BH399" s="36">
        <v>-7.6999999999999999E-2</v>
      </c>
      <c r="BI399" s="36">
        <v>4.5999999999999999E-2</v>
      </c>
      <c r="BJ399" s="36">
        <v>5625</v>
      </c>
      <c r="BK399" s="22">
        <v>1</v>
      </c>
      <c r="BL399" s="36">
        <f>テーブル2[[#This Row],[Ts]]-テーブル2[[#This Row],[Tin]]</f>
        <v>310.43419463641936</v>
      </c>
      <c r="BM399" s="36">
        <f>テーブル2[[#This Row],[q_P]]*0.000001</f>
        <v>-19.062838092185224</v>
      </c>
      <c r="BN399" s="36">
        <f>テーブル2[[#This Row],[Tsub]]</f>
        <v>310.43419463641936</v>
      </c>
      <c r="BO399" s="36">
        <f>テーブル2[[#This Row],[Fcorr]]</f>
        <v>1</v>
      </c>
      <c r="BP399" s="36">
        <f>(テーブル2[[#This Row],[Tsub]]-40)^2</f>
        <v>73134.653628648754</v>
      </c>
      <c r="BQ399" s="36">
        <v>1</v>
      </c>
      <c r="BR399" s="36">
        <v>0.69595999999999991</v>
      </c>
    </row>
    <row r="400" spans="1:70" x14ac:dyDescent="0.15">
      <c r="A400" s="35" t="s">
        <v>396</v>
      </c>
      <c r="B400" s="36">
        <v>13789514.586336</v>
      </c>
      <c r="C400" s="22">
        <f>TsatFromP(テーブル2[[#This Row],[P]])</f>
        <v>608.62107399852357</v>
      </c>
      <c r="D400" s="36">
        <f>RhoGFromP(テーブル2[[#This Row],[P]])</f>
        <v>85.147847035840741</v>
      </c>
      <c r="E400" s="36">
        <f>RhoFFromP(テーブル2[[#This Row],[P]])</f>
        <v>624.86636713482415</v>
      </c>
      <c r="F400" s="36">
        <f>HgFromP(テーブル2[[#This Row],[P]])</f>
        <v>2643264.5206450778</v>
      </c>
      <c r="G400" s="36">
        <f>HfFromP(テーブル2[[#This Row],[P]])</f>
        <v>1562686.7596125705</v>
      </c>
      <c r="H400" s="36">
        <f>MuGFromP(テーブル2[[#This Row],[P]])</f>
        <v>2.2019591234371903E-5</v>
      </c>
      <c r="I400" s="36">
        <f>MuFFromP(テーブル2[[#This Row],[P]])</f>
        <v>7.222326555143516E-5</v>
      </c>
      <c r="J400" s="36">
        <f>KfFromP(テーブル2[[#This Row],[P]])</f>
        <v>0.49112131073334553</v>
      </c>
      <c r="K400" s="36">
        <f>CpFFromP(テーブル2[[#This Row],[P]])</f>
        <v>7679.7488518783057</v>
      </c>
      <c r="L400" s="36">
        <f>SigmaFromP(テーブル2[[#This Row],[P]])</f>
        <v>6.5036449518301549E-3</v>
      </c>
      <c r="M400" s="36">
        <v>3.01</v>
      </c>
      <c r="N400" s="36">
        <v>2251.3418000000001</v>
      </c>
      <c r="O400" s="37">
        <f t="shared" si="176"/>
        <v>2.8502295699234246E-6</v>
      </c>
      <c r="P400" s="37">
        <f t="shared" si="177"/>
        <v>5.9847340050885557E-3</v>
      </c>
      <c r="Q400" s="37">
        <v>1.905E-3</v>
      </c>
      <c r="R400" s="36">
        <v>0.15240000000000001</v>
      </c>
      <c r="S400" s="38">
        <v>3880145.6999999988</v>
      </c>
      <c r="T400" s="36">
        <v>498.58764844460768</v>
      </c>
      <c r="U400" s="12">
        <f>+T400+BG400*S400*テーブル2[[#This Row],[Pw]]*R400/(N400*O400*K400)</f>
        <v>570.40172155717948</v>
      </c>
      <c r="V400" s="36">
        <v>0.03</v>
      </c>
      <c r="W400" s="37">
        <f t="shared" si="178"/>
        <v>59382.611631505999</v>
      </c>
      <c r="X400" s="36">
        <v>0.01</v>
      </c>
      <c r="Y400" s="36">
        <f t="shared" si="179"/>
        <v>10</v>
      </c>
      <c r="Z400" s="36">
        <f t="shared" si="180"/>
        <v>4.1330058316837786</v>
      </c>
      <c r="AA400" s="36">
        <f t="shared" si="181"/>
        <v>5.8669941683162214</v>
      </c>
      <c r="AB400" s="36">
        <f t="shared" si="182"/>
        <v>7.6971923099364327E-5</v>
      </c>
      <c r="AC400" s="36">
        <v>600</v>
      </c>
      <c r="AD400" s="36">
        <f t="shared" si="183"/>
        <v>1049.7461842301261</v>
      </c>
      <c r="AE400" s="36">
        <f>+gettm2(AD400,AC400,AK400,AL400,テーブル2[[#This Row],[Fcorr]])</f>
        <v>556.07402289525783</v>
      </c>
      <c r="AF400" s="39">
        <f t="shared" si="184"/>
        <v>-14.327698661921659</v>
      </c>
      <c r="AG400" s="36">
        <v>1.0000000000000001E-5</v>
      </c>
      <c r="AH400" s="36">
        <f t="shared" si="185"/>
        <v>10.139247699607804</v>
      </c>
      <c r="AI400" s="36">
        <f t="shared" si="186"/>
        <v>0.12738236023553207</v>
      </c>
      <c r="AJ400" s="36">
        <f t="shared" si="187"/>
        <v>11.020957314751982</v>
      </c>
      <c r="AK400" s="36">
        <f>+S88*テーブル2[[#This Row],[F_form]]/(E88*CpFromTP((テーブル2[[#This Row],[Tin]]+テーブル2[[#This Row],[Tf]])/2,テーブル2[[#This Row],[P]])*AI88)</f>
        <v>2.0488756053649237</v>
      </c>
      <c r="AL400" s="36">
        <f t="shared" si="188"/>
        <v>1.1293676909872215</v>
      </c>
      <c r="AM400" s="36">
        <f t="shared" si="189"/>
        <v>579.63398503632618</v>
      </c>
      <c r="AN400" s="36">
        <f t="shared" si="190"/>
        <v>28.98708896219739</v>
      </c>
      <c r="AO400" s="36">
        <f t="shared" si="191"/>
        <v>-6.6971923099364328E-5</v>
      </c>
      <c r="AP400" s="36">
        <v>1</v>
      </c>
      <c r="AQ400" s="36">
        <f t="shared" si="192"/>
        <v>5.4530931276593132E-4</v>
      </c>
      <c r="AR400" s="36">
        <f t="shared" si="193"/>
        <v>-2.8485961549682165E-5</v>
      </c>
      <c r="AS400" s="36">
        <f t="shared" si="194"/>
        <v>-31.394256630871329</v>
      </c>
      <c r="AT400" s="36">
        <f t="shared" si="195"/>
        <v>-31.394256630871329</v>
      </c>
      <c r="AU400" s="36">
        <f t="shared" si="196"/>
        <v>-3.9990745074803931</v>
      </c>
      <c r="AV400" s="36">
        <f t="shared" si="197"/>
        <v>4.9990745074803931</v>
      </c>
      <c r="AW400" s="36">
        <f t="shared" si="198"/>
        <v>4.6276378486955788E-2</v>
      </c>
      <c r="AX400" s="36">
        <f t="shared" si="199"/>
        <v>0.44664234631667665</v>
      </c>
      <c r="AY400" s="36">
        <f t="shared" si="200"/>
        <v>4.5524321611637166</v>
      </c>
      <c r="AZ400" s="36">
        <f t="shared" si="201"/>
        <v>1080577.7610325073</v>
      </c>
      <c r="BA400" s="36">
        <f t="shared" si="202"/>
        <v>5.4530931276593132E-4</v>
      </c>
      <c r="BB400" s="38">
        <f t="shared" si="203"/>
        <v>-82926441.645796686</v>
      </c>
      <c r="BC400" s="40">
        <f t="shared" si="204"/>
        <v>-86806587.345796689</v>
      </c>
      <c r="BD400" s="41">
        <f t="shared" si="205"/>
        <v>-2237.199168727007</v>
      </c>
      <c r="BE400" s="38">
        <v>3880145.6999999988</v>
      </c>
      <c r="BF400" s="42">
        <f>テーブル2[[#This Row],[q_P]]/テーブル2[[#This Row],[q_M]]</f>
        <v>-21.371991687270071</v>
      </c>
      <c r="BG400" s="36">
        <v>1</v>
      </c>
      <c r="BH400" s="36">
        <v>-3.5999999999999997E-2</v>
      </c>
      <c r="BI400" s="36">
        <v>4.5999999999999999E-2</v>
      </c>
      <c r="BJ400" s="36">
        <v>5625</v>
      </c>
      <c r="BK400" s="22">
        <v>1</v>
      </c>
      <c r="BL400" s="36">
        <f>テーブル2[[#This Row],[Ts]]-テーブル2[[#This Row],[Tin]]</f>
        <v>110.03342555391589</v>
      </c>
      <c r="BM400" s="36">
        <f>テーブル2[[#This Row],[q_P]]*0.000001</f>
        <v>-82.926441645796686</v>
      </c>
      <c r="BN400" s="36">
        <f>テーブル2[[#This Row],[Tsub]]</f>
        <v>110.03342555391589</v>
      </c>
      <c r="BO400" s="36">
        <f>テーブル2[[#This Row],[Fcorr]]</f>
        <v>1</v>
      </c>
      <c r="BP400" s="36">
        <f>(テーブル2[[#This Row],[Tsub]]-40)^2</f>
        <v>4904.6806948158792</v>
      </c>
      <c r="BQ400" s="36">
        <v>1</v>
      </c>
      <c r="BR400" s="36">
        <v>0.15240000000000001</v>
      </c>
    </row>
    <row r="401" spans="1:70" x14ac:dyDescent="0.15">
      <c r="A401" s="35" t="s">
        <v>397</v>
      </c>
      <c r="B401" s="36">
        <v>13789514.586336</v>
      </c>
      <c r="C401" s="22">
        <f>TsatFromP(テーブル2[[#This Row],[P]])</f>
        <v>608.62107399852357</v>
      </c>
      <c r="D401" s="36">
        <f>RhoGFromP(テーブル2[[#This Row],[P]])</f>
        <v>85.147847035840741</v>
      </c>
      <c r="E401" s="36">
        <f>RhoFFromP(テーブル2[[#This Row],[P]])</f>
        <v>624.86636713482415</v>
      </c>
      <c r="F401" s="36">
        <f>HgFromP(テーブル2[[#This Row],[P]])</f>
        <v>2643264.5206450778</v>
      </c>
      <c r="G401" s="36">
        <f>HfFromP(テーブル2[[#This Row],[P]])</f>
        <v>1562686.7596125705</v>
      </c>
      <c r="H401" s="36">
        <f>MuGFromP(テーブル2[[#This Row],[P]])</f>
        <v>2.2019591234371903E-5</v>
      </c>
      <c r="I401" s="36">
        <f>MuFFromP(テーブル2[[#This Row],[P]])</f>
        <v>7.222326555143516E-5</v>
      </c>
      <c r="J401" s="36">
        <f>KfFromP(テーブル2[[#This Row],[P]])</f>
        <v>0.49112131073334553</v>
      </c>
      <c r="K401" s="36">
        <f>CpFFromP(テーブル2[[#This Row],[P]])</f>
        <v>7679.7488518783057</v>
      </c>
      <c r="L401" s="36">
        <f>SigmaFromP(テーブル2[[#This Row],[P]])</f>
        <v>6.5036449518301549E-3</v>
      </c>
      <c r="M401" s="36">
        <v>30.01</v>
      </c>
      <c r="N401" s="36">
        <v>3933.067</v>
      </c>
      <c r="O401" s="37">
        <f t="shared" si="176"/>
        <v>2.8502295699234246E-6</v>
      </c>
      <c r="P401" s="37">
        <f t="shared" si="177"/>
        <v>5.9847340050885557E-3</v>
      </c>
      <c r="Q401" s="37">
        <v>1.905E-3</v>
      </c>
      <c r="R401" s="36">
        <v>0.69595999999999991</v>
      </c>
      <c r="S401" s="38">
        <v>3741343.74</v>
      </c>
      <c r="T401" s="36">
        <v>297.06437057857693</v>
      </c>
      <c r="U401" s="12">
        <f>+T401+BG401*S401*テーブル2[[#This Row],[Pw]]*R401/(N401*O401*K401)</f>
        <v>478.07269146084633</v>
      </c>
      <c r="V401" s="36">
        <v>0.03</v>
      </c>
      <c r="W401" s="37">
        <f t="shared" si="178"/>
        <v>103740.70706708879</v>
      </c>
      <c r="X401" s="36">
        <v>0.01</v>
      </c>
      <c r="Y401" s="36">
        <f t="shared" si="179"/>
        <v>10</v>
      </c>
      <c r="Z401" s="36">
        <f t="shared" si="180"/>
        <v>5.0706958169636493</v>
      </c>
      <c r="AA401" s="36">
        <f t="shared" si="181"/>
        <v>4.9293041830363507</v>
      </c>
      <c r="AB401" s="36">
        <f t="shared" si="182"/>
        <v>2.5220431782712055E-5</v>
      </c>
      <c r="AC401" s="36">
        <v>600</v>
      </c>
      <c r="AD401" s="36">
        <f t="shared" si="183"/>
        <v>1833.893936305642</v>
      </c>
      <c r="AE401" s="36">
        <f>+gettm2(AD401,AC401,AK401,AL401,テーブル2[[#This Row],[Fcorr]])</f>
        <v>545.92910689639291</v>
      </c>
      <c r="AF401" s="39">
        <f t="shared" si="184"/>
        <v>67.85641543554658</v>
      </c>
      <c r="AG401" s="36">
        <v>1.0000000000000001E-5</v>
      </c>
      <c r="AH401" s="36">
        <f t="shared" si="185"/>
        <v>30.944648408223841</v>
      </c>
      <c r="AI401" s="36">
        <f t="shared" si="186"/>
        <v>0.22253544860424276</v>
      </c>
      <c r="AJ401" s="36">
        <f t="shared" si="187"/>
        <v>19.25347964625346</v>
      </c>
      <c r="AK401" s="36">
        <f>+S88*テーブル2[[#This Row],[F_form]]/(E88*CpFromTP((テーブル2[[#This Row],[Tin]]+テーブル2[[#This Row],[Tf]])/2,テーブル2[[#This Row],[P]])*AI88)</f>
        <v>2.3650862047169223</v>
      </c>
      <c r="AL401" s="36">
        <f t="shared" si="188"/>
        <v>1.1293676909872215</v>
      </c>
      <c r="AM401" s="36">
        <f t="shared" si="189"/>
        <v>569.61951565768959</v>
      </c>
      <c r="AN401" s="36">
        <f t="shared" si="190"/>
        <v>39.001558340833981</v>
      </c>
      <c r="AO401" s="36">
        <f t="shared" si="191"/>
        <v>-1.5220431782712054E-5</v>
      </c>
      <c r="AP401" s="36">
        <v>1</v>
      </c>
      <c r="AQ401" s="36">
        <f t="shared" si="192"/>
        <v>5.4530931276593132E-4</v>
      </c>
      <c r="AR401" s="36">
        <f t="shared" si="193"/>
        <v>-2.6102158913560267E-6</v>
      </c>
      <c r="AS401" s="36">
        <f t="shared" si="194"/>
        <v>-5.0255738536550592</v>
      </c>
      <c r="AT401" s="36">
        <f t="shared" si="195"/>
        <v>-5.0255738536550592</v>
      </c>
      <c r="AU401" s="36">
        <f t="shared" si="196"/>
        <v>-1.1183683320168816</v>
      </c>
      <c r="AV401" s="36">
        <f t="shared" si="197"/>
        <v>2.1183683320168818</v>
      </c>
      <c r="AW401" s="36">
        <f t="shared" si="198"/>
        <v>1.5162804822670082E-2</v>
      </c>
      <c r="AX401" s="36">
        <f t="shared" si="199"/>
        <v>0.78027879778214593</v>
      </c>
      <c r="AY401" s="36">
        <f t="shared" si="200"/>
        <v>1.3380895342347359</v>
      </c>
      <c r="AZ401" s="36">
        <f t="shared" si="201"/>
        <v>1080577.7610325073</v>
      </c>
      <c r="BA401" s="36">
        <f t="shared" si="202"/>
        <v>5.4530931276593132E-4</v>
      </c>
      <c r="BB401" s="38">
        <f t="shared" si="203"/>
        <v>-18846349.180988066</v>
      </c>
      <c r="BC401" s="40">
        <f t="shared" si="204"/>
        <v>-22587692.920988068</v>
      </c>
      <c r="BD401" s="41">
        <f t="shared" si="205"/>
        <v>-603.73209442092229</v>
      </c>
      <c r="BE401" s="38">
        <v>3741343.74</v>
      </c>
      <c r="BF401" s="42">
        <f>テーブル2[[#This Row],[q_P]]/テーブル2[[#This Row],[q_M]]</f>
        <v>-5.0373209442092231</v>
      </c>
      <c r="BG401" s="36">
        <v>1</v>
      </c>
      <c r="BH401" s="36">
        <v>-5.5E-2</v>
      </c>
      <c r="BI401" s="36">
        <v>4.5999999999999999E-2</v>
      </c>
      <c r="BJ401" s="36">
        <v>5625</v>
      </c>
      <c r="BK401" s="22">
        <v>1</v>
      </c>
      <c r="BL401" s="36">
        <f>テーブル2[[#This Row],[Ts]]-テーブル2[[#This Row],[Tin]]</f>
        <v>311.55670341994664</v>
      </c>
      <c r="BM401" s="36">
        <f>テーブル2[[#This Row],[q_P]]*0.000001</f>
        <v>-18.846349180988064</v>
      </c>
      <c r="BN401" s="36">
        <f>テーブル2[[#This Row],[Tsub]]</f>
        <v>311.55670341994664</v>
      </c>
      <c r="BO401" s="36">
        <f>テーブル2[[#This Row],[Fcorr]]</f>
        <v>1</v>
      </c>
      <c r="BP401" s="36">
        <f>(テーブル2[[#This Row],[Tsub]]-40)^2</f>
        <v>73743.043172308855</v>
      </c>
      <c r="BQ401" s="36">
        <v>1</v>
      </c>
      <c r="BR401" s="36">
        <v>0.69595999999999991</v>
      </c>
    </row>
    <row r="402" spans="1:70" x14ac:dyDescent="0.15">
      <c r="A402" s="35" t="s">
        <v>398</v>
      </c>
      <c r="B402" s="36">
        <v>13789514.586336</v>
      </c>
      <c r="C402" s="22">
        <f>TsatFromP(テーブル2[[#This Row],[P]])</f>
        <v>608.62107399852357</v>
      </c>
      <c r="D402" s="36">
        <f>RhoGFromP(テーブル2[[#This Row],[P]])</f>
        <v>85.147847035840741</v>
      </c>
      <c r="E402" s="36">
        <f>RhoFFromP(テーブル2[[#This Row],[P]])</f>
        <v>624.86636713482415</v>
      </c>
      <c r="F402" s="36">
        <f>HgFromP(テーブル2[[#This Row],[P]])</f>
        <v>2643264.5206450778</v>
      </c>
      <c r="G402" s="36">
        <f>HfFromP(テーブル2[[#This Row],[P]])</f>
        <v>1562686.7596125705</v>
      </c>
      <c r="H402" s="36">
        <f>MuGFromP(テーブル2[[#This Row],[P]])</f>
        <v>2.2019591234371903E-5</v>
      </c>
      <c r="I402" s="36">
        <f>MuFFromP(テーブル2[[#This Row],[P]])</f>
        <v>7.222326555143516E-5</v>
      </c>
      <c r="J402" s="36">
        <f>KfFromP(テーブル2[[#This Row],[P]])</f>
        <v>0.49112131073334553</v>
      </c>
      <c r="K402" s="36">
        <f>CpFFromP(テーブル2[[#This Row],[P]])</f>
        <v>7679.7488518783057</v>
      </c>
      <c r="L402" s="36">
        <f>SigmaFromP(テーブル2[[#This Row],[P]])</f>
        <v>6.5036449518301549E-3</v>
      </c>
      <c r="M402" s="36">
        <v>35.01</v>
      </c>
      <c r="N402" s="36">
        <v>2102.1565000000001</v>
      </c>
      <c r="O402" s="37">
        <f t="shared" si="176"/>
        <v>1.0361661240064725E-5</v>
      </c>
      <c r="P402" s="37">
        <f t="shared" si="177"/>
        <v>1.1410892836368843E-2</v>
      </c>
      <c r="Q402" s="37">
        <v>3.6321999999999991E-3</v>
      </c>
      <c r="R402" s="36">
        <v>7.619999999999999E-2</v>
      </c>
      <c r="S402" s="38">
        <v>7003189.8000000007</v>
      </c>
      <c r="T402" s="36">
        <v>531.52417959469983</v>
      </c>
      <c r="U402" s="12">
        <f>+T402+BG402*S402*テーブル2[[#This Row],[Pw]]*R402/(N402*O402*K402)</f>
        <v>567.926497883043</v>
      </c>
      <c r="V402" s="36">
        <v>0.03</v>
      </c>
      <c r="W402" s="37">
        <f t="shared" si="178"/>
        <v>105720.12745480564</v>
      </c>
      <c r="X402" s="36">
        <v>0.01</v>
      </c>
      <c r="Y402" s="36">
        <f t="shared" si="179"/>
        <v>10</v>
      </c>
      <c r="Z402" s="36">
        <f t="shared" si="180"/>
        <v>4.5772973340426812</v>
      </c>
      <c r="AA402" s="36">
        <f t="shared" si="181"/>
        <v>5.4227026659573188</v>
      </c>
      <c r="AB402" s="36">
        <f t="shared" si="182"/>
        <v>8.8284633212324003E-5</v>
      </c>
      <c r="AC402" s="36">
        <v>600</v>
      </c>
      <c r="AD402" s="36">
        <f t="shared" si="183"/>
        <v>1868.8854757799791</v>
      </c>
      <c r="AE402" s="36">
        <f>+gettm2(AD402,AC402,AK402,AL402,テーブル2[[#This Row],[Fcorr]])</f>
        <v>554.81017875432474</v>
      </c>
      <c r="AF402" s="39">
        <f t="shared" si="184"/>
        <v>-13.11631912871826</v>
      </c>
      <c r="AG402" s="36">
        <v>1.0000000000000001E-5</v>
      </c>
      <c r="AH402" s="36">
        <f t="shared" si="185"/>
        <v>8.8400140072244682</v>
      </c>
      <c r="AI402" s="36">
        <f t="shared" si="186"/>
        <v>0.11894136046088837</v>
      </c>
      <c r="AJ402" s="36">
        <f t="shared" si="187"/>
        <v>10.290652914376849</v>
      </c>
      <c r="AK402" s="36">
        <f>+S88*テーブル2[[#This Row],[F_form]]/(E88*CpFromTP((テーブル2[[#This Row],[Tin]]+テーブル2[[#This Row],[Tf]])/2,テーブル2[[#This Row],[P]])*AI88)</f>
        <v>1.9724859405395807</v>
      </c>
      <c r="AL402" s="36">
        <f t="shared" si="188"/>
        <v>1.1293676909872215</v>
      </c>
      <c r="AM402" s="36">
        <f t="shared" si="189"/>
        <v>581.10794227991028</v>
      </c>
      <c r="AN402" s="36">
        <f t="shared" si="190"/>
        <v>27.513131718613295</v>
      </c>
      <c r="AO402" s="36">
        <f t="shared" si="191"/>
        <v>-7.8284633212324003E-5</v>
      </c>
      <c r="AP402" s="36">
        <v>1</v>
      </c>
      <c r="AQ402" s="36">
        <f t="shared" si="192"/>
        <v>5.4530931276593132E-4</v>
      </c>
      <c r="AR402" s="36">
        <f t="shared" si="193"/>
        <v>-3.4142316606162002E-5</v>
      </c>
      <c r="AS402" s="36">
        <f t="shared" si="194"/>
        <v>-35.134672988677806</v>
      </c>
      <c r="AT402" s="36">
        <f t="shared" si="195"/>
        <v>-35.134672988677806</v>
      </c>
      <c r="AU402" s="36">
        <f t="shared" si="196"/>
        <v>-4.1789658046217646</v>
      </c>
      <c r="AV402" s="36">
        <f t="shared" si="197"/>
        <v>5.1789658046217646</v>
      </c>
      <c r="AW402" s="36">
        <f t="shared" si="198"/>
        <v>5.3077705955735861E-2</v>
      </c>
      <c r="AX402" s="36">
        <f t="shared" si="199"/>
        <v>0.41704556433183654</v>
      </c>
      <c r="AY402" s="36">
        <f t="shared" si="200"/>
        <v>4.7619202402899283</v>
      </c>
      <c r="AZ402" s="36">
        <f t="shared" si="201"/>
        <v>1080577.7610325073</v>
      </c>
      <c r="BA402" s="36">
        <f t="shared" si="202"/>
        <v>5.4530931276593132E-4</v>
      </c>
      <c r="BB402" s="38">
        <f t="shared" si="203"/>
        <v>-96934144.450542182</v>
      </c>
      <c r="BC402" s="40">
        <f t="shared" si="204"/>
        <v>-103937334.25054218</v>
      </c>
      <c r="BD402" s="41">
        <f t="shared" si="205"/>
        <v>-1484.1427580692182</v>
      </c>
      <c r="BE402" s="38">
        <v>7003189.8000000007</v>
      </c>
      <c r="BF402" s="42">
        <f>テーブル2[[#This Row],[q_P]]/テーブル2[[#This Row],[q_M]]</f>
        <v>-13.841427580692184</v>
      </c>
      <c r="BG402" s="36">
        <v>1</v>
      </c>
      <c r="BH402" s="36">
        <v>-0.14599999999999999</v>
      </c>
      <c r="BI402" s="36">
        <v>4.5999999999999999E-2</v>
      </c>
      <c r="BJ402" s="36">
        <v>5625</v>
      </c>
      <c r="BK402" s="22">
        <v>1</v>
      </c>
      <c r="BL402" s="36">
        <f>テーブル2[[#This Row],[Ts]]-テーブル2[[#This Row],[Tin]]</f>
        <v>77.09689440382374</v>
      </c>
      <c r="BM402" s="36">
        <f>テーブル2[[#This Row],[q_P]]*0.000001</f>
        <v>-96.934144450542178</v>
      </c>
      <c r="BN402" s="36">
        <f>テーブル2[[#This Row],[Tsub]]</f>
        <v>77.09689440382374</v>
      </c>
      <c r="BO402" s="36">
        <f>テーブル2[[#This Row],[Fcorr]]</f>
        <v>1</v>
      </c>
      <c r="BP402" s="36">
        <f>(テーブル2[[#This Row],[Tsub]]-40)^2</f>
        <v>1376.1795744084491</v>
      </c>
      <c r="BQ402" s="36">
        <v>1</v>
      </c>
      <c r="BR402" s="36">
        <v>7.619999999999999E-2</v>
      </c>
    </row>
    <row r="403" spans="1:70" x14ac:dyDescent="0.15">
      <c r="A403" s="35" t="s">
        <v>399</v>
      </c>
      <c r="B403" s="36">
        <v>13789514.586336</v>
      </c>
      <c r="C403" s="22">
        <f>TsatFromP(テーブル2[[#This Row],[P]])</f>
        <v>608.62107399852357</v>
      </c>
      <c r="D403" s="36">
        <f>RhoGFromP(テーブル2[[#This Row],[P]])</f>
        <v>85.147847035840741</v>
      </c>
      <c r="E403" s="36">
        <f>RhoFFromP(テーブル2[[#This Row],[P]])</f>
        <v>624.86636713482415</v>
      </c>
      <c r="F403" s="36">
        <f>HgFromP(テーブル2[[#This Row],[P]])</f>
        <v>2643264.5206450778</v>
      </c>
      <c r="G403" s="36">
        <f>HfFromP(テーブル2[[#This Row],[P]])</f>
        <v>1562686.7596125705</v>
      </c>
      <c r="H403" s="36">
        <f>MuGFromP(テーブル2[[#This Row],[P]])</f>
        <v>2.2019591234371903E-5</v>
      </c>
      <c r="I403" s="36">
        <f>MuFFromP(テーブル2[[#This Row],[P]])</f>
        <v>7.222326555143516E-5</v>
      </c>
      <c r="J403" s="36">
        <f>KfFromP(テーブル2[[#This Row],[P]])</f>
        <v>0.49112131073334553</v>
      </c>
      <c r="K403" s="36">
        <f>CpFFromP(テーブル2[[#This Row],[P]])</f>
        <v>7679.7488518783057</v>
      </c>
      <c r="L403" s="36">
        <f>SigmaFromP(テーブル2[[#This Row],[P]])</f>
        <v>6.5036449518301549E-3</v>
      </c>
      <c r="M403" s="36">
        <v>36.01</v>
      </c>
      <c r="N403" s="36">
        <v>2305.5909999999999</v>
      </c>
      <c r="O403" s="37">
        <f t="shared" si="176"/>
        <v>1.0361661240064725E-5</v>
      </c>
      <c r="P403" s="37">
        <f t="shared" si="177"/>
        <v>1.1410892836368843E-2</v>
      </c>
      <c r="Q403" s="37">
        <v>3.6321999999999991E-3</v>
      </c>
      <c r="R403" s="36">
        <v>7.619999999999999E-2</v>
      </c>
      <c r="S403" s="38">
        <v>8959035.5999999978</v>
      </c>
      <c r="T403" s="36">
        <v>476.45669300521843</v>
      </c>
      <c r="U403" s="12">
        <f>+T403+BG403*S403*テーブル2[[#This Row],[Pw]]*R403/(N403*O403*K403)</f>
        <v>518.91641878828329</v>
      </c>
      <c r="V403" s="36">
        <v>0.03</v>
      </c>
      <c r="W403" s="37">
        <f t="shared" si="178"/>
        <v>115951.10753107716</v>
      </c>
      <c r="X403" s="36">
        <v>0.01</v>
      </c>
      <c r="Y403" s="36">
        <f t="shared" si="179"/>
        <v>10</v>
      </c>
      <c r="Z403" s="36">
        <f t="shared" si="180"/>
        <v>4.7338855637777595</v>
      </c>
      <c r="AA403" s="36">
        <f t="shared" si="181"/>
        <v>5.2661144362222405</v>
      </c>
      <c r="AB403" s="36">
        <f t="shared" si="182"/>
        <v>7.3392329166992523E-5</v>
      </c>
      <c r="AC403" s="36">
        <v>600</v>
      </c>
      <c r="AD403" s="36">
        <f t="shared" si="183"/>
        <v>2049.7453605328801</v>
      </c>
      <c r="AE403" s="36">
        <f>+gettm2(AD403,AC403,AK403,AL403,テーブル2[[#This Row],[Fcorr]])</f>
        <v>549.48455444301067</v>
      </c>
      <c r="AF403" s="39">
        <f t="shared" si="184"/>
        <v>30.568135654727371</v>
      </c>
      <c r="AG403" s="36">
        <v>1.0000000000000001E-5</v>
      </c>
      <c r="AH403" s="36">
        <f t="shared" si="185"/>
        <v>10.633773353123294</v>
      </c>
      <c r="AI403" s="36">
        <f t="shared" si="186"/>
        <v>0.13045181469903885</v>
      </c>
      <c r="AJ403" s="36">
        <f t="shared" si="187"/>
        <v>11.286522551252027</v>
      </c>
      <c r="AK403" s="36">
        <f>+S88*テーブル2[[#This Row],[F_form]]/(E88*CpFromTP((テーブル2[[#This Row],[Tin]]+テーブル2[[#This Row],[Tf]])/2,テーブル2[[#This Row],[P]])*AI88)</f>
        <v>2.182629910144509</v>
      </c>
      <c r="AL403" s="36">
        <f t="shared" si="188"/>
        <v>1.1293676909872215</v>
      </c>
      <c r="AM403" s="36">
        <f t="shared" si="189"/>
        <v>578.03053863721232</v>
      </c>
      <c r="AN403" s="36">
        <f t="shared" si="190"/>
        <v>30.590535361311254</v>
      </c>
      <c r="AO403" s="36">
        <f t="shared" si="191"/>
        <v>-6.3392329166992524E-5</v>
      </c>
      <c r="AP403" s="36">
        <v>1</v>
      </c>
      <c r="AQ403" s="36">
        <f t="shared" si="192"/>
        <v>5.4530931276593132E-4</v>
      </c>
      <c r="AR403" s="36">
        <f t="shared" si="193"/>
        <v>-2.6696164583496262E-5</v>
      </c>
      <c r="AS403" s="36">
        <f t="shared" si="194"/>
        <v>-30.130686360356624</v>
      </c>
      <c r="AT403" s="36">
        <f t="shared" si="195"/>
        <v>-30.130686360356624</v>
      </c>
      <c r="AU403" s="36">
        <f t="shared" si="196"/>
        <v>-3.9306027138360995</v>
      </c>
      <c r="AV403" s="36">
        <f t="shared" si="197"/>
        <v>4.9306027138360999</v>
      </c>
      <c r="AW403" s="36">
        <f t="shared" si="198"/>
        <v>4.4124286698496676E-2</v>
      </c>
      <c r="AX403" s="36">
        <f t="shared" si="199"/>
        <v>0.45740481249298204</v>
      </c>
      <c r="AY403" s="36">
        <f t="shared" si="200"/>
        <v>4.4731979013431182</v>
      </c>
      <c r="AZ403" s="36">
        <f t="shared" si="201"/>
        <v>1080577.7610325073</v>
      </c>
      <c r="BA403" s="36">
        <f t="shared" si="202"/>
        <v>5.4530931276593132E-4</v>
      </c>
      <c r="BB403" s="38">
        <f t="shared" si="203"/>
        <v>-78494091.884717554</v>
      </c>
      <c r="BC403" s="40">
        <f t="shared" si="204"/>
        <v>-87453127.484717548</v>
      </c>
      <c r="BD403" s="41">
        <f t="shared" si="205"/>
        <v>-976.14443550952694</v>
      </c>
      <c r="BE403" s="38">
        <v>8959035.5999999978</v>
      </c>
      <c r="BF403" s="42">
        <f>テーブル2[[#This Row],[q_P]]/テーブル2[[#This Row],[q_M]]</f>
        <v>-8.7614443550952714</v>
      </c>
      <c r="BG403" s="36">
        <v>1</v>
      </c>
      <c r="BH403" s="36">
        <v>-0.33800000000000002</v>
      </c>
      <c r="BI403" s="36">
        <v>4.5999999999999999E-2</v>
      </c>
      <c r="BJ403" s="36">
        <v>5625</v>
      </c>
      <c r="BK403" s="22">
        <v>1</v>
      </c>
      <c r="BL403" s="36">
        <f>テーブル2[[#This Row],[Ts]]-テーブル2[[#This Row],[Tin]]</f>
        <v>132.16438099330514</v>
      </c>
      <c r="BM403" s="36">
        <f>テーブル2[[#This Row],[q_P]]*0.000001</f>
        <v>-78.494091884717548</v>
      </c>
      <c r="BN403" s="36">
        <f>テーブル2[[#This Row],[Tsub]]</f>
        <v>132.16438099330514</v>
      </c>
      <c r="BO403" s="36">
        <f>テーブル2[[#This Row],[Fcorr]]</f>
        <v>1</v>
      </c>
      <c r="BP403" s="36">
        <f>(テーブル2[[#This Row],[Tsub]]-40)^2</f>
        <v>8494.2731238791057</v>
      </c>
      <c r="BQ403" s="36">
        <v>1</v>
      </c>
      <c r="BR403" s="36">
        <v>7.619999999999999E-2</v>
      </c>
    </row>
    <row r="404" spans="1:70" x14ac:dyDescent="0.15">
      <c r="A404" s="35" t="s">
        <v>400</v>
      </c>
      <c r="B404" s="36">
        <v>13789514.586336</v>
      </c>
      <c r="C404" s="22">
        <f>TsatFromP(テーブル2[[#This Row],[P]])</f>
        <v>608.62107399852357</v>
      </c>
      <c r="D404" s="36">
        <f>RhoGFromP(テーブル2[[#This Row],[P]])</f>
        <v>85.147847035840741</v>
      </c>
      <c r="E404" s="36">
        <f>RhoFFromP(テーブル2[[#This Row],[P]])</f>
        <v>624.86636713482415</v>
      </c>
      <c r="F404" s="36">
        <f>HgFromP(テーブル2[[#This Row],[P]])</f>
        <v>2643264.5206450778</v>
      </c>
      <c r="G404" s="36">
        <f>HfFromP(テーブル2[[#This Row],[P]])</f>
        <v>1562686.7596125705</v>
      </c>
      <c r="H404" s="36">
        <f>MuGFromP(テーブル2[[#This Row],[P]])</f>
        <v>2.2019591234371903E-5</v>
      </c>
      <c r="I404" s="36">
        <f>MuFFromP(テーブル2[[#This Row],[P]])</f>
        <v>7.222326555143516E-5</v>
      </c>
      <c r="J404" s="36">
        <f>KfFromP(テーブル2[[#This Row],[P]])</f>
        <v>0.49112131073334553</v>
      </c>
      <c r="K404" s="36">
        <f>CpFFromP(テーブル2[[#This Row],[P]])</f>
        <v>7679.7488518783057</v>
      </c>
      <c r="L404" s="36">
        <f>SigmaFromP(テーブル2[[#This Row],[P]])</f>
        <v>6.5036449518301549E-3</v>
      </c>
      <c r="M404" s="36">
        <v>37.01</v>
      </c>
      <c r="N404" s="36">
        <v>2427.6516999999999</v>
      </c>
      <c r="O404" s="37">
        <f t="shared" si="176"/>
        <v>1.0361661240064725E-5</v>
      </c>
      <c r="P404" s="37">
        <f t="shared" si="177"/>
        <v>1.1410892836368843E-2</v>
      </c>
      <c r="Q404" s="37">
        <v>3.6321999999999991E-3</v>
      </c>
      <c r="R404" s="36">
        <v>7.619999999999999E-2</v>
      </c>
      <c r="S404" s="38">
        <v>3785508</v>
      </c>
      <c r="T404" s="36">
        <v>580.57270446550604</v>
      </c>
      <c r="U404" s="12">
        <f>+T404+BG404*S404*テーブル2[[#This Row],[Pw]]*R404/(N404*O404*K404)</f>
        <v>597.61138583253967</v>
      </c>
      <c r="V404" s="36">
        <v>0.03</v>
      </c>
      <c r="W404" s="37">
        <f t="shared" si="178"/>
        <v>122089.69557684005</v>
      </c>
      <c r="X404" s="36">
        <v>0.01</v>
      </c>
      <c r="Y404" s="36">
        <f t="shared" si="179"/>
        <v>10</v>
      </c>
      <c r="Z404" s="36">
        <f t="shared" si="180"/>
        <v>4.8211818993654205</v>
      </c>
      <c r="AA404" s="36">
        <f t="shared" si="181"/>
        <v>5.1788181006345795</v>
      </c>
      <c r="AB404" s="36">
        <f t="shared" si="182"/>
        <v>6.6197631563499405E-5</v>
      </c>
      <c r="AC404" s="36">
        <v>600</v>
      </c>
      <c r="AD404" s="36">
        <f t="shared" si="183"/>
        <v>2158.2612913846206</v>
      </c>
      <c r="AE404" s="36">
        <f>+gettm2(AD404,AC404,AK404,AL404,テーブル2[[#This Row],[Fcorr]])</f>
        <v>561.41653139768539</v>
      </c>
      <c r="AF404" s="39">
        <f t="shared" si="184"/>
        <v>-36.194854434854278</v>
      </c>
      <c r="AG404" s="36">
        <v>1.0000000000000001E-5</v>
      </c>
      <c r="AH404" s="36">
        <f t="shared" si="185"/>
        <v>11.78950629783472</v>
      </c>
      <c r="AI404" s="36">
        <f t="shared" si="186"/>
        <v>0.13735808724192913</v>
      </c>
      <c r="AJ404" s="36">
        <f t="shared" si="187"/>
        <v>11.884044333377133</v>
      </c>
      <c r="AK404" s="36">
        <f>+S88*テーブル2[[#This Row],[F_form]]/(E88*CpFromTP((テーブル2[[#This Row],[Tin]]+テーブル2[[#This Row],[Tf]])/2,テーブル2[[#This Row],[P]])*AI88)</f>
        <v>1.6577232296004845</v>
      </c>
      <c r="AL404" s="36">
        <f t="shared" si="188"/>
        <v>1.1293676909872215</v>
      </c>
      <c r="AM404" s="36">
        <f t="shared" si="189"/>
        <v>582.86419824635425</v>
      </c>
      <c r="AN404" s="36">
        <f t="shared" si="190"/>
        <v>25.756875752169321</v>
      </c>
      <c r="AO404" s="36">
        <f t="shared" si="191"/>
        <v>-5.6197631563499405E-5</v>
      </c>
      <c r="AP404" s="36">
        <v>1</v>
      </c>
      <c r="AQ404" s="36">
        <f t="shared" si="192"/>
        <v>5.4530931276593132E-4</v>
      </c>
      <c r="AR404" s="36">
        <f t="shared" si="193"/>
        <v>-2.3098815781749703E-5</v>
      </c>
      <c r="AS404" s="36">
        <f t="shared" si="194"/>
        <v>-27.450735079882488</v>
      </c>
      <c r="AT404" s="36">
        <f t="shared" si="195"/>
        <v>-27.450735079882488</v>
      </c>
      <c r="AU404" s="36">
        <f t="shared" si="196"/>
        <v>-3.7705804639575833</v>
      </c>
      <c r="AV404" s="36">
        <f t="shared" si="197"/>
        <v>4.7705804639575833</v>
      </c>
      <c r="AW404" s="36">
        <f t="shared" si="198"/>
        <v>3.9798754270670519E-2</v>
      </c>
      <c r="AX404" s="36">
        <f t="shared" si="199"/>
        <v>0.48162036138966929</v>
      </c>
      <c r="AY404" s="36">
        <f t="shared" si="200"/>
        <v>4.2889601025679136</v>
      </c>
      <c r="AZ404" s="36">
        <f t="shared" si="201"/>
        <v>1080577.7610325073</v>
      </c>
      <c r="BA404" s="36">
        <f t="shared" si="202"/>
        <v>5.4530931276593132E-4</v>
      </c>
      <c r="BB404" s="38">
        <f t="shared" si="203"/>
        <v>-69585423.246219277</v>
      </c>
      <c r="BC404" s="40">
        <f t="shared" si="204"/>
        <v>-73370931.246219277</v>
      </c>
      <c r="BD404" s="41">
        <f t="shared" si="205"/>
        <v>-1938.2056845796992</v>
      </c>
      <c r="BE404" s="38">
        <v>3785508</v>
      </c>
      <c r="BF404" s="42">
        <f>テーブル2[[#This Row],[q_P]]/テーブル2[[#This Row],[q_M]]</f>
        <v>-18.382056845796992</v>
      </c>
      <c r="BG404" s="36">
        <v>1</v>
      </c>
      <c r="BH404" s="36">
        <v>-4.7E-2</v>
      </c>
      <c r="BI404" s="36">
        <v>4.5999999999999999E-2</v>
      </c>
      <c r="BJ404" s="36">
        <v>5625</v>
      </c>
      <c r="BK404" s="22">
        <v>1</v>
      </c>
      <c r="BL404" s="36">
        <f>テーブル2[[#This Row],[Ts]]-テーブル2[[#This Row],[Tin]]</f>
        <v>28.048369533017535</v>
      </c>
      <c r="BM404" s="36">
        <f>テーブル2[[#This Row],[q_P]]*0.000001</f>
        <v>-69.585423246219278</v>
      </c>
      <c r="BN404" s="36">
        <f>テーブル2[[#This Row],[Tsub]]</f>
        <v>28.048369533017535</v>
      </c>
      <c r="BO404" s="36">
        <f>テーブル2[[#This Row],[Fcorr]]</f>
        <v>1</v>
      </c>
      <c r="BP404" s="36">
        <f>(テーブル2[[#This Row],[Tsub]]-40)^2</f>
        <v>142.84147081930348</v>
      </c>
      <c r="BQ404" s="36">
        <v>1</v>
      </c>
      <c r="BR404" s="36">
        <v>7.619999999999999E-2</v>
      </c>
    </row>
    <row r="405" spans="1:70" x14ac:dyDescent="0.15">
      <c r="A405" s="35" t="s">
        <v>401</v>
      </c>
      <c r="B405" s="36">
        <v>13789514.586336</v>
      </c>
      <c r="C405" s="22">
        <f>TsatFromP(テーブル2[[#This Row],[P]])</f>
        <v>608.62107399852357</v>
      </c>
      <c r="D405" s="36">
        <f>RhoGFromP(テーブル2[[#This Row],[P]])</f>
        <v>85.147847035840741</v>
      </c>
      <c r="E405" s="36">
        <f>RhoFFromP(テーブル2[[#This Row],[P]])</f>
        <v>624.86636713482415</v>
      </c>
      <c r="F405" s="36">
        <f>HgFromP(テーブル2[[#This Row],[P]])</f>
        <v>2643264.5206450778</v>
      </c>
      <c r="G405" s="36">
        <f>HfFromP(テーブル2[[#This Row],[P]])</f>
        <v>1562686.7596125705</v>
      </c>
      <c r="H405" s="36">
        <f>MuGFromP(テーブル2[[#This Row],[P]])</f>
        <v>2.2019591234371903E-5</v>
      </c>
      <c r="I405" s="36">
        <f>MuFFromP(テーブル2[[#This Row],[P]])</f>
        <v>7.222326555143516E-5</v>
      </c>
      <c r="J405" s="36">
        <f>KfFromP(テーブル2[[#This Row],[P]])</f>
        <v>0.49112131073334553</v>
      </c>
      <c r="K405" s="36">
        <f>CpFFromP(テーブル2[[#This Row],[P]])</f>
        <v>7679.7488518783057</v>
      </c>
      <c r="L405" s="36">
        <f>SigmaFromP(テーブル2[[#This Row],[P]])</f>
        <v>6.5036449518301549E-3</v>
      </c>
      <c r="M405" s="36">
        <v>38.01</v>
      </c>
      <c r="N405" s="36">
        <v>2712.46</v>
      </c>
      <c r="O405" s="37">
        <f t="shared" si="176"/>
        <v>1.0361661240064725E-5</v>
      </c>
      <c r="P405" s="37">
        <f t="shared" si="177"/>
        <v>1.1410892836368843E-2</v>
      </c>
      <c r="Q405" s="37">
        <v>3.6321999999999991E-3</v>
      </c>
      <c r="R405" s="36">
        <v>7.619999999999999E-2</v>
      </c>
      <c r="S405" s="38">
        <v>6593093.0999999987</v>
      </c>
      <c r="T405" s="36">
        <v>522.57549502475865</v>
      </c>
      <c r="U405" s="12">
        <f>+T405+BG405*S405*テーブル2[[#This Row],[Pw]]*R405/(N405*O405*K405)</f>
        <v>549.1352495506793</v>
      </c>
      <c r="V405" s="36">
        <v>0.03</v>
      </c>
      <c r="W405" s="37">
        <f t="shared" si="178"/>
        <v>136413.06768362017</v>
      </c>
      <c r="X405" s="36">
        <v>0.01</v>
      </c>
      <c r="Y405" s="36">
        <f t="shared" si="179"/>
        <v>10</v>
      </c>
      <c r="Z405" s="36">
        <f t="shared" si="180"/>
        <v>5.0085001644191829</v>
      </c>
      <c r="AA405" s="36">
        <f t="shared" si="181"/>
        <v>4.9914998355808171</v>
      </c>
      <c r="AB405" s="36">
        <f t="shared" si="182"/>
        <v>5.3025957823152099E-5</v>
      </c>
      <c r="AC405" s="36">
        <v>600</v>
      </c>
      <c r="AD405" s="36">
        <f t="shared" si="183"/>
        <v>2411.4651300386827</v>
      </c>
      <c r="AE405" s="36">
        <f>+gettm2(AD405,AC405,AK405,AL405,テーブル2[[#This Row],[Fcorr]])</f>
        <v>551.88321497213042</v>
      </c>
      <c r="AF405" s="39">
        <f t="shared" si="184"/>
        <v>2.7479654214511129</v>
      </c>
      <c r="AG405" s="36">
        <v>1.0000000000000001E-5</v>
      </c>
      <c r="AH405" s="36">
        <f t="shared" si="185"/>
        <v>14.718025402246775</v>
      </c>
      <c r="AI405" s="36">
        <f t="shared" si="186"/>
        <v>0.15347272317533983</v>
      </c>
      <c r="AJ405" s="36">
        <f t="shared" si="187"/>
        <v>13.278261825002385</v>
      </c>
      <c r="AK405" s="36">
        <f>+S88*テーブル2[[#This Row],[F_form]]/(E88*CpFromTP((テーブル2[[#This Row],[Tin]]+テーブル2[[#This Row],[Tf]])/2,テーブル2[[#This Row],[P]])*AI88)</f>
        <v>2.0426821978387504</v>
      </c>
      <c r="AL405" s="36">
        <f t="shared" si="188"/>
        <v>1.1293676909872215</v>
      </c>
      <c r="AM405" s="36">
        <f t="shared" si="189"/>
        <v>577.69774992088901</v>
      </c>
      <c r="AN405" s="36">
        <f t="shared" si="190"/>
        <v>30.923324077634561</v>
      </c>
      <c r="AO405" s="36">
        <f t="shared" si="191"/>
        <v>-4.30259578231521E-5</v>
      </c>
      <c r="AP405" s="36">
        <v>1</v>
      </c>
      <c r="AQ405" s="36">
        <f t="shared" si="192"/>
        <v>5.4530931276593132E-4</v>
      </c>
      <c r="AR405" s="36">
        <f t="shared" si="193"/>
        <v>-1.6512978911576051E-5</v>
      </c>
      <c r="AS405" s="36">
        <f t="shared" si="194"/>
        <v>-21.926365749864971</v>
      </c>
      <c r="AT405" s="36">
        <f t="shared" si="195"/>
        <v>-21.926365749864971</v>
      </c>
      <c r="AU405" s="36">
        <f t="shared" si="196"/>
        <v>-3.3650990609702793</v>
      </c>
      <c r="AV405" s="36">
        <f t="shared" si="197"/>
        <v>4.3650990609702793</v>
      </c>
      <c r="AW405" s="36">
        <f t="shared" si="198"/>
        <v>3.1879797139663851E-2</v>
      </c>
      <c r="AX405" s="36">
        <f t="shared" si="199"/>
        <v>0.53812330881527293</v>
      </c>
      <c r="AY405" s="36">
        <f t="shared" si="200"/>
        <v>3.8269757521550063</v>
      </c>
      <c r="AZ405" s="36">
        <f t="shared" si="201"/>
        <v>1080577.7610325073</v>
      </c>
      <c r="BA405" s="36">
        <f t="shared" si="202"/>
        <v>5.4530931276593132E-4</v>
      </c>
      <c r="BB405" s="38">
        <f t="shared" si="203"/>
        <v>-53275901.535370409</v>
      </c>
      <c r="BC405" s="40">
        <f t="shared" si="204"/>
        <v>-59868994.635370411</v>
      </c>
      <c r="BD405" s="41">
        <f t="shared" si="205"/>
        <v>-908.05626020009367</v>
      </c>
      <c r="BE405" s="38">
        <v>6593093.0999999987</v>
      </c>
      <c r="BF405" s="42">
        <f>テーブル2[[#This Row],[q_P]]/テーブル2[[#This Row],[q_M]]</f>
        <v>-8.0805626020009367</v>
      </c>
      <c r="BG405" s="36">
        <v>1</v>
      </c>
      <c r="BH405" s="36">
        <v>-0.25600000000000001</v>
      </c>
      <c r="BI405" s="36">
        <v>4.5999999999999999E-2</v>
      </c>
      <c r="BJ405" s="36">
        <v>5625</v>
      </c>
      <c r="BK405" s="22">
        <v>1</v>
      </c>
      <c r="BL405" s="36">
        <f>テーブル2[[#This Row],[Ts]]-テーブル2[[#This Row],[Tin]]</f>
        <v>86.045578973764918</v>
      </c>
      <c r="BM405" s="36">
        <f>テーブル2[[#This Row],[q_P]]*0.000001</f>
        <v>-53.275901535370409</v>
      </c>
      <c r="BN405" s="36">
        <f>テーブル2[[#This Row],[Tsub]]</f>
        <v>86.045578973764918</v>
      </c>
      <c r="BO405" s="36">
        <f>テーブル2[[#This Row],[Fcorr]]</f>
        <v>1</v>
      </c>
      <c r="BP405" s="36">
        <f>(テーブル2[[#This Row],[Tsub]]-40)^2</f>
        <v>2120.1953430292219</v>
      </c>
      <c r="BQ405" s="36">
        <v>1</v>
      </c>
      <c r="BR405" s="36">
        <v>7.619999999999999E-2</v>
      </c>
    </row>
    <row r="406" spans="1:70" x14ac:dyDescent="0.15">
      <c r="A406" s="35" t="s">
        <v>402</v>
      </c>
      <c r="B406" s="36">
        <v>13789514.586336</v>
      </c>
      <c r="C406" s="22">
        <f>TsatFromP(テーブル2[[#This Row],[P]])</f>
        <v>608.62107399852357</v>
      </c>
      <c r="D406" s="36">
        <f>RhoGFromP(テーブル2[[#This Row],[P]])</f>
        <v>85.147847035840741</v>
      </c>
      <c r="E406" s="36">
        <f>RhoFFromP(テーブル2[[#This Row],[P]])</f>
        <v>624.86636713482415</v>
      </c>
      <c r="F406" s="36">
        <f>HgFromP(テーブル2[[#This Row],[P]])</f>
        <v>2643264.5206450778</v>
      </c>
      <c r="G406" s="36">
        <f>HfFromP(テーブル2[[#This Row],[P]])</f>
        <v>1562686.7596125705</v>
      </c>
      <c r="H406" s="36">
        <f>MuGFromP(テーブル2[[#This Row],[P]])</f>
        <v>2.2019591234371903E-5</v>
      </c>
      <c r="I406" s="36">
        <f>MuFFromP(テーブル2[[#This Row],[P]])</f>
        <v>7.222326555143516E-5</v>
      </c>
      <c r="J406" s="36">
        <f>KfFromP(テーブル2[[#This Row],[P]])</f>
        <v>0.49112131073334553</v>
      </c>
      <c r="K406" s="36">
        <f>CpFFromP(テーブル2[[#This Row],[P]])</f>
        <v>7679.7488518783057</v>
      </c>
      <c r="L406" s="36">
        <f>SigmaFromP(テーブル2[[#This Row],[P]])</f>
        <v>6.5036449518301549E-3</v>
      </c>
      <c r="M406" s="36">
        <v>39.01</v>
      </c>
      <c r="N406" s="36">
        <v>3933.067</v>
      </c>
      <c r="O406" s="37">
        <f t="shared" si="176"/>
        <v>1.0361661240064725E-5</v>
      </c>
      <c r="P406" s="37">
        <f t="shared" si="177"/>
        <v>1.1410892836368843E-2</v>
      </c>
      <c r="Q406" s="37">
        <v>3.6321999999999991E-3</v>
      </c>
      <c r="R406" s="36">
        <v>7.619999999999999E-2</v>
      </c>
      <c r="S406" s="38">
        <v>3943237.5</v>
      </c>
      <c r="T406" s="36">
        <v>603.36221672770296</v>
      </c>
      <c r="U406" s="12">
        <f>+T406+BG406*S406*テーブル2[[#This Row],[Pw]]*R406/(N406*O406*K406)</f>
        <v>614.31740338251268</v>
      </c>
      <c r="V406" s="36">
        <v>0.03</v>
      </c>
      <c r="W406" s="37">
        <f t="shared" si="178"/>
        <v>197798.94814124925</v>
      </c>
      <c r="X406" s="36">
        <v>0.01</v>
      </c>
      <c r="Y406" s="36">
        <f t="shared" si="179"/>
        <v>10</v>
      </c>
      <c r="Z406" s="36">
        <f t="shared" si="180"/>
        <v>5.631245365110372</v>
      </c>
      <c r="AA406" s="36">
        <f t="shared" si="181"/>
        <v>4.368754634889628</v>
      </c>
      <c r="AB406" s="36">
        <f t="shared" si="182"/>
        <v>2.5220431782712055E-5</v>
      </c>
      <c r="AC406" s="36">
        <v>600</v>
      </c>
      <c r="AD406" s="36">
        <f t="shared" si="183"/>
        <v>3496.6244385560899</v>
      </c>
      <c r="AE406" s="36">
        <f>+gettm2(AD406,AC406,AK406,AL406,テーブル2[[#This Row],[Fcorr]])</f>
        <v>567.14634551603604</v>
      </c>
      <c r="AF406" s="39">
        <f t="shared" si="184"/>
        <v>-47.171057866476644</v>
      </c>
      <c r="AG406" s="36">
        <v>1.0000000000000001E-5</v>
      </c>
      <c r="AH406" s="36">
        <f t="shared" si="185"/>
        <v>30.944648408223841</v>
      </c>
      <c r="AI406" s="36">
        <f t="shared" si="186"/>
        <v>0.22253544860424276</v>
      </c>
      <c r="AJ406" s="36">
        <f t="shared" si="187"/>
        <v>19.25347964625346</v>
      </c>
      <c r="AK406" s="36">
        <f>+S88*テーブル2[[#This Row],[F_form]]/(E88*CpFromTP((テーブル2[[#This Row],[Tin]]+テーブル2[[#This Row],[Tf]])/2,テーブル2[[#This Row],[P]])*AI88)</f>
        <v>1.3413187870949164</v>
      </c>
      <c r="AL406" s="36">
        <f t="shared" si="188"/>
        <v>1.1293676909872215</v>
      </c>
      <c r="AM406" s="36">
        <f t="shared" si="189"/>
        <v>582.77022024477901</v>
      </c>
      <c r="AN406" s="36">
        <f t="shared" si="190"/>
        <v>25.850853753744559</v>
      </c>
      <c r="AO406" s="36">
        <f t="shared" si="191"/>
        <v>-1.5220431782712054E-5</v>
      </c>
      <c r="AP406" s="36">
        <v>1</v>
      </c>
      <c r="AQ406" s="36">
        <f t="shared" si="192"/>
        <v>5.4530931276593132E-4</v>
      </c>
      <c r="AR406" s="36">
        <f t="shared" si="193"/>
        <v>-2.6102158913560267E-6</v>
      </c>
      <c r="AS406" s="36">
        <f t="shared" si="194"/>
        <v>-5.0255738536550592</v>
      </c>
      <c r="AT406" s="36">
        <f t="shared" si="195"/>
        <v>-5.0255738536550592</v>
      </c>
      <c r="AU406" s="36">
        <f t="shared" si="196"/>
        <v>-1.1183683320168816</v>
      </c>
      <c r="AV406" s="36">
        <f t="shared" si="197"/>
        <v>2.1183683320168818</v>
      </c>
      <c r="AW406" s="36">
        <f t="shared" si="198"/>
        <v>1.5162804822670082E-2</v>
      </c>
      <c r="AX406" s="36">
        <f t="shared" si="199"/>
        <v>0.78027879778214593</v>
      </c>
      <c r="AY406" s="36">
        <f t="shared" si="200"/>
        <v>1.3380895342347359</v>
      </c>
      <c r="AZ406" s="36">
        <f t="shared" si="201"/>
        <v>1080577.7610325073</v>
      </c>
      <c r="BA406" s="36">
        <f t="shared" si="202"/>
        <v>5.4530931276593132E-4</v>
      </c>
      <c r="BB406" s="38">
        <f t="shared" si="203"/>
        <v>-18846349.180988066</v>
      </c>
      <c r="BC406" s="40">
        <f t="shared" si="204"/>
        <v>-22789586.680988066</v>
      </c>
      <c r="BD406" s="41">
        <f t="shared" si="205"/>
        <v>-577.94101118657113</v>
      </c>
      <c r="BE406" s="38">
        <v>3943237.5</v>
      </c>
      <c r="BF406" s="42">
        <f>テーブル2[[#This Row],[q_P]]/テーブル2[[#This Row],[q_M]]</f>
        <v>-4.7794101118657109</v>
      </c>
      <c r="BG406" s="36">
        <v>1</v>
      </c>
      <c r="BH406" s="36">
        <v>4.2000000000000003E-2</v>
      </c>
      <c r="BI406" s="36">
        <v>4.5999999999999999E-2</v>
      </c>
      <c r="BJ406" s="36">
        <v>5625</v>
      </c>
      <c r="BK406" s="22">
        <v>1</v>
      </c>
      <c r="BL406" s="36">
        <f>テーブル2[[#This Row],[Ts]]-テーブル2[[#This Row],[Tin]]</f>
        <v>5.2588572708206129</v>
      </c>
      <c r="BM406" s="36">
        <f>テーブル2[[#This Row],[q_P]]*0.000001</f>
        <v>-18.846349180988064</v>
      </c>
      <c r="BN406" s="36">
        <f>テーブル2[[#This Row],[Tsub]]</f>
        <v>5.2588572708206129</v>
      </c>
      <c r="BO406" s="36">
        <f>テーブル2[[#This Row],[Fcorr]]</f>
        <v>1</v>
      </c>
      <c r="BP406" s="36">
        <f>(テーブル2[[#This Row],[Tsub]]-40)^2</f>
        <v>1206.9469981292139</v>
      </c>
      <c r="BQ406" s="36">
        <v>1</v>
      </c>
      <c r="BR406" s="36">
        <v>7.619999999999999E-2</v>
      </c>
    </row>
    <row r="407" spans="1:70" x14ac:dyDescent="0.15">
      <c r="A407" s="35" t="s">
        <v>403</v>
      </c>
      <c r="B407" s="36">
        <v>13789514.586336</v>
      </c>
      <c r="C407" s="22">
        <f>TsatFromP(テーブル2[[#This Row],[P]])</f>
        <v>608.62107399852357</v>
      </c>
      <c r="D407" s="36">
        <f>RhoGFromP(テーブル2[[#This Row],[P]])</f>
        <v>85.147847035840741</v>
      </c>
      <c r="E407" s="36">
        <f>RhoFFromP(テーブル2[[#This Row],[P]])</f>
        <v>624.86636713482415</v>
      </c>
      <c r="F407" s="36">
        <f>HgFromP(テーブル2[[#This Row],[P]])</f>
        <v>2643264.5206450778</v>
      </c>
      <c r="G407" s="36">
        <f>HfFromP(テーブル2[[#This Row],[P]])</f>
        <v>1562686.7596125705</v>
      </c>
      <c r="H407" s="36">
        <f>MuGFromP(テーブル2[[#This Row],[P]])</f>
        <v>2.2019591234371903E-5</v>
      </c>
      <c r="I407" s="36">
        <f>MuFFromP(テーブル2[[#This Row],[P]])</f>
        <v>7.222326555143516E-5</v>
      </c>
      <c r="J407" s="36">
        <f>KfFromP(テーブル2[[#This Row],[P]])</f>
        <v>0.49112131073334553</v>
      </c>
      <c r="K407" s="36">
        <f>CpFFromP(テーブル2[[#This Row],[P]])</f>
        <v>7679.7488518783057</v>
      </c>
      <c r="L407" s="36">
        <f>SigmaFromP(テーブル2[[#This Row],[P]])</f>
        <v>6.5036449518301549E-3</v>
      </c>
      <c r="M407" s="36">
        <v>4.01</v>
      </c>
      <c r="N407" s="36">
        <v>2305.5909999999999</v>
      </c>
      <c r="O407" s="37">
        <f t="shared" si="176"/>
        <v>2.8502295699234246E-6</v>
      </c>
      <c r="P407" s="37">
        <f t="shared" si="177"/>
        <v>5.9847340050885557E-3</v>
      </c>
      <c r="Q407" s="37">
        <v>1.905E-3</v>
      </c>
      <c r="R407" s="36">
        <v>0.15240000000000001</v>
      </c>
      <c r="S407" s="38">
        <v>3911691.6</v>
      </c>
      <c r="T407" s="36">
        <v>497.51575494835743</v>
      </c>
      <c r="U407" s="12">
        <f>+T407+BG407*S407*テーブル2[[#This Row],[Pw]]*R407/(N407*O407*K407)</f>
        <v>568.21020166998244</v>
      </c>
      <c r="V407" s="36">
        <v>0.03</v>
      </c>
      <c r="W407" s="37">
        <f t="shared" si="178"/>
        <v>60813.51793587963</v>
      </c>
      <c r="X407" s="36">
        <v>0.01</v>
      </c>
      <c r="Y407" s="36">
        <f t="shared" si="179"/>
        <v>10</v>
      </c>
      <c r="Z407" s="36">
        <f t="shared" si="180"/>
        <v>4.173336015631036</v>
      </c>
      <c r="AA407" s="36">
        <f t="shared" si="181"/>
        <v>5.826663984368964</v>
      </c>
      <c r="AB407" s="36">
        <f t="shared" si="182"/>
        <v>7.3392329166992523E-5</v>
      </c>
      <c r="AC407" s="36">
        <v>600</v>
      </c>
      <c r="AD407" s="36">
        <f t="shared" si="183"/>
        <v>1075.0412730067555</v>
      </c>
      <c r="AE407" s="36">
        <f>+gettm2(AD407,AC407,AK407,AL407,テーブル2[[#This Row],[Fcorr]])</f>
        <v>555.79203543848826</v>
      </c>
      <c r="AF407" s="39">
        <f t="shared" si="184"/>
        <v>-12.418166231494183</v>
      </c>
      <c r="AG407" s="36">
        <v>1.0000000000000001E-5</v>
      </c>
      <c r="AH407" s="36">
        <f t="shared" si="185"/>
        <v>10.633773353123294</v>
      </c>
      <c r="AI407" s="36">
        <f t="shared" si="186"/>
        <v>0.13045181469903885</v>
      </c>
      <c r="AJ407" s="36">
        <f t="shared" si="187"/>
        <v>11.286522551252027</v>
      </c>
      <c r="AK407" s="36">
        <f>+S88*テーブル2[[#This Row],[F_form]]/(E88*CpFromTP((テーブル2[[#This Row],[Tin]]+テーブル2[[#This Row],[Tf]])/2,テーブル2[[#This Row],[P]])*AI88)</f>
        <v>2.0561700276662083</v>
      </c>
      <c r="AL407" s="36">
        <f t="shared" si="188"/>
        <v>1.1293676909872215</v>
      </c>
      <c r="AM407" s="36">
        <f t="shared" si="189"/>
        <v>579.30343217227141</v>
      </c>
      <c r="AN407" s="36">
        <f t="shared" si="190"/>
        <v>29.317641826252157</v>
      </c>
      <c r="AO407" s="36">
        <f t="shared" si="191"/>
        <v>-6.3392329166992524E-5</v>
      </c>
      <c r="AP407" s="36">
        <v>1</v>
      </c>
      <c r="AQ407" s="36">
        <f t="shared" si="192"/>
        <v>5.4530931276593132E-4</v>
      </c>
      <c r="AR407" s="36">
        <f t="shared" si="193"/>
        <v>-2.6696164583496262E-5</v>
      </c>
      <c r="AS407" s="36">
        <f t="shared" si="194"/>
        <v>-30.130686360356624</v>
      </c>
      <c r="AT407" s="36">
        <f t="shared" si="195"/>
        <v>-30.130686360356624</v>
      </c>
      <c r="AU407" s="36">
        <f t="shared" si="196"/>
        <v>-3.9306027138360995</v>
      </c>
      <c r="AV407" s="36">
        <f t="shared" si="197"/>
        <v>4.9306027138360999</v>
      </c>
      <c r="AW407" s="36">
        <f t="shared" si="198"/>
        <v>4.4124286698496676E-2</v>
      </c>
      <c r="AX407" s="36">
        <f t="shared" si="199"/>
        <v>0.45740481249298204</v>
      </c>
      <c r="AY407" s="36">
        <f t="shared" si="200"/>
        <v>4.4731979013431182</v>
      </c>
      <c r="AZ407" s="36">
        <f t="shared" si="201"/>
        <v>1080577.7610325073</v>
      </c>
      <c r="BA407" s="36">
        <f t="shared" si="202"/>
        <v>5.4530931276593132E-4</v>
      </c>
      <c r="BB407" s="38">
        <f t="shared" si="203"/>
        <v>-78494091.884717554</v>
      </c>
      <c r="BC407" s="40">
        <f t="shared" si="204"/>
        <v>-82405783.484717548</v>
      </c>
      <c r="BD407" s="41">
        <f t="shared" si="205"/>
        <v>-2106.6533845540775</v>
      </c>
      <c r="BE407" s="38">
        <v>3911691.6</v>
      </c>
      <c r="BF407" s="42">
        <f>テーブル2[[#This Row],[q_P]]/テーブル2[[#This Row],[q_M]]</f>
        <v>-20.066533845540775</v>
      </c>
      <c r="BG407" s="36">
        <v>1</v>
      </c>
      <c r="BH407" s="36">
        <v>-4.9000000000000002E-2</v>
      </c>
      <c r="BI407" s="36">
        <v>4.5999999999999999E-2</v>
      </c>
      <c r="BJ407" s="36">
        <v>5625</v>
      </c>
      <c r="BK407" s="22">
        <v>1</v>
      </c>
      <c r="BL407" s="36">
        <f>テーブル2[[#This Row],[Ts]]-テーブル2[[#This Row],[Tin]]</f>
        <v>111.10531905016614</v>
      </c>
      <c r="BM407" s="36">
        <f>テーブル2[[#This Row],[q_P]]*0.000001</f>
        <v>-78.494091884717548</v>
      </c>
      <c r="BN407" s="36">
        <f>テーブル2[[#This Row],[Tsub]]</f>
        <v>111.10531905016614</v>
      </c>
      <c r="BO407" s="36">
        <f>テーブル2[[#This Row],[Fcorr]]</f>
        <v>1</v>
      </c>
      <c r="BP407" s="36">
        <f>(テーブル2[[#This Row],[Tsub]]-40)^2</f>
        <v>5055.9663972259204</v>
      </c>
      <c r="BQ407" s="36">
        <v>1</v>
      </c>
      <c r="BR407" s="36">
        <v>0.15240000000000001</v>
      </c>
    </row>
    <row r="408" spans="1:70" x14ac:dyDescent="0.15">
      <c r="A408" s="35" t="s">
        <v>404</v>
      </c>
      <c r="B408" s="36">
        <v>13789514.586336</v>
      </c>
      <c r="C408" s="22">
        <f>TsatFromP(テーブル2[[#This Row],[P]])</f>
        <v>608.62107399852357</v>
      </c>
      <c r="D408" s="36">
        <f>RhoGFromP(テーブル2[[#This Row],[P]])</f>
        <v>85.147847035840741</v>
      </c>
      <c r="E408" s="36">
        <f>RhoFFromP(テーブル2[[#This Row],[P]])</f>
        <v>624.86636713482415</v>
      </c>
      <c r="F408" s="36">
        <f>HgFromP(テーブル2[[#This Row],[P]])</f>
        <v>2643264.5206450778</v>
      </c>
      <c r="G408" s="36">
        <f>HfFromP(テーブル2[[#This Row],[P]])</f>
        <v>1562686.7596125705</v>
      </c>
      <c r="H408" s="36">
        <f>MuGFromP(テーブル2[[#This Row],[P]])</f>
        <v>2.2019591234371903E-5</v>
      </c>
      <c r="I408" s="36">
        <f>MuFFromP(テーブル2[[#This Row],[P]])</f>
        <v>7.222326555143516E-5</v>
      </c>
      <c r="J408" s="36">
        <f>KfFromP(テーブル2[[#This Row],[P]])</f>
        <v>0.49112131073334553</v>
      </c>
      <c r="K408" s="36">
        <f>CpFFromP(テーブル2[[#This Row],[P]])</f>
        <v>7679.7488518783057</v>
      </c>
      <c r="L408" s="36">
        <f>SigmaFromP(テーブル2[[#This Row],[P]])</f>
        <v>6.5036449518301549E-3</v>
      </c>
      <c r="M408" s="36">
        <v>40.01</v>
      </c>
      <c r="N408" s="36">
        <v>5153.674</v>
      </c>
      <c r="O408" s="37">
        <f t="shared" ref="O408:O471" si="206">PI()*Q408^2/4</f>
        <v>1.0361661240064725E-5</v>
      </c>
      <c r="P408" s="37">
        <f t="shared" ref="P408:P471" si="207">PI()*Q408</f>
        <v>1.1410892836368843E-2</v>
      </c>
      <c r="Q408" s="37">
        <v>3.6321999999999991E-3</v>
      </c>
      <c r="R408" s="36">
        <v>7.619999999999999E-2</v>
      </c>
      <c r="S408" s="38">
        <v>9936958.5</v>
      </c>
      <c r="T408" s="36">
        <v>581.7028894881837</v>
      </c>
      <c r="U408" s="12">
        <f>+T408+BG408*S408*テーブル2[[#This Row],[Pw]]*R408/(N408*O408*K408)</f>
        <v>602.77144319169668</v>
      </c>
      <c r="V408" s="36">
        <v>0.03</v>
      </c>
      <c r="W408" s="37">
        <f t="shared" si="178"/>
        <v>259184.82859887835</v>
      </c>
      <c r="X408" s="36">
        <v>0.01</v>
      </c>
      <c r="Y408" s="36">
        <f t="shared" si="179"/>
        <v>10</v>
      </c>
      <c r="Z408" s="36">
        <f t="shared" si="180"/>
        <v>6.0786404722732552</v>
      </c>
      <c r="AA408" s="36">
        <f t="shared" si="181"/>
        <v>3.9213595277267448</v>
      </c>
      <c r="AB408" s="36">
        <f t="shared" si="182"/>
        <v>1.4688630975942411E-5</v>
      </c>
      <c r="AC408" s="36">
        <v>600</v>
      </c>
      <c r="AD408" s="36">
        <f t="shared" si="183"/>
        <v>4581.7837470734967</v>
      </c>
      <c r="AE408" s="36">
        <f>+gettm2(AD408,AC408,AK408,AL408,テーブル2[[#This Row],[Fcorr]])</f>
        <v>559.2347930152041</v>
      </c>
      <c r="AF408" s="39">
        <f t="shared" si="184"/>
        <v>-43.536650176492572</v>
      </c>
      <c r="AG408" s="36">
        <v>1.0000000000000001E-5</v>
      </c>
      <c r="AH408" s="36">
        <f t="shared" si="185"/>
        <v>53.132071702110842</v>
      </c>
      <c r="AI408" s="36">
        <f t="shared" si="186"/>
        <v>0.2915981740331457</v>
      </c>
      <c r="AJ408" s="36">
        <f t="shared" si="187"/>
        <v>25.228697467504531</v>
      </c>
      <c r="AK408" s="36">
        <f>+S88*テーブル2[[#This Row],[F_form]]/(E88*CpFromTP((テーブル2[[#This Row],[Tin]]+テーブル2[[#This Row],[Tf]])/2,テーブル2[[#This Row],[P]])*AI88)</f>
        <v>1.6193387842758824</v>
      </c>
      <c r="AL408" s="36">
        <f t="shared" si="188"/>
        <v>1.1293676909872215</v>
      </c>
      <c r="AM408" s="36">
        <f t="shared" si="189"/>
        <v>576.9519018185747</v>
      </c>
      <c r="AN408" s="36">
        <f t="shared" si="190"/>
        <v>31.669172179948873</v>
      </c>
      <c r="AO408" s="36">
        <f t="shared" si="191"/>
        <v>-4.6886309759424102E-6</v>
      </c>
      <c r="AP408" s="36">
        <v>1</v>
      </c>
      <c r="AQ408" s="36">
        <f t="shared" si="192"/>
        <v>5.4530931276593132E-4</v>
      </c>
      <c r="AR408" s="36">
        <f t="shared" si="193"/>
        <v>2.6556845120287953E-6</v>
      </c>
      <c r="AS408" s="36">
        <f t="shared" si="194"/>
        <v>6.6999461123111885</v>
      </c>
      <c r="AT408" s="36">
        <f t="shared" si="195"/>
        <v>6.4604974171297362</v>
      </c>
      <c r="AU408" s="36">
        <f t="shared" si="196"/>
        <v>1.8838692501808851</v>
      </c>
      <c r="AV408" s="36">
        <f t="shared" si="197"/>
        <v>-0.88386925018088514</v>
      </c>
      <c r="AW408" s="36">
        <f t="shared" si="198"/>
        <v>8.8309687367489897E-3</v>
      </c>
      <c r="AX408" s="36">
        <f t="shared" si="199"/>
        <v>1.0224342867490186</v>
      </c>
      <c r="AY408" s="36">
        <f t="shared" si="200"/>
        <v>-1.9063035369299037</v>
      </c>
      <c r="AZ408" s="36">
        <f t="shared" si="201"/>
        <v>1080577.7610325073</v>
      </c>
      <c r="BA408" s="36">
        <f t="shared" si="202"/>
        <v>5.4530931276593132E-4</v>
      </c>
      <c r="BB408" s="38">
        <f t="shared" si="203"/>
        <v>-5805589.3429892203</v>
      </c>
      <c r="BC408" s="40">
        <f t="shared" si="204"/>
        <v>-15742547.842989221</v>
      </c>
      <c r="BD408" s="41">
        <f t="shared" si="205"/>
        <v>-158.42420840329788</v>
      </c>
      <c r="BE408" s="38">
        <v>9936958.5</v>
      </c>
      <c r="BF408" s="42">
        <f>テーブル2[[#This Row],[q_P]]/テーブル2[[#This Row],[q_M]]</f>
        <v>-0.5842420840329785</v>
      </c>
      <c r="BG408" s="36">
        <v>1</v>
      </c>
      <c r="BH408" s="36">
        <v>-1.2E-2</v>
      </c>
      <c r="BI408" s="36">
        <v>4.5999999999999999E-2</v>
      </c>
      <c r="BJ408" s="36">
        <v>5625</v>
      </c>
      <c r="BK408" s="22">
        <v>1</v>
      </c>
      <c r="BL408" s="36">
        <f>テーブル2[[#This Row],[Ts]]-テーブル2[[#This Row],[Tin]]</f>
        <v>26.91818451033987</v>
      </c>
      <c r="BM408" s="36">
        <f>テーブル2[[#This Row],[q_P]]*0.000001</f>
        <v>-5.8055893429892196</v>
      </c>
      <c r="BN408" s="36">
        <f>テーブル2[[#This Row],[Tsub]]</f>
        <v>26.91818451033987</v>
      </c>
      <c r="BO408" s="36">
        <f>テーブル2[[#This Row],[Fcorr]]</f>
        <v>1</v>
      </c>
      <c r="BP408" s="36">
        <f>(テーブル2[[#This Row],[Tsub]]-40)^2</f>
        <v>171.1338965055117</v>
      </c>
      <c r="BQ408" s="36">
        <v>1</v>
      </c>
      <c r="BR408" s="36">
        <v>7.619999999999999E-2</v>
      </c>
    </row>
    <row r="409" spans="1:70" x14ac:dyDescent="0.15">
      <c r="A409" s="35" t="s">
        <v>405</v>
      </c>
      <c r="B409" s="36">
        <v>13789514.586336</v>
      </c>
      <c r="C409" s="22">
        <f>TsatFromP(テーブル2[[#This Row],[P]])</f>
        <v>608.62107399852357</v>
      </c>
      <c r="D409" s="36">
        <f>RhoGFromP(テーブル2[[#This Row],[P]])</f>
        <v>85.147847035840741</v>
      </c>
      <c r="E409" s="36">
        <f>RhoFFromP(テーブル2[[#This Row],[P]])</f>
        <v>624.86636713482415</v>
      </c>
      <c r="F409" s="36">
        <f>HgFromP(テーブル2[[#This Row],[P]])</f>
        <v>2643264.5206450778</v>
      </c>
      <c r="G409" s="36">
        <f>HfFromP(テーブル2[[#This Row],[P]])</f>
        <v>1562686.7596125705</v>
      </c>
      <c r="H409" s="36">
        <f>MuGFromP(テーブル2[[#This Row],[P]])</f>
        <v>2.2019591234371903E-5</v>
      </c>
      <c r="I409" s="36">
        <f>MuFFromP(テーブル2[[#This Row],[P]])</f>
        <v>7.222326555143516E-5</v>
      </c>
      <c r="J409" s="36">
        <f>KfFromP(テーブル2[[#This Row],[P]])</f>
        <v>0.49112131073334553</v>
      </c>
      <c r="K409" s="36">
        <f>CpFFromP(テーブル2[[#This Row],[P]])</f>
        <v>7679.7488518783057</v>
      </c>
      <c r="L409" s="36">
        <f>SigmaFromP(テーブル2[[#This Row],[P]])</f>
        <v>6.5036449518301549E-3</v>
      </c>
      <c r="M409" s="36">
        <v>41.01</v>
      </c>
      <c r="N409" s="36">
        <v>5180.7986000000001</v>
      </c>
      <c r="O409" s="37">
        <f t="shared" si="206"/>
        <v>1.0361661240064725E-5</v>
      </c>
      <c r="P409" s="37">
        <f t="shared" si="207"/>
        <v>1.1410892836368843E-2</v>
      </c>
      <c r="Q409" s="37">
        <v>3.6321999999999991E-3</v>
      </c>
      <c r="R409" s="36">
        <v>7.619999999999999E-2</v>
      </c>
      <c r="S409" s="38">
        <v>12996910.800000001</v>
      </c>
      <c r="T409" s="36">
        <v>485.31565756186029</v>
      </c>
      <c r="U409" s="12">
        <f>+T409+BG409*S409*テーブル2[[#This Row],[Pw]]*R409/(N409*O409*K409)</f>
        <v>512.72771413812552</v>
      </c>
      <c r="V409" s="36">
        <v>0.03</v>
      </c>
      <c r="W409" s="37">
        <f t="shared" si="178"/>
        <v>260548.95927571456</v>
      </c>
      <c r="X409" s="36">
        <v>0.01</v>
      </c>
      <c r="Y409" s="36">
        <f t="shared" si="179"/>
        <v>10</v>
      </c>
      <c r="Z409" s="36">
        <f t="shared" si="180"/>
        <v>6.0872737329680611</v>
      </c>
      <c r="AA409" s="36">
        <f t="shared" si="181"/>
        <v>3.9127262670319389</v>
      </c>
      <c r="AB409" s="36">
        <f t="shared" si="182"/>
        <v>1.4535225959582275E-5</v>
      </c>
      <c r="AC409" s="36">
        <v>600</v>
      </c>
      <c r="AD409" s="36">
        <f t="shared" si="183"/>
        <v>4605.8983983738826</v>
      </c>
      <c r="AE409" s="36">
        <f>+gettm2(AD409,AC409,AK409,AL409,テーブル2[[#This Row],[Fcorr]])</f>
        <v>545.12425102118118</v>
      </c>
      <c r="AF409" s="39">
        <f t="shared" si="184"/>
        <v>32.39653688305566</v>
      </c>
      <c r="AG409" s="36">
        <v>1.0000000000000001E-5</v>
      </c>
      <c r="AH409" s="36">
        <f t="shared" si="185"/>
        <v>53.692828469936451</v>
      </c>
      <c r="AI409" s="36">
        <f t="shared" si="186"/>
        <v>0.29313290126489905</v>
      </c>
      <c r="AJ409" s="36">
        <f t="shared" si="187"/>
        <v>25.361480085754557</v>
      </c>
      <c r="AK409" s="36">
        <f>+S88*テーブル2[[#This Row],[F_form]]/(E88*CpFromTP((テーブル2[[#This Row],[Tin]]+テーブル2[[#This Row],[Tf]])/2,テーブル2[[#This Row],[P]])*AI88)</f>
        <v>2.1787169615454673</v>
      </c>
      <c r="AL409" s="36">
        <f t="shared" si="188"/>
        <v>1.1293676909872215</v>
      </c>
      <c r="AM409" s="36">
        <f t="shared" si="189"/>
        <v>568.93174610196616</v>
      </c>
      <c r="AN409" s="36">
        <f t="shared" si="190"/>
        <v>39.689327896557415</v>
      </c>
      <c r="AO409" s="36">
        <f t="shared" si="191"/>
        <v>-4.5352259595822742E-6</v>
      </c>
      <c r="AP409" s="36">
        <v>1</v>
      </c>
      <c r="AQ409" s="36">
        <f t="shared" si="192"/>
        <v>5.4530931276593132E-4</v>
      </c>
      <c r="AR409" s="36">
        <f t="shared" si="193"/>
        <v>2.7323870202088633E-6</v>
      </c>
      <c r="AS409" s="36">
        <f t="shared" si="194"/>
        <v>6.9297378999601307</v>
      </c>
      <c r="AT409" s="36">
        <f t="shared" si="195"/>
        <v>6.6291099570650145</v>
      </c>
      <c r="AU409" s="36">
        <f t="shared" si="196"/>
        <v>1.9432102345184981</v>
      </c>
      <c r="AV409" s="36">
        <f t="shared" si="197"/>
        <v>-0.94321023451849806</v>
      </c>
      <c r="AW409" s="36">
        <f t="shared" si="198"/>
        <v>8.7387399302825703E-3</v>
      </c>
      <c r="AX409" s="36">
        <f t="shared" si="199"/>
        <v>1.0278155198371715</v>
      </c>
      <c r="AY409" s="36">
        <f t="shared" si="200"/>
        <v>-1.9710257543556695</v>
      </c>
      <c r="AZ409" s="36">
        <f t="shared" si="201"/>
        <v>1080577.7610325073</v>
      </c>
      <c r="BA409" s="36">
        <f t="shared" si="202"/>
        <v>5.4530931276593132E-4</v>
      </c>
      <c r="BB409" s="38">
        <f t="shared" si="203"/>
        <v>-5615639.1138687721</v>
      </c>
      <c r="BC409" s="40">
        <f t="shared" si="204"/>
        <v>-18612549.913868774</v>
      </c>
      <c r="BD409" s="41">
        <f t="shared" si="205"/>
        <v>-143.20749138225042</v>
      </c>
      <c r="BE409" s="38">
        <v>12996910.800000001</v>
      </c>
      <c r="BF409" s="42">
        <f>テーブル2[[#This Row],[q_P]]/テーブル2[[#This Row],[q_M]]</f>
        <v>-0.43207491382250401</v>
      </c>
      <c r="BG409" s="36">
        <v>1</v>
      </c>
      <c r="BH409" s="36">
        <v>-0.40899999999999997</v>
      </c>
      <c r="BI409" s="36">
        <v>4.5999999999999999E-2</v>
      </c>
      <c r="BJ409" s="36">
        <v>5625</v>
      </c>
      <c r="BK409" s="22">
        <v>1</v>
      </c>
      <c r="BL409" s="36">
        <f>テーブル2[[#This Row],[Ts]]-テーブル2[[#This Row],[Tin]]</f>
        <v>123.30541643666328</v>
      </c>
      <c r="BM409" s="36">
        <f>テーブル2[[#This Row],[q_P]]*0.000001</f>
        <v>-5.615639113868772</v>
      </c>
      <c r="BN409" s="36">
        <f>テーブル2[[#This Row],[Tsub]]</f>
        <v>123.30541643666328</v>
      </c>
      <c r="BO409" s="36">
        <f>テーブル2[[#This Row],[Fcorr]]</f>
        <v>1</v>
      </c>
      <c r="BP409" s="36">
        <f>(テーブル2[[#This Row],[Tsub]]-40)^2</f>
        <v>6939.7924076858881</v>
      </c>
      <c r="BQ409" s="36">
        <v>1</v>
      </c>
      <c r="BR409" s="36">
        <v>7.619999999999999E-2</v>
      </c>
    </row>
    <row r="410" spans="1:70" x14ac:dyDescent="0.15">
      <c r="A410" s="35" t="s">
        <v>406</v>
      </c>
      <c r="B410" s="36">
        <v>13789514.586336</v>
      </c>
      <c r="C410" s="22">
        <f>TsatFromP(テーブル2[[#This Row],[P]])</f>
        <v>608.62107399852357</v>
      </c>
      <c r="D410" s="36">
        <f>RhoGFromP(テーブル2[[#This Row],[P]])</f>
        <v>85.147847035840741</v>
      </c>
      <c r="E410" s="36">
        <f>RhoFFromP(テーブル2[[#This Row],[P]])</f>
        <v>624.86636713482415</v>
      </c>
      <c r="F410" s="36">
        <f>HgFromP(テーブル2[[#This Row],[P]])</f>
        <v>2643264.5206450778</v>
      </c>
      <c r="G410" s="36">
        <f>HfFromP(テーブル2[[#This Row],[P]])</f>
        <v>1562686.7596125705</v>
      </c>
      <c r="H410" s="36">
        <f>MuGFromP(テーブル2[[#This Row],[P]])</f>
        <v>2.2019591234371903E-5</v>
      </c>
      <c r="I410" s="36">
        <f>MuFFromP(テーブル2[[#This Row],[P]])</f>
        <v>7.222326555143516E-5</v>
      </c>
      <c r="J410" s="36">
        <f>KfFromP(テーブル2[[#This Row],[P]])</f>
        <v>0.49112131073334553</v>
      </c>
      <c r="K410" s="36">
        <f>CpFFromP(テーブル2[[#This Row],[P]])</f>
        <v>7679.7488518783057</v>
      </c>
      <c r="L410" s="36">
        <f>SigmaFromP(テーブル2[[#This Row],[P]])</f>
        <v>6.5036449518301549E-3</v>
      </c>
      <c r="M410" s="36">
        <v>42.01</v>
      </c>
      <c r="N410" s="36">
        <v>5791.1020999999992</v>
      </c>
      <c r="O410" s="37">
        <f t="shared" si="206"/>
        <v>1.0361661240064725E-5</v>
      </c>
      <c r="P410" s="37">
        <f t="shared" si="207"/>
        <v>1.1410892836368843E-2</v>
      </c>
      <c r="Q410" s="37">
        <v>3.6321999999999991E-3</v>
      </c>
      <c r="R410" s="36">
        <v>7.619999999999999E-2</v>
      </c>
      <c r="S410" s="38">
        <v>5015798.0999999996</v>
      </c>
      <c r="T410" s="36">
        <v>600.49949799108799</v>
      </c>
      <c r="U410" s="12">
        <f>+T410+BG410*S410*テーブル2[[#This Row],[Pw]]*R410/(N410*O410*K410)</f>
        <v>609.9635477644515</v>
      </c>
      <c r="V410" s="36">
        <v>0.03</v>
      </c>
      <c r="W410" s="37">
        <f t="shared" si="178"/>
        <v>291241.89950452902</v>
      </c>
      <c r="X410" s="36">
        <v>0.01</v>
      </c>
      <c r="Y410" s="36">
        <f t="shared" si="179"/>
        <v>10</v>
      </c>
      <c r="Z410" s="36">
        <f t="shared" si="180"/>
        <v>6.2698724041957359</v>
      </c>
      <c r="AA410" s="36">
        <f t="shared" si="181"/>
        <v>3.7301275958042641</v>
      </c>
      <c r="AB410" s="36">
        <f t="shared" si="182"/>
        <v>1.1633027729686909E-5</v>
      </c>
      <c r="AC410" s="36">
        <v>600</v>
      </c>
      <c r="AD410" s="36">
        <f t="shared" si="183"/>
        <v>5148.4780526325867</v>
      </c>
      <c r="AE410" s="36">
        <f>+gettm2(AD410,AC410,AK410,AL410,テーブル2[[#This Row],[Fcorr]])</f>
        <v>563.9197821099383</v>
      </c>
      <c r="AF410" s="39">
        <f t="shared" si="184"/>
        <v>-46.043765654513209</v>
      </c>
      <c r="AG410" s="36">
        <v>1.0000000000000001E-5</v>
      </c>
      <c r="AH410" s="36">
        <f t="shared" si="185"/>
        <v>67.088071339156272</v>
      </c>
      <c r="AI410" s="36">
        <f t="shared" si="186"/>
        <v>0.3276642639793505</v>
      </c>
      <c r="AJ410" s="36">
        <f t="shared" si="187"/>
        <v>28.349088996380093</v>
      </c>
      <c r="AK410" s="36">
        <f>+S88*テーブル2[[#This Row],[F_form]]/(E88*CpFromTP((テーブル2[[#This Row],[Tin]]+テーブル2[[#This Row],[Tf]])/2,テーブル2[[#This Row],[P]])*AI88)</f>
        <v>1.4167336194544324</v>
      </c>
      <c r="AL410" s="36">
        <f t="shared" si="188"/>
        <v>1.1293676909872215</v>
      </c>
      <c r="AM410" s="36">
        <f t="shared" si="189"/>
        <v>578.9914522989942</v>
      </c>
      <c r="AN410" s="36">
        <f t="shared" si="190"/>
        <v>29.629621699529366</v>
      </c>
      <c r="AO410" s="36">
        <f t="shared" si="191"/>
        <v>-1.6330277296869085E-6</v>
      </c>
      <c r="AP410" s="36">
        <v>1</v>
      </c>
      <c r="AQ410" s="36">
        <f t="shared" si="192"/>
        <v>5.4530931276593132E-4</v>
      </c>
      <c r="AR410" s="36">
        <f t="shared" si="193"/>
        <v>4.1834861351565461E-6</v>
      </c>
      <c r="AS410" s="36">
        <f t="shared" si="194"/>
        <v>11.85980207606751</v>
      </c>
      <c r="AT410" s="36">
        <f t="shared" si="195"/>
        <v>9.3157735253588498</v>
      </c>
      <c r="AU410" s="36">
        <f t="shared" si="196"/>
        <v>3.0524460755850269</v>
      </c>
      <c r="AV410" s="36">
        <f t="shared" si="197"/>
        <v>-2.0524460755850269</v>
      </c>
      <c r="AW410" s="36">
        <f t="shared" si="198"/>
        <v>6.9939059918419687E-3</v>
      </c>
      <c r="AX410" s="36">
        <f t="shared" si="199"/>
        <v>1.1488932643206076</v>
      </c>
      <c r="AY410" s="36">
        <f t="shared" si="200"/>
        <v>-3.2013393399056342</v>
      </c>
      <c r="AZ410" s="36">
        <f t="shared" si="201"/>
        <v>1080577.7610325073</v>
      </c>
      <c r="BA410" s="36">
        <f t="shared" si="202"/>
        <v>5.4530931276593132E-4</v>
      </c>
      <c r="BB410" s="38">
        <f t="shared" si="203"/>
        <v>-2022058.9832985497</v>
      </c>
      <c r="BC410" s="40">
        <f t="shared" si="204"/>
        <v>-7037857.0832985491</v>
      </c>
      <c r="BD410" s="41">
        <f t="shared" si="205"/>
        <v>-140.31380336657787</v>
      </c>
      <c r="BE410" s="38">
        <v>5015798.0999999996</v>
      </c>
      <c r="BF410" s="42">
        <f>テーブル2[[#This Row],[q_P]]/テーブル2[[#This Row],[q_M]]</f>
        <v>-0.40313803366577888</v>
      </c>
      <c r="BG410" s="36">
        <v>1</v>
      </c>
      <c r="BH410" s="36">
        <v>1.2999999999999999E-2</v>
      </c>
      <c r="BI410" s="36">
        <v>4.5999999999999999E-2</v>
      </c>
      <c r="BJ410" s="36">
        <v>5625</v>
      </c>
      <c r="BK410" s="22">
        <v>1</v>
      </c>
      <c r="BL410" s="36">
        <f>テーブル2[[#This Row],[Ts]]-テーブル2[[#This Row],[Tin]]</f>
        <v>8.1215760074355785</v>
      </c>
      <c r="BM410" s="36">
        <f>テーブル2[[#This Row],[q_P]]*0.000001</f>
        <v>-2.0220589832985496</v>
      </c>
      <c r="BN410" s="36">
        <f>テーブル2[[#This Row],[Tsub]]</f>
        <v>8.1215760074355785</v>
      </c>
      <c r="BO410" s="36">
        <f>テーブル2[[#This Row],[Fcorr]]</f>
        <v>1</v>
      </c>
      <c r="BP410" s="36">
        <f>(テーブル2[[#This Row],[Tsub]]-40)^2</f>
        <v>1016.2339162497069</v>
      </c>
      <c r="BQ410" s="36">
        <v>1</v>
      </c>
      <c r="BR410" s="36">
        <v>7.619999999999999E-2</v>
      </c>
    </row>
    <row r="411" spans="1:70" x14ac:dyDescent="0.15">
      <c r="A411" s="35" t="s">
        <v>407</v>
      </c>
      <c r="B411" s="36">
        <v>13789514.586336</v>
      </c>
      <c r="C411" s="22">
        <f>TsatFromP(テーブル2[[#This Row],[P]])</f>
        <v>608.62107399852357</v>
      </c>
      <c r="D411" s="36">
        <f>RhoGFromP(テーブル2[[#This Row],[P]])</f>
        <v>85.147847035840741</v>
      </c>
      <c r="E411" s="36">
        <f>RhoFFromP(テーブル2[[#This Row],[P]])</f>
        <v>624.86636713482415</v>
      </c>
      <c r="F411" s="36">
        <f>HgFromP(テーブル2[[#This Row],[P]])</f>
        <v>2643264.5206450778</v>
      </c>
      <c r="G411" s="36">
        <f>HfFromP(テーブル2[[#This Row],[P]])</f>
        <v>1562686.7596125705</v>
      </c>
      <c r="H411" s="36">
        <f>MuGFromP(テーブル2[[#This Row],[P]])</f>
        <v>2.2019591234371903E-5</v>
      </c>
      <c r="I411" s="36">
        <f>MuFFromP(テーブル2[[#This Row],[P]])</f>
        <v>7.222326555143516E-5</v>
      </c>
      <c r="J411" s="36">
        <f>KfFromP(テーブル2[[#This Row],[P]])</f>
        <v>0.49112131073334553</v>
      </c>
      <c r="K411" s="36">
        <f>CpFFromP(テーブル2[[#This Row],[P]])</f>
        <v>7679.7488518783057</v>
      </c>
      <c r="L411" s="36">
        <f>SigmaFromP(テーブル2[[#This Row],[P]])</f>
        <v>6.5036449518301549E-3</v>
      </c>
      <c r="M411" s="36">
        <v>44.01</v>
      </c>
      <c r="N411" s="36">
        <v>7635.5748999999996</v>
      </c>
      <c r="O411" s="37">
        <f t="shared" si="206"/>
        <v>1.0361661240064725E-5</v>
      </c>
      <c r="P411" s="37">
        <f t="shared" si="207"/>
        <v>1.1410892836368843E-2</v>
      </c>
      <c r="Q411" s="37">
        <v>3.6321999999999991E-3</v>
      </c>
      <c r="R411" s="36">
        <v>7.619999999999999E-2</v>
      </c>
      <c r="S411" s="38">
        <v>12681451.800000001</v>
      </c>
      <c r="T411" s="36">
        <v>537.12637659762368</v>
      </c>
      <c r="U411" s="12">
        <f>+T411+BG411*S411*テーブル2[[#This Row],[Pw]]*R411/(N411*O411*K411)</f>
        <v>555.27423677833724</v>
      </c>
      <c r="V411" s="36">
        <v>0.03</v>
      </c>
      <c r="W411" s="37">
        <f t="shared" si="178"/>
        <v>384002.78552939079</v>
      </c>
      <c r="X411" s="36">
        <v>0.01</v>
      </c>
      <c r="Y411" s="36">
        <f t="shared" si="179"/>
        <v>10</v>
      </c>
      <c r="Z411" s="36">
        <f t="shared" si="180"/>
        <v>6.7181767723156431</v>
      </c>
      <c r="AA411" s="36">
        <f t="shared" si="181"/>
        <v>3.2818232276843569</v>
      </c>
      <c r="AB411" s="36">
        <f t="shared" si="182"/>
        <v>6.6916269822161919E-6</v>
      </c>
      <c r="AC411" s="36">
        <v>600</v>
      </c>
      <c r="AD411" s="36">
        <f t="shared" si="183"/>
        <v>6788.274341058891</v>
      </c>
      <c r="AE411" s="36">
        <f>+gettm2(AD411,AC411,AK411,AL411,テーブル2[[#This Row],[Fcorr]])</f>
        <v>547.89526361882497</v>
      </c>
      <c r="AF411" s="39">
        <f t="shared" si="184"/>
        <v>-7.3789731595122703</v>
      </c>
      <c r="AG411" s="36">
        <v>1.0000000000000001E-5</v>
      </c>
      <c r="AH411" s="36">
        <f t="shared" si="185"/>
        <v>116.62894484311893</v>
      </c>
      <c r="AI411" s="36">
        <f t="shared" si="186"/>
        <v>0.43202571573858162</v>
      </c>
      <c r="AJ411" s="36">
        <f t="shared" si="187"/>
        <v>37.378307037381717</v>
      </c>
      <c r="AK411" s="36">
        <f>+S88*テーブル2[[#This Row],[F_form]]/(E88*CpFromTP((テーブル2[[#This Row],[Tin]]+テーブル2[[#This Row],[Tf]])/2,テーブル2[[#This Row],[P]])*AI88)</f>
        <v>1.9916428035602001</v>
      </c>
      <c r="AL411" s="36">
        <f t="shared" si="188"/>
        <v>1.1293676909872215</v>
      </c>
      <c r="AM411" s="36">
        <f t="shared" si="189"/>
        <v>568.79637875228298</v>
      </c>
      <c r="AN411" s="36">
        <f t="shared" si="190"/>
        <v>39.824695246240594</v>
      </c>
      <c r="AO411" s="36">
        <f t="shared" si="191"/>
        <v>3.3083730177838089E-6</v>
      </c>
      <c r="AP411" s="36">
        <v>1</v>
      </c>
      <c r="AQ411" s="36">
        <f t="shared" si="192"/>
        <v>5.4530931276593132E-4</v>
      </c>
      <c r="AR411" s="36">
        <f t="shared" si="193"/>
        <v>6.6541865088919049E-6</v>
      </c>
      <c r="AS411" s="36">
        <f t="shared" si="194"/>
        <v>24.872222641336478</v>
      </c>
      <c r="AT411" s="36">
        <f t="shared" si="195"/>
        <v>13.018758121007256</v>
      </c>
      <c r="AU411" s="36">
        <f t="shared" si="196"/>
        <v>5.624438295255632</v>
      </c>
      <c r="AV411" s="36">
        <f t="shared" si="197"/>
        <v>-4.624438295255632</v>
      </c>
      <c r="AW411" s="36">
        <f t="shared" si="198"/>
        <v>4.0230807605366901E-3</v>
      </c>
      <c r="AX411" s="36">
        <f t="shared" si="199"/>
        <v>1.5148171143149936</v>
      </c>
      <c r="AY411" s="36">
        <f t="shared" si="200"/>
        <v>-6.1392554095706258</v>
      </c>
      <c r="AZ411" s="36">
        <f t="shared" si="201"/>
        <v>1080577.7610325073</v>
      </c>
      <c r="BA411" s="36">
        <f t="shared" si="202"/>
        <v>5.4530931276593132E-4</v>
      </c>
      <c r="BB411" s="38">
        <f t="shared" si="203"/>
        <v>4096516.7088711145</v>
      </c>
      <c r="BC411" s="40">
        <f t="shared" si="204"/>
        <v>-8584935.0911288857</v>
      </c>
      <c r="BD411" s="41">
        <f t="shared" si="205"/>
        <v>-67.696784457508912</v>
      </c>
      <c r="BE411" s="38">
        <v>12681451.800000001</v>
      </c>
      <c r="BF411" s="42">
        <f>テーブル2[[#This Row],[q_P]]/テーブル2[[#This Row],[q_M]]</f>
        <v>0.32303215542491076</v>
      </c>
      <c r="BG411" s="36">
        <v>1</v>
      </c>
      <c r="BH411" s="36">
        <v>-0.25700000000000001</v>
      </c>
      <c r="BI411" s="36">
        <v>4.5999999999999999E-2</v>
      </c>
      <c r="BJ411" s="36">
        <v>5625</v>
      </c>
      <c r="BK411" s="22">
        <v>1</v>
      </c>
      <c r="BL411" s="36">
        <f>テーブル2[[#This Row],[Ts]]-テーブル2[[#This Row],[Tin]]</f>
        <v>71.494697400899895</v>
      </c>
      <c r="BM411" s="36">
        <f>テーブル2[[#This Row],[q_P]]*0.000001</f>
        <v>4.0965167088711141</v>
      </c>
      <c r="BN411" s="36">
        <f>テーブル2[[#This Row],[Tsub]]</f>
        <v>71.494697400899895</v>
      </c>
      <c r="BO411" s="36">
        <f>テーブル2[[#This Row],[Fcorr]]</f>
        <v>1</v>
      </c>
      <c r="BP411" s="36">
        <f>(テーブル2[[#This Row],[Tsub]]-40)^2</f>
        <v>991.91596437425062</v>
      </c>
      <c r="BQ411" s="36">
        <v>1</v>
      </c>
      <c r="BR411" s="36">
        <v>7.619999999999999E-2</v>
      </c>
    </row>
    <row r="412" spans="1:70" x14ac:dyDescent="0.15">
      <c r="A412" s="35" t="s">
        <v>408</v>
      </c>
      <c r="B412" s="36">
        <v>13789514.586336</v>
      </c>
      <c r="C412" s="22">
        <f>TsatFromP(テーブル2[[#This Row],[P]])</f>
        <v>608.62107399852357</v>
      </c>
      <c r="D412" s="36">
        <f>RhoGFromP(テーブル2[[#This Row],[P]])</f>
        <v>85.147847035840741</v>
      </c>
      <c r="E412" s="36">
        <f>RhoFFromP(テーブル2[[#This Row],[P]])</f>
        <v>624.86636713482415</v>
      </c>
      <c r="F412" s="36">
        <f>HgFromP(テーブル2[[#This Row],[P]])</f>
        <v>2643264.5206450778</v>
      </c>
      <c r="G412" s="36">
        <f>HfFromP(テーブル2[[#This Row],[P]])</f>
        <v>1562686.7596125705</v>
      </c>
      <c r="H412" s="36">
        <f>MuGFromP(テーブル2[[#This Row],[P]])</f>
        <v>2.2019591234371903E-5</v>
      </c>
      <c r="I412" s="36">
        <f>MuFFromP(テーブル2[[#This Row],[P]])</f>
        <v>7.222326555143516E-5</v>
      </c>
      <c r="J412" s="36">
        <f>KfFromP(テーブル2[[#This Row],[P]])</f>
        <v>0.49112131073334553</v>
      </c>
      <c r="K412" s="36">
        <f>CpFFromP(テーブル2[[#This Row],[P]])</f>
        <v>7679.7488518783057</v>
      </c>
      <c r="L412" s="36">
        <f>SigmaFromP(テーブル2[[#This Row],[P]])</f>
        <v>6.5036449518301549E-3</v>
      </c>
      <c r="M412" s="36">
        <v>442.01</v>
      </c>
      <c r="N412" s="36">
        <v>1193.4824000000001</v>
      </c>
      <c r="O412" s="37">
        <f t="shared" si="206"/>
        <v>4.7446061512773295E-5</v>
      </c>
      <c r="P412" s="37">
        <f t="shared" si="207"/>
        <v>2.4417714740761307E-2</v>
      </c>
      <c r="Q412" s="37">
        <v>7.7723999999999996E-3</v>
      </c>
      <c r="R412" s="36">
        <v>0.59054999999999991</v>
      </c>
      <c r="S412" s="38">
        <v>2583609.209999999</v>
      </c>
      <c r="T412" s="36">
        <v>475.88059540297343</v>
      </c>
      <c r="U412" s="12">
        <f>+T412+BG412*S412*テーブル2[[#This Row],[Pw]]*R412/(N412*O412*K412)</f>
        <v>561.54991338505624</v>
      </c>
      <c r="V412" s="36">
        <v>0.03</v>
      </c>
      <c r="W412" s="37">
        <f t="shared" si="178"/>
        <v>128438.14988057781</v>
      </c>
      <c r="X412" s="36">
        <v>0.01</v>
      </c>
      <c r="Y412" s="36">
        <f t="shared" si="179"/>
        <v>10</v>
      </c>
      <c r="Z412" s="36">
        <f t="shared" si="180"/>
        <v>4.2722204977943417</v>
      </c>
      <c r="AA412" s="36">
        <f t="shared" si="181"/>
        <v>5.7277795022056583</v>
      </c>
      <c r="AB412" s="36">
        <f t="shared" si="182"/>
        <v>2.7389441024355419E-4</v>
      </c>
      <c r="AC412" s="36">
        <v>600</v>
      </c>
      <c r="AD412" s="36">
        <f t="shared" si="183"/>
        <v>2270.4871685902676</v>
      </c>
      <c r="AE412" s="36">
        <f>+gettm2(AD412,AC412,AK412,AL412,テーブル2[[#This Row],[Fcorr]])</f>
        <v>550.53818151169867</v>
      </c>
      <c r="AF412" s="39">
        <f t="shared" si="184"/>
        <v>-11.011731873357576</v>
      </c>
      <c r="AG412" s="36">
        <v>1.0000000000000001E-5</v>
      </c>
      <c r="AH412" s="36">
        <f t="shared" si="185"/>
        <v>2.8494097178749755</v>
      </c>
      <c r="AI412" s="36">
        <f t="shared" si="186"/>
        <v>6.7527998197149525E-2</v>
      </c>
      <c r="AJ412" s="36">
        <f t="shared" si="187"/>
        <v>5.8424352030010498</v>
      </c>
      <c r="AK412" s="36">
        <f>+S88*テーブル2[[#This Row],[F_form]]/(E88*CpFromTP((テーブル2[[#This Row],[Tin]]+テーブル2[[#This Row],[Tf]])/2,テーブル2[[#This Row],[P]])*AI88)</f>
        <v>2.1134551051847188</v>
      </c>
      <c r="AL412" s="36">
        <f t="shared" si="188"/>
        <v>1.1293676909872215</v>
      </c>
      <c r="AM412" s="36">
        <f t="shared" si="189"/>
        <v>586.22492787510282</v>
      </c>
      <c r="AN412" s="36">
        <f t="shared" si="190"/>
        <v>22.396146123420749</v>
      </c>
      <c r="AO412" s="36">
        <f t="shared" si="191"/>
        <v>-2.6389441024355417E-4</v>
      </c>
      <c r="AP412" s="36">
        <v>1</v>
      </c>
      <c r="AQ412" s="36">
        <f t="shared" si="192"/>
        <v>5.4530931276593132E-4</v>
      </c>
      <c r="AR412" s="36">
        <f t="shared" si="193"/>
        <v>-1.2694720512177707E-4</v>
      </c>
      <c r="AS412" s="36">
        <f t="shared" si="194"/>
        <v>-74.168082012606547</v>
      </c>
      <c r="AT412" s="36">
        <f t="shared" si="195"/>
        <v>-74.168082012606547</v>
      </c>
      <c r="AU412" s="36">
        <f t="shared" si="196"/>
        <v>-5.0084221084333329</v>
      </c>
      <c r="AV412" s="36">
        <f t="shared" si="197"/>
        <v>6.0084221084333329</v>
      </c>
      <c r="AW412" s="36">
        <f t="shared" si="198"/>
        <v>0.16466837365528847</v>
      </c>
      <c r="AX412" s="36">
        <f t="shared" si="199"/>
        <v>0.23677425587872011</v>
      </c>
      <c r="AY412" s="36">
        <f t="shared" si="200"/>
        <v>5.7716478525546124</v>
      </c>
      <c r="AZ412" s="36">
        <f t="shared" si="201"/>
        <v>1080577.7610325073</v>
      </c>
      <c r="BA412" s="36">
        <f t="shared" si="202"/>
        <v>5.4530931276593132E-4</v>
      </c>
      <c r="BB412" s="38">
        <f t="shared" si="203"/>
        <v>-326761176.90760684</v>
      </c>
      <c r="BC412" s="40">
        <f t="shared" si="204"/>
        <v>-329344786.11760682</v>
      </c>
      <c r="BD412" s="41">
        <f t="shared" si="205"/>
        <v>-12747.469115795842</v>
      </c>
      <c r="BE412" s="38">
        <v>2583609.209999999</v>
      </c>
      <c r="BF412" s="42">
        <f>テーブル2[[#This Row],[q_P]]/テーブル2[[#This Row],[q_M]]</f>
        <v>-126.47469115795843</v>
      </c>
      <c r="BG412" s="36">
        <v>1</v>
      </c>
      <c r="BH412" s="36">
        <v>-3.2000000000000001E-2</v>
      </c>
      <c r="BI412" s="36">
        <v>4.5999999999999999E-2</v>
      </c>
      <c r="BJ412" s="36">
        <v>5625</v>
      </c>
      <c r="BK412" s="22">
        <v>1</v>
      </c>
      <c r="BL412" s="36">
        <f>テーブル2[[#This Row],[Ts]]-テーブル2[[#This Row],[Tin]]</f>
        <v>132.74047859555014</v>
      </c>
      <c r="BM412" s="36">
        <f>テーブル2[[#This Row],[q_P]]*0.000001</f>
        <v>-326.76117690760685</v>
      </c>
      <c r="BN412" s="36">
        <f>テーブル2[[#This Row],[Tsub]]</f>
        <v>132.74047859555014</v>
      </c>
      <c r="BO412" s="36">
        <f>テーブル2[[#This Row],[Fcorr]]</f>
        <v>1</v>
      </c>
      <c r="BP412" s="36">
        <f>(テーブル2[[#This Row],[Tsub]]-40)^2</f>
        <v>8600.7963701316949</v>
      </c>
      <c r="BQ412" s="36">
        <v>1</v>
      </c>
      <c r="BR412" s="36">
        <v>0.59054999999999991</v>
      </c>
    </row>
    <row r="413" spans="1:70" x14ac:dyDescent="0.15">
      <c r="A413" s="35" t="s">
        <v>409</v>
      </c>
      <c r="B413" s="36">
        <v>13789514.586336</v>
      </c>
      <c r="C413" s="22">
        <f>TsatFromP(テーブル2[[#This Row],[P]])</f>
        <v>608.62107399852357</v>
      </c>
      <c r="D413" s="36">
        <f>RhoGFromP(テーブル2[[#This Row],[P]])</f>
        <v>85.147847035840741</v>
      </c>
      <c r="E413" s="36">
        <f>RhoFFromP(テーブル2[[#This Row],[P]])</f>
        <v>624.86636713482415</v>
      </c>
      <c r="F413" s="36">
        <f>HgFromP(テーブル2[[#This Row],[P]])</f>
        <v>2643264.5206450778</v>
      </c>
      <c r="G413" s="36">
        <f>HfFromP(テーブル2[[#This Row],[P]])</f>
        <v>1562686.7596125705</v>
      </c>
      <c r="H413" s="36">
        <f>MuGFromP(テーブル2[[#This Row],[P]])</f>
        <v>2.2019591234371903E-5</v>
      </c>
      <c r="I413" s="36">
        <f>MuFFromP(テーブル2[[#This Row],[P]])</f>
        <v>7.222326555143516E-5</v>
      </c>
      <c r="J413" s="36">
        <f>KfFromP(テーブル2[[#This Row],[P]])</f>
        <v>0.49112131073334553</v>
      </c>
      <c r="K413" s="36">
        <f>CpFFromP(テーブル2[[#This Row],[P]])</f>
        <v>7679.7488518783057</v>
      </c>
      <c r="L413" s="36">
        <f>SigmaFromP(テーブル2[[#This Row],[P]])</f>
        <v>6.5036449518301549E-3</v>
      </c>
      <c r="M413" s="36">
        <v>449.01</v>
      </c>
      <c r="N413" s="36">
        <v>1350.8050800000001</v>
      </c>
      <c r="O413" s="37">
        <f t="shared" si="206"/>
        <v>4.7446061512773295E-5</v>
      </c>
      <c r="P413" s="37">
        <f t="shared" si="207"/>
        <v>2.4417714740761307E-2</v>
      </c>
      <c r="Q413" s="37">
        <v>7.7723999999999996E-3</v>
      </c>
      <c r="R413" s="36">
        <v>0.59054999999999991</v>
      </c>
      <c r="S413" s="38">
        <v>2586763.7999999989</v>
      </c>
      <c r="T413" s="36">
        <v>504.17638636511867</v>
      </c>
      <c r="U413" s="12">
        <f>+T413+BG413*S413*テーブル2[[#This Row],[Pw]]*R413/(N413*O413*K413)</f>
        <v>579.96057299671338</v>
      </c>
      <c r="V413" s="36">
        <v>0.03</v>
      </c>
      <c r="W413" s="37">
        <f t="shared" si="178"/>
        <v>145368.63327392668</v>
      </c>
      <c r="X413" s="36">
        <v>0.01</v>
      </c>
      <c r="Y413" s="36">
        <f t="shared" si="179"/>
        <v>10</v>
      </c>
      <c r="Z413" s="36">
        <f t="shared" si="180"/>
        <v>4.4842634272833948</v>
      </c>
      <c r="AA413" s="36">
        <f t="shared" si="181"/>
        <v>5.5157365727166052</v>
      </c>
      <c r="AB413" s="36">
        <f t="shared" si="182"/>
        <v>2.1381089749823427E-4</v>
      </c>
      <c r="AC413" s="36">
        <v>600</v>
      </c>
      <c r="AD413" s="36">
        <f t="shared" si="183"/>
        <v>2569.7786589953485</v>
      </c>
      <c r="AE413" s="36">
        <f>+gettm2(AD413,AC413,AK413,AL413,テーブル2[[#This Row],[Fcorr]])</f>
        <v>552.26104769282483</v>
      </c>
      <c r="AF413" s="39">
        <f t="shared" si="184"/>
        <v>-27.699525303888549</v>
      </c>
      <c r="AG413" s="36">
        <v>1.0000000000000001E-5</v>
      </c>
      <c r="AH413" s="36">
        <f t="shared" si="185"/>
        <v>3.6501291718588091</v>
      </c>
      <c r="AI413" s="36">
        <f t="shared" si="186"/>
        <v>7.6429416141319234E-2</v>
      </c>
      <c r="AJ413" s="36">
        <f t="shared" si="187"/>
        <v>6.6125743888511881</v>
      </c>
      <c r="AK413" s="36">
        <f>+S88*テーブル2[[#This Row],[F_form]]/(E88*CpFromTP((テーブル2[[#This Row],[Tin]]+テーブル2[[#This Row],[Tf]])/2,テーブル2[[#This Row],[P]])*AI88)</f>
        <v>2.0129065100899153</v>
      </c>
      <c r="AL413" s="36">
        <f t="shared" si="188"/>
        <v>1.1293676909872215</v>
      </c>
      <c r="AM413" s="36">
        <f t="shared" si="189"/>
        <v>585.50743911306608</v>
      </c>
      <c r="AN413" s="36">
        <f t="shared" si="190"/>
        <v>23.113634885457486</v>
      </c>
      <c r="AO413" s="36">
        <f t="shared" si="191"/>
        <v>-2.0381089749823428E-4</v>
      </c>
      <c r="AP413" s="36">
        <v>1</v>
      </c>
      <c r="AQ413" s="36">
        <f t="shared" si="192"/>
        <v>5.4530931276593132E-4</v>
      </c>
      <c r="AR413" s="36">
        <f t="shared" si="193"/>
        <v>-9.6905448749117138E-5</v>
      </c>
      <c r="AS413" s="36">
        <f t="shared" si="194"/>
        <v>-64.079448853854345</v>
      </c>
      <c r="AT413" s="36">
        <f t="shared" si="195"/>
        <v>-64.079448853854345</v>
      </c>
      <c r="AU413" s="36">
        <f t="shared" si="196"/>
        <v>-4.897554862557616</v>
      </c>
      <c r="AV413" s="36">
        <f t="shared" si="197"/>
        <v>5.897554862557616</v>
      </c>
      <c r="AW413" s="36">
        <f t="shared" si="198"/>
        <v>0.12854549579709942</v>
      </c>
      <c r="AX413" s="36">
        <f t="shared" si="199"/>
        <v>0.26798540779000596</v>
      </c>
      <c r="AY413" s="36">
        <f t="shared" si="200"/>
        <v>5.6295694547676103</v>
      </c>
      <c r="AZ413" s="36">
        <f t="shared" si="201"/>
        <v>1080577.7610325073</v>
      </c>
      <c r="BA413" s="36">
        <f t="shared" si="202"/>
        <v>5.4530931276593132E-4</v>
      </c>
      <c r="BB413" s="38">
        <f t="shared" si="203"/>
        <v>-252364150.76641575</v>
      </c>
      <c r="BC413" s="40">
        <f t="shared" si="204"/>
        <v>-254950914.56641576</v>
      </c>
      <c r="BD413" s="41">
        <f t="shared" si="205"/>
        <v>-9855.9796826604688</v>
      </c>
      <c r="BE413" s="38">
        <v>2586763.7999999989</v>
      </c>
      <c r="BF413" s="42">
        <f>テーブル2[[#This Row],[q_P]]/テーブル2[[#This Row],[q_M]]</f>
        <v>-97.559796826604682</v>
      </c>
      <c r="BG413" s="36">
        <v>1</v>
      </c>
      <c r="BH413" s="36">
        <v>1.6E-2</v>
      </c>
      <c r="BI413" s="36">
        <v>4.5999999999999999E-2</v>
      </c>
      <c r="BJ413" s="36">
        <v>5625</v>
      </c>
      <c r="BK413" s="22">
        <v>1</v>
      </c>
      <c r="BL413" s="36">
        <f>テーブル2[[#This Row],[Ts]]-テーブル2[[#This Row],[Tin]]</f>
        <v>104.4446876334049</v>
      </c>
      <c r="BM413" s="36">
        <f>テーブル2[[#This Row],[q_P]]*0.000001</f>
        <v>-252.36415076641575</v>
      </c>
      <c r="BN413" s="36">
        <f>テーブル2[[#This Row],[Tsub]]</f>
        <v>104.4446876334049</v>
      </c>
      <c r="BO413" s="36">
        <f>テーブル2[[#This Row],[Fcorr]]</f>
        <v>1</v>
      </c>
      <c r="BP413" s="36">
        <f>(テーブル2[[#This Row],[Tsub]]-40)^2</f>
        <v>4153.1177641671302</v>
      </c>
      <c r="BQ413" s="36">
        <v>1</v>
      </c>
      <c r="BR413" s="36">
        <v>0.59054999999999991</v>
      </c>
    </row>
    <row r="414" spans="1:70" x14ac:dyDescent="0.15">
      <c r="A414" s="35" t="s">
        <v>410</v>
      </c>
      <c r="B414" s="36">
        <v>13789514.586336</v>
      </c>
      <c r="C414" s="22">
        <f>TsatFromP(テーブル2[[#This Row],[P]])</f>
        <v>608.62107399852357</v>
      </c>
      <c r="D414" s="36">
        <f>RhoGFromP(テーブル2[[#This Row],[P]])</f>
        <v>85.147847035840741</v>
      </c>
      <c r="E414" s="36">
        <f>RhoFFromP(テーブル2[[#This Row],[P]])</f>
        <v>624.86636713482415</v>
      </c>
      <c r="F414" s="36">
        <f>HgFromP(テーブル2[[#This Row],[P]])</f>
        <v>2643264.5206450778</v>
      </c>
      <c r="G414" s="36">
        <f>HfFromP(テーブル2[[#This Row],[P]])</f>
        <v>1562686.7596125705</v>
      </c>
      <c r="H414" s="36">
        <f>MuGFromP(テーブル2[[#This Row],[P]])</f>
        <v>2.2019591234371903E-5</v>
      </c>
      <c r="I414" s="36">
        <f>MuFFromP(テーブル2[[#This Row],[P]])</f>
        <v>7.222326555143516E-5</v>
      </c>
      <c r="J414" s="36">
        <f>KfFromP(テーブル2[[#This Row],[P]])</f>
        <v>0.49112131073334553</v>
      </c>
      <c r="K414" s="36">
        <f>CpFFromP(テーブル2[[#This Row],[P]])</f>
        <v>7679.7488518783057</v>
      </c>
      <c r="L414" s="36">
        <f>SigmaFromP(テーブル2[[#This Row],[P]])</f>
        <v>6.5036449518301549E-3</v>
      </c>
      <c r="M414" s="36">
        <v>45.01</v>
      </c>
      <c r="N414" s="36">
        <v>7716.9487000000008</v>
      </c>
      <c r="O414" s="37">
        <f t="shared" si="206"/>
        <v>1.0361661240064725E-5</v>
      </c>
      <c r="P414" s="37">
        <f t="shared" si="207"/>
        <v>1.1410892836368843E-2</v>
      </c>
      <c r="Q414" s="37">
        <v>3.6321999999999991E-3</v>
      </c>
      <c r="R414" s="36">
        <v>7.619999999999999E-2</v>
      </c>
      <c r="S414" s="38">
        <v>7728745.5</v>
      </c>
      <c r="T414" s="36">
        <v>572.24590319147933</v>
      </c>
      <c r="U414" s="12">
        <f>+T414+BG414*S414*テーブル2[[#This Row],[Pw]]*R414/(N414*O414*K414)</f>
        <v>583.18953780412232</v>
      </c>
      <c r="V414" s="36">
        <v>0.03</v>
      </c>
      <c r="W414" s="37">
        <f t="shared" si="178"/>
        <v>388095.17755989946</v>
      </c>
      <c r="X414" s="36">
        <v>0.01</v>
      </c>
      <c r="Y414" s="36">
        <f t="shared" si="179"/>
        <v>10</v>
      </c>
      <c r="Z414" s="36">
        <f t="shared" si="180"/>
        <v>6.7352065358647568</v>
      </c>
      <c r="AA414" s="36">
        <f t="shared" si="181"/>
        <v>3.2647934641352432</v>
      </c>
      <c r="AB414" s="36">
        <f t="shared" si="182"/>
        <v>6.5512471018006601E-6</v>
      </c>
      <c r="AC414" s="36">
        <v>600</v>
      </c>
      <c r="AD414" s="36">
        <f t="shared" si="183"/>
        <v>6860.6182949600525</v>
      </c>
      <c r="AE414" s="36">
        <f>+gettm2(AD414,AC414,AK414,AL414,テーブル2[[#This Row],[Fcorr]])</f>
        <v>553.52804702062201</v>
      </c>
      <c r="AF414" s="39">
        <f t="shared" si="184"/>
        <v>-29.661490783500312</v>
      </c>
      <c r="AG414" s="36">
        <v>1.0000000000000001E-5</v>
      </c>
      <c r="AH414" s="36">
        <f t="shared" si="185"/>
        <v>119.12806555642045</v>
      </c>
      <c r="AI414" s="36">
        <f t="shared" si="186"/>
        <v>0.43662989743384184</v>
      </c>
      <c r="AJ414" s="36">
        <f t="shared" si="187"/>
        <v>37.776654892131788</v>
      </c>
      <c r="AK414" s="36">
        <f>+S88*テーブル2[[#This Row],[F_form]]/(E88*CpFromTP((テーブル2[[#This Row],[Tin]]+テーブル2[[#This Row],[Tf]])/2,テーブル2[[#This Row],[P]])*AI88)</f>
        <v>1.7745312820812573</v>
      </c>
      <c r="AL414" s="36">
        <f t="shared" si="188"/>
        <v>1.1293676909872215</v>
      </c>
      <c r="AM414" s="36">
        <f t="shared" si="189"/>
        <v>572.15089663637025</v>
      </c>
      <c r="AN414" s="36">
        <f t="shared" si="190"/>
        <v>36.470177362153322</v>
      </c>
      <c r="AO414" s="36">
        <f t="shared" si="191"/>
        <v>3.4487528981993407E-6</v>
      </c>
      <c r="AP414" s="36">
        <v>1</v>
      </c>
      <c r="AQ414" s="36">
        <f t="shared" si="192"/>
        <v>5.4530931276593132E-4</v>
      </c>
      <c r="AR414" s="36">
        <f t="shared" si="193"/>
        <v>6.7243764490996712E-6</v>
      </c>
      <c r="AS414" s="36">
        <f t="shared" si="194"/>
        <v>25.402444848241686</v>
      </c>
      <c r="AT414" s="36">
        <f t="shared" si="195"/>
        <v>13.124227116300837</v>
      </c>
      <c r="AU414" s="36">
        <f t="shared" si="196"/>
        <v>5.7304299396888805</v>
      </c>
      <c r="AV414" s="36">
        <f t="shared" si="197"/>
        <v>-4.7304299396888805</v>
      </c>
      <c r="AW414" s="36">
        <f t="shared" si="198"/>
        <v>3.9386828110444241E-3</v>
      </c>
      <c r="AX414" s="36">
        <f t="shared" si="199"/>
        <v>1.5309608135794517</v>
      </c>
      <c r="AY414" s="36">
        <f t="shared" si="200"/>
        <v>-6.2613907532683317</v>
      </c>
      <c r="AZ414" s="36">
        <f t="shared" si="201"/>
        <v>1080577.7610325073</v>
      </c>
      <c r="BA414" s="36">
        <f t="shared" si="202"/>
        <v>5.4530931276593132E-4</v>
      </c>
      <c r="BB414" s="38">
        <f t="shared" si="203"/>
        <v>4270338.8633320341</v>
      </c>
      <c r="BC414" s="40">
        <f t="shared" si="204"/>
        <v>-3458406.6366679659</v>
      </c>
      <c r="BD414" s="41">
        <f t="shared" si="205"/>
        <v>-44.747322015817005</v>
      </c>
      <c r="BE414" s="38">
        <v>7728745.5</v>
      </c>
      <c r="BF414" s="42">
        <f>テーブル2[[#This Row],[q_P]]/テーブル2[[#This Row],[q_M]]</f>
        <v>0.55252677984182996</v>
      </c>
      <c r="BG414" s="36">
        <v>1</v>
      </c>
      <c r="BH414" s="36">
        <v>-0.13400000000000001</v>
      </c>
      <c r="BI414" s="36">
        <v>4.5999999999999999E-2</v>
      </c>
      <c r="BJ414" s="36">
        <v>5625</v>
      </c>
      <c r="BK414" s="22">
        <v>1</v>
      </c>
      <c r="BL414" s="36">
        <f>テーブル2[[#This Row],[Ts]]-テーブル2[[#This Row],[Tin]]</f>
        <v>36.375170807044242</v>
      </c>
      <c r="BM414" s="36">
        <f>テーブル2[[#This Row],[q_P]]*0.000001</f>
        <v>4.2703388633320341</v>
      </c>
      <c r="BN414" s="36">
        <f>テーブル2[[#This Row],[Tsub]]</f>
        <v>36.375170807044242</v>
      </c>
      <c r="BO414" s="36">
        <f>テーブル2[[#This Row],[Fcorr]]</f>
        <v>1</v>
      </c>
      <c r="BP414" s="36">
        <f>(テーブル2[[#This Row],[Tsub]]-40)^2</f>
        <v>13.139386678104293</v>
      </c>
      <c r="BQ414" s="36">
        <v>1</v>
      </c>
      <c r="BR414" s="36">
        <v>7.619999999999999E-2</v>
      </c>
    </row>
    <row r="415" spans="1:70" x14ac:dyDescent="0.15">
      <c r="A415" s="35" t="s">
        <v>411</v>
      </c>
      <c r="B415" s="36">
        <v>13789514.586336</v>
      </c>
      <c r="C415" s="22">
        <f>TsatFromP(テーブル2[[#This Row],[P]])</f>
        <v>608.62107399852357</v>
      </c>
      <c r="D415" s="36">
        <f>RhoGFromP(テーブル2[[#This Row],[P]])</f>
        <v>85.147847035840741</v>
      </c>
      <c r="E415" s="36">
        <f>RhoFFromP(テーブル2[[#This Row],[P]])</f>
        <v>624.86636713482415</v>
      </c>
      <c r="F415" s="36">
        <f>HgFromP(テーブル2[[#This Row],[P]])</f>
        <v>2643264.5206450778</v>
      </c>
      <c r="G415" s="36">
        <f>HfFromP(テーブル2[[#This Row],[P]])</f>
        <v>1562686.7596125705</v>
      </c>
      <c r="H415" s="36">
        <f>MuGFromP(テーブル2[[#This Row],[P]])</f>
        <v>2.2019591234371903E-5</v>
      </c>
      <c r="I415" s="36">
        <f>MuFFromP(テーブル2[[#This Row],[P]])</f>
        <v>7.222326555143516E-5</v>
      </c>
      <c r="J415" s="36">
        <f>KfFromP(テーブル2[[#This Row],[P]])</f>
        <v>0.49112131073334553</v>
      </c>
      <c r="K415" s="36">
        <f>CpFFromP(テーブル2[[#This Row],[P]])</f>
        <v>7679.7488518783057</v>
      </c>
      <c r="L415" s="36">
        <f>SigmaFromP(テーブル2[[#This Row],[P]])</f>
        <v>6.5036449518301549E-3</v>
      </c>
      <c r="M415" s="36">
        <v>450.01</v>
      </c>
      <c r="N415" s="36">
        <v>1356.23</v>
      </c>
      <c r="O415" s="37">
        <f t="shared" si="206"/>
        <v>4.7446061512773295E-5</v>
      </c>
      <c r="P415" s="37">
        <f t="shared" si="207"/>
        <v>2.4417714740761307E-2</v>
      </c>
      <c r="Q415" s="37">
        <v>7.7723999999999996E-3</v>
      </c>
      <c r="R415" s="36">
        <v>0.59054999999999991</v>
      </c>
      <c r="S415" s="38">
        <v>2539444.9500000002</v>
      </c>
      <c r="T415" s="36">
        <v>510.87264915562628</v>
      </c>
      <c r="U415" s="12">
        <f>+T415+BG415*S415*テーブル2[[#This Row],[Pw]]*R415/(N415*O415*K415)</f>
        <v>584.9729481281629</v>
      </c>
      <c r="V415" s="36">
        <v>0.03</v>
      </c>
      <c r="W415" s="37">
        <f t="shared" si="178"/>
        <v>145952.44304611112</v>
      </c>
      <c r="X415" s="36">
        <v>0.01</v>
      </c>
      <c r="Y415" s="36">
        <f t="shared" si="179"/>
        <v>10</v>
      </c>
      <c r="Z415" s="36">
        <f t="shared" si="180"/>
        <v>4.4911206200364235</v>
      </c>
      <c r="AA415" s="36">
        <f t="shared" si="181"/>
        <v>5.5088793799635765</v>
      </c>
      <c r="AB415" s="36">
        <f t="shared" si="182"/>
        <v>2.121038312926084E-4</v>
      </c>
      <c r="AC415" s="36">
        <v>600</v>
      </c>
      <c r="AD415" s="36">
        <f t="shared" si="183"/>
        <v>2580.0990552162129</v>
      </c>
      <c r="AE415" s="36">
        <f>+gettm2(AD415,AC415,AK415,AL415,テーブル2[[#This Row],[Fcorr]])</f>
        <v>552.96423302786548</v>
      </c>
      <c r="AF415" s="39">
        <f t="shared" si="184"/>
        <v>-32.008715100297422</v>
      </c>
      <c r="AG415" s="36">
        <v>1.0000000000000001E-5</v>
      </c>
      <c r="AH415" s="36">
        <f t="shared" si="185"/>
        <v>3.6795063505616938</v>
      </c>
      <c r="AI415" s="36">
        <f t="shared" si="186"/>
        <v>7.6736361587669916E-2</v>
      </c>
      <c r="AJ415" s="36">
        <f t="shared" si="187"/>
        <v>6.6391309125011926</v>
      </c>
      <c r="AK415" s="36">
        <f>+S88*テーブル2[[#This Row],[F_form]]/(E88*CpFromTP((テーブル2[[#This Row],[Tin]]+テーブル2[[#This Row],[Tf]])/2,テーブル2[[#This Row],[P]])*AI88)</f>
        <v>1.9824101901035553</v>
      </c>
      <c r="AL415" s="36">
        <f t="shared" si="188"/>
        <v>1.1293676909872215</v>
      </c>
      <c r="AM415" s="36">
        <f t="shared" si="189"/>
        <v>585.68352032037205</v>
      </c>
      <c r="AN415" s="36">
        <f t="shared" si="190"/>
        <v>22.937553678151517</v>
      </c>
      <c r="AO415" s="36">
        <f t="shared" si="191"/>
        <v>-2.021038312926084E-4</v>
      </c>
      <c r="AP415" s="36">
        <v>1</v>
      </c>
      <c r="AQ415" s="36">
        <f t="shared" si="192"/>
        <v>5.4530931276593132E-4</v>
      </c>
      <c r="AR415" s="36">
        <f t="shared" si="193"/>
        <v>-9.60519156463042E-5</v>
      </c>
      <c r="AS415" s="36">
        <f t="shared" si="194"/>
        <v>-63.770124237233524</v>
      </c>
      <c r="AT415" s="36">
        <f t="shared" si="195"/>
        <v>-63.770124237233524</v>
      </c>
      <c r="AU415" s="36">
        <f t="shared" si="196"/>
        <v>-4.8934873119589852</v>
      </c>
      <c r="AV415" s="36">
        <f t="shared" si="197"/>
        <v>5.8934873119589852</v>
      </c>
      <c r="AW415" s="36">
        <f t="shared" si="198"/>
        <v>0.12751918855865541</v>
      </c>
      <c r="AX415" s="36">
        <f t="shared" si="199"/>
        <v>0.26906165440763646</v>
      </c>
      <c r="AY415" s="36">
        <f t="shared" si="200"/>
        <v>5.6244256575513489</v>
      </c>
      <c r="AZ415" s="36">
        <f t="shared" si="201"/>
        <v>1080577.7610325073</v>
      </c>
      <c r="BA415" s="36">
        <f t="shared" si="202"/>
        <v>5.4530931276593132E-4</v>
      </c>
      <c r="BB415" s="38">
        <f t="shared" si="203"/>
        <v>-250250415.34513599</v>
      </c>
      <c r="BC415" s="40">
        <f t="shared" si="204"/>
        <v>-252789860.29513597</v>
      </c>
      <c r="BD415" s="41">
        <f t="shared" si="205"/>
        <v>-9954.5320049224138</v>
      </c>
      <c r="BE415" s="38">
        <v>2539444.9500000002</v>
      </c>
      <c r="BF415" s="42">
        <f>テーブル2[[#This Row],[q_P]]/テーブル2[[#This Row],[q_M]]</f>
        <v>-98.545320049224131</v>
      </c>
      <c r="BG415" s="36">
        <v>1</v>
      </c>
      <c r="BH415" s="36">
        <v>3.2000000000000001E-2</v>
      </c>
      <c r="BI415" s="36">
        <v>4.5999999999999999E-2</v>
      </c>
      <c r="BJ415" s="36">
        <v>5625</v>
      </c>
      <c r="BK415" s="22">
        <v>1</v>
      </c>
      <c r="BL415" s="36">
        <f>テーブル2[[#This Row],[Ts]]-テーブル2[[#This Row],[Tin]]</f>
        <v>97.748424842897293</v>
      </c>
      <c r="BM415" s="36">
        <f>テーブル2[[#This Row],[q_P]]*0.000001</f>
        <v>-250.25041534513596</v>
      </c>
      <c r="BN415" s="36">
        <f>テーブル2[[#This Row],[Tsub]]</f>
        <v>97.748424842897293</v>
      </c>
      <c r="BO415" s="36">
        <f>テーブル2[[#This Row],[Fcorr]]</f>
        <v>1</v>
      </c>
      <c r="BP415" s="36">
        <f>(テーブル2[[#This Row],[Tsub]]-40)^2</f>
        <v>3334.8805718357571</v>
      </c>
      <c r="BQ415" s="36">
        <v>1</v>
      </c>
      <c r="BR415" s="36">
        <v>0.59054999999999991</v>
      </c>
    </row>
    <row r="416" spans="1:70" x14ac:dyDescent="0.15">
      <c r="A416" s="35" t="s">
        <v>412</v>
      </c>
      <c r="B416" s="36">
        <v>13789514.586336</v>
      </c>
      <c r="C416" s="22">
        <f>TsatFromP(テーブル2[[#This Row],[P]])</f>
        <v>608.62107399852357</v>
      </c>
      <c r="D416" s="36">
        <f>RhoGFromP(テーブル2[[#This Row],[P]])</f>
        <v>85.147847035840741</v>
      </c>
      <c r="E416" s="36">
        <f>RhoFFromP(テーブル2[[#This Row],[P]])</f>
        <v>624.86636713482415</v>
      </c>
      <c r="F416" s="36">
        <f>HgFromP(テーブル2[[#This Row],[P]])</f>
        <v>2643264.5206450778</v>
      </c>
      <c r="G416" s="36">
        <f>HfFromP(テーブル2[[#This Row],[P]])</f>
        <v>1562686.7596125705</v>
      </c>
      <c r="H416" s="36">
        <f>MuGFromP(テーブル2[[#This Row],[P]])</f>
        <v>2.2019591234371903E-5</v>
      </c>
      <c r="I416" s="36">
        <f>MuFFromP(テーブル2[[#This Row],[P]])</f>
        <v>7.222326555143516E-5</v>
      </c>
      <c r="J416" s="36">
        <f>KfFromP(テーブル2[[#This Row],[P]])</f>
        <v>0.49112131073334553</v>
      </c>
      <c r="K416" s="36">
        <f>CpFFromP(テーブル2[[#This Row],[P]])</f>
        <v>7679.7488518783057</v>
      </c>
      <c r="L416" s="36">
        <f>SigmaFromP(テーブル2[[#This Row],[P]])</f>
        <v>6.5036449518301549E-3</v>
      </c>
      <c r="M416" s="36">
        <v>451.01</v>
      </c>
      <c r="N416" s="36">
        <v>1383.3545999999999</v>
      </c>
      <c r="O416" s="37">
        <f t="shared" si="206"/>
        <v>4.7446061512773295E-5</v>
      </c>
      <c r="P416" s="37">
        <f t="shared" si="207"/>
        <v>2.4417714740761307E-2</v>
      </c>
      <c r="Q416" s="37">
        <v>7.7723999999999996E-3</v>
      </c>
      <c r="R416" s="36">
        <v>0.59054999999999991</v>
      </c>
      <c r="S416" s="38">
        <v>2539444.9500000002</v>
      </c>
      <c r="T416" s="36">
        <v>504.73280186035379</v>
      </c>
      <c r="U416" s="12">
        <f>+T416+BG416*S416*テーブル2[[#This Row],[Pw]]*R416/(N416*O416*K416)</f>
        <v>577.38015379421324</v>
      </c>
      <c r="V416" s="36">
        <v>0.03</v>
      </c>
      <c r="W416" s="37">
        <f t="shared" si="178"/>
        <v>148871.49190703334</v>
      </c>
      <c r="X416" s="36">
        <v>0.01</v>
      </c>
      <c r="Y416" s="36">
        <f t="shared" si="179"/>
        <v>10</v>
      </c>
      <c r="Z416" s="36">
        <f t="shared" si="180"/>
        <v>4.5249942312811653</v>
      </c>
      <c r="AA416" s="36">
        <f t="shared" si="181"/>
        <v>5.4750057687188347</v>
      </c>
      <c r="AB416" s="36">
        <f t="shared" si="182"/>
        <v>2.038675810194237E-4</v>
      </c>
      <c r="AC416" s="36">
        <v>600</v>
      </c>
      <c r="AD416" s="36">
        <f t="shared" si="183"/>
        <v>2631.7010363205377</v>
      </c>
      <c r="AE416" s="36">
        <f>+gettm2(AD416,AC416,AK416,AL416,テーブル2[[#This Row],[Fcorr]])</f>
        <v>552.02050382756988</v>
      </c>
      <c r="AF416" s="39">
        <f t="shared" si="184"/>
        <v>-25.35964996664336</v>
      </c>
      <c r="AG416" s="36">
        <v>1.0000000000000001E-5</v>
      </c>
      <c r="AH416" s="36">
        <f t="shared" si="185"/>
        <v>3.828158407124385</v>
      </c>
      <c r="AI416" s="36">
        <f t="shared" si="186"/>
        <v>7.827108881942331E-2</v>
      </c>
      <c r="AJ416" s="36">
        <f t="shared" si="187"/>
        <v>6.7719135307512168</v>
      </c>
      <c r="AK416" s="36">
        <f>+S88*テーブル2[[#This Row],[F_form]]/(E88*CpFromTP((テーブル2[[#This Row],[Tin]]+テーブル2[[#This Row],[Tf]])/2,テーブル2[[#This Row],[P]])*AI88)</f>
        <v>2.0179299657712688</v>
      </c>
      <c r="AL416" s="36">
        <f t="shared" si="188"/>
        <v>1.1293676909872215</v>
      </c>
      <c r="AM416" s="36">
        <f t="shared" si="189"/>
        <v>585.20854265964397</v>
      </c>
      <c r="AN416" s="36">
        <f t="shared" si="190"/>
        <v>23.412531338879603</v>
      </c>
      <c r="AO416" s="36">
        <f t="shared" si="191"/>
        <v>-1.938675810194237E-4</v>
      </c>
      <c r="AP416" s="36">
        <v>1</v>
      </c>
      <c r="AQ416" s="36">
        <f t="shared" si="192"/>
        <v>5.4530931276593132E-4</v>
      </c>
      <c r="AR416" s="36">
        <f t="shared" si="193"/>
        <v>-9.1933790509711851E-5</v>
      </c>
      <c r="AS416" s="36">
        <f t="shared" si="194"/>
        <v>-62.256767988596543</v>
      </c>
      <c r="AT416" s="36">
        <f t="shared" si="195"/>
        <v>-62.256767988596543</v>
      </c>
      <c r="AU416" s="36">
        <f t="shared" si="196"/>
        <v>-4.87290501684567</v>
      </c>
      <c r="AV416" s="36">
        <f t="shared" si="197"/>
        <v>5.87290501684567</v>
      </c>
      <c r="AW416" s="36">
        <f t="shared" si="198"/>
        <v>0.12256746305137967</v>
      </c>
      <c r="AX416" s="36">
        <f t="shared" si="199"/>
        <v>0.27444288749578921</v>
      </c>
      <c r="AY416" s="36">
        <f t="shared" si="200"/>
        <v>5.5984621293498806</v>
      </c>
      <c r="AZ416" s="36">
        <f t="shared" si="201"/>
        <v>1080577.7610325073</v>
      </c>
      <c r="BA416" s="36">
        <f t="shared" si="202"/>
        <v>5.4530931276593132E-4</v>
      </c>
      <c r="BB416" s="38">
        <f t="shared" si="203"/>
        <v>-240052068.09675139</v>
      </c>
      <c r="BC416" s="40">
        <f t="shared" si="204"/>
        <v>-242591513.04675138</v>
      </c>
      <c r="BD416" s="41">
        <f t="shared" si="205"/>
        <v>-9552.9345121953265</v>
      </c>
      <c r="BE416" s="38">
        <v>2539444.9500000002</v>
      </c>
      <c r="BF416" s="42">
        <f>テーブル2[[#This Row],[q_P]]/テーブル2[[#This Row],[q_M]]</f>
        <v>-94.52934512195327</v>
      </c>
      <c r="BG416" s="36">
        <v>1</v>
      </c>
      <c r="BH416" s="36">
        <v>-4.0000000000000001E-3</v>
      </c>
      <c r="BI416" s="36">
        <v>4.5999999999999999E-2</v>
      </c>
      <c r="BJ416" s="36">
        <v>5625</v>
      </c>
      <c r="BK416" s="22">
        <v>1</v>
      </c>
      <c r="BL416" s="36">
        <f>テーブル2[[#This Row],[Ts]]-テーブル2[[#This Row],[Tin]]</f>
        <v>103.88827213816978</v>
      </c>
      <c r="BM416" s="36">
        <f>テーブル2[[#This Row],[q_P]]*0.000001</f>
        <v>-240.05206809675138</v>
      </c>
      <c r="BN416" s="36">
        <f>テーブル2[[#This Row],[Tsub]]</f>
        <v>103.88827213816978</v>
      </c>
      <c r="BO416" s="36">
        <f>テーブル2[[#This Row],[Fcorr]]</f>
        <v>1</v>
      </c>
      <c r="BP416" s="36">
        <f>(テーブル2[[#This Row],[Tsub]]-40)^2</f>
        <v>4081.7113168008414</v>
      </c>
      <c r="BQ416" s="36">
        <v>1</v>
      </c>
      <c r="BR416" s="36">
        <v>0.59054999999999991</v>
      </c>
    </row>
    <row r="417" spans="1:70" x14ac:dyDescent="0.15">
      <c r="A417" s="35" t="s">
        <v>413</v>
      </c>
      <c r="B417" s="36">
        <v>13789514.586336</v>
      </c>
      <c r="C417" s="22">
        <f>TsatFromP(テーブル2[[#This Row],[P]])</f>
        <v>608.62107399852357</v>
      </c>
      <c r="D417" s="36">
        <f>RhoGFromP(テーブル2[[#This Row],[P]])</f>
        <v>85.147847035840741</v>
      </c>
      <c r="E417" s="36">
        <f>RhoFFromP(テーブル2[[#This Row],[P]])</f>
        <v>624.86636713482415</v>
      </c>
      <c r="F417" s="36">
        <f>HgFromP(テーブル2[[#This Row],[P]])</f>
        <v>2643264.5206450778</v>
      </c>
      <c r="G417" s="36">
        <f>HfFromP(テーブル2[[#This Row],[P]])</f>
        <v>1562686.7596125705</v>
      </c>
      <c r="H417" s="36">
        <f>MuGFromP(テーブル2[[#This Row],[P]])</f>
        <v>2.2019591234371903E-5</v>
      </c>
      <c r="I417" s="36">
        <f>MuFFromP(テーブル2[[#This Row],[P]])</f>
        <v>7.222326555143516E-5</v>
      </c>
      <c r="J417" s="36">
        <f>KfFromP(テーブル2[[#This Row],[P]])</f>
        <v>0.49112131073334553</v>
      </c>
      <c r="K417" s="36">
        <f>CpFFromP(テーブル2[[#This Row],[P]])</f>
        <v>7679.7488518783057</v>
      </c>
      <c r="L417" s="36">
        <f>SigmaFromP(テーブル2[[#This Row],[P]])</f>
        <v>6.5036449518301549E-3</v>
      </c>
      <c r="M417" s="36">
        <v>452.01</v>
      </c>
      <c r="N417" s="36">
        <v>1383.3545999999999</v>
      </c>
      <c r="O417" s="37">
        <f t="shared" si="206"/>
        <v>4.7446061512773295E-5</v>
      </c>
      <c r="P417" s="37">
        <f t="shared" si="207"/>
        <v>2.4417714740761307E-2</v>
      </c>
      <c r="Q417" s="37">
        <v>7.7723999999999996E-3</v>
      </c>
      <c r="R417" s="36">
        <v>0.59054999999999991</v>
      </c>
      <c r="S417" s="38">
        <v>2217676.77</v>
      </c>
      <c r="T417" s="36">
        <v>530.41461550494739</v>
      </c>
      <c r="U417" s="12">
        <f>+T417+BG417*S417*テーブル2[[#This Row],[Pw]]*R417/(N417*O417*K417)</f>
        <v>593.85696135526189</v>
      </c>
      <c r="V417" s="36">
        <v>0.03</v>
      </c>
      <c r="W417" s="37">
        <f t="shared" si="178"/>
        <v>148871.49190703334</v>
      </c>
      <c r="X417" s="36">
        <v>0.01</v>
      </c>
      <c r="Y417" s="36">
        <f t="shared" si="179"/>
        <v>10</v>
      </c>
      <c r="Z417" s="36">
        <f t="shared" si="180"/>
        <v>4.5249942312811653</v>
      </c>
      <c r="AA417" s="36">
        <f t="shared" si="181"/>
        <v>5.4750057687188347</v>
      </c>
      <c r="AB417" s="36">
        <f t="shared" si="182"/>
        <v>2.038675810194237E-4</v>
      </c>
      <c r="AC417" s="36">
        <v>600</v>
      </c>
      <c r="AD417" s="36">
        <f t="shared" si="183"/>
        <v>2631.7010363205377</v>
      </c>
      <c r="AE417" s="36">
        <f>+gettm2(AD417,AC417,AK417,AL417,テーブル2[[#This Row],[Fcorr]])</f>
        <v>554.91314970892199</v>
      </c>
      <c r="AF417" s="39">
        <f t="shared" si="184"/>
        <v>-38.943811646339896</v>
      </c>
      <c r="AG417" s="36">
        <v>1.0000000000000001E-5</v>
      </c>
      <c r="AH417" s="36">
        <f t="shared" si="185"/>
        <v>3.828158407124385</v>
      </c>
      <c r="AI417" s="36">
        <f t="shared" si="186"/>
        <v>7.827108881942331E-2</v>
      </c>
      <c r="AJ417" s="36">
        <f t="shared" si="187"/>
        <v>6.7719135307512168</v>
      </c>
      <c r="AK417" s="36">
        <f>+S88*テーブル2[[#This Row],[F_form]]/(E88*CpFromTP((テーブル2[[#This Row],[Tin]]+テーブル2[[#This Row],[Tf]])/2,テーブル2[[#This Row],[P]])*AI88)</f>
        <v>1.8962705639432904</v>
      </c>
      <c r="AL417" s="36">
        <f t="shared" si="188"/>
        <v>1.1293676909872215</v>
      </c>
      <c r="AM417" s="36">
        <f t="shared" si="189"/>
        <v>586.10030792539442</v>
      </c>
      <c r="AN417" s="36">
        <f t="shared" si="190"/>
        <v>22.520766073129153</v>
      </c>
      <c r="AO417" s="36">
        <f t="shared" si="191"/>
        <v>-1.938675810194237E-4</v>
      </c>
      <c r="AP417" s="36">
        <v>1</v>
      </c>
      <c r="AQ417" s="36">
        <f t="shared" si="192"/>
        <v>5.4530931276593132E-4</v>
      </c>
      <c r="AR417" s="36">
        <f t="shared" si="193"/>
        <v>-9.1933790509711851E-5</v>
      </c>
      <c r="AS417" s="36">
        <f t="shared" si="194"/>
        <v>-62.256767988596543</v>
      </c>
      <c r="AT417" s="36">
        <f t="shared" si="195"/>
        <v>-62.256767988596543</v>
      </c>
      <c r="AU417" s="36">
        <f t="shared" si="196"/>
        <v>-4.87290501684567</v>
      </c>
      <c r="AV417" s="36">
        <f t="shared" si="197"/>
        <v>5.87290501684567</v>
      </c>
      <c r="AW417" s="36">
        <f t="shared" si="198"/>
        <v>0.12256746305137967</v>
      </c>
      <c r="AX417" s="36">
        <f t="shared" si="199"/>
        <v>0.27444288749578921</v>
      </c>
      <c r="AY417" s="36">
        <f t="shared" si="200"/>
        <v>5.5984621293498806</v>
      </c>
      <c r="AZ417" s="36">
        <f t="shared" si="201"/>
        <v>1080577.7610325073</v>
      </c>
      <c r="BA417" s="36">
        <f t="shared" si="202"/>
        <v>5.4530931276593132E-4</v>
      </c>
      <c r="BB417" s="38">
        <f t="shared" si="203"/>
        <v>-240052068.09675139</v>
      </c>
      <c r="BC417" s="40">
        <f t="shared" si="204"/>
        <v>-242269744.8667514</v>
      </c>
      <c r="BD417" s="41">
        <f t="shared" si="205"/>
        <v>-10924.484043125518</v>
      </c>
      <c r="BE417" s="38">
        <v>2217676.77</v>
      </c>
      <c r="BF417" s="42">
        <f>テーブル2[[#This Row],[q_P]]/テーブル2[[#This Row],[q_M]]</f>
        <v>-108.24484043125518</v>
      </c>
      <c r="BG417" s="36">
        <v>1</v>
      </c>
      <c r="BH417" s="36">
        <v>4.2000000000000003E-2</v>
      </c>
      <c r="BI417" s="36">
        <v>4.5999999999999999E-2</v>
      </c>
      <c r="BJ417" s="36">
        <v>5625</v>
      </c>
      <c r="BK417" s="22">
        <v>1</v>
      </c>
      <c r="BL417" s="36">
        <f>テーブル2[[#This Row],[Ts]]-テーブル2[[#This Row],[Tin]]</f>
        <v>78.206458493576179</v>
      </c>
      <c r="BM417" s="36">
        <f>テーブル2[[#This Row],[q_P]]*0.000001</f>
        <v>-240.05206809675138</v>
      </c>
      <c r="BN417" s="36">
        <f>テーブル2[[#This Row],[Tsub]]</f>
        <v>78.206458493576179</v>
      </c>
      <c r="BO417" s="36">
        <f>テーブル2[[#This Row],[Fcorr]]</f>
        <v>1</v>
      </c>
      <c r="BP417" s="36">
        <f>(テーブル2[[#This Row],[Tsub]]-40)^2</f>
        <v>1459.7334706213594</v>
      </c>
      <c r="BQ417" s="36">
        <v>1</v>
      </c>
      <c r="BR417" s="36">
        <v>0.59054999999999991</v>
      </c>
    </row>
    <row r="418" spans="1:70" x14ac:dyDescent="0.15">
      <c r="A418" s="35" t="s">
        <v>414</v>
      </c>
      <c r="B418" s="36">
        <v>13789514.586336</v>
      </c>
      <c r="C418" s="22">
        <f>TsatFromP(テーブル2[[#This Row],[P]])</f>
        <v>608.62107399852357</v>
      </c>
      <c r="D418" s="36">
        <f>RhoGFromP(テーブル2[[#This Row],[P]])</f>
        <v>85.147847035840741</v>
      </c>
      <c r="E418" s="36">
        <f>RhoFFromP(テーブル2[[#This Row],[P]])</f>
        <v>624.86636713482415</v>
      </c>
      <c r="F418" s="36">
        <f>HgFromP(テーブル2[[#This Row],[P]])</f>
        <v>2643264.5206450778</v>
      </c>
      <c r="G418" s="36">
        <f>HfFromP(テーブル2[[#This Row],[P]])</f>
        <v>1562686.7596125705</v>
      </c>
      <c r="H418" s="36">
        <f>MuGFromP(テーブル2[[#This Row],[P]])</f>
        <v>2.2019591234371903E-5</v>
      </c>
      <c r="I418" s="36">
        <f>MuFFromP(テーブル2[[#This Row],[P]])</f>
        <v>7.222326555143516E-5</v>
      </c>
      <c r="J418" s="36">
        <f>KfFromP(テーブル2[[#This Row],[P]])</f>
        <v>0.49112131073334553</v>
      </c>
      <c r="K418" s="36">
        <f>CpFFromP(テーブル2[[#This Row],[P]])</f>
        <v>7679.7488518783057</v>
      </c>
      <c r="L418" s="36">
        <f>SigmaFromP(テーブル2[[#This Row],[P]])</f>
        <v>6.5036449518301549E-3</v>
      </c>
      <c r="M418" s="36">
        <v>453.01</v>
      </c>
      <c r="N418" s="36">
        <v>1410.4792</v>
      </c>
      <c r="O418" s="37">
        <f t="shared" si="206"/>
        <v>4.7446061512773295E-5</v>
      </c>
      <c r="P418" s="37">
        <f t="shared" si="207"/>
        <v>2.4417714740761307E-2</v>
      </c>
      <c r="Q418" s="37">
        <v>7.7723999999999996E-3</v>
      </c>
      <c r="R418" s="36">
        <v>0.59054999999999991</v>
      </c>
      <c r="S418" s="38">
        <v>2643546.42</v>
      </c>
      <c r="T418" s="36">
        <v>505.33927853600352</v>
      </c>
      <c r="U418" s="12">
        <f>+T418+BG418*S418*テーブル2[[#This Row],[Pw]]*R418/(N418*O418*K418)</f>
        <v>579.51038524764431</v>
      </c>
      <c r="V418" s="36">
        <v>0.03</v>
      </c>
      <c r="W418" s="37">
        <f t="shared" si="178"/>
        <v>151790.54076795556</v>
      </c>
      <c r="X418" s="36">
        <v>0.01</v>
      </c>
      <c r="Y418" s="36">
        <f t="shared" si="179"/>
        <v>10</v>
      </c>
      <c r="Z418" s="36">
        <f t="shared" si="180"/>
        <v>4.5582001452710497</v>
      </c>
      <c r="AA418" s="36">
        <f t="shared" si="181"/>
        <v>5.4417998547289503</v>
      </c>
      <c r="AB418" s="36">
        <f t="shared" si="182"/>
        <v>1.9610191502645005E-4</v>
      </c>
      <c r="AC418" s="36">
        <v>600</v>
      </c>
      <c r="AD418" s="36">
        <f t="shared" si="183"/>
        <v>2683.303017424862</v>
      </c>
      <c r="AE418" s="36">
        <f>+gettm2(AD418,AC418,AK418,AL418,テーブル2[[#This Row],[Fcorr]])</f>
        <v>552.08394798998984</v>
      </c>
      <c r="AF418" s="39">
        <f t="shared" si="184"/>
        <v>-27.42643725765447</v>
      </c>
      <c r="AG418" s="36">
        <v>1.0000000000000001E-5</v>
      </c>
      <c r="AH418" s="36">
        <f t="shared" si="185"/>
        <v>3.9797540687675275</v>
      </c>
      <c r="AI418" s="36">
        <f t="shared" si="186"/>
        <v>7.9805816051176717E-2</v>
      </c>
      <c r="AJ418" s="36">
        <f t="shared" si="187"/>
        <v>6.904696149001242</v>
      </c>
      <c r="AK418" s="36">
        <f>+S88*テーブル2[[#This Row],[F_form]]/(E88*CpFromTP((テーブル2[[#This Row],[Tin]]+テーブル2[[#This Row],[Tf]])/2,テーブル2[[#This Row],[P]])*AI88)</f>
        <v>2.0111125030799619</v>
      </c>
      <c r="AL418" s="36">
        <f t="shared" si="188"/>
        <v>1.1293676909872215</v>
      </c>
      <c r="AM418" s="36">
        <f t="shared" si="189"/>
        <v>585.04540473257009</v>
      </c>
      <c r="AN418" s="36">
        <f t="shared" si="190"/>
        <v>23.575669265953479</v>
      </c>
      <c r="AO418" s="36">
        <f t="shared" si="191"/>
        <v>-1.8610191502645005E-4</v>
      </c>
      <c r="AP418" s="36">
        <v>1</v>
      </c>
      <c r="AQ418" s="36">
        <f t="shared" si="192"/>
        <v>5.4530931276593132E-4</v>
      </c>
      <c r="AR418" s="36">
        <f t="shared" si="193"/>
        <v>-8.8050957513225025E-5</v>
      </c>
      <c r="AS418" s="36">
        <f t="shared" si="194"/>
        <v>-60.796510725743673</v>
      </c>
      <c r="AT418" s="36">
        <f t="shared" si="195"/>
        <v>-60.796510725743673</v>
      </c>
      <c r="AU418" s="36">
        <f t="shared" si="196"/>
        <v>-4.8519151515320917</v>
      </c>
      <c r="AV418" s="36">
        <f t="shared" si="197"/>
        <v>5.8519151515320917</v>
      </c>
      <c r="AW418" s="36">
        <f t="shared" si="198"/>
        <v>0.11789865806088701</v>
      </c>
      <c r="AX418" s="36">
        <f t="shared" si="199"/>
        <v>0.27982412058394196</v>
      </c>
      <c r="AY418" s="36">
        <f t="shared" si="200"/>
        <v>5.5720910309481502</v>
      </c>
      <c r="AZ418" s="36">
        <f t="shared" si="201"/>
        <v>1080577.7610325073</v>
      </c>
      <c r="BA418" s="36">
        <f t="shared" si="202"/>
        <v>5.4530931276593132E-4</v>
      </c>
      <c r="BB418" s="38">
        <f t="shared" si="203"/>
        <v>-230436410.99740809</v>
      </c>
      <c r="BC418" s="40">
        <f t="shared" si="204"/>
        <v>-233079957.41740808</v>
      </c>
      <c r="BD418" s="41">
        <f t="shared" si="205"/>
        <v>-8816.942106785782</v>
      </c>
      <c r="BE418" s="38">
        <v>2643546.42</v>
      </c>
      <c r="BF418" s="42">
        <f>テーブル2[[#This Row],[q_P]]/テーブル2[[#This Row],[q_M]]</f>
        <v>-87.169421067857812</v>
      </c>
      <c r="BG418" s="36">
        <v>1</v>
      </c>
      <c r="BH418" s="36">
        <v>8.9999999999999993E-3</v>
      </c>
      <c r="BI418" s="36">
        <v>4.5999999999999999E-2</v>
      </c>
      <c r="BJ418" s="36">
        <v>5625</v>
      </c>
      <c r="BK418" s="22">
        <v>1</v>
      </c>
      <c r="BL418" s="36">
        <f>テーブル2[[#This Row],[Ts]]-テーブル2[[#This Row],[Tin]]</f>
        <v>103.28179546252005</v>
      </c>
      <c r="BM418" s="36">
        <f>テーブル2[[#This Row],[q_P]]*0.000001</f>
        <v>-230.43641099740807</v>
      </c>
      <c r="BN418" s="36">
        <f>テーブル2[[#This Row],[Tsub]]</f>
        <v>103.28179546252005</v>
      </c>
      <c r="BO418" s="36">
        <f>テーブル2[[#This Row],[Fcorr]]</f>
        <v>1</v>
      </c>
      <c r="BP418" s="36">
        <f>(テーブル2[[#This Row],[Tsub]]-40)^2</f>
        <v>4004.5856369602234</v>
      </c>
      <c r="BQ418" s="36">
        <v>1</v>
      </c>
      <c r="BR418" s="36">
        <v>0.59054999999999991</v>
      </c>
    </row>
    <row r="419" spans="1:70" x14ac:dyDescent="0.15">
      <c r="A419" s="35" t="s">
        <v>415</v>
      </c>
      <c r="B419" s="36">
        <v>13789514.586336</v>
      </c>
      <c r="C419" s="22">
        <f>TsatFromP(テーブル2[[#This Row],[P]])</f>
        <v>608.62107399852357</v>
      </c>
      <c r="D419" s="36">
        <f>RhoGFromP(テーブル2[[#This Row],[P]])</f>
        <v>85.147847035840741</v>
      </c>
      <c r="E419" s="36">
        <f>RhoFFromP(テーブル2[[#This Row],[P]])</f>
        <v>624.86636713482415</v>
      </c>
      <c r="F419" s="36">
        <f>HgFromP(テーブル2[[#This Row],[P]])</f>
        <v>2643264.5206450778</v>
      </c>
      <c r="G419" s="36">
        <f>HfFromP(テーブル2[[#This Row],[P]])</f>
        <v>1562686.7596125705</v>
      </c>
      <c r="H419" s="36">
        <f>MuGFromP(テーブル2[[#This Row],[P]])</f>
        <v>2.2019591234371903E-5</v>
      </c>
      <c r="I419" s="36">
        <f>MuFFromP(テーブル2[[#This Row],[P]])</f>
        <v>7.222326555143516E-5</v>
      </c>
      <c r="J419" s="36">
        <f>KfFromP(テーブル2[[#This Row],[P]])</f>
        <v>0.49112131073334553</v>
      </c>
      <c r="K419" s="36">
        <f>CpFFromP(テーブル2[[#This Row],[P]])</f>
        <v>7679.7488518783057</v>
      </c>
      <c r="L419" s="36">
        <f>SigmaFromP(テーブル2[[#This Row],[P]])</f>
        <v>6.5036449518301549E-3</v>
      </c>
      <c r="M419" s="36">
        <v>456.01</v>
      </c>
      <c r="N419" s="36">
        <v>1491.8530000000001</v>
      </c>
      <c r="O419" s="37">
        <f t="shared" si="206"/>
        <v>4.7446061512773295E-5</v>
      </c>
      <c r="P419" s="37">
        <f t="shared" si="207"/>
        <v>2.4417714740761307E-2</v>
      </c>
      <c r="Q419" s="37">
        <v>7.7723999999999996E-3</v>
      </c>
      <c r="R419" s="36">
        <v>0.59054999999999991</v>
      </c>
      <c r="S419" s="38">
        <v>2536290.36</v>
      </c>
      <c r="T419" s="36">
        <v>518.68488722927702</v>
      </c>
      <c r="U419" s="12">
        <f>+T419+BG419*S419*テーブル2[[#This Row],[Pw]]*R419/(N419*O419*K419)</f>
        <v>585.96511351264166</v>
      </c>
      <c r="V419" s="36">
        <v>0.03</v>
      </c>
      <c r="W419" s="37">
        <f t="shared" si="178"/>
        <v>160547.68735072223</v>
      </c>
      <c r="X419" s="36">
        <v>0.01</v>
      </c>
      <c r="Y419" s="36">
        <f t="shared" si="179"/>
        <v>10</v>
      </c>
      <c r="Z419" s="36">
        <f t="shared" si="180"/>
        <v>4.6540591742371831</v>
      </c>
      <c r="AA419" s="36">
        <f t="shared" si="181"/>
        <v>5.3459408257628169</v>
      </c>
      <c r="AB419" s="36">
        <f t="shared" si="182"/>
        <v>1.7529242255587466E-4</v>
      </c>
      <c r="AC419" s="36">
        <v>600</v>
      </c>
      <c r="AD419" s="36">
        <f t="shared" si="183"/>
        <v>2838.1089607378349</v>
      </c>
      <c r="AE419" s="36">
        <f>+gettm2(AD419,AC419,AK419,AL419,テーブル2[[#This Row],[Fcorr]])</f>
        <v>553.07905532724669</v>
      </c>
      <c r="AF419" s="39">
        <f t="shared" si="184"/>
        <v>-32.886058185394972</v>
      </c>
      <c r="AG419" s="36">
        <v>1.0000000000000001E-5</v>
      </c>
      <c r="AH419" s="36">
        <f t="shared" si="185"/>
        <v>4.4522026841796496</v>
      </c>
      <c r="AI419" s="36">
        <f t="shared" si="186"/>
        <v>8.4409997746436913E-2</v>
      </c>
      <c r="AJ419" s="36">
        <f t="shared" si="187"/>
        <v>7.3030440037513129</v>
      </c>
      <c r="AK419" s="36">
        <f>+S88*テーブル2[[#This Row],[F_form]]/(E88*CpFromTP((テーブル2[[#This Row],[Tin]]+テーブル2[[#This Row],[Tf]])/2,テーブル2[[#This Row],[P]])*AI88)</f>
        <v>1.9577082058691548</v>
      </c>
      <c r="AL419" s="36">
        <f t="shared" si="188"/>
        <v>1.1293676909872215</v>
      </c>
      <c r="AM419" s="36">
        <f t="shared" si="189"/>
        <v>584.84530810932756</v>
      </c>
      <c r="AN419" s="36">
        <f t="shared" si="190"/>
        <v>23.775765889196009</v>
      </c>
      <c r="AO419" s="36">
        <f t="shared" si="191"/>
        <v>-1.6529242255587467E-4</v>
      </c>
      <c r="AP419" s="36">
        <v>1</v>
      </c>
      <c r="AQ419" s="36">
        <f t="shared" si="192"/>
        <v>5.4530931276593132E-4</v>
      </c>
      <c r="AR419" s="36">
        <f t="shared" si="193"/>
        <v>-7.7646211277937333E-5</v>
      </c>
      <c r="AS419" s="36">
        <f t="shared" si="194"/>
        <v>-56.705369768734776</v>
      </c>
      <c r="AT419" s="36">
        <f t="shared" si="195"/>
        <v>-56.705369768734776</v>
      </c>
      <c r="AU419" s="36">
        <f t="shared" si="196"/>
        <v>-4.7865001343897742</v>
      </c>
      <c r="AV419" s="36">
        <f t="shared" si="197"/>
        <v>5.7865001343897742</v>
      </c>
      <c r="AW419" s="36">
        <f t="shared" si="198"/>
        <v>0.1053877591393846</v>
      </c>
      <c r="AX419" s="36">
        <f t="shared" si="199"/>
        <v>0.2959678198484002</v>
      </c>
      <c r="AY419" s="36">
        <f t="shared" si="200"/>
        <v>5.4905323145413742</v>
      </c>
      <c r="AZ419" s="36">
        <f t="shared" si="201"/>
        <v>1080577.7610325073</v>
      </c>
      <c r="BA419" s="36">
        <f t="shared" si="202"/>
        <v>5.4530931276593132E-4</v>
      </c>
      <c r="BB419" s="38">
        <f t="shared" si="203"/>
        <v>-204669536.11642984</v>
      </c>
      <c r="BC419" s="40">
        <f t="shared" si="204"/>
        <v>-207205826.47642985</v>
      </c>
      <c r="BD419" s="41">
        <f t="shared" si="205"/>
        <v>-8169.641368523352</v>
      </c>
      <c r="BE419" s="38">
        <v>2536290.36</v>
      </c>
      <c r="BF419" s="42">
        <f>テーブル2[[#This Row],[q_P]]/テーブル2[[#This Row],[q_M]]</f>
        <v>-80.696413685233523</v>
      </c>
      <c r="BG419" s="36">
        <v>1</v>
      </c>
      <c r="BH419" s="36">
        <v>1.7999999999999999E-2</v>
      </c>
      <c r="BI419" s="36">
        <v>4.5999999999999999E-2</v>
      </c>
      <c r="BJ419" s="36">
        <v>5625</v>
      </c>
      <c r="BK419" s="22">
        <v>1</v>
      </c>
      <c r="BL419" s="36">
        <f>テーブル2[[#This Row],[Ts]]-テーブル2[[#This Row],[Tin]]</f>
        <v>89.936186769246547</v>
      </c>
      <c r="BM419" s="36">
        <f>テーブル2[[#This Row],[q_P]]*0.000001</f>
        <v>-204.66953611642984</v>
      </c>
      <c r="BN419" s="36">
        <f>テーブル2[[#This Row],[Tsub]]</f>
        <v>89.936186769246547</v>
      </c>
      <c r="BO419" s="36">
        <f>テーブル2[[#This Row],[Fcorr]]</f>
        <v>1</v>
      </c>
      <c r="BP419" s="36">
        <f>(テーブル2[[#This Row],[Tsub]]-40)^2</f>
        <v>2493.6227490530737</v>
      </c>
      <c r="BQ419" s="36">
        <v>1</v>
      </c>
      <c r="BR419" s="36">
        <v>0.59054999999999991</v>
      </c>
    </row>
    <row r="420" spans="1:70" x14ac:dyDescent="0.15">
      <c r="A420" s="35" t="s">
        <v>416</v>
      </c>
      <c r="B420" s="36">
        <v>13789514.586336</v>
      </c>
      <c r="C420" s="22">
        <f>TsatFromP(テーブル2[[#This Row],[P]])</f>
        <v>608.62107399852357</v>
      </c>
      <c r="D420" s="36">
        <f>RhoGFromP(テーブル2[[#This Row],[P]])</f>
        <v>85.147847035840741</v>
      </c>
      <c r="E420" s="36">
        <f>RhoFFromP(テーブル2[[#This Row],[P]])</f>
        <v>624.86636713482415</v>
      </c>
      <c r="F420" s="36">
        <f>HgFromP(テーブル2[[#This Row],[P]])</f>
        <v>2643264.5206450778</v>
      </c>
      <c r="G420" s="36">
        <f>HfFromP(テーブル2[[#This Row],[P]])</f>
        <v>1562686.7596125705</v>
      </c>
      <c r="H420" s="36">
        <f>MuGFromP(テーブル2[[#This Row],[P]])</f>
        <v>2.2019591234371903E-5</v>
      </c>
      <c r="I420" s="36">
        <f>MuFFromP(テーブル2[[#This Row],[P]])</f>
        <v>7.222326555143516E-5</v>
      </c>
      <c r="J420" s="36">
        <f>KfFromP(テーブル2[[#This Row],[P]])</f>
        <v>0.49112131073334553</v>
      </c>
      <c r="K420" s="36">
        <f>CpFFromP(テーブル2[[#This Row],[P]])</f>
        <v>7679.7488518783057</v>
      </c>
      <c r="L420" s="36">
        <f>SigmaFromP(テーブル2[[#This Row],[P]])</f>
        <v>6.5036449518301549E-3</v>
      </c>
      <c r="M420" s="36">
        <v>46.01</v>
      </c>
      <c r="N420" s="36">
        <v>10144.600399999999</v>
      </c>
      <c r="O420" s="37">
        <f t="shared" si="206"/>
        <v>1.0361661240064725E-5</v>
      </c>
      <c r="P420" s="37">
        <f t="shared" si="207"/>
        <v>1.1410892836368843E-2</v>
      </c>
      <c r="Q420" s="37">
        <v>3.6321999999999991E-3</v>
      </c>
      <c r="R420" s="36">
        <v>7.619999999999999E-2</v>
      </c>
      <c r="S420" s="38">
        <v>12712997.699999999</v>
      </c>
      <c r="T420" s="36">
        <v>538.78813467630494</v>
      </c>
      <c r="U420" s="12">
        <f>+T420+BG420*S420*テーブル2[[#This Row],[Pw]]*R420/(N420*O420*K420)</f>
        <v>552.48153215595858</v>
      </c>
      <c r="V420" s="36">
        <v>0.03</v>
      </c>
      <c r="W420" s="37">
        <f t="shared" si="178"/>
        <v>510184.87313673942</v>
      </c>
      <c r="X420" s="36">
        <v>0.01</v>
      </c>
      <c r="Y420" s="36">
        <f t="shared" si="179"/>
        <v>10</v>
      </c>
      <c r="Z420" s="36">
        <f t="shared" si="180"/>
        <v>7.1700082677075541</v>
      </c>
      <c r="AA420" s="36">
        <f t="shared" si="181"/>
        <v>2.8299917322924459</v>
      </c>
      <c r="AB420" s="36">
        <f t="shared" si="182"/>
        <v>3.7909260933363916E-6</v>
      </c>
      <c r="AC420" s="36">
        <v>600</v>
      </c>
      <c r="AD420" s="36">
        <f t="shared" si="183"/>
        <v>9018.8795863446721</v>
      </c>
      <c r="AE420" s="36">
        <f>+gettm2(AD420,AC420,AK420,AL420,テーブル2[[#This Row],[Fcorr]])</f>
        <v>546.39546192502235</v>
      </c>
      <c r="AF420" s="39">
        <f t="shared" si="184"/>
        <v>-6.0860702309362296</v>
      </c>
      <c r="AG420" s="36">
        <v>1.0000000000000001E-5</v>
      </c>
      <c r="AH420" s="36">
        <f t="shared" si="185"/>
        <v>205.86985211646694</v>
      </c>
      <c r="AI420" s="36">
        <f t="shared" si="186"/>
        <v>0.57398798467577095</v>
      </c>
      <c r="AJ420" s="36">
        <f t="shared" si="187"/>
        <v>49.660699225508928</v>
      </c>
      <c r="AK420" s="36">
        <f>+S88*テーブル2[[#This Row],[F_form]]/(E88*CpFromTP((テーブル2[[#This Row],[Tin]]+テーブル2[[#This Row],[Tf]])/2,テーブル2[[#This Row],[P]])*AI88)</f>
        <v>1.9946223875905282</v>
      </c>
      <c r="AL420" s="36">
        <f t="shared" si="188"/>
        <v>1.1293676909872215</v>
      </c>
      <c r="AM420" s="36">
        <f t="shared" si="189"/>
        <v>567.33289979525898</v>
      </c>
      <c r="AN420" s="36">
        <f t="shared" si="190"/>
        <v>41.288174203264589</v>
      </c>
      <c r="AO420" s="36">
        <f t="shared" si="191"/>
        <v>6.2090739066636092E-6</v>
      </c>
      <c r="AP420" s="36">
        <v>1</v>
      </c>
      <c r="AQ420" s="36">
        <f t="shared" si="192"/>
        <v>5.4530931276593132E-4</v>
      </c>
      <c r="AR420" s="36">
        <f t="shared" si="193"/>
        <v>8.1045369533318046E-6</v>
      </c>
      <c r="AS420" s="36">
        <f t="shared" si="194"/>
        <v>40.247697200143314</v>
      </c>
      <c r="AT420" s="36">
        <f t="shared" si="195"/>
        <v>14.737631974522699</v>
      </c>
      <c r="AU420" s="36">
        <f t="shared" si="196"/>
        <v>8.4592236759494863</v>
      </c>
      <c r="AV420" s="36">
        <f t="shared" si="197"/>
        <v>-7.4592236759494863</v>
      </c>
      <c r="AW420" s="36">
        <f t="shared" si="198"/>
        <v>2.2791470402116058E-3</v>
      </c>
      <c r="AX420" s="36">
        <f t="shared" si="199"/>
        <v>2.0125811749691209</v>
      </c>
      <c r="AY420" s="36">
        <f t="shared" si="200"/>
        <v>-9.4718048509186072</v>
      </c>
      <c r="AZ420" s="36">
        <f t="shared" si="201"/>
        <v>1080577.7610325073</v>
      </c>
      <c r="BA420" s="36">
        <f t="shared" si="202"/>
        <v>5.4530931276593132E-4</v>
      </c>
      <c r="BB420" s="38">
        <f t="shared" si="203"/>
        <v>7688242.7914074026</v>
      </c>
      <c r="BC420" s="40">
        <f t="shared" si="204"/>
        <v>-5024754.9085925967</v>
      </c>
      <c r="BD420" s="41">
        <f t="shared" si="205"/>
        <v>-39.524548239260646</v>
      </c>
      <c r="BE420" s="38">
        <v>12712997.699999999</v>
      </c>
      <c r="BF420" s="42">
        <f>テーブル2[[#This Row],[q_P]]/テーブル2[[#This Row],[q_M]]</f>
        <v>0.60475451760739352</v>
      </c>
      <c r="BG420" s="36">
        <v>1</v>
      </c>
      <c r="BH420" s="36">
        <v>-0.27500000000000002</v>
      </c>
      <c r="BI420" s="36">
        <v>4.5999999999999999E-2</v>
      </c>
      <c r="BJ420" s="36">
        <v>5625</v>
      </c>
      <c r="BK420" s="22">
        <v>1</v>
      </c>
      <c r="BL420" s="36">
        <f>テーブル2[[#This Row],[Ts]]-テーブル2[[#This Row],[Tin]]</f>
        <v>69.832939322218635</v>
      </c>
      <c r="BM420" s="36">
        <f>テーブル2[[#This Row],[q_P]]*0.000001</f>
        <v>7.6882427914074025</v>
      </c>
      <c r="BN420" s="36">
        <f>テーブル2[[#This Row],[Tsub]]</f>
        <v>69.832939322218635</v>
      </c>
      <c r="BO420" s="36">
        <f>テーブル2[[#This Row],[Fcorr]]</f>
        <v>1</v>
      </c>
      <c r="BP420" s="36">
        <f>(テーブル2[[#This Row],[Tsub]]-40)^2</f>
        <v>890.00426860317884</v>
      </c>
      <c r="BQ420" s="36">
        <v>1</v>
      </c>
      <c r="BR420" s="36">
        <v>7.619999999999999E-2</v>
      </c>
    </row>
    <row r="421" spans="1:70" x14ac:dyDescent="0.15">
      <c r="A421" s="35" t="s">
        <v>417</v>
      </c>
      <c r="B421" s="36">
        <v>13789514.586336</v>
      </c>
      <c r="C421" s="22">
        <f>TsatFromP(テーブル2[[#This Row],[P]])</f>
        <v>608.62107399852357</v>
      </c>
      <c r="D421" s="36">
        <f>RhoGFromP(テーブル2[[#This Row],[P]])</f>
        <v>85.147847035840741</v>
      </c>
      <c r="E421" s="36">
        <f>RhoFFromP(テーブル2[[#This Row],[P]])</f>
        <v>624.86636713482415</v>
      </c>
      <c r="F421" s="36">
        <f>HgFromP(テーブル2[[#This Row],[P]])</f>
        <v>2643264.5206450778</v>
      </c>
      <c r="G421" s="36">
        <f>HfFromP(テーブル2[[#This Row],[P]])</f>
        <v>1562686.7596125705</v>
      </c>
      <c r="H421" s="36">
        <f>MuGFromP(テーブル2[[#This Row],[P]])</f>
        <v>2.2019591234371903E-5</v>
      </c>
      <c r="I421" s="36">
        <f>MuFFromP(テーブル2[[#This Row],[P]])</f>
        <v>7.222326555143516E-5</v>
      </c>
      <c r="J421" s="36">
        <f>KfFromP(テーブル2[[#This Row],[P]])</f>
        <v>0.49112131073334553</v>
      </c>
      <c r="K421" s="36">
        <f>CpFFromP(テーブル2[[#This Row],[P]])</f>
        <v>7679.7488518783057</v>
      </c>
      <c r="L421" s="36">
        <f>SigmaFromP(テーブル2[[#This Row],[P]])</f>
        <v>6.5036449518301549E-3</v>
      </c>
      <c r="M421" s="36">
        <v>461.01</v>
      </c>
      <c r="N421" s="36">
        <v>1586.7891</v>
      </c>
      <c r="O421" s="37">
        <f t="shared" si="206"/>
        <v>4.7446061512773295E-5</v>
      </c>
      <c r="P421" s="37">
        <f t="shared" si="207"/>
        <v>2.4417714740761307E-2</v>
      </c>
      <c r="Q421" s="37">
        <v>7.7723999999999996E-3</v>
      </c>
      <c r="R421" s="36">
        <v>0.59054999999999991</v>
      </c>
      <c r="S421" s="38">
        <v>2539444.9500000002</v>
      </c>
      <c r="T421" s="36">
        <v>525.95026839376089</v>
      </c>
      <c r="U421" s="12">
        <f>+T421+BG421*S421*テーブル2[[#This Row],[Pw]]*R421/(N421*O421*K421)</f>
        <v>589.28385725917678</v>
      </c>
      <c r="V421" s="36">
        <v>0.03</v>
      </c>
      <c r="W421" s="37">
        <f t="shared" si="178"/>
        <v>170764.35836394998</v>
      </c>
      <c r="X421" s="36">
        <v>0.01</v>
      </c>
      <c r="Y421" s="36">
        <f t="shared" si="179"/>
        <v>10</v>
      </c>
      <c r="Z421" s="36">
        <f t="shared" si="180"/>
        <v>4.7593940846996103</v>
      </c>
      <c r="AA421" s="36">
        <f t="shared" si="181"/>
        <v>5.2406059153003897</v>
      </c>
      <c r="AB421" s="36">
        <f t="shared" si="182"/>
        <v>1.5494472298386178E-4</v>
      </c>
      <c r="AC421" s="36">
        <v>600</v>
      </c>
      <c r="AD421" s="36">
        <f t="shared" si="183"/>
        <v>3018.7158946029695</v>
      </c>
      <c r="AE421" s="36">
        <f>+gettm2(AD421,AC421,AK421,AL421,テーブル2[[#This Row],[Fcorr]])</f>
        <v>553.54503834519971</v>
      </c>
      <c r="AF421" s="39">
        <f t="shared" si="184"/>
        <v>-35.73881891397707</v>
      </c>
      <c r="AG421" s="36">
        <v>1.0000000000000001E-5</v>
      </c>
      <c r="AH421" s="36">
        <f t="shared" si="185"/>
        <v>5.0368762432839018</v>
      </c>
      <c r="AI421" s="36">
        <f t="shared" si="186"/>
        <v>8.9781543057573798E-2</v>
      </c>
      <c r="AJ421" s="36">
        <f t="shared" si="187"/>
        <v>7.767783167626396</v>
      </c>
      <c r="AK421" s="36">
        <f>+S88*テーブル2[[#This Row],[F_form]]/(E88*CpFromTP((テーブル2[[#This Row],[Tin]]+テーブル2[[#This Row],[Tf]])/2,テーブル2[[#This Row],[P]])*AI88)</f>
        <v>1.9257553574590127</v>
      </c>
      <c r="AL421" s="36">
        <f t="shared" si="188"/>
        <v>1.1293676909872215</v>
      </c>
      <c r="AM421" s="36">
        <f t="shared" si="189"/>
        <v>584.44972300139705</v>
      </c>
      <c r="AN421" s="36">
        <f t="shared" si="190"/>
        <v>24.171350997126524</v>
      </c>
      <c r="AO421" s="36">
        <f t="shared" si="191"/>
        <v>-1.4494472298386178E-4</v>
      </c>
      <c r="AP421" s="36">
        <v>1</v>
      </c>
      <c r="AQ421" s="36">
        <f t="shared" si="192"/>
        <v>5.4530931276593132E-4</v>
      </c>
      <c r="AR421" s="36">
        <f t="shared" si="193"/>
        <v>-6.7472361491930892E-5</v>
      </c>
      <c r="AS421" s="36">
        <f t="shared" si="194"/>
        <v>-52.41106738770241</v>
      </c>
      <c r="AT421" s="36">
        <f t="shared" si="195"/>
        <v>-52.41106738770241</v>
      </c>
      <c r="AU421" s="36">
        <f t="shared" si="196"/>
        <v>-4.705546503362406</v>
      </c>
      <c r="AV421" s="36">
        <f t="shared" si="197"/>
        <v>5.705546503362406</v>
      </c>
      <c r="AW421" s="36">
        <f t="shared" si="198"/>
        <v>9.3154495257984804E-2</v>
      </c>
      <c r="AX421" s="36">
        <f t="shared" si="199"/>
        <v>0.31480213565693466</v>
      </c>
      <c r="AY421" s="36">
        <f t="shared" si="200"/>
        <v>5.3907443677054712</v>
      </c>
      <c r="AZ421" s="36">
        <f t="shared" si="201"/>
        <v>1080577.7610325073</v>
      </c>
      <c r="BA421" s="36">
        <f t="shared" si="202"/>
        <v>5.4530931276593132E-4</v>
      </c>
      <c r="BB421" s="38">
        <f t="shared" si="203"/>
        <v>-179474465.65860179</v>
      </c>
      <c r="BC421" s="40">
        <f t="shared" si="204"/>
        <v>-182013910.60860178</v>
      </c>
      <c r="BD421" s="41">
        <f t="shared" si="205"/>
        <v>-7167.4682535883194</v>
      </c>
      <c r="BE421" s="38">
        <v>2539444.9500000002</v>
      </c>
      <c r="BF421" s="42">
        <f>テーブル2[[#This Row],[q_P]]/テーブル2[[#This Row],[q_M]]</f>
        <v>-70.674682535883193</v>
      </c>
      <c r="BG421" s="36">
        <v>1</v>
      </c>
      <c r="BH421" s="36">
        <v>2.1000000000000001E-2</v>
      </c>
      <c r="BI421" s="36">
        <v>4.5999999999999999E-2</v>
      </c>
      <c r="BJ421" s="36">
        <v>5625</v>
      </c>
      <c r="BK421" s="22">
        <v>1</v>
      </c>
      <c r="BL421" s="36">
        <f>テーブル2[[#This Row],[Ts]]-テーブル2[[#This Row],[Tin]]</f>
        <v>82.670805604762677</v>
      </c>
      <c r="BM421" s="36">
        <f>テーブル2[[#This Row],[q_P]]*0.000001</f>
        <v>-179.47446565860179</v>
      </c>
      <c r="BN421" s="36">
        <f>テーブル2[[#This Row],[Tsub]]</f>
        <v>82.670805604762677</v>
      </c>
      <c r="BO421" s="36">
        <f>テーブル2[[#This Row],[Fcorr]]</f>
        <v>1</v>
      </c>
      <c r="BP421" s="36">
        <f>(テーブル2[[#This Row],[Tsub]]-40)^2</f>
        <v>1820.7976509594459</v>
      </c>
      <c r="BQ421" s="36">
        <v>1</v>
      </c>
      <c r="BR421" s="36">
        <v>0.59054999999999991</v>
      </c>
    </row>
    <row r="422" spans="1:70" x14ac:dyDescent="0.15">
      <c r="A422" s="35" t="s">
        <v>418</v>
      </c>
      <c r="B422" s="36">
        <v>13789514.586336</v>
      </c>
      <c r="C422" s="22">
        <f>TsatFromP(テーブル2[[#This Row],[P]])</f>
        <v>608.62107399852357</v>
      </c>
      <c r="D422" s="36">
        <f>RhoGFromP(テーブル2[[#This Row],[P]])</f>
        <v>85.147847035840741</v>
      </c>
      <c r="E422" s="36">
        <f>RhoFFromP(テーブル2[[#This Row],[P]])</f>
        <v>624.86636713482415</v>
      </c>
      <c r="F422" s="36">
        <f>HgFromP(テーブル2[[#This Row],[P]])</f>
        <v>2643264.5206450778</v>
      </c>
      <c r="G422" s="36">
        <f>HfFromP(テーブル2[[#This Row],[P]])</f>
        <v>1562686.7596125705</v>
      </c>
      <c r="H422" s="36">
        <f>MuGFromP(テーブル2[[#This Row],[P]])</f>
        <v>2.2019591234371903E-5</v>
      </c>
      <c r="I422" s="36">
        <f>MuFFromP(テーブル2[[#This Row],[P]])</f>
        <v>7.222326555143516E-5</v>
      </c>
      <c r="J422" s="36">
        <f>KfFromP(テーブル2[[#This Row],[P]])</f>
        <v>0.49112131073334553</v>
      </c>
      <c r="K422" s="36">
        <f>CpFFromP(テーブル2[[#This Row],[P]])</f>
        <v>7679.7488518783057</v>
      </c>
      <c r="L422" s="36">
        <f>SigmaFromP(テーブル2[[#This Row],[P]])</f>
        <v>6.5036449518301549E-3</v>
      </c>
      <c r="M422" s="36">
        <v>462.01</v>
      </c>
      <c r="N422" s="36">
        <v>1641.0382999999999</v>
      </c>
      <c r="O422" s="37">
        <f t="shared" si="206"/>
        <v>4.7446061512773295E-5</v>
      </c>
      <c r="P422" s="37">
        <f t="shared" si="207"/>
        <v>2.4417714740761307E-2</v>
      </c>
      <c r="Q422" s="37">
        <v>7.7723999999999996E-3</v>
      </c>
      <c r="R422" s="36">
        <v>0.59054999999999991</v>
      </c>
      <c r="S422" s="38">
        <v>2539444.9500000002</v>
      </c>
      <c r="T422" s="36">
        <v>529.30241020894164</v>
      </c>
      <c r="U422" s="12">
        <f>+T422+BG422*S422*テーブル2[[#This Row],[Pw]]*R422/(N422*O422*K422)</f>
        <v>590.54232671517025</v>
      </c>
      <c r="V422" s="36">
        <v>0.03</v>
      </c>
      <c r="W422" s="37">
        <f t="shared" si="178"/>
        <v>176602.45608579443</v>
      </c>
      <c r="X422" s="36">
        <v>0.01</v>
      </c>
      <c r="Y422" s="36">
        <f t="shared" si="179"/>
        <v>10</v>
      </c>
      <c r="Z422" s="36">
        <f t="shared" si="180"/>
        <v>4.8167436931164502</v>
      </c>
      <c r="AA422" s="36">
        <f t="shared" si="181"/>
        <v>5.1832563068835498</v>
      </c>
      <c r="AB422" s="36">
        <f t="shared" si="182"/>
        <v>1.4486977070733446E-4</v>
      </c>
      <c r="AC422" s="36">
        <v>600</v>
      </c>
      <c r="AD422" s="36">
        <f t="shared" si="183"/>
        <v>3121.919856811618</v>
      </c>
      <c r="AE422" s="36">
        <f>+gettm2(AD422,AC422,AK422,AL422,テーブル2[[#This Row],[Fcorr]])</f>
        <v>553.73909600776096</v>
      </c>
      <c r="AF422" s="39">
        <f t="shared" si="184"/>
        <v>-36.803230707409284</v>
      </c>
      <c r="AG422" s="36">
        <v>1.0000000000000001E-5</v>
      </c>
      <c r="AH422" s="36">
        <f t="shared" si="185"/>
        <v>5.387165247857375</v>
      </c>
      <c r="AI422" s="36">
        <f t="shared" si="186"/>
        <v>9.28509975210806E-2</v>
      </c>
      <c r="AJ422" s="36">
        <f t="shared" si="187"/>
        <v>8.0333484041264445</v>
      </c>
      <c r="AK422" s="36">
        <f>+S88*テーブル2[[#This Row],[F_form]]/(E88*CpFromTP((テーブル2[[#This Row],[Tin]]+テーブル2[[#This Row],[Tf]])/2,テーブル2[[#This Row],[P]])*AI88)</f>
        <v>1.9109928488890597</v>
      </c>
      <c r="AL422" s="36">
        <f t="shared" si="188"/>
        <v>1.1293676909872215</v>
      </c>
      <c r="AM422" s="36">
        <f t="shared" si="189"/>
        <v>584.22261245026573</v>
      </c>
      <c r="AN422" s="36">
        <f t="shared" si="190"/>
        <v>24.398461548257842</v>
      </c>
      <c r="AO422" s="36">
        <f t="shared" si="191"/>
        <v>-1.3486977070733446E-4</v>
      </c>
      <c r="AP422" s="36">
        <v>1</v>
      </c>
      <c r="AQ422" s="36">
        <f t="shared" si="192"/>
        <v>5.4530931276593132E-4</v>
      </c>
      <c r="AR422" s="36">
        <f t="shared" si="193"/>
        <v>-6.243488535366723E-5</v>
      </c>
      <c r="AS422" s="36">
        <f t="shared" si="194"/>
        <v>-50.156118661770009</v>
      </c>
      <c r="AT422" s="36">
        <f t="shared" si="195"/>
        <v>-50.156118661770009</v>
      </c>
      <c r="AU422" s="36">
        <f t="shared" si="196"/>
        <v>-4.6570456495310317</v>
      </c>
      <c r="AV422" s="36">
        <f t="shared" si="197"/>
        <v>5.6570456495310317</v>
      </c>
      <c r="AW422" s="36">
        <f t="shared" si="198"/>
        <v>8.7097321602797206E-2</v>
      </c>
      <c r="AX422" s="36">
        <f t="shared" si="199"/>
        <v>0.32556460183324015</v>
      </c>
      <c r="AY422" s="36">
        <f t="shared" si="200"/>
        <v>5.3314810476977916</v>
      </c>
      <c r="AZ422" s="36">
        <f t="shared" si="201"/>
        <v>1080577.7610325073</v>
      </c>
      <c r="BA422" s="36">
        <f t="shared" si="202"/>
        <v>5.4530931276593132E-4</v>
      </c>
      <c r="BB422" s="38">
        <f t="shared" si="203"/>
        <v>-166999387.9935323</v>
      </c>
      <c r="BC422" s="40">
        <f t="shared" si="204"/>
        <v>-169538832.94353229</v>
      </c>
      <c r="BD422" s="41">
        <f t="shared" si="205"/>
        <v>-6676.2161134279468</v>
      </c>
      <c r="BE422" s="38">
        <v>2539444.9500000002</v>
      </c>
      <c r="BF422" s="42">
        <f>テーブル2[[#This Row],[q_P]]/テーブル2[[#This Row],[q_M]]</f>
        <v>-65.762161134279481</v>
      </c>
      <c r="BG422" s="36">
        <v>1</v>
      </c>
      <c r="BH422" s="36">
        <v>2.1000000000000001E-2</v>
      </c>
      <c r="BI422" s="36">
        <v>4.5999999999999999E-2</v>
      </c>
      <c r="BJ422" s="36">
        <v>5625</v>
      </c>
      <c r="BK422" s="22">
        <v>1</v>
      </c>
      <c r="BL422" s="36">
        <f>テーブル2[[#This Row],[Ts]]-テーブル2[[#This Row],[Tin]]</f>
        <v>79.318663789581933</v>
      </c>
      <c r="BM422" s="36">
        <f>テーブル2[[#This Row],[q_P]]*0.000001</f>
        <v>-166.99938799353228</v>
      </c>
      <c r="BN422" s="36">
        <f>テーブル2[[#This Row],[Tsub]]</f>
        <v>79.318663789581933</v>
      </c>
      <c r="BO422" s="36">
        <f>テーブル2[[#This Row],[Fcorr]]</f>
        <v>1</v>
      </c>
      <c r="BP422" s="36">
        <f>(テーブル2[[#This Row],[Tsub]]-40)^2</f>
        <v>1545.9573221981816</v>
      </c>
      <c r="BQ422" s="36">
        <v>1</v>
      </c>
      <c r="BR422" s="36">
        <v>0.59054999999999991</v>
      </c>
    </row>
    <row r="423" spans="1:70" x14ac:dyDescent="0.15">
      <c r="A423" s="35" t="s">
        <v>419</v>
      </c>
      <c r="B423" s="36">
        <v>13789514.586336</v>
      </c>
      <c r="C423" s="22">
        <f>TsatFromP(テーブル2[[#This Row],[P]])</f>
        <v>608.62107399852357</v>
      </c>
      <c r="D423" s="36">
        <f>RhoGFromP(テーブル2[[#This Row],[P]])</f>
        <v>85.147847035840741</v>
      </c>
      <c r="E423" s="36">
        <f>RhoFFromP(テーブル2[[#This Row],[P]])</f>
        <v>624.86636713482415</v>
      </c>
      <c r="F423" s="36">
        <f>HgFromP(テーブル2[[#This Row],[P]])</f>
        <v>2643264.5206450778</v>
      </c>
      <c r="G423" s="36">
        <f>HfFromP(テーブル2[[#This Row],[P]])</f>
        <v>1562686.7596125705</v>
      </c>
      <c r="H423" s="36">
        <f>MuGFromP(テーブル2[[#This Row],[P]])</f>
        <v>2.2019591234371903E-5</v>
      </c>
      <c r="I423" s="36">
        <f>MuFFromP(テーブル2[[#This Row],[P]])</f>
        <v>7.222326555143516E-5</v>
      </c>
      <c r="J423" s="36">
        <f>KfFromP(テーブル2[[#This Row],[P]])</f>
        <v>0.49112131073334553</v>
      </c>
      <c r="K423" s="36">
        <f>CpFFromP(テーブル2[[#This Row],[P]])</f>
        <v>7679.7488518783057</v>
      </c>
      <c r="L423" s="36">
        <f>SigmaFromP(テーブル2[[#This Row],[P]])</f>
        <v>6.5036449518301549E-3</v>
      </c>
      <c r="M423" s="36">
        <v>463.01</v>
      </c>
      <c r="N423" s="36">
        <v>1708.8498</v>
      </c>
      <c r="O423" s="37">
        <f t="shared" si="206"/>
        <v>4.7446061512773295E-5</v>
      </c>
      <c r="P423" s="37">
        <f t="shared" si="207"/>
        <v>2.4417714740761307E-2</v>
      </c>
      <c r="Q423" s="37">
        <v>7.7723999999999996E-3</v>
      </c>
      <c r="R423" s="36">
        <v>0.59054999999999991</v>
      </c>
      <c r="S423" s="38">
        <v>2548908.7200000002</v>
      </c>
      <c r="T423" s="36">
        <v>523.16400164991023</v>
      </c>
      <c r="U423" s="12">
        <f>+T423+BG423*S423*テーブル2[[#This Row],[Pw]]*R423/(N423*O423*K423)</f>
        <v>582.19292955073797</v>
      </c>
      <c r="V423" s="36">
        <v>0.03</v>
      </c>
      <c r="W423" s="37">
        <f t="shared" si="178"/>
        <v>183900.07823810002</v>
      </c>
      <c r="X423" s="36">
        <v>0.01</v>
      </c>
      <c r="Y423" s="36">
        <f t="shared" si="179"/>
        <v>10</v>
      </c>
      <c r="Z423" s="36">
        <f t="shared" si="180"/>
        <v>4.8857756370935519</v>
      </c>
      <c r="AA423" s="36">
        <f t="shared" si="181"/>
        <v>5.1142243629064481</v>
      </c>
      <c r="AB423" s="36">
        <f t="shared" si="182"/>
        <v>1.336002968585339E-4</v>
      </c>
      <c r="AC423" s="36">
        <v>600</v>
      </c>
      <c r="AD423" s="36">
        <f t="shared" si="183"/>
        <v>3250.9248095724292</v>
      </c>
      <c r="AE423" s="36">
        <f>+gettm2(AD423,AC423,AK423,AL423,テーブル2[[#This Row],[Fcorr]])</f>
        <v>552.45824173926701</v>
      </c>
      <c r="AF423" s="39">
        <f t="shared" si="184"/>
        <v>-29.734687811470963</v>
      </c>
      <c r="AG423" s="36">
        <v>1.0000000000000001E-5</v>
      </c>
      <c r="AH423" s="36">
        <f t="shared" si="185"/>
        <v>5.8415842821517439</v>
      </c>
      <c r="AI423" s="36">
        <f t="shared" si="186"/>
        <v>9.6687815600464092E-2</v>
      </c>
      <c r="AJ423" s="36">
        <f t="shared" si="187"/>
        <v>8.3653049497515042</v>
      </c>
      <c r="AK423" s="36">
        <f>+S88*テーブル2[[#This Row],[F_form]]/(E88*CpFromTP((テーブル2[[#This Row],[Tin]]+テーブル2[[#This Row],[Tf]])/2,テーブル2[[#This Row],[P]])*AI88)</f>
        <v>1.9556544244929139</v>
      </c>
      <c r="AL423" s="36">
        <f t="shared" si="188"/>
        <v>1.1293676909872215</v>
      </c>
      <c r="AM423" s="36">
        <f t="shared" si="189"/>
        <v>583.42820236614989</v>
      </c>
      <c r="AN423" s="36">
        <f t="shared" si="190"/>
        <v>25.192871632373681</v>
      </c>
      <c r="AO423" s="36">
        <f t="shared" si="191"/>
        <v>-1.236002968585339E-4</v>
      </c>
      <c r="AP423" s="36">
        <v>1</v>
      </c>
      <c r="AQ423" s="36">
        <f t="shared" si="192"/>
        <v>5.4530931276593132E-4</v>
      </c>
      <c r="AR423" s="36">
        <f t="shared" si="193"/>
        <v>-5.680014842926695E-5</v>
      </c>
      <c r="AS423" s="36">
        <f t="shared" si="194"/>
        <v>-47.515056280196688</v>
      </c>
      <c r="AT423" s="36">
        <f t="shared" si="195"/>
        <v>-47.515056280196688</v>
      </c>
      <c r="AU423" s="36">
        <f t="shared" si="196"/>
        <v>-4.5941269998653302</v>
      </c>
      <c r="AV423" s="36">
        <f t="shared" si="197"/>
        <v>5.5941269998653302</v>
      </c>
      <c r="AW423" s="36">
        <f t="shared" si="198"/>
        <v>8.0321988258160379E-2</v>
      </c>
      <c r="AX423" s="36">
        <f t="shared" si="199"/>
        <v>0.33901768455362197</v>
      </c>
      <c r="AY423" s="36">
        <f t="shared" si="200"/>
        <v>5.2551093153117083</v>
      </c>
      <c r="AZ423" s="36">
        <f t="shared" si="201"/>
        <v>1080577.7610325073</v>
      </c>
      <c r="BA423" s="36">
        <f t="shared" si="202"/>
        <v>5.4530931276593132E-4</v>
      </c>
      <c r="BB423" s="38">
        <f t="shared" si="203"/>
        <v>-153045221.49730006</v>
      </c>
      <c r="BC423" s="40">
        <f t="shared" si="204"/>
        <v>-155594130.21730006</v>
      </c>
      <c r="BD423" s="41">
        <f t="shared" si="205"/>
        <v>-6104.3429682840915</v>
      </c>
      <c r="BE423" s="38">
        <v>2548908.7200000002</v>
      </c>
      <c r="BF423" s="42">
        <f>テーブル2[[#This Row],[q_P]]/テーブル2[[#This Row],[q_M]]</f>
        <v>-60.043429682840916</v>
      </c>
      <c r="BG423" s="36">
        <v>1</v>
      </c>
      <c r="BH423" s="36">
        <v>-2.1999999999999999E-2</v>
      </c>
      <c r="BI423" s="36">
        <v>4.5999999999999999E-2</v>
      </c>
      <c r="BJ423" s="36">
        <v>5625</v>
      </c>
      <c r="BK423" s="22">
        <v>1</v>
      </c>
      <c r="BL423" s="36">
        <f>テーブル2[[#This Row],[Ts]]-テーブル2[[#This Row],[Tin]]</f>
        <v>85.457072348613337</v>
      </c>
      <c r="BM423" s="36">
        <f>テーブル2[[#This Row],[q_P]]*0.000001</f>
        <v>-153.04522149730005</v>
      </c>
      <c r="BN423" s="36">
        <f>テーブル2[[#This Row],[Tsub]]</f>
        <v>85.457072348613337</v>
      </c>
      <c r="BO423" s="36">
        <f>テーブル2[[#This Row],[Fcorr]]</f>
        <v>1</v>
      </c>
      <c r="BP423" s="36">
        <f>(テーブル2[[#This Row],[Tsub]]-40)^2</f>
        <v>2066.3454265070673</v>
      </c>
      <c r="BQ423" s="36">
        <v>1</v>
      </c>
      <c r="BR423" s="36">
        <v>0.59054999999999991</v>
      </c>
    </row>
    <row r="424" spans="1:70" x14ac:dyDescent="0.15">
      <c r="A424" s="35" t="s">
        <v>420</v>
      </c>
      <c r="B424" s="36">
        <v>13789514.586336</v>
      </c>
      <c r="C424" s="22">
        <f>TsatFromP(テーブル2[[#This Row],[P]])</f>
        <v>608.62107399852357</v>
      </c>
      <c r="D424" s="36">
        <f>RhoGFromP(テーブル2[[#This Row],[P]])</f>
        <v>85.147847035840741</v>
      </c>
      <c r="E424" s="36">
        <f>RhoFFromP(テーブル2[[#This Row],[P]])</f>
        <v>624.86636713482415</v>
      </c>
      <c r="F424" s="36">
        <f>HgFromP(テーブル2[[#This Row],[P]])</f>
        <v>2643264.5206450778</v>
      </c>
      <c r="G424" s="36">
        <f>HfFromP(テーブル2[[#This Row],[P]])</f>
        <v>1562686.7596125705</v>
      </c>
      <c r="H424" s="36">
        <f>MuGFromP(テーブル2[[#This Row],[P]])</f>
        <v>2.2019591234371903E-5</v>
      </c>
      <c r="I424" s="36">
        <f>MuFFromP(テーブル2[[#This Row],[P]])</f>
        <v>7.222326555143516E-5</v>
      </c>
      <c r="J424" s="36">
        <f>KfFromP(テーブル2[[#This Row],[P]])</f>
        <v>0.49112131073334553</v>
      </c>
      <c r="K424" s="36">
        <f>CpFFromP(テーブル2[[#This Row],[P]])</f>
        <v>7679.7488518783057</v>
      </c>
      <c r="L424" s="36">
        <f>SigmaFromP(テーブル2[[#This Row],[P]])</f>
        <v>6.5036449518301549E-3</v>
      </c>
      <c r="M424" s="36">
        <v>469.01</v>
      </c>
      <c r="N424" s="36">
        <v>1817.3481999999999</v>
      </c>
      <c r="O424" s="37">
        <f t="shared" si="206"/>
        <v>4.7446061512773295E-5</v>
      </c>
      <c r="P424" s="37">
        <f t="shared" si="207"/>
        <v>2.4417714740761307E-2</v>
      </c>
      <c r="Q424" s="37">
        <v>7.7723999999999996E-3</v>
      </c>
      <c r="R424" s="36">
        <v>0.59054999999999991</v>
      </c>
      <c r="S424" s="38">
        <v>2533135.77</v>
      </c>
      <c r="T424" s="36">
        <v>540.49035799190642</v>
      </c>
      <c r="U424" s="12">
        <f>+T424+BG424*S424*テーブル2[[#This Row],[Pw]]*R424/(N424*O424*K424)</f>
        <v>595.65170041792567</v>
      </c>
      <c r="V424" s="36">
        <v>0.03</v>
      </c>
      <c r="W424" s="37">
        <f t="shared" si="178"/>
        <v>195576.27368178888</v>
      </c>
      <c r="X424" s="36">
        <v>0.01</v>
      </c>
      <c r="Y424" s="36">
        <f t="shared" si="179"/>
        <v>10</v>
      </c>
      <c r="Z424" s="36">
        <f t="shared" si="180"/>
        <v>4.9906227348052692</v>
      </c>
      <c r="AA424" s="36">
        <f t="shared" si="181"/>
        <v>5.0093772651947308</v>
      </c>
      <c r="AB424" s="36">
        <f t="shared" si="182"/>
        <v>1.1812420989786612E-4</v>
      </c>
      <c r="AC424" s="36">
        <v>600</v>
      </c>
      <c r="AD424" s="36">
        <f t="shared" si="183"/>
        <v>3457.3327339897264</v>
      </c>
      <c r="AE424" s="36">
        <f>+gettm2(AD424,AC424,AK424,AL424,テーブル2[[#This Row],[Fcorr]])</f>
        <v>554.64271982437924</v>
      </c>
      <c r="AF424" s="39">
        <f t="shared" si="184"/>
        <v>-41.008980593546426</v>
      </c>
      <c r="AG424" s="36">
        <v>1.0000000000000001E-5</v>
      </c>
      <c r="AH424" s="36">
        <f t="shared" si="185"/>
        <v>6.6069216030685762</v>
      </c>
      <c r="AI424" s="36">
        <f t="shared" si="186"/>
        <v>0.10282672452747769</v>
      </c>
      <c r="AJ424" s="36">
        <f t="shared" si="187"/>
        <v>8.8964354227516012</v>
      </c>
      <c r="AK424" s="36">
        <f>+S88*テーブル2[[#This Row],[F_form]]/(E88*CpFromTP((テーブル2[[#This Row],[Tin]]+テーブル2[[#This Row],[Tf]])/2,テーブル2[[#This Row],[P]])*AI88)</f>
        <v>1.8539608412058408</v>
      </c>
      <c r="AL424" s="36">
        <f t="shared" si="188"/>
        <v>1.1293676909872215</v>
      </c>
      <c r="AM424" s="36">
        <f t="shared" si="189"/>
        <v>583.67871563283654</v>
      </c>
      <c r="AN424" s="36">
        <f t="shared" si="190"/>
        <v>24.942358365687028</v>
      </c>
      <c r="AO424" s="36">
        <f t="shared" si="191"/>
        <v>-1.0812420989786612E-4</v>
      </c>
      <c r="AP424" s="36">
        <v>1</v>
      </c>
      <c r="AQ424" s="36">
        <f t="shared" si="192"/>
        <v>5.4530931276593132E-4</v>
      </c>
      <c r="AR424" s="36">
        <f t="shared" si="193"/>
        <v>-4.9062104948933061E-5</v>
      </c>
      <c r="AS424" s="36">
        <f t="shared" si="194"/>
        <v>-43.647784838244462</v>
      </c>
      <c r="AT424" s="36">
        <f t="shared" si="195"/>
        <v>-43.647784838244462</v>
      </c>
      <c r="AU424" s="36">
        <f t="shared" si="196"/>
        <v>-4.4881587477967813</v>
      </c>
      <c r="AV424" s="36">
        <f t="shared" si="197"/>
        <v>5.4881587477967813</v>
      </c>
      <c r="AW424" s="36">
        <f t="shared" si="198"/>
        <v>7.1017592202414465E-2</v>
      </c>
      <c r="AX424" s="36">
        <f t="shared" si="199"/>
        <v>0.3605426169062329</v>
      </c>
      <c r="AY424" s="36">
        <f t="shared" si="200"/>
        <v>5.1276161308905479</v>
      </c>
      <c r="AZ424" s="36">
        <f t="shared" si="201"/>
        <v>1080577.7610325073</v>
      </c>
      <c r="BA424" s="36">
        <f t="shared" si="202"/>
        <v>5.4530931276593132E-4</v>
      </c>
      <c r="BB424" s="38">
        <f t="shared" si="203"/>
        <v>-133882313.17906375</v>
      </c>
      <c r="BC424" s="40">
        <f t="shared" si="204"/>
        <v>-136415448.94906375</v>
      </c>
      <c r="BD424" s="41">
        <f t="shared" si="205"/>
        <v>-5385.240324053525</v>
      </c>
      <c r="BE424" s="38">
        <v>2533135.77</v>
      </c>
      <c r="BF424" s="42">
        <f>テーブル2[[#This Row],[q_P]]/テーブル2[[#This Row],[q_M]]</f>
        <v>-52.852403240535246</v>
      </c>
      <c r="BG424" s="36">
        <v>1</v>
      </c>
      <c r="BH424" s="36">
        <v>2.9000000000000001E-2</v>
      </c>
      <c r="BI424" s="36">
        <v>4.5999999999999999E-2</v>
      </c>
      <c r="BJ424" s="36">
        <v>5625</v>
      </c>
      <c r="BK424" s="22">
        <v>1</v>
      </c>
      <c r="BL424" s="36">
        <f>テーブル2[[#This Row],[Ts]]-テーブル2[[#This Row],[Tin]]</f>
        <v>68.130716006617149</v>
      </c>
      <c r="BM424" s="36">
        <f>テーブル2[[#This Row],[q_P]]*0.000001</f>
        <v>-133.88231317906374</v>
      </c>
      <c r="BN424" s="36">
        <f>テーブル2[[#This Row],[Tsub]]</f>
        <v>68.130716006617149</v>
      </c>
      <c r="BO424" s="36">
        <f>テーブル2[[#This Row],[Fcorr]]</f>
        <v>1</v>
      </c>
      <c r="BP424" s="36">
        <f>(テーブル2[[#This Row],[Tsub]]-40)^2</f>
        <v>791.3371830449463</v>
      </c>
      <c r="BQ424" s="36">
        <v>1</v>
      </c>
      <c r="BR424" s="36">
        <v>0.59054999999999991</v>
      </c>
    </row>
    <row r="425" spans="1:70" x14ac:dyDescent="0.15">
      <c r="A425" s="35" t="s">
        <v>421</v>
      </c>
      <c r="B425" s="36">
        <v>13789514.586336</v>
      </c>
      <c r="C425" s="22">
        <f>TsatFromP(テーブル2[[#This Row],[P]])</f>
        <v>608.62107399852357</v>
      </c>
      <c r="D425" s="36">
        <f>RhoGFromP(テーブル2[[#This Row],[P]])</f>
        <v>85.147847035840741</v>
      </c>
      <c r="E425" s="36">
        <f>RhoFFromP(テーブル2[[#This Row],[P]])</f>
        <v>624.86636713482415</v>
      </c>
      <c r="F425" s="36">
        <f>HgFromP(テーブル2[[#This Row],[P]])</f>
        <v>2643264.5206450778</v>
      </c>
      <c r="G425" s="36">
        <f>HfFromP(テーブル2[[#This Row],[P]])</f>
        <v>1562686.7596125705</v>
      </c>
      <c r="H425" s="36">
        <f>MuGFromP(テーブル2[[#This Row],[P]])</f>
        <v>2.2019591234371903E-5</v>
      </c>
      <c r="I425" s="36">
        <f>MuFFromP(テーブル2[[#This Row],[P]])</f>
        <v>7.222326555143516E-5</v>
      </c>
      <c r="J425" s="36">
        <f>KfFromP(テーブル2[[#This Row],[P]])</f>
        <v>0.49112131073334553</v>
      </c>
      <c r="K425" s="36">
        <f>CpFFromP(テーブル2[[#This Row],[P]])</f>
        <v>7679.7488518783057</v>
      </c>
      <c r="L425" s="36">
        <f>SigmaFromP(テーブル2[[#This Row],[P]])</f>
        <v>6.5036449518301549E-3</v>
      </c>
      <c r="M425" s="36">
        <v>474.01</v>
      </c>
      <c r="N425" s="36">
        <v>2088.5942</v>
      </c>
      <c r="O425" s="37">
        <f t="shared" si="206"/>
        <v>4.7446061512773295E-5</v>
      </c>
      <c r="P425" s="37">
        <f t="shared" si="207"/>
        <v>2.4417714740761307E-2</v>
      </c>
      <c r="Q425" s="37">
        <v>7.7723999999999996E-3</v>
      </c>
      <c r="R425" s="36">
        <v>0.59054999999999991</v>
      </c>
      <c r="S425" s="38">
        <v>2570990.85</v>
      </c>
      <c r="T425" s="36">
        <v>548.88976333383675</v>
      </c>
      <c r="U425" s="12">
        <f>+T425+BG425*S425*テーブル2[[#This Row],[Pw]]*R425/(N425*O425*K425)</f>
        <v>597.60456825649328</v>
      </c>
      <c r="V425" s="36">
        <v>0.03</v>
      </c>
      <c r="W425" s="37">
        <f t="shared" si="178"/>
        <v>224766.76229101114</v>
      </c>
      <c r="X425" s="36">
        <v>0.01</v>
      </c>
      <c r="Y425" s="36">
        <f t="shared" si="179"/>
        <v>10</v>
      </c>
      <c r="Z425" s="36">
        <f t="shared" si="180"/>
        <v>5.2270835311156718</v>
      </c>
      <c r="AA425" s="36">
        <f t="shared" si="181"/>
        <v>4.7729164688843282</v>
      </c>
      <c r="AB425" s="36">
        <f t="shared" si="182"/>
        <v>8.9434909467283016E-5</v>
      </c>
      <c r="AC425" s="36">
        <v>600</v>
      </c>
      <c r="AD425" s="36">
        <f t="shared" si="183"/>
        <v>3973.3525450329685</v>
      </c>
      <c r="AE425" s="36">
        <f>+gettm2(AD425,AC425,AK425,AL425,テーブル2[[#This Row],[Fcorr]])</f>
        <v>555.00522757141903</v>
      </c>
      <c r="AF425" s="39">
        <f t="shared" si="184"/>
        <v>-42.599340685074253</v>
      </c>
      <c r="AG425" s="36">
        <v>1.0000000000000001E-5</v>
      </c>
      <c r="AH425" s="36">
        <f t="shared" si="185"/>
        <v>8.7263172609921131</v>
      </c>
      <c r="AI425" s="36">
        <f t="shared" si="186"/>
        <v>0.11817399684501168</v>
      </c>
      <c r="AJ425" s="36">
        <f t="shared" si="187"/>
        <v>10.224261605251838</v>
      </c>
      <c r="AK425" s="36">
        <f>+S88*テーブル2[[#This Row],[F_form]]/(E88*CpFromTP((テーブル2[[#This Row],[Tin]]+テーブル2[[#This Row],[Tf]])/2,テーブル2[[#This Row],[P]])*AI88)</f>
        <v>1.8131747827513323</v>
      </c>
      <c r="AL425" s="36">
        <f t="shared" si="188"/>
        <v>1.1293676909872215</v>
      </c>
      <c r="AM425" s="36">
        <f t="shared" si="189"/>
        <v>582.69594046541738</v>
      </c>
      <c r="AN425" s="36">
        <f t="shared" si="190"/>
        <v>25.925133533106191</v>
      </c>
      <c r="AO425" s="36">
        <f t="shared" si="191"/>
        <v>-7.9434909467283017E-5</v>
      </c>
      <c r="AP425" s="36">
        <v>1</v>
      </c>
      <c r="AQ425" s="36">
        <f t="shared" si="192"/>
        <v>5.4530931276593132E-4</v>
      </c>
      <c r="AR425" s="36">
        <f t="shared" si="193"/>
        <v>-3.4717454733641509E-5</v>
      </c>
      <c r="AS425" s="36">
        <f t="shared" si="194"/>
        <v>-35.496033946523951</v>
      </c>
      <c r="AT425" s="36">
        <f t="shared" si="195"/>
        <v>-35.496033946523951</v>
      </c>
      <c r="AU425" s="36">
        <f t="shared" si="196"/>
        <v>-4.1947082036069485</v>
      </c>
      <c r="AV425" s="36">
        <f t="shared" si="197"/>
        <v>5.1947082036069485</v>
      </c>
      <c r="AW425" s="36">
        <f t="shared" si="198"/>
        <v>5.376926486703297E-2</v>
      </c>
      <c r="AX425" s="36">
        <f t="shared" si="199"/>
        <v>0.41435494778776022</v>
      </c>
      <c r="AY425" s="36">
        <f t="shared" si="200"/>
        <v>4.7803532558191879</v>
      </c>
      <c r="AZ425" s="36">
        <f t="shared" si="201"/>
        <v>1080577.7610325073</v>
      </c>
      <c r="BA425" s="36">
        <f t="shared" si="202"/>
        <v>5.4530931276593132E-4</v>
      </c>
      <c r="BB425" s="38">
        <f t="shared" si="203"/>
        <v>-98358447.536357418</v>
      </c>
      <c r="BC425" s="40">
        <f t="shared" si="204"/>
        <v>-100929438.38635741</v>
      </c>
      <c r="BD425" s="41">
        <f t="shared" si="205"/>
        <v>-3925.701967642452</v>
      </c>
      <c r="BE425" s="38">
        <v>2570990.85</v>
      </c>
      <c r="BF425" s="42">
        <f>テーブル2[[#This Row],[q_P]]/テーブル2[[#This Row],[q_M]]</f>
        <v>-38.257019676424527</v>
      </c>
      <c r="BG425" s="36">
        <v>1</v>
      </c>
      <c r="BH425" s="36">
        <v>2.1000000000000001E-2</v>
      </c>
      <c r="BI425" s="36">
        <v>4.5999999999999999E-2</v>
      </c>
      <c r="BJ425" s="36">
        <v>5625</v>
      </c>
      <c r="BK425" s="22">
        <v>1</v>
      </c>
      <c r="BL425" s="36">
        <f>テーブル2[[#This Row],[Ts]]-テーブル2[[#This Row],[Tin]]</f>
        <v>59.731310664686816</v>
      </c>
      <c r="BM425" s="36">
        <f>テーブル2[[#This Row],[q_P]]*0.000001</f>
        <v>-98.358447536357417</v>
      </c>
      <c r="BN425" s="36">
        <f>テーブル2[[#This Row],[Tsub]]</f>
        <v>59.731310664686816</v>
      </c>
      <c r="BO425" s="36">
        <f>テーブル2[[#This Row],[Fcorr]]</f>
        <v>1</v>
      </c>
      <c r="BP425" s="36">
        <f>(テーブル2[[#This Row],[Tsub]]-40)^2</f>
        <v>389.3246205463837</v>
      </c>
      <c r="BQ425" s="36">
        <v>1</v>
      </c>
      <c r="BR425" s="36">
        <v>0.59054999999999991</v>
      </c>
    </row>
    <row r="426" spans="1:70" x14ac:dyDescent="0.15">
      <c r="A426" s="35" t="s">
        <v>422</v>
      </c>
      <c r="B426" s="36">
        <v>13789514.586336</v>
      </c>
      <c r="C426" s="22">
        <f>TsatFromP(テーブル2[[#This Row],[P]])</f>
        <v>608.62107399852357</v>
      </c>
      <c r="D426" s="36">
        <f>RhoGFromP(テーブル2[[#This Row],[P]])</f>
        <v>85.147847035840741</v>
      </c>
      <c r="E426" s="36">
        <f>RhoFFromP(テーブル2[[#This Row],[P]])</f>
        <v>624.86636713482415</v>
      </c>
      <c r="F426" s="36">
        <f>HgFromP(テーブル2[[#This Row],[P]])</f>
        <v>2643264.5206450778</v>
      </c>
      <c r="G426" s="36">
        <f>HfFromP(テーブル2[[#This Row],[P]])</f>
        <v>1562686.7596125705</v>
      </c>
      <c r="H426" s="36">
        <f>MuGFromP(テーブル2[[#This Row],[P]])</f>
        <v>2.2019591234371903E-5</v>
      </c>
      <c r="I426" s="36">
        <f>MuFFromP(テーブル2[[#This Row],[P]])</f>
        <v>7.222326555143516E-5</v>
      </c>
      <c r="J426" s="36">
        <f>KfFromP(テーブル2[[#This Row],[P]])</f>
        <v>0.49112131073334553</v>
      </c>
      <c r="K426" s="36">
        <f>CpFFromP(テーブル2[[#This Row],[P]])</f>
        <v>7679.7488518783057</v>
      </c>
      <c r="L426" s="36">
        <f>SigmaFromP(テーブル2[[#This Row],[P]])</f>
        <v>6.5036449518301549E-3</v>
      </c>
      <c r="M426" s="36">
        <v>479.01</v>
      </c>
      <c r="N426" s="36">
        <v>2142.8434000000002</v>
      </c>
      <c r="O426" s="37">
        <f t="shared" si="206"/>
        <v>4.7446061512773295E-5</v>
      </c>
      <c r="P426" s="37">
        <f t="shared" si="207"/>
        <v>2.4417714740761307E-2</v>
      </c>
      <c r="Q426" s="37">
        <v>7.7723999999999996E-3</v>
      </c>
      <c r="R426" s="36">
        <v>0.59054999999999991</v>
      </c>
      <c r="S426" s="38">
        <v>2539444.9500000002</v>
      </c>
      <c r="T426" s="36">
        <v>555.51116161193988</v>
      </c>
      <c r="U426" s="12">
        <f>+T426+BG426*S426*テーブル2[[#This Row],[Pw]]*R426/(N426*O426*K426)</f>
        <v>602.41008501227952</v>
      </c>
      <c r="V426" s="36">
        <v>0.03</v>
      </c>
      <c r="W426" s="37">
        <f t="shared" si="178"/>
        <v>230604.86001285556</v>
      </c>
      <c r="X426" s="36">
        <v>0.01</v>
      </c>
      <c r="Y426" s="36">
        <f t="shared" si="179"/>
        <v>10</v>
      </c>
      <c r="Z426" s="36">
        <f t="shared" si="180"/>
        <v>5.2705921463179362</v>
      </c>
      <c r="AA426" s="36">
        <f t="shared" si="181"/>
        <v>4.7294078536820638</v>
      </c>
      <c r="AB426" s="36">
        <f t="shared" si="182"/>
        <v>8.4963880504970496E-5</v>
      </c>
      <c r="AC426" s="36">
        <v>600</v>
      </c>
      <c r="AD426" s="36">
        <f t="shared" si="183"/>
        <v>4076.5565072416171</v>
      </c>
      <c r="AE426" s="36">
        <f>+gettm2(AD426,AC426,AK426,AL426,テーブル2[[#This Row],[Fcorr]])</f>
        <v>556.13220457060447</v>
      </c>
      <c r="AF426" s="39">
        <f t="shared" si="184"/>
        <v>-46.277880441675052</v>
      </c>
      <c r="AG426" s="36">
        <v>1.0000000000000001E-5</v>
      </c>
      <c r="AH426" s="36">
        <f t="shared" si="185"/>
        <v>9.1855196535422134</v>
      </c>
      <c r="AI426" s="36">
        <f t="shared" si="186"/>
        <v>0.12124345130851848</v>
      </c>
      <c r="AJ426" s="36">
        <f t="shared" si="187"/>
        <v>10.489826841751887</v>
      </c>
      <c r="AK426" s="36">
        <f>+S88*テーブル2[[#This Row],[F_form]]/(E88*CpFromTP((テーブル2[[#This Row],[Tin]]+テーブル2[[#This Row],[Tf]])/2,テーブル2[[#This Row],[P]])*AI88)</f>
        <v>1.7631741682957931</v>
      </c>
      <c r="AL426" s="36">
        <f t="shared" si="188"/>
        <v>1.1293676909872215</v>
      </c>
      <c r="AM426" s="36">
        <f t="shared" si="189"/>
        <v>582.93382720764396</v>
      </c>
      <c r="AN426" s="36">
        <f t="shared" si="190"/>
        <v>25.687246790879612</v>
      </c>
      <c r="AO426" s="36">
        <f t="shared" si="191"/>
        <v>-7.4963880504970497E-5</v>
      </c>
      <c r="AP426" s="36">
        <v>1</v>
      </c>
      <c r="AQ426" s="36">
        <f t="shared" si="192"/>
        <v>5.4530931276593132E-4</v>
      </c>
      <c r="AR426" s="36">
        <f t="shared" si="193"/>
        <v>-3.2481940252485249E-5</v>
      </c>
      <c r="AS426" s="36">
        <f t="shared" si="194"/>
        <v>-34.072992873270074</v>
      </c>
      <c r="AT426" s="36">
        <f t="shared" si="195"/>
        <v>-34.072992873270074</v>
      </c>
      <c r="AU426" s="36">
        <f t="shared" si="196"/>
        <v>-4.1311272523658173</v>
      </c>
      <c r="AV426" s="36">
        <f t="shared" si="197"/>
        <v>5.1311272523658173</v>
      </c>
      <c r="AW426" s="36">
        <f t="shared" si="198"/>
        <v>5.1081232398115434E-2</v>
      </c>
      <c r="AX426" s="36">
        <f t="shared" si="199"/>
        <v>0.42511741396406572</v>
      </c>
      <c r="AY426" s="36">
        <f t="shared" si="200"/>
        <v>4.7060098384017515</v>
      </c>
      <c r="AZ426" s="36">
        <f t="shared" si="201"/>
        <v>1080577.7610325073</v>
      </c>
      <c r="BA426" s="36">
        <f t="shared" si="202"/>
        <v>5.4530931276593132E-4</v>
      </c>
      <c r="BB426" s="38">
        <f t="shared" si="203"/>
        <v>-92822298.876122862</v>
      </c>
      <c r="BC426" s="40">
        <f t="shared" si="204"/>
        <v>-95361743.826122865</v>
      </c>
      <c r="BD426" s="41">
        <f t="shared" si="205"/>
        <v>-3755.2199675020661</v>
      </c>
      <c r="BE426" s="38">
        <v>2539444.9500000002</v>
      </c>
      <c r="BF426" s="42">
        <f>テーブル2[[#This Row],[q_P]]/テーブル2[[#This Row],[q_M]]</f>
        <v>-36.55219967502066</v>
      </c>
      <c r="BG426" s="36">
        <v>1</v>
      </c>
      <c r="BH426" s="36">
        <v>0.04</v>
      </c>
      <c r="BI426" s="36">
        <v>4.5999999999999999E-2</v>
      </c>
      <c r="BJ426" s="36">
        <v>5625</v>
      </c>
      <c r="BK426" s="22">
        <v>1</v>
      </c>
      <c r="BL426" s="36">
        <f>テーブル2[[#This Row],[Ts]]-テーブル2[[#This Row],[Tin]]</f>
        <v>53.109912386583687</v>
      </c>
      <c r="BM426" s="36">
        <f>テーブル2[[#This Row],[q_P]]*0.000001</f>
        <v>-92.822298876122858</v>
      </c>
      <c r="BN426" s="36">
        <f>テーブル2[[#This Row],[Tsub]]</f>
        <v>53.109912386583687</v>
      </c>
      <c r="BO426" s="36">
        <f>テーブル2[[#This Row],[Fcorr]]</f>
        <v>1</v>
      </c>
      <c r="BP426" s="36">
        <f>(テーブル2[[#This Row],[Tsub]]-40)^2</f>
        <v>171.86980278390038</v>
      </c>
      <c r="BQ426" s="36">
        <v>1</v>
      </c>
      <c r="BR426" s="36">
        <v>0.59054999999999991</v>
      </c>
    </row>
    <row r="427" spans="1:70" x14ac:dyDescent="0.15">
      <c r="A427" s="35" t="s">
        <v>423</v>
      </c>
      <c r="B427" s="36">
        <v>13789514.586336</v>
      </c>
      <c r="C427" s="22">
        <f>TsatFromP(テーブル2[[#This Row],[P]])</f>
        <v>608.62107399852357</v>
      </c>
      <c r="D427" s="36">
        <f>RhoGFromP(テーブル2[[#This Row],[P]])</f>
        <v>85.147847035840741</v>
      </c>
      <c r="E427" s="36">
        <f>RhoFFromP(テーブル2[[#This Row],[P]])</f>
        <v>624.86636713482415</v>
      </c>
      <c r="F427" s="36">
        <f>HgFromP(テーブル2[[#This Row],[P]])</f>
        <v>2643264.5206450778</v>
      </c>
      <c r="G427" s="36">
        <f>HfFromP(テーブル2[[#This Row],[P]])</f>
        <v>1562686.7596125705</v>
      </c>
      <c r="H427" s="36">
        <f>MuGFromP(テーブル2[[#This Row],[P]])</f>
        <v>2.2019591234371903E-5</v>
      </c>
      <c r="I427" s="36">
        <f>MuFFromP(テーブル2[[#This Row],[P]])</f>
        <v>7.222326555143516E-5</v>
      </c>
      <c r="J427" s="36">
        <f>KfFromP(テーブル2[[#This Row],[P]])</f>
        <v>0.49112131073334553</v>
      </c>
      <c r="K427" s="36">
        <f>CpFFromP(テーブル2[[#This Row],[P]])</f>
        <v>7679.7488518783057</v>
      </c>
      <c r="L427" s="36">
        <f>SigmaFromP(テーブル2[[#This Row],[P]])</f>
        <v>6.5036449518301549E-3</v>
      </c>
      <c r="M427" s="36">
        <v>483.01</v>
      </c>
      <c r="N427" s="36">
        <v>2305.5909999999999</v>
      </c>
      <c r="O427" s="37">
        <f t="shared" si="206"/>
        <v>4.7446061512773295E-5</v>
      </c>
      <c r="P427" s="37">
        <f t="shared" si="207"/>
        <v>2.4417714740761307E-2</v>
      </c>
      <c r="Q427" s="37">
        <v>7.7723999999999996E-3</v>
      </c>
      <c r="R427" s="36">
        <v>0.59054999999999991</v>
      </c>
      <c r="S427" s="38">
        <v>2583609.209999999</v>
      </c>
      <c r="T427" s="36">
        <v>556.63884359779468</v>
      </c>
      <c r="U427" s="12">
        <f>+T427+BG427*S427*テーブル2[[#This Row],[Pw]]*R427/(N427*O427*K427)</f>
        <v>600.9853140826375</v>
      </c>
      <c r="V427" s="36">
        <v>0.03</v>
      </c>
      <c r="W427" s="37">
        <f t="shared" si="178"/>
        <v>248119.15317838889</v>
      </c>
      <c r="X427" s="36">
        <v>0.01</v>
      </c>
      <c r="Y427" s="36">
        <f t="shared" si="179"/>
        <v>10</v>
      </c>
      <c r="Z427" s="36">
        <f t="shared" si="180"/>
        <v>5.394656341810796</v>
      </c>
      <c r="AA427" s="36">
        <f t="shared" si="181"/>
        <v>4.605343658189204</v>
      </c>
      <c r="AB427" s="36">
        <f t="shared" si="182"/>
        <v>7.3392329166992523E-5</v>
      </c>
      <c r="AC427" s="36">
        <v>600</v>
      </c>
      <c r="AD427" s="36">
        <f t="shared" si="183"/>
        <v>4386.1683938675633</v>
      </c>
      <c r="AE427" s="36">
        <f>+gettm2(AD427,AC427,AK427,AL427,テーブル2[[#This Row],[Fcorr]])</f>
        <v>555.77334068472248</v>
      </c>
      <c r="AF427" s="39">
        <f t="shared" si="184"/>
        <v>-45.211973397915017</v>
      </c>
      <c r="AG427" s="36">
        <v>1.0000000000000001E-5</v>
      </c>
      <c r="AH427" s="36">
        <f t="shared" si="185"/>
        <v>10.633773353123294</v>
      </c>
      <c r="AI427" s="36">
        <f t="shared" si="186"/>
        <v>0.13045181469903885</v>
      </c>
      <c r="AJ427" s="36">
        <f t="shared" si="187"/>
        <v>11.286522551252027</v>
      </c>
      <c r="AK427" s="36">
        <f>+S88*テーブル2[[#This Row],[F_form]]/(E88*CpFromTP((テーブル2[[#This Row],[Tin]]+テーブル2[[#This Row],[Tf]])/2,テーブル2[[#This Row],[P]])*AI88)</f>
        <v>1.7645332717210407</v>
      </c>
      <c r="AL427" s="36">
        <f t="shared" si="188"/>
        <v>1.1293676909872215</v>
      </c>
      <c r="AM427" s="36">
        <f t="shared" si="189"/>
        <v>582.23892866296228</v>
      </c>
      <c r="AN427" s="36">
        <f t="shared" si="190"/>
        <v>26.38214533556129</v>
      </c>
      <c r="AO427" s="36">
        <f t="shared" si="191"/>
        <v>-6.3392329166992524E-5</v>
      </c>
      <c r="AP427" s="36">
        <v>1</v>
      </c>
      <c r="AQ427" s="36">
        <f t="shared" si="192"/>
        <v>5.4530931276593132E-4</v>
      </c>
      <c r="AR427" s="36">
        <f t="shared" si="193"/>
        <v>-2.6696164583496262E-5</v>
      </c>
      <c r="AS427" s="36">
        <f t="shared" si="194"/>
        <v>-30.130686360356624</v>
      </c>
      <c r="AT427" s="36">
        <f t="shared" si="195"/>
        <v>-30.130686360356624</v>
      </c>
      <c r="AU427" s="36">
        <f t="shared" si="196"/>
        <v>-3.9306027138360995</v>
      </c>
      <c r="AV427" s="36">
        <f t="shared" si="197"/>
        <v>4.9306027138360999</v>
      </c>
      <c r="AW427" s="36">
        <f t="shared" si="198"/>
        <v>4.4124286698496676E-2</v>
      </c>
      <c r="AX427" s="36">
        <f t="shared" si="199"/>
        <v>0.45740481249298204</v>
      </c>
      <c r="AY427" s="36">
        <f t="shared" si="200"/>
        <v>4.4731979013431182</v>
      </c>
      <c r="AZ427" s="36">
        <f t="shared" si="201"/>
        <v>1080577.7610325073</v>
      </c>
      <c r="BA427" s="36">
        <f t="shared" si="202"/>
        <v>5.4530931276593132E-4</v>
      </c>
      <c r="BB427" s="38">
        <f t="shared" si="203"/>
        <v>-78494091.884717554</v>
      </c>
      <c r="BC427" s="40">
        <f t="shared" si="204"/>
        <v>-81077701.094717547</v>
      </c>
      <c r="BD427" s="41">
        <f t="shared" si="205"/>
        <v>-3138.156528506785</v>
      </c>
      <c r="BE427" s="38">
        <v>2583609.209999999</v>
      </c>
      <c r="BF427" s="42">
        <f>テーブル2[[#This Row],[q_P]]/テーブル2[[#This Row],[q_M]]</f>
        <v>-30.381565285067854</v>
      </c>
      <c r="BG427" s="36">
        <v>1</v>
      </c>
      <c r="BH427" s="36">
        <v>2.7E-2</v>
      </c>
      <c r="BI427" s="36">
        <v>4.5999999999999999E-2</v>
      </c>
      <c r="BJ427" s="36">
        <v>5625</v>
      </c>
      <c r="BK427" s="22">
        <v>1</v>
      </c>
      <c r="BL427" s="36">
        <f>テーブル2[[#This Row],[Ts]]-テーブル2[[#This Row],[Tin]]</f>
        <v>51.982230400728895</v>
      </c>
      <c r="BM427" s="36">
        <f>テーブル2[[#This Row],[q_P]]*0.000001</f>
        <v>-78.494091884717548</v>
      </c>
      <c r="BN427" s="36">
        <f>テーブル2[[#This Row],[Tsub]]</f>
        <v>51.982230400728895</v>
      </c>
      <c r="BO427" s="36">
        <f>テーブル2[[#This Row],[Fcorr]]</f>
        <v>1</v>
      </c>
      <c r="BP427" s="36">
        <f>(テーブル2[[#This Row],[Tsub]]-40)^2</f>
        <v>143.57384537615172</v>
      </c>
      <c r="BQ427" s="36">
        <v>1</v>
      </c>
      <c r="BR427" s="36">
        <v>0.59054999999999991</v>
      </c>
    </row>
    <row r="428" spans="1:70" x14ac:dyDescent="0.15">
      <c r="A428" s="35" t="s">
        <v>424</v>
      </c>
      <c r="B428" s="36">
        <v>13789514.586336</v>
      </c>
      <c r="C428" s="22">
        <f>TsatFromP(テーブル2[[#This Row],[P]])</f>
        <v>608.62107399852357</v>
      </c>
      <c r="D428" s="36">
        <f>RhoGFromP(テーブル2[[#This Row],[P]])</f>
        <v>85.147847035840741</v>
      </c>
      <c r="E428" s="36">
        <f>RhoFFromP(テーブル2[[#This Row],[P]])</f>
        <v>624.86636713482415</v>
      </c>
      <c r="F428" s="36">
        <f>HgFromP(テーブル2[[#This Row],[P]])</f>
        <v>2643264.5206450778</v>
      </c>
      <c r="G428" s="36">
        <f>HfFromP(テーブル2[[#This Row],[P]])</f>
        <v>1562686.7596125705</v>
      </c>
      <c r="H428" s="36">
        <f>MuGFromP(テーブル2[[#This Row],[P]])</f>
        <v>2.2019591234371903E-5</v>
      </c>
      <c r="I428" s="36">
        <f>MuFFromP(テーブル2[[#This Row],[P]])</f>
        <v>7.222326555143516E-5</v>
      </c>
      <c r="J428" s="36">
        <f>KfFromP(テーブル2[[#This Row],[P]])</f>
        <v>0.49112131073334553</v>
      </c>
      <c r="K428" s="36">
        <f>CpFFromP(テーブル2[[#This Row],[P]])</f>
        <v>7679.7488518783057</v>
      </c>
      <c r="L428" s="36">
        <f>SigmaFromP(テーブル2[[#This Row],[P]])</f>
        <v>6.5036449518301549E-3</v>
      </c>
      <c r="M428" s="36">
        <v>489.01</v>
      </c>
      <c r="N428" s="36">
        <v>2454.7763</v>
      </c>
      <c r="O428" s="37">
        <f t="shared" si="206"/>
        <v>4.7446061512773295E-5</v>
      </c>
      <c r="P428" s="37">
        <f t="shared" si="207"/>
        <v>2.4417714740761307E-2</v>
      </c>
      <c r="Q428" s="37">
        <v>7.7723999999999996E-3</v>
      </c>
      <c r="R428" s="36">
        <v>0.59054999999999991</v>
      </c>
      <c r="S428" s="38">
        <v>2542599.54</v>
      </c>
      <c r="T428" s="36">
        <v>564.40991998436516</v>
      </c>
      <c r="U428" s="12">
        <f>+T428+BG428*S428*テーブル2[[#This Row],[Pw]]*R428/(N428*O428*K428)</f>
        <v>605.40016806910114</v>
      </c>
      <c r="V428" s="36">
        <v>0.03</v>
      </c>
      <c r="W428" s="37">
        <f t="shared" si="178"/>
        <v>264173.92191346112</v>
      </c>
      <c r="X428" s="36">
        <v>0.01</v>
      </c>
      <c r="Y428" s="36">
        <f t="shared" si="179"/>
        <v>10</v>
      </c>
      <c r="Z428" s="36">
        <f t="shared" si="180"/>
        <v>5.5007401150744357</v>
      </c>
      <c r="AA428" s="36">
        <f t="shared" si="181"/>
        <v>4.4992598849255643</v>
      </c>
      <c r="AB428" s="36">
        <f t="shared" si="182"/>
        <v>6.4742782971401484E-5</v>
      </c>
      <c r="AC428" s="36">
        <v>600</v>
      </c>
      <c r="AD428" s="36">
        <f t="shared" si="183"/>
        <v>4669.979289941346</v>
      </c>
      <c r="AE428" s="36">
        <f>+gettm2(AD428,AC428,AK428,AL428,テーブル2[[#This Row],[Fcorr]])</f>
        <v>557.01407261727923</v>
      </c>
      <c r="AF428" s="39">
        <f t="shared" si="184"/>
        <v>-48.386095451821916</v>
      </c>
      <c r="AG428" s="36">
        <v>1.0000000000000001E-5</v>
      </c>
      <c r="AH428" s="36">
        <f t="shared" si="185"/>
        <v>12.054430755075163</v>
      </c>
      <c r="AI428" s="36">
        <f t="shared" si="186"/>
        <v>0.13889281447368254</v>
      </c>
      <c r="AJ428" s="36">
        <f t="shared" si="187"/>
        <v>12.016826951627159</v>
      </c>
      <c r="AK428" s="36">
        <f>+S88*テーブル2[[#This Row],[F_form]]/(E88*CpFromTP((テーブル2[[#This Row],[Tin]]+テーブル2[[#This Row],[Tf]])/2,テーブル2[[#This Row],[P]])*AI88)</f>
        <v>1.7043072615154438</v>
      </c>
      <c r="AL428" s="36">
        <f t="shared" si="188"/>
        <v>1.1293676909872215</v>
      </c>
      <c r="AM428" s="36">
        <f t="shared" si="189"/>
        <v>582.28321027938136</v>
      </c>
      <c r="AN428" s="36">
        <f t="shared" si="190"/>
        <v>26.337863719142206</v>
      </c>
      <c r="AO428" s="36">
        <f t="shared" si="191"/>
        <v>-5.4742782971401485E-5</v>
      </c>
      <c r="AP428" s="36">
        <v>1</v>
      </c>
      <c r="AQ428" s="36">
        <f t="shared" si="192"/>
        <v>5.4530931276593132E-4</v>
      </c>
      <c r="AR428" s="36">
        <f t="shared" si="193"/>
        <v>-2.2371391485700743E-5</v>
      </c>
      <c r="AS428" s="36">
        <f t="shared" si="194"/>
        <v>-26.883314015077101</v>
      </c>
      <c r="AT428" s="36">
        <f t="shared" si="195"/>
        <v>-26.883314015077101</v>
      </c>
      <c r="AU428" s="36">
        <f t="shared" si="196"/>
        <v>-3.7338991459338535</v>
      </c>
      <c r="AV428" s="36">
        <f t="shared" si="197"/>
        <v>4.7338991459338535</v>
      </c>
      <c r="AW428" s="36">
        <f t="shared" si="198"/>
        <v>3.8924083073976802E-2</v>
      </c>
      <c r="AX428" s="36">
        <f t="shared" si="199"/>
        <v>0.48700159447782204</v>
      </c>
      <c r="AY428" s="36">
        <f t="shared" si="200"/>
        <v>4.2468975514560316</v>
      </c>
      <c r="AZ428" s="36">
        <f t="shared" si="201"/>
        <v>1080577.7610325073</v>
      </c>
      <c r="BA428" s="36">
        <f t="shared" si="202"/>
        <v>5.4530931276593132E-4</v>
      </c>
      <c r="BB428" s="38">
        <f t="shared" si="203"/>
        <v>-67783990.47719039</v>
      </c>
      <c r="BC428" s="40">
        <f t="shared" si="204"/>
        <v>-70326590.017190397</v>
      </c>
      <c r="BD428" s="41">
        <f t="shared" si="205"/>
        <v>-2765.9326178117058</v>
      </c>
      <c r="BE428" s="38">
        <v>2542599.54</v>
      </c>
      <c r="BF428" s="42">
        <f>テーブル2[[#This Row],[q_P]]/テーブル2[[#This Row],[q_M]]</f>
        <v>-26.659326178117059</v>
      </c>
      <c r="BG428" s="36">
        <v>1</v>
      </c>
      <c r="BH428" s="36">
        <v>4.1000000000000002E-2</v>
      </c>
      <c r="BI428" s="36">
        <v>4.5999999999999999E-2</v>
      </c>
      <c r="BJ428" s="36">
        <v>5625</v>
      </c>
      <c r="BK428" s="22">
        <v>1</v>
      </c>
      <c r="BL428" s="36">
        <f>テーブル2[[#This Row],[Ts]]-テーブル2[[#This Row],[Tin]]</f>
        <v>44.21115401415841</v>
      </c>
      <c r="BM428" s="36">
        <f>テーブル2[[#This Row],[q_P]]*0.000001</f>
        <v>-67.783990477190386</v>
      </c>
      <c r="BN428" s="36">
        <f>テーブル2[[#This Row],[Tsub]]</f>
        <v>44.21115401415841</v>
      </c>
      <c r="BO428" s="36">
        <f>テーブル2[[#This Row],[Fcorr]]</f>
        <v>1</v>
      </c>
      <c r="BP428" s="36">
        <f>(テーブル2[[#This Row],[Tsub]]-40)^2</f>
        <v>17.73381813096249</v>
      </c>
      <c r="BQ428" s="36">
        <v>1</v>
      </c>
      <c r="BR428" s="36">
        <v>0.59054999999999991</v>
      </c>
    </row>
    <row r="429" spans="1:70" x14ac:dyDescent="0.15">
      <c r="A429" s="35" t="s">
        <v>150</v>
      </c>
      <c r="B429" s="36">
        <v>13789514.586336</v>
      </c>
      <c r="C429" s="22">
        <f>TsatFromP(テーブル2[[#This Row],[P]])</f>
        <v>608.62107399852357</v>
      </c>
      <c r="D429" s="36">
        <f>RhoGFromP(テーブル2[[#This Row],[P]])</f>
        <v>85.147847035840741</v>
      </c>
      <c r="E429" s="36">
        <f>RhoFFromP(テーブル2[[#This Row],[P]])</f>
        <v>624.86636713482415</v>
      </c>
      <c r="F429" s="36">
        <f>HgFromP(テーブル2[[#This Row],[P]])</f>
        <v>2643264.5206450778</v>
      </c>
      <c r="G429" s="36">
        <f>HfFromP(テーブル2[[#This Row],[P]])</f>
        <v>1562686.7596125705</v>
      </c>
      <c r="H429" s="36">
        <f>MuGFromP(テーブル2[[#This Row],[P]])</f>
        <v>2.2019591234371903E-5</v>
      </c>
      <c r="I429" s="36">
        <f>MuFFromP(テーブル2[[#This Row],[P]])</f>
        <v>7.222326555143516E-5</v>
      </c>
      <c r="J429" s="36">
        <f>KfFromP(テーブル2[[#This Row],[P]])</f>
        <v>0.49112131073334553</v>
      </c>
      <c r="K429" s="36">
        <f>CpFFromP(テーブル2[[#This Row],[P]])</f>
        <v>7679.7488518783057</v>
      </c>
      <c r="L429" s="36">
        <f>SigmaFromP(テーブル2[[#This Row],[P]])</f>
        <v>6.5036449518301549E-3</v>
      </c>
      <c r="M429" s="36">
        <v>493.01</v>
      </c>
      <c r="N429" s="36">
        <v>2888.7698999999998</v>
      </c>
      <c r="O429" s="37">
        <f t="shared" si="206"/>
        <v>4.7446061512773295E-5</v>
      </c>
      <c r="P429" s="37">
        <f t="shared" si="207"/>
        <v>2.4417714740761307E-2</v>
      </c>
      <c r="Q429" s="37">
        <v>7.7723999999999996E-3</v>
      </c>
      <c r="R429" s="36">
        <v>0.59054999999999991</v>
      </c>
      <c r="S429" s="38">
        <v>2526826.59</v>
      </c>
      <c r="T429" s="36">
        <v>575.01997599880735</v>
      </c>
      <c r="U429" s="12">
        <f>+T429+BG429*S429*テーブル2[[#This Row],[Pw]]*R429/(N429*O429*K429)</f>
        <v>609.63598479185657</v>
      </c>
      <c r="V429" s="36">
        <v>0.03</v>
      </c>
      <c r="W429" s="37">
        <f t="shared" si="178"/>
        <v>310878.70368821663</v>
      </c>
      <c r="X429" s="36">
        <v>0.01</v>
      </c>
      <c r="Y429" s="36">
        <f t="shared" si="179"/>
        <v>10</v>
      </c>
      <c r="Z429" s="36">
        <f t="shared" si="180"/>
        <v>5.7753496403378612</v>
      </c>
      <c r="AA429" s="36">
        <f t="shared" si="181"/>
        <v>4.2246503596621388</v>
      </c>
      <c r="AB429" s="36">
        <f t="shared" si="182"/>
        <v>4.675082794256175E-5</v>
      </c>
      <c r="AC429" s="36">
        <v>600</v>
      </c>
      <c r="AD429" s="36">
        <f t="shared" si="183"/>
        <v>5495.6109876105329</v>
      </c>
      <c r="AE429" s="36">
        <f>+gettm2(AD429,AC429,AK429,AL429,テーブル2[[#This Row],[Fcorr]])</f>
        <v>558.52436364048629</v>
      </c>
      <c r="AF429" s="39">
        <f t="shared" si="184"/>
        <v>-51.111621151370286</v>
      </c>
      <c r="AG429" s="36">
        <v>1.0000000000000001E-5</v>
      </c>
      <c r="AH429" s="36">
        <f t="shared" si="185"/>
        <v>16.693552361863343</v>
      </c>
      <c r="AI429" s="36">
        <f t="shared" si="186"/>
        <v>0.1634484501817369</v>
      </c>
      <c r="AJ429" s="36">
        <f t="shared" si="187"/>
        <v>14.14134884362754</v>
      </c>
      <c r="AK429" s="36">
        <f>+S88*テーブル2[[#This Row],[F_form]]/(E88*CpFromTP((テーブル2[[#This Row],[Tin]]+テーブル2[[#This Row],[Tf]])/2,テーブル2[[#This Row],[P]])*AI88)</f>
        <v>1.6181724104422748</v>
      </c>
      <c r="AL429" s="36">
        <f t="shared" si="188"/>
        <v>1.1293676909872215</v>
      </c>
      <c r="AM429" s="36">
        <f t="shared" si="189"/>
        <v>581.80084894749632</v>
      </c>
      <c r="AN429" s="36">
        <f t="shared" si="190"/>
        <v>26.820225051027251</v>
      </c>
      <c r="AO429" s="36">
        <f t="shared" si="191"/>
        <v>-3.6750827942561751E-5</v>
      </c>
      <c r="AP429" s="36">
        <v>1</v>
      </c>
      <c r="AQ429" s="36">
        <f t="shared" si="192"/>
        <v>5.4530931276593132E-4</v>
      </c>
      <c r="AR429" s="36">
        <f t="shared" si="193"/>
        <v>-1.3375413971280876E-5</v>
      </c>
      <c r="AS429" s="36">
        <f t="shared" si="194"/>
        <v>-18.914639489581244</v>
      </c>
      <c r="AT429" s="36">
        <f t="shared" si="195"/>
        <v>-18.914639489581244</v>
      </c>
      <c r="AU429" s="36">
        <f t="shared" si="196"/>
        <v>-3.0915685103183335</v>
      </c>
      <c r="AV429" s="36">
        <f t="shared" si="197"/>
        <v>4.0915685103183339</v>
      </c>
      <c r="AW429" s="36">
        <f t="shared" si="198"/>
        <v>2.810711908101466E-2</v>
      </c>
      <c r="AX429" s="36">
        <f t="shared" si="199"/>
        <v>0.57310132388826573</v>
      </c>
      <c r="AY429" s="36">
        <f t="shared" si="200"/>
        <v>3.5184671864300681</v>
      </c>
      <c r="AZ429" s="36">
        <f t="shared" si="201"/>
        <v>1080577.7610325073</v>
      </c>
      <c r="BA429" s="36">
        <f t="shared" si="202"/>
        <v>5.4530931276593132E-4</v>
      </c>
      <c r="BB429" s="38">
        <f t="shared" si="203"/>
        <v>-45505866.455289066</v>
      </c>
      <c r="BC429" s="40">
        <f t="shared" si="204"/>
        <v>-48032693.045289069</v>
      </c>
      <c r="BD429" s="41">
        <f t="shared" si="205"/>
        <v>-1900.9097512025576</v>
      </c>
      <c r="BE429" s="38">
        <v>2526826.59</v>
      </c>
      <c r="BF429" s="42">
        <f>テーブル2[[#This Row],[q_P]]/テーブル2[[#This Row],[q_M]]</f>
        <v>-18.009097512025576</v>
      </c>
      <c r="BG429" s="36">
        <v>1</v>
      </c>
      <c r="BH429" s="36">
        <v>4.9000000000000002E-2</v>
      </c>
      <c r="BI429" s="36">
        <v>4.5999999999999999E-2</v>
      </c>
      <c r="BJ429" s="36">
        <v>5625</v>
      </c>
      <c r="BK429" s="22">
        <v>1</v>
      </c>
      <c r="BL429" s="36">
        <f>テーブル2[[#This Row],[Ts]]-テーブル2[[#This Row],[Tin]]</f>
        <v>33.601097999716217</v>
      </c>
      <c r="BM429" s="36">
        <f>テーブル2[[#This Row],[q_P]]*0.000001</f>
        <v>-45.505866455289066</v>
      </c>
      <c r="BN429" s="36">
        <f>テーブル2[[#This Row],[Tsub]]</f>
        <v>33.601097999716217</v>
      </c>
      <c r="BO429" s="36">
        <f>テーブル2[[#This Row],[Fcorr]]</f>
        <v>1</v>
      </c>
      <c r="BP429" s="36">
        <f>(テーブル2[[#This Row],[Tsub]]-40)^2</f>
        <v>40.945946809235807</v>
      </c>
      <c r="BQ429" s="36">
        <v>1</v>
      </c>
      <c r="BR429" s="36">
        <v>0.59054999999999991</v>
      </c>
    </row>
    <row r="430" spans="1:70" x14ac:dyDescent="0.15">
      <c r="A430" s="35" t="s">
        <v>153</v>
      </c>
      <c r="B430" s="36">
        <v>13789514.586336</v>
      </c>
      <c r="C430" s="22">
        <f>TsatFromP(テーブル2[[#This Row],[P]])</f>
        <v>608.62107399852357</v>
      </c>
      <c r="D430" s="36">
        <f>RhoGFromP(テーブル2[[#This Row],[P]])</f>
        <v>85.147847035840741</v>
      </c>
      <c r="E430" s="36">
        <f>RhoFFromP(テーブル2[[#This Row],[P]])</f>
        <v>624.86636713482415</v>
      </c>
      <c r="F430" s="36">
        <f>HgFromP(テーブル2[[#This Row],[P]])</f>
        <v>2643264.5206450778</v>
      </c>
      <c r="G430" s="36">
        <f>HfFromP(テーブル2[[#This Row],[P]])</f>
        <v>1562686.7596125705</v>
      </c>
      <c r="H430" s="36">
        <f>MuGFromP(テーブル2[[#This Row],[P]])</f>
        <v>2.2019591234371903E-5</v>
      </c>
      <c r="I430" s="36">
        <f>MuFFromP(テーブル2[[#This Row],[P]])</f>
        <v>7.222326555143516E-5</v>
      </c>
      <c r="J430" s="36">
        <f>KfFromP(テーブル2[[#This Row],[P]])</f>
        <v>0.49112131073334553</v>
      </c>
      <c r="K430" s="36">
        <f>CpFFromP(テーブル2[[#This Row],[P]])</f>
        <v>7679.7488518783057</v>
      </c>
      <c r="L430" s="36">
        <f>SigmaFromP(テーブル2[[#This Row],[P]])</f>
        <v>6.5036449518301549E-3</v>
      </c>
      <c r="M430" s="36">
        <v>496.01</v>
      </c>
      <c r="N430" s="36">
        <v>2997.2683000000002</v>
      </c>
      <c r="O430" s="37">
        <f t="shared" si="206"/>
        <v>4.7446061512773295E-5</v>
      </c>
      <c r="P430" s="37">
        <f t="shared" si="207"/>
        <v>2.4417714740761307E-2</v>
      </c>
      <c r="Q430" s="37">
        <v>7.7723999999999996E-3</v>
      </c>
      <c r="R430" s="36">
        <v>0.59054999999999991</v>
      </c>
      <c r="S430" s="38">
        <v>2586763.7999999989</v>
      </c>
      <c r="T430" s="36">
        <v>573.34320190870619</v>
      </c>
      <c r="U430" s="12">
        <f>+T430+BG430*S430*テーブル2[[#This Row],[Pw]]*R430/(N430*O430*K430)</f>
        <v>607.49752312366923</v>
      </c>
      <c r="V430" s="36">
        <v>0.03</v>
      </c>
      <c r="W430" s="37">
        <f t="shared" si="178"/>
        <v>322554.89913190558</v>
      </c>
      <c r="X430" s="36">
        <v>0.01</v>
      </c>
      <c r="Y430" s="36">
        <f t="shared" si="179"/>
        <v>10</v>
      </c>
      <c r="Z430" s="36">
        <f t="shared" si="180"/>
        <v>5.8373636971525302</v>
      </c>
      <c r="AA430" s="36">
        <f t="shared" si="181"/>
        <v>4.1626363028474698</v>
      </c>
      <c r="AB430" s="36">
        <f t="shared" si="182"/>
        <v>4.3427413708279592E-5</v>
      </c>
      <c r="AC430" s="36">
        <v>600</v>
      </c>
      <c r="AD430" s="36">
        <f t="shared" si="183"/>
        <v>5702.0189120278319</v>
      </c>
      <c r="AE430" s="36">
        <f>+gettm2(AD430,AC430,AK430,AL430,テーブル2[[#This Row],[Fcorr]])</f>
        <v>557.76496829538064</v>
      </c>
      <c r="AF430" s="39">
        <f t="shared" si="184"/>
        <v>-49.732554828288585</v>
      </c>
      <c r="AG430" s="36">
        <v>1.0000000000000001E-5</v>
      </c>
      <c r="AH430" s="36">
        <f t="shared" si="185"/>
        <v>17.971076966778369</v>
      </c>
      <c r="AI430" s="36">
        <f t="shared" si="186"/>
        <v>0.16958735910875053</v>
      </c>
      <c r="AJ430" s="36">
        <f t="shared" si="187"/>
        <v>14.672479316627637</v>
      </c>
      <c r="AK430" s="36">
        <f>+S88*テーブル2[[#This Row],[F_form]]/(E88*CpFromTP((テーブル2[[#This Row],[Tin]]+テーブル2[[#This Row],[Tf]])/2,テーブル2[[#This Row],[P]])*AI88)</f>
        <v>1.6418663062783447</v>
      </c>
      <c r="AL430" s="36">
        <f t="shared" si="188"/>
        <v>1.1293676909872215</v>
      </c>
      <c r="AM430" s="36">
        <f t="shared" si="189"/>
        <v>581.21915333009338</v>
      </c>
      <c r="AN430" s="36">
        <f t="shared" si="190"/>
        <v>27.401920668430193</v>
      </c>
      <c r="AO430" s="36">
        <f t="shared" si="191"/>
        <v>-3.3427413708279593E-5</v>
      </c>
      <c r="AP430" s="36">
        <v>1</v>
      </c>
      <c r="AQ430" s="36">
        <f t="shared" si="192"/>
        <v>5.4530931276593132E-4</v>
      </c>
      <c r="AR430" s="36">
        <f t="shared" si="193"/>
        <v>-1.1713706854139797E-5</v>
      </c>
      <c r="AS430" s="36">
        <f t="shared" si="194"/>
        <v>-17.186912153840556</v>
      </c>
      <c r="AT430" s="36">
        <f t="shared" si="195"/>
        <v>-17.186912153840556</v>
      </c>
      <c r="AU430" s="36">
        <f t="shared" si="196"/>
        <v>-2.9146830434039073</v>
      </c>
      <c r="AV430" s="36">
        <f t="shared" si="197"/>
        <v>3.9146830434039073</v>
      </c>
      <c r="AW430" s="36">
        <f t="shared" si="198"/>
        <v>2.610904538372584E-2</v>
      </c>
      <c r="AX430" s="36">
        <f t="shared" si="199"/>
        <v>0.59462625624087673</v>
      </c>
      <c r="AY430" s="36">
        <f t="shared" si="200"/>
        <v>3.3200567871630304</v>
      </c>
      <c r="AZ430" s="36">
        <f t="shared" si="201"/>
        <v>1080577.7610325073</v>
      </c>
      <c r="BA430" s="36">
        <f t="shared" si="202"/>
        <v>5.4530931276593132E-4</v>
      </c>
      <c r="BB430" s="38">
        <f t="shared" si="203"/>
        <v>-41390725.306436114</v>
      </c>
      <c r="BC430" s="40">
        <f t="shared" si="204"/>
        <v>-43977489.106436111</v>
      </c>
      <c r="BD430" s="41">
        <f t="shared" si="205"/>
        <v>-1700.0968200666844</v>
      </c>
      <c r="BE430" s="38">
        <v>2586763.7999999989</v>
      </c>
      <c r="BF430" s="42">
        <f>テーブル2[[#This Row],[q_P]]/テーブル2[[#This Row],[q_M]]</f>
        <v>-16.000968200666847</v>
      </c>
      <c r="BG430" s="36">
        <v>1</v>
      </c>
      <c r="BH430" s="36">
        <v>3.6999999999999998E-2</v>
      </c>
      <c r="BI430" s="36">
        <v>4.5999999999999999E-2</v>
      </c>
      <c r="BJ430" s="36">
        <v>5625</v>
      </c>
      <c r="BK430" s="22">
        <v>1</v>
      </c>
      <c r="BL430" s="36">
        <f>テーブル2[[#This Row],[Ts]]-テーブル2[[#This Row],[Tin]]</f>
        <v>35.277872089817379</v>
      </c>
      <c r="BM430" s="36">
        <f>テーブル2[[#This Row],[q_P]]*0.000001</f>
        <v>-41.39072530643611</v>
      </c>
      <c r="BN430" s="36">
        <f>テーブル2[[#This Row],[Tsub]]</f>
        <v>35.277872089817379</v>
      </c>
      <c r="BO430" s="36">
        <f>テーブル2[[#This Row],[Fcorr]]</f>
        <v>1</v>
      </c>
      <c r="BP430" s="36">
        <f>(テーブル2[[#This Row],[Tsub]]-40)^2</f>
        <v>22.298492000125691</v>
      </c>
      <c r="BQ430" s="36">
        <v>1</v>
      </c>
      <c r="BR430" s="36">
        <v>0.59054999999999991</v>
      </c>
    </row>
    <row r="431" spans="1:70" x14ac:dyDescent="0.15">
      <c r="A431" s="35" t="s">
        <v>154</v>
      </c>
      <c r="B431" s="36">
        <v>13789514.586336</v>
      </c>
      <c r="C431" s="22">
        <f>TsatFromP(テーブル2[[#This Row],[P]])</f>
        <v>608.62107399852357</v>
      </c>
      <c r="D431" s="36">
        <f>RhoGFromP(テーブル2[[#This Row],[P]])</f>
        <v>85.147847035840741</v>
      </c>
      <c r="E431" s="36">
        <f>RhoFFromP(テーブル2[[#This Row],[P]])</f>
        <v>624.86636713482415</v>
      </c>
      <c r="F431" s="36">
        <f>HgFromP(テーブル2[[#This Row],[P]])</f>
        <v>2643264.5206450778</v>
      </c>
      <c r="G431" s="36">
        <f>HfFromP(テーブル2[[#This Row],[P]])</f>
        <v>1562686.7596125705</v>
      </c>
      <c r="H431" s="36">
        <f>MuGFromP(テーブル2[[#This Row],[P]])</f>
        <v>2.2019591234371903E-5</v>
      </c>
      <c r="I431" s="36">
        <f>MuFFromP(テーブル2[[#This Row],[P]])</f>
        <v>7.222326555143516E-5</v>
      </c>
      <c r="J431" s="36">
        <f>KfFromP(テーブル2[[#This Row],[P]])</f>
        <v>0.49112131073334553</v>
      </c>
      <c r="K431" s="36">
        <f>CpFFromP(テーブル2[[#This Row],[P]])</f>
        <v>7679.7488518783057</v>
      </c>
      <c r="L431" s="36">
        <f>SigmaFromP(テーブル2[[#This Row],[P]])</f>
        <v>6.5036449518301549E-3</v>
      </c>
      <c r="M431" s="36">
        <v>497.01</v>
      </c>
      <c r="N431" s="36">
        <v>3051.5174999999999</v>
      </c>
      <c r="O431" s="37">
        <f t="shared" si="206"/>
        <v>4.7446061512773295E-5</v>
      </c>
      <c r="P431" s="37">
        <f t="shared" si="207"/>
        <v>2.4417714740761307E-2</v>
      </c>
      <c r="Q431" s="37">
        <v>7.7723999999999996E-3</v>
      </c>
      <c r="R431" s="36">
        <v>0.59054999999999991</v>
      </c>
      <c r="S431" s="38">
        <v>2602536.75</v>
      </c>
      <c r="T431" s="36">
        <v>573.34320190870619</v>
      </c>
      <c r="U431" s="12">
        <f>+T431+BG431*S431*テーブル2[[#This Row],[Pw]]*R431/(N431*O431*K431)</f>
        <v>607.09489088170426</v>
      </c>
      <c r="V431" s="36">
        <v>0.03</v>
      </c>
      <c r="W431" s="37">
        <f t="shared" si="178"/>
        <v>328392.99685375002</v>
      </c>
      <c r="X431" s="36">
        <v>0.01</v>
      </c>
      <c r="Y431" s="36">
        <f t="shared" si="179"/>
        <v>10</v>
      </c>
      <c r="Z431" s="36">
        <f t="shared" si="180"/>
        <v>5.867508150742986</v>
      </c>
      <c r="AA431" s="36">
        <f t="shared" si="181"/>
        <v>4.132491849257014</v>
      </c>
      <c r="AB431" s="36">
        <f t="shared" si="182"/>
        <v>4.1897053094836228E-5</v>
      </c>
      <c r="AC431" s="36">
        <v>600</v>
      </c>
      <c r="AD431" s="36">
        <f t="shared" si="183"/>
        <v>5805.2228742364805</v>
      </c>
      <c r="AE431" s="36">
        <f>+gettm2(AD431,AC431,AK431,AL431,テーブル2[[#This Row],[Fcorr]])</f>
        <v>557.62785300655833</v>
      </c>
      <c r="AF431" s="39">
        <f t="shared" si="184"/>
        <v>-49.467037875145934</v>
      </c>
      <c r="AG431" s="36">
        <v>1.0000000000000001E-5</v>
      </c>
      <c r="AH431" s="36">
        <f t="shared" si="185"/>
        <v>18.627500899718569</v>
      </c>
      <c r="AI431" s="36">
        <f t="shared" si="186"/>
        <v>0.17265681357225732</v>
      </c>
      <c r="AJ431" s="36">
        <f t="shared" si="187"/>
        <v>14.938044553127686</v>
      </c>
      <c r="AK431" s="36">
        <f>+S88*テーブル2[[#This Row],[F_form]]/(E88*CpFromTP((テーブル2[[#This Row],[Tin]]+テーブル2[[#This Row],[Tf]])/2,テーブル2[[#This Row],[P]])*AI88)</f>
        <v>1.6443162031625431</v>
      </c>
      <c r="AL431" s="36">
        <f t="shared" si="188"/>
        <v>1.1293676909872215</v>
      </c>
      <c r="AM431" s="36">
        <f t="shared" si="189"/>
        <v>581.03771832352572</v>
      </c>
      <c r="AN431" s="36">
        <f t="shared" si="190"/>
        <v>27.583355674997847</v>
      </c>
      <c r="AO431" s="36">
        <f t="shared" si="191"/>
        <v>-3.1897053094836229E-5</v>
      </c>
      <c r="AP431" s="36">
        <v>1</v>
      </c>
      <c r="AQ431" s="36">
        <f t="shared" si="192"/>
        <v>5.4530931276593132E-4</v>
      </c>
      <c r="AR431" s="36">
        <f t="shared" si="193"/>
        <v>-1.0948526547418115E-5</v>
      </c>
      <c r="AS431" s="36">
        <f t="shared" si="194"/>
        <v>-16.354957735643303</v>
      </c>
      <c r="AT431" s="36">
        <f t="shared" si="195"/>
        <v>-16.354957735643303</v>
      </c>
      <c r="AU431" s="36">
        <f t="shared" si="196"/>
        <v>-2.8237948887451134</v>
      </c>
      <c r="AV431" s="36">
        <f t="shared" si="197"/>
        <v>3.8237948887451134</v>
      </c>
      <c r="AW431" s="36">
        <f t="shared" si="198"/>
        <v>2.5188975517759095E-2</v>
      </c>
      <c r="AX431" s="36">
        <f t="shared" si="199"/>
        <v>0.60538872241718211</v>
      </c>
      <c r="AY431" s="36">
        <f t="shared" si="200"/>
        <v>3.2184061663279313</v>
      </c>
      <c r="AZ431" s="36">
        <f t="shared" si="201"/>
        <v>1080577.7610325073</v>
      </c>
      <c r="BA431" s="36">
        <f t="shared" si="202"/>
        <v>5.4530931276593132E-4</v>
      </c>
      <c r="BB431" s="38">
        <f t="shared" si="203"/>
        <v>-39495791.515757173</v>
      </c>
      <c r="BC431" s="40">
        <f t="shared" si="204"/>
        <v>-42098328.265757173</v>
      </c>
      <c r="BD431" s="41">
        <f t="shared" si="205"/>
        <v>-1617.5882344699717</v>
      </c>
      <c r="BE431" s="38">
        <v>2602536.75</v>
      </c>
      <c r="BF431" s="42">
        <f>テーブル2[[#This Row],[q_P]]/テーブル2[[#This Row],[q_M]]</f>
        <v>-15.175882344699714</v>
      </c>
      <c r="BG431" s="36">
        <v>1</v>
      </c>
      <c r="BH431" s="36">
        <v>3.4000000000000002E-2</v>
      </c>
      <c r="BI431" s="36">
        <v>4.5999999999999999E-2</v>
      </c>
      <c r="BJ431" s="36">
        <v>5625</v>
      </c>
      <c r="BK431" s="22">
        <v>1</v>
      </c>
      <c r="BL431" s="36">
        <f>テーブル2[[#This Row],[Ts]]-テーブル2[[#This Row],[Tin]]</f>
        <v>35.277872089817379</v>
      </c>
      <c r="BM431" s="36">
        <f>テーブル2[[#This Row],[q_P]]*0.000001</f>
        <v>-39.495791515757169</v>
      </c>
      <c r="BN431" s="36">
        <f>テーブル2[[#This Row],[Tsub]]</f>
        <v>35.277872089817379</v>
      </c>
      <c r="BO431" s="36">
        <f>テーブル2[[#This Row],[Fcorr]]</f>
        <v>1</v>
      </c>
      <c r="BP431" s="36">
        <f>(テーブル2[[#This Row],[Tsub]]-40)^2</f>
        <v>22.298492000125691</v>
      </c>
      <c r="BQ431" s="36">
        <v>1</v>
      </c>
      <c r="BR431" s="36">
        <v>0.59054999999999991</v>
      </c>
    </row>
    <row r="432" spans="1:70" x14ac:dyDescent="0.15">
      <c r="A432" s="35" t="s">
        <v>155</v>
      </c>
      <c r="B432" s="36">
        <v>13789514.586336</v>
      </c>
      <c r="C432" s="22">
        <f>TsatFromP(テーブル2[[#This Row],[P]])</f>
        <v>608.62107399852357</v>
      </c>
      <c r="D432" s="36">
        <f>RhoGFromP(テーブル2[[#This Row],[P]])</f>
        <v>85.147847035840741</v>
      </c>
      <c r="E432" s="36">
        <f>RhoFFromP(テーブル2[[#This Row],[P]])</f>
        <v>624.86636713482415</v>
      </c>
      <c r="F432" s="36">
        <f>HgFromP(テーブル2[[#This Row],[P]])</f>
        <v>2643264.5206450778</v>
      </c>
      <c r="G432" s="36">
        <f>HfFromP(テーブル2[[#This Row],[P]])</f>
        <v>1562686.7596125705</v>
      </c>
      <c r="H432" s="36">
        <f>MuGFromP(テーブル2[[#This Row],[P]])</f>
        <v>2.2019591234371903E-5</v>
      </c>
      <c r="I432" s="36">
        <f>MuFFromP(テーブル2[[#This Row],[P]])</f>
        <v>7.222326555143516E-5</v>
      </c>
      <c r="J432" s="36">
        <f>KfFromP(テーブル2[[#This Row],[P]])</f>
        <v>0.49112131073334553</v>
      </c>
      <c r="K432" s="36">
        <f>CpFFromP(テーブル2[[#This Row],[P]])</f>
        <v>7679.7488518783057</v>
      </c>
      <c r="L432" s="36">
        <f>SigmaFromP(テーブル2[[#This Row],[P]])</f>
        <v>6.5036449518301549E-3</v>
      </c>
      <c r="M432" s="36">
        <v>498.01</v>
      </c>
      <c r="N432" s="36">
        <v>3051.5174999999999</v>
      </c>
      <c r="O432" s="37">
        <f t="shared" si="206"/>
        <v>4.7446061512773295E-5</v>
      </c>
      <c r="P432" s="37">
        <f t="shared" si="207"/>
        <v>2.4417714740761307E-2</v>
      </c>
      <c r="Q432" s="37">
        <v>7.7723999999999996E-3</v>
      </c>
      <c r="R432" s="36">
        <v>0.59054999999999991</v>
      </c>
      <c r="S432" s="38">
        <v>2618309.7000000002</v>
      </c>
      <c r="T432" s="36">
        <v>572.7952726635375</v>
      </c>
      <c r="U432" s="12">
        <f>+T432+BG432*S432*テーブル2[[#This Row],[Pw]]*R432/(N432*O432*K432)</f>
        <v>606.75151732728102</v>
      </c>
      <c r="V432" s="36">
        <v>0.03</v>
      </c>
      <c r="W432" s="37">
        <f t="shared" si="178"/>
        <v>328392.99685375002</v>
      </c>
      <c r="X432" s="36">
        <v>0.01</v>
      </c>
      <c r="Y432" s="36">
        <f t="shared" si="179"/>
        <v>10</v>
      </c>
      <c r="Z432" s="36">
        <f t="shared" si="180"/>
        <v>5.867508150742986</v>
      </c>
      <c r="AA432" s="36">
        <f t="shared" si="181"/>
        <v>4.132491849257014</v>
      </c>
      <c r="AB432" s="36">
        <f t="shared" si="182"/>
        <v>4.1897053094836228E-5</v>
      </c>
      <c r="AC432" s="36">
        <v>600</v>
      </c>
      <c r="AD432" s="36">
        <f t="shared" si="183"/>
        <v>5805.2228742364805</v>
      </c>
      <c r="AE432" s="36">
        <f>+gettm2(AD432,AC432,AK432,AL432,テーブル2[[#This Row],[Fcorr]])</f>
        <v>557.49025577851785</v>
      </c>
      <c r="AF432" s="39">
        <f t="shared" si="184"/>
        <v>-49.261261548763173</v>
      </c>
      <c r="AG432" s="36">
        <v>1.0000000000000001E-5</v>
      </c>
      <c r="AH432" s="36">
        <f t="shared" si="185"/>
        <v>18.627500899718569</v>
      </c>
      <c r="AI432" s="36">
        <f t="shared" si="186"/>
        <v>0.17265681357225732</v>
      </c>
      <c r="AJ432" s="36">
        <f t="shared" si="187"/>
        <v>14.938044553127686</v>
      </c>
      <c r="AK432" s="36">
        <f>+S88*テーブル2[[#This Row],[F_form]]/(E88*CpFromTP((テーブル2[[#This Row],[Tin]]+テーブル2[[#This Row],[Tf]])/2,テーブル2[[#This Row],[P]])*AI88)</f>
        <v>1.6496558748013757</v>
      </c>
      <c r="AL432" s="36">
        <f t="shared" si="188"/>
        <v>1.1293676909872215</v>
      </c>
      <c r="AM432" s="36">
        <f t="shared" si="189"/>
        <v>580.9761411417885</v>
      </c>
      <c r="AN432" s="36">
        <f t="shared" si="190"/>
        <v>27.644932856735068</v>
      </c>
      <c r="AO432" s="36">
        <f t="shared" si="191"/>
        <v>-3.1897053094836229E-5</v>
      </c>
      <c r="AP432" s="36">
        <v>1</v>
      </c>
      <c r="AQ432" s="36">
        <f t="shared" si="192"/>
        <v>5.4530931276593132E-4</v>
      </c>
      <c r="AR432" s="36">
        <f t="shared" si="193"/>
        <v>-1.0948526547418115E-5</v>
      </c>
      <c r="AS432" s="36">
        <f t="shared" si="194"/>
        <v>-16.354957735643303</v>
      </c>
      <c r="AT432" s="36">
        <f t="shared" si="195"/>
        <v>-16.354957735643303</v>
      </c>
      <c r="AU432" s="36">
        <f t="shared" si="196"/>
        <v>-2.8237948887451134</v>
      </c>
      <c r="AV432" s="36">
        <f t="shared" si="197"/>
        <v>3.8237948887451134</v>
      </c>
      <c r="AW432" s="36">
        <f t="shared" si="198"/>
        <v>2.5188975517759095E-2</v>
      </c>
      <c r="AX432" s="36">
        <f t="shared" si="199"/>
        <v>0.60538872241718211</v>
      </c>
      <c r="AY432" s="36">
        <f t="shared" si="200"/>
        <v>3.2184061663279313</v>
      </c>
      <c r="AZ432" s="36">
        <f t="shared" si="201"/>
        <v>1080577.7610325073</v>
      </c>
      <c r="BA432" s="36">
        <f t="shared" si="202"/>
        <v>5.4530931276593132E-4</v>
      </c>
      <c r="BB432" s="38">
        <f t="shared" si="203"/>
        <v>-39495791.515757173</v>
      </c>
      <c r="BC432" s="40">
        <f t="shared" si="204"/>
        <v>-42114101.215757176</v>
      </c>
      <c r="BD432" s="41">
        <f t="shared" si="205"/>
        <v>-1608.4461366719595</v>
      </c>
      <c r="BE432" s="38">
        <v>2618309.7000000002</v>
      </c>
      <c r="BF432" s="42">
        <f>テーブル2[[#This Row],[q_P]]/テーブル2[[#This Row],[q_M]]</f>
        <v>-15.084461366719594</v>
      </c>
      <c r="BG432" s="36">
        <v>1</v>
      </c>
      <c r="BH432" s="36">
        <v>3.3000000000000002E-2</v>
      </c>
      <c r="BI432" s="36">
        <v>4.5999999999999999E-2</v>
      </c>
      <c r="BJ432" s="36">
        <v>5625</v>
      </c>
      <c r="BK432" s="22">
        <v>1</v>
      </c>
      <c r="BL432" s="36">
        <f>テーブル2[[#This Row],[Ts]]-テーブル2[[#This Row],[Tin]]</f>
        <v>35.825801334986068</v>
      </c>
      <c r="BM432" s="36">
        <f>テーブル2[[#This Row],[q_P]]*0.000001</f>
        <v>-39.495791515757169</v>
      </c>
      <c r="BN432" s="36">
        <f>テーブル2[[#This Row],[Tsub]]</f>
        <v>35.825801334986068</v>
      </c>
      <c r="BO432" s="36">
        <f>テーブル2[[#This Row],[Fcorr]]</f>
        <v>1</v>
      </c>
      <c r="BP432" s="36">
        <f>(テーブル2[[#This Row],[Tsub]]-40)^2</f>
        <v>17.423934495004097</v>
      </c>
      <c r="BQ432" s="36">
        <v>1</v>
      </c>
      <c r="BR432" s="36">
        <v>0.59054999999999991</v>
      </c>
    </row>
    <row r="433" spans="1:70" x14ac:dyDescent="0.15">
      <c r="A433" s="35" t="s">
        <v>425</v>
      </c>
      <c r="B433" s="36">
        <v>13789514.586336</v>
      </c>
      <c r="C433" s="22">
        <f>TsatFromP(テーブル2[[#This Row],[P]])</f>
        <v>608.62107399852357</v>
      </c>
      <c r="D433" s="36">
        <f>RhoGFromP(テーブル2[[#This Row],[P]])</f>
        <v>85.147847035840741</v>
      </c>
      <c r="E433" s="36">
        <f>RhoFFromP(テーブル2[[#This Row],[P]])</f>
        <v>624.86636713482415</v>
      </c>
      <c r="F433" s="36">
        <f>HgFromP(テーブル2[[#This Row],[P]])</f>
        <v>2643264.5206450778</v>
      </c>
      <c r="G433" s="36">
        <f>HfFromP(テーブル2[[#This Row],[P]])</f>
        <v>1562686.7596125705</v>
      </c>
      <c r="H433" s="36">
        <f>MuGFromP(テーブル2[[#This Row],[P]])</f>
        <v>2.2019591234371903E-5</v>
      </c>
      <c r="I433" s="36">
        <f>MuFFromP(テーブル2[[#This Row],[P]])</f>
        <v>7.222326555143516E-5</v>
      </c>
      <c r="J433" s="36">
        <f>KfFromP(テーブル2[[#This Row],[P]])</f>
        <v>0.49112131073334553</v>
      </c>
      <c r="K433" s="36">
        <f>CpFFromP(テーブル2[[#This Row],[P]])</f>
        <v>7679.7488518783057</v>
      </c>
      <c r="L433" s="36">
        <f>SigmaFromP(テーブル2[[#This Row],[P]])</f>
        <v>6.5036449518301549E-3</v>
      </c>
      <c r="M433" s="36">
        <v>5.01</v>
      </c>
      <c r="N433" s="36">
        <v>2386.9648000000002</v>
      </c>
      <c r="O433" s="37">
        <f t="shared" si="206"/>
        <v>2.8502295699234246E-6</v>
      </c>
      <c r="P433" s="37">
        <f t="shared" si="207"/>
        <v>5.9847340050885557E-3</v>
      </c>
      <c r="Q433" s="37">
        <v>1.905E-3</v>
      </c>
      <c r="R433" s="36">
        <v>0.15240000000000001</v>
      </c>
      <c r="S433" s="38">
        <v>5110435.8000000007</v>
      </c>
      <c r="T433" s="36">
        <v>464.76722211959412</v>
      </c>
      <c r="U433" s="12">
        <f>+T433+BG433*S433*テーブル2[[#This Row],[Pw]]*R433/(N433*O433*K433)</f>
        <v>553.97749808704066</v>
      </c>
      <c r="V433" s="36">
        <v>0.03</v>
      </c>
      <c r="W433" s="37">
        <f t="shared" si="178"/>
        <v>62959.877392440103</v>
      </c>
      <c r="X433" s="36">
        <v>0.01</v>
      </c>
      <c r="Y433" s="36">
        <f t="shared" si="179"/>
        <v>10</v>
      </c>
      <c r="Z433" s="36">
        <f t="shared" si="180"/>
        <v>4.232043577781357</v>
      </c>
      <c r="AA433" s="36">
        <f t="shared" si="181"/>
        <v>5.767956422218643</v>
      </c>
      <c r="AB433" s="36">
        <f t="shared" si="182"/>
        <v>6.8473602560888548E-5</v>
      </c>
      <c r="AC433" s="36">
        <v>600</v>
      </c>
      <c r="AD433" s="36">
        <f t="shared" si="183"/>
        <v>1112.9839061716998</v>
      </c>
      <c r="AE433" s="36">
        <f>+gettm2(AD433,AC433,AK433,AL433,テーブル2[[#This Row],[Fcorr]])</f>
        <v>553.66422183252064</v>
      </c>
      <c r="AF433" s="39">
        <f t="shared" si="184"/>
        <v>-0.31327625452001939</v>
      </c>
      <c r="AG433" s="36">
        <v>1.0000000000000001E-5</v>
      </c>
      <c r="AH433" s="36">
        <f t="shared" si="185"/>
        <v>11.397638871499902</v>
      </c>
      <c r="AI433" s="36">
        <f t="shared" si="186"/>
        <v>0.13505599639429905</v>
      </c>
      <c r="AJ433" s="36">
        <f t="shared" si="187"/>
        <v>11.6848704060021</v>
      </c>
      <c r="AK433" s="36">
        <f>+S88*テーブル2[[#This Row],[F_form]]/(E88*CpFromTP((テーブル2[[#This Row],[Tin]]+テーブル2[[#This Row],[Tf]])/2,テーブル2[[#This Row],[P]])*AI88)</f>
        <v>2.1462610223186527</v>
      </c>
      <c r="AL433" s="36">
        <f t="shared" si="188"/>
        <v>1.1293676909872215</v>
      </c>
      <c r="AM433" s="36">
        <f t="shared" si="189"/>
        <v>578.00485220266091</v>
      </c>
      <c r="AN433" s="36">
        <f t="shared" si="190"/>
        <v>30.616221795862657</v>
      </c>
      <c r="AO433" s="36">
        <f t="shared" si="191"/>
        <v>-5.8473602560888549E-5</v>
      </c>
      <c r="AP433" s="36">
        <v>1</v>
      </c>
      <c r="AQ433" s="36">
        <f t="shared" si="192"/>
        <v>5.4530931276593132E-4</v>
      </c>
      <c r="AR433" s="36">
        <f t="shared" si="193"/>
        <v>-2.4236801280444275E-5</v>
      </c>
      <c r="AS433" s="36">
        <f t="shared" si="194"/>
        <v>-28.320388201801709</v>
      </c>
      <c r="AT433" s="36">
        <f t="shared" si="195"/>
        <v>-28.320388201801709</v>
      </c>
      <c r="AU433" s="36">
        <f t="shared" si="196"/>
        <v>-3.8248382468676811</v>
      </c>
      <c r="AV433" s="36">
        <f t="shared" si="197"/>
        <v>4.8248382468676816</v>
      </c>
      <c r="AW433" s="36">
        <f t="shared" si="198"/>
        <v>4.1167093413822117E-2</v>
      </c>
      <c r="AX433" s="36">
        <f t="shared" si="199"/>
        <v>0.47354851175744023</v>
      </c>
      <c r="AY433" s="36">
        <f t="shared" si="200"/>
        <v>4.3512897351102415</v>
      </c>
      <c r="AZ433" s="36">
        <f t="shared" si="201"/>
        <v>1080577.7610325073</v>
      </c>
      <c r="BA433" s="36">
        <f t="shared" si="202"/>
        <v>5.4530931276593132E-4</v>
      </c>
      <c r="BB433" s="38">
        <f t="shared" si="203"/>
        <v>-72403591.925988123</v>
      </c>
      <c r="BC433" s="40">
        <f t="shared" si="204"/>
        <v>-77514027.72598812</v>
      </c>
      <c r="BD433" s="41">
        <f t="shared" si="205"/>
        <v>-1516.7792094362699</v>
      </c>
      <c r="BE433" s="38">
        <v>5110435.8000000007</v>
      </c>
      <c r="BF433" s="42">
        <f>テーブル2[[#This Row],[q_P]]/テーブル2[[#This Row],[q_M]]</f>
        <v>-14.167792094362698</v>
      </c>
      <c r="BG433" s="36">
        <v>1</v>
      </c>
      <c r="BH433" s="36">
        <v>-5.2999999999999999E-2</v>
      </c>
      <c r="BI433" s="36">
        <v>4.5999999999999999E-2</v>
      </c>
      <c r="BJ433" s="36">
        <v>5625</v>
      </c>
      <c r="BK433" s="22">
        <v>1</v>
      </c>
      <c r="BL433" s="36">
        <f>テーブル2[[#This Row],[Ts]]-テーブル2[[#This Row],[Tin]]</f>
        <v>143.85385187892945</v>
      </c>
      <c r="BM433" s="36">
        <f>テーブル2[[#This Row],[q_P]]*0.000001</f>
        <v>-72.403591925988124</v>
      </c>
      <c r="BN433" s="36">
        <f>テーブル2[[#This Row],[Tsub]]</f>
        <v>143.85385187892945</v>
      </c>
      <c r="BO433" s="36">
        <f>テーブル2[[#This Row],[Fcorr]]</f>
        <v>1</v>
      </c>
      <c r="BP433" s="36">
        <f>(テーブル2[[#This Row],[Tsub]]-40)^2</f>
        <v>10785.622550090617</v>
      </c>
      <c r="BQ433" s="36">
        <v>1</v>
      </c>
      <c r="BR433" s="36">
        <v>0.15240000000000001</v>
      </c>
    </row>
    <row r="434" spans="1:70" x14ac:dyDescent="0.15">
      <c r="A434" s="35" t="s">
        <v>426</v>
      </c>
      <c r="B434" s="36">
        <v>13789514.586336</v>
      </c>
      <c r="C434" s="22">
        <f>TsatFromP(テーブル2[[#This Row],[P]])</f>
        <v>608.62107399852357</v>
      </c>
      <c r="D434" s="36">
        <f>RhoGFromP(テーブル2[[#This Row],[P]])</f>
        <v>85.147847035840741</v>
      </c>
      <c r="E434" s="36">
        <f>RhoFFromP(テーブル2[[#This Row],[P]])</f>
        <v>624.86636713482415</v>
      </c>
      <c r="F434" s="36">
        <f>HgFromP(テーブル2[[#This Row],[P]])</f>
        <v>2643264.5206450778</v>
      </c>
      <c r="G434" s="36">
        <f>HfFromP(テーブル2[[#This Row],[P]])</f>
        <v>1562686.7596125705</v>
      </c>
      <c r="H434" s="36">
        <f>MuGFromP(テーブル2[[#This Row],[P]])</f>
        <v>2.2019591234371903E-5</v>
      </c>
      <c r="I434" s="36">
        <f>MuFFromP(テーブル2[[#This Row],[P]])</f>
        <v>7.222326555143516E-5</v>
      </c>
      <c r="J434" s="36">
        <f>KfFromP(テーブル2[[#This Row],[P]])</f>
        <v>0.49112131073334553</v>
      </c>
      <c r="K434" s="36">
        <f>CpFFromP(テーブル2[[#This Row],[P]])</f>
        <v>7679.7488518783057</v>
      </c>
      <c r="L434" s="36">
        <f>SigmaFromP(テーブル2[[#This Row],[P]])</f>
        <v>6.5036449518301549E-3</v>
      </c>
      <c r="M434" s="36">
        <v>6.01</v>
      </c>
      <c r="N434" s="36">
        <v>2400.5270999999998</v>
      </c>
      <c r="O434" s="37">
        <f t="shared" si="206"/>
        <v>2.8502295699234246E-6</v>
      </c>
      <c r="P434" s="37">
        <f t="shared" si="207"/>
        <v>5.9847340050885557E-3</v>
      </c>
      <c r="Q434" s="37">
        <v>1.905E-3</v>
      </c>
      <c r="R434" s="36">
        <v>0.15240000000000001</v>
      </c>
      <c r="S434" s="38">
        <v>5110435.8000000007</v>
      </c>
      <c r="T434" s="36">
        <v>464.76722211959412</v>
      </c>
      <c r="U434" s="12">
        <f>+T434+BG434*S434*テーブル2[[#This Row],[Pw]]*R434/(N434*O434*K434)</f>
        <v>553.47348522846755</v>
      </c>
      <c r="V434" s="36">
        <v>0.03</v>
      </c>
      <c r="W434" s="37">
        <f t="shared" si="178"/>
        <v>63317.603968533498</v>
      </c>
      <c r="X434" s="36">
        <v>0.01</v>
      </c>
      <c r="Y434" s="36">
        <f t="shared" si="179"/>
        <v>10</v>
      </c>
      <c r="Z434" s="36">
        <f t="shared" si="180"/>
        <v>4.2416283358492413</v>
      </c>
      <c r="AA434" s="36">
        <f t="shared" si="181"/>
        <v>5.7583716641507587</v>
      </c>
      <c r="AB434" s="36">
        <f t="shared" si="182"/>
        <v>6.7702075167610983E-5</v>
      </c>
      <c r="AC434" s="36">
        <v>600</v>
      </c>
      <c r="AD434" s="36">
        <f t="shared" si="183"/>
        <v>1119.3076783658573</v>
      </c>
      <c r="AE434" s="36">
        <f>+gettm2(AD434,AC434,AK434,AL434,テーブル2[[#This Row],[Fcorr]])</f>
        <v>553.61492809316712</v>
      </c>
      <c r="AF434" s="39">
        <f t="shared" si="184"/>
        <v>0.14144286469957024</v>
      </c>
      <c r="AG434" s="36">
        <v>1.0000000000000001E-5</v>
      </c>
      <c r="AH434" s="36">
        <f t="shared" si="185"/>
        <v>11.527525445674728</v>
      </c>
      <c r="AI434" s="36">
        <f t="shared" si="186"/>
        <v>0.13582336001017575</v>
      </c>
      <c r="AJ434" s="36">
        <f t="shared" si="187"/>
        <v>11.751261715127111</v>
      </c>
      <c r="AK434" s="36">
        <f>+S88*テーブル2[[#This Row],[F_form]]/(E88*CpFromTP((テーブル2[[#This Row],[Tin]]+テーブル2[[#This Row],[Tf]])/2,テーブル2[[#This Row],[P]])*AI88)</f>
        <v>2.1471004995324048</v>
      </c>
      <c r="AL434" s="36">
        <f t="shared" si="188"/>
        <v>1.1293676909872215</v>
      </c>
      <c r="AM434" s="36">
        <f t="shared" si="189"/>
        <v>577.93229888353528</v>
      </c>
      <c r="AN434" s="36">
        <f t="shared" si="190"/>
        <v>30.688775114988289</v>
      </c>
      <c r="AO434" s="36">
        <f t="shared" si="191"/>
        <v>-5.7702075167610984E-5</v>
      </c>
      <c r="AP434" s="36">
        <v>1</v>
      </c>
      <c r="AQ434" s="36">
        <f t="shared" si="192"/>
        <v>5.4530931276593132E-4</v>
      </c>
      <c r="AR434" s="36">
        <f t="shared" si="193"/>
        <v>-2.3851037583805492E-5</v>
      </c>
      <c r="AS434" s="36">
        <f t="shared" si="194"/>
        <v>-28.02797848246313</v>
      </c>
      <c r="AT434" s="36">
        <f t="shared" si="195"/>
        <v>-28.02797848246313</v>
      </c>
      <c r="AU434" s="36">
        <f t="shared" si="196"/>
        <v>-3.8068542117810491</v>
      </c>
      <c r="AV434" s="36">
        <f t="shared" si="197"/>
        <v>4.8068542117810491</v>
      </c>
      <c r="AW434" s="36">
        <f t="shared" si="198"/>
        <v>4.070324254162451E-2</v>
      </c>
      <c r="AX434" s="36">
        <f t="shared" si="199"/>
        <v>0.47623912830151655</v>
      </c>
      <c r="AY434" s="36">
        <f t="shared" si="200"/>
        <v>4.3306150834795325</v>
      </c>
      <c r="AZ434" s="36">
        <f t="shared" si="201"/>
        <v>1080577.7610325073</v>
      </c>
      <c r="BA434" s="36">
        <f t="shared" si="202"/>
        <v>5.4530931276593132E-4</v>
      </c>
      <c r="BB434" s="38">
        <f t="shared" si="203"/>
        <v>-71448265.896872297</v>
      </c>
      <c r="BC434" s="40">
        <f t="shared" si="204"/>
        <v>-76558701.696872294</v>
      </c>
      <c r="BD434" s="41">
        <f t="shared" si="205"/>
        <v>-1498.0855780806851</v>
      </c>
      <c r="BE434" s="38">
        <v>5110435.8000000007</v>
      </c>
      <c r="BF434" s="42">
        <f>テーブル2[[#This Row],[q_P]]/テーブル2[[#This Row],[q_M]]</f>
        <v>-13.980855780806852</v>
      </c>
      <c r="BG434" s="36">
        <v>1</v>
      </c>
      <c r="BH434" s="36">
        <v>-5.6000000000000001E-2</v>
      </c>
      <c r="BI434" s="36">
        <v>4.5999999999999999E-2</v>
      </c>
      <c r="BJ434" s="36">
        <v>5625</v>
      </c>
      <c r="BK434" s="22">
        <v>1</v>
      </c>
      <c r="BL434" s="36">
        <f>テーブル2[[#This Row],[Ts]]-テーブル2[[#This Row],[Tin]]</f>
        <v>143.85385187892945</v>
      </c>
      <c r="BM434" s="36">
        <f>テーブル2[[#This Row],[q_P]]*0.000001</f>
        <v>-71.4482658968723</v>
      </c>
      <c r="BN434" s="36">
        <f>テーブル2[[#This Row],[Tsub]]</f>
        <v>143.85385187892945</v>
      </c>
      <c r="BO434" s="36">
        <f>テーブル2[[#This Row],[Fcorr]]</f>
        <v>1</v>
      </c>
      <c r="BP434" s="36">
        <f>(テーブル2[[#This Row],[Tsub]]-40)^2</f>
        <v>10785.622550090617</v>
      </c>
      <c r="BQ434" s="36">
        <v>1</v>
      </c>
      <c r="BR434" s="36">
        <v>0.15240000000000001</v>
      </c>
    </row>
    <row r="435" spans="1:70" x14ac:dyDescent="0.15">
      <c r="A435" s="35" t="s">
        <v>427</v>
      </c>
      <c r="B435" s="36">
        <v>13789514.586336</v>
      </c>
      <c r="C435" s="22">
        <f>TsatFromP(テーブル2[[#This Row],[P]])</f>
        <v>608.62107399852357</v>
      </c>
      <c r="D435" s="36">
        <f>RhoGFromP(テーブル2[[#This Row],[P]])</f>
        <v>85.147847035840741</v>
      </c>
      <c r="E435" s="36">
        <f>RhoFFromP(テーブル2[[#This Row],[P]])</f>
        <v>624.86636713482415</v>
      </c>
      <c r="F435" s="36">
        <f>HgFromP(テーブル2[[#This Row],[P]])</f>
        <v>2643264.5206450778</v>
      </c>
      <c r="G435" s="36">
        <f>HfFromP(テーブル2[[#This Row],[P]])</f>
        <v>1562686.7596125705</v>
      </c>
      <c r="H435" s="36">
        <f>MuGFromP(テーブル2[[#This Row],[P]])</f>
        <v>2.2019591234371903E-5</v>
      </c>
      <c r="I435" s="36">
        <f>MuFFromP(テーブル2[[#This Row],[P]])</f>
        <v>7.222326555143516E-5</v>
      </c>
      <c r="J435" s="36">
        <f>KfFromP(テーブル2[[#This Row],[P]])</f>
        <v>0.49112131073334553</v>
      </c>
      <c r="K435" s="36">
        <f>CpFFromP(テーブル2[[#This Row],[P]])</f>
        <v>7679.7488518783057</v>
      </c>
      <c r="L435" s="36">
        <f>SigmaFromP(テーブル2[[#This Row],[P]])</f>
        <v>6.5036449518301549E-3</v>
      </c>
      <c r="M435" s="36">
        <v>7.01</v>
      </c>
      <c r="N435" s="36">
        <v>2427.6516999999999</v>
      </c>
      <c r="O435" s="37">
        <f t="shared" si="206"/>
        <v>2.8502295699234246E-6</v>
      </c>
      <c r="P435" s="37">
        <f t="shared" si="207"/>
        <v>5.9847340050885557E-3</v>
      </c>
      <c r="Q435" s="37">
        <v>1.905E-3</v>
      </c>
      <c r="R435" s="36">
        <v>0.15240000000000001</v>
      </c>
      <c r="S435" s="38">
        <v>4637247.3</v>
      </c>
      <c r="T435" s="36">
        <v>485.31565756186029</v>
      </c>
      <c r="U435" s="12">
        <f>+T435+BG435*S435*テーブル2[[#This Row],[Pw]]*R435/(N435*O435*K435)</f>
        <v>564.90901778773025</v>
      </c>
      <c r="V435" s="36">
        <v>0.03</v>
      </c>
      <c r="W435" s="37">
        <f t="shared" si="178"/>
        <v>64033.057120720317</v>
      </c>
      <c r="X435" s="36">
        <v>0.01</v>
      </c>
      <c r="Y435" s="36">
        <f t="shared" si="179"/>
        <v>10</v>
      </c>
      <c r="Z435" s="36">
        <f t="shared" si="180"/>
        <v>4.260632351218697</v>
      </c>
      <c r="AA435" s="36">
        <f t="shared" si="181"/>
        <v>5.739367648781303</v>
      </c>
      <c r="AB435" s="36">
        <f t="shared" si="182"/>
        <v>6.6197631563499405E-5</v>
      </c>
      <c r="AC435" s="36">
        <v>600</v>
      </c>
      <c r="AD435" s="36">
        <f t="shared" si="183"/>
        <v>1131.9552227541719</v>
      </c>
      <c r="AE435" s="36">
        <f>+gettm2(AD435,AC435,AK435,AL435,テーブル2[[#This Row],[Fcorr]])</f>
        <v>554.81443201022421</v>
      </c>
      <c r="AF435" s="39">
        <f t="shared" si="184"/>
        <v>-10.09458577750604</v>
      </c>
      <c r="AG435" s="36">
        <v>1.0000000000000001E-5</v>
      </c>
      <c r="AH435" s="36">
        <f t="shared" si="185"/>
        <v>11.78950629783472</v>
      </c>
      <c r="AI435" s="36">
        <f t="shared" si="186"/>
        <v>0.13735808724192913</v>
      </c>
      <c r="AJ435" s="36">
        <f t="shared" si="187"/>
        <v>11.884044333377133</v>
      </c>
      <c r="AK435" s="36">
        <f>+S88*テーブル2[[#This Row],[F_form]]/(E88*CpFromTP((テーブル2[[#This Row],[Tin]]+テーブル2[[#This Row],[Tf]])/2,テーブル2[[#This Row],[P]])*AI88)</f>
        <v>2.0887940463646237</v>
      </c>
      <c r="AL435" s="36">
        <f t="shared" si="188"/>
        <v>1.1293676909872215</v>
      </c>
      <c r="AM435" s="36">
        <f t="shared" si="189"/>
        <v>578.40824086700775</v>
      </c>
      <c r="AN435" s="36">
        <f t="shared" si="190"/>
        <v>30.212833131515822</v>
      </c>
      <c r="AO435" s="36">
        <f t="shared" si="191"/>
        <v>-5.6197631563499405E-5</v>
      </c>
      <c r="AP435" s="36">
        <v>1</v>
      </c>
      <c r="AQ435" s="36">
        <f t="shared" si="192"/>
        <v>5.4530931276593132E-4</v>
      </c>
      <c r="AR435" s="36">
        <f t="shared" si="193"/>
        <v>-2.3098815781749703E-5</v>
      </c>
      <c r="AS435" s="36">
        <f t="shared" si="194"/>
        <v>-27.450735079882488</v>
      </c>
      <c r="AT435" s="36">
        <f t="shared" si="195"/>
        <v>-27.450735079882488</v>
      </c>
      <c r="AU435" s="36">
        <f t="shared" si="196"/>
        <v>-3.7705804639575833</v>
      </c>
      <c r="AV435" s="36">
        <f t="shared" si="197"/>
        <v>4.7705804639575833</v>
      </c>
      <c r="AW435" s="36">
        <f t="shared" si="198"/>
        <v>3.9798754270670519E-2</v>
      </c>
      <c r="AX435" s="36">
        <f t="shared" si="199"/>
        <v>0.48162036138966929</v>
      </c>
      <c r="AY435" s="36">
        <f t="shared" si="200"/>
        <v>4.2889601025679136</v>
      </c>
      <c r="AZ435" s="36">
        <f t="shared" si="201"/>
        <v>1080577.7610325073</v>
      </c>
      <c r="BA435" s="36">
        <f t="shared" si="202"/>
        <v>5.4530931276593132E-4</v>
      </c>
      <c r="BB435" s="38">
        <f t="shared" si="203"/>
        <v>-69585423.246219277</v>
      </c>
      <c r="BC435" s="40">
        <f t="shared" si="204"/>
        <v>-74222670.546219274</v>
      </c>
      <c r="BD435" s="41">
        <f t="shared" si="205"/>
        <v>-1600.5760690446525</v>
      </c>
      <c r="BE435" s="38">
        <v>4637247.3</v>
      </c>
      <c r="BF435" s="42">
        <f>テーブル2[[#This Row],[q_P]]/テーブル2[[#This Row],[q_M]]</f>
        <v>-15.005760690446523</v>
      </c>
      <c r="BG435" s="36">
        <v>1</v>
      </c>
      <c r="BH435" s="36">
        <v>-3.6999999999999998E-2</v>
      </c>
      <c r="BI435" s="36">
        <v>4.5999999999999999E-2</v>
      </c>
      <c r="BJ435" s="36">
        <v>5625</v>
      </c>
      <c r="BK435" s="22">
        <v>1</v>
      </c>
      <c r="BL435" s="36">
        <f>テーブル2[[#This Row],[Ts]]-テーブル2[[#This Row],[Tin]]</f>
        <v>123.30541643666328</v>
      </c>
      <c r="BM435" s="36">
        <f>テーブル2[[#This Row],[q_P]]*0.000001</f>
        <v>-69.585423246219278</v>
      </c>
      <c r="BN435" s="36">
        <f>テーブル2[[#This Row],[Tsub]]</f>
        <v>123.30541643666328</v>
      </c>
      <c r="BO435" s="36">
        <f>テーブル2[[#This Row],[Fcorr]]</f>
        <v>1</v>
      </c>
      <c r="BP435" s="36">
        <f>(テーブル2[[#This Row],[Tsub]]-40)^2</f>
        <v>6939.7924076858881</v>
      </c>
      <c r="BQ435" s="36">
        <v>1</v>
      </c>
      <c r="BR435" s="36">
        <v>0.15240000000000001</v>
      </c>
    </row>
    <row r="436" spans="1:70" x14ac:dyDescent="0.15">
      <c r="A436" s="35" t="s">
        <v>428</v>
      </c>
      <c r="B436" s="36">
        <v>13789514.586336</v>
      </c>
      <c r="C436" s="22">
        <f>TsatFromP(テーブル2[[#This Row],[P]])</f>
        <v>608.62107399852357</v>
      </c>
      <c r="D436" s="36">
        <f>RhoGFromP(テーブル2[[#This Row],[P]])</f>
        <v>85.147847035840741</v>
      </c>
      <c r="E436" s="36">
        <f>RhoFFromP(テーブル2[[#This Row],[P]])</f>
        <v>624.86636713482415</v>
      </c>
      <c r="F436" s="36">
        <f>HgFromP(テーブル2[[#This Row],[P]])</f>
        <v>2643264.5206450778</v>
      </c>
      <c r="G436" s="36">
        <f>HfFromP(テーブル2[[#This Row],[P]])</f>
        <v>1562686.7596125705</v>
      </c>
      <c r="H436" s="36">
        <f>MuGFromP(テーブル2[[#This Row],[P]])</f>
        <v>2.2019591234371903E-5</v>
      </c>
      <c r="I436" s="36">
        <f>MuFFromP(テーブル2[[#This Row],[P]])</f>
        <v>7.222326555143516E-5</v>
      </c>
      <c r="J436" s="36">
        <f>KfFromP(テーブル2[[#This Row],[P]])</f>
        <v>0.49112131073334553</v>
      </c>
      <c r="K436" s="36">
        <f>CpFFromP(テーブル2[[#This Row],[P]])</f>
        <v>7679.7488518783057</v>
      </c>
      <c r="L436" s="36">
        <f>SigmaFromP(テーブル2[[#This Row],[P]])</f>
        <v>6.5036449518301549E-3</v>
      </c>
      <c r="M436" s="36">
        <v>8.01</v>
      </c>
      <c r="N436" s="36">
        <v>2427.6516999999999</v>
      </c>
      <c r="O436" s="37">
        <f t="shared" si="206"/>
        <v>2.8502295699234246E-6</v>
      </c>
      <c r="P436" s="37">
        <f t="shared" si="207"/>
        <v>5.9847340050885557E-3</v>
      </c>
      <c r="Q436" s="37">
        <v>1.905E-3</v>
      </c>
      <c r="R436" s="36">
        <v>0.15240000000000001</v>
      </c>
      <c r="S436" s="38">
        <v>4574155.5</v>
      </c>
      <c r="T436" s="36">
        <v>487.54268941273369</v>
      </c>
      <c r="U436" s="12">
        <f>+T436+BG436*S436*テーブル2[[#This Row],[Pw]]*R436/(N436*O436*K436)</f>
        <v>566.05314677838771</v>
      </c>
      <c r="V436" s="36">
        <v>0.03</v>
      </c>
      <c r="W436" s="37">
        <f t="shared" si="178"/>
        <v>64033.057120720317</v>
      </c>
      <c r="X436" s="36">
        <v>0.01</v>
      </c>
      <c r="Y436" s="36">
        <f t="shared" si="179"/>
        <v>10</v>
      </c>
      <c r="Z436" s="36">
        <f t="shared" si="180"/>
        <v>4.260632351218697</v>
      </c>
      <c r="AA436" s="36">
        <f t="shared" si="181"/>
        <v>5.739367648781303</v>
      </c>
      <c r="AB436" s="36">
        <f t="shared" si="182"/>
        <v>6.6197631563499405E-5</v>
      </c>
      <c r="AC436" s="36">
        <v>600</v>
      </c>
      <c r="AD436" s="36">
        <f t="shared" si="183"/>
        <v>1131.9552227541719</v>
      </c>
      <c r="AE436" s="36">
        <f>+gettm2(AD436,AC436,AK436,AL436,テーブル2[[#This Row],[Fcorr]])</f>
        <v>554.96215710615172</v>
      </c>
      <c r="AF436" s="39">
        <f t="shared" si="184"/>
        <v>-11.090989672235992</v>
      </c>
      <c r="AG436" s="36">
        <v>1.0000000000000001E-5</v>
      </c>
      <c r="AH436" s="36">
        <f t="shared" si="185"/>
        <v>11.78950629783472</v>
      </c>
      <c r="AI436" s="36">
        <f t="shared" si="186"/>
        <v>0.13735808724192913</v>
      </c>
      <c r="AJ436" s="36">
        <f t="shared" si="187"/>
        <v>11.884044333377133</v>
      </c>
      <c r="AK436" s="36">
        <f>+S88*テーブル2[[#This Row],[F_form]]/(E88*CpFromTP((テーブル2[[#This Row],[Tin]]+テーブル2[[#This Row],[Tf]])/2,テーブル2[[#This Row],[P]])*AI88)</f>
        <v>2.0819651557564196</v>
      </c>
      <c r="AL436" s="36">
        <f t="shared" si="188"/>
        <v>1.1293676909872215</v>
      </c>
      <c r="AM436" s="36">
        <f t="shared" si="189"/>
        <v>578.47883076619598</v>
      </c>
      <c r="AN436" s="36">
        <f t="shared" si="190"/>
        <v>30.142243232327587</v>
      </c>
      <c r="AO436" s="36">
        <f t="shared" si="191"/>
        <v>-5.6197631563499405E-5</v>
      </c>
      <c r="AP436" s="36">
        <v>1</v>
      </c>
      <c r="AQ436" s="36">
        <f t="shared" si="192"/>
        <v>5.4530931276593132E-4</v>
      </c>
      <c r="AR436" s="36">
        <f t="shared" si="193"/>
        <v>-2.3098815781749703E-5</v>
      </c>
      <c r="AS436" s="36">
        <f t="shared" si="194"/>
        <v>-27.450735079882488</v>
      </c>
      <c r="AT436" s="36">
        <f t="shared" si="195"/>
        <v>-27.450735079882488</v>
      </c>
      <c r="AU436" s="36">
        <f t="shared" si="196"/>
        <v>-3.7705804639575833</v>
      </c>
      <c r="AV436" s="36">
        <f t="shared" si="197"/>
        <v>4.7705804639575833</v>
      </c>
      <c r="AW436" s="36">
        <f t="shared" si="198"/>
        <v>3.9798754270670519E-2</v>
      </c>
      <c r="AX436" s="36">
        <f t="shared" si="199"/>
        <v>0.48162036138966929</v>
      </c>
      <c r="AY436" s="36">
        <f t="shared" si="200"/>
        <v>4.2889601025679136</v>
      </c>
      <c r="AZ436" s="36">
        <f t="shared" si="201"/>
        <v>1080577.7610325073</v>
      </c>
      <c r="BA436" s="36">
        <f t="shared" si="202"/>
        <v>5.4530931276593132E-4</v>
      </c>
      <c r="BB436" s="38">
        <f t="shared" si="203"/>
        <v>-69585423.246219277</v>
      </c>
      <c r="BC436" s="40">
        <f t="shared" si="204"/>
        <v>-74159578.746219277</v>
      </c>
      <c r="BD436" s="41">
        <f t="shared" si="205"/>
        <v>-1621.2736699969923</v>
      </c>
      <c r="BE436" s="38">
        <v>4574155.5</v>
      </c>
      <c r="BF436" s="42">
        <f>テーブル2[[#This Row],[q_P]]/テーブル2[[#This Row],[q_M]]</f>
        <v>-15.212736699969923</v>
      </c>
      <c r="BG436" s="36">
        <v>1</v>
      </c>
      <c r="BH436" s="36">
        <v>-3.5000000000000003E-2</v>
      </c>
      <c r="BI436" s="36">
        <v>4.5999999999999999E-2</v>
      </c>
      <c r="BJ436" s="36">
        <v>5625</v>
      </c>
      <c r="BK436" s="22">
        <v>1</v>
      </c>
      <c r="BL436" s="36">
        <f>テーブル2[[#This Row],[Ts]]-テーブル2[[#This Row],[Tin]]</f>
        <v>121.07838458578988</v>
      </c>
      <c r="BM436" s="36">
        <f>テーブル2[[#This Row],[q_P]]*0.000001</f>
        <v>-69.585423246219278</v>
      </c>
      <c r="BN436" s="36">
        <f>テーブル2[[#This Row],[Tsub]]</f>
        <v>121.07838458578988</v>
      </c>
      <c r="BO436" s="36">
        <f>テーブル2[[#This Row],[Fcorr]]</f>
        <v>1</v>
      </c>
      <c r="BP436" s="36">
        <f>(テーブル2[[#This Row],[Tsub]]-40)^2</f>
        <v>6573.7044470412493</v>
      </c>
      <c r="BQ436" s="36">
        <v>1</v>
      </c>
      <c r="BR436" s="36">
        <v>0.15240000000000001</v>
      </c>
    </row>
    <row r="437" spans="1:70" x14ac:dyDescent="0.15">
      <c r="A437" s="35" t="s">
        <v>429</v>
      </c>
      <c r="B437" s="36">
        <v>13789514.586336</v>
      </c>
      <c r="C437" s="22">
        <f>TsatFromP(テーブル2[[#This Row],[P]])</f>
        <v>608.62107399852357</v>
      </c>
      <c r="D437" s="36">
        <f>RhoGFromP(テーブル2[[#This Row],[P]])</f>
        <v>85.147847035840741</v>
      </c>
      <c r="E437" s="36">
        <f>RhoFFromP(テーブル2[[#This Row],[P]])</f>
        <v>624.86636713482415</v>
      </c>
      <c r="F437" s="36">
        <f>HgFromP(テーブル2[[#This Row],[P]])</f>
        <v>2643264.5206450778</v>
      </c>
      <c r="G437" s="36">
        <f>HfFromP(テーブル2[[#This Row],[P]])</f>
        <v>1562686.7596125705</v>
      </c>
      <c r="H437" s="36">
        <f>MuGFromP(テーブル2[[#This Row],[P]])</f>
        <v>2.2019591234371903E-5</v>
      </c>
      <c r="I437" s="36">
        <f>MuFFromP(テーブル2[[#This Row],[P]])</f>
        <v>7.222326555143516E-5</v>
      </c>
      <c r="J437" s="36">
        <f>KfFromP(テーブル2[[#This Row],[P]])</f>
        <v>0.49112131073334553</v>
      </c>
      <c r="K437" s="36">
        <f>CpFFromP(テーブル2[[#This Row],[P]])</f>
        <v>7679.7488518783057</v>
      </c>
      <c r="L437" s="36">
        <f>SigmaFromP(テーブル2[[#This Row],[P]])</f>
        <v>6.5036449518301549E-3</v>
      </c>
      <c r="M437" s="36">
        <v>80.010000000000005</v>
      </c>
      <c r="N437" s="36">
        <v>4136.5014999999994</v>
      </c>
      <c r="O437" s="37">
        <f t="shared" si="206"/>
        <v>1.6417322322758919E-5</v>
      </c>
      <c r="P437" s="37">
        <f t="shared" si="207"/>
        <v>1.4363361612212531E-2</v>
      </c>
      <c r="Q437" s="37">
        <v>4.5719999999999988E-3</v>
      </c>
      <c r="R437" s="36">
        <v>0.29527500000000001</v>
      </c>
      <c r="S437" s="38">
        <v>3123044.1</v>
      </c>
      <c r="T437" s="36">
        <v>587.19643129987617</v>
      </c>
      <c r="U437" s="12">
        <f>+T437+BG437*S437*テーブル2[[#This Row],[Pw]]*R437/(N437*O437*K437)</f>
        <v>612.59319398611569</v>
      </c>
      <c r="V437" s="36">
        <v>0.03</v>
      </c>
      <c r="W437" s="37">
        <f t="shared" si="178"/>
        <v>261855.85370037574</v>
      </c>
      <c r="X437" s="36">
        <v>0.01</v>
      </c>
      <c r="Y437" s="36">
        <f t="shared" si="179"/>
        <v>10</v>
      </c>
      <c r="Z437" s="36">
        <f t="shared" si="180"/>
        <v>5.9149950129132067</v>
      </c>
      <c r="AA437" s="36">
        <f t="shared" si="181"/>
        <v>4.0850049870867933</v>
      </c>
      <c r="AB437" s="36">
        <f t="shared" si="182"/>
        <v>2.2800734350186341E-5</v>
      </c>
      <c r="AC437" s="36">
        <v>600</v>
      </c>
      <c r="AD437" s="36">
        <f t="shared" si="183"/>
        <v>4629.0012461232054</v>
      </c>
      <c r="AE437" s="36">
        <f>+gettm2(AD437,AC437,AK437,AL437,テーブル2[[#This Row],[Fcorr]])</f>
        <v>561.93643568832806</v>
      </c>
      <c r="AF437" s="39">
        <f t="shared" si="184"/>
        <v>-50.656758297787633</v>
      </c>
      <c r="AG437" s="36">
        <v>1.0000000000000001E-5</v>
      </c>
      <c r="AH437" s="36">
        <f t="shared" si="185"/>
        <v>34.228607826100145</v>
      </c>
      <c r="AI437" s="36">
        <f t="shared" si="186"/>
        <v>0.23404590284239324</v>
      </c>
      <c r="AJ437" s="36">
        <f t="shared" si="187"/>
        <v>20.249349283128637</v>
      </c>
      <c r="AK437" s="36">
        <f>+S88*テーブル2[[#This Row],[F_form]]/(E88*CpFromTP((テーブル2[[#This Row],[Tin]]+テーブル2[[#This Row],[Tf]])/2,テーブル2[[#This Row],[P]])*AI88)</f>
        <v>1.5104727080239433</v>
      </c>
      <c r="AL437" s="36">
        <f t="shared" si="188"/>
        <v>1.1293676909872215</v>
      </c>
      <c r="AM437" s="36">
        <f t="shared" si="189"/>
        <v>580.20511865043159</v>
      </c>
      <c r="AN437" s="36">
        <f t="shared" si="190"/>
        <v>28.415955348091984</v>
      </c>
      <c r="AO437" s="36">
        <f t="shared" si="191"/>
        <v>-1.280073435018634E-5</v>
      </c>
      <c r="AP437" s="36">
        <v>1</v>
      </c>
      <c r="AQ437" s="36">
        <f t="shared" si="192"/>
        <v>5.4530931276593132E-4</v>
      </c>
      <c r="AR437" s="36">
        <f t="shared" si="193"/>
        <v>-1.4003671750931696E-6</v>
      </c>
      <c r="AS437" s="36">
        <f t="shared" si="194"/>
        <v>-2.8356524053089749</v>
      </c>
      <c r="AT437" s="36">
        <f t="shared" si="195"/>
        <v>-2.8356524053089749</v>
      </c>
      <c r="AU437" s="36">
        <f t="shared" si="196"/>
        <v>-0.66367282734774302</v>
      </c>
      <c r="AV437" s="36">
        <f t="shared" si="197"/>
        <v>1.663672827347743</v>
      </c>
      <c r="AW437" s="36">
        <f t="shared" si="198"/>
        <v>1.3708055744010258E-2</v>
      </c>
      <c r="AX437" s="36">
        <f t="shared" si="199"/>
        <v>0.82063804594329126</v>
      </c>
      <c r="AY437" s="36">
        <f t="shared" si="200"/>
        <v>0.84303478140445176</v>
      </c>
      <c r="AZ437" s="36">
        <f t="shared" si="201"/>
        <v>1080577.7610325073</v>
      </c>
      <c r="BA437" s="36">
        <f t="shared" si="202"/>
        <v>5.4530931276593132E-4</v>
      </c>
      <c r="BB437" s="38">
        <f t="shared" si="203"/>
        <v>-15850214.552434562</v>
      </c>
      <c r="BC437" s="40">
        <f t="shared" si="204"/>
        <v>-18973258.652434561</v>
      </c>
      <c r="BD437" s="41">
        <f t="shared" si="205"/>
        <v>-607.52451918416909</v>
      </c>
      <c r="BE437" s="38">
        <v>3123044.1</v>
      </c>
      <c r="BF437" s="42">
        <f>テーブル2[[#This Row],[q_P]]/テーブル2[[#This Row],[q_M]]</f>
        <v>-5.0752451918416908</v>
      </c>
      <c r="BG437" s="36">
        <v>1</v>
      </c>
      <c r="BH437" s="36">
        <v>4.8000000000000001E-2</v>
      </c>
      <c r="BI437" s="36">
        <v>4.5999999999999999E-2</v>
      </c>
      <c r="BJ437" s="36">
        <v>5625</v>
      </c>
      <c r="BK437" s="22">
        <v>1</v>
      </c>
      <c r="BL437" s="36">
        <f>テーブル2[[#This Row],[Ts]]-テーブル2[[#This Row],[Tin]]</f>
        <v>21.424642698647403</v>
      </c>
      <c r="BM437" s="36">
        <f>テーブル2[[#This Row],[q_P]]*0.000001</f>
        <v>-15.850214552434561</v>
      </c>
      <c r="BN437" s="36">
        <f>テーブル2[[#This Row],[Tsub]]</f>
        <v>21.424642698647403</v>
      </c>
      <c r="BO437" s="36">
        <f>テーブル2[[#This Row],[Fcorr]]</f>
        <v>1</v>
      </c>
      <c r="BP437" s="36">
        <f>(テーブル2[[#This Row],[Tsub]]-40)^2</f>
        <v>345.04389887291325</v>
      </c>
      <c r="BQ437" s="36">
        <v>1</v>
      </c>
      <c r="BR437" s="36">
        <v>0.29527500000000001</v>
      </c>
    </row>
    <row r="438" spans="1:70" x14ac:dyDescent="0.15">
      <c r="A438" s="35" t="s">
        <v>430</v>
      </c>
      <c r="B438" s="36">
        <v>13789514.586336</v>
      </c>
      <c r="C438" s="22">
        <f>TsatFromP(テーブル2[[#This Row],[P]])</f>
        <v>608.62107399852357</v>
      </c>
      <c r="D438" s="36">
        <f>RhoGFromP(テーブル2[[#This Row],[P]])</f>
        <v>85.147847035840741</v>
      </c>
      <c r="E438" s="36">
        <f>RhoFFromP(テーブル2[[#This Row],[P]])</f>
        <v>624.86636713482415</v>
      </c>
      <c r="F438" s="36">
        <f>HgFromP(テーブル2[[#This Row],[P]])</f>
        <v>2643264.5206450778</v>
      </c>
      <c r="G438" s="36">
        <f>HfFromP(テーブル2[[#This Row],[P]])</f>
        <v>1562686.7596125705</v>
      </c>
      <c r="H438" s="36">
        <f>MuGFromP(テーブル2[[#This Row],[P]])</f>
        <v>2.2019591234371903E-5</v>
      </c>
      <c r="I438" s="36">
        <f>MuFFromP(テーブル2[[#This Row],[P]])</f>
        <v>7.222326555143516E-5</v>
      </c>
      <c r="J438" s="36">
        <f>KfFromP(テーブル2[[#This Row],[P]])</f>
        <v>0.49112131073334553</v>
      </c>
      <c r="K438" s="36">
        <f>CpFFromP(テーブル2[[#This Row],[P]])</f>
        <v>7679.7488518783057</v>
      </c>
      <c r="L438" s="36">
        <f>SigmaFromP(テーブル2[[#This Row],[P]])</f>
        <v>6.5036449518301549E-3</v>
      </c>
      <c r="M438" s="36">
        <v>81.010000000000005</v>
      </c>
      <c r="N438" s="36">
        <v>4204.3130000000001</v>
      </c>
      <c r="O438" s="37">
        <f t="shared" si="206"/>
        <v>1.6417322322758919E-5</v>
      </c>
      <c r="P438" s="37">
        <f t="shared" si="207"/>
        <v>1.4363361612212531E-2</v>
      </c>
      <c r="Q438" s="37">
        <v>4.5719999999999988E-3</v>
      </c>
      <c r="R438" s="36">
        <v>0.29527500000000001</v>
      </c>
      <c r="S438" s="38">
        <v>3154590</v>
      </c>
      <c r="T438" s="36">
        <v>587.73848098507858</v>
      </c>
      <c r="U438" s="12">
        <f>+T438+BG438*S438*テーブル2[[#This Row],[Pw]]*R438/(N438*O438*K438)</f>
        <v>612.97801379479858</v>
      </c>
      <c r="V438" s="36">
        <v>0.03</v>
      </c>
      <c r="W438" s="37">
        <f t="shared" si="178"/>
        <v>266148.57261349668</v>
      </c>
      <c r="X438" s="36">
        <v>0.01</v>
      </c>
      <c r="Y438" s="36">
        <f t="shared" si="179"/>
        <v>10</v>
      </c>
      <c r="Z438" s="36">
        <f t="shared" si="180"/>
        <v>5.9420024320603826</v>
      </c>
      <c r="AA438" s="36">
        <f t="shared" si="181"/>
        <v>4.0579975679396174</v>
      </c>
      <c r="AB438" s="36">
        <f t="shared" si="182"/>
        <v>2.2071158303081001E-5</v>
      </c>
      <c r="AC438" s="36">
        <v>600</v>
      </c>
      <c r="AD438" s="36">
        <f t="shared" si="183"/>
        <v>4704.8865124530939</v>
      </c>
      <c r="AE438" s="36">
        <f>+gettm2(AD438,AC438,AK438,AL438,テーブル2[[#This Row],[Fcorr]])</f>
        <v>562.0644050342089</v>
      </c>
      <c r="AF438" s="39">
        <f t="shared" si="184"/>
        <v>-50.913608760589682</v>
      </c>
      <c r="AG438" s="36">
        <v>1.0000000000000001E-5</v>
      </c>
      <c r="AH438" s="36">
        <f t="shared" si="185"/>
        <v>35.360056028897873</v>
      </c>
      <c r="AI438" s="36">
        <f t="shared" si="186"/>
        <v>0.23788272092177673</v>
      </c>
      <c r="AJ438" s="36">
        <f t="shared" si="187"/>
        <v>20.581305828753699</v>
      </c>
      <c r="AK438" s="36">
        <f>+S88*テーブル2[[#This Row],[F_form]]/(E88*CpFromTP((テーブル2[[#This Row],[Tin]]+テーブル2[[#This Row],[Tf]])/2,テーブル2[[#This Row],[P]])*AI88)</f>
        <v>1.5029555511589272</v>
      </c>
      <c r="AL438" s="36">
        <f t="shared" si="188"/>
        <v>1.1293676909872215</v>
      </c>
      <c r="AM438" s="36">
        <f t="shared" si="189"/>
        <v>580.17791024776216</v>
      </c>
      <c r="AN438" s="36">
        <f t="shared" si="190"/>
        <v>28.443163750761414</v>
      </c>
      <c r="AO438" s="36">
        <f t="shared" si="191"/>
        <v>-1.2071158303081E-5</v>
      </c>
      <c r="AP438" s="36">
        <v>1</v>
      </c>
      <c r="AQ438" s="36">
        <f t="shared" si="192"/>
        <v>5.4530931276593132E-4</v>
      </c>
      <c r="AR438" s="36">
        <f t="shared" si="193"/>
        <v>-1.0355791515404995E-6</v>
      </c>
      <c r="AS438" s="36">
        <f t="shared" si="194"/>
        <v>-2.131357122773629</v>
      </c>
      <c r="AT438" s="36">
        <f t="shared" si="195"/>
        <v>-2.131357122773629</v>
      </c>
      <c r="AU438" s="36">
        <f t="shared" si="196"/>
        <v>-0.50701303162140021</v>
      </c>
      <c r="AV438" s="36">
        <f t="shared" si="197"/>
        <v>1.5070130316214003</v>
      </c>
      <c r="AW438" s="36">
        <f t="shared" si="198"/>
        <v>1.3269426488933965E-2</v>
      </c>
      <c r="AX438" s="36">
        <f t="shared" si="199"/>
        <v>0.83409112866367308</v>
      </c>
      <c r="AY438" s="36">
        <f t="shared" si="200"/>
        <v>0.67292190295772725</v>
      </c>
      <c r="AZ438" s="36">
        <f t="shared" si="201"/>
        <v>1080577.7610325073</v>
      </c>
      <c r="BA438" s="36">
        <f t="shared" si="202"/>
        <v>5.4530931276593132E-4</v>
      </c>
      <c r="BB438" s="38">
        <f t="shared" si="203"/>
        <v>-14946833.811721949</v>
      </c>
      <c r="BC438" s="40">
        <f t="shared" si="204"/>
        <v>-18101423.811721951</v>
      </c>
      <c r="BD438" s="41">
        <f t="shared" si="205"/>
        <v>-573.81224855597554</v>
      </c>
      <c r="BE438" s="38">
        <v>3154590</v>
      </c>
      <c r="BF438" s="42">
        <f>テーブル2[[#This Row],[q_P]]/テーブル2[[#This Row],[q_M]]</f>
        <v>-4.7381224855597557</v>
      </c>
      <c r="BG438" s="36">
        <v>1</v>
      </c>
      <c r="BH438" s="36">
        <v>0.05</v>
      </c>
      <c r="BI438" s="36">
        <v>4.5999999999999999E-2</v>
      </c>
      <c r="BJ438" s="36">
        <v>5625</v>
      </c>
      <c r="BK438" s="22">
        <v>1</v>
      </c>
      <c r="BL438" s="36">
        <f>テーブル2[[#This Row],[Ts]]-テーブル2[[#This Row],[Tin]]</f>
        <v>20.882593013444989</v>
      </c>
      <c r="BM438" s="36">
        <f>テーブル2[[#This Row],[q_P]]*0.000001</f>
        <v>-14.946833811721948</v>
      </c>
      <c r="BN438" s="36">
        <f>テーブル2[[#This Row],[Tsub]]</f>
        <v>20.882593013444989</v>
      </c>
      <c r="BO438" s="36">
        <f>テーブル2[[#This Row],[Fcorr]]</f>
        <v>1</v>
      </c>
      <c r="BP438" s="36">
        <f>(テーブル2[[#This Row],[Tsub]]-40)^2</f>
        <v>365.47524988958236</v>
      </c>
      <c r="BQ438" s="36">
        <v>1</v>
      </c>
      <c r="BR438" s="36">
        <v>0.29527500000000001</v>
      </c>
    </row>
    <row r="439" spans="1:70" x14ac:dyDescent="0.15">
      <c r="A439" s="35" t="s">
        <v>431</v>
      </c>
      <c r="B439" s="36">
        <v>13789514.586336</v>
      </c>
      <c r="C439" s="22">
        <f>TsatFromP(テーブル2[[#This Row],[P]])</f>
        <v>608.62107399852357</v>
      </c>
      <c r="D439" s="36">
        <f>RhoGFromP(テーブル2[[#This Row],[P]])</f>
        <v>85.147847035840741</v>
      </c>
      <c r="E439" s="36">
        <f>RhoFFromP(テーブル2[[#This Row],[P]])</f>
        <v>624.86636713482415</v>
      </c>
      <c r="F439" s="36">
        <f>HgFromP(テーブル2[[#This Row],[P]])</f>
        <v>2643264.5206450778</v>
      </c>
      <c r="G439" s="36">
        <f>HfFromP(テーブル2[[#This Row],[P]])</f>
        <v>1562686.7596125705</v>
      </c>
      <c r="H439" s="36">
        <f>MuGFromP(テーブル2[[#This Row],[P]])</f>
        <v>2.2019591234371903E-5</v>
      </c>
      <c r="I439" s="36">
        <f>MuFFromP(テーブル2[[#This Row],[P]])</f>
        <v>7.222326555143516E-5</v>
      </c>
      <c r="J439" s="36">
        <f>KfFromP(テーブル2[[#This Row],[P]])</f>
        <v>0.49112131073334553</v>
      </c>
      <c r="K439" s="36">
        <f>CpFFromP(テーブル2[[#This Row],[P]])</f>
        <v>7679.7488518783057</v>
      </c>
      <c r="L439" s="36">
        <f>SigmaFromP(テーブル2[[#This Row],[P]])</f>
        <v>6.5036449518301549E-3</v>
      </c>
      <c r="M439" s="36">
        <v>82.01</v>
      </c>
      <c r="N439" s="36">
        <v>4367.0606000000007</v>
      </c>
      <c r="O439" s="37">
        <f t="shared" si="206"/>
        <v>1.6417322322758919E-5</v>
      </c>
      <c r="P439" s="37">
        <f t="shared" si="207"/>
        <v>1.4363361612212531E-2</v>
      </c>
      <c r="Q439" s="37">
        <v>4.5719999999999988E-3</v>
      </c>
      <c r="R439" s="36">
        <v>0.29527500000000001</v>
      </c>
      <c r="S439" s="38">
        <v>3627778.5</v>
      </c>
      <c r="T439" s="36">
        <v>578.2897955011565</v>
      </c>
      <c r="U439" s="12">
        <f>+T439+BG439*S439*テーブル2[[#This Row],[Pw]]*R439/(N439*O439*K439)</f>
        <v>606.2335639690607</v>
      </c>
      <c r="V439" s="36">
        <v>0.03</v>
      </c>
      <c r="W439" s="37">
        <f t="shared" si="178"/>
        <v>276451.09800498694</v>
      </c>
      <c r="X439" s="36">
        <v>0.01</v>
      </c>
      <c r="Y439" s="36">
        <f t="shared" si="179"/>
        <v>10</v>
      </c>
      <c r="Z439" s="36">
        <f t="shared" si="180"/>
        <v>6.0050103490206199</v>
      </c>
      <c r="AA439" s="36">
        <f t="shared" si="181"/>
        <v>3.9949896509793801</v>
      </c>
      <c r="AB439" s="36">
        <f t="shared" si="182"/>
        <v>2.0456756229756599E-5</v>
      </c>
      <c r="AC439" s="36">
        <v>600</v>
      </c>
      <c r="AD439" s="36">
        <f t="shared" si="183"/>
        <v>4887.0111516448278</v>
      </c>
      <c r="AE439" s="36">
        <f>+gettm2(AD439,AC439,AK439,AL439,テーブル2[[#This Row],[Fcorr]])</f>
        <v>558.98015088195541</v>
      </c>
      <c r="AF439" s="39">
        <f t="shared" si="184"/>
        <v>-47.253413087105287</v>
      </c>
      <c r="AG439" s="36">
        <v>1.0000000000000001E-5</v>
      </c>
      <c r="AH439" s="36">
        <f t="shared" si="185"/>
        <v>38.150593645163873</v>
      </c>
      <c r="AI439" s="36">
        <f t="shared" si="186"/>
        <v>0.24709108431229718</v>
      </c>
      <c r="AJ439" s="36">
        <f t="shared" si="187"/>
        <v>21.378001538253844</v>
      </c>
      <c r="AK439" s="36">
        <f>+S88*テーブル2[[#This Row],[F_form]]/(E88*CpFromTP((テーブル2[[#This Row],[Tin]]+テーブル2[[#This Row],[Tf]])/2,テーブル2[[#This Row],[P]])*AI88)</f>
        <v>1.6190237798905409</v>
      </c>
      <c r="AL439" s="36">
        <f t="shared" si="188"/>
        <v>1.1293676909872215</v>
      </c>
      <c r="AM439" s="36">
        <f t="shared" si="189"/>
        <v>578.33103903598055</v>
      </c>
      <c r="AN439" s="36">
        <f t="shared" si="190"/>
        <v>30.290034962543018</v>
      </c>
      <c r="AO439" s="36">
        <f t="shared" si="191"/>
        <v>-1.0456756229756599E-5</v>
      </c>
      <c r="AP439" s="36">
        <v>1</v>
      </c>
      <c r="AQ439" s="36">
        <f t="shared" si="192"/>
        <v>5.4530931276593132E-4</v>
      </c>
      <c r="AR439" s="36">
        <f t="shared" si="193"/>
        <v>-2.2837811487829886E-7</v>
      </c>
      <c r="AS439" s="36">
        <f t="shared" si="194"/>
        <v>-0.48822676911717866</v>
      </c>
      <c r="AT439" s="36">
        <f t="shared" si="195"/>
        <v>-0.48822676911717866</v>
      </c>
      <c r="AU439" s="36">
        <f t="shared" si="196"/>
        <v>-0.12063648177145324</v>
      </c>
      <c r="AV439" s="36">
        <f t="shared" si="197"/>
        <v>1.1206364817714531</v>
      </c>
      <c r="AW439" s="36">
        <f t="shared" si="198"/>
        <v>1.2298829960134193E-2</v>
      </c>
      <c r="AX439" s="36">
        <f t="shared" si="199"/>
        <v>0.86637852719258968</v>
      </c>
      <c r="AY439" s="36">
        <f t="shared" si="200"/>
        <v>0.25425795457886347</v>
      </c>
      <c r="AZ439" s="36">
        <f t="shared" si="201"/>
        <v>1080577.7610325073</v>
      </c>
      <c r="BA439" s="36">
        <f t="shared" si="202"/>
        <v>5.4530931276593132E-4</v>
      </c>
      <c r="BB439" s="38">
        <f t="shared" si="203"/>
        <v>-12947837.618529761</v>
      </c>
      <c r="BC439" s="40">
        <f t="shared" si="204"/>
        <v>-16575616.118529761</v>
      </c>
      <c r="BD439" s="41">
        <f t="shared" si="205"/>
        <v>-456.90816345401907</v>
      </c>
      <c r="BE439" s="38">
        <v>3627778.5</v>
      </c>
      <c r="BF439" s="42">
        <f>テーブル2[[#This Row],[q_P]]/テーブル2[[#This Row],[q_M]]</f>
        <v>-3.5690816345401908</v>
      </c>
      <c r="BG439" s="36">
        <v>1</v>
      </c>
      <c r="BH439" s="36">
        <v>1.7999999999999999E-2</v>
      </c>
      <c r="BI439" s="36">
        <v>4.5999999999999999E-2</v>
      </c>
      <c r="BJ439" s="36">
        <v>5625</v>
      </c>
      <c r="BK439" s="22">
        <v>1</v>
      </c>
      <c r="BL439" s="36">
        <f>テーブル2[[#This Row],[Ts]]-テーブル2[[#This Row],[Tin]]</f>
        <v>30.331278497367066</v>
      </c>
      <c r="BM439" s="36">
        <f>テーブル2[[#This Row],[q_P]]*0.000001</f>
        <v>-12.947837618529761</v>
      </c>
      <c r="BN439" s="36">
        <f>テーブル2[[#This Row],[Tsub]]</f>
        <v>30.331278497367066</v>
      </c>
      <c r="BO439" s="36">
        <f>テーブル2[[#This Row],[Fcorr]]</f>
        <v>1</v>
      </c>
      <c r="BP439" s="36">
        <f>(テーブル2[[#This Row],[Tsub]]-40)^2</f>
        <v>93.484175495476464</v>
      </c>
      <c r="BQ439" s="36">
        <v>1</v>
      </c>
      <c r="BR439" s="36">
        <v>0.29527500000000001</v>
      </c>
    </row>
    <row r="440" spans="1:70" x14ac:dyDescent="0.15">
      <c r="A440" s="35" t="s">
        <v>432</v>
      </c>
      <c r="B440" s="36">
        <v>13789514.586336</v>
      </c>
      <c r="C440" s="22">
        <f>TsatFromP(テーブル2[[#This Row],[P]])</f>
        <v>608.62107399852357</v>
      </c>
      <c r="D440" s="36">
        <f>RhoGFromP(テーブル2[[#This Row],[P]])</f>
        <v>85.147847035840741</v>
      </c>
      <c r="E440" s="36">
        <f>RhoFFromP(テーブル2[[#This Row],[P]])</f>
        <v>624.86636713482415</v>
      </c>
      <c r="F440" s="36">
        <f>HgFromP(テーブル2[[#This Row],[P]])</f>
        <v>2643264.5206450778</v>
      </c>
      <c r="G440" s="36">
        <f>HfFromP(テーブル2[[#This Row],[P]])</f>
        <v>1562686.7596125705</v>
      </c>
      <c r="H440" s="36">
        <f>MuGFromP(テーブル2[[#This Row],[P]])</f>
        <v>2.2019591234371903E-5</v>
      </c>
      <c r="I440" s="36">
        <f>MuFFromP(テーブル2[[#This Row],[P]])</f>
        <v>7.222326555143516E-5</v>
      </c>
      <c r="J440" s="36">
        <f>KfFromP(テーブル2[[#This Row],[P]])</f>
        <v>0.49112131073334553</v>
      </c>
      <c r="K440" s="36">
        <f>CpFFromP(テーブル2[[#This Row],[P]])</f>
        <v>7679.7488518783057</v>
      </c>
      <c r="L440" s="36">
        <f>SigmaFromP(テーブル2[[#This Row],[P]])</f>
        <v>6.5036449518301549E-3</v>
      </c>
      <c r="M440" s="36">
        <v>83.01</v>
      </c>
      <c r="N440" s="36">
        <v>4367.0606000000007</v>
      </c>
      <c r="O440" s="37">
        <f t="shared" si="206"/>
        <v>1.6417322322758919E-5</v>
      </c>
      <c r="P440" s="37">
        <f t="shared" si="207"/>
        <v>1.4363361612212531E-2</v>
      </c>
      <c r="Q440" s="37">
        <v>4.5719999999999988E-3</v>
      </c>
      <c r="R440" s="36">
        <v>0.29527500000000001</v>
      </c>
      <c r="S440" s="38">
        <v>3659324.399999999</v>
      </c>
      <c r="T440" s="36">
        <v>577.75562873676915</v>
      </c>
      <c r="U440" s="12">
        <f>+T440+BG440*S440*テーブル2[[#This Row],[Pw]]*R440/(N440*O440*K440)</f>
        <v>605.94238649569866</v>
      </c>
      <c r="V440" s="36">
        <v>0.03</v>
      </c>
      <c r="W440" s="37">
        <f t="shared" si="178"/>
        <v>276451.09800498694</v>
      </c>
      <c r="X440" s="36">
        <v>0.01</v>
      </c>
      <c r="Y440" s="36">
        <f t="shared" si="179"/>
        <v>10</v>
      </c>
      <c r="Z440" s="36">
        <f t="shared" si="180"/>
        <v>6.0050103490206199</v>
      </c>
      <c r="AA440" s="36">
        <f t="shared" si="181"/>
        <v>3.9949896509793801</v>
      </c>
      <c r="AB440" s="36">
        <f t="shared" si="182"/>
        <v>2.0456756229756599E-5</v>
      </c>
      <c r="AC440" s="36">
        <v>600</v>
      </c>
      <c r="AD440" s="36">
        <f t="shared" si="183"/>
        <v>4887.0111516448278</v>
      </c>
      <c r="AE440" s="36">
        <f>+gettm2(AD440,AC440,AK440,AL440,テーブル2[[#This Row],[Fcorr]])</f>
        <v>558.84743443027219</v>
      </c>
      <c r="AF440" s="39">
        <f t="shared" si="184"/>
        <v>-47.094952065426469</v>
      </c>
      <c r="AG440" s="36">
        <v>1.0000000000000001E-5</v>
      </c>
      <c r="AH440" s="36">
        <f t="shared" si="185"/>
        <v>38.150593645163873</v>
      </c>
      <c r="AI440" s="36">
        <f t="shared" si="186"/>
        <v>0.24709108431229718</v>
      </c>
      <c r="AJ440" s="36">
        <f t="shared" si="187"/>
        <v>21.378001538253844</v>
      </c>
      <c r="AK440" s="36">
        <f>+S88*テーブル2[[#This Row],[F_form]]/(E88*CpFromTP((テーブル2[[#This Row],[Tin]]+テーブル2[[#This Row],[Tf]])/2,テーブル2[[#This Row],[P]])*AI88)</f>
        <v>1.6242620022603791</v>
      </c>
      <c r="AL440" s="36">
        <f t="shared" si="188"/>
        <v>1.1293676909872215</v>
      </c>
      <c r="AM440" s="36">
        <f t="shared" si="189"/>
        <v>578.26093084025001</v>
      </c>
      <c r="AN440" s="36">
        <f t="shared" si="190"/>
        <v>30.360143158273559</v>
      </c>
      <c r="AO440" s="36">
        <f t="shared" si="191"/>
        <v>-1.0456756229756599E-5</v>
      </c>
      <c r="AP440" s="36">
        <v>1</v>
      </c>
      <c r="AQ440" s="36">
        <f t="shared" si="192"/>
        <v>5.4530931276593132E-4</v>
      </c>
      <c r="AR440" s="36">
        <f t="shared" si="193"/>
        <v>-2.2837811487829886E-7</v>
      </c>
      <c r="AS440" s="36">
        <f t="shared" si="194"/>
        <v>-0.48822676911717866</v>
      </c>
      <c r="AT440" s="36">
        <f t="shared" si="195"/>
        <v>-0.48822676911717866</v>
      </c>
      <c r="AU440" s="36">
        <f t="shared" si="196"/>
        <v>-0.12063648177145324</v>
      </c>
      <c r="AV440" s="36">
        <f t="shared" si="197"/>
        <v>1.1206364817714531</v>
      </c>
      <c r="AW440" s="36">
        <f t="shared" si="198"/>
        <v>1.2298829960134193E-2</v>
      </c>
      <c r="AX440" s="36">
        <f t="shared" si="199"/>
        <v>0.86637852719258968</v>
      </c>
      <c r="AY440" s="36">
        <f t="shared" si="200"/>
        <v>0.25425795457886347</v>
      </c>
      <c r="AZ440" s="36">
        <f t="shared" si="201"/>
        <v>1080577.7610325073</v>
      </c>
      <c r="BA440" s="36">
        <f t="shared" si="202"/>
        <v>5.4530931276593132E-4</v>
      </c>
      <c r="BB440" s="38">
        <f t="shared" si="203"/>
        <v>-12947837.618529761</v>
      </c>
      <c r="BC440" s="40">
        <f t="shared" si="204"/>
        <v>-16607162.01852976</v>
      </c>
      <c r="BD440" s="41">
        <f t="shared" si="205"/>
        <v>-453.83136894148447</v>
      </c>
      <c r="BE440" s="38">
        <v>3659324.399999999</v>
      </c>
      <c r="BF440" s="42">
        <f>テーブル2[[#This Row],[q_P]]/テーブル2[[#This Row],[q_M]]</f>
        <v>-3.5383136894148453</v>
      </c>
      <c r="BG440" s="36">
        <v>1</v>
      </c>
      <c r="BH440" s="36">
        <v>1.7000000000000001E-2</v>
      </c>
      <c r="BI440" s="36">
        <v>4.5999999999999999E-2</v>
      </c>
      <c r="BJ440" s="36">
        <v>5625</v>
      </c>
      <c r="BK440" s="22">
        <v>1</v>
      </c>
      <c r="BL440" s="36">
        <f>テーブル2[[#This Row],[Ts]]-テーブル2[[#This Row],[Tin]]</f>
        <v>30.865445261754417</v>
      </c>
      <c r="BM440" s="36">
        <f>テーブル2[[#This Row],[q_P]]*0.000001</f>
        <v>-12.947837618529761</v>
      </c>
      <c r="BN440" s="36">
        <f>テーブル2[[#This Row],[Tsub]]</f>
        <v>30.865445261754417</v>
      </c>
      <c r="BO440" s="36">
        <f>テーブル2[[#This Row],[Fcorr]]</f>
        <v>1</v>
      </c>
      <c r="BP440" s="36">
        <f>(テーブル2[[#This Row],[Tsub]]-40)^2</f>
        <v>83.440090266004844</v>
      </c>
      <c r="BQ440" s="36">
        <v>1</v>
      </c>
      <c r="BR440" s="36">
        <v>0.29527500000000001</v>
      </c>
    </row>
    <row r="441" spans="1:70" x14ac:dyDescent="0.15">
      <c r="A441" s="35" t="s">
        <v>433</v>
      </c>
      <c r="B441" s="36">
        <v>13789514.586336</v>
      </c>
      <c r="C441" s="22">
        <f>TsatFromP(テーブル2[[#This Row],[P]])</f>
        <v>608.62107399852357</v>
      </c>
      <c r="D441" s="36">
        <f>RhoGFromP(テーブル2[[#This Row],[P]])</f>
        <v>85.147847035840741</v>
      </c>
      <c r="E441" s="36">
        <f>RhoFFromP(テーブル2[[#This Row],[P]])</f>
        <v>624.86636713482415</v>
      </c>
      <c r="F441" s="36">
        <f>HgFromP(テーブル2[[#This Row],[P]])</f>
        <v>2643264.5206450778</v>
      </c>
      <c r="G441" s="36">
        <f>HfFromP(テーブル2[[#This Row],[P]])</f>
        <v>1562686.7596125705</v>
      </c>
      <c r="H441" s="36">
        <f>MuGFromP(テーブル2[[#This Row],[P]])</f>
        <v>2.2019591234371903E-5</v>
      </c>
      <c r="I441" s="36">
        <f>MuFFromP(テーブル2[[#This Row],[P]])</f>
        <v>7.222326555143516E-5</v>
      </c>
      <c r="J441" s="36">
        <f>KfFromP(テーブル2[[#This Row],[P]])</f>
        <v>0.49112131073334553</v>
      </c>
      <c r="K441" s="36">
        <f>CpFFromP(テーブル2[[#This Row],[P]])</f>
        <v>7679.7488518783057</v>
      </c>
      <c r="L441" s="36">
        <f>SigmaFromP(テーブル2[[#This Row],[P]])</f>
        <v>6.5036449518301549E-3</v>
      </c>
      <c r="M441" s="36">
        <v>84.01</v>
      </c>
      <c r="N441" s="36">
        <v>4475.5590000000002</v>
      </c>
      <c r="O441" s="37">
        <f t="shared" si="206"/>
        <v>1.6417322322758919E-5</v>
      </c>
      <c r="P441" s="37">
        <f t="shared" si="207"/>
        <v>1.4363361612212531E-2</v>
      </c>
      <c r="Q441" s="37">
        <v>4.5719999999999988E-3</v>
      </c>
      <c r="R441" s="36">
        <v>0.29527500000000001</v>
      </c>
      <c r="S441" s="38">
        <v>3627778.5</v>
      </c>
      <c r="T441" s="36">
        <v>581.13875091564728</v>
      </c>
      <c r="U441" s="12">
        <f>+T441+BG441*S441*テーブル2[[#This Row],[Pw]]*R441/(N441*O441*K441)</f>
        <v>608.40509469342055</v>
      </c>
      <c r="V441" s="36">
        <v>0.03</v>
      </c>
      <c r="W441" s="37">
        <f t="shared" si="178"/>
        <v>283319.44826598041</v>
      </c>
      <c r="X441" s="36">
        <v>0.01</v>
      </c>
      <c r="Y441" s="36">
        <f t="shared" si="179"/>
        <v>10</v>
      </c>
      <c r="Z441" s="36">
        <f t="shared" si="180"/>
        <v>6.0456690478104713</v>
      </c>
      <c r="AA441" s="36">
        <f t="shared" si="181"/>
        <v>3.9543309521895287</v>
      </c>
      <c r="AB441" s="36">
        <f t="shared" si="182"/>
        <v>1.9476935839541631E-5</v>
      </c>
      <c r="AC441" s="36">
        <v>600</v>
      </c>
      <c r="AD441" s="36">
        <f t="shared" si="183"/>
        <v>5008.4275777726489</v>
      </c>
      <c r="AE441" s="36">
        <f>+gettm2(AD441,AC441,AK441,AL441,テーブル2[[#This Row],[Fcorr]])</f>
        <v>559.71972065755983</v>
      </c>
      <c r="AF441" s="39">
        <f t="shared" si="184"/>
        <v>-48.685374035860718</v>
      </c>
      <c r="AG441" s="36">
        <v>1.0000000000000001E-5</v>
      </c>
      <c r="AH441" s="36">
        <f t="shared" si="185"/>
        <v>40.069824157616843</v>
      </c>
      <c r="AI441" s="36">
        <f t="shared" si="186"/>
        <v>0.25322999323931072</v>
      </c>
      <c r="AJ441" s="36">
        <f t="shared" si="187"/>
        <v>21.909132011253938</v>
      </c>
      <c r="AK441" s="36">
        <f>+S88*テーブル2[[#This Row],[F_form]]/(E88*CpFromTP((テーブル2[[#This Row],[Tin]]+テーブル2[[#This Row],[Tf]])/2,テーブル2[[#This Row],[P]])*AI88)</f>
        <v>1.5859713934968913</v>
      </c>
      <c r="AL441" s="36">
        <f t="shared" si="188"/>
        <v>1.1293676909872215</v>
      </c>
      <c r="AM441" s="36">
        <f t="shared" si="189"/>
        <v>578.57351325987338</v>
      </c>
      <c r="AN441" s="36">
        <f t="shared" si="190"/>
        <v>30.047560738650191</v>
      </c>
      <c r="AO441" s="36">
        <f t="shared" si="191"/>
        <v>-9.4769358395416301E-6</v>
      </c>
      <c r="AP441" s="36">
        <v>1</v>
      </c>
      <c r="AQ441" s="36">
        <f t="shared" si="192"/>
        <v>5.4530931276593132E-4</v>
      </c>
      <c r="AR441" s="36">
        <f t="shared" si="193"/>
        <v>2.6153208022918537E-7</v>
      </c>
      <c r="AS441" s="36">
        <f t="shared" si="194"/>
        <v>0.57299408709190769</v>
      </c>
      <c r="AT441" s="36">
        <f t="shared" si="195"/>
        <v>0.57299408709190769</v>
      </c>
      <c r="AU441" s="36">
        <f t="shared" si="196"/>
        <v>0.14509928880044881</v>
      </c>
      <c r="AV441" s="36">
        <f t="shared" si="197"/>
        <v>0.85490071119955124</v>
      </c>
      <c r="AW441" s="36">
        <f t="shared" si="198"/>
        <v>1.1709751015487178E-2</v>
      </c>
      <c r="AX441" s="36">
        <f t="shared" si="199"/>
        <v>0.88790345954520056</v>
      </c>
      <c r="AY441" s="36">
        <f t="shared" si="200"/>
        <v>-3.3002748345649313E-2</v>
      </c>
      <c r="AZ441" s="36">
        <f t="shared" si="201"/>
        <v>1080577.7610325073</v>
      </c>
      <c r="BA441" s="36">
        <f t="shared" si="202"/>
        <v>5.4530931276593132E-4</v>
      </c>
      <c r="BB441" s="38">
        <f t="shared" si="203"/>
        <v>-11734597.582224239</v>
      </c>
      <c r="BC441" s="40">
        <f t="shared" si="204"/>
        <v>-15362376.082224239</v>
      </c>
      <c r="BD441" s="41">
        <f t="shared" si="205"/>
        <v>-423.46510632400071</v>
      </c>
      <c r="BE441" s="38">
        <v>3627778.5</v>
      </c>
      <c r="BF441" s="42">
        <f>テーブル2[[#This Row],[q_P]]/テーブル2[[#This Row],[q_M]]</f>
        <v>-3.2346510632400074</v>
      </c>
      <c r="BG441" s="36">
        <v>1</v>
      </c>
      <c r="BH441" s="36">
        <v>2.9000000000000001E-2</v>
      </c>
      <c r="BI441" s="36">
        <v>4.5999999999999999E-2</v>
      </c>
      <c r="BJ441" s="36">
        <v>5625</v>
      </c>
      <c r="BK441" s="22">
        <v>1</v>
      </c>
      <c r="BL441" s="36">
        <f>テーブル2[[#This Row],[Ts]]-テーブル2[[#This Row],[Tin]]</f>
        <v>27.482323082876292</v>
      </c>
      <c r="BM441" s="36">
        <f>テーブル2[[#This Row],[q_P]]*0.000001</f>
        <v>-11.734597582224238</v>
      </c>
      <c r="BN441" s="36">
        <f>テーブル2[[#This Row],[Tsub]]</f>
        <v>27.482323082876292</v>
      </c>
      <c r="BO441" s="36">
        <f>テーブル2[[#This Row],[Fcorr]]</f>
        <v>1</v>
      </c>
      <c r="BP441" s="36">
        <f>(テーブル2[[#This Row],[Tsub]]-40)^2</f>
        <v>156.6922354014917</v>
      </c>
      <c r="BQ441" s="36">
        <v>1</v>
      </c>
      <c r="BR441" s="36">
        <v>0.29527500000000001</v>
      </c>
    </row>
    <row r="442" spans="1:70" x14ac:dyDescent="0.15">
      <c r="A442" s="35" t="s">
        <v>434</v>
      </c>
      <c r="B442" s="36">
        <v>13789514.586336</v>
      </c>
      <c r="C442" s="22">
        <f>TsatFromP(テーブル2[[#This Row],[P]])</f>
        <v>608.62107399852357</v>
      </c>
      <c r="D442" s="36">
        <f>RhoGFromP(テーブル2[[#This Row],[P]])</f>
        <v>85.147847035840741</v>
      </c>
      <c r="E442" s="36">
        <f>RhoFFromP(テーブル2[[#This Row],[P]])</f>
        <v>624.86636713482415</v>
      </c>
      <c r="F442" s="36">
        <f>HgFromP(テーブル2[[#This Row],[P]])</f>
        <v>2643264.5206450778</v>
      </c>
      <c r="G442" s="36">
        <f>HfFromP(テーブル2[[#This Row],[P]])</f>
        <v>1562686.7596125705</v>
      </c>
      <c r="H442" s="36">
        <f>MuGFromP(テーブル2[[#This Row],[P]])</f>
        <v>2.2019591234371903E-5</v>
      </c>
      <c r="I442" s="36">
        <f>MuFFromP(テーブル2[[#This Row],[P]])</f>
        <v>7.222326555143516E-5</v>
      </c>
      <c r="J442" s="36">
        <f>KfFromP(テーブル2[[#This Row],[P]])</f>
        <v>0.49112131073334553</v>
      </c>
      <c r="K442" s="36">
        <f>CpFFromP(テーブル2[[#This Row],[P]])</f>
        <v>7679.7488518783057</v>
      </c>
      <c r="L442" s="36">
        <f>SigmaFromP(テーブル2[[#This Row],[P]])</f>
        <v>6.5036449518301549E-3</v>
      </c>
      <c r="M442" s="36">
        <v>85.01</v>
      </c>
      <c r="N442" s="36">
        <v>4855.3033999999998</v>
      </c>
      <c r="O442" s="37">
        <f t="shared" si="206"/>
        <v>1.6417322322758919E-5</v>
      </c>
      <c r="P442" s="37">
        <f t="shared" si="207"/>
        <v>1.4363361612212531E-2</v>
      </c>
      <c r="Q442" s="37">
        <v>4.5719999999999988E-3</v>
      </c>
      <c r="R442" s="36">
        <v>0.29527500000000001</v>
      </c>
      <c r="S442" s="38">
        <v>3596232.6</v>
      </c>
      <c r="T442" s="36">
        <v>581.7028894881837</v>
      </c>
      <c r="U442" s="12">
        <f>+T442+BG442*S442*テーブル2[[#This Row],[Pw]]*R442/(N442*O442*K442)</f>
        <v>606.61811545174521</v>
      </c>
      <c r="V442" s="36">
        <v>0.03</v>
      </c>
      <c r="W442" s="37">
        <f t="shared" si="178"/>
        <v>307358.67417945742</v>
      </c>
      <c r="X442" s="36">
        <v>0.01</v>
      </c>
      <c r="Y442" s="36">
        <f t="shared" si="179"/>
        <v>10</v>
      </c>
      <c r="Z442" s="36">
        <f t="shared" si="180"/>
        <v>6.1802729872482081</v>
      </c>
      <c r="AA442" s="36">
        <f t="shared" si="181"/>
        <v>3.8197270127517919</v>
      </c>
      <c r="AB442" s="36">
        <f t="shared" si="182"/>
        <v>1.6549407890874851E-5</v>
      </c>
      <c r="AC442" s="36">
        <v>600</v>
      </c>
      <c r="AD442" s="36">
        <f t="shared" si="183"/>
        <v>5433.3850692200249</v>
      </c>
      <c r="AE442" s="36">
        <f>+gettm2(AD442,AC442,AK442,AL442,テーブル2[[#This Row],[Fcorr]])</f>
        <v>559.18314980979994</v>
      </c>
      <c r="AF442" s="39">
        <f t="shared" si="184"/>
        <v>-47.434965641945269</v>
      </c>
      <c r="AG442" s="36">
        <v>1.0000000000000001E-5</v>
      </c>
      <c r="AH442" s="36">
        <f t="shared" si="185"/>
        <v>47.158025191338879</v>
      </c>
      <c r="AI442" s="36">
        <f t="shared" si="186"/>
        <v>0.27471617448385827</v>
      </c>
      <c r="AJ442" s="36">
        <f t="shared" si="187"/>
        <v>23.768088666754267</v>
      </c>
      <c r="AK442" s="36">
        <f>+S88*テーブル2[[#This Row],[F_form]]/(E88*CpFromTP((テーブル2[[#This Row],[Tin]]+テーブル2[[#This Row],[Tf]])/2,テーブル2[[#This Row],[P]])*AI88)</f>
        <v>1.5942496106652022</v>
      </c>
      <c r="AL442" s="36">
        <f t="shared" si="188"/>
        <v>1.1293676909872215</v>
      </c>
      <c r="AM442" s="36">
        <f t="shared" si="189"/>
        <v>577.79577534809778</v>
      </c>
      <c r="AN442" s="36">
        <f t="shared" si="190"/>
        <v>30.825298650425793</v>
      </c>
      <c r="AO442" s="36">
        <f t="shared" si="191"/>
        <v>-6.5494078908748503E-6</v>
      </c>
      <c r="AP442" s="36">
        <v>1</v>
      </c>
      <c r="AQ442" s="36">
        <f t="shared" si="192"/>
        <v>5.4530931276593132E-4</v>
      </c>
      <c r="AR442" s="36">
        <f t="shared" si="193"/>
        <v>1.7252960545625753E-6</v>
      </c>
      <c r="AS442" s="36">
        <f t="shared" si="194"/>
        <v>4.1006989601244594</v>
      </c>
      <c r="AT442" s="36">
        <f t="shared" si="195"/>
        <v>4.1006989601244594</v>
      </c>
      <c r="AU442" s="36">
        <f t="shared" si="196"/>
        <v>1.1265283310353271</v>
      </c>
      <c r="AV442" s="36">
        <f t="shared" si="197"/>
        <v>-0.12652833103532712</v>
      </c>
      <c r="AW442" s="36">
        <f t="shared" si="198"/>
        <v>9.9496885676676299E-3</v>
      </c>
      <c r="AX442" s="36">
        <f t="shared" si="199"/>
        <v>0.96324072277933859</v>
      </c>
      <c r="AY442" s="36">
        <f t="shared" si="200"/>
        <v>-1.0897690538146656</v>
      </c>
      <c r="AZ442" s="36">
        <f t="shared" si="201"/>
        <v>1080577.7610325073</v>
      </c>
      <c r="BA442" s="36">
        <f t="shared" si="202"/>
        <v>5.4530931276593132E-4</v>
      </c>
      <c r="BB442" s="38">
        <f t="shared" si="203"/>
        <v>-8109653.510641221</v>
      </c>
      <c r="BC442" s="40">
        <f t="shared" si="204"/>
        <v>-11705886.110641221</v>
      </c>
      <c r="BD442" s="41">
        <f t="shared" si="205"/>
        <v>-325.50414315918334</v>
      </c>
      <c r="BE442" s="38">
        <v>3596232.6</v>
      </c>
      <c r="BF442" s="42">
        <f>テーブル2[[#This Row],[q_P]]/テーブル2[[#This Row],[q_M]]</f>
        <v>-2.2550414315918332</v>
      </c>
      <c r="BG442" s="36">
        <v>1</v>
      </c>
      <c r="BH442" s="36">
        <v>1.4999999999999999E-2</v>
      </c>
      <c r="BI442" s="36">
        <v>4.5999999999999999E-2</v>
      </c>
      <c r="BJ442" s="36">
        <v>5625</v>
      </c>
      <c r="BK442" s="22">
        <v>1</v>
      </c>
      <c r="BL442" s="36">
        <f>テーブル2[[#This Row],[Ts]]-テーブル2[[#This Row],[Tin]]</f>
        <v>26.91818451033987</v>
      </c>
      <c r="BM442" s="36">
        <f>テーブル2[[#This Row],[q_P]]*0.000001</f>
        <v>-8.1096535106412198</v>
      </c>
      <c r="BN442" s="36">
        <f>テーブル2[[#This Row],[Tsub]]</f>
        <v>26.91818451033987</v>
      </c>
      <c r="BO442" s="36">
        <f>テーブル2[[#This Row],[Fcorr]]</f>
        <v>1</v>
      </c>
      <c r="BP442" s="36">
        <f>(テーブル2[[#This Row],[Tsub]]-40)^2</f>
        <v>171.1338965055117</v>
      </c>
      <c r="BQ442" s="36">
        <v>1</v>
      </c>
      <c r="BR442" s="36">
        <v>0.29527500000000001</v>
      </c>
    </row>
    <row r="443" spans="1:70" x14ac:dyDescent="0.15">
      <c r="A443" s="35" t="s">
        <v>435</v>
      </c>
      <c r="B443" s="36">
        <v>13789514.586336</v>
      </c>
      <c r="C443" s="22">
        <f>TsatFromP(テーブル2[[#This Row],[P]])</f>
        <v>608.62107399852357</v>
      </c>
      <c r="D443" s="36">
        <f>RhoGFromP(テーブル2[[#This Row],[P]])</f>
        <v>85.147847035840741</v>
      </c>
      <c r="E443" s="36">
        <f>RhoFFromP(テーブル2[[#This Row],[P]])</f>
        <v>624.86636713482415</v>
      </c>
      <c r="F443" s="36">
        <f>HgFromP(テーブル2[[#This Row],[P]])</f>
        <v>2643264.5206450778</v>
      </c>
      <c r="G443" s="36">
        <f>HfFromP(テーブル2[[#This Row],[P]])</f>
        <v>1562686.7596125705</v>
      </c>
      <c r="H443" s="36">
        <f>MuGFromP(テーブル2[[#This Row],[P]])</f>
        <v>2.2019591234371903E-5</v>
      </c>
      <c r="I443" s="36">
        <f>MuFFromP(テーブル2[[#This Row],[P]])</f>
        <v>7.222326555143516E-5</v>
      </c>
      <c r="J443" s="36">
        <f>KfFromP(テーブル2[[#This Row],[P]])</f>
        <v>0.49112131073334553</v>
      </c>
      <c r="K443" s="36">
        <f>CpFFromP(テーブル2[[#This Row],[P]])</f>
        <v>7679.7488518783057</v>
      </c>
      <c r="L443" s="36">
        <f>SigmaFromP(テーブル2[[#This Row],[P]])</f>
        <v>6.5036449518301549E-3</v>
      </c>
      <c r="M443" s="36">
        <v>86.01</v>
      </c>
      <c r="N443" s="36">
        <v>4855.3033999999998</v>
      </c>
      <c r="O443" s="37">
        <f t="shared" si="206"/>
        <v>1.6417322322758919E-5</v>
      </c>
      <c r="P443" s="37">
        <f t="shared" si="207"/>
        <v>1.4363361612212531E-2</v>
      </c>
      <c r="Q443" s="37">
        <v>4.5719999999999988E-3</v>
      </c>
      <c r="R443" s="36">
        <v>0.29527500000000001</v>
      </c>
      <c r="S443" s="38">
        <v>3596232.6</v>
      </c>
      <c r="T443" s="36">
        <v>581.13875091564728</v>
      </c>
      <c r="U443" s="12">
        <f>+T443+BG443*S443*テーブル2[[#This Row],[Pw]]*R443/(N443*O443*K443)</f>
        <v>606.05397687920879</v>
      </c>
      <c r="V443" s="36">
        <v>0.03</v>
      </c>
      <c r="W443" s="37">
        <f t="shared" si="178"/>
        <v>307358.67417945742</v>
      </c>
      <c r="X443" s="36">
        <v>0.01</v>
      </c>
      <c r="Y443" s="36">
        <f t="shared" si="179"/>
        <v>10</v>
      </c>
      <c r="Z443" s="36">
        <f t="shared" si="180"/>
        <v>6.1802729872482081</v>
      </c>
      <c r="AA443" s="36">
        <f t="shared" si="181"/>
        <v>3.8197270127517919</v>
      </c>
      <c r="AB443" s="36">
        <f t="shared" si="182"/>
        <v>1.6549407890874851E-5</v>
      </c>
      <c r="AC443" s="36">
        <v>600</v>
      </c>
      <c r="AD443" s="36">
        <f t="shared" si="183"/>
        <v>5433.3850692200249</v>
      </c>
      <c r="AE443" s="36">
        <f>+gettm2(AD443,AC443,AK443,AL443,テーブル2[[#This Row],[Fcorr]])</f>
        <v>558.99185318378602</v>
      </c>
      <c r="AF443" s="39">
        <f t="shared" si="184"/>
        <v>-47.06212369542277</v>
      </c>
      <c r="AG443" s="36">
        <v>1.0000000000000001E-5</v>
      </c>
      <c r="AH443" s="36">
        <f t="shared" si="185"/>
        <v>47.158025191338879</v>
      </c>
      <c r="AI443" s="36">
        <f t="shared" si="186"/>
        <v>0.27471617448385827</v>
      </c>
      <c r="AJ443" s="36">
        <f t="shared" si="187"/>
        <v>23.768088666754267</v>
      </c>
      <c r="AK443" s="36">
        <f>+S88*テーブル2[[#This Row],[F_form]]/(E88*CpFromTP((テーブル2[[#This Row],[Tin]]+テーブル2[[#This Row],[Tf]])/2,テーブル2[[#This Row],[P]])*AI88)</f>
        <v>1.6017213918076272</v>
      </c>
      <c r="AL443" s="36">
        <f t="shared" si="188"/>
        <v>1.1293676909872215</v>
      </c>
      <c r="AM443" s="36">
        <f t="shared" si="189"/>
        <v>577.69171064836291</v>
      </c>
      <c r="AN443" s="36">
        <f t="shared" si="190"/>
        <v>30.929363350160656</v>
      </c>
      <c r="AO443" s="36">
        <f t="shared" si="191"/>
        <v>-6.5494078908748503E-6</v>
      </c>
      <c r="AP443" s="36">
        <v>1</v>
      </c>
      <c r="AQ443" s="36">
        <f t="shared" si="192"/>
        <v>5.4530931276593132E-4</v>
      </c>
      <c r="AR443" s="36">
        <f t="shared" si="193"/>
        <v>1.7252960545625753E-6</v>
      </c>
      <c r="AS443" s="36">
        <f t="shared" si="194"/>
        <v>4.1006989601244594</v>
      </c>
      <c r="AT443" s="36">
        <f t="shared" si="195"/>
        <v>4.1006989601244594</v>
      </c>
      <c r="AU443" s="36">
        <f t="shared" si="196"/>
        <v>1.1265283310353271</v>
      </c>
      <c r="AV443" s="36">
        <f t="shared" si="197"/>
        <v>-0.12652833103532712</v>
      </c>
      <c r="AW443" s="36">
        <f t="shared" si="198"/>
        <v>9.9496885676676299E-3</v>
      </c>
      <c r="AX443" s="36">
        <f t="shared" si="199"/>
        <v>0.96324072277933859</v>
      </c>
      <c r="AY443" s="36">
        <f t="shared" si="200"/>
        <v>-1.0897690538146656</v>
      </c>
      <c r="AZ443" s="36">
        <f t="shared" si="201"/>
        <v>1080577.7610325073</v>
      </c>
      <c r="BA443" s="36">
        <f t="shared" si="202"/>
        <v>5.4530931276593132E-4</v>
      </c>
      <c r="BB443" s="38">
        <f t="shared" si="203"/>
        <v>-8109653.510641221</v>
      </c>
      <c r="BC443" s="40">
        <f t="shared" si="204"/>
        <v>-11705886.110641221</v>
      </c>
      <c r="BD443" s="41">
        <f t="shared" si="205"/>
        <v>-325.50414315918334</v>
      </c>
      <c r="BE443" s="38">
        <v>3596232.6</v>
      </c>
      <c r="BF443" s="42">
        <f>テーブル2[[#This Row],[q_P]]/テーブル2[[#This Row],[q_M]]</f>
        <v>-2.2550414315918332</v>
      </c>
      <c r="BG443" s="36">
        <v>1</v>
      </c>
      <c r="BH443" s="36">
        <v>1.2E-2</v>
      </c>
      <c r="BI443" s="36">
        <v>4.5999999999999999E-2</v>
      </c>
      <c r="BJ443" s="36">
        <v>5625</v>
      </c>
      <c r="BK443" s="22">
        <v>1</v>
      </c>
      <c r="BL443" s="36">
        <f>テーブル2[[#This Row],[Ts]]-テーブル2[[#This Row],[Tin]]</f>
        <v>27.482323082876292</v>
      </c>
      <c r="BM443" s="36">
        <f>テーブル2[[#This Row],[q_P]]*0.000001</f>
        <v>-8.1096535106412198</v>
      </c>
      <c r="BN443" s="36">
        <f>テーブル2[[#This Row],[Tsub]]</f>
        <v>27.482323082876292</v>
      </c>
      <c r="BO443" s="36">
        <f>テーブル2[[#This Row],[Fcorr]]</f>
        <v>1</v>
      </c>
      <c r="BP443" s="36">
        <f>(テーブル2[[#This Row],[Tsub]]-40)^2</f>
        <v>156.6922354014917</v>
      </c>
      <c r="BQ443" s="36">
        <v>1</v>
      </c>
      <c r="BR443" s="36">
        <v>0.29527500000000001</v>
      </c>
    </row>
    <row r="444" spans="1:70" x14ac:dyDescent="0.15">
      <c r="A444" s="35" t="s">
        <v>436</v>
      </c>
      <c r="B444" s="36">
        <v>13789514.586336</v>
      </c>
      <c r="C444" s="22">
        <f>TsatFromP(テーブル2[[#This Row],[P]])</f>
        <v>608.62107399852357</v>
      </c>
      <c r="D444" s="36">
        <f>RhoGFromP(テーブル2[[#This Row],[P]])</f>
        <v>85.147847035840741</v>
      </c>
      <c r="E444" s="36">
        <f>RhoFFromP(テーブル2[[#This Row],[P]])</f>
        <v>624.86636713482415</v>
      </c>
      <c r="F444" s="36">
        <f>HgFromP(テーブル2[[#This Row],[P]])</f>
        <v>2643264.5206450778</v>
      </c>
      <c r="G444" s="36">
        <f>HfFromP(テーブル2[[#This Row],[P]])</f>
        <v>1562686.7596125705</v>
      </c>
      <c r="H444" s="36">
        <f>MuGFromP(テーブル2[[#This Row],[P]])</f>
        <v>2.2019591234371903E-5</v>
      </c>
      <c r="I444" s="36">
        <f>MuFFromP(テーブル2[[#This Row],[P]])</f>
        <v>7.222326555143516E-5</v>
      </c>
      <c r="J444" s="36">
        <f>KfFromP(テーブル2[[#This Row],[P]])</f>
        <v>0.49112131073334553</v>
      </c>
      <c r="K444" s="36">
        <f>CpFFromP(テーブル2[[#This Row],[P]])</f>
        <v>7679.7488518783057</v>
      </c>
      <c r="L444" s="36">
        <f>SigmaFromP(テーブル2[[#This Row],[P]])</f>
        <v>6.5036449518301549E-3</v>
      </c>
      <c r="M444" s="36">
        <v>87.01</v>
      </c>
      <c r="N444" s="36">
        <v>4977.3640999999998</v>
      </c>
      <c r="O444" s="37">
        <f t="shared" si="206"/>
        <v>1.6417322322758919E-5</v>
      </c>
      <c r="P444" s="37">
        <f t="shared" si="207"/>
        <v>1.4363361612212531E-2</v>
      </c>
      <c r="Q444" s="37">
        <v>4.5719999999999988E-3</v>
      </c>
      <c r="R444" s="36">
        <v>0.29527500000000001</v>
      </c>
      <c r="S444" s="38">
        <v>3627778.5</v>
      </c>
      <c r="T444" s="36">
        <v>583.34386142658514</v>
      </c>
      <c r="U444" s="12">
        <f>+T444+BG444*S444*テーブル2[[#This Row],[Pw]]*R444/(N444*O444*K444)</f>
        <v>607.861282262185</v>
      </c>
      <c r="V444" s="36">
        <v>0.03</v>
      </c>
      <c r="W444" s="37">
        <f t="shared" si="178"/>
        <v>315085.56822307513</v>
      </c>
      <c r="X444" s="36">
        <v>0.01</v>
      </c>
      <c r="Y444" s="36">
        <f t="shared" si="179"/>
        <v>10</v>
      </c>
      <c r="Z444" s="36">
        <f t="shared" si="180"/>
        <v>6.2212076475580078</v>
      </c>
      <c r="AA444" s="36">
        <f t="shared" si="181"/>
        <v>3.7787923524419922</v>
      </c>
      <c r="AB444" s="36">
        <f t="shared" si="182"/>
        <v>1.5747672882908657E-5</v>
      </c>
      <c r="AC444" s="36">
        <v>600</v>
      </c>
      <c r="AD444" s="36">
        <f t="shared" si="183"/>
        <v>5569.9785486138244</v>
      </c>
      <c r="AE444" s="36">
        <f>+gettm2(AD444,AC444,AK444,AL444,テーブル2[[#This Row],[Fcorr]])</f>
        <v>559.59098638057299</v>
      </c>
      <c r="AF444" s="39">
        <f t="shared" si="184"/>
        <v>-48.270295881612014</v>
      </c>
      <c r="AG444" s="36">
        <v>1.0000000000000001E-5</v>
      </c>
      <c r="AH444" s="36">
        <f t="shared" si="185"/>
        <v>49.558903085080388</v>
      </c>
      <c r="AI444" s="36">
        <f t="shared" si="186"/>
        <v>0.2816224470267486</v>
      </c>
      <c r="AJ444" s="36">
        <f t="shared" si="187"/>
        <v>24.365610448879377</v>
      </c>
      <c r="AK444" s="36">
        <f>+S88*テーブル2[[#This Row],[F_form]]/(E88*CpFromTP((テーブル2[[#This Row],[Tin]]+テーブル2[[#This Row],[Tf]])/2,テーブル2[[#This Row],[P]])*AI88)</f>
        <v>1.5744835170103728</v>
      </c>
      <c r="AL444" s="36">
        <f t="shared" si="188"/>
        <v>1.1293676909872215</v>
      </c>
      <c r="AM444" s="36">
        <f t="shared" si="189"/>
        <v>577.87084278659677</v>
      </c>
      <c r="AN444" s="36">
        <f t="shared" si="190"/>
        <v>30.750231211926803</v>
      </c>
      <c r="AO444" s="36">
        <f t="shared" si="191"/>
        <v>-5.747672882908656E-6</v>
      </c>
      <c r="AP444" s="36">
        <v>1</v>
      </c>
      <c r="AQ444" s="36">
        <f t="shared" si="192"/>
        <v>5.4530931276593132E-4</v>
      </c>
      <c r="AR444" s="36">
        <f t="shared" si="193"/>
        <v>2.1261635585456724E-6</v>
      </c>
      <c r="AS444" s="36">
        <f t="shared" si="194"/>
        <v>5.1805273018126998</v>
      </c>
      <c r="AT444" s="36">
        <f t="shared" si="195"/>
        <v>5.1745342340364839</v>
      </c>
      <c r="AU444" s="36">
        <f t="shared" si="196"/>
        <v>1.4572649932130368</v>
      </c>
      <c r="AV444" s="36">
        <f t="shared" si="197"/>
        <v>-0.45726499321303682</v>
      </c>
      <c r="AW444" s="36">
        <f t="shared" si="198"/>
        <v>9.4676765406718748E-3</v>
      </c>
      <c r="AX444" s="36">
        <f t="shared" si="199"/>
        <v>0.98745627167602579</v>
      </c>
      <c r="AY444" s="36">
        <f t="shared" si="200"/>
        <v>-1.4447212648890626</v>
      </c>
      <c r="AZ444" s="36">
        <f t="shared" si="201"/>
        <v>1080577.7610325073</v>
      </c>
      <c r="BA444" s="36">
        <f t="shared" si="202"/>
        <v>5.4530931276593132E-4</v>
      </c>
      <c r="BB444" s="38">
        <f t="shared" si="203"/>
        <v>-7116923.5982142007</v>
      </c>
      <c r="BC444" s="40">
        <f t="shared" si="204"/>
        <v>-10744702.098214202</v>
      </c>
      <c r="BD444" s="41">
        <f t="shared" si="205"/>
        <v>-296.17855936392482</v>
      </c>
      <c r="BE444" s="38">
        <v>3627778.5</v>
      </c>
      <c r="BF444" s="42">
        <f>テーブル2[[#This Row],[q_P]]/テーブル2[[#This Row],[q_M]]</f>
        <v>-1.9617855936392481</v>
      </c>
      <c r="BG444" s="36">
        <v>1</v>
      </c>
      <c r="BH444" s="36">
        <v>2.1000000000000001E-2</v>
      </c>
      <c r="BI444" s="36">
        <v>4.5999999999999999E-2</v>
      </c>
      <c r="BJ444" s="36">
        <v>5625</v>
      </c>
      <c r="BK444" s="22">
        <v>1</v>
      </c>
      <c r="BL444" s="36">
        <f>テーブル2[[#This Row],[Ts]]-テーブル2[[#This Row],[Tin]]</f>
        <v>25.277212571938435</v>
      </c>
      <c r="BM444" s="36">
        <f>テーブル2[[#This Row],[q_P]]*0.000001</f>
        <v>-7.1169235982142007</v>
      </c>
      <c r="BN444" s="36">
        <f>テーブル2[[#This Row],[Tsub]]</f>
        <v>25.277212571938435</v>
      </c>
      <c r="BO444" s="36">
        <f>テーブル2[[#This Row],[Fcorr]]</f>
        <v>1</v>
      </c>
      <c r="BP444" s="36">
        <f>(テーブル2[[#This Row],[Tsub]]-40)^2</f>
        <v>216.76046965188769</v>
      </c>
      <c r="BQ444" s="36">
        <v>1</v>
      </c>
      <c r="BR444" s="36">
        <v>0.29527500000000001</v>
      </c>
    </row>
    <row r="445" spans="1:70" x14ac:dyDescent="0.15">
      <c r="A445" s="35" t="s">
        <v>70</v>
      </c>
      <c r="B445" s="36">
        <v>13789514.586336</v>
      </c>
      <c r="C445" s="22">
        <f>TsatFromP(テーブル2[[#This Row],[P]])</f>
        <v>608.62107399852357</v>
      </c>
      <c r="D445" s="36">
        <f>RhoGFromP(テーブル2[[#This Row],[P]])</f>
        <v>85.147847035840741</v>
      </c>
      <c r="E445" s="36">
        <f>RhoFFromP(テーブル2[[#This Row],[P]])</f>
        <v>624.86636713482415</v>
      </c>
      <c r="F445" s="36">
        <f>HgFromP(テーブル2[[#This Row],[P]])</f>
        <v>2643264.5206450778</v>
      </c>
      <c r="G445" s="36">
        <f>HfFromP(テーブル2[[#This Row],[P]])</f>
        <v>1562686.7596125705</v>
      </c>
      <c r="H445" s="36">
        <f>MuGFromP(テーブル2[[#This Row],[P]])</f>
        <v>2.2019591234371903E-5</v>
      </c>
      <c r="I445" s="36">
        <f>MuFFromP(テーブル2[[#This Row],[P]])</f>
        <v>7.222326555143516E-5</v>
      </c>
      <c r="J445" s="36">
        <f>KfFromP(テーブル2[[#This Row],[P]])</f>
        <v>0.49112131073334553</v>
      </c>
      <c r="K445" s="36">
        <f>CpFFromP(テーブル2[[#This Row],[P]])</f>
        <v>7679.7488518783057</v>
      </c>
      <c r="L445" s="36">
        <f>SigmaFromP(テーブル2[[#This Row],[P]])</f>
        <v>6.5036449518301549E-3</v>
      </c>
      <c r="M445" s="36">
        <v>9.01</v>
      </c>
      <c r="N445" s="36">
        <v>2441.2139999999999</v>
      </c>
      <c r="O445" s="37">
        <f t="shared" si="206"/>
        <v>2.8502295699234246E-6</v>
      </c>
      <c r="P445" s="37">
        <f t="shared" si="207"/>
        <v>5.9847340050885557E-3</v>
      </c>
      <c r="Q445" s="37">
        <v>1.905E-3</v>
      </c>
      <c r="R445" s="36">
        <v>0.15240000000000001</v>
      </c>
      <c r="S445" s="38">
        <v>4037875.2</v>
      </c>
      <c r="T445" s="36">
        <v>500.2688889860072</v>
      </c>
      <c r="U445" s="12">
        <f>+T445+BG445*S445*テーブル2[[#This Row],[Pw]]*R445/(N445*O445*K445)</f>
        <v>569.18963991174917</v>
      </c>
      <c r="V445" s="36">
        <v>0.03</v>
      </c>
      <c r="W445" s="37">
        <f t="shared" si="178"/>
        <v>64390.783696813734</v>
      </c>
      <c r="X445" s="36">
        <v>0.01</v>
      </c>
      <c r="Y445" s="36">
        <f t="shared" si="179"/>
        <v>10</v>
      </c>
      <c r="Z445" s="36">
        <f t="shared" si="180"/>
        <v>4.2700528406416547</v>
      </c>
      <c r="AA445" s="36">
        <f t="shared" si="181"/>
        <v>5.7299471593583453</v>
      </c>
      <c r="AB445" s="36">
        <f t="shared" si="182"/>
        <v>6.5464145460681608E-5</v>
      </c>
      <c r="AC445" s="36">
        <v>600</v>
      </c>
      <c r="AD445" s="36">
        <f t="shared" si="183"/>
        <v>1138.2789949483295</v>
      </c>
      <c r="AE445" s="36">
        <f>+gettm2(AD445,AC445,AK445,AL445,テーブル2[[#This Row],[Fcorr]])</f>
        <v>555.67164304236417</v>
      </c>
      <c r="AF445" s="39">
        <f t="shared" si="184"/>
        <v>-13.517996869385001</v>
      </c>
      <c r="AG445" s="36">
        <v>1.0000000000000001E-5</v>
      </c>
      <c r="AH445" s="36">
        <f t="shared" si="185"/>
        <v>11.921600575819886</v>
      </c>
      <c r="AI445" s="36">
        <f t="shared" si="186"/>
        <v>0.13812545085780584</v>
      </c>
      <c r="AJ445" s="36">
        <f t="shared" si="187"/>
        <v>11.950435642502146</v>
      </c>
      <c r="AK445" s="36">
        <f>+S88*テーブル2[[#This Row],[F_form]]/(E88*CpFromTP((テーブル2[[#This Row],[Tin]]+テーブル2[[#This Row],[Tf]])/2,テーブル2[[#This Row],[P]])*AI88)</f>
        <v>2.0478169774361659</v>
      </c>
      <c r="AL445" s="36">
        <f t="shared" si="188"/>
        <v>1.1293676909872215</v>
      </c>
      <c r="AM445" s="36">
        <f t="shared" si="189"/>
        <v>578.77189647967123</v>
      </c>
      <c r="AN445" s="36">
        <f t="shared" si="190"/>
        <v>29.849177518852343</v>
      </c>
      <c r="AO445" s="36">
        <f t="shared" si="191"/>
        <v>-5.5464145460681609E-5</v>
      </c>
      <c r="AP445" s="36">
        <v>1</v>
      </c>
      <c r="AQ445" s="36">
        <f t="shared" si="192"/>
        <v>5.4530931276593132E-4</v>
      </c>
      <c r="AR445" s="36">
        <f t="shared" si="193"/>
        <v>-2.2732072730340805E-5</v>
      </c>
      <c r="AS445" s="36">
        <f t="shared" si="194"/>
        <v>-27.165817218461584</v>
      </c>
      <c r="AT445" s="36">
        <f t="shared" si="195"/>
        <v>-27.165817218461584</v>
      </c>
      <c r="AU445" s="36">
        <f t="shared" si="196"/>
        <v>-3.7522907512207513</v>
      </c>
      <c r="AV445" s="36">
        <f t="shared" si="197"/>
        <v>4.7522907512207517</v>
      </c>
      <c r="AW445" s="36">
        <f t="shared" si="198"/>
        <v>3.9357774246498584E-2</v>
      </c>
      <c r="AX445" s="36">
        <f t="shared" si="199"/>
        <v>0.48431097793374567</v>
      </c>
      <c r="AY445" s="36">
        <f t="shared" si="200"/>
        <v>4.2679797732870064</v>
      </c>
      <c r="AZ445" s="36">
        <f t="shared" si="201"/>
        <v>1080577.7610325073</v>
      </c>
      <c r="BA445" s="36">
        <f t="shared" si="202"/>
        <v>5.4530931276593132E-4</v>
      </c>
      <c r="BB445" s="38">
        <f t="shared" si="203"/>
        <v>-68677200.969055787</v>
      </c>
      <c r="BC445" s="40">
        <f t="shared" si="204"/>
        <v>-72715076.16905579</v>
      </c>
      <c r="BD445" s="41">
        <f t="shared" si="205"/>
        <v>-1800.8252500982642</v>
      </c>
      <c r="BE445" s="38">
        <v>4037875.2</v>
      </c>
      <c r="BF445" s="42">
        <f>テーブル2[[#This Row],[q_P]]/テーブル2[[#This Row],[q_M]]</f>
        <v>-17.008252500982643</v>
      </c>
      <c r="BG445" s="36">
        <v>1</v>
      </c>
      <c r="BH445" s="36">
        <v>-0.05</v>
      </c>
      <c r="BI445" s="36">
        <v>4.5999999999999999E-2</v>
      </c>
      <c r="BJ445" s="36">
        <v>5625</v>
      </c>
      <c r="BK445" s="22">
        <v>1</v>
      </c>
      <c r="BL445" s="36">
        <f>テーブル2[[#This Row],[Ts]]-テーブル2[[#This Row],[Tin]]</f>
        <v>108.35218501251637</v>
      </c>
      <c r="BM445" s="36">
        <f>テーブル2[[#This Row],[q_P]]*0.000001</f>
        <v>-68.677200969055789</v>
      </c>
      <c r="BN445" s="36">
        <f>テーブル2[[#This Row],[Tsub]]</f>
        <v>108.35218501251637</v>
      </c>
      <c r="BO445" s="36">
        <f>テーブル2[[#This Row],[Fcorr]]</f>
        <v>1</v>
      </c>
      <c r="BP445" s="36">
        <f>(テーブル2[[#This Row],[Tsub]]-40)^2</f>
        <v>4672.0211959852677</v>
      </c>
      <c r="BQ445" s="36">
        <v>1</v>
      </c>
      <c r="BR445" s="36">
        <v>0.15240000000000001</v>
      </c>
    </row>
    <row r="446" spans="1:70" x14ac:dyDescent="0.15">
      <c r="A446" s="35" t="s">
        <v>202</v>
      </c>
      <c r="B446" s="36">
        <v>15513203.909628</v>
      </c>
      <c r="C446" s="22">
        <f>TsatFromP(テーブル2[[#This Row],[P]])</f>
        <v>617.97483343501642</v>
      </c>
      <c r="D446" s="36">
        <f>RhoGFromP(テーブル2[[#This Row],[P]])</f>
        <v>102.22394330032125</v>
      </c>
      <c r="E446" s="36">
        <f>RhoFFromP(テーブル2[[#This Row],[P]])</f>
        <v>593.9978032143099</v>
      </c>
      <c r="F446" s="36">
        <f>HgFromP(テーブル2[[#This Row],[P]])</f>
        <v>2595333.549379834</v>
      </c>
      <c r="G446" s="36">
        <f>HfFromP(テーブル2[[#This Row],[P]])</f>
        <v>1630481.3857881736</v>
      </c>
      <c r="H446" s="36">
        <f>MuGFromP(テーブル2[[#This Row],[P]])</f>
        <v>2.3048203873609753E-5</v>
      </c>
      <c r="I446" s="36">
        <f>MuFFromP(テーブル2[[#This Row],[P]])</f>
        <v>6.8200503236294993E-5</v>
      </c>
      <c r="J446" s="36">
        <f>KfFromP(テーブル2[[#This Row],[P]])</f>
        <v>0.47171772328904032</v>
      </c>
      <c r="K446" s="36">
        <f>CpFFromP(テーブル2[[#This Row],[P]])</f>
        <v>9005.0430614711822</v>
      </c>
      <c r="L446" s="36">
        <f>SigmaFromP(テーブル2[[#This Row],[P]])</f>
        <v>4.6429387983558243E-3</v>
      </c>
      <c r="M446" s="36">
        <v>1.01</v>
      </c>
      <c r="N446" s="36">
        <v>2034.345</v>
      </c>
      <c r="O446" s="37">
        <f t="shared" si="206"/>
        <v>2.8502295699234246E-6</v>
      </c>
      <c r="P446" s="37">
        <f t="shared" si="207"/>
        <v>5.9847340050885557E-3</v>
      </c>
      <c r="Q446" s="37">
        <v>1.905E-3</v>
      </c>
      <c r="R446" s="36">
        <v>0.15240000000000001</v>
      </c>
      <c r="S446" s="38">
        <v>3059952.2999999989</v>
      </c>
      <c r="T446" s="36">
        <v>532.51320671869371</v>
      </c>
      <c r="U446" s="12">
        <f>+T446+BG446*S446*テーブル2[[#This Row],[Pw]]*R446/(N446*O446*K446)</f>
        <v>585.9640098430566</v>
      </c>
      <c r="V446" s="36">
        <v>0.03</v>
      </c>
      <c r="W446" s="37">
        <f t="shared" si="178"/>
        <v>56824.026819461542</v>
      </c>
      <c r="X446" s="36">
        <v>0.01</v>
      </c>
      <c r="Y446" s="36">
        <f t="shared" si="179"/>
        <v>10</v>
      </c>
      <c r="Z446" s="36">
        <f t="shared" si="180"/>
        <v>4.2826993774120368</v>
      </c>
      <c r="AA446" s="36">
        <f t="shared" si="181"/>
        <v>5.7173006225879632</v>
      </c>
      <c r="AB446" s="36">
        <f t="shared" si="182"/>
        <v>6.3973456905948764E-5</v>
      </c>
      <c r="AC446" s="36">
        <v>600</v>
      </c>
      <c r="AD446" s="36">
        <f t="shared" si="183"/>
        <v>1004.5163674591876</v>
      </c>
      <c r="AE446" s="36">
        <f>+gettm2(AD446,AC446,AK446,AL446,テーブル2[[#This Row],[Fcorr]])</f>
        <v>556.34608587042874</v>
      </c>
      <c r="AF446" s="39">
        <f t="shared" si="184"/>
        <v>-29.617923972627864</v>
      </c>
      <c r="AG446" s="36">
        <v>1.0000000000000001E-5</v>
      </c>
      <c r="AH446" s="36">
        <f t="shared" si="185"/>
        <v>8.7091222320813859</v>
      </c>
      <c r="AI446" s="36">
        <f t="shared" si="186"/>
        <v>0.1210862344093508</v>
      </c>
      <c r="AJ446" s="36">
        <f t="shared" si="187"/>
        <v>10.546103595372049</v>
      </c>
      <c r="AK446" s="36">
        <f>+S88*テーブル2[[#This Row],[F_form]]/(E88*CpFromTP((テーブル2[[#This Row],[Tin]]+テーブル2[[#This Row],[Tf]])/2,テーブル2[[#This Row],[P]])*AI88)</f>
        <v>1.9154241583514853</v>
      </c>
      <c r="AL446" s="36">
        <f t="shared" si="188"/>
        <v>1.3019406270654956</v>
      </c>
      <c r="AM446" s="36">
        <f t="shared" si="189"/>
        <v>578.97215033407906</v>
      </c>
      <c r="AN446" s="36">
        <f t="shared" si="190"/>
        <v>39.002683100937361</v>
      </c>
      <c r="AO446" s="36">
        <f t="shared" si="191"/>
        <v>-5.3973456905948765E-5</v>
      </c>
      <c r="AP446" s="36">
        <v>1</v>
      </c>
      <c r="AQ446" s="36">
        <f t="shared" si="192"/>
        <v>3.3448984939390747E-4</v>
      </c>
      <c r="AR446" s="36">
        <f t="shared" si="193"/>
        <v>-2.1986728452974383E-5</v>
      </c>
      <c r="AS446" s="36">
        <f t="shared" si="194"/>
        <v>-23.187431598838202</v>
      </c>
      <c r="AT446" s="36">
        <f t="shared" si="195"/>
        <v>-23.187431598838202</v>
      </c>
      <c r="AU446" s="36">
        <f t="shared" si="196"/>
        <v>-2.8076787779277104</v>
      </c>
      <c r="AV446" s="36">
        <f t="shared" si="197"/>
        <v>3.8076787779277104</v>
      </c>
      <c r="AW446" s="36">
        <f t="shared" si="198"/>
        <v>4.3451806668466944E-2</v>
      </c>
      <c r="AX446" s="36">
        <f t="shared" si="199"/>
        <v>0.35343201651123557</v>
      </c>
      <c r="AY446" s="36">
        <f t="shared" si="200"/>
        <v>3.4542467614164747</v>
      </c>
      <c r="AZ446" s="36">
        <f t="shared" si="201"/>
        <v>964852.16359166033</v>
      </c>
      <c r="BA446" s="36">
        <f t="shared" si="202"/>
        <v>3.3448984939390747E-4</v>
      </c>
      <c r="BB446" s="38">
        <f t="shared" si="203"/>
        <v>-92478953.303509861</v>
      </c>
      <c r="BC446" s="40">
        <f t="shared" si="204"/>
        <v>-95538905.603509858</v>
      </c>
      <c r="BD446" s="41">
        <f t="shared" si="205"/>
        <v>-3122.2351277668577</v>
      </c>
      <c r="BE446" s="38">
        <v>3059952.2999999989</v>
      </c>
      <c r="BF446" s="42">
        <f>テーブル2[[#This Row],[q_P]]/テーブル2[[#This Row],[q_M]]</f>
        <v>-30.222351277668576</v>
      </c>
      <c r="BG446" s="36">
        <v>1</v>
      </c>
      <c r="BH446" s="36">
        <v>-1.9E-2</v>
      </c>
      <c r="BI446" s="36">
        <v>4.5999999999999999E-2</v>
      </c>
      <c r="BJ446" s="36">
        <v>5625</v>
      </c>
      <c r="BK446" s="22">
        <v>1</v>
      </c>
      <c r="BL446" s="36">
        <f>テーブル2[[#This Row],[Ts]]-テーブル2[[#This Row],[Tin]]</f>
        <v>85.461626716322712</v>
      </c>
      <c r="BM446" s="36">
        <f>テーブル2[[#This Row],[q_P]]*0.000001</f>
        <v>-92.478953303509854</v>
      </c>
      <c r="BN446" s="36">
        <f>テーブル2[[#This Row],[Tsub]]</f>
        <v>85.461626716322712</v>
      </c>
      <c r="BO446" s="36">
        <f>テーブル2[[#This Row],[Fcorr]]</f>
        <v>1</v>
      </c>
      <c r="BP446" s="36">
        <f>(テーブル2[[#This Row],[Tsub]]-40)^2</f>
        <v>2066.7595036942671</v>
      </c>
      <c r="BQ446" s="36">
        <v>1</v>
      </c>
      <c r="BR446" s="36">
        <v>0.15240000000000001</v>
      </c>
    </row>
    <row r="447" spans="1:70" x14ac:dyDescent="0.15">
      <c r="A447" s="35" t="s">
        <v>211</v>
      </c>
      <c r="B447" s="36">
        <v>15513203.909628</v>
      </c>
      <c r="C447" s="22">
        <f>TsatFromP(テーブル2[[#This Row],[P]])</f>
        <v>617.97483343501642</v>
      </c>
      <c r="D447" s="36">
        <f>RhoGFromP(テーブル2[[#This Row],[P]])</f>
        <v>102.22394330032125</v>
      </c>
      <c r="E447" s="36">
        <f>RhoFFromP(テーブル2[[#This Row],[P]])</f>
        <v>593.9978032143099</v>
      </c>
      <c r="F447" s="36">
        <f>HgFromP(テーブル2[[#This Row],[P]])</f>
        <v>2595333.549379834</v>
      </c>
      <c r="G447" s="36">
        <f>HfFromP(テーブル2[[#This Row],[P]])</f>
        <v>1630481.3857881736</v>
      </c>
      <c r="H447" s="36">
        <f>MuGFromP(テーブル2[[#This Row],[P]])</f>
        <v>2.3048203873609753E-5</v>
      </c>
      <c r="I447" s="36">
        <f>MuFFromP(テーブル2[[#This Row],[P]])</f>
        <v>6.8200503236294993E-5</v>
      </c>
      <c r="J447" s="36">
        <f>KfFromP(テーブル2[[#This Row],[P]])</f>
        <v>0.47171772328904032</v>
      </c>
      <c r="K447" s="36">
        <f>CpFFromP(テーブル2[[#This Row],[P]])</f>
        <v>9005.0430614711822</v>
      </c>
      <c r="L447" s="36">
        <f>SigmaFromP(テーブル2[[#This Row],[P]])</f>
        <v>4.6429387983558243E-3</v>
      </c>
      <c r="M447" s="36">
        <v>10.01</v>
      </c>
      <c r="N447" s="36">
        <v>2319.1532999999999</v>
      </c>
      <c r="O447" s="37">
        <f t="shared" si="206"/>
        <v>2.8502295699234246E-6</v>
      </c>
      <c r="P447" s="37">
        <f t="shared" si="207"/>
        <v>5.9847340050885557E-3</v>
      </c>
      <c r="Q447" s="37">
        <v>1.905E-3</v>
      </c>
      <c r="R447" s="36">
        <v>0.15240000000000001</v>
      </c>
      <c r="S447" s="38">
        <v>4447971.8999999994</v>
      </c>
      <c r="T447" s="36">
        <v>500.89394004300573</v>
      </c>
      <c r="U447" s="12">
        <f>+T447+BG447*S447*テーブル2[[#This Row],[Pw]]*R447/(N447*O447*K447)</f>
        <v>569.04878938768991</v>
      </c>
      <c r="V447" s="36">
        <v>0.03</v>
      </c>
      <c r="W447" s="37">
        <f t="shared" si="178"/>
        <v>64779.390574186145</v>
      </c>
      <c r="X447" s="36">
        <v>0.01</v>
      </c>
      <c r="Y447" s="36">
        <f t="shared" si="179"/>
        <v>10</v>
      </c>
      <c r="Z447" s="36">
        <f t="shared" si="180"/>
        <v>4.5028934830428069</v>
      </c>
      <c r="AA447" s="36">
        <f t="shared" si="181"/>
        <v>5.4971065169571931</v>
      </c>
      <c r="AB447" s="36">
        <f t="shared" si="182"/>
        <v>4.922549777312156E-5</v>
      </c>
      <c r="AC447" s="36">
        <v>600</v>
      </c>
      <c r="AD447" s="36">
        <f t="shared" si="183"/>
        <v>1145.1486589034735</v>
      </c>
      <c r="AE447" s="36">
        <f>+gettm2(AD447,AC447,AK447,AL447,テーブル2[[#This Row],[Fcorr]])</f>
        <v>552.66367568551834</v>
      </c>
      <c r="AF447" s="39">
        <f t="shared" si="184"/>
        <v>-16.385113702171566</v>
      </c>
      <c r="AG447" s="36">
        <v>1.0000000000000001E-5</v>
      </c>
      <c r="AH447" s="36">
        <f t="shared" si="185"/>
        <v>11.318375252812967</v>
      </c>
      <c r="AI447" s="36">
        <f t="shared" si="186"/>
        <v>0.13803830722665988</v>
      </c>
      <c r="AJ447" s="36">
        <f t="shared" si="187"/>
        <v>12.022558098724133</v>
      </c>
      <c r="AK447" s="36">
        <f>+S88*テーブル2[[#This Row],[F_form]]/(E88*CpFromTP((テーブル2[[#This Row],[Tin]]+テーブル2[[#This Row],[Tf]])/2,テーブル2[[#This Row],[P]])*AI88)</f>
        <v>2.0467255555070896</v>
      </c>
      <c r="AL447" s="36">
        <f t="shared" si="188"/>
        <v>1.3019406270654956</v>
      </c>
      <c r="AM447" s="36">
        <f t="shared" si="189"/>
        <v>576.03571691192053</v>
      </c>
      <c r="AN447" s="36">
        <f t="shared" si="190"/>
        <v>41.93911652309589</v>
      </c>
      <c r="AO447" s="36">
        <f t="shared" si="191"/>
        <v>-3.9225497773121561E-5</v>
      </c>
      <c r="AP447" s="36">
        <v>1</v>
      </c>
      <c r="AQ447" s="36">
        <f t="shared" si="192"/>
        <v>3.3448984939390747E-4</v>
      </c>
      <c r="AR447" s="36">
        <f t="shared" si="193"/>
        <v>-1.4612748886560781E-5</v>
      </c>
      <c r="AS447" s="36">
        <f t="shared" si="194"/>
        <v>-17.568262247074337</v>
      </c>
      <c r="AT447" s="36">
        <f t="shared" si="195"/>
        <v>-17.568262247074337</v>
      </c>
      <c r="AU447" s="36">
        <f t="shared" si="196"/>
        <v>-2.4250931815001775</v>
      </c>
      <c r="AV447" s="36">
        <f t="shared" si="197"/>
        <v>3.4250931815001775</v>
      </c>
      <c r="AW447" s="36">
        <f t="shared" si="198"/>
        <v>3.3434754284754502E-2</v>
      </c>
      <c r="AX447" s="36">
        <f t="shared" si="199"/>
        <v>0.40291249882280855</v>
      </c>
      <c r="AY447" s="36">
        <f t="shared" si="200"/>
        <v>3.0221806826773689</v>
      </c>
      <c r="AZ447" s="36">
        <f t="shared" si="201"/>
        <v>964852.16359166033</v>
      </c>
      <c r="BA447" s="36">
        <f t="shared" si="202"/>
        <v>3.3448984939390747E-4</v>
      </c>
      <c r="BB447" s="38">
        <f t="shared" si="203"/>
        <v>-67209572.719949782</v>
      </c>
      <c r="BC447" s="40">
        <f t="shared" si="204"/>
        <v>-71657544.619949788</v>
      </c>
      <c r="BD447" s="41">
        <f t="shared" si="205"/>
        <v>-1611.016126696974</v>
      </c>
      <c r="BE447" s="38">
        <v>4447971.8999999994</v>
      </c>
      <c r="BF447" s="42">
        <f>テーブル2[[#This Row],[q_P]]/テーブル2[[#This Row],[q_M]]</f>
        <v>-15.110161266969737</v>
      </c>
      <c r="BG447" s="36">
        <v>1</v>
      </c>
      <c r="BH447" s="36">
        <v>-3.5000000000000003E-2</v>
      </c>
      <c r="BI447" s="36">
        <v>4.5999999999999999E-2</v>
      </c>
      <c r="BJ447" s="36">
        <v>5625</v>
      </c>
      <c r="BK447" s="22">
        <v>1</v>
      </c>
      <c r="BL447" s="36">
        <f>テーブル2[[#This Row],[Ts]]-テーブル2[[#This Row],[Tin]]</f>
        <v>117.08089339201069</v>
      </c>
      <c r="BM447" s="36">
        <f>テーブル2[[#This Row],[q_P]]*0.000001</f>
        <v>-67.209572719949776</v>
      </c>
      <c r="BN447" s="36">
        <f>テーブル2[[#This Row],[Tsub]]</f>
        <v>117.08089339201069</v>
      </c>
      <c r="BO447" s="36">
        <f>テーブル2[[#This Row],[Fcorr]]</f>
        <v>1</v>
      </c>
      <c r="BP447" s="36">
        <f>(テーブル2[[#This Row],[Tsub]]-40)^2</f>
        <v>5941.464126110518</v>
      </c>
      <c r="BQ447" s="36">
        <v>1</v>
      </c>
      <c r="BR447" s="36">
        <v>0.15240000000000001</v>
      </c>
    </row>
    <row r="448" spans="1:70" x14ac:dyDescent="0.15">
      <c r="A448" s="35" t="s">
        <v>212</v>
      </c>
      <c r="B448" s="36">
        <v>15513203.909628</v>
      </c>
      <c r="C448" s="22">
        <f>TsatFromP(テーブル2[[#This Row],[P]])</f>
        <v>617.97483343501642</v>
      </c>
      <c r="D448" s="36">
        <f>RhoGFromP(テーブル2[[#This Row],[P]])</f>
        <v>102.22394330032125</v>
      </c>
      <c r="E448" s="36">
        <f>RhoFFromP(テーブル2[[#This Row],[P]])</f>
        <v>593.9978032143099</v>
      </c>
      <c r="F448" s="36">
        <f>HgFromP(テーブル2[[#This Row],[P]])</f>
        <v>2595333.549379834</v>
      </c>
      <c r="G448" s="36">
        <f>HfFromP(テーブル2[[#This Row],[P]])</f>
        <v>1630481.3857881736</v>
      </c>
      <c r="H448" s="36">
        <f>MuGFromP(テーブル2[[#This Row],[P]])</f>
        <v>2.3048203873609753E-5</v>
      </c>
      <c r="I448" s="36">
        <f>MuFFromP(テーブル2[[#This Row],[P]])</f>
        <v>6.8200503236294993E-5</v>
      </c>
      <c r="J448" s="36">
        <f>KfFromP(テーブル2[[#This Row],[P]])</f>
        <v>0.47171772328904032</v>
      </c>
      <c r="K448" s="36">
        <f>CpFFromP(テーブル2[[#This Row],[P]])</f>
        <v>9005.0430614711822</v>
      </c>
      <c r="L448" s="36">
        <f>SigmaFromP(テーブル2[[#This Row],[P]])</f>
        <v>4.6429387983558243E-3</v>
      </c>
      <c r="M448" s="36">
        <v>11.01</v>
      </c>
      <c r="N448" s="36">
        <v>2875.2076000000002</v>
      </c>
      <c r="O448" s="37">
        <f t="shared" si="206"/>
        <v>2.8502295699234246E-6</v>
      </c>
      <c r="P448" s="37">
        <f t="shared" si="207"/>
        <v>5.9847340050885557E-3</v>
      </c>
      <c r="Q448" s="37">
        <v>1.905E-3</v>
      </c>
      <c r="R448" s="36">
        <v>0.15240000000000001</v>
      </c>
      <c r="S448" s="38">
        <v>5394348.8999999994</v>
      </c>
      <c r="T448" s="36">
        <v>511.31829053054571</v>
      </c>
      <c r="U448" s="12">
        <f>+T448+BG448*S448*テーブル2[[#This Row],[Pw]]*R448/(N448*O448*K448)</f>
        <v>577.98883615104319</v>
      </c>
      <c r="V448" s="36">
        <v>0.03</v>
      </c>
      <c r="W448" s="37">
        <f t="shared" si="178"/>
        <v>80311.291238172314</v>
      </c>
      <c r="X448" s="36">
        <v>0.01</v>
      </c>
      <c r="Y448" s="36">
        <f t="shared" si="179"/>
        <v>10</v>
      </c>
      <c r="Z448" s="36">
        <f t="shared" si="180"/>
        <v>4.861935898578972</v>
      </c>
      <c r="AA448" s="36">
        <f t="shared" si="181"/>
        <v>5.138064101421028</v>
      </c>
      <c r="AB448" s="36">
        <f t="shared" si="182"/>
        <v>3.2026583757205574E-5</v>
      </c>
      <c r="AC448" s="36">
        <v>600</v>
      </c>
      <c r="AD448" s="36">
        <f t="shared" si="183"/>
        <v>1419.7164660089852</v>
      </c>
      <c r="AE448" s="36">
        <f>+gettm2(AD448,AC448,AK448,AL448,テーブル2[[#This Row],[Fcorr]])</f>
        <v>552.64947611378966</v>
      </c>
      <c r="AF448" s="39">
        <f t="shared" si="184"/>
        <v>-25.339360037253527</v>
      </c>
      <c r="AG448" s="36">
        <v>1.0000000000000001E-5</v>
      </c>
      <c r="AH448" s="36">
        <f t="shared" si="185"/>
        <v>17.39656842660737</v>
      </c>
      <c r="AI448" s="36">
        <f t="shared" si="186"/>
        <v>0.17113521129854914</v>
      </c>
      <c r="AJ448" s="36">
        <f t="shared" si="187"/>
        <v>14.905159748125829</v>
      </c>
      <c r="AK448" s="36">
        <f>+S88*テーブル2[[#This Row],[F_form]]/(E88*CpFromTP((テーブル2[[#This Row],[Tin]]+テーブル2[[#This Row],[Tf]])/2,テーブル2[[#This Row],[P]])*AI88)</f>
        <v>1.999742937015752</v>
      </c>
      <c r="AL448" s="36">
        <f t="shared" si="188"/>
        <v>1.3019406270654956</v>
      </c>
      <c r="AM448" s="36">
        <f t="shared" si="189"/>
        <v>574.23255214045571</v>
      </c>
      <c r="AN448" s="36">
        <f t="shared" si="190"/>
        <v>43.742281294560712</v>
      </c>
      <c r="AO448" s="36">
        <f t="shared" si="191"/>
        <v>-2.2026583757205574E-5</v>
      </c>
      <c r="AP448" s="36">
        <v>1</v>
      </c>
      <c r="AQ448" s="36">
        <f t="shared" si="192"/>
        <v>3.3448984939390747E-4</v>
      </c>
      <c r="AR448" s="36">
        <f t="shared" si="193"/>
        <v>-6.0132918786027877E-6</v>
      </c>
      <c r="AS448" s="36">
        <f t="shared" si="194"/>
        <v>-8.9629076062682209</v>
      </c>
      <c r="AT448" s="36">
        <f t="shared" si="195"/>
        <v>-8.9629076062682209</v>
      </c>
      <c r="AU448" s="36">
        <f t="shared" si="196"/>
        <v>-1.5338690870480853</v>
      </c>
      <c r="AV448" s="36">
        <f t="shared" si="197"/>
        <v>2.5338690870480853</v>
      </c>
      <c r="AW448" s="36">
        <f t="shared" si="198"/>
        <v>2.1752973701506459E-2</v>
      </c>
      <c r="AX448" s="36">
        <f t="shared" si="199"/>
        <v>0.49951725000254626</v>
      </c>
      <c r="AY448" s="36">
        <f t="shared" si="200"/>
        <v>2.0343518370455391</v>
      </c>
      <c r="AZ448" s="36">
        <f t="shared" si="201"/>
        <v>964852.16359166033</v>
      </c>
      <c r="BA448" s="36">
        <f t="shared" si="202"/>
        <v>3.3448984939390747E-4</v>
      </c>
      <c r="BB448" s="38">
        <f t="shared" si="203"/>
        <v>-37740688.247336499</v>
      </c>
      <c r="BC448" s="40">
        <f t="shared" si="204"/>
        <v>-43135037.147336498</v>
      </c>
      <c r="BD448" s="41">
        <f t="shared" si="205"/>
        <v>-799.63380098266362</v>
      </c>
      <c r="BE448" s="38">
        <v>5394348.8999999994</v>
      </c>
      <c r="BF448" s="42">
        <f>テーブル2[[#This Row],[q_P]]/テーブル2[[#This Row],[q_M]]</f>
        <v>-6.9963380098266361</v>
      </c>
      <c r="BG448" s="36">
        <v>1</v>
      </c>
      <c r="BH448" s="36">
        <v>1E-3</v>
      </c>
      <c r="BI448" s="36">
        <v>4.5999999999999999E-2</v>
      </c>
      <c r="BJ448" s="36">
        <v>5625</v>
      </c>
      <c r="BK448" s="22">
        <v>1</v>
      </c>
      <c r="BL448" s="36">
        <f>テーブル2[[#This Row],[Ts]]-テーブル2[[#This Row],[Tin]]</f>
        <v>106.65654290447071</v>
      </c>
      <c r="BM448" s="36">
        <f>テーブル2[[#This Row],[q_P]]*0.000001</f>
        <v>-37.7406882473365</v>
      </c>
      <c r="BN448" s="36">
        <f>テーブル2[[#This Row],[Tsub]]</f>
        <v>106.65654290447071</v>
      </c>
      <c r="BO448" s="36">
        <f>テーブル2[[#This Row],[Fcorr]]</f>
        <v>1</v>
      </c>
      <c r="BP448" s="36">
        <f>(テーブル2[[#This Row],[Tsub]]-40)^2</f>
        <v>4443.0947119755447</v>
      </c>
      <c r="BQ448" s="36">
        <v>1</v>
      </c>
      <c r="BR448" s="36">
        <v>0.15240000000000001</v>
      </c>
    </row>
    <row r="449" spans="1:70" x14ac:dyDescent="0.15">
      <c r="A449" s="35" t="s">
        <v>213</v>
      </c>
      <c r="B449" s="36">
        <v>15513203.909628</v>
      </c>
      <c r="C449" s="22">
        <f>TsatFromP(テーブル2[[#This Row],[P]])</f>
        <v>617.97483343501642</v>
      </c>
      <c r="D449" s="36">
        <f>RhoGFromP(テーブル2[[#This Row],[P]])</f>
        <v>102.22394330032125</v>
      </c>
      <c r="E449" s="36">
        <f>RhoFFromP(テーブル2[[#This Row],[P]])</f>
        <v>593.9978032143099</v>
      </c>
      <c r="F449" s="36">
        <f>HgFromP(テーブル2[[#This Row],[P]])</f>
        <v>2595333.549379834</v>
      </c>
      <c r="G449" s="36">
        <f>HfFromP(テーブル2[[#This Row],[P]])</f>
        <v>1630481.3857881736</v>
      </c>
      <c r="H449" s="36">
        <f>MuGFromP(テーブル2[[#This Row],[P]])</f>
        <v>2.3048203873609753E-5</v>
      </c>
      <c r="I449" s="36">
        <f>MuFFromP(テーブル2[[#This Row],[P]])</f>
        <v>6.8200503236294993E-5</v>
      </c>
      <c r="J449" s="36">
        <f>KfFromP(テーブル2[[#This Row],[P]])</f>
        <v>0.47171772328904032</v>
      </c>
      <c r="K449" s="36">
        <f>CpFFromP(テーブル2[[#This Row],[P]])</f>
        <v>9005.0430614711822</v>
      </c>
      <c r="L449" s="36">
        <f>SigmaFromP(テーブル2[[#This Row],[P]])</f>
        <v>4.6429387983558243E-3</v>
      </c>
      <c r="M449" s="36">
        <v>12.01</v>
      </c>
      <c r="N449" s="36">
        <v>2929.4567999999999</v>
      </c>
      <c r="O449" s="37">
        <f t="shared" si="206"/>
        <v>2.8502295699234246E-6</v>
      </c>
      <c r="P449" s="37">
        <f t="shared" si="207"/>
        <v>5.9847340050885557E-3</v>
      </c>
      <c r="Q449" s="37">
        <v>1.905E-3</v>
      </c>
      <c r="R449" s="36">
        <v>0.15240000000000001</v>
      </c>
      <c r="S449" s="38">
        <v>4164058.8</v>
      </c>
      <c r="T449" s="36">
        <v>540.88707296318205</v>
      </c>
      <c r="U449" s="12">
        <f>+T449+BG449*S449*テーブル2[[#This Row],[Pw]]*R449/(N449*O449*K449)</f>
        <v>591.39900031438412</v>
      </c>
      <c r="V449" s="36">
        <v>0.03</v>
      </c>
      <c r="W449" s="37">
        <f t="shared" si="178"/>
        <v>81826.598620024612</v>
      </c>
      <c r="X449" s="36">
        <v>0.01</v>
      </c>
      <c r="Y449" s="36">
        <f t="shared" si="179"/>
        <v>10</v>
      </c>
      <c r="Z449" s="36">
        <f t="shared" si="180"/>
        <v>4.8930232707792127</v>
      </c>
      <c r="AA449" s="36">
        <f t="shared" si="181"/>
        <v>5.1069767292207873</v>
      </c>
      <c r="AB449" s="36">
        <f t="shared" si="182"/>
        <v>3.0851397041834862E-5</v>
      </c>
      <c r="AC449" s="36">
        <v>600</v>
      </c>
      <c r="AD449" s="36">
        <f t="shared" si="183"/>
        <v>1446.5035691412302</v>
      </c>
      <c r="AE449" s="36">
        <f>+gettm2(AD449,AC449,AK449,AL449,テーブル2[[#This Row],[Fcorr]])</f>
        <v>555.67538011795796</v>
      </c>
      <c r="AF449" s="39">
        <f t="shared" si="184"/>
        <v>-35.723620196426168</v>
      </c>
      <c r="AG449" s="36">
        <v>1.0000000000000001E-5</v>
      </c>
      <c r="AH449" s="36">
        <f t="shared" si="185"/>
        <v>18.059235860443962</v>
      </c>
      <c r="AI449" s="36">
        <f t="shared" si="186"/>
        <v>0.17436417754946515</v>
      </c>
      <c r="AJ449" s="36">
        <f t="shared" si="187"/>
        <v>15.18638917733575</v>
      </c>
      <c r="AK449" s="36">
        <f>+S88*テーブル2[[#This Row],[F_form]]/(E88*CpFromTP((テーブル2[[#This Row],[Tin]]+テーブル2[[#This Row],[Tf]])/2,テーブル2[[#This Row],[P]])*AI88)</f>
        <v>1.8681834931252572</v>
      </c>
      <c r="AL449" s="36">
        <f t="shared" si="188"/>
        <v>1.3019406270654956</v>
      </c>
      <c r="AM449" s="36">
        <f t="shared" si="189"/>
        <v>575.73856268362408</v>
      </c>
      <c r="AN449" s="36">
        <f t="shared" si="190"/>
        <v>42.23627075139234</v>
      </c>
      <c r="AO449" s="36">
        <f t="shared" si="191"/>
        <v>-2.0851397041834862E-5</v>
      </c>
      <c r="AP449" s="36">
        <v>1</v>
      </c>
      <c r="AQ449" s="36">
        <f t="shared" si="192"/>
        <v>3.3448984939390747E-4</v>
      </c>
      <c r="AR449" s="36">
        <f t="shared" si="193"/>
        <v>-5.4256985209174317E-6</v>
      </c>
      <c r="AS449" s="36">
        <f t="shared" si="194"/>
        <v>-8.2396769297547063</v>
      </c>
      <c r="AT449" s="36">
        <f t="shared" si="195"/>
        <v>-8.2396769297547063</v>
      </c>
      <c r="AU449" s="36">
        <f t="shared" si="196"/>
        <v>-1.4367044911299816</v>
      </c>
      <c r="AV449" s="36">
        <f t="shared" si="197"/>
        <v>2.4367044911299818</v>
      </c>
      <c r="AW449" s="36">
        <f t="shared" si="198"/>
        <v>2.0954767876382591E-2</v>
      </c>
      <c r="AX449" s="36">
        <f t="shared" si="199"/>
        <v>0.50894210377617932</v>
      </c>
      <c r="AY449" s="36">
        <f t="shared" si="200"/>
        <v>1.9277623873538023</v>
      </c>
      <c r="AZ449" s="36">
        <f t="shared" si="201"/>
        <v>964852.16359166033</v>
      </c>
      <c r="BA449" s="36">
        <f t="shared" si="202"/>
        <v>3.3448984939390747E-4</v>
      </c>
      <c r="BB449" s="38">
        <f t="shared" si="203"/>
        <v>-35727105.208491065</v>
      </c>
      <c r="BC449" s="40">
        <f t="shared" si="204"/>
        <v>-39891164.008491062</v>
      </c>
      <c r="BD449" s="41">
        <f t="shared" si="205"/>
        <v>-957.98752910240046</v>
      </c>
      <c r="BE449" s="38">
        <v>4164058.8</v>
      </c>
      <c r="BF449" s="42">
        <f>テーブル2[[#This Row],[q_P]]/テーブル2[[#This Row],[q_M]]</f>
        <v>-8.5798752910240044</v>
      </c>
      <c r="BG449" s="36">
        <v>1</v>
      </c>
      <c r="BH449" s="36">
        <v>-4.0000000000000001E-3</v>
      </c>
      <c r="BI449" s="36">
        <v>4.5999999999999999E-2</v>
      </c>
      <c r="BJ449" s="36">
        <v>5625</v>
      </c>
      <c r="BK449" s="22">
        <v>1</v>
      </c>
      <c r="BL449" s="36">
        <f>テーブル2[[#This Row],[Ts]]-テーブル2[[#This Row],[Tin]]</f>
        <v>77.087760471834372</v>
      </c>
      <c r="BM449" s="36">
        <f>テーブル2[[#This Row],[q_P]]*0.000001</f>
        <v>-35.727105208491061</v>
      </c>
      <c r="BN449" s="36">
        <f>テーブル2[[#This Row],[Tsub]]</f>
        <v>77.087760471834372</v>
      </c>
      <c r="BO449" s="36">
        <f>テーブル2[[#This Row],[Fcorr]]</f>
        <v>1</v>
      </c>
      <c r="BP449" s="36">
        <f>(テーブル2[[#This Row],[Tsub]]-40)^2</f>
        <v>1375.5019768161601</v>
      </c>
      <c r="BQ449" s="36">
        <v>1</v>
      </c>
      <c r="BR449" s="36">
        <v>0.15240000000000001</v>
      </c>
    </row>
    <row r="450" spans="1:70" x14ac:dyDescent="0.15">
      <c r="A450" s="35" t="s">
        <v>214</v>
      </c>
      <c r="B450" s="36">
        <v>15513203.909628</v>
      </c>
      <c r="C450" s="22">
        <f>TsatFromP(テーブル2[[#This Row],[P]])</f>
        <v>617.97483343501642</v>
      </c>
      <c r="D450" s="36">
        <f>RhoGFromP(テーブル2[[#This Row],[P]])</f>
        <v>102.22394330032125</v>
      </c>
      <c r="E450" s="36">
        <f>RhoFFromP(テーブル2[[#This Row],[P]])</f>
        <v>593.9978032143099</v>
      </c>
      <c r="F450" s="36">
        <f>HgFromP(テーブル2[[#This Row],[P]])</f>
        <v>2595333.549379834</v>
      </c>
      <c r="G450" s="36">
        <f>HfFromP(テーブル2[[#This Row],[P]])</f>
        <v>1630481.3857881736</v>
      </c>
      <c r="H450" s="36">
        <f>MuGFromP(テーブル2[[#This Row],[P]])</f>
        <v>2.3048203873609753E-5</v>
      </c>
      <c r="I450" s="36">
        <f>MuFFromP(テーブル2[[#This Row],[P]])</f>
        <v>6.8200503236294993E-5</v>
      </c>
      <c r="J450" s="36">
        <f>KfFromP(テーブル2[[#This Row],[P]])</f>
        <v>0.47171772328904032</v>
      </c>
      <c r="K450" s="36">
        <f>CpFFromP(テーブル2[[#This Row],[P]])</f>
        <v>9005.0430614711822</v>
      </c>
      <c r="L450" s="36">
        <f>SigmaFromP(テーブル2[[#This Row],[P]])</f>
        <v>4.6429387983558243E-3</v>
      </c>
      <c r="M450" s="36">
        <v>13.01</v>
      </c>
      <c r="N450" s="36">
        <v>2956.5814</v>
      </c>
      <c r="O450" s="37">
        <f t="shared" si="206"/>
        <v>2.8502295699234246E-6</v>
      </c>
      <c r="P450" s="37">
        <f t="shared" si="207"/>
        <v>5.9847340050885557E-3</v>
      </c>
      <c r="Q450" s="37">
        <v>1.905E-3</v>
      </c>
      <c r="R450" s="36">
        <v>0.15240000000000001</v>
      </c>
      <c r="S450" s="38">
        <v>4164058.8</v>
      </c>
      <c r="T450" s="36">
        <v>544.80126491492399</v>
      </c>
      <c r="U450" s="12">
        <f>+T450+BG450*S450*テーブル2[[#This Row],[Pw]]*R450/(N450*O450*K450)</f>
        <v>594.84978008859207</v>
      </c>
      <c r="V450" s="36">
        <v>0.03</v>
      </c>
      <c r="W450" s="37">
        <f t="shared" ref="W450:W505" si="208">+N450*Q450/I450</f>
        <v>82584.25231095076</v>
      </c>
      <c r="X450" s="36">
        <v>0.01</v>
      </c>
      <c r="Y450" s="36">
        <f t="shared" ref="Y450:Y513" si="209">IF(X450&gt;0,1/X450^0.5,1)</f>
        <v>10</v>
      </c>
      <c r="Z450" s="36">
        <f t="shared" ref="Z450:Z505" si="210">IF(X450&gt;0,1.14-2*LOG((0.72*L450*E450)/(X450*Q450*N450^2)+9.35/(W450*X450^0.5)),0)</f>
        <v>4.9083429725661549</v>
      </c>
      <c r="AA450" s="36">
        <f t="shared" ref="AA450:AA513" si="211">+Y450-Z450</f>
        <v>5.0916570274338451</v>
      </c>
      <c r="AB450" s="36">
        <f t="shared" ref="AB450:AB505" si="212">32/X450*L450*V450*E450/N450^2</f>
        <v>3.0287913062533614E-5</v>
      </c>
      <c r="AC450" s="36">
        <v>600</v>
      </c>
      <c r="AD450" s="36">
        <f t="shared" ref="AD450:AD505" si="213">+Q450/2*AI450/I450*E450</f>
        <v>1459.8971207073523</v>
      </c>
      <c r="AE450" s="36">
        <f>+gettm2(AD450,AC450,AK450,AL450,テーブル2[[#This Row],[Fcorr]])</f>
        <v>556.28723151862357</v>
      </c>
      <c r="AF450" s="39">
        <f t="shared" ref="AF450:AF513" si="214">+AE450-U450</f>
        <v>-38.562548569968499</v>
      </c>
      <c r="AG450" s="36">
        <v>1.0000000000000001E-5</v>
      </c>
      <c r="AH450" s="36">
        <f t="shared" ref="AH450:AH505" si="215">+X450*N450^2/(8*E450)</f>
        <v>18.3952144425527</v>
      </c>
      <c r="AI450" s="36">
        <f t="shared" ref="AI450:AI513" si="216">+(AH450/E450)^0.5</f>
        <v>0.17597866067492315</v>
      </c>
      <c r="AJ450" s="36">
        <f t="shared" ref="AJ450:AJ513" si="217">+AG450*AI450/I450*E450</f>
        <v>15.327003891940709</v>
      </c>
      <c r="AK450" s="36">
        <f>+S88*テーブル2[[#This Row],[F_form]]/(E88*CpFromTP((テーブル2[[#This Row],[Tin]]+テーブル2[[#This Row],[Tf]])/2,テーブル2[[#This Row],[P]])*AI88)</f>
        <v>1.8405694913662658</v>
      </c>
      <c r="AL450" s="36">
        <f t="shared" ref="AL450:AL505" si="218">+K450*I450/J450</f>
        <v>1.3019406270654956</v>
      </c>
      <c r="AM450" s="36">
        <f t="shared" ref="AM450:AM513" si="219">+gettyp(AC450,AJ450,AK450,AL450)</f>
        <v>576.00537941118046</v>
      </c>
      <c r="AN450" s="36">
        <f t="shared" ref="AN450:AN513" si="220">+C450-AM450</f>
        <v>41.969454023835965</v>
      </c>
      <c r="AO450" s="36">
        <f t="shared" ref="AO450:AO505" si="221">+AG450-AB450</f>
        <v>-2.0287913062533612E-5</v>
      </c>
      <c r="AP450" s="36">
        <v>1</v>
      </c>
      <c r="AQ450" s="36">
        <f t="shared" ref="AQ450:AQ513" si="222">2*PI()*L450*(D450+E450)/(D450*E450*AP450^2)</f>
        <v>3.3448984939390747E-4</v>
      </c>
      <c r="AR450" s="36">
        <f t="shared" ref="AR450:AR505" si="223">+AO450+AB450/2</f>
        <v>-5.1439565312668046E-6</v>
      </c>
      <c r="AS450" s="36">
        <f t="shared" ref="AS450:AS513" si="224">+AR450*AI450/I450*E450</f>
        <v>-7.8841441774700129</v>
      </c>
      <c r="AT450" s="36">
        <f t="shared" ref="AT450:AT513" si="225">+getublp(AS450)</f>
        <v>-7.8841441774700129</v>
      </c>
      <c r="AU450" s="36">
        <f t="shared" ref="AU450:AU513" si="226">+AT450*AI450</f>
        <v>-1.3874411329191665</v>
      </c>
      <c r="AV450" s="36">
        <f t="shared" ref="AV450:AV513" si="227">+AP450-AU450</f>
        <v>2.3874411329191663</v>
      </c>
      <c r="AW450" s="36">
        <f t="shared" ref="AW450:AW505" si="228">2/3*AB450/(L450/(9.8*(E450-D450)))^0.5</f>
        <v>2.0572040443576012E-2</v>
      </c>
      <c r="AX450" s="36">
        <f t="shared" ref="AX450:AX513" si="229">+(2*AQ450*9.8*(E450-D450)/(E450*AW450))^0.5</f>
        <v>0.51365453066299571</v>
      </c>
      <c r="AY450" s="36">
        <f t="shared" ref="AY450:AY513" si="230">+AV450-AX450</f>
        <v>1.8737866022561707</v>
      </c>
      <c r="AZ450" s="36">
        <f t="shared" ref="AZ450:AZ505" si="231">+F450-G450</f>
        <v>964852.16359166033</v>
      </c>
      <c r="BA450" s="36">
        <f t="shared" ref="BA450:BA505" si="232">+AQ450/AP450</f>
        <v>3.3448984939390747E-4</v>
      </c>
      <c r="BB450" s="38">
        <f t="shared" ref="BB450:BB513" si="233">+E450*AO450*AZ450/BA450</f>
        <v>-34761623.069744959</v>
      </c>
      <c r="BC450" s="40">
        <f t="shared" ref="BC450:BC513" si="234">BB450-S450</f>
        <v>-38925681.869744956</v>
      </c>
      <c r="BD450" s="41">
        <f t="shared" ref="BD450:BD505" si="235">+(BB450-S450)/S450*100</f>
        <v>-934.80144588123858</v>
      </c>
      <c r="BE450" s="38">
        <v>4164058.8</v>
      </c>
      <c r="BF450" s="42">
        <f>テーブル2[[#This Row],[q_P]]/テーブル2[[#This Row],[q_M]]</f>
        <v>-8.3480144588123881</v>
      </c>
      <c r="BG450" s="36">
        <v>1</v>
      </c>
      <c r="BH450" s="36">
        <v>1.0999999999999999E-2</v>
      </c>
      <c r="BI450" s="36">
        <v>4.5999999999999999E-2</v>
      </c>
      <c r="BJ450" s="36">
        <v>5625</v>
      </c>
      <c r="BK450" s="22">
        <v>1</v>
      </c>
      <c r="BL450" s="36">
        <f>テーブル2[[#This Row],[Ts]]-テーブル2[[#This Row],[Tin]]</f>
        <v>73.173568520092431</v>
      </c>
      <c r="BM450" s="36">
        <f>テーブル2[[#This Row],[q_P]]*0.000001</f>
        <v>-34.761623069744957</v>
      </c>
      <c r="BN450" s="36">
        <f>テーブル2[[#This Row],[Tsub]]</f>
        <v>73.173568520092431</v>
      </c>
      <c r="BO450" s="36">
        <f>テーブル2[[#This Row],[Fcorr]]</f>
        <v>1</v>
      </c>
      <c r="BP450" s="36">
        <f>(テーブル2[[#This Row],[Tsub]]-40)^2</f>
        <v>1100.4856483572676</v>
      </c>
      <c r="BQ450" s="36">
        <v>1</v>
      </c>
      <c r="BR450" s="36">
        <v>0.15240000000000001</v>
      </c>
    </row>
    <row r="451" spans="1:70" x14ac:dyDescent="0.15">
      <c r="A451" s="35" t="s">
        <v>215</v>
      </c>
      <c r="B451" s="36">
        <v>15513203.909628</v>
      </c>
      <c r="C451" s="22">
        <f>TsatFromP(テーブル2[[#This Row],[P]])</f>
        <v>617.97483343501642</v>
      </c>
      <c r="D451" s="36">
        <f>RhoGFromP(テーブル2[[#This Row],[P]])</f>
        <v>102.22394330032125</v>
      </c>
      <c r="E451" s="36">
        <f>RhoFFromP(テーブル2[[#This Row],[P]])</f>
        <v>593.9978032143099</v>
      </c>
      <c r="F451" s="36">
        <f>HgFromP(テーブル2[[#This Row],[P]])</f>
        <v>2595333.549379834</v>
      </c>
      <c r="G451" s="36">
        <f>HfFromP(テーブル2[[#This Row],[P]])</f>
        <v>1630481.3857881736</v>
      </c>
      <c r="H451" s="36">
        <f>MuGFromP(テーブル2[[#This Row],[P]])</f>
        <v>2.3048203873609753E-5</v>
      </c>
      <c r="I451" s="36">
        <f>MuFFromP(テーブル2[[#This Row],[P]])</f>
        <v>6.8200503236294993E-5</v>
      </c>
      <c r="J451" s="36">
        <f>KfFromP(テーブル2[[#This Row],[P]])</f>
        <v>0.47171772328904032</v>
      </c>
      <c r="K451" s="36">
        <f>CpFFromP(テーブル2[[#This Row],[P]])</f>
        <v>9005.0430614711822</v>
      </c>
      <c r="L451" s="36">
        <f>SigmaFromP(テーブル2[[#This Row],[P]])</f>
        <v>4.6429387983558243E-3</v>
      </c>
      <c r="M451" s="36">
        <v>14.01</v>
      </c>
      <c r="N451" s="36">
        <v>2983.7060000000001</v>
      </c>
      <c r="O451" s="37">
        <f t="shared" si="206"/>
        <v>2.8502295699234246E-6</v>
      </c>
      <c r="P451" s="37">
        <f t="shared" si="207"/>
        <v>5.9847340050885557E-3</v>
      </c>
      <c r="Q451" s="37">
        <v>1.905E-3</v>
      </c>
      <c r="R451" s="36">
        <v>0.15240000000000001</v>
      </c>
      <c r="S451" s="38">
        <v>5520532.5</v>
      </c>
      <c r="T451" s="36">
        <v>506.78358716530289</v>
      </c>
      <c r="U451" s="12">
        <f>+T451+BG451*S451*テーブル2[[#This Row],[Pw]]*R451/(N451*O451*K451)</f>
        <v>572.53258351087584</v>
      </c>
      <c r="V451" s="36">
        <v>0.03</v>
      </c>
      <c r="W451" s="37">
        <f t="shared" si="208"/>
        <v>83341.906001876923</v>
      </c>
      <c r="X451" s="36">
        <v>0.01</v>
      </c>
      <c r="Y451" s="36">
        <f t="shared" si="209"/>
        <v>10</v>
      </c>
      <c r="Z451" s="36">
        <f t="shared" si="210"/>
        <v>4.9235170031182021</v>
      </c>
      <c r="AA451" s="36">
        <f t="shared" si="211"/>
        <v>5.0764829968817979</v>
      </c>
      <c r="AB451" s="36">
        <f t="shared" si="212"/>
        <v>2.9739726867434858E-5</v>
      </c>
      <c r="AC451" s="36">
        <v>600</v>
      </c>
      <c r="AD451" s="36">
        <f t="shared" si="213"/>
        <v>1473.2906722734749</v>
      </c>
      <c r="AE451" s="36">
        <f>+gettm2(AD451,AC451,AK451,AL451,テーブル2[[#This Row],[Fcorr]])</f>
        <v>551.86581816311843</v>
      </c>
      <c r="AF451" s="39">
        <f t="shared" si="214"/>
        <v>-20.666765347757405</v>
      </c>
      <c r="AG451" s="36">
        <v>1.0000000000000001E-5</v>
      </c>
      <c r="AH451" s="36">
        <f t="shared" si="215"/>
        <v>18.734289601455071</v>
      </c>
      <c r="AI451" s="36">
        <f t="shared" si="216"/>
        <v>0.17759314380038119</v>
      </c>
      <c r="AJ451" s="36">
        <f t="shared" si="217"/>
        <v>15.46761860654567</v>
      </c>
      <c r="AK451" s="36">
        <f>+S88*テーブル2[[#This Row],[F_form]]/(E88*CpFromTP((テーブル2[[#This Row],[Tin]]+テーブル2[[#This Row],[Tf]])/2,テーブル2[[#This Row],[P]])*AI88)</f>
        <v>2.0247496440126662</v>
      </c>
      <c r="AL451" s="36">
        <f t="shared" si="218"/>
        <v>1.3019406270654956</v>
      </c>
      <c r="AM451" s="36">
        <f t="shared" si="219"/>
        <v>573.50432621513596</v>
      </c>
      <c r="AN451" s="36">
        <f t="shared" si="220"/>
        <v>44.47050721988046</v>
      </c>
      <c r="AO451" s="36">
        <f t="shared" si="221"/>
        <v>-1.9739726867434855E-5</v>
      </c>
      <c r="AP451" s="36">
        <v>1</v>
      </c>
      <c r="AQ451" s="36">
        <f t="shared" si="222"/>
        <v>3.3448984939390747E-4</v>
      </c>
      <c r="AR451" s="36">
        <f t="shared" si="223"/>
        <v>-4.8698634337174263E-6</v>
      </c>
      <c r="AS451" s="36">
        <f t="shared" si="224"/>
        <v>-7.5325190258704051</v>
      </c>
      <c r="AT451" s="36">
        <f t="shared" si="225"/>
        <v>-7.5325190258704051</v>
      </c>
      <c r="AU451" s="36">
        <f t="shared" si="226"/>
        <v>-1.33772373454051</v>
      </c>
      <c r="AV451" s="36">
        <f t="shared" si="227"/>
        <v>2.3377237345405097</v>
      </c>
      <c r="AW451" s="36">
        <f t="shared" si="228"/>
        <v>2.0199703513233597E-2</v>
      </c>
      <c r="AX451" s="36">
        <f t="shared" si="229"/>
        <v>0.51836695754981221</v>
      </c>
      <c r="AY451" s="36">
        <f t="shared" si="230"/>
        <v>1.8193567769906975</v>
      </c>
      <c r="AZ451" s="36">
        <f t="shared" si="231"/>
        <v>964852.16359166033</v>
      </c>
      <c r="BA451" s="36">
        <f t="shared" si="232"/>
        <v>3.3448984939390747E-4</v>
      </c>
      <c r="BB451" s="38">
        <f t="shared" si="233"/>
        <v>-33822352.39033477</v>
      </c>
      <c r="BC451" s="40">
        <f t="shared" si="234"/>
        <v>-39342884.89033477</v>
      </c>
      <c r="BD451" s="41">
        <f t="shared" si="235"/>
        <v>-712.66467302447302</v>
      </c>
      <c r="BE451" s="38">
        <v>5520532.5</v>
      </c>
      <c r="BF451" s="42">
        <f>テーブル2[[#This Row],[q_P]]/テーブル2[[#This Row],[q_M]]</f>
        <v>-6.1266467302447305</v>
      </c>
      <c r="BG451" s="36">
        <v>1</v>
      </c>
      <c r="BH451" s="36">
        <v>-0.03</v>
      </c>
      <c r="BI451" s="36">
        <v>4.5999999999999999E-2</v>
      </c>
      <c r="BJ451" s="36">
        <v>5625</v>
      </c>
      <c r="BK451" s="22">
        <v>1</v>
      </c>
      <c r="BL451" s="36">
        <f>テーブル2[[#This Row],[Ts]]-テーブル2[[#This Row],[Tin]]</f>
        <v>111.19124626971353</v>
      </c>
      <c r="BM451" s="36">
        <f>テーブル2[[#This Row],[q_P]]*0.000001</f>
        <v>-33.822352390334771</v>
      </c>
      <c r="BN451" s="36">
        <f>テーブル2[[#This Row],[Tsub]]</f>
        <v>111.19124626971353</v>
      </c>
      <c r="BO451" s="36">
        <f>テーブル2[[#This Row],[Fcorr]]</f>
        <v>1</v>
      </c>
      <c r="BP451" s="36">
        <f>(テーブル2[[#This Row],[Tsub]]-40)^2</f>
        <v>5068.1935454350005</v>
      </c>
      <c r="BQ451" s="36">
        <v>1</v>
      </c>
      <c r="BR451" s="36">
        <v>0.15240000000000001</v>
      </c>
    </row>
    <row r="452" spans="1:70" x14ac:dyDescent="0.15">
      <c r="A452" s="35" t="s">
        <v>216</v>
      </c>
      <c r="B452" s="36">
        <v>15513203.909628</v>
      </c>
      <c r="C452" s="22">
        <f>TsatFromP(テーブル2[[#This Row],[P]])</f>
        <v>617.97483343501642</v>
      </c>
      <c r="D452" s="36">
        <f>RhoGFromP(テーブル2[[#This Row],[P]])</f>
        <v>102.22394330032125</v>
      </c>
      <c r="E452" s="36">
        <f>RhoFFromP(テーブル2[[#This Row],[P]])</f>
        <v>593.9978032143099</v>
      </c>
      <c r="F452" s="36">
        <f>HgFromP(テーブル2[[#This Row],[P]])</f>
        <v>2595333.549379834</v>
      </c>
      <c r="G452" s="36">
        <f>HfFromP(テーブル2[[#This Row],[P]])</f>
        <v>1630481.3857881736</v>
      </c>
      <c r="H452" s="36">
        <f>MuGFromP(テーブル2[[#This Row],[P]])</f>
        <v>2.3048203873609753E-5</v>
      </c>
      <c r="I452" s="36">
        <f>MuFFromP(テーブル2[[#This Row],[P]])</f>
        <v>6.8200503236294993E-5</v>
      </c>
      <c r="J452" s="36">
        <f>KfFromP(テーブル2[[#This Row],[P]])</f>
        <v>0.47171772328904032</v>
      </c>
      <c r="K452" s="36">
        <f>CpFFromP(テーブル2[[#This Row],[P]])</f>
        <v>9005.0430614711822</v>
      </c>
      <c r="L452" s="36">
        <f>SigmaFromP(テーブル2[[#This Row],[P]])</f>
        <v>4.6429387983558243E-3</v>
      </c>
      <c r="M452" s="36">
        <v>15.01</v>
      </c>
      <c r="N452" s="36">
        <v>2997.2683000000002</v>
      </c>
      <c r="O452" s="37">
        <f t="shared" si="206"/>
        <v>2.8502295699234246E-6</v>
      </c>
      <c r="P452" s="37">
        <f t="shared" si="207"/>
        <v>5.9847340050885557E-3</v>
      </c>
      <c r="Q452" s="37">
        <v>1.905E-3</v>
      </c>
      <c r="R452" s="36">
        <v>0.15240000000000001</v>
      </c>
      <c r="S452" s="38">
        <v>5520532.5</v>
      </c>
      <c r="T452" s="36">
        <v>505.315818150935</v>
      </c>
      <c r="U452" s="12">
        <f>+T452+BG452*S452*テーブル2[[#This Row],[Pw]]*R452/(N452*O452*K452)</f>
        <v>570.76730772571352</v>
      </c>
      <c r="V452" s="36">
        <v>0.03</v>
      </c>
      <c r="W452" s="37">
        <f t="shared" si="208"/>
        <v>83720.732847339998</v>
      </c>
      <c r="X452" s="36">
        <v>0.01</v>
      </c>
      <c r="Y452" s="36">
        <f t="shared" si="209"/>
        <v>10</v>
      </c>
      <c r="Z452" s="36">
        <f t="shared" si="210"/>
        <v>4.9310502212785883</v>
      </c>
      <c r="AA452" s="36">
        <f t="shared" si="211"/>
        <v>5.0689497787214117</v>
      </c>
      <c r="AB452" s="36">
        <f t="shared" si="212"/>
        <v>2.9471197976778671E-5</v>
      </c>
      <c r="AC452" s="36">
        <v>600</v>
      </c>
      <c r="AD452" s="36">
        <f t="shared" si="213"/>
        <v>1479.9874480565366</v>
      </c>
      <c r="AE452" s="36">
        <f>+gettm2(AD452,AC452,AK452,AL452,テーブル2[[#This Row],[Fcorr]])</f>
        <v>551.65826614337027</v>
      </c>
      <c r="AF452" s="39">
        <f t="shared" si="214"/>
        <v>-19.109041582343252</v>
      </c>
      <c r="AG452" s="36">
        <v>1.0000000000000001E-5</v>
      </c>
      <c r="AH452" s="36">
        <f t="shared" si="215"/>
        <v>18.904988397203869</v>
      </c>
      <c r="AI452" s="36">
        <f t="shared" si="216"/>
        <v>0.1784003853631102</v>
      </c>
      <c r="AJ452" s="36">
        <f t="shared" si="217"/>
        <v>15.537925963848153</v>
      </c>
      <c r="AK452" s="36">
        <f>+S88*テーブル2[[#This Row],[F_form]]/(E88*CpFromTP((テーブル2[[#This Row],[Tin]]+テーブル2[[#This Row],[Tf]])/2,テーブル2[[#This Row],[P]])*AI88)</f>
        <v>2.0324904392416392</v>
      </c>
      <c r="AL452" s="36">
        <f t="shared" si="218"/>
        <v>1.3019406270654956</v>
      </c>
      <c r="AM452" s="36">
        <f t="shared" si="219"/>
        <v>573.35321660154841</v>
      </c>
      <c r="AN452" s="36">
        <f t="shared" si="220"/>
        <v>44.621616833468011</v>
      </c>
      <c r="AO452" s="36">
        <f t="shared" si="221"/>
        <v>-1.9471197976778672E-5</v>
      </c>
      <c r="AP452" s="36">
        <v>1</v>
      </c>
      <c r="AQ452" s="36">
        <f t="shared" si="222"/>
        <v>3.3448984939390747E-4</v>
      </c>
      <c r="AR452" s="36">
        <f t="shared" si="223"/>
        <v>-4.7355989883893363E-6</v>
      </c>
      <c r="AS452" s="36">
        <f t="shared" si="224"/>
        <v>-7.3581386476067703</v>
      </c>
      <c r="AT452" s="36">
        <f t="shared" si="225"/>
        <v>-7.3581386476067703</v>
      </c>
      <c r="AU452" s="36">
        <f t="shared" si="226"/>
        <v>-1.3126947702882423</v>
      </c>
      <c r="AV452" s="36">
        <f t="shared" si="227"/>
        <v>2.3126947702882426</v>
      </c>
      <c r="AW452" s="36">
        <f t="shared" si="228"/>
        <v>2.0017314347382447E-2</v>
      </c>
      <c r="AX452" s="36">
        <f t="shared" si="229"/>
        <v>0.52072317099322041</v>
      </c>
      <c r="AY452" s="36">
        <f t="shared" si="230"/>
        <v>1.7919715992950223</v>
      </c>
      <c r="AZ452" s="36">
        <f t="shared" si="231"/>
        <v>964852.16359166033</v>
      </c>
      <c r="BA452" s="36">
        <f t="shared" si="232"/>
        <v>3.3448984939390747E-4</v>
      </c>
      <c r="BB452" s="38">
        <f t="shared" si="233"/>
        <v>-33362250.848517478</v>
      </c>
      <c r="BC452" s="40">
        <f t="shared" si="234"/>
        <v>-38882783.348517478</v>
      </c>
      <c r="BD452" s="41">
        <f t="shared" si="235"/>
        <v>-704.33030416028669</v>
      </c>
      <c r="BE452" s="38">
        <v>5520532.5</v>
      </c>
      <c r="BF452" s="42">
        <f>テーブル2[[#This Row],[q_P]]/テーブル2[[#This Row],[q_M]]</f>
        <v>-6.0433030416028668</v>
      </c>
      <c r="BG452" s="36">
        <v>1</v>
      </c>
      <c r="BH452" s="36">
        <v>-3.9E-2</v>
      </c>
      <c r="BI452" s="36">
        <v>4.5999999999999999E-2</v>
      </c>
      <c r="BJ452" s="36">
        <v>5625</v>
      </c>
      <c r="BK452" s="22">
        <v>1</v>
      </c>
      <c r="BL452" s="36">
        <f>テーブル2[[#This Row],[Ts]]-テーブル2[[#This Row],[Tin]]</f>
        <v>112.65901528408142</v>
      </c>
      <c r="BM452" s="36">
        <f>テーブル2[[#This Row],[q_P]]*0.000001</f>
        <v>-33.362250848517476</v>
      </c>
      <c r="BN452" s="36">
        <f>テーブル2[[#This Row],[Tsub]]</f>
        <v>112.65901528408142</v>
      </c>
      <c r="BO452" s="36">
        <f>テーブル2[[#This Row],[Fcorr]]</f>
        <v>1</v>
      </c>
      <c r="BP452" s="36">
        <f>(テーブル2[[#This Row],[Tsub]]-40)^2</f>
        <v>5279.3325020523771</v>
      </c>
      <c r="BQ452" s="36">
        <v>1</v>
      </c>
      <c r="BR452" s="36">
        <v>0.15240000000000001</v>
      </c>
    </row>
    <row r="453" spans="1:70" x14ac:dyDescent="0.15">
      <c r="A453" s="35" t="s">
        <v>217</v>
      </c>
      <c r="B453" s="36">
        <v>15513203.909628</v>
      </c>
      <c r="C453" s="22">
        <f>TsatFromP(テーブル2[[#This Row],[P]])</f>
        <v>617.97483343501642</v>
      </c>
      <c r="D453" s="36">
        <f>RhoGFromP(テーブル2[[#This Row],[P]])</f>
        <v>102.22394330032125</v>
      </c>
      <c r="E453" s="36">
        <f>RhoFFromP(テーブル2[[#This Row],[P]])</f>
        <v>593.9978032143099</v>
      </c>
      <c r="F453" s="36">
        <f>HgFromP(テーブル2[[#This Row],[P]])</f>
        <v>2595333.549379834</v>
      </c>
      <c r="G453" s="36">
        <f>HfFromP(テーブル2[[#This Row],[P]])</f>
        <v>1630481.3857881736</v>
      </c>
      <c r="H453" s="36">
        <f>MuGFromP(テーブル2[[#This Row],[P]])</f>
        <v>2.3048203873609753E-5</v>
      </c>
      <c r="I453" s="36">
        <f>MuFFromP(テーブル2[[#This Row],[P]])</f>
        <v>6.8200503236294993E-5</v>
      </c>
      <c r="J453" s="36">
        <f>KfFromP(テーブル2[[#This Row],[P]])</f>
        <v>0.47171772328904032</v>
      </c>
      <c r="K453" s="36">
        <f>CpFFromP(テーブル2[[#This Row],[P]])</f>
        <v>9005.0430614711822</v>
      </c>
      <c r="L453" s="36">
        <f>SigmaFromP(テーブル2[[#This Row],[P]])</f>
        <v>4.6429387983558243E-3</v>
      </c>
      <c r="M453" s="36">
        <v>16.010000000000002</v>
      </c>
      <c r="N453" s="36">
        <v>3024.3928999999998</v>
      </c>
      <c r="O453" s="37">
        <f t="shared" si="206"/>
        <v>2.8502295699234246E-6</v>
      </c>
      <c r="P453" s="37">
        <f t="shared" si="207"/>
        <v>5.9847340050885557E-3</v>
      </c>
      <c r="Q453" s="37">
        <v>1.905E-3</v>
      </c>
      <c r="R453" s="36">
        <v>0.15240000000000001</v>
      </c>
      <c r="S453" s="38">
        <v>6561547.1999999993</v>
      </c>
      <c r="T453" s="36">
        <v>464.11830000844361</v>
      </c>
      <c r="U453" s="12">
        <f>+T453+BG453*S453*テーブル2[[#This Row],[Pw]]*R453/(N453*O453*K453)</f>
        <v>541.21436849719237</v>
      </c>
      <c r="V453" s="36">
        <v>0.03</v>
      </c>
      <c r="W453" s="37">
        <f t="shared" si="208"/>
        <v>84478.386538266146</v>
      </c>
      <c r="X453" s="36">
        <v>0.01</v>
      </c>
      <c r="Y453" s="36">
        <f t="shared" si="209"/>
        <v>10</v>
      </c>
      <c r="Z453" s="36">
        <f t="shared" si="210"/>
        <v>4.946010683339205</v>
      </c>
      <c r="AA453" s="36">
        <f t="shared" si="211"/>
        <v>5.053989316660795</v>
      </c>
      <c r="AB453" s="36">
        <f t="shared" si="212"/>
        <v>2.8944937167122754E-5</v>
      </c>
      <c r="AC453" s="36">
        <v>600</v>
      </c>
      <c r="AD453" s="36">
        <f t="shared" si="213"/>
        <v>1493.3809996226585</v>
      </c>
      <c r="AE453" s="36">
        <f>+gettm2(AD453,AC453,AK453,AL453,テーブル2[[#This Row],[Fcorr]])</f>
        <v>548.39212046264947</v>
      </c>
      <c r="AF453" s="39">
        <f t="shared" si="214"/>
        <v>7.1777519654571051</v>
      </c>
      <c r="AG453" s="36">
        <v>1.0000000000000001E-5</v>
      </c>
      <c r="AH453" s="36">
        <f t="shared" si="215"/>
        <v>19.248708421296673</v>
      </c>
      <c r="AI453" s="36">
        <f t="shared" si="216"/>
        <v>0.18001486848856815</v>
      </c>
      <c r="AJ453" s="36">
        <f t="shared" si="217"/>
        <v>15.678540678453107</v>
      </c>
      <c r="AK453" s="36">
        <f>+S88*テーブル2[[#This Row],[F_form]]/(E88*CpFromTP((テーブル2[[#This Row],[Tin]]+テーブル2[[#This Row],[Tf]])/2,テーブル2[[#This Row],[P]])*AI88)</f>
        <v>2.1677172074825122</v>
      </c>
      <c r="AL453" s="36">
        <f t="shared" si="218"/>
        <v>1.3019406270654956</v>
      </c>
      <c r="AM453" s="36">
        <f t="shared" si="219"/>
        <v>571.47485593837939</v>
      </c>
      <c r="AN453" s="36">
        <f t="shared" si="220"/>
        <v>46.49997749663703</v>
      </c>
      <c r="AO453" s="36">
        <f t="shared" si="221"/>
        <v>-1.8944937167122755E-5</v>
      </c>
      <c r="AP453" s="36">
        <v>1</v>
      </c>
      <c r="AQ453" s="36">
        <f t="shared" si="222"/>
        <v>3.3448984939390747E-4</v>
      </c>
      <c r="AR453" s="36">
        <f t="shared" si="223"/>
        <v>-4.4724685835613779E-6</v>
      </c>
      <c r="AS453" s="36">
        <f t="shared" si="224"/>
        <v>-7.0121780620470604</v>
      </c>
      <c r="AT453" s="36">
        <f t="shared" si="225"/>
        <v>-7.0121780620470604</v>
      </c>
      <c r="AU453" s="36">
        <f t="shared" si="226"/>
        <v>-1.2622963116578243</v>
      </c>
      <c r="AV453" s="36">
        <f t="shared" si="227"/>
        <v>2.2622963116578241</v>
      </c>
      <c r="AW453" s="36">
        <f t="shared" si="228"/>
        <v>1.9659869493464707E-2</v>
      </c>
      <c r="AX453" s="36">
        <f t="shared" si="229"/>
        <v>0.52543559788003691</v>
      </c>
      <c r="AY453" s="36">
        <f t="shared" si="230"/>
        <v>1.7368607137777872</v>
      </c>
      <c r="AZ453" s="36">
        <f t="shared" si="231"/>
        <v>964852.16359166033</v>
      </c>
      <c r="BA453" s="36">
        <f t="shared" si="232"/>
        <v>3.3448984939390747E-4</v>
      </c>
      <c r="BB453" s="38">
        <f t="shared" si="233"/>
        <v>-32460547.462602377</v>
      </c>
      <c r="BC453" s="40">
        <f t="shared" si="234"/>
        <v>-39022094.66260238</v>
      </c>
      <c r="BD453" s="41">
        <f t="shared" si="235"/>
        <v>-594.70873977104645</v>
      </c>
      <c r="BE453" s="38">
        <v>6561547.1999999993</v>
      </c>
      <c r="BF453" s="42">
        <f>テーブル2[[#This Row],[q_P]]/テーブル2[[#This Row],[q_M]]</f>
        <v>-4.9470873977104635</v>
      </c>
      <c r="BG453" s="36">
        <v>1</v>
      </c>
      <c r="BH453" s="36">
        <v>-0.122</v>
      </c>
      <c r="BI453" s="36">
        <v>4.5999999999999999E-2</v>
      </c>
      <c r="BJ453" s="36">
        <v>5625</v>
      </c>
      <c r="BK453" s="22">
        <v>1</v>
      </c>
      <c r="BL453" s="36">
        <f>テーブル2[[#This Row],[Ts]]-テーブル2[[#This Row],[Tin]]</f>
        <v>153.85653342657281</v>
      </c>
      <c r="BM453" s="36">
        <f>テーブル2[[#This Row],[q_P]]*0.000001</f>
        <v>-32.460547462602378</v>
      </c>
      <c r="BN453" s="36">
        <f>テーブル2[[#This Row],[Tsub]]</f>
        <v>153.85653342657281</v>
      </c>
      <c r="BO453" s="36">
        <f>テーブル2[[#This Row],[Fcorr]]</f>
        <v>1</v>
      </c>
      <c r="BP453" s="36">
        <f>(テーブル2[[#This Row],[Tsub]]-40)^2</f>
        <v>12963.310203916291</v>
      </c>
      <c r="BQ453" s="36">
        <v>1</v>
      </c>
      <c r="BR453" s="36">
        <v>0.15240000000000001</v>
      </c>
    </row>
    <row r="454" spans="1:70" x14ac:dyDescent="0.15">
      <c r="A454" s="35" t="s">
        <v>218</v>
      </c>
      <c r="B454" s="36">
        <v>15513203.909628</v>
      </c>
      <c r="C454" s="22">
        <f>TsatFromP(テーブル2[[#This Row],[P]])</f>
        <v>617.97483343501642</v>
      </c>
      <c r="D454" s="36">
        <f>RhoGFromP(テーブル2[[#This Row],[P]])</f>
        <v>102.22394330032125</v>
      </c>
      <c r="E454" s="36">
        <f>RhoFFromP(テーブル2[[#This Row],[P]])</f>
        <v>593.9978032143099</v>
      </c>
      <c r="F454" s="36">
        <f>HgFromP(テーブル2[[#This Row],[P]])</f>
        <v>2595333.549379834</v>
      </c>
      <c r="G454" s="36">
        <f>HfFromP(テーブル2[[#This Row],[P]])</f>
        <v>1630481.3857881736</v>
      </c>
      <c r="H454" s="36">
        <f>MuGFromP(テーブル2[[#This Row],[P]])</f>
        <v>2.3048203873609753E-5</v>
      </c>
      <c r="I454" s="36">
        <f>MuFFromP(テーブル2[[#This Row],[P]])</f>
        <v>6.8200503236294993E-5</v>
      </c>
      <c r="J454" s="36">
        <f>KfFromP(テーブル2[[#This Row],[P]])</f>
        <v>0.47171772328904032</v>
      </c>
      <c r="K454" s="36">
        <f>CpFFromP(テーブル2[[#This Row],[P]])</f>
        <v>9005.0430614711822</v>
      </c>
      <c r="L454" s="36">
        <f>SigmaFromP(テーブル2[[#This Row],[P]])</f>
        <v>4.6429387983558243E-3</v>
      </c>
      <c r="M454" s="36">
        <v>17.010000000000002</v>
      </c>
      <c r="N454" s="36">
        <v>3024.3928999999998</v>
      </c>
      <c r="O454" s="37">
        <f t="shared" si="206"/>
        <v>2.8502295699234246E-6</v>
      </c>
      <c r="P454" s="37">
        <f t="shared" si="207"/>
        <v>5.9847340050885557E-3</v>
      </c>
      <c r="Q454" s="37">
        <v>1.905E-3</v>
      </c>
      <c r="R454" s="36">
        <v>0.15240000000000001</v>
      </c>
      <c r="S454" s="38">
        <v>6593093.0999999987</v>
      </c>
      <c r="T454" s="36">
        <v>465.23208923626657</v>
      </c>
      <c r="U454" s="12">
        <f>+T454+BG454*S454*テーブル2[[#This Row],[Pw]]*R454/(N454*O454*K454)</f>
        <v>542.69881190044202</v>
      </c>
      <c r="V454" s="36">
        <v>0.03</v>
      </c>
      <c r="W454" s="37">
        <f t="shared" si="208"/>
        <v>84478.386538266146</v>
      </c>
      <c r="X454" s="36">
        <v>0.01</v>
      </c>
      <c r="Y454" s="36">
        <f t="shared" si="209"/>
        <v>10</v>
      </c>
      <c r="Z454" s="36">
        <f t="shared" si="210"/>
        <v>4.946010683339205</v>
      </c>
      <c r="AA454" s="36">
        <f t="shared" si="211"/>
        <v>5.053989316660795</v>
      </c>
      <c r="AB454" s="36">
        <f t="shared" si="212"/>
        <v>2.8944937167122754E-5</v>
      </c>
      <c r="AC454" s="36">
        <v>600</v>
      </c>
      <c r="AD454" s="36">
        <f t="shared" si="213"/>
        <v>1493.3809996226585</v>
      </c>
      <c r="AE454" s="36">
        <f>+gettm2(AD454,AC454,AK454,AL454,テーブル2[[#This Row],[Fcorr]])</f>
        <v>548.48795863783619</v>
      </c>
      <c r="AF454" s="39">
        <f t="shared" si="214"/>
        <v>5.7891467373941623</v>
      </c>
      <c r="AG454" s="36">
        <v>1.0000000000000001E-5</v>
      </c>
      <c r="AH454" s="36">
        <f t="shared" si="215"/>
        <v>19.248708421296673</v>
      </c>
      <c r="AI454" s="36">
        <f t="shared" si="216"/>
        <v>0.18001486848856815</v>
      </c>
      <c r="AJ454" s="36">
        <f t="shared" si="217"/>
        <v>15.678540678453107</v>
      </c>
      <c r="AK454" s="36">
        <f>+S88*テーブル2[[#This Row],[F_form]]/(E88*CpFromTP((テーブル2[[#This Row],[Tin]]+テーブル2[[#This Row],[Tf]])/2,テーブル2[[#This Row],[P]])*AI88)</f>
        <v>2.1636916582185557</v>
      </c>
      <c r="AL454" s="36">
        <f t="shared" si="218"/>
        <v>1.3019406270654956</v>
      </c>
      <c r="AM454" s="36">
        <f t="shared" si="219"/>
        <v>571.52782842588147</v>
      </c>
      <c r="AN454" s="36">
        <f t="shared" si="220"/>
        <v>46.447005009134955</v>
      </c>
      <c r="AO454" s="36">
        <f t="shared" si="221"/>
        <v>-1.8944937167122755E-5</v>
      </c>
      <c r="AP454" s="36">
        <v>1</v>
      </c>
      <c r="AQ454" s="36">
        <f t="shared" si="222"/>
        <v>3.3448984939390747E-4</v>
      </c>
      <c r="AR454" s="36">
        <f t="shared" si="223"/>
        <v>-4.4724685835613779E-6</v>
      </c>
      <c r="AS454" s="36">
        <f t="shared" si="224"/>
        <v>-7.0121780620470604</v>
      </c>
      <c r="AT454" s="36">
        <f t="shared" si="225"/>
        <v>-7.0121780620470604</v>
      </c>
      <c r="AU454" s="36">
        <f t="shared" si="226"/>
        <v>-1.2622963116578243</v>
      </c>
      <c r="AV454" s="36">
        <f t="shared" si="227"/>
        <v>2.2622963116578241</v>
      </c>
      <c r="AW454" s="36">
        <f t="shared" si="228"/>
        <v>1.9659869493464707E-2</v>
      </c>
      <c r="AX454" s="36">
        <f t="shared" si="229"/>
        <v>0.52543559788003691</v>
      </c>
      <c r="AY454" s="36">
        <f t="shared" si="230"/>
        <v>1.7368607137777872</v>
      </c>
      <c r="AZ454" s="36">
        <f t="shared" si="231"/>
        <v>964852.16359166033</v>
      </c>
      <c r="BA454" s="36">
        <f t="shared" si="232"/>
        <v>3.3448984939390747E-4</v>
      </c>
      <c r="BB454" s="38">
        <f t="shared" si="233"/>
        <v>-32460547.462602377</v>
      </c>
      <c r="BC454" s="40">
        <f t="shared" si="234"/>
        <v>-39053640.562602378</v>
      </c>
      <c r="BD454" s="41">
        <f t="shared" si="235"/>
        <v>-592.34171230802713</v>
      </c>
      <c r="BE454" s="38">
        <v>6593093.0999999987</v>
      </c>
      <c r="BF454" s="42">
        <f>テーブル2[[#This Row],[q_P]]/テーブル2[[#This Row],[q_M]]</f>
        <v>-4.923417123080271</v>
      </c>
      <c r="BG454" s="36">
        <v>1</v>
      </c>
      <c r="BH454" s="36">
        <v>-0.113</v>
      </c>
      <c r="BI454" s="36">
        <v>4.5999999999999999E-2</v>
      </c>
      <c r="BJ454" s="36">
        <v>5625</v>
      </c>
      <c r="BK454" s="22">
        <v>1</v>
      </c>
      <c r="BL454" s="36">
        <f>テーブル2[[#This Row],[Ts]]-テーブル2[[#This Row],[Tin]]</f>
        <v>152.74274419874985</v>
      </c>
      <c r="BM454" s="36">
        <f>テーブル2[[#This Row],[q_P]]*0.000001</f>
        <v>-32.460547462602378</v>
      </c>
      <c r="BN454" s="36">
        <f>テーブル2[[#This Row],[Tsub]]</f>
        <v>152.74274419874985</v>
      </c>
      <c r="BO454" s="36">
        <f>テーブル2[[#This Row],[Fcorr]]</f>
        <v>1</v>
      </c>
      <c r="BP454" s="36">
        <f>(テーブル2[[#This Row],[Tsub]]-40)^2</f>
        <v>12710.926369464742</v>
      </c>
      <c r="BQ454" s="36">
        <v>1</v>
      </c>
      <c r="BR454" s="36">
        <v>0.15240000000000001</v>
      </c>
    </row>
    <row r="455" spans="1:70" x14ac:dyDescent="0.15">
      <c r="A455" s="35" t="s">
        <v>219</v>
      </c>
      <c r="B455" s="36">
        <v>15513203.909628</v>
      </c>
      <c r="C455" s="22">
        <f>TsatFromP(テーブル2[[#This Row],[P]])</f>
        <v>617.97483343501642</v>
      </c>
      <c r="D455" s="36">
        <f>RhoGFromP(テーブル2[[#This Row],[P]])</f>
        <v>102.22394330032125</v>
      </c>
      <c r="E455" s="36">
        <f>RhoFFromP(テーブル2[[#This Row],[P]])</f>
        <v>593.9978032143099</v>
      </c>
      <c r="F455" s="36">
        <f>HgFromP(テーブル2[[#This Row],[P]])</f>
        <v>2595333.549379834</v>
      </c>
      <c r="G455" s="36">
        <f>HfFromP(テーブル2[[#This Row],[P]])</f>
        <v>1630481.3857881736</v>
      </c>
      <c r="H455" s="36">
        <f>MuGFromP(テーブル2[[#This Row],[P]])</f>
        <v>2.3048203873609753E-5</v>
      </c>
      <c r="I455" s="36">
        <f>MuFFromP(テーブル2[[#This Row],[P]])</f>
        <v>6.8200503236294993E-5</v>
      </c>
      <c r="J455" s="36">
        <f>KfFromP(テーブル2[[#This Row],[P]])</f>
        <v>0.47171772328904032</v>
      </c>
      <c r="K455" s="36">
        <f>CpFFromP(テーブル2[[#This Row],[P]])</f>
        <v>9005.0430614711822</v>
      </c>
      <c r="L455" s="36">
        <f>SigmaFromP(テーブル2[[#This Row],[P]])</f>
        <v>4.6429387983558243E-3</v>
      </c>
      <c r="M455" s="36">
        <v>18.010000000000002</v>
      </c>
      <c r="N455" s="36">
        <v>3553.3226</v>
      </c>
      <c r="O455" s="37">
        <f t="shared" si="206"/>
        <v>2.8502295699234246E-6</v>
      </c>
      <c r="P455" s="37">
        <f t="shared" si="207"/>
        <v>5.9847340050885557E-3</v>
      </c>
      <c r="Q455" s="37">
        <v>1.905E-3</v>
      </c>
      <c r="R455" s="36">
        <v>0.15240000000000001</v>
      </c>
      <c r="S455" s="38">
        <v>4700339.0999999996</v>
      </c>
      <c r="T455" s="36">
        <v>548.62977052924521</v>
      </c>
      <c r="U455" s="12">
        <f>+T455+BG455*S455*テーブル2[[#This Row],[Pw]]*R455/(N455*O455*K455)</f>
        <v>595.63635941055122</v>
      </c>
      <c r="V455" s="36">
        <v>0.03</v>
      </c>
      <c r="W455" s="37">
        <f t="shared" si="208"/>
        <v>99252.633511326159</v>
      </c>
      <c r="X455" s="36">
        <v>0.01</v>
      </c>
      <c r="Y455" s="36">
        <f t="shared" si="209"/>
        <v>10</v>
      </c>
      <c r="Z455" s="36">
        <f t="shared" si="210"/>
        <v>5.2126518143817684</v>
      </c>
      <c r="AA455" s="36">
        <f t="shared" si="211"/>
        <v>4.7873481856182316</v>
      </c>
      <c r="AB455" s="36">
        <f t="shared" si="212"/>
        <v>2.0969098251614817E-5</v>
      </c>
      <c r="AC455" s="36">
        <v>600</v>
      </c>
      <c r="AD455" s="36">
        <f t="shared" si="213"/>
        <v>1754.5552551620474</v>
      </c>
      <c r="AE455" s="36">
        <f>+gettm2(AD455,AC455,AK455,AL455,テーブル2[[#This Row],[Fcorr]])</f>
        <v>555.86729820078654</v>
      </c>
      <c r="AF455" s="39">
        <f t="shared" si="214"/>
        <v>-39.769061209764686</v>
      </c>
      <c r="AG455" s="36">
        <v>1.0000000000000001E-5</v>
      </c>
      <c r="AH455" s="36">
        <f t="shared" si="215"/>
        <v>26.57017717773309</v>
      </c>
      <c r="AI455" s="36">
        <f t="shared" si="216"/>
        <v>0.21149728943499937</v>
      </c>
      <c r="AJ455" s="36">
        <f t="shared" si="217"/>
        <v>18.420527613249842</v>
      </c>
      <c r="AK455" s="36">
        <f>+S88*テーブル2[[#This Row],[F_form]]/(E88*CpFromTP((テーブル2[[#This Row],[Tin]]+テーブル2[[#This Row],[Tf]])/2,テーブル2[[#This Row],[P]])*AI88)</f>
        <v>1.8222963133973349</v>
      </c>
      <c r="AL455" s="36">
        <f t="shared" si="218"/>
        <v>1.3019406270654956</v>
      </c>
      <c r="AM455" s="36">
        <f t="shared" si="219"/>
        <v>574.44406825705255</v>
      </c>
      <c r="AN455" s="36">
        <f t="shared" si="220"/>
        <v>43.530765177963872</v>
      </c>
      <c r="AO455" s="36">
        <f t="shared" si="221"/>
        <v>-1.0969098251614816E-5</v>
      </c>
      <c r="AP455" s="36">
        <v>1</v>
      </c>
      <c r="AQ455" s="36">
        <f t="shared" si="222"/>
        <v>3.3448984939390747E-4</v>
      </c>
      <c r="AR455" s="36">
        <f t="shared" si="223"/>
        <v>-4.8454912580740746E-7</v>
      </c>
      <c r="AS455" s="36">
        <f t="shared" si="224"/>
        <v>-0.89256505519114204</v>
      </c>
      <c r="AT455" s="36">
        <f t="shared" si="225"/>
        <v>-0.89256505519114204</v>
      </c>
      <c r="AU455" s="36">
        <f t="shared" si="226"/>
        <v>-0.18877508981732716</v>
      </c>
      <c r="AV455" s="36">
        <f t="shared" si="227"/>
        <v>1.188775089817327</v>
      </c>
      <c r="AW455" s="36">
        <f t="shared" si="228"/>
        <v>1.4242550696936461E-2</v>
      </c>
      <c r="AX455" s="36">
        <f t="shared" si="229"/>
        <v>0.61732792217295807</v>
      </c>
      <c r="AY455" s="36">
        <f t="shared" si="230"/>
        <v>0.57144716764436898</v>
      </c>
      <c r="AZ455" s="36">
        <f t="shared" si="231"/>
        <v>964852.16359166033</v>
      </c>
      <c r="BA455" s="36">
        <f t="shared" si="232"/>
        <v>3.3448984939390747E-4</v>
      </c>
      <c r="BB455" s="38">
        <f t="shared" si="233"/>
        <v>-18794622.08174577</v>
      </c>
      <c r="BC455" s="40">
        <f t="shared" si="234"/>
        <v>-23494961.181745768</v>
      </c>
      <c r="BD455" s="41">
        <f t="shared" si="235"/>
        <v>-499.85672696988541</v>
      </c>
      <c r="BE455" s="38">
        <v>4700339.0999999996</v>
      </c>
      <c r="BF455" s="42">
        <f>テーブル2[[#This Row],[q_P]]/テーブル2[[#This Row],[q_M]]</f>
        <v>-3.9985672696988543</v>
      </c>
      <c r="BG455" s="36">
        <v>1</v>
      </c>
      <c r="BH455" s="36">
        <v>3.0000000000000001E-3</v>
      </c>
      <c r="BI455" s="36">
        <v>4.5999999999999999E-2</v>
      </c>
      <c r="BJ455" s="36">
        <v>5625</v>
      </c>
      <c r="BK455" s="22">
        <v>1</v>
      </c>
      <c r="BL455" s="36">
        <f>テーブル2[[#This Row],[Ts]]-テーブル2[[#This Row],[Tin]]</f>
        <v>69.345062905771215</v>
      </c>
      <c r="BM455" s="36">
        <f>テーブル2[[#This Row],[q_P]]*0.000001</f>
        <v>-18.794622081745768</v>
      </c>
      <c r="BN455" s="36">
        <f>テーブル2[[#This Row],[Tsub]]</f>
        <v>69.345062905771215</v>
      </c>
      <c r="BO455" s="36">
        <f>テーブル2[[#This Row],[Fcorr]]</f>
        <v>1</v>
      </c>
      <c r="BP455" s="36">
        <f>(テーブル2[[#This Row],[Tsub]]-40)^2</f>
        <v>861.13271694366972</v>
      </c>
      <c r="BQ455" s="36">
        <v>1</v>
      </c>
      <c r="BR455" s="36">
        <v>0.15240000000000001</v>
      </c>
    </row>
    <row r="456" spans="1:70" x14ac:dyDescent="0.15">
      <c r="A456" s="35" t="s">
        <v>220</v>
      </c>
      <c r="B456" s="36">
        <v>15513203.909628</v>
      </c>
      <c r="C456" s="22">
        <f>TsatFromP(テーブル2[[#This Row],[P]])</f>
        <v>617.97483343501642</v>
      </c>
      <c r="D456" s="36">
        <f>RhoGFromP(テーブル2[[#This Row],[P]])</f>
        <v>102.22394330032125</v>
      </c>
      <c r="E456" s="36">
        <f>RhoFFromP(テーブル2[[#This Row],[P]])</f>
        <v>593.9978032143099</v>
      </c>
      <c r="F456" s="36">
        <f>HgFromP(テーブル2[[#This Row],[P]])</f>
        <v>2595333.549379834</v>
      </c>
      <c r="G456" s="36">
        <f>HfFromP(テーブル2[[#This Row],[P]])</f>
        <v>1630481.3857881736</v>
      </c>
      <c r="H456" s="36">
        <f>MuGFromP(テーブル2[[#This Row],[P]])</f>
        <v>2.3048203873609753E-5</v>
      </c>
      <c r="I456" s="36">
        <f>MuFFromP(テーブル2[[#This Row],[P]])</f>
        <v>6.8200503236294993E-5</v>
      </c>
      <c r="J456" s="36">
        <f>KfFromP(テーブル2[[#This Row],[P]])</f>
        <v>0.47171772328904032</v>
      </c>
      <c r="K456" s="36">
        <f>CpFFromP(テーブル2[[#This Row],[P]])</f>
        <v>9005.0430614711822</v>
      </c>
      <c r="L456" s="36">
        <f>SigmaFromP(テーブル2[[#This Row],[P]])</f>
        <v>4.6429387983558243E-3</v>
      </c>
      <c r="M456" s="36">
        <v>19.010000000000002</v>
      </c>
      <c r="N456" s="36">
        <v>3675.3833</v>
      </c>
      <c r="O456" s="37">
        <f t="shared" si="206"/>
        <v>2.8502295699234246E-6</v>
      </c>
      <c r="P456" s="37">
        <f t="shared" si="207"/>
        <v>5.9847340050885557E-3</v>
      </c>
      <c r="Q456" s="37">
        <v>1.905E-3</v>
      </c>
      <c r="R456" s="36">
        <v>0.15240000000000001</v>
      </c>
      <c r="S456" s="38">
        <v>5078889.9000000004</v>
      </c>
      <c r="T456" s="36">
        <v>541.45534065611855</v>
      </c>
      <c r="U456" s="12">
        <f>+T456+BG456*S456*テーブル2[[#This Row],[Pw]]*R456/(N456*O456*K456)</f>
        <v>590.56086412602247</v>
      </c>
      <c r="V456" s="36">
        <v>0.03</v>
      </c>
      <c r="W456" s="37">
        <f t="shared" si="208"/>
        <v>102662.07512049384</v>
      </c>
      <c r="X456" s="36">
        <v>0.01</v>
      </c>
      <c r="Y456" s="36">
        <f t="shared" si="209"/>
        <v>10</v>
      </c>
      <c r="Z456" s="36">
        <f t="shared" si="210"/>
        <v>5.2682731925103585</v>
      </c>
      <c r="AA456" s="36">
        <f t="shared" si="211"/>
        <v>4.7317268074896415</v>
      </c>
      <c r="AB456" s="36">
        <f t="shared" si="212"/>
        <v>1.9599444184908259E-5</v>
      </c>
      <c r="AC456" s="36">
        <v>600</v>
      </c>
      <c r="AD456" s="36">
        <f t="shared" si="213"/>
        <v>1814.826237209599</v>
      </c>
      <c r="AE456" s="36">
        <f>+gettm2(AD456,AC456,AK456,AL456,テーブル2[[#This Row],[Fcorr]])</f>
        <v>554.57147588322402</v>
      </c>
      <c r="AF456" s="39">
        <f t="shared" si="214"/>
        <v>-35.989388242798441</v>
      </c>
      <c r="AG456" s="36">
        <v>1.0000000000000001E-5</v>
      </c>
      <c r="AH456" s="36">
        <f t="shared" si="215"/>
        <v>28.426962037612846</v>
      </c>
      <c r="AI456" s="36">
        <f t="shared" si="216"/>
        <v>0.21876246349956044</v>
      </c>
      <c r="AJ456" s="36">
        <f t="shared" si="217"/>
        <v>19.053293828972166</v>
      </c>
      <c r="AK456" s="36">
        <f>+S88*テーブル2[[#This Row],[F_form]]/(E88*CpFromTP((テーブル2[[#This Row],[Tin]]+テーブル2[[#This Row],[Tf]])/2,テーブル2[[#This Row],[P]])*AI88)</f>
        <v>1.8691717979683096</v>
      </c>
      <c r="AL456" s="36">
        <f t="shared" si="218"/>
        <v>1.3019406270654956</v>
      </c>
      <c r="AM456" s="36">
        <f t="shared" si="219"/>
        <v>573.45020737928746</v>
      </c>
      <c r="AN456" s="36">
        <f t="shared" si="220"/>
        <v>44.524626055728959</v>
      </c>
      <c r="AO456" s="36">
        <f t="shared" si="221"/>
        <v>-9.5994441849082583E-6</v>
      </c>
      <c r="AP456" s="36">
        <v>1</v>
      </c>
      <c r="AQ456" s="36">
        <f t="shared" si="222"/>
        <v>3.3448984939390747E-4</v>
      </c>
      <c r="AR456" s="36">
        <f t="shared" si="223"/>
        <v>2.0027790754587125E-7</v>
      </c>
      <c r="AS456" s="36">
        <f t="shared" si="224"/>
        <v>0.38159538199232063</v>
      </c>
      <c r="AT456" s="36">
        <f t="shared" si="225"/>
        <v>0.38159538199232063</v>
      </c>
      <c r="AU456" s="36">
        <f t="shared" si="226"/>
        <v>8.347874582469586E-2</v>
      </c>
      <c r="AV456" s="36">
        <f t="shared" si="227"/>
        <v>0.91652125417530417</v>
      </c>
      <c r="AW456" s="36">
        <f t="shared" si="228"/>
        <v>1.331225950137534E-2</v>
      </c>
      <c r="AX456" s="36">
        <f t="shared" si="229"/>
        <v>0.63853384316363226</v>
      </c>
      <c r="AY456" s="36">
        <f t="shared" si="230"/>
        <v>0.2779874110116719</v>
      </c>
      <c r="AZ456" s="36">
        <f t="shared" si="231"/>
        <v>964852.16359166033</v>
      </c>
      <c r="BA456" s="36">
        <f t="shared" si="232"/>
        <v>3.3448984939390747E-4</v>
      </c>
      <c r="BB456" s="38">
        <f t="shared" si="233"/>
        <v>-16447835.684542486</v>
      </c>
      <c r="BC456" s="40">
        <f t="shared" si="234"/>
        <v>-21526725.584542487</v>
      </c>
      <c r="BD456" s="41">
        <f t="shared" si="235"/>
        <v>-423.8470612356154</v>
      </c>
      <c r="BE456" s="38">
        <v>5078889.9000000004</v>
      </c>
      <c r="BF456" s="42">
        <f>テーブル2[[#This Row],[q_P]]/テーブル2[[#This Row],[q_M]]</f>
        <v>-3.2384706123561537</v>
      </c>
      <c r="BG456" s="36">
        <v>1</v>
      </c>
      <c r="BH456" s="36">
        <v>-1.4E-2</v>
      </c>
      <c r="BI456" s="36">
        <v>4.5999999999999999E-2</v>
      </c>
      <c r="BJ456" s="36">
        <v>5625</v>
      </c>
      <c r="BK456" s="22">
        <v>1</v>
      </c>
      <c r="BL456" s="36">
        <f>テーブル2[[#This Row],[Ts]]-テーブル2[[#This Row],[Tin]]</f>
        <v>76.51949277889787</v>
      </c>
      <c r="BM456" s="36">
        <f>テーブル2[[#This Row],[q_P]]*0.000001</f>
        <v>-16.447835684542486</v>
      </c>
      <c r="BN456" s="36">
        <f>テーブル2[[#This Row],[Tsub]]</f>
        <v>76.51949277889787</v>
      </c>
      <c r="BO456" s="36">
        <f>テーブル2[[#This Row],[Fcorr]]</f>
        <v>1</v>
      </c>
      <c r="BP456" s="36">
        <f>(テーブル2[[#This Row],[Tsub]]-40)^2</f>
        <v>1333.6733528279738</v>
      </c>
      <c r="BQ456" s="36">
        <v>1</v>
      </c>
      <c r="BR456" s="36">
        <v>0.15240000000000001</v>
      </c>
    </row>
    <row r="457" spans="1:70" x14ac:dyDescent="0.15">
      <c r="A457" s="35" t="s">
        <v>203</v>
      </c>
      <c r="B457" s="36">
        <v>15513203.909628</v>
      </c>
      <c r="C457" s="22">
        <f>TsatFromP(テーブル2[[#This Row],[P]])</f>
        <v>617.97483343501642</v>
      </c>
      <c r="D457" s="36">
        <f>RhoGFromP(テーブル2[[#This Row],[P]])</f>
        <v>102.22394330032125</v>
      </c>
      <c r="E457" s="36">
        <f>RhoFFromP(テーブル2[[#This Row],[P]])</f>
        <v>593.9978032143099</v>
      </c>
      <c r="F457" s="36">
        <f>HgFromP(テーブル2[[#This Row],[P]])</f>
        <v>2595333.549379834</v>
      </c>
      <c r="G457" s="36">
        <f>HfFromP(テーブル2[[#This Row],[P]])</f>
        <v>1630481.3857881736</v>
      </c>
      <c r="H457" s="36">
        <f>MuGFromP(テーブル2[[#This Row],[P]])</f>
        <v>2.3048203873609753E-5</v>
      </c>
      <c r="I457" s="36">
        <f>MuFFromP(テーブル2[[#This Row],[P]])</f>
        <v>6.8200503236294993E-5</v>
      </c>
      <c r="J457" s="36">
        <f>KfFromP(テーブル2[[#This Row],[P]])</f>
        <v>0.47171772328904032</v>
      </c>
      <c r="K457" s="36">
        <f>CpFFromP(テーブル2[[#This Row],[P]])</f>
        <v>9005.0430614711822</v>
      </c>
      <c r="L457" s="36">
        <f>SigmaFromP(テーブル2[[#This Row],[P]])</f>
        <v>4.6429387983558243E-3</v>
      </c>
      <c r="M457" s="36">
        <v>2.0099999999999998</v>
      </c>
      <c r="N457" s="36">
        <v>2061.4695999999999</v>
      </c>
      <c r="O457" s="37">
        <f t="shared" si="206"/>
        <v>2.8502295699234246E-6</v>
      </c>
      <c r="P457" s="37">
        <f t="shared" si="207"/>
        <v>5.9847340050885557E-3</v>
      </c>
      <c r="Q457" s="37">
        <v>1.905E-3</v>
      </c>
      <c r="R457" s="36">
        <v>0.15240000000000001</v>
      </c>
      <c r="S457" s="38">
        <v>3217681.8</v>
      </c>
      <c r="T457" s="36">
        <v>528.0490278631363</v>
      </c>
      <c r="U457" s="12">
        <f>+T457+BG457*S457*テーブル2[[#This Row],[Pw]]*R457/(N457*O457*K457)</f>
        <v>583.51547440428885</v>
      </c>
      <c r="V457" s="36">
        <v>0.03</v>
      </c>
      <c r="W457" s="37">
        <f t="shared" si="208"/>
        <v>57581.68051038769</v>
      </c>
      <c r="X457" s="36">
        <v>0.01</v>
      </c>
      <c r="Y457" s="36">
        <f t="shared" si="209"/>
        <v>10</v>
      </c>
      <c r="Z457" s="36">
        <f t="shared" si="210"/>
        <v>4.3049987804306813</v>
      </c>
      <c r="AA457" s="36">
        <f t="shared" si="211"/>
        <v>5.6950012195693187</v>
      </c>
      <c r="AB457" s="36">
        <f t="shared" si="212"/>
        <v>6.2301020619106979E-5</v>
      </c>
      <c r="AC457" s="36">
        <v>600</v>
      </c>
      <c r="AD457" s="36">
        <f t="shared" si="213"/>
        <v>1017.9099190253098</v>
      </c>
      <c r="AE457" s="36">
        <f>+gettm2(AD457,AC457,AK457,AL457,テーブル2[[#This Row],[Fcorr]])</f>
        <v>555.78511472863738</v>
      </c>
      <c r="AF457" s="39">
        <f t="shared" si="214"/>
        <v>-27.730359675651471</v>
      </c>
      <c r="AG457" s="36">
        <v>1.0000000000000001E-5</v>
      </c>
      <c r="AH457" s="36">
        <f t="shared" si="215"/>
        <v>8.9429137800003691</v>
      </c>
      <c r="AI457" s="36">
        <f t="shared" si="216"/>
        <v>0.1227007175348088</v>
      </c>
      <c r="AJ457" s="36">
        <f t="shared" si="217"/>
        <v>10.686718309977007</v>
      </c>
      <c r="AK457" s="36">
        <f>+S88*テーブル2[[#This Row],[F_form]]/(E88*CpFromTP((テーブル2[[#This Row],[Tin]]+テーブル2[[#This Row],[Tf]])/2,テーブル2[[#This Row],[P]])*AI88)</f>
        <v>1.9371368611270077</v>
      </c>
      <c r="AL457" s="36">
        <f t="shared" si="218"/>
        <v>1.3019406270654956</v>
      </c>
      <c r="AM457" s="36">
        <f t="shared" si="219"/>
        <v>578.58976441733319</v>
      </c>
      <c r="AN457" s="36">
        <f t="shared" si="220"/>
        <v>39.385069017683236</v>
      </c>
      <c r="AO457" s="36">
        <f t="shared" si="221"/>
        <v>-5.230102061910698E-5</v>
      </c>
      <c r="AP457" s="36">
        <v>1</v>
      </c>
      <c r="AQ457" s="36">
        <f t="shared" si="222"/>
        <v>3.3448984939390747E-4</v>
      </c>
      <c r="AR457" s="36">
        <f t="shared" si="223"/>
        <v>-2.1150510309553491E-5</v>
      </c>
      <c r="AS457" s="36">
        <f t="shared" si="224"/>
        <v>-22.602954579046273</v>
      </c>
      <c r="AT457" s="36">
        <f t="shared" si="225"/>
        <v>-22.602954579046273</v>
      </c>
      <c r="AU457" s="36">
        <f t="shared" si="226"/>
        <v>-2.7733987452556699</v>
      </c>
      <c r="AV457" s="36">
        <f t="shared" si="227"/>
        <v>3.7733987452556699</v>
      </c>
      <c r="AW457" s="36">
        <f t="shared" si="228"/>
        <v>4.2315860891642423E-2</v>
      </c>
      <c r="AX457" s="36">
        <f t="shared" si="229"/>
        <v>0.35814444339805201</v>
      </c>
      <c r="AY457" s="36">
        <f t="shared" si="230"/>
        <v>3.415254301857618</v>
      </c>
      <c r="AZ457" s="36">
        <f t="shared" si="231"/>
        <v>964852.16359166033</v>
      </c>
      <c r="BA457" s="36">
        <f t="shared" si="232"/>
        <v>3.3448984939390747E-4</v>
      </c>
      <c r="BB457" s="38">
        <f t="shared" si="233"/>
        <v>-89613375.181592509</v>
      </c>
      <c r="BC457" s="40">
        <f t="shared" si="234"/>
        <v>-92831056.981592506</v>
      </c>
      <c r="BD457" s="41">
        <f t="shared" si="235"/>
        <v>-2885.0291219471269</v>
      </c>
      <c r="BE457" s="38">
        <v>3217681.8</v>
      </c>
      <c r="BF457" s="42">
        <f>テーブル2[[#This Row],[q_P]]/テーブル2[[#This Row],[q_M]]</f>
        <v>-27.85029121947127</v>
      </c>
      <c r="BG457" s="36">
        <v>1</v>
      </c>
      <c r="BH457" s="36">
        <v>-2.1999999999999999E-2</v>
      </c>
      <c r="BI457" s="36">
        <v>4.5999999999999999E-2</v>
      </c>
      <c r="BJ457" s="36">
        <v>5625</v>
      </c>
      <c r="BK457" s="22">
        <v>1</v>
      </c>
      <c r="BL457" s="36">
        <f>テーブル2[[#This Row],[Ts]]-テーブル2[[#This Row],[Tin]]</f>
        <v>89.925805571880119</v>
      </c>
      <c r="BM457" s="36">
        <f>テーブル2[[#This Row],[q_P]]*0.000001</f>
        <v>-89.613375181592502</v>
      </c>
      <c r="BN457" s="36">
        <f>テーブル2[[#This Row],[Tsub]]</f>
        <v>89.925805571880119</v>
      </c>
      <c r="BO457" s="36">
        <f>テーブル2[[#This Row],[Fcorr]]</f>
        <v>1</v>
      </c>
      <c r="BP457" s="36">
        <f>(テーブル2[[#This Row],[Tsub]]-40)^2</f>
        <v>2492.5860620011758</v>
      </c>
      <c r="BQ457" s="36">
        <v>1</v>
      </c>
      <c r="BR457" s="36">
        <v>0.15240000000000001</v>
      </c>
    </row>
    <row r="458" spans="1:70" x14ac:dyDescent="0.15">
      <c r="A458" s="35" t="s">
        <v>221</v>
      </c>
      <c r="B458" s="36">
        <v>15513203.909628</v>
      </c>
      <c r="C458" s="22">
        <f>TsatFromP(テーブル2[[#This Row],[P]])</f>
        <v>617.97483343501642</v>
      </c>
      <c r="D458" s="36">
        <f>RhoGFromP(テーブル2[[#This Row],[P]])</f>
        <v>102.22394330032125</v>
      </c>
      <c r="E458" s="36">
        <f>RhoFFromP(テーブル2[[#This Row],[P]])</f>
        <v>593.9978032143099</v>
      </c>
      <c r="F458" s="36">
        <f>HgFromP(テーブル2[[#This Row],[P]])</f>
        <v>2595333.549379834</v>
      </c>
      <c r="G458" s="36">
        <f>HfFromP(テーブル2[[#This Row],[P]])</f>
        <v>1630481.3857881736</v>
      </c>
      <c r="H458" s="36">
        <f>MuGFromP(テーブル2[[#This Row],[P]])</f>
        <v>2.3048203873609753E-5</v>
      </c>
      <c r="I458" s="36">
        <f>MuFFromP(テーブル2[[#This Row],[P]])</f>
        <v>6.8200503236294993E-5</v>
      </c>
      <c r="J458" s="36">
        <f>KfFromP(テーブル2[[#This Row],[P]])</f>
        <v>0.47171772328904032</v>
      </c>
      <c r="K458" s="36">
        <f>CpFFromP(テーブル2[[#This Row],[P]])</f>
        <v>9005.0430614711822</v>
      </c>
      <c r="L458" s="36">
        <f>SigmaFromP(テーブル2[[#This Row],[P]])</f>
        <v>4.6429387983558243E-3</v>
      </c>
      <c r="M458" s="36">
        <v>20.010000000000002</v>
      </c>
      <c r="N458" s="36">
        <v>3743.1948000000002</v>
      </c>
      <c r="O458" s="37">
        <f t="shared" si="206"/>
        <v>2.8502295699234246E-6</v>
      </c>
      <c r="P458" s="37">
        <f t="shared" si="207"/>
        <v>5.9847340050885557E-3</v>
      </c>
      <c r="Q458" s="37">
        <v>1.905E-3</v>
      </c>
      <c r="R458" s="36">
        <v>0.15240000000000001</v>
      </c>
      <c r="S458" s="38">
        <v>5552078.4000000004</v>
      </c>
      <c r="T458" s="36">
        <v>536.98317199256678</v>
      </c>
      <c r="U458" s="12">
        <f>+T458+BG458*S458*テーブル2[[#This Row],[Pw]]*R458/(N458*O458*K458)</f>
        <v>589.69127009816896</v>
      </c>
      <c r="V458" s="36">
        <v>0.03</v>
      </c>
      <c r="W458" s="37">
        <f t="shared" si="208"/>
        <v>104556.20934780923</v>
      </c>
      <c r="X458" s="36">
        <v>0.01</v>
      </c>
      <c r="Y458" s="36">
        <f t="shared" si="209"/>
        <v>10</v>
      </c>
      <c r="Z458" s="36">
        <f t="shared" si="210"/>
        <v>5.2983421865378713</v>
      </c>
      <c r="AA458" s="36">
        <f t="shared" si="211"/>
        <v>4.7016578134621287</v>
      </c>
      <c r="AB458" s="36">
        <f t="shared" si="212"/>
        <v>1.8895751685358212E-5</v>
      </c>
      <c r="AC458" s="36">
        <v>600</v>
      </c>
      <c r="AD458" s="36">
        <f t="shared" si="213"/>
        <v>1848.3101161249051</v>
      </c>
      <c r="AE458" s="36">
        <f>+gettm2(AD458,AC458,AK458,AL458,テーブル2[[#This Row],[Fcorr]])</f>
        <v>554.02509285510985</v>
      </c>
      <c r="AF458" s="39">
        <f t="shared" si="214"/>
        <v>-35.66617724305911</v>
      </c>
      <c r="AG458" s="36">
        <v>1.0000000000000001E-5</v>
      </c>
      <c r="AH458" s="36">
        <f t="shared" si="215"/>
        <v>29.485604228934747</v>
      </c>
      <c r="AI458" s="36">
        <f t="shared" si="216"/>
        <v>0.22279867131320549</v>
      </c>
      <c r="AJ458" s="36">
        <f t="shared" si="217"/>
        <v>19.40483061548457</v>
      </c>
      <c r="AK458" s="36">
        <f>+S88*テーブル2[[#This Row],[F_form]]/(E88*CpFromTP((テーブル2[[#This Row],[Tin]]+テーブル2[[#This Row],[Tf]])/2,テーブル2[[#This Row],[P]])*AI88)</f>
        <v>1.8880418912609334</v>
      </c>
      <c r="AL458" s="36">
        <f t="shared" si="218"/>
        <v>1.3019406270654956</v>
      </c>
      <c r="AM458" s="36">
        <f t="shared" si="219"/>
        <v>572.99851335114079</v>
      </c>
      <c r="AN458" s="36">
        <f t="shared" si="220"/>
        <v>44.976320083875635</v>
      </c>
      <c r="AO458" s="36">
        <f t="shared" si="221"/>
        <v>-8.8957516853582115E-6</v>
      </c>
      <c r="AP458" s="36">
        <v>1</v>
      </c>
      <c r="AQ458" s="36">
        <f t="shared" si="222"/>
        <v>3.3448984939390747E-4</v>
      </c>
      <c r="AR458" s="36">
        <f t="shared" si="223"/>
        <v>5.5212415732089466E-7</v>
      </c>
      <c r="AS458" s="36">
        <f t="shared" si="224"/>
        <v>1.0713875751529114</v>
      </c>
      <c r="AT458" s="36">
        <f t="shared" si="225"/>
        <v>1.0713875751529114</v>
      </c>
      <c r="AU458" s="36">
        <f t="shared" si="226"/>
        <v>0.23870372820554575</v>
      </c>
      <c r="AV458" s="36">
        <f t="shared" si="227"/>
        <v>0.76129627179445425</v>
      </c>
      <c r="AW458" s="36">
        <f t="shared" si="228"/>
        <v>1.2834300173814667E-2</v>
      </c>
      <c r="AX458" s="36">
        <f t="shared" si="229"/>
        <v>0.65031491038067357</v>
      </c>
      <c r="AY458" s="36">
        <f t="shared" si="230"/>
        <v>0.11098136141378068</v>
      </c>
      <c r="AZ458" s="36">
        <f t="shared" si="231"/>
        <v>964852.16359166033</v>
      </c>
      <c r="BA458" s="36">
        <f t="shared" si="232"/>
        <v>3.3448984939390747E-4</v>
      </c>
      <c r="BB458" s="38">
        <f t="shared" si="233"/>
        <v>-15242118.105264248</v>
      </c>
      <c r="BC458" s="40">
        <f t="shared" si="234"/>
        <v>-20794196.505264249</v>
      </c>
      <c r="BD458" s="41">
        <f t="shared" si="235"/>
        <v>-374.52995089666325</v>
      </c>
      <c r="BE458" s="38">
        <v>5552078.4000000004</v>
      </c>
      <c r="BF458" s="42">
        <f>テーブル2[[#This Row],[q_P]]/テーブル2[[#This Row],[q_M]]</f>
        <v>-2.7452995089666326</v>
      </c>
      <c r="BG458" s="36">
        <v>1</v>
      </c>
      <c r="BH458" s="36">
        <v>-3.0000000000000001E-3</v>
      </c>
      <c r="BI458" s="36">
        <v>4.5999999999999999E-2</v>
      </c>
      <c r="BJ458" s="36">
        <v>5625</v>
      </c>
      <c r="BK458" s="22">
        <v>1</v>
      </c>
      <c r="BL458" s="36">
        <f>テーブル2[[#This Row],[Ts]]-テーブル2[[#This Row],[Tin]]</f>
        <v>80.99166144244964</v>
      </c>
      <c r="BM458" s="36">
        <f>テーブル2[[#This Row],[q_P]]*0.000001</f>
        <v>-15.242118105264248</v>
      </c>
      <c r="BN458" s="36">
        <f>テーブル2[[#This Row],[Tsub]]</f>
        <v>80.99166144244964</v>
      </c>
      <c r="BO458" s="36">
        <f>テーブル2[[#This Row],[Fcorr]]</f>
        <v>1</v>
      </c>
      <c r="BP458" s="36">
        <f>(テーブル2[[#This Row],[Tsub]]-40)^2</f>
        <v>1680.3163078124126</v>
      </c>
      <c r="BQ458" s="36">
        <v>1</v>
      </c>
      <c r="BR458" s="36">
        <v>0.15240000000000001</v>
      </c>
    </row>
    <row r="459" spans="1:70" x14ac:dyDescent="0.15">
      <c r="A459" s="35" t="s">
        <v>222</v>
      </c>
      <c r="B459" s="36">
        <v>15513203.909628</v>
      </c>
      <c r="C459" s="22">
        <f>TsatFromP(テーブル2[[#This Row],[P]])</f>
        <v>617.97483343501642</v>
      </c>
      <c r="D459" s="36">
        <f>RhoGFromP(テーブル2[[#This Row],[P]])</f>
        <v>102.22394330032125</v>
      </c>
      <c r="E459" s="36">
        <f>RhoFFromP(テーブル2[[#This Row],[P]])</f>
        <v>593.9978032143099</v>
      </c>
      <c r="F459" s="36">
        <f>HgFromP(テーブル2[[#This Row],[P]])</f>
        <v>2595333.549379834</v>
      </c>
      <c r="G459" s="36">
        <f>HfFromP(テーブル2[[#This Row],[P]])</f>
        <v>1630481.3857881736</v>
      </c>
      <c r="H459" s="36">
        <f>MuGFromP(テーブル2[[#This Row],[P]])</f>
        <v>2.3048203873609753E-5</v>
      </c>
      <c r="I459" s="36">
        <f>MuFFromP(テーブル2[[#This Row],[P]])</f>
        <v>6.8200503236294993E-5</v>
      </c>
      <c r="J459" s="36">
        <f>KfFromP(テーブル2[[#This Row],[P]])</f>
        <v>0.47171772328904032</v>
      </c>
      <c r="K459" s="36">
        <f>CpFFromP(テーブル2[[#This Row],[P]])</f>
        <v>9005.0430614711822</v>
      </c>
      <c r="L459" s="36">
        <f>SigmaFromP(テーブル2[[#This Row],[P]])</f>
        <v>4.6429387983558243E-3</v>
      </c>
      <c r="M459" s="36">
        <v>21.01</v>
      </c>
      <c r="N459" s="36">
        <v>3811.0063</v>
      </c>
      <c r="O459" s="37">
        <f t="shared" si="206"/>
        <v>2.8502295699234246E-6</v>
      </c>
      <c r="P459" s="37">
        <f t="shared" si="207"/>
        <v>5.9847340050885557E-3</v>
      </c>
      <c r="Q459" s="37">
        <v>1.905E-3</v>
      </c>
      <c r="R459" s="36">
        <v>0.15240000000000001</v>
      </c>
      <c r="S459" s="38">
        <v>5236619.3999999994</v>
      </c>
      <c r="T459" s="36">
        <v>541.45534065611855</v>
      </c>
      <c r="U459" s="12">
        <f>+T459+BG459*S459*テーブル2[[#This Row],[Pw]]*R459/(N459*O459*K459)</f>
        <v>590.28408181606414</v>
      </c>
      <c r="V459" s="36">
        <v>0.03</v>
      </c>
      <c r="W459" s="37">
        <f t="shared" si="208"/>
        <v>106450.34357512461</v>
      </c>
      <c r="X459" s="36">
        <v>0.01</v>
      </c>
      <c r="Y459" s="36">
        <f t="shared" si="209"/>
        <v>10</v>
      </c>
      <c r="Z459" s="36">
        <f t="shared" si="210"/>
        <v>5.3278442496463647</v>
      </c>
      <c r="AA459" s="36">
        <f t="shared" si="211"/>
        <v>4.6721557503536353</v>
      </c>
      <c r="AB459" s="36">
        <f t="shared" si="212"/>
        <v>1.8229287627864991E-5</v>
      </c>
      <c r="AC459" s="36">
        <v>600</v>
      </c>
      <c r="AD459" s="36">
        <f t="shared" si="213"/>
        <v>1881.7939950402113</v>
      </c>
      <c r="AE459" s="36">
        <f>+gettm2(AD459,AC459,AK459,AL459,テーブル2[[#This Row],[Fcorr]])</f>
        <v>554.37511769212165</v>
      </c>
      <c r="AF459" s="39">
        <f t="shared" si="214"/>
        <v>-35.908964123942496</v>
      </c>
      <c r="AG459" s="36">
        <v>1.0000000000000001E-5</v>
      </c>
      <c r="AH459" s="36">
        <f t="shared" si="215"/>
        <v>30.563600025216815</v>
      </c>
      <c r="AI459" s="36">
        <f t="shared" si="216"/>
        <v>0.22683487912685049</v>
      </c>
      <c r="AJ459" s="36">
        <f t="shared" si="217"/>
        <v>19.756367401996972</v>
      </c>
      <c r="AK459" s="36">
        <f>+S88*テーブル2[[#This Row],[F_form]]/(E88*CpFromTP((テーブル2[[#This Row],[Tin]]+テーブル2[[#This Row],[Tf]])/2,テーブル2[[#This Row],[P]])*AI88)</f>
        <v>1.8701626495629642</v>
      </c>
      <c r="AL459" s="36">
        <f t="shared" si="218"/>
        <v>1.3019406270654956</v>
      </c>
      <c r="AM459" s="36">
        <f t="shared" si="219"/>
        <v>573.07575878311582</v>
      </c>
      <c r="AN459" s="36">
        <f t="shared" si="220"/>
        <v>44.899074651900605</v>
      </c>
      <c r="AO459" s="36">
        <f t="shared" si="221"/>
        <v>-8.2292876278649903E-6</v>
      </c>
      <c r="AP459" s="36">
        <v>1</v>
      </c>
      <c r="AQ459" s="36">
        <f t="shared" si="222"/>
        <v>3.3448984939390747E-4</v>
      </c>
      <c r="AR459" s="36">
        <f t="shared" si="223"/>
        <v>8.8535618606750526E-7</v>
      </c>
      <c r="AS459" s="36">
        <f t="shared" si="224"/>
        <v>1.7491422093580422</v>
      </c>
      <c r="AT459" s="36">
        <f t="shared" si="225"/>
        <v>1.7491422093580422</v>
      </c>
      <c r="AU459" s="36">
        <f t="shared" si="226"/>
        <v>0.39676646163540374</v>
      </c>
      <c r="AV459" s="36">
        <f t="shared" si="227"/>
        <v>0.60323353836459626</v>
      </c>
      <c r="AW459" s="36">
        <f t="shared" si="228"/>
        <v>1.2381627006250003E-2</v>
      </c>
      <c r="AX459" s="36">
        <f t="shared" si="229"/>
        <v>0.66209597759771455</v>
      </c>
      <c r="AY459" s="36">
        <f t="shared" si="230"/>
        <v>-5.8862439233118291E-2</v>
      </c>
      <c r="AZ459" s="36">
        <f t="shared" si="231"/>
        <v>964852.16359166033</v>
      </c>
      <c r="BA459" s="36">
        <f t="shared" si="232"/>
        <v>3.3448984939390747E-4</v>
      </c>
      <c r="BB459" s="38">
        <f t="shared" si="233"/>
        <v>-14100188.312648162</v>
      </c>
      <c r="BC459" s="40">
        <f t="shared" si="234"/>
        <v>-19336807.712648161</v>
      </c>
      <c r="BD459" s="41">
        <f t="shared" si="235"/>
        <v>-369.2612778512825</v>
      </c>
      <c r="BE459" s="38">
        <v>5236619.3999999994</v>
      </c>
      <c r="BF459" s="42">
        <f>テーブル2[[#This Row],[q_P]]/テーブル2[[#This Row],[q_M]]</f>
        <v>-2.6926127785128253</v>
      </c>
      <c r="BG459" s="36">
        <v>1</v>
      </c>
      <c r="BH459" s="36">
        <v>-1.7000000000000001E-2</v>
      </c>
      <c r="BI459" s="36">
        <v>4.5999999999999999E-2</v>
      </c>
      <c r="BJ459" s="36">
        <v>5625</v>
      </c>
      <c r="BK459" s="22">
        <v>1</v>
      </c>
      <c r="BL459" s="36">
        <f>テーブル2[[#This Row],[Ts]]-テーブル2[[#This Row],[Tin]]</f>
        <v>76.51949277889787</v>
      </c>
      <c r="BM459" s="36">
        <f>テーブル2[[#This Row],[q_P]]*0.000001</f>
        <v>-14.100188312648161</v>
      </c>
      <c r="BN459" s="36">
        <f>テーブル2[[#This Row],[Tsub]]</f>
        <v>76.51949277889787</v>
      </c>
      <c r="BO459" s="36">
        <f>テーブル2[[#This Row],[Fcorr]]</f>
        <v>1</v>
      </c>
      <c r="BP459" s="36">
        <f>(テーブル2[[#This Row],[Tsub]]-40)^2</f>
        <v>1333.6733528279738</v>
      </c>
      <c r="BQ459" s="36">
        <v>1</v>
      </c>
      <c r="BR459" s="36">
        <v>0.15240000000000001</v>
      </c>
    </row>
    <row r="460" spans="1:70" x14ac:dyDescent="0.15">
      <c r="A460" s="35" t="s">
        <v>223</v>
      </c>
      <c r="B460" s="36">
        <v>15513203.909628</v>
      </c>
      <c r="C460" s="22">
        <f>TsatFromP(テーブル2[[#This Row],[P]])</f>
        <v>617.97483343501642</v>
      </c>
      <c r="D460" s="36">
        <f>RhoGFromP(テーブル2[[#This Row],[P]])</f>
        <v>102.22394330032125</v>
      </c>
      <c r="E460" s="36">
        <f>RhoFFromP(テーブル2[[#This Row],[P]])</f>
        <v>593.9978032143099</v>
      </c>
      <c r="F460" s="36">
        <f>HgFromP(テーブル2[[#This Row],[P]])</f>
        <v>2595333.549379834</v>
      </c>
      <c r="G460" s="36">
        <f>HfFromP(テーブル2[[#This Row],[P]])</f>
        <v>1630481.3857881736</v>
      </c>
      <c r="H460" s="36">
        <f>MuGFromP(テーブル2[[#This Row],[P]])</f>
        <v>2.3048203873609753E-5</v>
      </c>
      <c r="I460" s="36">
        <f>MuFFromP(テーブル2[[#This Row],[P]])</f>
        <v>6.8200503236294993E-5</v>
      </c>
      <c r="J460" s="36">
        <f>KfFromP(テーブル2[[#This Row],[P]])</f>
        <v>0.47171772328904032</v>
      </c>
      <c r="K460" s="36">
        <f>CpFFromP(テーブル2[[#This Row],[P]])</f>
        <v>9005.0430614711822</v>
      </c>
      <c r="L460" s="36">
        <f>SigmaFromP(テーブル2[[#This Row],[P]])</f>
        <v>4.6429387983558243E-3</v>
      </c>
      <c r="M460" s="36">
        <v>22.01</v>
      </c>
      <c r="N460" s="36">
        <v>2102.1565000000001</v>
      </c>
      <c r="O460" s="37">
        <f t="shared" si="206"/>
        <v>2.8502295699234246E-6</v>
      </c>
      <c r="P460" s="37">
        <f t="shared" si="207"/>
        <v>5.9847340050885557E-3</v>
      </c>
      <c r="Q460" s="37">
        <v>1.905E-3</v>
      </c>
      <c r="R460" s="36">
        <v>0.69595999999999991</v>
      </c>
      <c r="S460" s="38">
        <v>2082029.4</v>
      </c>
      <c r="T460" s="36">
        <v>299.28719429628478</v>
      </c>
      <c r="U460" s="12">
        <f>+T460+BG460*S460*テーブル2[[#This Row],[Pw]]*R460/(N460*O460*K460)</f>
        <v>460.01288829378723</v>
      </c>
      <c r="V460" s="36">
        <v>0.03</v>
      </c>
      <c r="W460" s="37">
        <f t="shared" si="208"/>
        <v>58718.161046776928</v>
      </c>
      <c r="X460" s="36">
        <v>0.01</v>
      </c>
      <c r="Y460" s="36">
        <f t="shared" si="209"/>
        <v>10</v>
      </c>
      <c r="Z460" s="36">
        <f t="shared" si="210"/>
        <v>4.3378874392612721</v>
      </c>
      <c r="AA460" s="36">
        <f t="shared" si="211"/>
        <v>5.6621125607387279</v>
      </c>
      <c r="AB460" s="36">
        <f t="shared" si="212"/>
        <v>5.9912706779764724E-5</v>
      </c>
      <c r="AC460" s="36">
        <v>600</v>
      </c>
      <c r="AD460" s="36">
        <f t="shared" si="213"/>
        <v>1038.0002463744936</v>
      </c>
      <c r="AE460" s="36">
        <f>+gettm2(AD460,AC460,AK460,AL460,テーブル2[[#This Row],[Fcorr]])</f>
        <v>545.7715979169202</v>
      </c>
      <c r="AF460" s="39">
        <f t="shared" si="214"/>
        <v>85.758709623132972</v>
      </c>
      <c r="AG460" s="36">
        <v>1.0000000000000001E-5</v>
      </c>
      <c r="AH460" s="36">
        <f t="shared" si="215"/>
        <v>9.2994071833669008</v>
      </c>
      <c r="AI460" s="36">
        <f t="shared" si="216"/>
        <v>0.12512244222299582</v>
      </c>
      <c r="AJ460" s="36">
        <f t="shared" si="217"/>
        <v>10.897640381884449</v>
      </c>
      <c r="AK460" s="36">
        <f>+S88*テーブル2[[#This Row],[F_form]]/(E88*CpFromTP((テーブル2[[#This Row],[Tin]]+テーブル2[[#This Row],[Tf]])/2,テーブル2[[#This Row],[P]])*AI88)</f>
        <v>2.3706189878811701</v>
      </c>
      <c r="AL460" s="36">
        <f t="shared" si="218"/>
        <v>1.3019406270654956</v>
      </c>
      <c r="AM460" s="36">
        <f t="shared" si="219"/>
        <v>573.5391424739546</v>
      </c>
      <c r="AN460" s="36">
        <f t="shared" si="220"/>
        <v>44.435690961061823</v>
      </c>
      <c r="AO460" s="36">
        <f t="shared" si="221"/>
        <v>-4.9912706779764725E-5</v>
      </c>
      <c r="AP460" s="36">
        <v>1</v>
      </c>
      <c r="AQ460" s="36">
        <f t="shared" si="222"/>
        <v>3.3448984939390747E-4</v>
      </c>
      <c r="AR460" s="36">
        <f t="shared" si="223"/>
        <v>-1.9956353389882363E-5</v>
      </c>
      <c r="AS460" s="36">
        <f t="shared" si="224"/>
        <v>-21.747716257673861</v>
      </c>
      <c r="AT460" s="36">
        <f t="shared" si="225"/>
        <v>-21.747716257673861</v>
      </c>
      <c r="AU460" s="36">
        <f t="shared" si="226"/>
        <v>-2.7211273709329045</v>
      </c>
      <c r="AV460" s="36">
        <f t="shared" si="227"/>
        <v>3.7211273709329045</v>
      </c>
      <c r="AW460" s="36">
        <f t="shared" si="228"/>
        <v>4.0693679502206301E-2</v>
      </c>
      <c r="AX460" s="36">
        <f t="shared" si="229"/>
        <v>0.36521308372827677</v>
      </c>
      <c r="AY460" s="36">
        <f t="shared" si="230"/>
        <v>3.3559142872046275</v>
      </c>
      <c r="AZ460" s="36">
        <f t="shared" si="231"/>
        <v>964852.16359166033</v>
      </c>
      <c r="BA460" s="36">
        <f t="shared" si="232"/>
        <v>3.3448984939390747E-4</v>
      </c>
      <c r="BB460" s="38">
        <f t="shared" si="233"/>
        <v>-85521201.422784865</v>
      </c>
      <c r="BC460" s="40">
        <f t="shared" si="234"/>
        <v>-87603230.822784871</v>
      </c>
      <c r="BD460" s="41">
        <f t="shared" si="235"/>
        <v>-4207.5885586814902</v>
      </c>
      <c r="BE460" s="38">
        <v>2082029.4</v>
      </c>
      <c r="BF460" s="42">
        <f>テーブル2[[#This Row],[q_P]]/テーブル2[[#This Row],[q_M]]</f>
        <v>-41.075885586814898</v>
      </c>
      <c r="BG460" s="36">
        <v>1</v>
      </c>
      <c r="BH460" s="36">
        <v>-6.0999999999999999E-2</v>
      </c>
      <c r="BI460" s="36">
        <v>4.5999999999999999E-2</v>
      </c>
      <c r="BJ460" s="36">
        <v>5625</v>
      </c>
      <c r="BK460" s="22">
        <v>1</v>
      </c>
      <c r="BL460" s="36">
        <f>テーブル2[[#This Row],[Ts]]-テーブル2[[#This Row],[Tin]]</f>
        <v>318.68763913873164</v>
      </c>
      <c r="BM460" s="36">
        <f>テーブル2[[#This Row],[q_P]]*0.000001</f>
        <v>-85.521201422784856</v>
      </c>
      <c r="BN460" s="36">
        <f>テーブル2[[#This Row],[Tsub]]</f>
        <v>318.68763913873164</v>
      </c>
      <c r="BO460" s="36">
        <f>テーブル2[[#This Row],[Fcorr]]</f>
        <v>1</v>
      </c>
      <c r="BP460" s="36">
        <f>(テーブル2[[#This Row],[Tsub]]-40)^2</f>
        <v>77666.800208719913</v>
      </c>
      <c r="BQ460" s="36">
        <v>1</v>
      </c>
      <c r="BR460" s="36">
        <v>0.69595999999999991</v>
      </c>
    </row>
    <row r="461" spans="1:70" x14ac:dyDescent="0.15">
      <c r="A461" s="35" t="s">
        <v>224</v>
      </c>
      <c r="B461" s="36">
        <v>15513203.909628</v>
      </c>
      <c r="C461" s="22">
        <f>TsatFromP(テーブル2[[#This Row],[P]])</f>
        <v>617.97483343501642</v>
      </c>
      <c r="D461" s="36">
        <f>RhoGFromP(テーブル2[[#This Row],[P]])</f>
        <v>102.22394330032125</v>
      </c>
      <c r="E461" s="36">
        <f>RhoFFromP(テーブル2[[#This Row],[P]])</f>
        <v>593.9978032143099</v>
      </c>
      <c r="F461" s="36">
        <f>HgFromP(テーブル2[[#This Row],[P]])</f>
        <v>2595333.549379834</v>
      </c>
      <c r="G461" s="36">
        <f>HfFromP(テーブル2[[#This Row],[P]])</f>
        <v>1630481.3857881736</v>
      </c>
      <c r="H461" s="36">
        <f>MuGFromP(テーブル2[[#This Row],[P]])</f>
        <v>2.3048203873609753E-5</v>
      </c>
      <c r="I461" s="36">
        <f>MuFFromP(テーブル2[[#This Row],[P]])</f>
        <v>6.8200503236294993E-5</v>
      </c>
      <c r="J461" s="36">
        <f>KfFromP(テーブル2[[#This Row],[P]])</f>
        <v>0.47171772328904032</v>
      </c>
      <c r="K461" s="36">
        <f>CpFFromP(テーブル2[[#This Row],[P]])</f>
        <v>9005.0430614711822</v>
      </c>
      <c r="L461" s="36">
        <f>SigmaFromP(テーブル2[[#This Row],[P]])</f>
        <v>4.6429387983558243E-3</v>
      </c>
      <c r="M461" s="36">
        <v>23.01</v>
      </c>
      <c r="N461" s="36">
        <v>2197.0925999999999</v>
      </c>
      <c r="O461" s="37">
        <f t="shared" si="206"/>
        <v>2.8502295699234246E-6</v>
      </c>
      <c r="P461" s="37">
        <f t="shared" si="207"/>
        <v>5.9847340050885557E-3</v>
      </c>
      <c r="Q461" s="37">
        <v>1.905E-3</v>
      </c>
      <c r="R461" s="36">
        <v>0.69595999999999991</v>
      </c>
      <c r="S461" s="38">
        <v>2145121.2000000002</v>
      </c>
      <c r="T461" s="36">
        <v>297.60162944705837</v>
      </c>
      <c r="U461" s="12">
        <f>+T461+BG461*S461*テーブル2[[#This Row],[Pw]]*R461/(N461*O461*K461)</f>
        <v>456.04240897695695</v>
      </c>
      <c r="V461" s="36">
        <v>0.03</v>
      </c>
      <c r="W461" s="37">
        <f t="shared" si="208"/>
        <v>61369.948965018455</v>
      </c>
      <c r="X461" s="36">
        <v>0.01</v>
      </c>
      <c r="Y461" s="36">
        <f t="shared" si="209"/>
        <v>10</v>
      </c>
      <c r="Z461" s="36">
        <f t="shared" si="210"/>
        <v>4.412143601492355</v>
      </c>
      <c r="AA461" s="36">
        <f t="shared" si="211"/>
        <v>5.587856398507645</v>
      </c>
      <c r="AB461" s="36">
        <f t="shared" si="212"/>
        <v>5.4846928074373099E-5</v>
      </c>
      <c r="AC461" s="36">
        <v>600</v>
      </c>
      <c r="AD461" s="36">
        <f t="shared" si="213"/>
        <v>1084.8776768559223</v>
      </c>
      <c r="AE461" s="36">
        <f>+gettm2(AD461,AC461,AK461,AL461,テーブル2[[#This Row],[Fcorr]])</f>
        <v>545.46059468294573</v>
      </c>
      <c r="AF461" s="39">
        <f t="shared" si="214"/>
        <v>89.418185705988776</v>
      </c>
      <c r="AG461" s="36">
        <v>1.0000000000000001E-5</v>
      </c>
      <c r="AH461" s="36">
        <f t="shared" si="215"/>
        <v>10.158320171499726</v>
      </c>
      <c r="AI461" s="36">
        <f t="shared" si="216"/>
        <v>0.13077313316209885</v>
      </c>
      <c r="AJ461" s="36">
        <f t="shared" si="217"/>
        <v>11.389791883001813</v>
      </c>
      <c r="AK461" s="36">
        <f>+S88*テーブル2[[#This Row],[F_form]]/(E88*CpFromTP((テーブル2[[#This Row],[Tin]]+テーブル2[[#This Row],[Tf]])/2,テーブル2[[#This Row],[P]])*AI88)</f>
        <v>2.3724253657679153</v>
      </c>
      <c r="AL461" s="36">
        <f t="shared" si="218"/>
        <v>1.3019406270654956</v>
      </c>
      <c r="AM461" s="36">
        <f t="shared" si="219"/>
        <v>572.93413733802197</v>
      </c>
      <c r="AN461" s="36">
        <f t="shared" si="220"/>
        <v>45.040696096994452</v>
      </c>
      <c r="AO461" s="36">
        <f t="shared" si="221"/>
        <v>-4.48469280743731E-5</v>
      </c>
      <c r="AP461" s="36">
        <v>1</v>
      </c>
      <c r="AQ461" s="36">
        <f t="shared" si="222"/>
        <v>3.3448984939390747E-4</v>
      </c>
      <c r="AR461" s="36">
        <f t="shared" si="223"/>
        <v>-1.7423464037186551E-5</v>
      </c>
      <c r="AS461" s="36">
        <f t="shared" si="224"/>
        <v>-19.84496292645213</v>
      </c>
      <c r="AT461" s="36">
        <f t="shared" si="225"/>
        <v>-19.84496292645213</v>
      </c>
      <c r="AU461" s="36">
        <f t="shared" si="226"/>
        <v>-2.5951879793778394</v>
      </c>
      <c r="AV461" s="36">
        <f t="shared" si="227"/>
        <v>3.5951879793778394</v>
      </c>
      <c r="AW461" s="36">
        <f t="shared" si="228"/>
        <v>3.7252920669124619E-2</v>
      </c>
      <c r="AX461" s="36">
        <f t="shared" si="229"/>
        <v>0.38170657783213441</v>
      </c>
      <c r="AY461" s="36">
        <f t="shared" si="230"/>
        <v>3.2134814015457049</v>
      </c>
      <c r="AZ461" s="36">
        <f t="shared" si="231"/>
        <v>964852.16359166033</v>
      </c>
      <c r="BA461" s="36">
        <f t="shared" si="232"/>
        <v>3.3448984939390747E-4</v>
      </c>
      <c r="BB461" s="38">
        <f t="shared" si="233"/>
        <v>-76841418.077460676</v>
      </c>
      <c r="BC461" s="40">
        <f t="shared" si="234"/>
        <v>-78986539.277460679</v>
      </c>
      <c r="BD461" s="41">
        <f t="shared" si="235"/>
        <v>-3682.148089229675</v>
      </c>
      <c r="BE461" s="38">
        <v>2145121.2000000002</v>
      </c>
      <c r="BF461" s="42">
        <f>テーブル2[[#This Row],[q_P]]/テーブル2[[#This Row],[q_M]]</f>
        <v>-35.821480892296748</v>
      </c>
      <c r="BG461" s="36">
        <v>1</v>
      </c>
      <c r="BH461" s="36">
        <v>-0.09</v>
      </c>
      <c r="BI461" s="36">
        <v>4.5999999999999999E-2</v>
      </c>
      <c r="BJ461" s="36">
        <v>5625</v>
      </c>
      <c r="BK461" s="22">
        <v>1</v>
      </c>
      <c r="BL461" s="36">
        <f>テーブル2[[#This Row],[Ts]]-テーブル2[[#This Row],[Tin]]</f>
        <v>320.37320398795805</v>
      </c>
      <c r="BM461" s="36">
        <f>テーブル2[[#This Row],[q_P]]*0.000001</f>
        <v>-76.841418077460673</v>
      </c>
      <c r="BN461" s="36">
        <f>テーブル2[[#This Row],[Tsub]]</f>
        <v>320.37320398795805</v>
      </c>
      <c r="BO461" s="36">
        <f>テーブル2[[#This Row],[Fcorr]]</f>
        <v>1</v>
      </c>
      <c r="BP461" s="36">
        <f>(テーブル2[[#This Row],[Tsub]]-40)^2</f>
        <v>78609.133514473142</v>
      </c>
      <c r="BQ461" s="36">
        <v>1</v>
      </c>
      <c r="BR461" s="36">
        <v>0.69595999999999991</v>
      </c>
    </row>
    <row r="462" spans="1:70" x14ac:dyDescent="0.15">
      <c r="A462" s="35" t="s">
        <v>225</v>
      </c>
      <c r="B462" s="36">
        <v>15513203.909628</v>
      </c>
      <c r="C462" s="22">
        <f>TsatFromP(テーブル2[[#This Row],[P]])</f>
        <v>617.97483343501642</v>
      </c>
      <c r="D462" s="36">
        <f>RhoGFromP(テーブル2[[#This Row],[P]])</f>
        <v>102.22394330032125</v>
      </c>
      <c r="E462" s="36">
        <f>RhoFFromP(テーブル2[[#This Row],[P]])</f>
        <v>593.9978032143099</v>
      </c>
      <c r="F462" s="36">
        <f>HgFromP(テーブル2[[#This Row],[P]])</f>
        <v>2595333.549379834</v>
      </c>
      <c r="G462" s="36">
        <f>HfFromP(テーブル2[[#This Row],[P]])</f>
        <v>1630481.3857881736</v>
      </c>
      <c r="H462" s="36">
        <f>MuGFromP(テーブル2[[#This Row],[P]])</f>
        <v>2.3048203873609753E-5</v>
      </c>
      <c r="I462" s="36">
        <f>MuFFromP(テーブル2[[#This Row],[P]])</f>
        <v>6.8200503236294993E-5</v>
      </c>
      <c r="J462" s="36">
        <f>KfFromP(テーブル2[[#This Row],[P]])</f>
        <v>0.47171772328904032</v>
      </c>
      <c r="K462" s="36">
        <f>CpFFromP(テーブル2[[#This Row],[P]])</f>
        <v>9005.0430614711822</v>
      </c>
      <c r="L462" s="36">
        <f>SigmaFromP(テーブル2[[#This Row],[P]])</f>
        <v>4.6429387983558243E-3</v>
      </c>
      <c r="M462" s="36">
        <v>24.01</v>
      </c>
      <c r="N462" s="36">
        <v>2454.7763</v>
      </c>
      <c r="O462" s="37">
        <f t="shared" si="206"/>
        <v>2.8502295699234246E-6</v>
      </c>
      <c r="P462" s="37">
        <f t="shared" si="207"/>
        <v>5.9847340050885557E-3</v>
      </c>
      <c r="Q462" s="37">
        <v>1.905E-3</v>
      </c>
      <c r="R462" s="36">
        <v>0.69595999999999991</v>
      </c>
      <c r="S462" s="38">
        <v>2492126.1</v>
      </c>
      <c r="T462" s="36">
        <v>297.60162944705837</v>
      </c>
      <c r="U462" s="12">
        <f>+T462+BG462*S462*テーブル2[[#This Row],[Pw]]*R462/(N462*O462*K462)</f>
        <v>462.35017481784502</v>
      </c>
      <c r="V462" s="36">
        <v>0.03</v>
      </c>
      <c r="W462" s="37">
        <f t="shared" si="208"/>
        <v>68567.659028816925</v>
      </c>
      <c r="X462" s="36">
        <v>0.01</v>
      </c>
      <c r="Y462" s="36">
        <f t="shared" si="209"/>
        <v>10</v>
      </c>
      <c r="Z462" s="36">
        <f t="shared" si="210"/>
        <v>4.598109670896398</v>
      </c>
      <c r="AA462" s="36">
        <f t="shared" si="211"/>
        <v>5.401890329103602</v>
      </c>
      <c r="AB462" s="36">
        <f t="shared" si="212"/>
        <v>4.3936472646862045E-5</v>
      </c>
      <c r="AC462" s="36">
        <v>600</v>
      </c>
      <c r="AD462" s="36">
        <f t="shared" si="213"/>
        <v>1212.1164167340862</v>
      </c>
      <c r="AE462" s="36">
        <f>+gettm2(AD462,AC462,AK462,AL462,テーブル2[[#This Row],[Fcorr]])</f>
        <v>544.83192562912393</v>
      </c>
      <c r="AF462" s="39">
        <f t="shared" si="214"/>
        <v>82.481750811278914</v>
      </c>
      <c r="AG462" s="36">
        <v>1.0000000000000001E-5</v>
      </c>
      <c r="AH462" s="36">
        <f t="shared" si="215"/>
        <v>12.6808690420097</v>
      </c>
      <c r="AI462" s="36">
        <f t="shared" si="216"/>
        <v>0.14611072285394996</v>
      </c>
      <c r="AJ462" s="36">
        <f t="shared" si="217"/>
        <v>12.725631671748937</v>
      </c>
      <c r="AK462" s="36">
        <f>+S88*テーブル2[[#This Row],[F_form]]/(E88*CpFromTP((テーブル2[[#This Row],[Tin]]+テーブル2[[#This Row],[Tf]])/2,テーブル2[[#This Row],[P]])*AI88)</f>
        <v>2.3704064744526203</v>
      </c>
      <c r="AL462" s="36">
        <f t="shared" si="218"/>
        <v>1.3019406270654956</v>
      </c>
      <c r="AM462" s="36">
        <f t="shared" si="219"/>
        <v>571.50258270347592</v>
      </c>
      <c r="AN462" s="36">
        <f t="shared" si="220"/>
        <v>46.472250731540498</v>
      </c>
      <c r="AO462" s="36">
        <f t="shared" si="221"/>
        <v>-3.3936472646862046E-5</v>
      </c>
      <c r="AP462" s="36">
        <v>1</v>
      </c>
      <c r="AQ462" s="36">
        <f t="shared" si="222"/>
        <v>3.3448984939390747E-4</v>
      </c>
      <c r="AR462" s="36">
        <f t="shared" si="223"/>
        <v>-1.1968236323431023E-5</v>
      </c>
      <c r="AS462" s="36">
        <f t="shared" si="224"/>
        <v>-15.230336721242988</v>
      </c>
      <c r="AT462" s="36">
        <f t="shared" si="225"/>
        <v>-15.230336721242988</v>
      </c>
      <c r="AU462" s="36">
        <f t="shared" si="226"/>
        <v>-2.2253155076498712</v>
      </c>
      <c r="AV462" s="36">
        <f t="shared" si="227"/>
        <v>3.2253155076498712</v>
      </c>
      <c r="AW462" s="36">
        <f t="shared" si="228"/>
        <v>2.984236287172267E-2</v>
      </c>
      <c r="AX462" s="36">
        <f t="shared" si="229"/>
        <v>0.42647463325689089</v>
      </c>
      <c r="AY462" s="36">
        <f t="shared" si="230"/>
        <v>2.7988408743929805</v>
      </c>
      <c r="AZ462" s="36">
        <f t="shared" si="231"/>
        <v>964852.16359166033</v>
      </c>
      <c r="BA462" s="36">
        <f t="shared" si="232"/>
        <v>3.3448984939390747E-4</v>
      </c>
      <c r="BB462" s="38">
        <f t="shared" si="233"/>
        <v>-58147275.514774203</v>
      </c>
      <c r="BC462" s="40">
        <f t="shared" si="234"/>
        <v>-60639401.614774205</v>
      </c>
      <c r="BD462" s="41">
        <f t="shared" si="235"/>
        <v>-2433.2396990174052</v>
      </c>
      <c r="BE462" s="38">
        <v>2492126.1</v>
      </c>
      <c r="BF462" s="42">
        <f>テーブル2[[#This Row],[q_P]]/テーブル2[[#This Row],[q_M]]</f>
        <v>-23.332396990174054</v>
      </c>
      <c r="BG462" s="36">
        <v>1</v>
      </c>
      <c r="BH462" s="36">
        <v>-3.1E-2</v>
      </c>
      <c r="BI462" s="36">
        <v>4.5999999999999999E-2</v>
      </c>
      <c r="BJ462" s="36">
        <v>5625</v>
      </c>
      <c r="BK462" s="22">
        <v>1</v>
      </c>
      <c r="BL462" s="36">
        <f>テーブル2[[#This Row],[Ts]]-テーブル2[[#This Row],[Tin]]</f>
        <v>320.37320398795805</v>
      </c>
      <c r="BM462" s="36">
        <f>テーブル2[[#This Row],[q_P]]*0.000001</f>
        <v>-58.147275514774201</v>
      </c>
      <c r="BN462" s="36">
        <f>テーブル2[[#This Row],[Tsub]]</f>
        <v>320.37320398795805</v>
      </c>
      <c r="BO462" s="36">
        <f>テーブル2[[#This Row],[Fcorr]]</f>
        <v>1</v>
      </c>
      <c r="BP462" s="36">
        <f>(テーブル2[[#This Row],[Tsub]]-40)^2</f>
        <v>78609.133514473142</v>
      </c>
      <c r="BQ462" s="36">
        <v>1</v>
      </c>
      <c r="BR462" s="36">
        <v>0.69595999999999991</v>
      </c>
    </row>
    <row r="463" spans="1:70" x14ac:dyDescent="0.15">
      <c r="A463" s="35" t="s">
        <v>226</v>
      </c>
      <c r="B463" s="36">
        <v>15513203.909628</v>
      </c>
      <c r="C463" s="22">
        <f>TsatFromP(テーブル2[[#This Row],[P]])</f>
        <v>617.97483343501642</v>
      </c>
      <c r="D463" s="36">
        <f>RhoGFromP(テーブル2[[#This Row],[P]])</f>
        <v>102.22394330032125</v>
      </c>
      <c r="E463" s="36">
        <f>RhoFFromP(テーブル2[[#This Row],[P]])</f>
        <v>593.9978032143099</v>
      </c>
      <c r="F463" s="36">
        <f>HgFromP(テーブル2[[#This Row],[P]])</f>
        <v>2595333.549379834</v>
      </c>
      <c r="G463" s="36">
        <f>HfFromP(テーブル2[[#This Row],[P]])</f>
        <v>1630481.3857881736</v>
      </c>
      <c r="H463" s="36">
        <f>MuGFromP(テーブル2[[#This Row],[P]])</f>
        <v>2.3048203873609753E-5</v>
      </c>
      <c r="I463" s="36">
        <f>MuFFromP(テーブル2[[#This Row],[P]])</f>
        <v>6.8200503236294993E-5</v>
      </c>
      <c r="J463" s="36">
        <f>KfFromP(テーブル2[[#This Row],[P]])</f>
        <v>0.47171772328904032</v>
      </c>
      <c r="K463" s="36">
        <f>CpFFromP(テーブル2[[#This Row],[P]])</f>
        <v>9005.0430614711822</v>
      </c>
      <c r="L463" s="36">
        <f>SigmaFromP(テーブル2[[#This Row],[P]])</f>
        <v>4.6429387983558243E-3</v>
      </c>
      <c r="M463" s="36">
        <v>25.01</v>
      </c>
      <c r="N463" s="36">
        <v>2495.4632000000001</v>
      </c>
      <c r="O463" s="37">
        <f t="shared" si="206"/>
        <v>2.8502295699234246E-6</v>
      </c>
      <c r="P463" s="37">
        <f t="shared" si="207"/>
        <v>5.9847340050885557E-3</v>
      </c>
      <c r="Q463" s="37">
        <v>1.905E-3</v>
      </c>
      <c r="R463" s="36">
        <v>0.69595999999999991</v>
      </c>
      <c r="S463" s="38">
        <v>2429034.2999999998</v>
      </c>
      <c r="T463" s="36">
        <v>299.28719429628478</v>
      </c>
      <c r="U463" s="12">
        <f>+T463+BG463*S463*テーブル2[[#This Row],[Pw]]*R463/(N463*O463*K463)</f>
        <v>457.24677580651132</v>
      </c>
      <c r="V463" s="36">
        <v>0.03</v>
      </c>
      <c r="W463" s="37">
        <f t="shared" si="208"/>
        <v>69704.139565206147</v>
      </c>
      <c r="X463" s="36">
        <v>0.01</v>
      </c>
      <c r="Y463" s="36">
        <f t="shared" si="209"/>
        <v>10</v>
      </c>
      <c r="Z463" s="36">
        <f t="shared" si="210"/>
        <v>4.6256153281489389</v>
      </c>
      <c r="AA463" s="36">
        <f t="shared" si="211"/>
        <v>5.3743846718510611</v>
      </c>
      <c r="AB463" s="36">
        <f t="shared" si="212"/>
        <v>4.2515441292055979E-5</v>
      </c>
      <c r="AC463" s="36">
        <v>600</v>
      </c>
      <c r="AD463" s="36">
        <f t="shared" si="213"/>
        <v>1232.20674408327</v>
      </c>
      <c r="AE463" s="36">
        <f>+gettm2(AD463,AC463,AK463,AL463,テーブル2[[#This Row],[Fcorr]])</f>
        <v>544.70622074311518</v>
      </c>
      <c r="AF463" s="39">
        <f t="shared" si="214"/>
        <v>87.459444936603859</v>
      </c>
      <c r="AG463" s="36">
        <v>1.0000000000000001E-5</v>
      </c>
      <c r="AH463" s="36">
        <f t="shared" si="215"/>
        <v>13.104712990637664</v>
      </c>
      <c r="AI463" s="36">
        <f t="shared" si="216"/>
        <v>0.14853244754213699</v>
      </c>
      <c r="AJ463" s="36">
        <f t="shared" si="217"/>
        <v>12.936553743656379</v>
      </c>
      <c r="AK463" s="36">
        <f>+S88*テーブル2[[#This Row],[F_form]]/(E88*CpFromTP((テーブル2[[#This Row],[Tin]]+テーブル2[[#This Row],[Tf]])/2,テーブル2[[#This Row],[P]])*AI88)</f>
        <v>2.3715131423769944</v>
      </c>
      <c r="AL463" s="36">
        <f t="shared" si="218"/>
        <v>1.3019406270654956</v>
      </c>
      <c r="AM463" s="36">
        <f t="shared" si="219"/>
        <v>571.27498800983176</v>
      </c>
      <c r="AN463" s="36">
        <f t="shared" si="220"/>
        <v>46.699845425184662</v>
      </c>
      <c r="AO463" s="36">
        <f t="shared" si="221"/>
        <v>-3.251544129205598E-5</v>
      </c>
      <c r="AP463" s="36">
        <v>1</v>
      </c>
      <c r="AQ463" s="36">
        <f t="shared" si="222"/>
        <v>3.3448984939390747E-4</v>
      </c>
      <c r="AR463" s="36">
        <f t="shared" si="223"/>
        <v>-1.1257720646027991E-5</v>
      </c>
      <c r="AS463" s="36">
        <f t="shared" si="224"/>
        <v>-14.563610816841109</v>
      </c>
      <c r="AT463" s="36">
        <f t="shared" si="225"/>
        <v>-14.563610816841109</v>
      </c>
      <c r="AU463" s="36">
        <f t="shared" si="226"/>
        <v>-2.1631687596765508</v>
      </c>
      <c r="AV463" s="36">
        <f t="shared" si="227"/>
        <v>3.1631687596765508</v>
      </c>
      <c r="AW463" s="36">
        <f t="shared" si="228"/>
        <v>2.8877175391083004E-2</v>
      </c>
      <c r="AX463" s="36">
        <f t="shared" si="229"/>
        <v>0.43354327358711564</v>
      </c>
      <c r="AY463" s="36">
        <f t="shared" si="230"/>
        <v>2.7296254860894349</v>
      </c>
      <c r="AZ463" s="36">
        <f t="shared" si="231"/>
        <v>964852.16359166033</v>
      </c>
      <c r="BA463" s="36">
        <f t="shared" si="232"/>
        <v>3.3448984939390747E-4</v>
      </c>
      <c r="BB463" s="38">
        <f t="shared" si="233"/>
        <v>-55712458.479931854</v>
      </c>
      <c r="BC463" s="40">
        <f t="shared" si="234"/>
        <v>-58141492.779931851</v>
      </c>
      <c r="BD463" s="41">
        <f t="shared" si="235"/>
        <v>-2393.6052603263715</v>
      </c>
      <c r="BE463" s="38">
        <v>2429034.2999999998</v>
      </c>
      <c r="BF463" s="42">
        <f>テーブル2[[#This Row],[q_P]]/テーブル2[[#This Row],[q_M]]</f>
        <v>-22.936052603263715</v>
      </c>
      <c r="BG463" s="36">
        <v>1</v>
      </c>
      <c r="BH463" s="36">
        <v>-8.6999999999999994E-2</v>
      </c>
      <c r="BI463" s="36">
        <v>4.5999999999999999E-2</v>
      </c>
      <c r="BJ463" s="36">
        <v>5625</v>
      </c>
      <c r="BK463" s="22">
        <v>1</v>
      </c>
      <c r="BL463" s="36">
        <f>テーブル2[[#This Row],[Ts]]-テーブル2[[#This Row],[Tin]]</f>
        <v>318.68763913873164</v>
      </c>
      <c r="BM463" s="36">
        <f>テーブル2[[#This Row],[q_P]]*0.000001</f>
        <v>-55.712458479931854</v>
      </c>
      <c r="BN463" s="36">
        <f>テーブル2[[#This Row],[Tsub]]</f>
        <v>318.68763913873164</v>
      </c>
      <c r="BO463" s="36">
        <f>テーブル2[[#This Row],[Fcorr]]</f>
        <v>1</v>
      </c>
      <c r="BP463" s="36">
        <f>(テーブル2[[#This Row],[Tsub]]-40)^2</f>
        <v>77666.800208719913</v>
      </c>
      <c r="BQ463" s="36">
        <v>1</v>
      </c>
      <c r="BR463" s="36">
        <v>0.69595999999999991</v>
      </c>
    </row>
    <row r="464" spans="1:70" x14ac:dyDescent="0.15">
      <c r="A464" s="35" t="s">
        <v>227</v>
      </c>
      <c r="B464" s="36">
        <v>15513203.909628</v>
      </c>
      <c r="C464" s="22">
        <f>TsatFromP(テーブル2[[#This Row],[P]])</f>
        <v>617.97483343501642</v>
      </c>
      <c r="D464" s="36">
        <f>RhoGFromP(テーブル2[[#This Row],[P]])</f>
        <v>102.22394330032125</v>
      </c>
      <c r="E464" s="36">
        <f>RhoFFromP(テーブル2[[#This Row],[P]])</f>
        <v>593.9978032143099</v>
      </c>
      <c r="F464" s="36">
        <f>HgFromP(テーブル2[[#This Row],[P]])</f>
        <v>2595333.549379834</v>
      </c>
      <c r="G464" s="36">
        <f>HfFromP(テーブル2[[#This Row],[P]])</f>
        <v>1630481.3857881736</v>
      </c>
      <c r="H464" s="36">
        <f>MuGFromP(テーブル2[[#This Row],[P]])</f>
        <v>2.3048203873609753E-5</v>
      </c>
      <c r="I464" s="36">
        <f>MuFFromP(テーブル2[[#This Row],[P]])</f>
        <v>6.8200503236294993E-5</v>
      </c>
      <c r="J464" s="36">
        <f>KfFromP(テーブル2[[#This Row],[P]])</f>
        <v>0.47171772328904032</v>
      </c>
      <c r="K464" s="36">
        <f>CpFFromP(テーブル2[[#This Row],[P]])</f>
        <v>9005.0430614711822</v>
      </c>
      <c r="L464" s="36">
        <f>SigmaFromP(テーブル2[[#This Row],[P]])</f>
        <v>4.6429387983558243E-3</v>
      </c>
      <c r="M464" s="36">
        <v>26.01</v>
      </c>
      <c r="N464" s="36">
        <v>3065.0798</v>
      </c>
      <c r="O464" s="37">
        <f t="shared" si="206"/>
        <v>2.8502295699234246E-6</v>
      </c>
      <c r="P464" s="37">
        <f t="shared" si="207"/>
        <v>5.9847340050885557E-3</v>
      </c>
      <c r="Q464" s="37">
        <v>1.905E-3</v>
      </c>
      <c r="R464" s="36">
        <v>0.69595999999999991</v>
      </c>
      <c r="S464" s="38">
        <v>2996860.5</v>
      </c>
      <c r="T464" s="36">
        <v>297.60162944705837</v>
      </c>
      <c r="U464" s="12">
        <f>+T464+BG464*S464*テーブル2[[#This Row],[Pw]]*R464/(N464*O464*K464)</f>
        <v>456.26922425218197</v>
      </c>
      <c r="V464" s="36">
        <v>0.03</v>
      </c>
      <c r="W464" s="37">
        <f t="shared" si="208"/>
        <v>85614.867074655383</v>
      </c>
      <c r="X464" s="36">
        <v>0.01</v>
      </c>
      <c r="Y464" s="36">
        <f t="shared" si="209"/>
        <v>10</v>
      </c>
      <c r="Z464" s="36">
        <f t="shared" si="210"/>
        <v>4.9681911709948423</v>
      </c>
      <c r="AA464" s="36">
        <f t="shared" si="211"/>
        <v>5.0318088290051577</v>
      </c>
      <c r="AB464" s="36">
        <f t="shared" si="212"/>
        <v>2.8181587837415761E-5</v>
      </c>
      <c r="AC464" s="36">
        <v>600</v>
      </c>
      <c r="AD464" s="36">
        <f t="shared" si="213"/>
        <v>1513.471326971842</v>
      </c>
      <c r="AE464" s="36">
        <f>+gettm2(AD464,AC464,AK464,AL464,テーブル2[[#This Row],[Fcorr]])</f>
        <v>543.4393092864326</v>
      </c>
      <c r="AF464" s="39">
        <f t="shared" si="214"/>
        <v>87.170085034250633</v>
      </c>
      <c r="AG464" s="36">
        <v>1.0000000000000001E-5</v>
      </c>
      <c r="AH464" s="36">
        <f t="shared" si="215"/>
        <v>19.770094538923946</v>
      </c>
      <c r="AI464" s="36">
        <f t="shared" si="216"/>
        <v>0.18243659317675517</v>
      </c>
      <c r="AJ464" s="36">
        <f t="shared" si="217"/>
        <v>15.889462750360549</v>
      </c>
      <c r="AK464" s="36">
        <f>+S88*テーブル2[[#This Row],[F_form]]/(E88*CpFromTP((テーブル2[[#This Row],[Tin]]+テーブル2[[#This Row],[Tf]])/2,テーブル2[[#This Row],[P]])*AI88)</f>
        <v>2.3723550670014326</v>
      </c>
      <c r="AL464" s="36">
        <f t="shared" si="218"/>
        <v>1.3019406270654956</v>
      </c>
      <c r="AM464" s="36">
        <f t="shared" si="219"/>
        <v>568.61093136584657</v>
      </c>
      <c r="AN464" s="36">
        <f t="shared" si="220"/>
        <v>49.363902069169853</v>
      </c>
      <c r="AO464" s="36">
        <f t="shared" si="221"/>
        <v>-1.8181587837415762E-5</v>
      </c>
      <c r="AP464" s="36">
        <v>1</v>
      </c>
      <c r="AQ464" s="36">
        <f t="shared" si="222"/>
        <v>3.3448984939390747E-4</v>
      </c>
      <c r="AR464" s="36">
        <f t="shared" si="223"/>
        <v>-4.0907939187078816E-6</v>
      </c>
      <c r="AS464" s="36">
        <f t="shared" si="224"/>
        <v>-6.5000517590710336</v>
      </c>
      <c r="AT464" s="36">
        <f t="shared" si="225"/>
        <v>-6.5000517590710336</v>
      </c>
      <c r="AU464" s="36">
        <f t="shared" si="226"/>
        <v>-1.1858472983974939</v>
      </c>
      <c r="AV464" s="36">
        <f t="shared" si="227"/>
        <v>2.1858472983974941</v>
      </c>
      <c r="AW464" s="36">
        <f t="shared" si="228"/>
        <v>1.914139028194272E-2</v>
      </c>
      <c r="AX464" s="36">
        <f t="shared" si="229"/>
        <v>0.5325042382102616</v>
      </c>
      <c r="AY464" s="36">
        <f t="shared" si="230"/>
        <v>1.6533430601872325</v>
      </c>
      <c r="AZ464" s="36">
        <f t="shared" si="231"/>
        <v>964852.16359166033</v>
      </c>
      <c r="BA464" s="36">
        <f t="shared" si="232"/>
        <v>3.3448984939390747E-4</v>
      </c>
      <c r="BB464" s="38">
        <f t="shared" si="233"/>
        <v>-31152612.950657897</v>
      </c>
      <c r="BC464" s="40">
        <f t="shared" si="234"/>
        <v>-34149473.450657897</v>
      </c>
      <c r="BD464" s="41">
        <f t="shared" si="235"/>
        <v>-1139.5082771005823</v>
      </c>
      <c r="BE464" s="38">
        <v>2996860.5</v>
      </c>
      <c r="BF464" s="42">
        <f>テーブル2[[#This Row],[q_P]]/テーブル2[[#This Row],[q_M]]</f>
        <v>-10.395082771005823</v>
      </c>
      <c r="BG464" s="36">
        <v>1</v>
      </c>
      <c r="BH464" s="36">
        <v>-8.7999999999999995E-2</v>
      </c>
      <c r="BI464" s="36">
        <v>4.5999999999999999E-2</v>
      </c>
      <c r="BJ464" s="36">
        <v>5625</v>
      </c>
      <c r="BK464" s="22">
        <v>1</v>
      </c>
      <c r="BL464" s="36">
        <f>テーブル2[[#This Row],[Ts]]-テーブル2[[#This Row],[Tin]]</f>
        <v>320.37320398795805</v>
      </c>
      <c r="BM464" s="36">
        <f>テーブル2[[#This Row],[q_P]]*0.000001</f>
        <v>-31.152612950657897</v>
      </c>
      <c r="BN464" s="36">
        <f>テーブル2[[#This Row],[Tsub]]</f>
        <v>320.37320398795805</v>
      </c>
      <c r="BO464" s="36">
        <f>テーブル2[[#This Row],[Fcorr]]</f>
        <v>1</v>
      </c>
      <c r="BP464" s="36">
        <f>(テーブル2[[#This Row],[Tsub]]-40)^2</f>
        <v>78609.133514473142</v>
      </c>
      <c r="BQ464" s="36">
        <v>1</v>
      </c>
      <c r="BR464" s="36">
        <v>0.69595999999999991</v>
      </c>
    </row>
    <row r="465" spans="1:70" x14ac:dyDescent="0.15">
      <c r="A465" s="35" t="s">
        <v>228</v>
      </c>
      <c r="B465" s="36">
        <v>15513203.909628</v>
      </c>
      <c r="C465" s="22">
        <f>TsatFromP(テーブル2[[#This Row],[P]])</f>
        <v>617.97483343501642</v>
      </c>
      <c r="D465" s="36">
        <f>RhoGFromP(テーブル2[[#This Row],[P]])</f>
        <v>102.22394330032125</v>
      </c>
      <c r="E465" s="36">
        <f>RhoFFromP(テーブル2[[#This Row],[P]])</f>
        <v>593.9978032143099</v>
      </c>
      <c r="F465" s="36">
        <f>HgFromP(テーブル2[[#This Row],[P]])</f>
        <v>2595333.549379834</v>
      </c>
      <c r="G465" s="36">
        <f>HfFromP(テーブル2[[#This Row],[P]])</f>
        <v>1630481.3857881736</v>
      </c>
      <c r="H465" s="36">
        <f>MuGFromP(テーブル2[[#This Row],[P]])</f>
        <v>2.3048203873609753E-5</v>
      </c>
      <c r="I465" s="36">
        <f>MuFFromP(テーブル2[[#This Row],[P]])</f>
        <v>6.8200503236294993E-5</v>
      </c>
      <c r="J465" s="36">
        <f>KfFromP(テーブル2[[#This Row],[P]])</f>
        <v>0.47171772328904032</v>
      </c>
      <c r="K465" s="36">
        <f>CpFFromP(テーブル2[[#This Row],[P]])</f>
        <v>9005.0430614711822</v>
      </c>
      <c r="L465" s="36">
        <f>SigmaFromP(テーブル2[[#This Row],[P]])</f>
        <v>4.6429387983558243E-3</v>
      </c>
      <c r="M465" s="36">
        <v>27.01</v>
      </c>
      <c r="N465" s="36">
        <v>3173.5781999999999</v>
      </c>
      <c r="O465" s="37">
        <f t="shared" si="206"/>
        <v>2.8502295699234246E-6</v>
      </c>
      <c r="P465" s="37">
        <f t="shared" si="207"/>
        <v>5.9847340050885557E-3</v>
      </c>
      <c r="Q465" s="37">
        <v>1.905E-3</v>
      </c>
      <c r="R465" s="36">
        <v>0.69595999999999991</v>
      </c>
      <c r="S465" s="38">
        <v>3091498.2</v>
      </c>
      <c r="T465" s="36">
        <v>297.03976193415508</v>
      </c>
      <c r="U465" s="12">
        <f>+T465+BG465*S465*テーブル2[[#This Row],[Pw]]*R465/(N465*O465*K465)</f>
        <v>455.12207816194984</v>
      </c>
      <c r="V465" s="36">
        <v>0.03</v>
      </c>
      <c r="W465" s="37">
        <f t="shared" si="208"/>
        <v>88645.481838359992</v>
      </c>
      <c r="X465" s="36">
        <v>0.01</v>
      </c>
      <c r="Y465" s="36">
        <f t="shared" si="209"/>
        <v>10</v>
      </c>
      <c r="Z465" s="36">
        <f t="shared" si="210"/>
        <v>5.0258699999848311</v>
      </c>
      <c r="AA465" s="36">
        <f t="shared" si="211"/>
        <v>4.9741300000151689</v>
      </c>
      <c r="AB465" s="36">
        <f t="shared" si="212"/>
        <v>2.628758091138592E-5</v>
      </c>
      <c r="AC465" s="36">
        <v>600</v>
      </c>
      <c r="AD465" s="36">
        <f t="shared" si="213"/>
        <v>1567.0455332363326</v>
      </c>
      <c r="AE465" s="36">
        <f>+gettm2(AD465,AC465,AK465,AL465,テーブル2[[#This Row],[Fcorr]])</f>
        <v>543.2161406174713</v>
      </c>
      <c r="AF465" s="39">
        <f t="shared" si="214"/>
        <v>88.094062455521453</v>
      </c>
      <c r="AG465" s="36">
        <v>1.0000000000000001E-5</v>
      </c>
      <c r="AH465" s="36">
        <f t="shared" si="215"/>
        <v>21.194519863993261</v>
      </c>
      <c r="AI465" s="36">
        <f t="shared" si="216"/>
        <v>0.18889452567858725</v>
      </c>
      <c r="AJ465" s="36">
        <f t="shared" si="217"/>
        <v>16.451921608780395</v>
      </c>
      <c r="AK465" s="36">
        <f>+S88*テーブル2[[#This Row],[F_form]]/(E88*CpFromTP((テーブル2[[#This Row],[Tin]]+テーブル2[[#This Row],[Tf]])/2,テーブル2[[#This Row],[P]])*AI88)</f>
        <v>2.3728848585561275</v>
      </c>
      <c r="AL465" s="36">
        <f t="shared" si="218"/>
        <v>1.3019406270654956</v>
      </c>
      <c r="AM465" s="36">
        <f t="shared" si="219"/>
        <v>568.1593155615526</v>
      </c>
      <c r="AN465" s="36">
        <f t="shared" si="220"/>
        <v>49.815517873463818</v>
      </c>
      <c r="AO465" s="36">
        <f t="shared" si="221"/>
        <v>-1.6287580911385918E-5</v>
      </c>
      <c r="AP465" s="36">
        <v>1</v>
      </c>
      <c r="AQ465" s="36">
        <f t="shared" si="222"/>
        <v>3.3448984939390747E-4</v>
      </c>
      <c r="AR465" s="36">
        <f t="shared" si="223"/>
        <v>-3.1437904556929577E-6</v>
      </c>
      <c r="AS465" s="36">
        <f t="shared" si="224"/>
        <v>-5.1721394131492531</v>
      </c>
      <c r="AT465" s="36">
        <f t="shared" si="225"/>
        <v>-5.1721394131492531</v>
      </c>
      <c r="AU465" s="36">
        <f t="shared" si="226"/>
        <v>-0.97698882119035479</v>
      </c>
      <c r="AV465" s="36">
        <f t="shared" si="227"/>
        <v>1.9769888211903548</v>
      </c>
      <c r="AW465" s="36">
        <f t="shared" si="228"/>
        <v>1.7854950143189902E-2</v>
      </c>
      <c r="AX465" s="36">
        <f t="shared" si="229"/>
        <v>0.5513539457575275</v>
      </c>
      <c r="AY465" s="36">
        <f t="shared" si="230"/>
        <v>1.4256348754328272</v>
      </c>
      <c r="AZ465" s="36">
        <f t="shared" si="231"/>
        <v>964852.16359166033</v>
      </c>
      <c r="BA465" s="36">
        <f t="shared" si="232"/>
        <v>3.3448984939390747E-4</v>
      </c>
      <c r="BB465" s="38">
        <f t="shared" si="233"/>
        <v>-27907392.279058982</v>
      </c>
      <c r="BC465" s="40">
        <f t="shared" si="234"/>
        <v>-30998890.479058981</v>
      </c>
      <c r="BD465" s="41">
        <f t="shared" si="235"/>
        <v>-1002.714168782598</v>
      </c>
      <c r="BE465" s="38">
        <v>3091498.2</v>
      </c>
      <c r="BF465" s="42">
        <f>テーブル2[[#This Row],[q_P]]/テーブル2[[#This Row],[q_M]]</f>
        <v>-9.0271416878259796</v>
      </c>
      <c r="BG465" s="36">
        <v>1</v>
      </c>
      <c r="BH465" s="36">
        <v>-9.6000000000000002E-2</v>
      </c>
      <c r="BI465" s="36">
        <v>4.5999999999999999E-2</v>
      </c>
      <c r="BJ465" s="36">
        <v>5625</v>
      </c>
      <c r="BK465" s="22">
        <v>1</v>
      </c>
      <c r="BL465" s="36">
        <f>テーブル2[[#This Row],[Ts]]-テーブル2[[#This Row],[Tin]]</f>
        <v>320.93507150086134</v>
      </c>
      <c r="BM465" s="36">
        <f>テーブル2[[#This Row],[q_P]]*0.000001</f>
        <v>-27.907392279058982</v>
      </c>
      <c r="BN465" s="36">
        <f>テーブル2[[#This Row],[Tsub]]</f>
        <v>320.93507150086134</v>
      </c>
      <c r="BO465" s="36">
        <f>テーブル2[[#This Row],[Fcorr]]</f>
        <v>1</v>
      </c>
      <c r="BP465" s="36">
        <f>(テーブル2[[#This Row],[Tsub]]-40)^2</f>
        <v>78924.514399194071</v>
      </c>
      <c r="BQ465" s="36">
        <v>1</v>
      </c>
      <c r="BR465" s="36">
        <v>0.69595999999999991</v>
      </c>
    </row>
    <row r="466" spans="1:70" x14ac:dyDescent="0.15">
      <c r="A466" s="35" t="s">
        <v>229</v>
      </c>
      <c r="B466" s="36">
        <v>15513203.909628</v>
      </c>
      <c r="C466" s="22">
        <f>TsatFromP(テーブル2[[#This Row],[P]])</f>
        <v>617.97483343501642</v>
      </c>
      <c r="D466" s="36">
        <f>RhoGFromP(テーブル2[[#This Row],[P]])</f>
        <v>102.22394330032125</v>
      </c>
      <c r="E466" s="36">
        <f>RhoFFromP(テーブル2[[#This Row],[P]])</f>
        <v>593.9978032143099</v>
      </c>
      <c r="F466" s="36">
        <f>HgFromP(テーブル2[[#This Row],[P]])</f>
        <v>2595333.549379834</v>
      </c>
      <c r="G466" s="36">
        <f>HfFromP(テーブル2[[#This Row],[P]])</f>
        <v>1630481.3857881736</v>
      </c>
      <c r="H466" s="36">
        <f>MuGFromP(テーブル2[[#This Row],[P]])</f>
        <v>2.3048203873609753E-5</v>
      </c>
      <c r="I466" s="36">
        <f>MuFFromP(テーブル2[[#This Row],[P]])</f>
        <v>6.8200503236294993E-5</v>
      </c>
      <c r="J466" s="36">
        <f>KfFromP(テーブル2[[#This Row],[P]])</f>
        <v>0.47171772328904032</v>
      </c>
      <c r="K466" s="36">
        <f>CpFFromP(テーブル2[[#This Row],[P]])</f>
        <v>9005.0430614711822</v>
      </c>
      <c r="L466" s="36">
        <f>SigmaFromP(テーブル2[[#This Row],[P]])</f>
        <v>4.6429387983558243E-3</v>
      </c>
      <c r="M466" s="36">
        <v>28.01</v>
      </c>
      <c r="N466" s="36">
        <v>3688.9456</v>
      </c>
      <c r="O466" s="37">
        <f t="shared" si="206"/>
        <v>2.8502295699234246E-6</v>
      </c>
      <c r="P466" s="37">
        <f t="shared" si="207"/>
        <v>5.9847340050885557E-3</v>
      </c>
      <c r="Q466" s="37">
        <v>1.905E-3</v>
      </c>
      <c r="R466" s="36">
        <v>0.69595999999999991</v>
      </c>
      <c r="S466" s="38">
        <v>3523677.0299999989</v>
      </c>
      <c r="T466" s="36">
        <v>299.79285116759172</v>
      </c>
      <c r="U466" s="12">
        <f>+T466+BG466*S466*テーブル2[[#This Row],[Pw]]*R466/(N466*O466*K466)</f>
        <v>454.80200351973951</v>
      </c>
      <c r="V466" s="36">
        <v>0.03</v>
      </c>
      <c r="W466" s="37">
        <f t="shared" si="208"/>
        <v>103040.90196595692</v>
      </c>
      <c r="X466" s="36">
        <v>0.01</v>
      </c>
      <c r="Y466" s="36">
        <f t="shared" si="209"/>
        <v>10</v>
      </c>
      <c r="Z466" s="36">
        <f t="shared" si="210"/>
        <v>5.2743333477902983</v>
      </c>
      <c r="AA466" s="36">
        <f t="shared" si="211"/>
        <v>4.7256666522097017</v>
      </c>
      <c r="AB466" s="36">
        <f t="shared" si="212"/>
        <v>1.9455595539357797E-5</v>
      </c>
      <c r="AC466" s="36">
        <v>600</v>
      </c>
      <c r="AD466" s="36">
        <f t="shared" si="213"/>
        <v>1821.5230129926597</v>
      </c>
      <c r="AE466" s="36">
        <f>+gettm2(AD466,AC466,AK466,AL466,テーブル2[[#This Row],[Fcorr]])</f>
        <v>542.32537797887267</v>
      </c>
      <c r="AF466" s="39">
        <f t="shared" si="214"/>
        <v>87.523374459133152</v>
      </c>
      <c r="AG466" s="36">
        <v>1.0000000000000001E-5</v>
      </c>
      <c r="AH466" s="36">
        <f t="shared" si="215"/>
        <v>28.637142187480407</v>
      </c>
      <c r="AI466" s="36">
        <f t="shared" si="216"/>
        <v>0.21956970506228943</v>
      </c>
      <c r="AJ466" s="36">
        <f t="shared" si="217"/>
        <v>19.123601186274648</v>
      </c>
      <c r="AK466" s="36">
        <f>+S88*テーブル2[[#This Row],[F_form]]/(E88*CpFromTP((テーブル2[[#This Row],[Tin]]+テーブル2[[#This Row],[Tf]])/2,テーブル2[[#This Row],[P]])*AI88)</f>
        <v>2.3721274412029012</v>
      </c>
      <c r="AL466" s="36">
        <f t="shared" si="218"/>
        <v>1.3019406270654956</v>
      </c>
      <c r="AM466" s="36">
        <f t="shared" si="219"/>
        <v>566.25969377926367</v>
      </c>
      <c r="AN466" s="36">
        <f t="shared" si="220"/>
        <v>51.715139655752751</v>
      </c>
      <c r="AO466" s="36">
        <f t="shared" si="221"/>
        <v>-9.4555955393577966E-6</v>
      </c>
      <c r="AP466" s="36">
        <v>1</v>
      </c>
      <c r="AQ466" s="36">
        <f t="shared" si="222"/>
        <v>3.3448984939390747E-4</v>
      </c>
      <c r="AR466" s="36">
        <f t="shared" si="223"/>
        <v>2.722022303211021E-7</v>
      </c>
      <c r="AS466" s="36">
        <f t="shared" si="224"/>
        <v>0.5205486894675232</v>
      </c>
      <c r="AT466" s="36">
        <f t="shared" si="225"/>
        <v>0.5205486894675232</v>
      </c>
      <c r="AU466" s="36">
        <f t="shared" si="226"/>
        <v>0.11429672221694535</v>
      </c>
      <c r="AV466" s="36">
        <f t="shared" si="227"/>
        <v>0.88570327778305469</v>
      </c>
      <c r="AW466" s="36">
        <f t="shared" si="228"/>
        <v>1.3214555174639197E-2</v>
      </c>
      <c r="AX466" s="36">
        <f t="shared" si="229"/>
        <v>0.64089005660704046</v>
      </c>
      <c r="AY466" s="36">
        <f t="shared" si="230"/>
        <v>0.24481322117601423</v>
      </c>
      <c r="AZ466" s="36">
        <f t="shared" si="231"/>
        <v>964852.16359166033</v>
      </c>
      <c r="BA466" s="36">
        <f t="shared" si="232"/>
        <v>3.3448984939390747E-4</v>
      </c>
      <c r="BB466" s="38">
        <f t="shared" si="233"/>
        <v>-16201363.197189761</v>
      </c>
      <c r="BC466" s="40">
        <f t="shared" si="234"/>
        <v>-19725040.227189761</v>
      </c>
      <c r="BD466" s="41">
        <f t="shared" si="235"/>
        <v>-559.7857028114114</v>
      </c>
      <c r="BE466" s="38">
        <v>3523677.0299999989</v>
      </c>
      <c r="BF466" s="42">
        <f>テーブル2[[#This Row],[q_P]]/テーブル2[[#This Row],[q_M]]</f>
        <v>-4.597857028114114</v>
      </c>
      <c r="BG466" s="36">
        <v>1</v>
      </c>
      <c r="BH466" s="36">
        <v>-4.3999999999999997E-2</v>
      </c>
      <c r="BI466" s="36">
        <v>4.5999999999999999E-2</v>
      </c>
      <c r="BJ466" s="36">
        <v>5625</v>
      </c>
      <c r="BK466" s="22">
        <v>1</v>
      </c>
      <c r="BL466" s="36">
        <f>テーブル2[[#This Row],[Ts]]-テーブル2[[#This Row],[Tin]]</f>
        <v>318.1819822674247</v>
      </c>
      <c r="BM466" s="36">
        <f>テーブル2[[#This Row],[q_P]]*0.000001</f>
        <v>-16.20136319718976</v>
      </c>
      <c r="BN466" s="36">
        <f>テーブル2[[#This Row],[Tsub]]</f>
        <v>318.1819822674247</v>
      </c>
      <c r="BO466" s="36">
        <f>テーブル2[[#This Row],[Fcorr]]</f>
        <v>1</v>
      </c>
      <c r="BP466" s="36">
        <f>(テーブル2[[#This Row],[Tsub]]-40)^2</f>
        <v>77385.215258233788</v>
      </c>
      <c r="BQ466" s="36">
        <v>1</v>
      </c>
      <c r="BR466" s="36">
        <v>0.69595999999999991</v>
      </c>
    </row>
    <row r="467" spans="1:70" x14ac:dyDescent="0.15">
      <c r="A467" s="35" t="s">
        <v>230</v>
      </c>
      <c r="B467" s="36">
        <v>15513203.909628</v>
      </c>
      <c r="C467" s="22">
        <f>TsatFromP(テーブル2[[#This Row],[P]])</f>
        <v>617.97483343501642</v>
      </c>
      <c r="D467" s="36">
        <f>RhoGFromP(テーブル2[[#This Row],[P]])</f>
        <v>102.22394330032125</v>
      </c>
      <c r="E467" s="36">
        <f>RhoFFromP(テーブル2[[#This Row],[P]])</f>
        <v>593.9978032143099</v>
      </c>
      <c r="F467" s="36">
        <f>HgFromP(テーブル2[[#This Row],[P]])</f>
        <v>2595333.549379834</v>
      </c>
      <c r="G467" s="36">
        <f>HfFromP(テーブル2[[#This Row],[P]])</f>
        <v>1630481.3857881736</v>
      </c>
      <c r="H467" s="36">
        <f>MuGFromP(テーブル2[[#This Row],[P]])</f>
        <v>2.3048203873609753E-5</v>
      </c>
      <c r="I467" s="36">
        <f>MuFFromP(テーブル2[[#This Row],[P]])</f>
        <v>6.8200503236294993E-5</v>
      </c>
      <c r="J467" s="36">
        <f>KfFromP(テーブル2[[#This Row],[P]])</f>
        <v>0.47171772328904032</v>
      </c>
      <c r="K467" s="36">
        <f>CpFFromP(テーブル2[[#This Row],[P]])</f>
        <v>9005.0430614711822</v>
      </c>
      <c r="L467" s="36">
        <f>SigmaFromP(テーブル2[[#This Row],[P]])</f>
        <v>4.6429387983558243E-3</v>
      </c>
      <c r="M467" s="36">
        <v>29.01</v>
      </c>
      <c r="N467" s="36">
        <v>3743.1948000000002</v>
      </c>
      <c r="O467" s="37">
        <f t="shared" si="206"/>
        <v>2.8502295699234246E-6</v>
      </c>
      <c r="P467" s="37">
        <f t="shared" si="207"/>
        <v>5.9847340050885557E-3</v>
      </c>
      <c r="Q467" s="37">
        <v>1.905E-3</v>
      </c>
      <c r="R467" s="36">
        <v>0.69595999999999991</v>
      </c>
      <c r="S467" s="38">
        <v>3722416.2</v>
      </c>
      <c r="T467" s="36">
        <v>299.79285116759172</v>
      </c>
      <c r="U467" s="12">
        <f>+T467+BG467*S467*テーブル2[[#This Row],[Pw]]*R467/(N467*O467*K467)</f>
        <v>461.17147123864572</v>
      </c>
      <c r="V467" s="36">
        <v>0.03</v>
      </c>
      <c r="W467" s="37">
        <f t="shared" si="208"/>
        <v>104556.20934780923</v>
      </c>
      <c r="X467" s="36">
        <v>0.01</v>
      </c>
      <c r="Y467" s="36">
        <f t="shared" si="209"/>
        <v>10</v>
      </c>
      <c r="Z467" s="36">
        <f t="shared" si="210"/>
        <v>5.2983421865378713</v>
      </c>
      <c r="AA467" s="36">
        <f t="shared" si="211"/>
        <v>4.7016578134621287</v>
      </c>
      <c r="AB467" s="36">
        <f t="shared" si="212"/>
        <v>1.8895751685358212E-5</v>
      </c>
      <c r="AC467" s="36">
        <v>600</v>
      </c>
      <c r="AD467" s="36">
        <f t="shared" si="213"/>
        <v>1848.3101161249051</v>
      </c>
      <c r="AE467" s="36">
        <f>+gettm2(AD467,AC467,AK467,AL467,テーブル2[[#This Row],[Fcorr]])</f>
        <v>542.28740893323254</v>
      </c>
      <c r="AF467" s="39">
        <f t="shared" si="214"/>
        <v>81.115937694586819</v>
      </c>
      <c r="AG467" s="36">
        <v>1.0000000000000001E-5</v>
      </c>
      <c r="AH467" s="36">
        <f t="shared" si="215"/>
        <v>29.485604228934747</v>
      </c>
      <c r="AI467" s="36">
        <f t="shared" si="216"/>
        <v>0.22279867131320549</v>
      </c>
      <c r="AJ467" s="36">
        <f t="shared" si="217"/>
        <v>19.40483061548457</v>
      </c>
      <c r="AK467" s="36">
        <f>+S88*テーブル2[[#This Row],[F_form]]/(E88*CpFromTP((テーブル2[[#This Row],[Tin]]+テーブル2[[#This Row],[Tf]])/2,テーブル2[[#This Row],[P]])*AI88)</f>
        <v>2.3700709007169594</v>
      </c>
      <c r="AL467" s="36">
        <f t="shared" si="218"/>
        <v>1.3019406270654956</v>
      </c>
      <c r="AM467" s="36">
        <f t="shared" si="219"/>
        <v>566.10486341496426</v>
      </c>
      <c r="AN467" s="36">
        <f t="shared" si="220"/>
        <v>51.869970020052165</v>
      </c>
      <c r="AO467" s="36">
        <f t="shared" si="221"/>
        <v>-8.8957516853582115E-6</v>
      </c>
      <c r="AP467" s="36">
        <v>1</v>
      </c>
      <c r="AQ467" s="36">
        <f t="shared" si="222"/>
        <v>3.3448984939390747E-4</v>
      </c>
      <c r="AR467" s="36">
        <f t="shared" si="223"/>
        <v>5.5212415732089466E-7</v>
      </c>
      <c r="AS467" s="36">
        <f t="shared" si="224"/>
        <v>1.0713875751529114</v>
      </c>
      <c r="AT467" s="36">
        <f t="shared" si="225"/>
        <v>1.0713875751529114</v>
      </c>
      <c r="AU467" s="36">
        <f t="shared" si="226"/>
        <v>0.23870372820554575</v>
      </c>
      <c r="AV467" s="36">
        <f t="shared" si="227"/>
        <v>0.76129627179445425</v>
      </c>
      <c r="AW467" s="36">
        <f t="shared" si="228"/>
        <v>1.2834300173814667E-2</v>
      </c>
      <c r="AX467" s="36">
        <f t="shared" si="229"/>
        <v>0.65031491038067357</v>
      </c>
      <c r="AY467" s="36">
        <f t="shared" si="230"/>
        <v>0.11098136141378068</v>
      </c>
      <c r="AZ467" s="36">
        <f t="shared" si="231"/>
        <v>964852.16359166033</v>
      </c>
      <c r="BA467" s="36">
        <f t="shared" si="232"/>
        <v>3.3448984939390747E-4</v>
      </c>
      <c r="BB467" s="38">
        <f t="shared" si="233"/>
        <v>-15242118.105264248</v>
      </c>
      <c r="BC467" s="40">
        <f t="shared" si="234"/>
        <v>-18964534.305264249</v>
      </c>
      <c r="BD467" s="41">
        <f t="shared" si="235"/>
        <v>-509.46840133739607</v>
      </c>
      <c r="BE467" s="38">
        <v>3722416.2</v>
      </c>
      <c r="BF467" s="42">
        <f>テーブル2[[#This Row],[q_P]]/テーブル2[[#This Row],[q_M]]</f>
        <v>-4.0946840133739606</v>
      </c>
      <c r="BG467" s="36">
        <v>1</v>
      </c>
      <c r="BH467" s="36">
        <v>-0.06</v>
      </c>
      <c r="BI467" s="36">
        <v>4.5999999999999999E-2</v>
      </c>
      <c r="BJ467" s="36">
        <v>5625</v>
      </c>
      <c r="BK467" s="22">
        <v>1</v>
      </c>
      <c r="BL467" s="36">
        <f>テーブル2[[#This Row],[Ts]]-テーブル2[[#This Row],[Tin]]</f>
        <v>318.1819822674247</v>
      </c>
      <c r="BM467" s="36">
        <f>テーブル2[[#This Row],[q_P]]*0.000001</f>
        <v>-15.242118105264248</v>
      </c>
      <c r="BN467" s="36">
        <f>テーブル2[[#This Row],[Tsub]]</f>
        <v>318.1819822674247</v>
      </c>
      <c r="BO467" s="36">
        <f>テーブル2[[#This Row],[Fcorr]]</f>
        <v>1</v>
      </c>
      <c r="BP467" s="36">
        <f>(テーブル2[[#This Row],[Tsub]]-40)^2</f>
        <v>77385.215258233788</v>
      </c>
      <c r="BQ467" s="36">
        <v>1</v>
      </c>
      <c r="BR467" s="36">
        <v>0.69595999999999991</v>
      </c>
    </row>
    <row r="468" spans="1:70" x14ac:dyDescent="0.15">
      <c r="A468" s="35" t="s">
        <v>204</v>
      </c>
      <c r="B468" s="36">
        <v>15513203.909628</v>
      </c>
      <c r="C468" s="22">
        <f>TsatFromP(テーブル2[[#This Row],[P]])</f>
        <v>617.97483343501642</v>
      </c>
      <c r="D468" s="36">
        <f>RhoGFromP(テーブル2[[#This Row],[P]])</f>
        <v>102.22394330032125</v>
      </c>
      <c r="E468" s="36">
        <f>RhoFFromP(テーブル2[[#This Row],[P]])</f>
        <v>593.9978032143099</v>
      </c>
      <c r="F468" s="36">
        <f>HgFromP(テーブル2[[#This Row],[P]])</f>
        <v>2595333.549379834</v>
      </c>
      <c r="G468" s="36">
        <f>HfFromP(テーブル2[[#This Row],[P]])</f>
        <v>1630481.3857881736</v>
      </c>
      <c r="H468" s="36">
        <f>MuGFromP(テーブル2[[#This Row],[P]])</f>
        <v>2.3048203873609753E-5</v>
      </c>
      <c r="I468" s="36">
        <f>MuFFromP(テーブル2[[#This Row],[P]])</f>
        <v>6.8200503236294993E-5</v>
      </c>
      <c r="J468" s="36">
        <f>KfFromP(テーブル2[[#This Row],[P]])</f>
        <v>0.47171772328904032</v>
      </c>
      <c r="K468" s="36">
        <f>CpFFromP(テーブル2[[#This Row],[P]])</f>
        <v>9005.0430614711822</v>
      </c>
      <c r="L468" s="36">
        <f>SigmaFromP(テーブル2[[#This Row],[P]])</f>
        <v>4.6429387983558243E-3</v>
      </c>
      <c r="M468" s="36">
        <v>3.01</v>
      </c>
      <c r="N468" s="36">
        <v>2115.7188000000001</v>
      </c>
      <c r="O468" s="37">
        <f t="shared" si="206"/>
        <v>2.8502295699234246E-6</v>
      </c>
      <c r="P468" s="37">
        <f t="shared" si="207"/>
        <v>5.9847340050885557E-3</v>
      </c>
      <c r="Q468" s="37">
        <v>1.905E-3</v>
      </c>
      <c r="R468" s="36">
        <v>0.15240000000000001</v>
      </c>
      <c r="S468" s="38">
        <v>3722416.2</v>
      </c>
      <c r="T468" s="36">
        <v>514.67337606307285</v>
      </c>
      <c r="U468" s="12">
        <f>+T468+BG468*S468*テーブル2[[#This Row],[Pw]]*R468/(N468*O468*K468)</f>
        <v>577.19513229498034</v>
      </c>
      <c r="V468" s="36">
        <v>0.03</v>
      </c>
      <c r="W468" s="37">
        <f t="shared" si="208"/>
        <v>59096.987892240002</v>
      </c>
      <c r="X468" s="36">
        <v>0.01</v>
      </c>
      <c r="Y468" s="36">
        <f t="shared" si="209"/>
        <v>10</v>
      </c>
      <c r="Z468" s="36">
        <f t="shared" si="210"/>
        <v>4.348704735297229</v>
      </c>
      <c r="AA468" s="36">
        <f t="shared" si="211"/>
        <v>5.651295264702771</v>
      </c>
      <c r="AB468" s="36">
        <f t="shared" si="212"/>
        <v>5.9147057050618313E-5</v>
      </c>
      <c r="AC468" s="36">
        <v>600</v>
      </c>
      <c r="AD468" s="36">
        <f t="shared" si="213"/>
        <v>1044.697022157555</v>
      </c>
      <c r="AE468" s="36">
        <f>+gettm2(AD468,AC468,AK468,AL468,テーブル2[[#This Row],[Fcorr]])</f>
        <v>554.37546078683386</v>
      </c>
      <c r="AF468" s="39">
        <f t="shared" si="214"/>
        <v>-22.819671508146484</v>
      </c>
      <c r="AG468" s="36">
        <v>1.0000000000000001E-5</v>
      </c>
      <c r="AH468" s="36">
        <f t="shared" si="215"/>
        <v>9.4197866062192261</v>
      </c>
      <c r="AI468" s="36">
        <f t="shared" si="216"/>
        <v>0.12592968378572483</v>
      </c>
      <c r="AJ468" s="36">
        <f t="shared" si="217"/>
        <v>10.967947739186929</v>
      </c>
      <c r="AK468" s="36">
        <f>+S88*テーブル2[[#This Row],[F_form]]/(E88*CpFromTP((テーブル2[[#This Row],[Tin]]+テーブル2[[#This Row],[Tf]])/2,テーブル2[[#This Row],[P]])*AI88)</f>
        <v>1.993054538381285</v>
      </c>
      <c r="AL468" s="36">
        <f t="shared" si="218"/>
        <v>1.3019406270654956</v>
      </c>
      <c r="AM468" s="36">
        <f t="shared" si="219"/>
        <v>577.68182888732485</v>
      </c>
      <c r="AN468" s="36">
        <f t="shared" si="220"/>
        <v>40.293004547691567</v>
      </c>
      <c r="AO468" s="36">
        <f t="shared" si="221"/>
        <v>-4.9147057050618314E-5</v>
      </c>
      <c r="AP468" s="36">
        <v>1</v>
      </c>
      <c r="AQ468" s="36">
        <f t="shared" si="222"/>
        <v>3.3448984939390747E-4</v>
      </c>
      <c r="AR468" s="36">
        <f t="shared" si="223"/>
        <v>-1.9573528525309158E-5</v>
      </c>
      <c r="AS468" s="36">
        <f t="shared" si="224"/>
        <v>-21.468143793707544</v>
      </c>
      <c r="AT468" s="36">
        <f t="shared" si="225"/>
        <v>-21.468143793707544</v>
      </c>
      <c r="AU468" s="36">
        <f t="shared" si="226"/>
        <v>-2.7034765594080619</v>
      </c>
      <c r="AV468" s="36">
        <f t="shared" si="227"/>
        <v>3.7034765594080619</v>
      </c>
      <c r="AW468" s="36">
        <f t="shared" si="228"/>
        <v>4.0173637822177283E-2</v>
      </c>
      <c r="AX468" s="36">
        <f t="shared" si="229"/>
        <v>0.36756929717168502</v>
      </c>
      <c r="AY468" s="36">
        <f t="shared" si="230"/>
        <v>3.3359072622363768</v>
      </c>
      <c r="AZ468" s="36">
        <f t="shared" si="231"/>
        <v>964852.16359166033</v>
      </c>
      <c r="BA468" s="36">
        <f t="shared" si="232"/>
        <v>3.3448984939390747E-4</v>
      </c>
      <c r="BB468" s="38">
        <f t="shared" si="233"/>
        <v>-84209325.370969996</v>
      </c>
      <c r="BC468" s="40">
        <f t="shared" si="234"/>
        <v>-87931741.570969999</v>
      </c>
      <c r="BD468" s="41">
        <f t="shared" si="235"/>
        <v>-2362.2221924289388</v>
      </c>
      <c r="BE468" s="38">
        <v>3722416.2</v>
      </c>
      <c r="BF468" s="42">
        <f>テーブル2[[#This Row],[q_P]]/テーブル2[[#This Row],[q_M]]</f>
        <v>-22.622221924289388</v>
      </c>
      <c r="BG468" s="36">
        <v>1</v>
      </c>
      <c r="BH468" s="36">
        <v>-2.1999999999999999E-2</v>
      </c>
      <c r="BI468" s="36">
        <v>4.5999999999999999E-2</v>
      </c>
      <c r="BJ468" s="36">
        <v>5625</v>
      </c>
      <c r="BK468" s="22">
        <v>1</v>
      </c>
      <c r="BL468" s="36">
        <f>テーブル2[[#This Row],[Ts]]-テーブル2[[#This Row],[Tin]]</f>
        <v>103.30145737194357</v>
      </c>
      <c r="BM468" s="36">
        <f>テーブル2[[#This Row],[q_P]]*0.000001</f>
        <v>-84.209325370969992</v>
      </c>
      <c r="BN468" s="36">
        <f>テーブル2[[#This Row],[Tsub]]</f>
        <v>103.30145737194357</v>
      </c>
      <c r="BO468" s="36">
        <f>テーブル2[[#This Row],[Fcorr]]</f>
        <v>1</v>
      </c>
      <c r="BP468" s="36">
        <f>(テーブル2[[#This Row],[Tsub]]-40)^2</f>
        <v>4007.0745054119889</v>
      </c>
      <c r="BQ468" s="36">
        <v>1</v>
      </c>
      <c r="BR468" s="36">
        <v>0.15240000000000001</v>
      </c>
    </row>
    <row r="469" spans="1:70" x14ac:dyDescent="0.15">
      <c r="A469" s="35" t="s">
        <v>231</v>
      </c>
      <c r="B469" s="36">
        <v>15513203.909628</v>
      </c>
      <c r="C469" s="22">
        <f>TsatFromP(テーブル2[[#This Row],[P]])</f>
        <v>617.97483343501642</v>
      </c>
      <c r="D469" s="36">
        <f>RhoGFromP(テーブル2[[#This Row],[P]])</f>
        <v>102.22394330032125</v>
      </c>
      <c r="E469" s="36">
        <f>RhoFFromP(テーブル2[[#This Row],[P]])</f>
        <v>593.9978032143099</v>
      </c>
      <c r="F469" s="36">
        <f>HgFromP(テーブル2[[#This Row],[P]])</f>
        <v>2595333.549379834</v>
      </c>
      <c r="G469" s="36">
        <f>HfFromP(テーブル2[[#This Row],[P]])</f>
        <v>1630481.3857881736</v>
      </c>
      <c r="H469" s="36">
        <f>MuGFromP(テーブル2[[#This Row],[P]])</f>
        <v>2.3048203873609753E-5</v>
      </c>
      <c r="I469" s="36">
        <f>MuFFromP(テーブル2[[#This Row],[P]])</f>
        <v>6.8200503236294993E-5</v>
      </c>
      <c r="J469" s="36">
        <f>KfFromP(テーブル2[[#This Row],[P]])</f>
        <v>0.47171772328904032</v>
      </c>
      <c r="K469" s="36">
        <f>CpFFromP(テーブル2[[#This Row],[P]])</f>
        <v>9005.0430614711822</v>
      </c>
      <c r="L469" s="36">
        <f>SigmaFromP(テーブル2[[#This Row],[P]])</f>
        <v>4.6429387983558243E-3</v>
      </c>
      <c r="M469" s="36">
        <v>30.01</v>
      </c>
      <c r="N469" s="36">
        <v>3878.8177999999998</v>
      </c>
      <c r="O469" s="37">
        <f t="shared" si="206"/>
        <v>2.8502295699234246E-6</v>
      </c>
      <c r="P469" s="37">
        <f t="shared" si="207"/>
        <v>5.9847340050885557E-3</v>
      </c>
      <c r="Q469" s="37">
        <v>1.905E-3</v>
      </c>
      <c r="R469" s="36">
        <v>0.69595999999999991</v>
      </c>
      <c r="S469" s="38">
        <v>3753962.1</v>
      </c>
      <c r="T469" s="36">
        <v>300.35468451216877</v>
      </c>
      <c r="U469" s="12">
        <f>+T469+BG469*S469*テーブル2[[#This Row],[Pw]]*R469/(N469*O469*K469)</f>
        <v>457.41049219302977</v>
      </c>
      <c r="V469" s="36">
        <v>0.03</v>
      </c>
      <c r="W469" s="37">
        <f t="shared" si="208"/>
        <v>108344.47780244</v>
      </c>
      <c r="X469" s="36">
        <v>0.01</v>
      </c>
      <c r="Y469" s="36">
        <f t="shared" si="209"/>
        <v>10</v>
      </c>
      <c r="Z469" s="36">
        <f t="shared" si="210"/>
        <v>5.3567994840509074</v>
      </c>
      <c r="AA469" s="36">
        <f t="shared" si="211"/>
        <v>4.6432005159490926</v>
      </c>
      <c r="AB469" s="36">
        <f t="shared" si="212"/>
        <v>1.7597471519192229E-5</v>
      </c>
      <c r="AC469" s="36">
        <v>600</v>
      </c>
      <c r="AD469" s="36">
        <f t="shared" si="213"/>
        <v>1915.2778739555172</v>
      </c>
      <c r="AE469" s="36">
        <f>+gettm2(AD469,AC469,AK469,AL469,テーブル2[[#This Row],[Fcorr]])</f>
        <v>542.04743071568771</v>
      </c>
      <c r="AF469" s="39">
        <f t="shared" si="214"/>
        <v>84.636938522657942</v>
      </c>
      <c r="AG469" s="36">
        <v>1.0000000000000001E-5</v>
      </c>
      <c r="AH469" s="36">
        <f t="shared" si="215"/>
        <v>31.660949426459062</v>
      </c>
      <c r="AI469" s="36">
        <f t="shared" si="216"/>
        <v>0.23087108694049549</v>
      </c>
      <c r="AJ469" s="36">
        <f t="shared" si="217"/>
        <v>20.107904188509366</v>
      </c>
      <c r="AK469" s="36">
        <f>+S88*テーブル2[[#This Row],[F_form]]/(E88*CpFromTP((テーブル2[[#This Row],[Tin]]+テーブル2[[#This Row],[Tf]])/2,テーブル2[[#This Row],[P]])*AI88)</f>
        <v>2.3711183206131619</v>
      </c>
      <c r="AL469" s="36">
        <f t="shared" si="218"/>
        <v>1.3019406270654956</v>
      </c>
      <c r="AM469" s="36">
        <f t="shared" si="219"/>
        <v>565.64161587253068</v>
      </c>
      <c r="AN469" s="36">
        <f t="shared" si="220"/>
        <v>52.333217562485743</v>
      </c>
      <c r="AO469" s="36">
        <f t="shared" si="221"/>
        <v>-7.5974715191922284E-6</v>
      </c>
      <c r="AP469" s="36">
        <v>1</v>
      </c>
      <c r="AQ469" s="36">
        <f t="shared" si="222"/>
        <v>3.3448984939390747E-4</v>
      </c>
      <c r="AR469" s="36">
        <f t="shared" si="223"/>
        <v>1.2012642404038862E-6</v>
      </c>
      <c r="AS469" s="36">
        <f t="shared" si="224"/>
        <v>2.4154906251123829</v>
      </c>
      <c r="AT469" s="36">
        <f t="shared" si="225"/>
        <v>2.4154906251123829</v>
      </c>
      <c r="AU469" s="36">
        <f t="shared" si="226"/>
        <v>0.5576669461142727</v>
      </c>
      <c r="AV469" s="36">
        <f t="shared" si="227"/>
        <v>0.4423330538857273</v>
      </c>
      <c r="AW469" s="36">
        <f t="shared" si="228"/>
        <v>1.1952487285937043E-2</v>
      </c>
      <c r="AX469" s="36">
        <f t="shared" si="229"/>
        <v>0.67387704481475585</v>
      </c>
      <c r="AY469" s="36">
        <f t="shared" si="230"/>
        <v>-0.23154399092902855</v>
      </c>
      <c r="AZ469" s="36">
        <f t="shared" si="231"/>
        <v>964852.16359166033</v>
      </c>
      <c r="BA469" s="36">
        <f t="shared" si="232"/>
        <v>3.3448984939390747E-4</v>
      </c>
      <c r="BB469" s="38">
        <f t="shared" si="233"/>
        <v>-13017624.849793261</v>
      </c>
      <c r="BC469" s="40">
        <f t="shared" si="234"/>
        <v>-16771586.949793261</v>
      </c>
      <c r="BD469" s="41">
        <f t="shared" si="235"/>
        <v>-446.77027905511517</v>
      </c>
      <c r="BE469" s="38">
        <v>3753962.1</v>
      </c>
      <c r="BF469" s="42">
        <f>テーブル2[[#This Row],[q_P]]/テーブル2[[#This Row],[q_M]]</f>
        <v>-3.4677027905511513</v>
      </c>
      <c r="BG469" s="36">
        <v>1</v>
      </c>
      <c r="BH469" s="36">
        <v>-0.105</v>
      </c>
      <c r="BI469" s="36">
        <v>4.5999999999999999E-2</v>
      </c>
      <c r="BJ469" s="36">
        <v>5625</v>
      </c>
      <c r="BK469" s="22">
        <v>1</v>
      </c>
      <c r="BL469" s="36">
        <f>テーブル2[[#This Row],[Ts]]-テーブル2[[#This Row],[Tin]]</f>
        <v>317.62014892284765</v>
      </c>
      <c r="BM469" s="36">
        <f>テーブル2[[#This Row],[q_P]]*0.000001</f>
        <v>-13.017624849793261</v>
      </c>
      <c r="BN469" s="36">
        <f>テーブル2[[#This Row],[Tsub]]</f>
        <v>317.62014892284765</v>
      </c>
      <c r="BO469" s="36">
        <f>テーブル2[[#This Row],[Fcorr]]</f>
        <v>1</v>
      </c>
      <c r="BP469" s="36">
        <f>(テーブル2[[#This Row],[Tsub]]-40)^2</f>
        <v>77072.947087944107</v>
      </c>
      <c r="BQ469" s="36">
        <v>1</v>
      </c>
      <c r="BR469" s="36">
        <v>0.69595999999999991</v>
      </c>
    </row>
    <row r="470" spans="1:70" x14ac:dyDescent="0.15">
      <c r="A470" s="35" t="s">
        <v>205</v>
      </c>
      <c r="B470" s="36">
        <v>15513203.909628</v>
      </c>
      <c r="C470" s="22">
        <f>TsatFromP(テーブル2[[#This Row],[P]])</f>
        <v>617.97483343501642</v>
      </c>
      <c r="D470" s="36">
        <f>RhoGFromP(テーブル2[[#This Row],[P]])</f>
        <v>102.22394330032125</v>
      </c>
      <c r="E470" s="36">
        <f>RhoFFromP(テーブル2[[#This Row],[P]])</f>
        <v>593.9978032143099</v>
      </c>
      <c r="F470" s="36">
        <f>HgFromP(テーブル2[[#This Row],[P]])</f>
        <v>2595333.549379834</v>
      </c>
      <c r="G470" s="36">
        <f>HfFromP(テーブル2[[#This Row],[P]])</f>
        <v>1630481.3857881736</v>
      </c>
      <c r="H470" s="36">
        <f>MuGFromP(テーブル2[[#This Row],[P]])</f>
        <v>2.3048203873609753E-5</v>
      </c>
      <c r="I470" s="36">
        <f>MuFFromP(テーブル2[[#This Row],[P]])</f>
        <v>6.8200503236294993E-5</v>
      </c>
      <c r="J470" s="36">
        <f>KfFromP(テーブル2[[#This Row],[P]])</f>
        <v>0.47171772328904032</v>
      </c>
      <c r="K470" s="36">
        <f>CpFFromP(テーブル2[[#This Row],[P]])</f>
        <v>9005.0430614711822</v>
      </c>
      <c r="L470" s="36">
        <f>SigmaFromP(テーブル2[[#This Row],[P]])</f>
        <v>4.6429387983558243E-3</v>
      </c>
      <c r="M470" s="36">
        <v>4.01</v>
      </c>
      <c r="N470" s="36">
        <v>2156.4056999999998</v>
      </c>
      <c r="O470" s="37">
        <f t="shared" si="206"/>
        <v>2.8502295699234246E-6</v>
      </c>
      <c r="P470" s="37">
        <f t="shared" si="207"/>
        <v>5.9847340050885557E-3</v>
      </c>
      <c r="Q470" s="37">
        <v>1.905E-3</v>
      </c>
      <c r="R470" s="36">
        <v>0.15240000000000001</v>
      </c>
      <c r="S470" s="38">
        <v>3785508</v>
      </c>
      <c r="T470" s="36">
        <v>513.57370580890131</v>
      </c>
      <c r="U470" s="12">
        <f>+T470+BG470*S470*テーブル2[[#This Row],[Pw]]*R470/(N470*O470*K470)</f>
        <v>575.95550288071183</v>
      </c>
      <c r="V470" s="36">
        <v>0.03</v>
      </c>
      <c r="W470" s="37">
        <f t="shared" si="208"/>
        <v>60233.468428629232</v>
      </c>
      <c r="X470" s="36">
        <v>0.01</v>
      </c>
      <c r="Y470" s="36">
        <f t="shared" si="209"/>
        <v>10</v>
      </c>
      <c r="Z470" s="36">
        <f t="shared" si="210"/>
        <v>4.3807327913776568</v>
      </c>
      <c r="AA470" s="36">
        <f t="shared" si="211"/>
        <v>5.6192672086223432</v>
      </c>
      <c r="AB470" s="36">
        <f t="shared" si="212"/>
        <v>5.693614890169881E-5</v>
      </c>
      <c r="AC470" s="36">
        <v>600</v>
      </c>
      <c r="AD470" s="36">
        <f t="shared" si="213"/>
        <v>1064.7873495067386</v>
      </c>
      <c r="AE470" s="36">
        <f>+gettm2(AD470,AC470,AK470,AL470,テーブル2[[#This Row],[Fcorr]])</f>
        <v>554.13746383448438</v>
      </c>
      <c r="AF470" s="39">
        <f t="shared" si="214"/>
        <v>-21.818039046227454</v>
      </c>
      <c r="AG470" s="36">
        <v>1.0000000000000001E-5</v>
      </c>
      <c r="AH470" s="36">
        <f t="shared" si="215"/>
        <v>9.7855697399666433</v>
      </c>
      <c r="AI470" s="36">
        <f t="shared" si="216"/>
        <v>0.12835140847391183</v>
      </c>
      <c r="AJ470" s="36">
        <f t="shared" si="217"/>
        <v>11.178869811094369</v>
      </c>
      <c r="AK470" s="36">
        <f>+S88*テーブル2[[#This Row],[F_form]]/(E88*CpFromTP((テーブル2[[#This Row],[Tin]]+テーブル2[[#This Row],[Tf]])/2,テーブル2[[#This Row],[P]])*AI88)</f>
        <v>1.9991694241544606</v>
      </c>
      <c r="AL470" s="36">
        <f t="shared" si="218"/>
        <v>1.3019406270654956</v>
      </c>
      <c r="AM470" s="36">
        <f t="shared" si="219"/>
        <v>577.40067950121386</v>
      </c>
      <c r="AN470" s="36">
        <f t="shared" si="220"/>
        <v>40.574153933802563</v>
      </c>
      <c r="AO470" s="36">
        <f t="shared" si="221"/>
        <v>-4.6936148901698811E-5</v>
      </c>
      <c r="AP470" s="36">
        <v>1</v>
      </c>
      <c r="AQ470" s="36">
        <f t="shared" si="222"/>
        <v>3.3448984939390747E-4</v>
      </c>
      <c r="AR470" s="36">
        <f t="shared" si="223"/>
        <v>-1.8468074450849406E-5</v>
      </c>
      <c r="AS470" s="36">
        <f t="shared" si="224"/>
        <v>-20.645219994764361</v>
      </c>
      <c r="AT470" s="36">
        <f t="shared" si="225"/>
        <v>-20.645219994764361</v>
      </c>
      <c r="AU470" s="36">
        <f t="shared" si="226"/>
        <v>-2.6498430645817721</v>
      </c>
      <c r="AV470" s="36">
        <f t="shared" si="227"/>
        <v>3.6498430645817721</v>
      </c>
      <c r="AW470" s="36">
        <f t="shared" si="228"/>
        <v>3.8671953247122602E-2</v>
      </c>
      <c r="AX470" s="36">
        <f t="shared" si="229"/>
        <v>0.37463793750190966</v>
      </c>
      <c r="AY470" s="36">
        <f t="shared" si="230"/>
        <v>3.2752051270798623</v>
      </c>
      <c r="AZ470" s="36">
        <f t="shared" si="231"/>
        <v>964852.16359166033</v>
      </c>
      <c r="BA470" s="36">
        <f t="shared" si="232"/>
        <v>3.3448984939390747E-4</v>
      </c>
      <c r="BB470" s="38">
        <f t="shared" si="233"/>
        <v>-80421121.257630318</v>
      </c>
      <c r="BC470" s="40">
        <f t="shared" si="234"/>
        <v>-84206629.257630318</v>
      </c>
      <c r="BD470" s="41">
        <f t="shared" si="235"/>
        <v>-2224.4472672526467</v>
      </c>
      <c r="BE470" s="38">
        <v>3785508</v>
      </c>
      <c r="BF470" s="42">
        <f>テーブル2[[#This Row],[q_P]]/テーブル2[[#This Row],[q_M]]</f>
        <v>-21.244472672526467</v>
      </c>
      <c r="BG470" s="36">
        <v>1</v>
      </c>
      <c r="BH470" s="36">
        <v>-2.8000000000000001E-2</v>
      </c>
      <c r="BI470" s="36">
        <v>4.5999999999999999E-2</v>
      </c>
      <c r="BJ470" s="36">
        <v>5625</v>
      </c>
      <c r="BK470" s="22">
        <v>1</v>
      </c>
      <c r="BL470" s="36">
        <f>テーブル2[[#This Row],[Ts]]-テーブル2[[#This Row],[Tin]]</f>
        <v>104.40112762611511</v>
      </c>
      <c r="BM470" s="36">
        <f>テーブル2[[#This Row],[q_P]]*0.000001</f>
        <v>-80.421121257630318</v>
      </c>
      <c r="BN470" s="36">
        <f>テーブル2[[#This Row],[Tsub]]</f>
        <v>104.40112762611511</v>
      </c>
      <c r="BO470" s="36">
        <f>テーブル2[[#This Row],[Fcorr]]</f>
        <v>1</v>
      </c>
      <c r="BP470" s="36">
        <f>(テーブル2[[#This Row],[Tsub]]-40)^2</f>
        <v>4147.505239515167</v>
      </c>
      <c r="BQ470" s="36">
        <v>1</v>
      </c>
      <c r="BR470" s="36">
        <v>0.15240000000000001</v>
      </c>
    </row>
    <row r="471" spans="1:70" x14ac:dyDescent="0.15">
      <c r="A471" s="35" t="s">
        <v>206</v>
      </c>
      <c r="B471" s="36">
        <v>15513203.909628</v>
      </c>
      <c r="C471" s="22">
        <f>TsatFromP(テーブル2[[#This Row],[P]])</f>
        <v>617.97483343501642</v>
      </c>
      <c r="D471" s="36">
        <f>RhoGFromP(テーブル2[[#This Row],[P]])</f>
        <v>102.22394330032125</v>
      </c>
      <c r="E471" s="36">
        <f>RhoFFromP(テーブル2[[#This Row],[P]])</f>
        <v>593.9978032143099</v>
      </c>
      <c r="F471" s="36">
        <f>HgFromP(テーブル2[[#This Row],[P]])</f>
        <v>2595333.549379834</v>
      </c>
      <c r="G471" s="36">
        <f>HfFromP(テーブル2[[#This Row],[P]])</f>
        <v>1630481.3857881736</v>
      </c>
      <c r="H471" s="36">
        <f>MuGFromP(テーブル2[[#This Row],[P]])</f>
        <v>2.3048203873609753E-5</v>
      </c>
      <c r="I471" s="36">
        <f>MuFFromP(テーブル2[[#This Row],[P]])</f>
        <v>6.8200503236294993E-5</v>
      </c>
      <c r="J471" s="36">
        <f>KfFromP(テーブル2[[#This Row],[P]])</f>
        <v>0.47171772328904032</v>
      </c>
      <c r="K471" s="36">
        <f>CpFFromP(テーブル2[[#This Row],[P]])</f>
        <v>9005.0430614711822</v>
      </c>
      <c r="L471" s="36">
        <f>SigmaFromP(テーブル2[[#This Row],[P]])</f>
        <v>4.6429387983558243E-3</v>
      </c>
      <c r="M471" s="36">
        <v>5.01</v>
      </c>
      <c r="N471" s="36">
        <v>2251.3418000000001</v>
      </c>
      <c r="O471" s="37">
        <f t="shared" si="206"/>
        <v>2.8502295699234246E-6</v>
      </c>
      <c r="P471" s="37">
        <f t="shared" si="207"/>
        <v>5.9847340050885557E-3</v>
      </c>
      <c r="Q471" s="37">
        <v>1.905E-3</v>
      </c>
      <c r="R471" s="36">
        <v>0.15240000000000001</v>
      </c>
      <c r="S471" s="38">
        <v>4889614.4999999991</v>
      </c>
      <c r="T471" s="36">
        <v>475.2063085776814</v>
      </c>
      <c r="U471" s="12">
        <f>+T471+BG471*S471*テーブル2[[#This Row],[Pw]]*R471/(N471*O471*K471)</f>
        <v>552.38499275613367</v>
      </c>
      <c r="V471" s="36">
        <v>0.03</v>
      </c>
      <c r="W471" s="37">
        <f t="shared" si="208"/>
        <v>62885.256346870767</v>
      </c>
      <c r="X471" s="36">
        <v>0.01</v>
      </c>
      <c r="Y471" s="36">
        <f t="shared" si="209"/>
        <v>10</v>
      </c>
      <c r="Z471" s="36">
        <f t="shared" si="210"/>
        <v>4.4531035732199982</v>
      </c>
      <c r="AA471" s="36">
        <f t="shared" si="211"/>
        <v>5.5468964267800018</v>
      </c>
      <c r="AB471" s="36">
        <f t="shared" si="212"/>
        <v>5.2235548714757121E-5</v>
      </c>
      <c r="AC471" s="36">
        <v>600</v>
      </c>
      <c r="AD471" s="36">
        <f t="shared" si="213"/>
        <v>1111.6647799881673</v>
      </c>
      <c r="AE471" s="36">
        <f>+gettm2(AD471,AC471,AK471,AL471,テーブル2[[#This Row],[Fcorr]])</f>
        <v>550.87295307880072</v>
      </c>
      <c r="AF471" s="39">
        <f t="shared" si="214"/>
        <v>-1.5120396773329503</v>
      </c>
      <c r="AG471" s="36">
        <v>1.0000000000000001E-5</v>
      </c>
      <c r="AH471" s="36">
        <f t="shared" si="215"/>
        <v>10.666158765654876</v>
      </c>
      <c r="AI471" s="36">
        <f t="shared" si="216"/>
        <v>0.13400209941301489</v>
      </c>
      <c r="AJ471" s="36">
        <f t="shared" si="217"/>
        <v>11.671021312211732</v>
      </c>
      <c r="AK471" s="36">
        <f>+S88*テーブル2[[#This Row],[F_form]]/(E88*CpFromTP((テーブル2[[#This Row],[Tin]]+テーブル2[[#This Row],[Tf]])/2,テーブル2[[#This Row],[P]])*AI88)</f>
        <v>2.1311780808069432</v>
      </c>
      <c r="AL471" s="36">
        <f t="shared" si="218"/>
        <v>1.3019406270654956</v>
      </c>
      <c r="AM471" s="36">
        <f t="shared" si="219"/>
        <v>575.39743456616588</v>
      </c>
      <c r="AN471" s="36">
        <f t="shared" si="220"/>
        <v>42.577398868850537</v>
      </c>
      <c r="AO471" s="36">
        <f t="shared" si="221"/>
        <v>-4.2235548714757121E-5</v>
      </c>
      <c r="AP471" s="36">
        <v>1</v>
      </c>
      <c r="AQ471" s="36">
        <f t="shared" si="222"/>
        <v>3.3448984939390747E-4</v>
      </c>
      <c r="AR471" s="36">
        <f t="shared" si="223"/>
        <v>-1.6117774357378561E-5</v>
      </c>
      <c r="AS471" s="36">
        <f t="shared" si="224"/>
        <v>-18.811088803038494</v>
      </c>
      <c r="AT471" s="36">
        <f t="shared" si="225"/>
        <v>-18.811088803038494</v>
      </c>
      <c r="AU471" s="36">
        <f t="shared" si="226"/>
        <v>-2.5207253918518155</v>
      </c>
      <c r="AV471" s="36">
        <f t="shared" si="227"/>
        <v>3.5207253918518155</v>
      </c>
      <c r="AW471" s="36">
        <f t="shared" si="228"/>
        <v>3.5479229570347881E-2</v>
      </c>
      <c r="AX471" s="36">
        <f t="shared" si="229"/>
        <v>0.39113143160576741</v>
      </c>
      <c r="AY471" s="36">
        <f t="shared" si="230"/>
        <v>3.1295939602460483</v>
      </c>
      <c r="AZ471" s="36">
        <f t="shared" si="231"/>
        <v>964852.16359166033</v>
      </c>
      <c r="BA471" s="36">
        <f t="shared" si="232"/>
        <v>3.3448984939390747E-4</v>
      </c>
      <c r="BB471" s="38">
        <f t="shared" si="233"/>
        <v>-72367040.416669071</v>
      </c>
      <c r="BC471" s="40">
        <f t="shared" si="234"/>
        <v>-77256654.916669071</v>
      </c>
      <c r="BD471" s="41">
        <f t="shared" si="235"/>
        <v>-1580.0152530770899</v>
      </c>
      <c r="BE471" s="38">
        <v>4889614.4999999991</v>
      </c>
      <c r="BF471" s="42">
        <f>テーブル2[[#This Row],[q_P]]/テーブル2[[#This Row],[q_M]]</f>
        <v>-14.8001525307709</v>
      </c>
      <c r="BG471" s="36">
        <v>1</v>
      </c>
      <c r="BH471" s="36">
        <v>-7.0999999999999994E-2</v>
      </c>
      <c r="BI471" s="36">
        <v>4.5999999999999999E-2</v>
      </c>
      <c r="BJ471" s="36">
        <v>5625</v>
      </c>
      <c r="BK471" s="22">
        <v>1</v>
      </c>
      <c r="BL471" s="36">
        <f>テーブル2[[#This Row],[Ts]]-テーブル2[[#This Row],[Tin]]</f>
        <v>142.76852485733502</v>
      </c>
      <c r="BM471" s="36">
        <f>テーブル2[[#This Row],[q_P]]*0.000001</f>
        <v>-72.36704041666907</v>
      </c>
      <c r="BN471" s="36">
        <f>テーブル2[[#This Row],[Tsub]]</f>
        <v>142.76852485733502</v>
      </c>
      <c r="BO471" s="36">
        <f>テーブル2[[#This Row],[Fcorr]]</f>
        <v>1</v>
      </c>
      <c r="BP471" s="36">
        <f>(テーブル2[[#This Row],[Tsub]]-40)^2</f>
        <v>10561.369701352687</v>
      </c>
      <c r="BQ471" s="36">
        <v>1</v>
      </c>
      <c r="BR471" s="36">
        <v>0.15240000000000001</v>
      </c>
    </row>
    <row r="472" spans="1:70" x14ac:dyDescent="0.15">
      <c r="A472" s="35" t="s">
        <v>207</v>
      </c>
      <c r="B472" s="36">
        <v>15513203.909628</v>
      </c>
      <c r="C472" s="22">
        <f>TsatFromP(テーブル2[[#This Row],[P]])</f>
        <v>617.97483343501642</v>
      </c>
      <c r="D472" s="36">
        <f>RhoGFromP(テーブル2[[#This Row],[P]])</f>
        <v>102.22394330032125</v>
      </c>
      <c r="E472" s="36">
        <f>RhoFFromP(テーブル2[[#This Row],[P]])</f>
        <v>593.9978032143099</v>
      </c>
      <c r="F472" s="36">
        <f>HgFromP(テーブル2[[#This Row],[P]])</f>
        <v>2595333.549379834</v>
      </c>
      <c r="G472" s="36">
        <f>HfFromP(テーブル2[[#This Row],[P]])</f>
        <v>1630481.3857881736</v>
      </c>
      <c r="H472" s="36">
        <f>MuGFromP(テーブル2[[#This Row],[P]])</f>
        <v>2.3048203873609753E-5</v>
      </c>
      <c r="I472" s="36">
        <f>MuFFromP(テーブル2[[#This Row],[P]])</f>
        <v>6.8200503236294993E-5</v>
      </c>
      <c r="J472" s="36">
        <f>KfFromP(テーブル2[[#This Row],[P]])</f>
        <v>0.47171772328904032</v>
      </c>
      <c r="K472" s="36">
        <f>CpFFromP(テーブル2[[#This Row],[P]])</f>
        <v>9005.0430614711822</v>
      </c>
      <c r="L472" s="36">
        <f>SigmaFromP(テーブル2[[#This Row],[P]])</f>
        <v>4.6429387983558243E-3</v>
      </c>
      <c r="M472" s="36">
        <v>6.01</v>
      </c>
      <c r="N472" s="36">
        <v>2264.9041000000002</v>
      </c>
      <c r="O472" s="37">
        <f t="shared" ref="O472:O505" si="236">PI()*Q472^2/4</f>
        <v>2.8502295699234246E-6</v>
      </c>
      <c r="P472" s="37">
        <f t="shared" ref="P472:P535" si="237">PI()*Q472</f>
        <v>5.9847340050885557E-3</v>
      </c>
      <c r="Q472" s="37">
        <v>1.905E-3</v>
      </c>
      <c r="R472" s="36">
        <v>0.15240000000000001</v>
      </c>
      <c r="S472" s="38">
        <v>5015798.0999999996</v>
      </c>
      <c r="T472" s="36">
        <v>472.47130067239209</v>
      </c>
      <c r="U472" s="12">
        <f>+T472+BG472*S472*テーブル2[[#This Row],[Pw]]*R472/(N472*O472*K472)</f>
        <v>551.16761862510873</v>
      </c>
      <c r="V472" s="36">
        <v>0.03</v>
      </c>
      <c r="W472" s="37">
        <f t="shared" si="208"/>
        <v>63264.083192333848</v>
      </c>
      <c r="X472" s="36">
        <v>0.01</v>
      </c>
      <c r="Y472" s="36">
        <f t="shared" si="209"/>
        <v>10</v>
      </c>
      <c r="Z472" s="36">
        <f t="shared" si="210"/>
        <v>4.4631843836103693</v>
      </c>
      <c r="AA472" s="36">
        <f t="shared" si="211"/>
        <v>5.5368156163896307</v>
      </c>
      <c r="AB472" s="36">
        <f t="shared" si="212"/>
        <v>5.1611846261387895E-5</v>
      </c>
      <c r="AC472" s="36">
        <v>600</v>
      </c>
      <c r="AD472" s="36">
        <f t="shared" si="213"/>
        <v>1118.361555771229</v>
      </c>
      <c r="AE472" s="36">
        <f>+gettm2(AD472,AC472,AK472,AL472,テーブル2[[#This Row],[Fcorr]])</f>
        <v>550.68238160233238</v>
      </c>
      <c r="AF472" s="39">
        <f t="shared" si="214"/>
        <v>-0.48523702277634584</v>
      </c>
      <c r="AG472" s="36">
        <v>1.0000000000000001E-5</v>
      </c>
      <c r="AH472" s="36">
        <f t="shared" si="215"/>
        <v>10.795053774689681</v>
      </c>
      <c r="AI472" s="36">
        <f t="shared" si="216"/>
        <v>0.1348093409757439</v>
      </c>
      <c r="AJ472" s="36">
        <f t="shared" si="217"/>
        <v>11.741328669514214</v>
      </c>
      <c r="AK472" s="36">
        <f>+S88*テーブル2[[#This Row],[F_form]]/(E88*CpFromTP((テーブル2[[#This Row],[Tin]]+テーブル2[[#This Row],[Tf]])/2,テーブル2[[#This Row],[P]])*AI88)</f>
        <v>2.1380136695885028</v>
      </c>
      <c r="AL472" s="36">
        <f t="shared" si="218"/>
        <v>1.3019406270654956</v>
      </c>
      <c r="AM472" s="36">
        <f t="shared" si="219"/>
        <v>575.2472596817147</v>
      </c>
      <c r="AN472" s="36">
        <f t="shared" si="220"/>
        <v>42.727573753301726</v>
      </c>
      <c r="AO472" s="36">
        <f t="shared" si="221"/>
        <v>-4.1611846261387896E-5</v>
      </c>
      <c r="AP472" s="36">
        <v>1</v>
      </c>
      <c r="AQ472" s="36">
        <f t="shared" si="222"/>
        <v>3.3448984939390747E-4</v>
      </c>
      <c r="AR472" s="36">
        <f t="shared" si="223"/>
        <v>-1.5805923130693948E-5</v>
      </c>
      <c r="AS472" s="36">
        <f t="shared" si="224"/>
        <v>-18.558253840255471</v>
      </c>
      <c r="AT472" s="36">
        <f t="shared" si="225"/>
        <v>-18.558253840255471</v>
      </c>
      <c r="AU472" s="36">
        <f t="shared" si="226"/>
        <v>-2.5018259698654086</v>
      </c>
      <c r="AV472" s="36">
        <f t="shared" si="227"/>
        <v>3.5018259698654086</v>
      </c>
      <c r="AW472" s="36">
        <f t="shared" si="228"/>
        <v>3.5055600775951302E-2</v>
      </c>
      <c r="AX472" s="36">
        <f t="shared" si="229"/>
        <v>0.39348764504917566</v>
      </c>
      <c r="AY472" s="36">
        <f t="shared" si="230"/>
        <v>3.1083383248162328</v>
      </c>
      <c r="AZ472" s="36">
        <f t="shared" si="231"/>
        <v>964852.16359166033</v>
      </c>
      <c r="BA472" s="36">
        <f t="shared" si="232"/>
        <v>3.3448984939390747E-4</v>
      </c>
      <c r="BB472" s="38">
        <f t="shared" si="233"/>
        <v>-71298379.015919313</v>
      </c>
      <c r="BC472" s="40">
        <f t="shared" si="234"/>
        <v>-76314177.115919307</v>
      </c>
      <c r="BD472" s="41">
        <f t="shared" si="235"/>
        <v>-1521.4762555119457</v>
      </c>
      <c r="BE472" s="38">
        <v>5015798.0999999996</v>
      </c>
      <c r="BF472" s="42">
        <f>テーブル2[[#This Row],[q_P]]/テーブル2[[#This Row],[q_M]]</f>
        <v>-14.214762555119457</v>
      </c>
      <c r="BG472" s="36">
        <v>1</v>
      </c>
      <c r="BH472" s="36">
        <v>-6.9000000000000006E-2</v>
      </c>
      <c r="BI472" s="36">
        <v>4.5999999999999999E-2</v>
      </c>
      <c r="BJ472" s="36">
        <v>5625</v>
      </c>
      <c r="BK472" s="22">
        <v>1</v>
      </c>
      <c r="BL472" s="36">
        <f>テーブル2[[#This Row],[Ts]]-テーブル2[[#This Row],[Tin]]</f>
        <v>145.50353276262433</v>
      </c>
      <c r="BM472" s="36">
        <f>テーブル2[[#This Row],[q_P]]*0.000001</f>
        <v>-71.298379015919309</v>
      </c>
      <c r="BN472" s="36">
        <f>テーブル2[[#This Row],[Tsub]]</f>
        <v>145.50353276262433</v>
      </c>
      <c r="BO472" s="36">
        <f>テーブル2[[#This Row],[Fcorr]]</f>
        <v>1</v>
      </c>
      <c r="BP472" s="36">
        <f>(テーブル2[[#This Row],[Tsub]]-40)^2</f>
        <v>11130.995425394145</v>
      </c>
      <c r="BQ472" s="36">
        <v>1</v>
      </c>
      <c r="BR472" s="36">
        <v>0.15240000000000001</v>
      </c>
    </row>
    <row r="473" spans="1:70" x14ac:dyDescent="0.15">
      <c r="A473" s="35" t="s">
        <v>208</v>
      </c>
      <c r="B473" s="36">
        <v>15513203.909628</v>
      </c>
      <c r="C473" s="22">
        <f>TsatFromP(テーブル2[[#This Row],[P]])</f>
        <v>617.97483343501642</v>
      </c>
      <c r="D473" s="36">
        <f>RhoGFromP(テーブル2[[#This Row],[P]])</f>
        <v>102.22394330032125</v>
      </c>
      <c r="E473" s="36">
        <f>RhoFFromP(テーブル2[[#This Row],[P]])</f>
        <v>593.9978032143099</v>
      </c>
      <c r="F473" s="36">
        <f>HgFromP(テーブル2[[#This Row],[P]])</f>
        <v>2595333.549379834</v>
      </c>
      <c r="G473" s="36">
        <f>HfFromP(テーブル2[[#This Row],[P]])</f>
        <v>1630481.3857881736</v>
      </c>
      <c r="H473" s="36">
        <f>MuGFromP(テーブル2[[#This Row],[P]])</f>
        <v>2.3048203873609753E-5</v>
      </c>
      <c r="I473" s="36">
        <f>MuFFromP(テーブル2[[#This Row],[P]])</f>
        <v>6.8200503236294993E-5</v>
      </c>
      <c r="J473" s="36">
        <f>KfFromP(テーブル2[[#This Row],[P]])</f>
        <v>0.47171772328904032</v>
      </c>
      <c r="K473" s="36">
        <f>CpFFromP(テーブル2[[#This Row],[P]])</f>
        <v>9005.0430614711822</v>
      </c>
      <c r="L473" s="36">
        <f>SigmaFromP(テーブル2[[#This Row],[P]])</f>
        <v>4.6429387983558243E-3</v>
      </c>
      <c r="M473" s="36">
        <v>7.01</v>
      </c>
      <c r="N473" s="36">
        <v>2305.5909999999999</v>
      </c>
      <c r="O473" s="37">
        <f t="shared" si="236"/>
        <v>2.8502295699234246E-6</v>
      </c>
      <c r="P473" s="37">
        <f t="shared" si="237"/>
        <v>5.9847340050885557E-3</v>
      </c>
      <c r="Q473" s="37">
        <v>1.905E-3</v>
      </c>
      <c r="R473" s="36">
        <v>0.15240000000000001</v>
      </c>
      <c r="S473" s="38">
        <v>4416425.9999999991</v>
      </c>
      <c r="T473" s="36">
        <v>497.21408100250028</v>
      </c>
      <c r="U473" s="12">
        <f>+T473+BG473*S473*テーブル2[[#This Row],[Pw]]*R473/(N473*O473*K473)</f>
        <v>565.28363016026992</v>
      </c>
      <c r="V473" s="36">
        <v>0.03</v>
      </c>
      <c r="W473" s="37">
        <f t="shared" si="208"/>
        <v>64400.563728723071</v>
      </c>
      <c r="X473" s="36">
        <v>0.01</v>
      </c>
      <c r="Y473" s="36">
        <f t="shared" si="209"/>
        <v>10</v>
      </c>
      <c r="Z473" s="36">
        <f t="shared" si="210"/>
        <v>4.4930568770138786</v>
      </c>
      <c r="AA473" s="36">
        <f t="shared" si="211"/>
        <v>5.5069431229861214</v>
      </c>
      <c r="AB473" s="36">
        <f t="shared" si="212"/>
        <v>4.9806324580755967E-5</v>
      </c>
      <c r="AC473" s="36">
        <v>600</v>
      </c>
      <c r="AD473" s="36">
        <f t="shared" si="213"/>
        <v>1138.4518831204125</v>
      </c>
      <c r="AE473" s="36">
        <f>+gettm2(AD473,AC473,AK473,AL473,テーブル2[[#This Row],[Fcorr]])</f>
        <v>552.31308064991595</v>
      </c>
      <c r="AF473" s="39">
        <f t="shared" si="214"/>
        <v>-12.970549510353976</v>
      </c>
      <c r="AG473" s="36">
        <v>1.0000000000000001E-5</v>
      </c>
      <c r="AH473" s="36">
        <f t="shared" si="215"/>
        <v>11.186383666984534</v>
      </c>
      <c r="AI473" s="36">
        <f t="shared" si="216"/>
        <v>0.1372310656639309</v>
      </c>
      <c r="AJ473" s="36">
        <f t="shared" si="217"/>
        <v>11.952250741421652</v>
      </c>
      <c r="AK473" s="36">
        <f>+S88*テーブル2[[#This Row],[F_form]]/(E88*CpFromTP((テーブル2[[#This Row],[Tin]]+テーブル2[[#This Row],[Tf]])/2,テーブル2[[#This Row],[P]])*AI88)</f>
        <v>2.0632283572978416</v>
      </c>
      <c r="AL473" s="36">
        <f t="shared" si="218"/>
        <v>1.3019406270654956</v>
      </c>
      <c r="AM473" s="36">
        <f t="shared" si="219"/>
        <v>575.9094773927178</v>
      </c>
      <c r="AN473" s="36">
        <f t="shared" si="220"/>
        <v>42.065356042298617</v>
      </c>
      <c r="AO473" s="36">
        <f t="shared" si="221"/>
        <v>-3.9806324580755968E-5</v>
      </c>
      <c r="AP473" s="36">
        <v>1</v>
      </c>
      <c r="AQ473" s="36">
        <f t="shared" si="222"/>
        <v>3.3448984939390747E-4</v>
      </c>
      <c r="AR473" s="36">
        <f t="shared" si="223"/>
        <v>-1.4903162290377984E-5</v>
      </c>
      <c r="AS473" s="36">
        <f t="shared" si="224"/>
        <v>-17.812633253469745</v>
      </c>
      <c r="AT473" s="36">
        <f t="shared" si="225"/>
        <v>-17.812633253469745</v>
      </c>
      <c r="AU473" s="36">
        <f t="shared" si="226"/>
        <v>-2.4444466436544254</v>
      </c>
      <c r="AV473" s="36">
        <f t="shared" si="227"/>
        <v>3.4444466436544254</v>
      </c>
      <c r="AW473" s="36">
        <f t="shared" si="228"/>
        <v>3.3829261247076345E-2</v>
      </c>
      <c r="AX473" s="36">
        <f t="shared" si="229"/>
        <v>0.4005562853794003</v>
      </c>
      <c r="AY473" s="36">
        <f t="shared" si="230"/>
        <v>3.043890358275025</v>
      </c>
      <c r="AZ473" s="36">
        <f t="shared" si="231"/>
        <v>964852.16359166033</v>
      </c>
      <c r="BA473" s="36">
        <f t="shared" si="232"/>
        <v>3.3448984939390747E-4</v>
      </c>
      <c r="BB473" s="38">
        <f t="shared" si="233"/>
        <v>-68204770.328178748</v>
      </c>
      <c r="BC473" s="40">
        <f t="shared" si="234"/>
        <v>-72621196.328178748</v>
      </c>
      <c r="BD473" s="41">
        <f t="shared" si="235"/>
        <v>-1644.3431029565256</v>
      </c>
      <c r="BE473" s="38">
        <v>4416425.9999999991</v>
      </c>
      <c r="BF473" s="42">
        <f>テーブル2[[#This Row],[q_P]]/テーブル2[[#This Row],[q_M]]</f>
        <v>-15.443431029565255</v>
      </c>
      <c r="BG473" s="36">
        <v>1</v>
      </c>
      <c r="BH473" s="36">
        <v>-5.2999999999999999E-2</v>
      </c>
      <c r="BI473" s="36">
        <v>4.5999999999999999E-2</v>
      </c>
      <c r="BJ473" s="36">
        <v>5625</v>
      </c>
      <c r="BK473" s="22">
        <v>1</v>
      </c>
      <c r="BL473" s="36">
        <f>テーブル2[[#This Row],[Ts]]-テーブル2[[#This Row],[Tin]]</f>
        <v>120.76075243251614</v>
      </c>
      <c r="BM473" s="36">
        <f>テーブル2[[#This Row],[q_P]]*0.000001</f>
        <v>-68.204770328178739</v>
      </c>
      <c r="BN473" s="36">
        <f>テーブル2[[#This Row],[Tsub]]</f>
        <v>120.76075243251614</v>
      </c>
      <c r="BO473" s="36">
        <f>テーブル2[[#This Row],[Fcorr]]</f>
        <v>1</v>
      </c>
      <c r="BP473" s="36">
        <f>(テーブル2[[#This Row],[Tsub]]-40)^2</f>
        <v>6522.2991334661619</v>
      </c>
      <c r="BQ473" s="36">
        <v>1</v>
      </c>
      <c r="BR473" s="36">
        <v>0.15240000000000001</v>
      </c>
    </row>
    <row r="474" spans="1:70" x14ac:dyDescent="0.15">
      <c r="A474" s="35" t="s">
        <v>209</v>
      </c>
      <c r="B474" s="36">
        <v>15513203.909628</v>
      </c>
      <c r="C474" s="22">
        <f>TsatFromP(テーブル2[[#This Row],[P]])</f>
        <v>617.97483343501642</v>
      </c>
      <c r="D474" s="36">
        <f>RhoGFromP(テーブル2[[#This Row],[P]])</f>
        <v>102.22394330032125</v>
      </c>
      <c r="E474" s="36">
        <f>RhoFFromP(テーブル2[[#This Row],[P]])</f>
        <v>593.9978032143099</v>
      </c>
      <c r="F474" s="36">
        <f>HgFromP(テーブル2[[#This Row],[P]])</f>
        <v>2595333.549379834</v>
      </c>
      <c r="G474" s="36">
        <f>HfFromP(テーブル2[[#This Row],[P]])</f>
        <v>1630481.3857881736</v>
      </c>
      <c r="H474" s="36">
        <f>MuGFromP(テーブル2[[#This Row],[P]])</f>
        <v>2.3048203873609753E-5</v>
      </c>
      <c r="I474" s="36">
        <f>MuFFromP(テーブル2[[#This Row],[P]])</f>
        <v>6.8200503236294993E-5</v>
      </c>
      <c r="J474" s="36">
        <f>KfFromP(テーブル2[[#This Row],[P]])</f>
        <v>0.47171772328904032</v>
      </c>
      <c r="K474" s="36">
        <f>CpFFromP(テーブル2[[#This Row],[P]])</f>
        <v>9005.0430614711822</v>
      </c>
      <c r="L474" s="36">
        <f>SigmaFromP(テーブル2[[#This Row],[P]])</f>
        <v>4.6429387983558243E-3</v>
      </c>
      <c r="M474" s="36">
        <v>8.01</v>
      </c>
      <c r="N474" s="36">
        <v>2319.1532999999999</v>
      </c>
      <c r="O474" s="37">
        <f t="shared" si="236"/>
        <v>2.8502295699234246E-6</v>
      </c>
      <c r="P474" s="37">
        <f t="shared" si="237"/>
        <v>5.9847340050885557E-3</v>
      </c>
      <c r="Q474" s="37">
        <v>1.905E-3</v>
      </c>
      <c r="R474" s="36">
        <v>0.15240000000000001</v>
      </c>
      <c r="S474" s="38">
        <v>3848599.8</v>
      </c>
      <c r="T474" s="36">
        <v>515.02285575524115</v>
      </c>
      <c r="U474" s="12">
        <f>+T474+BG474*S474*テーブル2[[#This Row],[Pw]]*R474/(N474*O474*K474)</f>
        <v>573.99371830879772</v>
      </c>
      <c r="V474" s="36">
        <v>0.03</v>
      </c>
      <c r="W474" s="37">
        <f t="shared" si="208"/>
        <v>64779.390574186145</v>
      </c>
      <c r="X474" s="36">
        <v>0.01</v>
      </c>
      <c r="Y474" s="36">
        <f t="shared" si="209"/>
        <v>10</v>
      </c>
      <c r="Z474" s="36">
        <f t="shared" si="210"/>
        <v>4.5028934830428069</v>
      </c>
      <c r="AA474" s="36">
        <f t="shared" si="211"/>
        <v>5.4971065169571931</v>
      </c>
      <c r="AB474" s="36">
        <f t="shared" si="212"/>
        <v>4.922549777312156E-5</v>
      </c>
      <c r="AC474" s="36">
        <v>600</v>
      </c>
      <c r="AD474" s="36">
        <f t="shared" si="213"/>
        <v>1145.1486589034735</v>
      </c>
      <c r="AE474" s="36">
        <f>+gettm2(AD474,AC474,AK474,AL474,テーブル2[[#This Row],[Fcorr]])</f>
        <v>553.73291668936486</v>
      </c>
      <c r="AF474" s="39">
        <f t="shared" si="214"/>
        <v>-20.260801619432868</v>
      </c>
      <c r="AG474" s="36">
        <v>1.0000000000000001E-5</v>
      </c>
      <c r="AH474" s="36">
        <f t="shared" si="215"/>
        <v>11.318375252812967</v>
      </c>
      <c r="AI474" s="36">
        <f t="shared" si="216"/>
        <v>0.13803830722665988</v>
      </c>
      <c r="AJ474" s="36">
        <f t="shared" si="217"/>
        <v>12.022558098724133</v>
      </c>
      <c r="AK474" s="36">
        <f>+S88*テーブル2[[#This Row],[F_form]]/(E88*CpFromTP((テーブル2[[#This Row],[Tin]]+テーブル2[[#This Row],[Tf]])/2,テーブル2[[#This Row],[P]])*AI88)</f>
        <v>2.0004937679895405</v>
      </c>
      <c r="AL474" s="36">
        <f t="shared" si="218"/>
        <v>1.3019406270654956</v>
      </c>
      <c r="AM474" s="36">
        <f t="shared" si="219"/>
        <v>576.5770262441647</v>
      </c>
      <c r="AN474" s="36">
        <f t="shared" si="220"/>
        <v>41.397807190851722</v>
      </c>
      <c r="AO474" s="36">
        <f t="shared" si="221"/>
        <v>-3.9225497773121561E-5</v>
      </c>
      <c r="AP474" s="36">
        <v>1</v>
      </c>
      <c r="AQ474" s="36">
        <f t="shared" si="222"/>
        <v>3.3448984939390747E-4</v>
      </c>
      <c r="AR474" s="36">
        <f t="shared" si="223"/>
        <v>-1.4612748886560781E-5</v>
      </c>
      <c r="AS474" s="36">
        <f t="shared" si="224"/>
        <v>-17.568262247074337</v>
      </c>
      <c r="AT474" s="36">
        <f t="shared" si="225"/>
        <v>-17.568262247074337</v>
      </c>
      <c r="AU474" s="36">
        <f t="shared" si="226"/>
        <v>-2.4250931815001775</v>
      </c>
      <c r="AV474" s="36">
        <f t="shared" si="227"/>
        <v>3.4250931815001775</v>
      </c>
      <c r="AW474" s="36">
        <f t="shared" si="228"/>
        <v>3.3434754284754502E-2</v>
      </c>
      <c r="AX474" s="36">
        <f t="shared" si="229"/>
        <v>0.40291249882280855</v>
      </c>
      <c r="AY474" s="36">
        <f t="shared" si="230"/>
        <v>3.0221806826773689</v>
      </c>
      <c r="AZ474" s="36">
        <f t="shared" si="231"/>
        <v>964852.16359166033</v>
      </c>
      <c r="BA474" s="36">
        <f t="shared" si="232"/>
        <v>3.3448984939390747E-4</v>
      </c>
      <c r="BB474" s="38">
        <f t="shared" si="233"/>
        <v>-67209572.719949782</v>
      </c>
      <c r="BC474" s="40">
        <f t="shared" si="234"/>
        <v>-71058172.519949779</v>
      </c>
      <c r="BD474" s="41">
        <f t="shared" si="235"/>
        <v>-1846.3383103628958</v>
      </c>
      <c r="BE474" s="38">
        <v>3848599.8</v>
      </c>
      <c r="BF474" s="42">
        <f>テーブル2[[#This Row],[q_P]]/テーブル2[[#This Row],[q_M]]</f>
        <v>-17.463383103628956</v>
      </c>
      <c r="BG474" s="36">
        <v>1</v>
      </c>
      <c r="BH474" s="36">
        <v>-5.2999999999999999E-2</v>
      </c>
      <c r="BI474" s="36">
        <v>4.5999999999999999E-2</v>
      </c>
      <c r="BJ474" s="36">
        <v>5625</v>
      </c>
      <c r="BK474" s="22">
        <v>1</v>
      </c>
      <c r="BL474" s="36">
        <f>テーブル2[[#This Row],[Ts]]-テーブル2[[#This Row],[Tin]]</f>
        <v>102.95197767977527</v>
      </c>
      <c r="BM474" s="36">
        <f>テーブル2[[#This Row],[q_P]]*0.000001</f>
        <v>-67.209572719949776</v>
      </c>
      <c r="BN474" s="36">
        <f>テーブル2[[#This Row],[Tsub]]</f>
        <v>102.95197767977527</v>
      </c>
      <c r="BO474" s="36">
        <f>テーブル2[[#This Row],[Fcorr]]</f>
        <v>1</v>
      </c>
      <c r="BP474" s="36">
        <f>(テーブル2[[#This Row],[Tsub]]-40)^2</f>
        <v>3962.9514937949234</v>
      </c>
      <c r="BQ474" s="36">
        <v>1</v>
      </c>
      <c r="BR474" s="36">
        <v>0.15240000000000001</v>
      </c>
    </row>
    <row r="475" spans="1:70" x14ac:dyDescent="0.15">
      <c r="A475" s="35" t="s">
        <v>210</v>
      </c>
      <c r="B475" s="36">
        <v>15513203.909628</v>
      </c>
      <c r="C475" s="22">
        <f>TsatFromP(テーブル2[[#This Row],[P]])</f>
        <v>617.97483343501642</v>
      </c>
      <c r="D475" s="36">
        <f>RhoGFromP(テーブル2[[#This Row],[P]])</f>
        <v>102.22394330032125</v>
      </c>
      <c r="E475" s="36">
        <f>RhoFFromP(テーブル2[[#This Row],[P]])</f>
        <v>593.9978032143099</v>
      </c>
      <c r="F475" s="36">
        <f>HgFromP(テーブル2[[#This Row],[P]])</f>
        <v>2595333.549379834</v>
      </c>
      <c r="G475" s="36">
        <f>HfFromP(テーブル2[[#This Row],[P]])</f>
        <v>1630481.3857881736</v>
      </c>
      <c r="H475" s="36">
        <f>MuGFromP(テーブル2[[#This Row],[P]])</f>
        <v>2.3048203873609753E-5</v>
      </c>
      <c r="I475" s="36">
        <f>MuFFromP(テーブル2[[#This Row],[P]])</f>
        <v>6.8200503236294993E-5</v>
      </c>
      <c r="J475" s="36">
        <f>KfFromP(テーブル2[[#This Row],[P]])</f>
        <v>0.47171772328904032</v>
      </c>
      <c r="K475" s="36">
        <f>CpFFromP(テーブル2[[#This Row],[P]])</f>
        <v>9005.0430614711822</v>
      </c>
      <c r="L475" s="36">
        <f>SigmaFromP(テーブル2[[#This Row],[P]])</f>
        <v>4.6429387983558243E-3</v>
      </c>
      <c r="M475" s="36">
        <v>9.01</v>
      </c>
      <c r="N475" s="36">
        <v>2319.1532999999999</v>
      </c>
      <c r="O475" s="37">
        <f t="shared" si="236"/>
        <v>2.8502295699234246E-6</v>
      </c>
      <c r="P475" s="37">
        <f t="shared" si="237"/>
        <v>5.9847340050885557E-3</v>
      </c>
      <c r="Q475" s="37">
        <v>1.905E-3</v>
      </c>
      <c r="R475" s="36">
        <v>0.15240000000000001</v>
      </c>
      <c r="S475" s="38">
        <v>3911691.6</v>
      </c>
      <c r="T475" s="36">
        <v>513.22339796140898</v>
      </c>
      <c r="U475" s="12">
        <f>+T475+BG475*S475*テーブル2[[#This Row],[Pw]]*R475/(N475*O475*K475)</f>
        <v>573.16099596666311</v>
      </c>
      <c r="V475" s="36">
        <v>0.03</v>
      </c>
      <c r="W475" s="37">
        <f t="shared" si="208"/>
        <v>64779.390574186145</v>
      </c>
      <c r="X475" s="36">
        <v>0.01</v>
      </c>
      <c r="Y475" s="36">
        <f t="shared" si="209"/>
        <v>10</v>
      </c>
      <c r="Z475" s="36">
        <f t="shared" si="210"/>
        <v>4.5028934830428069</v>
      </c>
      <c r="AA475" s="36">
        <f t="shared" si="211"/>
        <v>5.4971065169571931</v>
      </c>
      <c r="AB475" s="36">
        <f t="shared" si="212"/>
        <v>4.922549777312156E-5</v>
      </c>
      <c r="AC475" s="36">
        <v>600</v>
      </c>
      <c r="AD475" s="36">
        <f t="shared" si="213"/>
        <v>1145.1486589034735</v>
      </c>
      <c r="AE475" s="36">
        <f>+gettm2(AD475,AC475,AK475,AL475,テーブル2[[#This Row],[Fcorr]])</f>
        <v>553.57685132611948</v>
      </c>
      <c r="AF475" s="39">
        <f t="shared" si="214"/>
        <v>-19.584144640543627</v>
      </c>
      <c r="AG475" s="36">
        <v>1.0000000000000001E-5</v>
      </c>
      <c r="AH475" s="36">
        <f t="shared" si="215"/>
        <v>11.318375252812967</v>
      </c>
      <c r="AI475" s="36">
        <f t="shared" si="216"/>
        <v>0.13803830722665988</v>
      </c>
      <c r="AJ475" s="36">
        <f t="shared" si="217"/>
        <v>12.022558098724133</v>
      </c>
      <c r="AK475" s="36">
        <f>+S88*テーブル2[[#This Row],[F_form]]/(E88*CpFromTP((テーブル2[[#This Row],[Tin]]+テーブル2[[#This Row],[Tf]])/2,テーブル2[[#This Row],[P]])*AI88)</f>
        <v>2.0072417141368124</v>
      </c>
      <c r="AL475" s="36">
        <f t="shared" si="218"/>
        <v>1.3019406270654956</v>
      </c>
      <c r="AM475" s="36">
        <f t="shared" si="219"/>
        <v>576.49801726745977</v>
      </c>
      <c r="AN475" s="36">
        <f t="shared" si="220"/>
        <v>41.476816167556649</v>
      </c>
      <c r="AO475" s="36">
        <f t="shared" si="221"/>
        <v>-3.9225497773121561E-5</v>
      </c>
      <c r="AP475" s="36">
        <v>1</v>
      </c>
      <c r="AQ475" s="36">
        <f t="shared" si="222"/>
        <v>3.3448984939390747E-4</v>
      </c>
      <c r="AR475" s="36">
        <f t="shared" si="223"/>
        <v>-1.4612748886560781E-5</v>
      </c>
      <c r="AS475" s="36">
        <f t="shared" si="224"/>
        <v>-17.568262247074337</v>
      </c>
      <c r="AT475" s="36">
        <f t="shared" si="225"/>
        <v>-17.568262247074337</v>
      </c>
      <c r="AU475" s="36">
        <f t="shared" si="226"/>
        <v>-2.4250931815001775</v>
      </c>
      <c r="AV475" s="36">
        <f t="shared" si="227"/>
        <v>3.4250931815001775</v>
      </c>
      <c r="AW475" s="36">
        <f t="shared" si="228"/>
        <v>3.3434754284754502E-2</v>
      </c>
      <c r="AX475" s="36">
        <f t="shared" si="229"/>
        <v>0.40291249882280855</v>
      </c>
      <c r="AY475" s="36">
        <f t="shared" si="230"/>
        <v>3.0221806826773689</v>
      </c>
      <c r="AZ475" s="36">
        <f t="shared" si="231"/>
        <v>964852.16359166033</v>
      </c>
      <c r="BA475" s="36">
        <f t="shared" si="232"/>
        <v>3.3448984939390747E-4</v>
      </c>
      <c r="BB475" s="38">
        <f t="shared" si="233"/>
        <v>-67209572.719949782</v>
      </c>
      <c r="BC475" s="40">
        <f t="shared" si="234"/>
        <v>-71121264.319949776</v>
      </c>
      <c r="BD475" s="41">
        <f t="shared" si="235"/>
        <v>-1818.1715634215586</v>
      </c>
      <c r="BE475" s="38">
        <v>3911691.6</v>
      </c>
      <c r="BF475" s="42">
        <f>テーブル2[[#This Row],[q_P]]/テーブル2[[#This Row],[q_M]]</f>
        <v>-17.181715634215585</v>
      </c>
      <c r="BG475" s="36">
        <v>1</v>
      </c>
      <c r="BH475" s="36">
        <v>-5.2999999999999999E-2</v>
      </c>
      <c r="BI475" s="36">
        <v>4.5999999999999999E-2</v>
      </c>
      <c r="BJ475" s="36">
        <v>5625</v>
      </c>
      <c r="BK475" s="22">
        <v>1</v>
      </c>
      <c r="BL475" s="36">
        <f>テーブル2[[#This Row],[Ts]]-テーブル2[[#This Row],[Tin]]</f>
        <v>104.75143547360744</v>
      </c>
      <c r="BM475" s="36">
        <f>テーブル2[[#This Row],[q_P]]*0.000001</f>
        <v>-67.209572719949776</v>
      </c>
      <c r="BN475" s="36">
        <f>テーブル2[[#This Row],[Tsub]]</f>
        <v>104.75143547360744</v>
      </c>
      <c r="BO475" s="36">
        <f>テーブル2[[#This Row],[Fcorr]]</f>
        <v>1</v>
      </c>
      <c r="BP475" s="36">
        <f>(テーブル2[[#This Row],[Tsub]]-40)^2</f>
        <v>4192.7483958927487</v>
      </c>
      <c r="BQ475" s="36">
        <v>1</v>
      </c>
      <c r="BR475" s="36">
        <v>0.15240000000000001</v>
      </c>
    </row>
    <row r="476" spans="1:70" x14ac:dyDescent="0.15">
      <c r="A476" s="35" t="s">
        <v>232</v>
      </c>
      <c r="B476" s="36">
        <v>17236893.232919998</v>
      </c>
      <c r="C476" s="22">
        <f>TsatFromP(テーブル2[[#This Row],[P]])</f>
        <v>626.57723583796371</v>
      </c>
      <c r="D476" s="36">
        <f>RhoGFromP(テーブル2[[#This Row],[P]])</f>
        <v>122.58359097668941</v>
      </c>
      <c r="E476" s="36">
        <f>RhoFFromP(テーブル2[[#This Row],[P]])</f>
        <v>560.26337686440854</v>
      </c>
      <c r="F476" s="36">
        <f>HgFromP(テーブル2[[#This Row],[P]])</f>
        <v>2538890.645480752</v>
      </c>
      <c r="G476" s="36">
        <f>HfFromP(テーブル2[[#This Row],[P]])</f>
        <v>1699798.646597503</v>
      </c>
      <c r="H476" s="36">
        <f>MuGFromP(テーブル2[[#This Row],[P]])</f>
        <v>2.4290890628325484E-5</v>
      </c>
      <c r="I476" s="36">
        <f>MuFFromP(テーブル2[[#This Row],[P]])</f>
        <v>6.4066005508527627E-5</v>
      </c>
      <c r="J476" s="36">
        <f>KfFromP(テーブル2[[#This Row],[P]])</f>
        <v>0.45288481052759361</v>
      </c>
      <c r="K476" s="36">
        <f>CpFFromP(テーブル2[[#This Row],[P]])</f>
        <v>11219.515372647445</v>
      </c>
      <c r="L476" s="36">
        <f>SigmaFromP(テーブル2[[#This Row],[P]])</f>
        <v>3.029253861182898E-3</v>
      </c>
      <c r="M476" s="36">
        <v>1.01</v>
      </c>
      <c r="N476" s="36">
        <v>1939.4088999999999</v>
      </c>
      <c r="O476" s="37">
        <f t="shared" si="236"/>
        <v>2.8502295699234246E-6</v>
      </c>
      <c r="P476" s="37">
        <f t="shared" si="237"/>
        <v>5.9847340050885557E-3</v>
      </c>
      <c r="Q476" s="37">
        <v>1.905E-3</v>
      </c>
      <c r="R476" s="36">
        <v>0.15240000000000001</v>
      </c>
      <c r="S476" s="38">
        <v>2839131</v>
      </c>
      <c r="T476" s="36">
        <v>544.41329032887268</v>
      </c>
      <c r="U476" s="12">
        <f>+T476+BG476*S476*テーブル2[[#This Row],[Pw]]*R476/(N476*O476*K476)</f>
        <v>586.16669818696357</v>
      </c>
      <c r="V476" s="36">
        <v>0.03</v>
      </c>
      <c r="W476" s="37">
        <f t="shared" si="208"/>
        <v>57668.242700229326</v>
      </c>
      <c r="X476" s="36">
        <v>0.01</v>
      </c>
      <c r="Y476" s="36">
        <f t="shared" si="209"/>
        <v>10</v>
      </c>
      <c r="Z476" s="36">
        <f t="shared" si="210"/>
        <v>4.5974621078348932</v>
      </c>
      <c r="AA476" s="36">
        <f t="shared" si="211"/>
        <v>5.4025378921651068</v>
      </c>
      <c r="AB476" s="36">
        <f t="shared" si="212"/>
        <v>4.331719929042177E-5</v>
      </c>
      <c r="AC476" s="36">
        <v>600</v>
      </c>
      <c r="AD476" s="36">
        <f t="shared" si="213"/>
        <v>1019.4401368110944</v>
      </c>
      <c r="AE476" s="36">
        <f>+gettm2(AD476,AC476,AK476,AL476,テーブル2[[#This Row],[Fcorr]])</f>
        <v>552.93194495178204</v>
      </c>
      <c r="AF476" s="39">
        <f t="shared" si="214"/>
        <v>-33.234753235181529</v>
      </c>
      <c r="AG476" s="36">
        <v>1.0000000000000001E-5</v>
      </c>
      <c r="AH476" s="36">
        <f t="shared" si="215"/>
        <v>8.3918274795371328</v>
      </c>
      <c r="AI476" s="36">
        <f t="shared" si="216"/>
        <v>0.12238611707574035</v>
      </c>
      <c r="AJ476" s="36">
        <f t="shared" si="217"/>
        <v>10.70278358856792</v>
      </c>
      <c r="AK476" s="36">
        <f>+S88*テーブル2[[#This Row],[F_form]]/(E88*CpFromTP((テーブル2[[#This Row],[Tin]]+テーブル2[[#This Row],[Tf]])/2,テーブル2[[#This Row],[P]])*AI88)</f>
        <v>1.8743185007659247</v>
      </c>
      <c r="AL476" s="36">
        <f t="shared" si="218"/>
        <v>1.5871354414153991</v>
      </c>
      <c r="AM476" s="36">
        <f t="shared" si="219"/>
        <v>575.44270244945119</v>
      </c>
      <c r="AN476" s="36">
        <f t="shared" si="220"/>
        <v>51.134533388512523</v>
      </c>
      <c r="AO476" s="36">
        <f t="shared" si="221"/>
        <v>-3.3317199290421771E-5</v>
      </c>
      <c r="AP476" s="36">
        <v>1</v>
      </c>
      <c r="AQ476" s="36">
        <f t="shared" si="222"/>
        <v>1.8924061455248241E-4</v>
      </c>
      <c r="AR476" s="36">
        <f t="shared" si="223"/>
        <v>-1.1658599645210886E-5</v>
      </c>
      <c r="AS476" s="36">
        <f t="shared" si="224"/>
        <v>-12.477946894844683</v>
      </c>
      <c r="AT476" s="36">
        <f t="shared" si="225"/>
        <v>-12.477946894844683</v>
      </c>
      <c r="AU476" s="36">
        <f t="shared" si="226"/>
        <v>-1.527127469537332</v>
      </c>
      <c r="AV476" s="36">
        <f t="shared" si="227"/>
        <v>2.5271274695373318</v>
      </c>
      <c r="AW476" s="36">
        <f t="shared" si="228"/>
        <v>3.4363117535265088E-2</v>
      </c>
      <c r="AX476" s="36">
        <f t="shared" si="229"/>
        <v>0.29038291403269934</v>
      </c>
      <c r="AY476" s="36">
        <f t="shared" si="230"/>
        <v>2.2367445555046324</v>
      </c>
      <c r="AZ476" s="36">
        <f t="shared" si="231"/>
        <v>839091.99888324901</v>
      </c>
      <c r="BA476" s="36">
        <f t="shared" si="232"/>
        <v>1.8924061455248241E-4</v>
      </c>
      <c r="BB476" s="38">
        <f t="shared" si="233"/>
        <v>-82766759.387221813</v>
      </c>
      <c r="BC476" s="40">
        <f t="shared" si="234"/>
        <v>-85605890.387221813</v>
      </c>
      <c r="BD476" s="41">
        <f t="shared" si="235"/>
        <v>-3015.2145282208471</v>
      </c>
      <c r="BE476" s="38">
        <v>2839131</v>
      </c>
      <c r="BF476" s="42">
        <f>テーブル2[[#This Row],[q_P]]/テーブル2[[#This Row],[q_M]]</f>
        <v>-29.152145282208469</v>
      </c>
      <c r="BG476" s="36">
        <v>1</v>
      </c>
      <c r="BH476" s="36">
        <v>-5.0999999999999997E-2</v>
      </c>
      <c r="BI476" s="36">
        <v>4.5999999999999999E-2</v>
      </c>
      <c r="BJ476" s="36">
        <v>5625</v>
      </c>
      <c r="BK476" s="22">
        <v>1</v>
      </c>
      <c r="BL476" s="36">
        <f>テーブル2[[#This Row],[Ts]]-テーブル2[[#This Row],[Tin]]</f>
        <v>82.163945509091036</v>
      </c>
      <c r="BM476" s="36">
        <f>テーブル2[[#This Row],[q_P]]*0.000001</f>
        <v>-82.766759387221811</v>
      </c>
      <c r="BN476" s="36">
        <f>テーブル2[[#This Row],[Tsub]]</f>
        <v>82.163945509091036</v>
      </c>
      <c r="BO476" s="36">
        <f>テーブル2[[#This Row],[Fcorr]]</f>
        <v>1</v>
      </c>
      <c r="BP476" s="36">
        <f>(テーブル2[[#This Row],[Tsub]]-40)^2</f>
        <v>1777.7983008935983</v>
      </c>
      <c r="BQ476" s="36">
        <v>1</v>
      </c>
      <c r="BR476" s="36">
        <v>0.15240000000000001</v>
      </c>
    </row>
    <row r="477" spans="1:70" x14ac:dyDescent="0.15">
      <c r="A477" s="35" t="s">
        <v>241</v>
      </c>
      <c r="B477" s="36">
        <v>17236893.232919998</v>
      </c>
      <c r="C477" s="22">
        <f>TsatFromP(テーブル2[[#This Row],[P]])</f>
        <v>626.57723583796371</v>
      </c>
      <c r="D477" s="36">
        <f>RhoGFromP(テーブル2[[#This Row],[P]])</f>
        <v>122.58359097668941</v>
      </c>
      <c r="E477" s="36">
        <f>RhoFFromP(テーブル2[[#This Row],[P]])</f>
        <v>560.26337686440854</v>
      </c>
      <c r="F477" s="36">
        <f>HgFromP(テーブル2[[#This Row],[P]])</f>
        <v>2538890.645480752</v>
      </c>
      <c r="G477" s="36">
        <f>HfFromP(テーブル2[[#This Row],[P]])</f>
        <v>1699798.646597503</v>
      </c>
      <c r="H477" s="36">
        <f>MuGFromP(テーブル2[[#This Row],[P]])</f>
        <v>2.4290890628325484E-5</v>
      </c>
      <c r="I477" s="36">
        <f>MuFFromP(テーブル2[[#This Row],[P]])</f>
        <v>6.4066005508527627E-5</v>
      </c>
      <c r="J477" s="36">
        <f>KfFromP(テーブル2[[#This Row],[P]])</f>
        <v>0.45288481052759361</v>
      </c>
      <c r="K477" s="36">
        <f>CpFFromP(テーブル2[[#This Row],[P]])</f>
        <v>11219.515372647445</v>
      </c>
      <c r="L477" s="36">
        <f>SigmaFromP(テーブル2[[#This Row],[P]])</f>
        <v>3.029253861182898E-3</v>
      </c>
      <c r="M477" s="36">
        <v>10.01</v>
      </c>
      <c r="N477" s="36">
        <v>2210.6549</v>
      </c>
      <c r="O477" s="37">
        <f t="shared" si="236"/>
        <v>2.8502295699234246E-6</v>
      </c>
      <c r="P477" s="37">
        <f t="shared" si="237"/>
        <v>5.9847340050885557E-3</v>
      </c>
      <c r="Q477" s="37">
        <v>1.905E-3</v>
      </c>
      <c r="R477" s="36">
        <v>0.15240000000000001</v>
      </c>
      <c r="S477" s="38">
        <v>3785508</v>
      </c>
      <c r="T477" s="36">
        <v>523.23724590008021</v>
      </c>
      <c r="U477" s="12">
        <f>+T477+BG477*S477*テーブル2[[#This Row],[Pw]]*R477/(N477*O477*K477)</f>
        <v>572.07763300606791</v>
      </c>
      <c r="V477" s="36">
        <v>0.03</v>
      </c>
      <c r="W477" s="37">
        <f t="shared" si="208"/>
        <v>65733.731189771876</v>
      </c>
      <c r="X477" s="36">
        <v>0.01</v>
      </c>
      <c r="Y477" s="36">
        <f t="shared" si="209"/>
        <v>10</v>
      </c>
      <c r="Z477" s="36">
        <f t="shared" si="210"/>
        <v>4.8143852498476445</v>
      </c>
      <c r="AA477" s="36">
        <f t="shared" si="211"/>
        <v>5.1856147501523555</v>
      </c>
      <c r="AB477" s="36">
        <f t="shared" si="212"/>
        <v>3.3339358210314073E-5</v>
      </c>
      <c r="AC477" s="36">
        <v>600</v>
      </c>
      <c r="AD477" s="36">
        <f t="shared" si="213"/>
        <v>1162.0191769245341</v>
      </c>
      <c r="AE477" s="36">
        <f>+gettm2(AD477,AC477,AK477,AL477,テーブル2[[#This Row],[Fcorr]])</f>
        <v>549.51088114314587</v>
      </c>
      <c r="AF477" s="39">
        <f t="shared" si="214"/>
        <v>-22.566751862922047</v>
      </c>
      <c r="AG477" s="36">
        <v>1.0000000000000001E-5</v>
      </c>
      <c r="AH477" s="36">
        <f t="shared" si="215"/>
        <v>10.903343161221679</v>
      </c>
      <c r="AI477" s="36">
        <f t="shared" si="216"/>
        <v>0.13950305652689285</v>
      </c>
      <c r="AJ477" s="36">
        <f t="shared" si="217"/>
        <v>12.199676398157838</v>
      </c>
      <c r="AK477" s="36">
        <f>+S88*テーブル2[[#This Row],[F_form]]/(E88*CpFromTP((テーブル2[[#This Row],[Tin]]+テーブル2[[#This Row],[Tf]])/2,テーブル2[[#This Row],[P]])*AI88)</f>
        <v>1.983839951736962</v>
      </c>
      <c r="AL477" s="36">
        <f t="shared" si="218"/>
        <v>1.5871354414153991</v>
      </c>
      <c r="AM477" s="36">
        <f t="shared" si="219"/>
        <v>572.45819694611771</v>
      </c>
      <c r="AN477" s="36">
        <f t="shared" si="220"/>
        <v>54.119038891846003</v>
      </c>
      <c r="AO477" s="36">
        <f t="shared" si="221"/>
        <v>-2.3339358210314073E-5</v>
      </c>
      <c r="AP477" s="36">
        <v>1</v>
      </c>
      <c r="AQ477" s="36">
        <f t="shared" si="222"/>
        <v>1.8924061455248241E-4</v>
      </c>
      <c r="AR477" s="36">
        <f t="shared" si="223"/>
        <v>-6.6696791051570371E-6</v>
      </c>
      <c r="AS477" s="36">
        <f t="shared" si="224"/>
        <v>-8.1367926762470795</v>
      </c>
      <c r="AT477" s="36">
        <f t="shared" si="225"/>
        <v>-8.1367926762470795</v>
      </c>
      <c r="AU477" s="36">
        <f t="shared" si="226"/>
        <v>-1.135107448662104</v>
      </c>
      <c r="AV477" s="36">
        <f t="shared" si="227"/>
        <v>2.135107448662104</v>
      </c>
      <c r="AW477" s="36">
        <f t="shared" si="228"/>
        <v>2.6447792181814738E-2</v>
      </c>
      <c r="AX477" s="36">
        <f t="shared" si="229"/>
        <v>0.33099590900230758</v>
      </c>
      <c r="AY477" s="36">
        <f t="shared" si="230"/>
        <v>1.8041115396597964</v>
      </c>
      <c r="AZ477" s="36">
        <f t="shared" si="231"/>
        <v>839091.99888324901</v>
      </c>
      <c r="BA477" s="36">
        <f t="shared" si="232"/>
        <v>1.8924061455248241E-4</v>
      </c>
      <c r="BB477" s="38">
        <f t="shared" si="233"/>
        <v>-57979754.792912267</v>
      </c>
      <c r="BC477" s="40">
        <f t="shared" si="234"/>
        <v>-61765262.792912267</v>
      </c>
      <c r="BD477" s="41">
        <f t="shared" si="235"/>
        <v>-1631.6241517099493</v>
      </c>
      <c r="BE477" s="38">
        <v>3785508</v>
      </c>
      <c r="BF477" s="42">
        <f>テーブル2[[#This Row],[q_P]]/テーブル2[[#This Row],[q_M]]</f>
        <v>-15.316241517099494</v>
      </c>
      <c r="BG477" s="36">
        <v>1</v>
      </c>
      <c r="BH477" s="36">
        <v>-7.8E-2</v>
      </c>
      <c r="BI477" s="36">
        <v>4.5999999999999999E-2</v>
      </c>
      <c r="BJ477" s="36">
        <v>5625</v>
      </c>
      <c r="BK477" s="22">
        <v>1</v>
      </c>
      <c r="BL477" s="36">
        <f>テーブル2[[#This Row],[Ts]]-テーブル2[[#This Row],[Tin]]</f>
        <v>103.3399899378835</v>
      </c>
      <c r="BM477" s="36">
        <f>テーブル2[[#This Row],[q_P]]*0.000001</f>
        <v>-57.979754792912267</v>
      </c>
      <c r="BN477" s="36">
        <f>テーブル2[[#This Row],[Tsub]]</f>
        <v>103.3399899378835</v>
      </c>
      <c r="BO477" s="36">
        <f>テーブル2[[#This Row],[Fcorr]]</f>
        <v>1</v>
      </c>
      <c r="BP477" s="36">
        <f>(テーブル2[[#This Row],[Tsub]]-40)^2</f>
        <v>4011.9543253311831</v>
      </c>
      <c r="BQ477" s="36">
        <v>1</v>
      </c>
      <c r="BR477" s="36">
        <v>0.15240000000000001</v>
      </c>
    </row>
    <row r="478" spans="1:70" x14ac:dyDescent="0.15">
      <c r="A478" s="35" t="s">
        <v>242</v>
      </c>
      <c r="B478" s="36">
        <v>17236893.232919998</v>
      </c>
      <c r="C478" s="22">
        <f>TsatFromP(テーブル2[[#This Row],[P]])</f>
        <v>626.57723583796371</v>
      </c>
      <c r="D478" s="36">
        <f>RhoGFromP(テーブル2[[#This Row],[P]])</f>
        <v>122.58359097668941</v>
      </c>
      <c r="E478" s="36">
        <f>RhoFFromP(テーブル2[[#This Row],[P]])</f>
        <v>560.26337686440854</v>
      </c>
      <c r="F478" s="36">
        <f>HgFromP(テーブル2[[#This Row],[P]])</f>
        <v>2538890.645480752</v>
      </c>
      <c r="G478" s="36">
        <f>HfFromP(テーブル2[[#This Row],[P]])</f>
        <v>1699798.646597503</v>
      </c>
      <c r="H478" s="36">
        <f>MuGFromP(テーブル2[[#This Row],[P]])</f>
        <v>2.4290890628325484E-5</v>
      </c>
      <c r="I478" s="36">
        <f>MuFFromP(テーブル2[[#This Row],[P]])</f>
        <v>6.4066005508527627E-5</v>
      </c>
      <c r="J478" s="36">
        <f>KfFromP(テーブル2[[#This Row],[P]])</f>
        <v>0.45288481052759361</v>
      </c>
      <c r="K478" s="36">
        <f>CpFFromP(テーブル2[[#This Row],[P]])</f>
        <v>11219.515372647445</v>
      </c>
      <c r="L478" s="36">
        <f>SigmaFromP(テーブル2[[#This Row],[P]])</f>
        <v>3.029253861182898E-3</v>
      </c>
      <c r="M478" s="36">
        <v>11.01</v>
      </c>
      <c r="N478" s="36">
        <v>2766.7091999999998</v>
      </c>
      <c r="O478" s="37">
        <f t="shared" si="236"/>
        <v>2.8502295699234246E-6</v>
      </c>
      <c r="P478" s="37">
        <f t="shared" si="237"/>
        <v>5.9847340050885557E-3</v>
      </c>
      <c r="Q478" s="37">
        <v>1.905E-3</v>
      </c>
      <c r="R478" s="36">
        <v>0.15240000000000001</v>
      </c>
      <c r="S478" s="38">
        <v>4952706.3</v>
      </c>
      <c r="T478" s="36">
        <v>519.3225322878825</v>
      </c>
      <c r="U478" s="12">
        <f>+T478+BG478*S478*テーブル2[[#This Row],[Pw]]*R478/(N478*O478*K478)</f>
        <v>570.37949088385187</v>
      </c>
      <c r="V478" s="36">
        <v>0.03</v>
      </c>
      <c r="W478" s="37">
        <f t="shared" si="208"/>
        <v>82267.982593334134</v>
      </c>
      <c r="X478" s="36">
        <v>0.01</v>
      </c>
      <c r="Y478" s="36">
        <f t="shared" si="209"/>
        <v>10</v>
      </c>
      <c r="Z478" s="36">
        <f t="shared" si="210"/>
        <v>5.1830526997095649</v>
      </c>
      <c r="AA478" s="36">
        <f t="shared" si="211"/>
        <v>4.8169473002904351</v>
      </c>
      <c r="AB478" s="36">
        <f t="shared" si="212"/>
        <v>2.1284924266864543E-5</v>
      </c>
      <c r="AC478" s="36">
        <v>600</v>
      </c>
      <c r="AD478" s="36">
        <f t="shared" si="213"/>
        <v>1454.3062091570853</v>
      </c>
      <c r="AE478" s="36">
        <f>+gettm2(AD478,AC478,AK478,AL478,テーブル2[[#This Row],[Fcorr]])</f>
        <v>547.97981746422658</v>
      </c>
      <c r="AF478" s="39">
        <f t="shared" si="214"/>
        <v>-22.399673419625287</v>
      </c>
      <c r="AG478" s="36">
        <v>1.0000000000000001E-5</v>
      </c>
      <c r="AH478" s="36">
        <f t="shared" si="215"/>
        <v>17.078306635454901</v>
      </c>
      <c r="AI478" s="36">
        <f t="shared" si="216"/>
        <v>0.17459278240175544</v>
      </c>
      <c r="AJ478" s="36">
        <f t="shared" si="217"/>
        <v>15.268306657817172</v>
      </c>
      <c r="AK478" s="36">
        <f>+S88*テーブル2[[#This Row],[F_form]]/(E88*CpFromTP((テーブル2[[#This Row],[Tin]]+テーブル2[[#This Row],[Tf]])/2,テーブル2[[#This Row],[P]])*AI88)</f>
        <v>1.9987233691266968</v>
      </c>
      <c r="AL478" s="36">
        <f t="shared" si="218"/>
        <v>1.5871354414153991</v>
      </c>
      <c r="AM478" s="36">
        <f t="shared" si="219"/>
        <v>569.65665271123351</v>
      </c>
      <c r="AN478" s="36">
        <f t="shared" si="220"/>
        <v>56.920583126730207</v>
      </c>
      <c r="AO478" s="36">
        <f t="shared" si="221"/>
        <v>-1.1284924266864542E-5</v>
      </c>
      <c r="AP478" s="36">
        <v>1</v>
      </c>
      <c r="AQ478" s="36">
        <f t="shared" si="222"/>
        <v>1.8924061455248241E-4</v>
      </c>
      <c r="AR478" s="36">
        <f t="shared" si="223"/>
        <v>-6.4246213343227051E-7</v>
      </c>
      <c r="AS478" s="36">
        <f t="shared" si="224"/>
        <v>-0.98093088692793595</v>
      </c>
      <c r="AT478" s="36">
        <f t="shared" si="225"/>
        <v>-0.98093088692793595</v>
      </c>
      <c r="AU478" s="36">
        <f t="shared" si="226"/>
        <v>-0.17126345289257008</v>
      </c>
      <c r="AV478" s="36">
        <f t="shared" si="227"/>
        <v>1.1712634528925701</v>
      </c>
      <c r="AW478" s="36">
        <f t="shared" si="228"/>
        <v>1.6885125684319394E-2</v>
      </c>
      <c r="AX478" s="36">
        <f t="shared" si="229"/>
        <v>0.41425254869000455</v>
      </c>
      <c r="AY478" s="36">
        <f t="shared" si="230"/>
        <v>0.75701090420256545</v>
      </c>
      <c r="AZ478" s="36">
        <f t="shared" si="231"/>
        <v>839091.99888324901</v>
      </c>
      <c r="BA478" s="36">
        <f t="shared" si="232"/>
        <v>1.8924061455248241E-4</v>
      </c>
      <c r="BB478" s="38">
        <f t="shared" si="233"/>
        <v>-28034067.43036516</v>
      </c>
      <c r="BC478" s="40">
        <f t="shared" si="234"/>
        <v>-32986773.730365161</v>
      </c>
      <c r="BD478" s="41">
        <f t="shared" si="235"/>
        <v>-666.03532962100257</v>
      </c>
      <c r="BE478" s="38">
        <v>4952706.3</v>
      </c>
      <c r="BF478" s="42">
        <f>テーブル2[[#This Row],[q_P]]/テーブル2[[#This Row],[q_M]]</f>
        <v>-5.660353296210026</v>
      </c>
      <c r="BG478" s="36">
        <v>1</v>
      </c>
      <c r="BH478" s="36">
        <v>-7.0000000000000007E-2</v>
      </c>
      <c r="BI478" s="36">
        <v>4.5999999999999999E-2</v>
      </c>
      <c r="BJ478" s="36">
        <v>5625</v>
      </c>
      <c r="BK478" s="22">
        <v>1</v>
      </c>
      <c r="BL478" s="36">
        <f>テーブル2[[#This Row],[Ts]]-テーブル2[[#This Row],[Tin]]</f>
        <v>107.25470355008122</v>
      </c>
      <c r="BM478" s="36">
        <f>テーブル2[[#This Row],[q_P]]*0.000001</f>
        <v>-28.034067430365159</v>
      </c>
      <c r="BN478" s="36">
        <f>テーブル2[[#This Row],[Tsub]]</f>
        <v>107.25470355008122</v>
      </c>
      <c r="BO478" s="36">
        <f>テーブル2[[#This Row],[Fcorr]]</f>
        <v>1</v>
      </c>
      <c r="BP478" s="36">
        <f>(テーブル2[[#This Row],[Tsub]]-40)^2</f>
        <v>4523.195149609307</v>
      </c>
      <c r="BQ478" s="36">
        <v>1</v>
      </c>
      <c r="BR478" s="36">
        <v>0.15240000000000001</v>
      </c>
    </row>
    <row r="479" spans="1:70" x14ac:dyDescent="0.15">
      <c r="A479" s="35" t="s">
        <v>243</v>
      </c>
      <c r="B479" s="36">
        <v>17236893.232919998</v>
      </c>
      <c r="C479" s="22">
        <f>TsatFromP(テーブル2[[#This Row],[P]])</f>
        <v>626.57723583796371</v>
      </c>
      <c r="D479" s="36">
        <f>RhoGFromP(テーブル2[[#This Row],[P]])</f>
        <v>122.58359097668941</v>
      </c>
      <c r="E479" s="36">
        <f>RhoFFromP(テーブル2[[#This Row],[P]])</f>
        <v>560.26337686440854</v>
      </c>
      <c r="F479" s="36">
        <f>HgFromP(テーブル2[[#This Row],[P]])</f>
        <v>2538890.645480752</v>
      </c>
      <c r="G479" s="36">
        <f>HfFromP(テーブル2[[#This Row],[P]])</f>
        <v>1699798.646597503</v>
      </c>
      <c r="H479" s="36">
        <f>MuGFromP(テーブル2[[#This Row],[P]])</f>
        <v>2.4290890628325484E-5</v>
      </c>
      <c r="I479" s="36">
        <f>MuFFromP(テーブル2[[#This Row],[P]])</f>
        <v>6.4066005508527627E-5</v>
      </c>
      <c r="J479" s="36">
        <f>KfFromP(テーブル2[[#This Row],[P]])</f>
        <v>0.45288481052759361</v>
      </c>
      <c r="K479" s="36">
        <f>CpFFromP(テーブル2[[#This Row],[P]])</f>
        <v>11219.515372647445</v>
      </c>
      <c r="L479" s="36">
        <f>SigmaFromP(テーブル2[[#This Row],[P]])</f>
        <v>3.029253861182898E-3</v>
      </c>
      <c r="M479" s="36">
        <v>12.01</v>
      </c>
      <c r="N479" s="36">
        <v>2820.9584</v>
      </c>
      <c r="O479" s="37">
        <f t="shared" si="236"/>
        <v>2.8502295699234246E-6</v>
      </c>
      <c r="P479" s="37">
        <f t="shared" si="237"/>
        <v>5.9847340050885557E-3</v>
      </c>
      <c r="Q479" s="37">
        <v>1.905E-3</v>
      </c>
      <c r="R479" s="36">
        <v>0.15240000000000001</v>
      </c>
      <c r="S479" s="38">
        <v>4132512.9</v>
      </c>
      <c r="T479" s="36">
        <v>551.06320535859527</v>
      </c>
      <c r="U479" s="12">
        <f>+T479+BG479*S479*テーブル2[[#This Row],[Pw]]*R479/(N479*O479*K479)</f>
        <v>592.84560863880984</v>
      </c>
      <c r="V479" s="36">
        <v>0.03</v>
      </c>
      <c r="W479" s="37">
        <f t="shared" si="208"/>
        <v>83881.080291242644</v>
      </c>
      <c r="X479" s="36">
        <v>0.01</v>
      </c>
      <c r="Y479" s="36">
        <f t="shared" si="209"/>
        <v>10</v>
      </c>
      <c r="Z479" s="36">
        <f t="shared" si="210"/>
        <v>5.2147537463032725</v>
      </c>
      <c r="AA479" s="36">
        <f t="shared" si="211"/>
        <v>4.7852462536967275</v>
      </c>
      <c r="AB479" s="36">
        <f t="shared" si="212"/>
        <v>2.0474144977113411E-5</v>
      </c>
      <c r="AC479" s="36">
        <v>600</v>
      </c>
      <c r="AD479" s="36">
        <f t="shared" si="213"/>
        <v>1482.8220171797734</v>
      </c>
      <c r="AE479" s="36">
        <f>+gettm2(AD479,AC479,AK479,AL479,テーブル2[[#This Row],[Fcorr]])</f>
        <v>552.4431419523338</v>
      </c>
      <c r="AF479" s="39">
        <f t="shared" si="214"/>
        <v>-40.402466686476032</v>
      </c>
      <c r="AG479" s="36">
        <v>1.0000000000000001E-5</v>
      </c>
      <c r="AH479" s="36">
        <f t="shared" si="215"/>
        <v>17.754610204640546</v>
      </c>
      <c r="AI479" s="36">
        <f t="shared" si="216"/>
        <v>0.17801617029198596</v>
      </c>
      <c r="AJ479" s="36">
        <f t="shared" si="217"/>
        <v>15.567685219735159</v>
      </c>
      <c r="AK479" s="36">
        <f>+S88*テーブル2[[#This Row],[F_form]]/(E88*CpFromTP((テーブル2[[#This Row],[Tin]]+テーブル2[[#This Row],[Tf]])/2,テーブル2[[#This Row],[P]])*AI88)</f>
        <v>1.8237480308843266</v>
      </c>
      <c r="AL479" s="36">
        <f t="shared" si="218"/>
        <v>1.5871354414153991</v>
      </c>
      <c r="AM479" s="36">
        <f t="shared" si="219"/>
        <v>572.11180827060912</v>
      </c>
      <c r="AN479" s="36">
        <f t="shared" si="220"/>
        <v>54.465427567354595</v>
      </c>
      <c r="AO479" s="36">
        <f t="shared" si="221"/>
        <v>-1.047414497711341E-5</v>
      </c>
      <c r="AP479" s="36">
        <v>1</v>
      </c>
      <c r="AQ479" s="36">
        <f t="shared" si="222"/>
        <v>1.8924061455248241E-4</v>
      </c>
      <c r="AR479" s="36">
        <f t="shared" si="223"/>
        <v>-2.3707248855670475E-7</v>
      </c>
      <c r="AS479" s="36">
        <f t="shared" si="224"/>
        <v>-0.36906698761100437</v>
      </c>
      <c r="AT479" s="36">
        <f t="shared" si="225"/>
        <v>-0.36906698761100437</v>
      </c>
      <c r="AU479" s="36">
        <f t="shared" si="226"/>
        <v>-6.5699891715710834E-2</v>
      </c>
      <c r="AV479" s="36">
        <f t="shared" si="227"/>
        <v>1.0656998917157108</v>
      </c>
      <c r="AW479" s="36">
        <f t="shared" si="228"/>
        <v>1.6241942272527638E-2</v>
      </c>
      <c r="AX479" s="36">
        <f t="shared" si="229"/>
        <v>0.42237514768392631</v>
      </c>
      <c r="AY479" s="36">
        <f t="shared" si="230"/>
        <v>0.64332474403178441</v>
      </c>
      <c r="AZ479" s="36">
        <f t="shared" si="231"/>
        <v>839091.99888324901</v>
      </c>
      <c r="BA479" s="36">
        <f t="shared" si="232"/>
        <v>1.8924061455248241E-4</v>
      </c>
      <c r="BB479" s="38">
        <f t="shared" si="233"/>
        <v>-26019925.310974393</v>
      </c>
      <c r="BC479" s="40">
        <f t="shared" si="234"/>
        <v>-30152438.210974392</v>
      </c>
      <c r="BD479" s="41">
        <f t="shared" si="235"/>
        <v>-729.63930036308886</v>
      </c>
      <c r="BE479" s="38">
        <v>4132512.9</v>
      </c>
      <c r="BF479" s="42">
        <f>テーブル2[[#This Row],[q_P]]/テーブル2[[#This Row],[q_M]]</f>
        <v>-6.2963930036308886</v>
      </c>
      <c r="BG479" s="36">
        <v>1</v>
      </c>
      <c r="BH479" s="36">
        <v>-1.0999999999999999E-2</v>
      </c>
      <c r="BI479" s="36">
        <v>4.5999999999999999E-2</v>
      </c>
      <c r="BJ479" s="36">
        <v>5625</v>
      </c>
      <c r="BK479" s="22">
        <v>1</v>
      </c>
      <c r="BL479" s="36">
        <f>テーブル2[[#This Row],[Ts]]-テーブル2[[#This Row],[Tin]]</f>
        <v>75.514030479368444</v>
      </c>
      <c r="BM479" s="36">
        <f>テーブル2[[#This Row],[q_P]]*0.000001</f>
        <v>-26.019925310974394</v>
      </c>
      <c r="BN479" s="36">
        <f>テーブル2[[#This Row],[Tsub]]</f>
        <v>75.514030479368444</v>
      </c>
      <c r="BO479" s="36">
        <f>テーブル2[[#This Row],[Fcorr]]</f>
        <v>1</v>
      </c>
      <c r="BP479" s="36">
        <f>(テーブル2[[#This Row],[Tsub]]-40)^2</f>
        <v>1261.2463608895107</v>
      </c>
      <c r="BQ479" s="36">
        <v>1</v>
      </c>
      <c r="BR479" s="36">
        <v>0.15240000000000001</v>
      </c>
    </row>
    <row r="480" spans="1:70" x14ac:dyDescent="0.15">
      <c r="A480" s="35" t="s">
        <v>244</v>
      </c>
      <c r="B480" s="36">
        <v>17236893.232919998</v>
      </c>
      <c r="C480" s="22">
        <f>TsatFromP(テーブル2[[#This Row],[P]])</f>
        <v>626.57723583796371</v>
      </c>
      <c r="D480" s="36">
        <f>RhoGFromP(テーブル2[[#This Row],[P]])</f>
        <v>122.58359097668941</v>
      </c>
      <c r="E480" s="36">
        <f>RhoFFromP(テーブル2[[#This Row],[P]])</f>
        <v>560.26337686440854</v>
      </c>
      <c r="F480" s="36">
        <f>HgFromP(テーブル2[[#This Row],[P]])</f>
        <v>2538890.645480752</v>
      </c>
      <c r="G480" s="36">
        <f>HfFromP(テーブル2[[#This Row],[P]])</f>
        <v>1699798.646597503</v>
      </c>
      <c r="H480" s="36">
        <f>MuGFromP(テーブル2[[#This Row],[P]])</f>
        <v>2.4290890628325484E-5</v>
      </c>
      <c r="I480" s="36">
        <f>MuFFromP(テーブル2[[#This Row],[P]])</f>
        <v>6.4066005508527627E-5</v>
      </c>
      <c r="J480" s="36">
        <f>KfFromP(テーブル2[[#This Row],[P]])</f>
        <v>0.45288481052759361</v>
      </c>
      <c r="K480" s="36">
        <f>CpFFromP(テーブル2[[#This Row],[P]])</f>
        <v>11219.515372647445</v>
      </c>
      <c r="L480" s="36">
        <f>SigmaFromP(テーブル2[[#This Row],[P]])</f>
        <v>3.029253861182898E-3</v>
      </c>
      <c r="M480" s="36">
        <v>13.01</v>
      </c>
      <c r="N480" s="36">
        <v>2848.0830000000001</v>
      </c>
      <c r="O480" s="37">
        <f t="shared" si="236"/>
        <v>2.8502295699234246E-6</v>
      </c>
      <c r="P480" s="37">
        <f t="shared" si="237"/>
        <v>5.9847340050885557E-3</v>
      </c>
      <c r="Q480" s="37">
        <v>1.905E-3</v>
      </c>
      <c r="R480" s="36">
        <v>0.15240000000000001</v>
      </c>
      <c r="S480" s="38">
        <v>6056812.7999999998</v>
      </c>
      <c r="T480" s="36">
        <v>474.90150181793462</v>
      </c>
      <c r="U480" s="12">
        <f>+T480+BG480*S480*テーブル2[[#This Row],[Pw]]*R480/(N480*O480*K480)</f>
        <v>535.55661113813267</v>
      </c>
      <c r="V480" s="36">
        <v>0.03</v>
      </c>
      <c r="W480" s="37">
        <f t="shared" si="208"/>
        <v>84687.629140196921</v>
      </c>
      <c r="X480" s="36">
        <v>0.01</v>
      </c>
      <c r="Y480" s="36">
        <f t="shared" si="209"/>
        <v>10</v>
      </c>
      <c r="Z480" s="36">
        <f t="shared" si="210"/>
        <v>5.2303635528193144</v>
      </c>
      <c r="AA480" s="36">
        <f t="shared" si="211"/>
        <v>4.7696364471806856</v>
      </c>
      <c r="AB480" s="36">
        <f t="shared" si="212"/>
        <v>2.0086018328567678E-5</v>
      </c>
      <c r="AC480" s="36">
        <v>600</v>
      </c>
      <c r="AD480" s="36">
        <f t="shared" si="213"/>
        <v>1497.0799211911176</v>
      </c>
      <c r="AE480" s="36">
        <f>+gettm2(AD480,AC480,AK480,AL480,テーブル2[[#This Row],[Fcorr]])</f>
        <v>543.62948986094034</v>
      </c>
      <c r="AF480" s="39">
        <f t="shared" si="214"/>
        <v>8.0728787228076726</v>
      </c>
      <c r="AG480" s="36">
        <v>1.0000000000000001E-5</v>
      </c>
      <c r="AH480" s="36">
        <f t="shared" si="215"/>
        <v>18.09768652978569</v>
      </c>
      <c r="AI480" s="36">
        <f t="shared" si="216"/>
        <v>0.17972786423710121</v>
      </c>
      <c r="AJ480" s="36">
        <f t="shared" si="217"/>
        <v>15.717374500694149</v>
      </c>
      <c r="AK480" s="36">
        <f>+S88*テーブル2[[#This Row],[F_form]]/(E88*CpFromTP((テーブル2[[#This Row],[Tin]]+テーブル2[[#This Row],[Tf]])/2,テーブル2[[#This Row],[P]])*AI88)</f>
        <v>2.1597116011224959</v>
      </c>
      <c r="AL480" s="36">
        <f t="shared" si="218"/>
        <v>1.5871354414153991</v>
      </c>
      <c r="AM480" s="36">
        <f t="shared" si="219"/>
        <v>566.85716281758459</v>
      </c>
      <c r="AN480" s="36">
        <f t="shared" si="220"/>
        <v>59.720073020379118</v>
      </c>
      <c r="AO480" s="36">
        <f t="shared" si="221"/>
        <v>-1.0086018328567677E-5</v>
      </c>
      <c r="AP480" s="36">
        <v>1</v>
      </c>
      <c r="AQ480" s="36">
        <f t="shared" si="222"/>
        <v>1.8924061455248241E-4</v>
      </c>
      <c r="AR480" s="36">
        <f t="shared" si="223"/>
        <v>-4.300916428383825E-8</v>
      </c>
      <c r="AS480" s="36">
        <f t="shared" si="224"/>
        <v>-6.7599114201096488E-2</v>
      </c>
      <c r="AT480" s="36">
        <f t="shared" si="225"/>
        <v>-6.7599114201096488E-2</v>
      </c>
      <c r="AU480" s="36">
        <f t="shared" si="226"/>
        <v>-1.2149444419682971E-2</v>
      </c>
      <c r="AV480" s="36">
        <f t="shared" si="227"/>
        <v>1.012149444419683</v>
      </c>
      <c r="AW480" s="36">
        <f t="shared" si="228"/>
        <v>1.5934045135569973E-2</v>
      </c>
      <c r="AX480" s="36">
        <f t="shared" si="229"/>
        <v>0.42643644718088708</v>
      </c>
      <c r="AY480" s="36">
        <f t="shared" si="230"/>
        <v>0.585712997238796</v>
      </c>
      <c r="AZ480" s="36">
        <f t="shared" si="231"/>
        <v>839091.99888324901</v>
      </c>
      <c r="BA480" s="36">
        <f t="shared" si="232"/>
        <v>1.8924061455248241E-4</v>
      </c>
      <c r="BB480" s="38">
        <f t="shared" si="233"/>
        <v>-25055739.076353267</v>
      </c>
      <c r="BC480" s="40">
        <f t="shared" si="234"/>
        <v>-31112551.876353268</v>
      </c>
      <c r="BD480" s="41">
        <f t="shared" si="235"/>
        <v>-513.67861123845978</v>
      </c>
      <c r="BE480" s="38">
        <v>6056812.7999999998</v>
      </c>
      <c r="BF480" s="42">
        <f>テーブル2[[#This Row],[q_P]]/テーブル2[[#This Row],[q_M]]</f>
        <v>-4.1367861123845975</v>
      </c>
      <c r="BG480" s="36">
        <v>1</v>
      </c>
      <c r="BH480" s="36">
        <v>-0.182</v>
      </c>
      <c r="BI480" s="36">
        <v>4.5999999999999999E-2</v>
      </c>
      <c r="BJ480" s="36">
        <v>5625</v>
      </c>
      <c r="BK480" s="22">
        <v>1</v>
      </c>
      <c r="BL480" s="36">
        <f>テーブル2[[#This Row],[Ts]]-テーブル2[[#This Row],[Tin]]</f>
        <v>151.6757340200291</v>
      </c>
      <c r="BM480" s="36">
        <f>テーブル2[[#This Row],[q_P]]*0.000001</f>
        <v>-25.055739076353266</v>
      </c>
      <c r="BN480" s="36">
        <f>テーブル2[[#This Row],[Tsub]]</f>
        <v>151.6757340200291</v>
      </c>
      <c r="BO480" s="36">
        <f>テーブル2[[#This Row],[Fcorr]]</f>
        <v>1</v>
      </c>
      <c r="BP480" s="36">
        <f>(テーブル2[[#This Row],[Tsub]]-40)^2</f>
        <v>12471.469568912284</v>
      </c>
      <c r="BQ480" s="36">
        <v>1</v>
      </c>
      <c r="BR480" s="36">
        <v>0.15240000000000001</v>
      </c>
    </row>
    <row r="481" spans="1:70" x14ac:dyDescent="0.15">
      <c r="A481" s="35" t="s">
        <v>245</v>
      </c>
      <c r="B481" s="36">
        <v>17236893.232919998</v>
      </c>
      <c r="C481" s="22">
        <f>TsatFromP(テーブル2[[#This Row],[P]])</f>
        <v>626.57723583796371</v>
      </c>
      <c r="D481" s="36">
        <f>RhoGFromP(テーブル2[[#This Row],[P]])</f>
        <v>122.58359097668941</v>
      </c>
      <c r="E481" s="36">
        <f>RhoFFromP(テーブル2[[#This Row],[P]])</f>
        <v>560.26337686440854</v>
      </c>
      <c r="F481" s="36">
        <f>HgFromP(テーブル2[[#This Row],[P]])</f>
        <v>2538890.645480752</v>
      </c>
      <c r="G481" s="36">
        <f>HfFromP(テーブル2[[#This Row],[P]])</f>
        <v>1699798.646597503</v>
      </c>
      <c r="H481" s="36">
        <f>MuGFromP(テーブル2[[#This Row],[P]])</f>
        <v>2.4290890628325484E-5</v>
      </c>
      <c r="I481" s="36">
        <f>MuFFromP(テーブル2[[#This Row],[P]])</f>
        <v>6.4066005508527627E-5</v>
      </c>
      <c r="J481" s="36">
        <f>KfFromP(テーブル2[[#This Row],[P]])</f>
        <v>0.45288481052759361</v>
      </c>
      <c r="K481" s="36">
        <f>CpFFromP(テーブル2[[#This Row],[P]])</f>
        <v>11219.515372647445</v>
      </c>
      <c r="L481" s="36">
        <f>SigmaFromP(テーブル2[[#This Row],[P]])</f>
        <v>3.029253861182898E-3</v>
      </c>
      <c r="M481" s="36">
        <v>14.01</v>
      </c>
      <c r="N481" s="36">
        <v>2848.0830000000001</v>
      </c>
      <c r="O481" s="37">
        <f t="shared" si="236"/>
        <v>2.8502295699234246E-6</v>
      </c>
      <c r="P481" s="37">
        <f t="shared" si="237"/>
        <v>5.9847340050885557E-3</v>
      </c>
      <c r="Q481" s="37">
        <v>1.905E-3</v>
      </c>
      <c r="R481" s="36">
        <v>0.15240000000000001</v>
      </c>
      <c r="S481" s="38">
        <v>4195604.6999999993</v>
      </c>
      <c r="T481" s="36">
        <v>551.57347047310509</v>
      </c>
      <c r="U481" s="12">
        <f>+T481+BG481*S481*テーブル2[[#This Row],[Pw]]*R481/(N481*O481*K481)</f>
        <v>593.58977015845062</v>
      </c>
      <c r="V481" s="36">
        <v>0.03</v>
      </c>
      <c r="W481" s="37">
        <f t="shared" si="208"/>
        <v>84687.629140196921</v>
      </c>
      <c r="X481" s="36">
        <v>0.01</v>
      </c>
      <c r="Y481" s="36">
        <f t="shared" si="209"/>
        <v>10</v>
      </c>
      <c r="Z481" s="36">
        <f t="shared" si="210"/>
        <v>5.2303635528193144</v>
      </c>
      <c r="AA481" s="36">
        <f t="shared" si="211"/>
        <v>4.7696364471806856</v>
      </c>
      <c r="AB481" s="36">
        <f t="shared" si="212"/>
        <v>2.0086018328567678E-5</v>
      </c>
      <c r="AC481" s="36">
        <v>600</v>
      </c>
      <c r="AD481" s="36">
        <f t="shared" si="213"/>
        <v>1497.0799211911176</v>
      </c>
      <c r="AE481" s="36">
        <f>+gettm2(AD481,AC481,AK481,AL481,テーブル2[[#This Row],[Fcorr]])</f>
        <v>552.53188264938615</v>
      </c>
      <c r="AF481" s="39">
        <f t="shared" si="214"/>
        <v>-41.057887509064471</v>
      </c>
      <c r="AG481" s="36">
        <v>1.0000000000000001E-5</v>
      </c>
      <c r="AH481" s="36">
        <f t="shared" si="215"/>
        <v>18.09768652978569</v>
      </c>
      <c r="AI481" s="36">
        <f t="shared" si="216"/>
        <v>0.17972786423710121</v>
      </c>
      <c r="AJ481" s="36">
        <f t="shared" si="217"/>
        <v>15.717374500694149</v>
      </c>
      <c r="AK481" s="36">
        <f>+S88*テーブル2[[#This Row],[F_form]]/(E88*CpFromTP((テーブル2[[#This Row],[Tin]]+テーブル2[[#This Row],[Tf]])/2,テーブル2[[#This Row],[P]])*AI88)</f>
        <v>1.8186360824598908</v>
      </c>
      <c r="AL481" s="36">
        <f t="shared" si="218"/>
        <v>1.5871354414153991</v>
      </c>
      <c r="AM481" s="36">
        <f t="shared" si="219"/>
        <v>572.09129240047298</v>
      </c>
      <c r="AN481" s="36">
        <f t="shared" si="220"/>
        <v>54.485943437490732</v>
      </c>
      <c r="AO481" s="36">
        <f t="shared" si="221"/>
        <v>-1.0086018328567677E-5</v>
      </c>
      <c r="AP481" s="36">
        <v>1</v>
      </c>
      <c r="AQ481" s="36">
        <f t="shared" si="222"/>
        <v>1.8924061455248241E-4</v>
      </c>
      <c r="AR481" s="36">
        <f t="shared" si="223"/>
        <v>-4.300916428383825E-8</v>
      </c>
      <c r="AS481" s="36">
        <f t="shared" si="224"/>
        <v>-6.7599114201096488E-2</v>
      </c>
      <c r="AT481" s="36">
        <f t="shared" si="225"/>
        <v>-6.7599114201096488E-2</v>
      </c>
      <c r="AU481" s="36">
        <f t="shared" si="226"/>
        <v>-1.2149444419682971E-2</v>
      </c>
      <c r="AV481" s="36">
        <f t="shared" si="227"/>
        <v>1.012149444419683</v>
      </c>
      <c r="AW481" s="36">
        <f t="shared" si="228"/>
        <v>1.5934045135569973E-2</v>
      </c>
      <c r="AX481" s="36">
        <f t="shared" si="229"/>
        <v>0.42643644718088708</v>
      </c>
      <c r="AY481" s="36">
        <f t="shared" si="230"/>
        <v>0.585712997238796</v>
      </c>
      <c r="AZ481" s="36">
        <f t="shared" si="231"/>
        <v>839091.99888324901</v>
      </c>
      <c r="BA481" s="36">
        <f t="shared" si="232"/>
        <v>1.8924061455248241E-4</v>
      </c>
      <c r="BB481" s="38">
        <f t="shared" si="233"/>
        <v>-25055739.076353267</v>
      </c>
      <c r="BC481" s="40">
        <f t="shared" si="234"/>
        <v>-29251343.776353266</v>
      </c>
      <c r="BD481" s="41">
        <f t="shared" si="235"/>
        <v>-697.19017562243812</v>
      </c>
      <c r="BE481" s="38">
        <v>4195604.6999999993</v>
      </c>
      <c r="BF481" s="42">
        <f>テーブル2[[#This Row],[q_P]]/テーブル2[[#This Row],[q_M]]</f>
        <v>-5.9719017562243817</v>
      </c>
      <c r="BG481" s="36">
        <v>1</v>
      </c>
      <c r="BH481" s="36">
        <v>-5.0000000000000001E-3</v>
      </c>
      <c r="BI481" s="36">
        <v>4.5999999999999999E-2</v>
      </c>
      <c r="BJ481" s="36">
        <v>5625</v>
      </c>
      <c r="BK481" s="22">
        <v>1</v>
      </c>
      <c r="BL481" s="36">
        <f>テーブル2[[#This Row],[Ts]]-テーブル2[[#This Row],[Tin]]</f>
        <v>75.003765364858623</v>
      </c>
      <c r="BM481" s="36">
        <f>テーブル2[[#This Row],[q_P]]*0.000001</f>
        <v>-25.055739076353266</v>
      </c>
      <c r="BN481" s="36">
        <f>テーブル2[[#This Row],[Tsub]]</f>
        <v>75.003765364858623</v>
      </c>
      <c r="BO481" s="36">
        <f>テーブル2[[#This Row],[Fcorr]]</f>
        <v>1</v>
      </c>
      <c r="BP481" s="36">
        <f>(テーブル2[[#This Row],[Tsub]]-40)^2</f>
        <v>1225.2635897180762</v>
      </c>
      <c r="BQ481" s="36">
        <v>1</v>
      </c>
      <c r="BR481" s="36">
        <v>0.15240000000000001</v>
      </c>
    </row>
    <row r="482" spans="1:70" x14ac:dyDescent="0.15">
      <c r="A482" s="35" t="s">
        <v>246</v>
      </c>
      <c r="B482" s="36">
        <v>17236893.232919998</v>
      </c>
      <c r="C482" s="22">
        <f>TsatFromP(テーブル2[[#This Row],[P]])</f>
        <v>626.57723583796371</v>
      </c>
      <c r="D482" s="36">
        <f>RhoGFromP(テーブル2[[#This Row],[P]])</f>
        <v>122.58359097668941</v>
      </c>
      <c r="E482" s="36">
        <f>RhoFFromP(テーブル2[[#This Row],[P]])</f>
        <v>560.26337686440854</v>
      </c>
      <c r="F482" s="36">
        <f>HgFromP(テーブル2[[#This Row],[P]])</f>
        <v>2538890.645480752</v>
      </c>
      <c r="G482" s="36">
        <f>HfFromP(テーブル2[[#This Row],[P]])</f>
        <v>1699798.646597503</v>
      </c>
      <c r="H482" s="36">
        <f>MuGFromP(テーブル2[[#This Row],[P]])</f>
        <v>2.4290890628325484E-5</v>
      </c>
      <c r="I482" s="36">
        <f>MuFFromP(テーブル2[[#This Row],[P]])</f>
        <v>6.4066005508527627E-5</v>
      </c>
      <c r="J482" s="36">
        <f>KfFromP(テーブル2[[#This Row],[P]])</f>
        <v>0.45288481052759361</v>
      </c>
      <c r="K482" s="36">
        <f>CpFFromP(テーブル2[[#This Row],[P]])</f>
        <v>11219.515372647445</v>
      </c>
      <c r="L482" s="36">
        <f>SigmaFromP(テーブル2[[#This Row],[P]])</f>
        <v>3.029253861182898E-3</v>
      </c>
      <c r="M482" s="36">
        <v>15.01</v>
      </c>
      <c r="N482" s="36">
        <v>2875.2076000000002</v>
      </c>
      <c r="O482" s="37">
        <f t="shared" si="236"/>
        <v>2.8502295699234246E-6</v>
      </c>
      <c r="P482" s="37">
        <f t="shared" si="237"/>
        <v>5.9847340050885557E-3</v>
      </c>
      <c r="Q482" s="37">
        <v>1.905E-3</v>
      </c>
      <c r="R482" s="36">
        <v>0.15240000000000001</v>
      </c>
      <c r="S482" s="38">
        <v>5078889.9000000004</v>
      </c>
      <c r="T482" s="36">
        <v>509.85246639584602</v>
      </c>
      <c r="U482" s="12">
        <f>+T482+BG482*S482*テーブル2[[#This Row],[Pw]]*R482/(N482*O482*K482)</f>
        <v>560.2344742111934</v>
      </c>
      <c r="V482" s="36">
        <v>0.03</v>
      </c>
      <c r="W482" s="37">
        <f t="shared" si="208"/>
        <v>85494.177989151169</v>
      </c>
      <c r="X482" s="36">
        <v>0.01</v>
      </c>
      <c r="Y482" s="36">
        <f t="shared" si="209"/>
        <v>10</v>
      </c>
      <c r="Z482" s="36">
        <f t="shared" si="210"/>
        <v>5.2458169674801729</v>
      </c>
      <c r="AA482" s="36">
        <f t="shared" si="211"/>
        <v>4.7541830325198271</v>
      </c>
      <c r="AB482" s="36">
        <f t="shared" si="212"/>
        <v>1.9708824499150823E-5</v>
      </c>
      <c r="AC482" s="36">
        <v>600</v>
      </c>
      <c r="AD482" s="36">
        <f t="shared" si="213"/>
        <v>1511.3378252024618</v>
      </c>
      <c r="AE482" s="36">
        <f>+gettm2(AD482,AC482,AK482,AL482,テーブル2[[#This Row],[Fcorr]])</f>
        <v>546.53744631166853</v>
      </c>
      <c r="AF482" s="39">
        <f t="shared" si="214"/>
        <v>-13.697027899524869</v>
      </c>
      <c r="AG482" s="36">
        <v>1.0000000000000001E-5</v>
      </c>
      <c r="AH482" s="36">
        <f t="shared" si="215"/>
        <v>18.444045881965717</v>
      </c>
      <c r="AI482" s="36">
        <f t="shared" si="216"/>
        <v>0.18143955818221649</v>
      </c>
      <c r="AJ482" s="36">
        <f t="shared" si="217"/>
        <v>15.867063781653144</v>
      </c>
      <c r="AK482" s="36">
        <f>+S88*テーブル2[[#This Row],[F_form]]/(E88*CpFromTP((テーブル2[[#This Row],[Tin]]+テーブル2[[#This Row],[Tf]])/2,テーブル2[[#This Row],[P]])*AI88)</f>
        <v>2.0463972505761094</v>
      </c>
      <c r="AL482" s="36">
        <f t="shared" si="218"/>
        <v>1.5871354414153991</v>
      </c>
      <c r="AM482" s="36">
        <f t="shared" si="219"/>
        <v>568.48622656604482</v>
      </c>
      <c r="AN482" s="36">
        <f t="shared" si="220"/>
        <v>58.091009271918892</v>
      </c>
      <c r="AO482" s="36">
        <f t="shared" si="221"/>
        <v>-9.708824499150822E-6</v>
      </c>
      <c r="AP482" s="36">
        <v>1</v>
      </c>
      <c r="AQ482" s="36">
        <f t="shared" si="222"/>
        <v>1.8924061455248241E-4</v>
      </c>
      <c r="AR482" s="36">
        <f t="shared" si="223"/>
        <v>1.4558775042458941E-7</v>
      </c>
      <c r="AS482" s="36">
        <f t="shared" si="224"/>
        <v>0.23100501218143593</v>
      </c>
      <c r="AT482" s="36">
        <f t="shared" si="225"/>
        <v>0.23100501218143593</v>
      </c>
      <c r="AU482" s="36">
        <f t="shared" si="226"/>
        <v>4.1913447348077275E-2</v>
      </c>
      <c r="AV482" s="36">
        <f t="shared" si="227"/>
        <v>0.95808655265192277</v>
      </c>
      <c r="AW482" s="36">
        <f t="shared" si="228"/>
        <v>1.5634820898866048E-2</v>
      </c>
      <c r="AX482" s="36">
        <f t="shared" si="229"/>
        <v>0.43049774667784796</v>
      </c>
      <c r="AY482" s="36">
        <f t="shared" si="230"/>
        <v>0.52758880597407476</v>
      </c>
      <c r="AZ482" s="36">
        <f t="shared" si="231"/>
        <v>839091.99888324901</v>
      </c>
      <c r="BA482" s="36">
        <f t="shared" si="232"/>
        <v>1.8924061455248241E-4</v>
      </c>
      <c r="BB482" s="38">
        <f t="shared" si="233"/>
        <v>-24118712.20775136</v>
      </c>
      <c r="BC482" s="40">
        <f t="shared" si="234"/>
        <v>-29197602.107751362</v>
      </c>
      <c r="BD482" s="41">
        <f t="shared" si="235"/>
        <v>-574.88157220638629</v>
      </c>
      <c r="BE482" s="38">
        <v>5078889.9000000004</v>
      </c>
      <c r="BF482" s="42">
        <f>テーブル2[[#This Row],[q_P]]/テーブル2[[#This Row],[q_M]]</f>
        <v>-4.7488157220638625</v>
      </c>
      <c r="BG482" s="36">
        <v>1</v>
      </c>
      <c r="BH482" s="36">
        <v>-0.13100000000000001</v>
      </c>
      <c r="BI482" s="36">
        <v>4.5999999999999999E-2</v>
      </c>
      <c r="BJ482" s="36">
        <v>5625</v>
      </c>
      <c r="BK482" s="22">
        <v>1</v>
      </c>
      <c r="BL482" s="36">
        <f>テーブル2[[#This Row],[Ts]]-テーブル2[[#This Row],[Tin]]</f>
        <v>116.72476944211769</v>
      </c>
      <c r="BM482" s="36">
        <f>テーブル2[[#This Row],[q_P]]*0.000001</f>
        <v>-24.118712207751358</v>
      </c>
      <c r="BN482" s="36">
        <f>テーブル2[[#This Row],[Tsub]]</f>
        <v>116.72476944211769</v>
      </c>
      <c r="BO482" s="36">
        <f>テーブル2[[#This Row],[Fcorr]]</f>
        <v>1</v>
      </c>
      <c r="BP482" s="36">
        <f>(テーブル2[[#This Row],[Tsub]]-40)^2</f>
        <v>5886.6902459461162</v>
      </c>
      <c r="BQ482" s="36">
        <v>1</v>
      </c>
      <c r="BR482" s="36">
        <v>0.15240000000000001</v>
      </c>
    </row>
    <row r="483" spans="1:70" x14ac:dyDescent="0.15">
      <c r="A483" s="35" t="s">
        <v>247</v>
      </c>
      <c r="B483" s="36">
        <v>17236893.232919998</v>
      </c>
      <c r="C483" s="22">
        <f>TsatFromP(テーブル2[[#This Row],[P]])</f>
        <v>626.57723583796371</v>
      </c>
      <c r="D483" s="36">
        <f>RhoGFromP(テーブル2[[#This Row],[P]])</f>
        <v>122.58359097668941</v>
      </c>
      <c r="E483" s="36">
        <f>RhoFFromP(テーブル2[[#This Row],[P]])</f>
        <v>560.26337686440854</v>
      </c>
      <c r="F483" s="36">
        <f>HgFromP(テーブル2[[#This Row],[P]])</f>
        <v>2538890.645480752</v>
      </c>
      <c r="G483" s="36">
        <f>HfFromP(テーブル2[[#This Row],[P]])</f>
        <v>1699798.646597503</v>
      </c>
      <c r="H483" s="36">
        <f>MuGFromP(テーブル2[[#This Row],[P]])</f>
        <v>2.4290890628325484E-5</v>
      </c>
      <c r="I483" s="36">
        <f>MuFFromP(テーブル2[[#This Row],[P]])</f>
        <v>6.4066005508527627E-5</v>
      </c>
      <c r="J483" s="36">
        <f>KfFromP(テーブル2[[#This Row],[P]])</f>
        <v>0.45288481052759361</v>
      </c>
      <c r="K483" s="36">
        <f>CpFFromP(テーブル2[[#This Row],[P]])</f>
        <v>11219.515372647445</v>
      </c>
      <c r="L483" s="36">
        <f>SigmaFromP(テーブル2[[#This Row],[P]])</f>
        <v>3.029253861182898E-3</v>
      </c>
      <c r="M483" s="36">
        <v>16.010000000000002</v>
      </c>
      <c r="N483" s="36">
        <v>2888.7698999999998</v>
      </c>
      <c r="O483" s="37">
        <f t="shared" si="236"/>
        <v>2.8502295699234246E-6</v>
      </c>
      <c r="P483" s="37">
        <f t="shared" si="237"/>
        <v>5.9847340050885557E-3</v>
      </c>
      <c r="Q483" s="37">
        <v>1.905E-3</v>
      </c>
      <c r="R483" s="36">
        <v>0.15240000000000001</v>
      </c>
      <c r="S483" s="38">
        <v>5993720.9999999991</v>
      </c>
      <c r="T483" s="36">
        <v>475.42780102414201</v>
      </c>
      <c r="U483" s="12">
        <f>+T483+BG483*S483*テーブル2[[#This Row],[Pw]]*R483/(N483*O483*K483)</f>
        <v>534.60568790491038</v>
      </c>
      <c r="V483" s="36">
        <v>0.03</v>
      </c>
      <c r="W483" s="37">
        <f t="shared" si="208"/>
        <v>85897.452413628285</v>
      </c>
      <c r="X483" s="36">
        <v>0.01</v>
      </c>
      <c r="Y483" s="36">
        <f t="shared" si="209"/>
        <v>10</v>
      </c>
      <c r="Z483" s="36">
        <f t="shared" si="210"/>
        <v>5.2534859550185304</v>
      </c>
      <c r="AA483" s="36">
        <f t="shared" si="211"/>
        <v>4.7465140449814696</v>
      </c>
      <c r="AB483" s="36">
        <f t="shared" si="212"/>
        <v>1.9524199525884077E-5</v>
      </c>
      <c r="AC483" s="36">
        <v>600</v>
      </c>
      <c r="AD483" s="36">
        <f t="shared" si="213"/>
        <v>1518.4667772081334</v>
      </c>
      <c r="AE483" s="36">
        <f>+gettm2(AD483,AC483,AK483,AL483,テーブル2[[#This Row],[Fcorr]])</f>
        <v>543.53340852052395</v>
      </c>
      <c r="AF483" s="39">
        <f t="shared" si="214"/>
        <v>8.9277206156135662</v>
      </c>
      <c r="AG483" s="36">
        <v>1.0000000000000001E-5</v>
      </c>
      <c r="AH483" s="36">
        <f t="shared" si="215"/>
        <v>18.618456693193806</v>
      </c>
      <c r="AI483" s="36">
        <f t="shared" si="216"/>
        <v>0.18229540515477408</v>
      </c>
      <c r="AJ483" s="36">
        <f t="shared" si="217"/>
        <v>15.941908422132634</v>
      </c>
      <c r="AK483" s="36">
        <f>+S88*テーブル2[[#This Row],[F_form]]/(E88*CpFromTP((テーブル2[[#This Row],[Tin]]+テーブル2[[#This Row],[Tf]])/2,テーブル2[[#This Row],[P]])*AI88)</f>
        <v>2.1603874169592094</v>
      </c>
      <c r="AL483" s="36">
        <f t="shared" si="218"/>
        <v>1.5871354414153991</v>
      </c>
      <c r="AM483" s="36">
        <f t="shared" si="219"/>
        <v>566.67329689777819</v>
      </c>
      <c r="AN483" s="36">
        <f t="shared" si="220"/>
        <v>59.903938940185526</v>
      </c>
      <c r="AO483" s="36">
        <f t="shared" si="221"/>
        <v>-9.5241995258840763E-6</v>
      </c>
      <c r="AP483" s="36">
        <v>1</v>
      </c>
      <c r="AQ483" s="36">
        <f t="shared" si="222"/>
        <v>1.8924061455248241E-4</v>
      </c>
      <c r="AR483" s="36">
        <f t="shared" si="223"/>
        <v>2.3790023705796225E-7</v>
      </c>
      <c r="AS483" s="36">
        <f t="shared" si="224"/>
        <v>0.3792583792781678</v>
      </c>
      <c r="AT483" s="36">
        <f t="shared" si="225"/>
        <v>0.3792583792781678</v>
      </c>
      <c r="AU483" s="36">
        <f t="shared" si="226"/>
        <v>6.9137059908856574E-2</v>
      </c>
      <c r="AV483" s="36">
        <f t="shared" si="227"/>
        <v>0.93086294009114345</v>
      </c>
      <c r="AW483" s="36">
        <f t="shared" si="228"/>
        <v>1.5488359683454248E-2</v>
      </c>
      <c r="AX483" s="36">
        <f t="shared" si="229"/>
        <v>0.43252839642632834</v>
      </c>
      <c r="AY483" s="36">
        <f t="shared" si="230"/>
        <v>0.49833454366481511</v>
      </c>
      <c r="AZ483" s="36">
        <f t="shared" si="231"/>
        <v>839091.99888324901</v>
      </c>
      <c r="BA483" s="36">
        <f t="shared" si="232"/>
        <v>1.8924061455248241E-4</v>
      </c>
      <c r="BB483" s="38">
        <f t="shared" si="233"/>
        <v>-23660065.890993454</v>
      </c>
      <c r="BC483" s="40">
        <f t="shared" si="234"/>
        <v>-29653786.890993454</v>
      </c>
      <c r="BD483" s="41">
        <f t="shared" si="235"/>
        <v>-494.74753481173809</v>
      </c>
      <c r="BE483" s="38">
        <v>5993720.9999999991</v>
      </c>
      <c r="BF483" s="42">
        <f>テーブル2[[#This Row],[q_P]]/テーブル2[[#This Row],[q_M]]</f>
        <v>-3.947475348117381</v>
      </c>
      <c r="BG483" s="36">
        <v>1</v>
      </c>
      <c r="BH483" s="36">
        <v>-0.19900000000000001</v>
      </c>
      <c r="BI483" s="36">
        <v>4.5999999999999999E-2</v>
      </c>
      <c r="BJ483" s="36">
        <v>5625</v>
      </c>
      <c r="BK483" s="22">
        <v>1</v>
      </c>
      <c r="BL483" s="36">
        <f>テーブル2[[#This Row],[Ts]]-テーブル2[[#This Row],[Tin]]</f>
        <v>151.1494348138217</v>
      </c>
      <c r="BM483" s="36">
        <f>テーブル2[[#This Row],[q_P]]*0.000001</f>
        <v>-23.660065890993451</v>
      </c>
      <c r="BN483" s="36">
        <f>テーブル2[[#This Row],[Tsub]]</f>
        <v>151.1494348138217</v>
      </c>
      <c r="BO483" s="36">
        <f>テーブル2[[#This Row],[Fcorr]]</f>
        <v>1</v>
      </c>
      <c r="BP483" s="36">
        <f>(テーブル2[[#This Row],[Tsub]]-40)^2</f>
        <v>12354.196859431999</v>
      </c>
      <c r="BQ483" s="36">
        <v>1</v>
      </c>
      <c r="BR483" s="36">
        <v>0.15240000000000001</v>
      </c>
    </row>
    <row r="484" spans="1:70" x14ac:dyDescent="0.15">
      <c r="A484" s="35" t="s">
        <v>248</v>
      </c>
      <c r="B484" s="36">
        <v>17236893.232919998</v>
      </c>
      <c r="C484" s="22">
        <f>TsatFromP(テーブル2[[#This Row],[P]])</f>
        <v>626.57723583796371</v>
      </c>
      <c r="D484" s="36">
        <f>RhoGFromP(テーブル2[[#This Row],[P]])</f>
        <v>122.58359097668941</v>
      </c>
      <c r="E484" s="36">
        <f>RhoFFromP(テーブル2[[#This Row],[P]])</f>
        <v>560.26337686440854</v>
      </c>
      <c r="F484" s="36">
        <f>HgFromP(テーブル2[[#This Row],[P]])</f>
        <v>2538890.645480752</v>
      </c>
      <c r="G484" s="36">
        <f>HfFromP(テーブル2[[#This Row],[P]])</f>
        <v>1699798.646597503</v>
      </c>
      <c r="H484" s="36">
        <f>MuGFromP(テーブル2[[#This Row],[P]])</f>
        <v>2.4290890628325484E-5</v>
      </c>
      <c r="I484" s="36">
        <f>MuFFromP(テーブル2[[#This Row],[P]])</f>
        <v>6.4066005508527627E-5</v>
      </c>
      <c r="J484" s="36">
        <f>KfFromP(テーブル2[[#This Row],[P]])</f>
        <v>0.45288481052759361</v>
      </c>
      <c r="K484" s="36">
        <f>CpFFromP(テーブル2[[#This Row],[P]])</f>
        <v>11219.515372647445</v>
      </c>
      <c r="L484" s="36">
        <f>SigmaFromP(テーブル2[[#This Row],[P]])</f>
        <v>3.029253861182898E-3</v>
      </c>
      <c r="M484" s="36">
        <v>17.010000000000002</v>
      </c>
      <c r="N484" s="36">
        <v>2888.7698999999998</v>
      </c>
      <c r="O484" s="37">
        <f t="shared" si="236"/>
        <v>2.8502295699234246E-6</v>
      </c>
      <c r="P484" s="37">
        <f t="shared" si="237"/>
        <v>5.9847340050885557E-3</v>
      </c>
      <c r="Q484" s="37">
        <v>1.905E-3</v>
      </c>
      <c r="R484" s="36">
        <v>0.15240000000000001</v>
      </c>
      <c r="S484" s="38">
        <v>5078889.9000000004</v>
      </c>
      <c r="T484" s="36">
        <v>509.85246639584602</v>
      </c>
      <c r="U484" s="12">
        <f>+T484+BG484*S484*テーブル2[[#This Row],[Pw]]*R484/(N484*O484*K484)</f>
        <v>559.99793896323399</v>
      </c>
      <c r="V484" s="36">
        <v>0.03</v>
      </c>
      <c r="W484" s="37">
        <f t="shared" si="208"/>
        <v>85897.452413628285</v>
      </c>
      <c r="X484" s="36">
        <v>0.01</v>
      </c>
      <c r="Y484" s="36">
        <f t="shared" si="209"/>
        <v>10</v>
      </c>
      <c r="Z484" s="36">
        <f t="shared" si="210"/>
        <v>5.2534859550185304</v>
      </c>
      <c r="AA484" s="36">
        <f t="shared" si="211"/>
        <v>4.7465140449814696</v>
      </c>
      <c r="AB484" s="36">
        <f t="shared" si="212"/>
        <v>1.9524199525884077E-5</v>
      </c>
      <c r="AC484" s="36">
        <v>600</v>
      </c>
      <c r="AD484" s="36">
        <f t="shared" si="213"/>
        <v>1518.4667772081334</v>
      </c>
      <c r="AE484" s="36">
        <f>+gettm2(AD484,AC484,AK484,AL484,テーブル2[[#This Row],[Fcorr]])</f>
        <v>546.49878035175141</v>
      </c>
      <c r="AF484" s="39">
        <f t="shared" si="214"/>
        <v>-13.499158611482585</v>
      </c>
      <c r="AG484" s="36">
        <v>1.0000000000000001E-5</v>
      </c>
      <c r="AH484" s="36">
        <f t="shared" si="215"/>
        <v>18.618456693193806</v>
      </c>
      <c r="AI484" s="36">
        <f t="shared" si="216"/>
        <v>0.18229540515477408</v>
      </c>
      <c r="AJ484" s="36">
        <f t="shared" si="217"/>
        <v>15.941908422132634</v>
      </c>
      <c r="AK484" s="36">
        <f>+S88*テーブル2[[#This Row],[F_form]]/(E88*CpFromTP((テーブル2[[#This Row],[Tin]]+テーブル2[[#This Row],[Tf]])/2,テーブル2[[#This Row],[P]])*AI88)</f>
        <v>2.0469335706593563</v>
      </c>
      <c r="AL484" s="36">
        <f t="shared" si="218"/>
        <v>1.5871354414153991</v>
      </c>
      <c r="AM484" s="36">
        <f t="shared" si="219"/>
        <v>568.4234656970217</v>
      </c>
      <c r="AN484" s="36">
        <f t="shared" si="220"/>
        <v>58.153770140942015</v>
      </c>
      <c r="AO484" s="36">
        <f t="shared" si="221"/>
        <v>-9.5241995258840763E-6</v>
      </c>
      <c r="AP484" s="36">
        <v>1</v>
      </c>
      <c r="AQ484" s="36">
        <f t="shared" si="222"/>
        <v>1.8924061455248241E-4</v>
      </c>
      <c r="AR484" s="36">
        <f t="shared" si="223"/>
        <v>2.3790023705796225E-7</v>
      </c>
      <c r="AS484" s="36">
        <f t="shared" si="224"/>
        <v>0.3792583792781678</v>
      </c>
      <c r="AT484" s="36">
        <f t="shared" si="225"/>
        <v>0.3792583792781678</v>
      </c>
      <c r="AU484" s="36">
        <f t="shared" si="226"/>
        <v>6.9137059908856574E-2</v>
      </c>
      <c r="AV484" s="36">
        <f t="shared" si="227"/>
        <v>0.93086294009114345</v>
      </c>
      <c r="AW484" s="36">
        <f t="shared" si="228"/>
        <v>1.5488359683454248E-2</v>
      </c>
      <c r="AX484" s="36">
        <f t="shared" si="229"/>
        <v>0.43252839642632834</v>
      </c>
      <c r="AY484" s="36">
        <f t="shared" si="230"/>
        <v>0.49833454366481511</v>
      </c>
      <c r="AZ484" s="36">
        <f t="shared" si="231"/>
        <v>839091.99888324901</v>
      </c>
      <c r="BA484" s="36">
        <f t="shared" si="232"/>
        <v>1.8924061455248241E-4</v>
      </c>
      <c r="BB484" s="38">
        <f t="shared" si="233"/>
        <v>-23660065.890993454</v>
      </c>
      <c r="BC484" s="40">
        <f t="shared" si="234"/>
        <v>-28738955.790993452</v>
      </c>
      <c r="BD484" s="41">
        <f t="shared" si="235"/>
        <v>-565.85112803869708</v>
      </c>
      <c r="BE484" s="38">
        <v>5078889.9000000004</v>
      </c>
      <c r="BF484" s="42">
        <f>テーブル2[[#This Row],[q_P]]/テーブル2[[#This Row],[q_M]]</f>
        <v>-4.6585112803869704</v>
      </c>
      <c r="BG484" s="36">
        <v>1</v>
      </c>
      <c r="BH484" s="36">
        <v>-0.13500000000000001</v>
      </c>
      <c r="BI484" s="36">
        <v>4.5999999999999999E-2</v>
      </c>
      <c r="BJ484" s="36">
        <v>5625</v>
      </c>
      <c r="BK484" s="22">
        <v>1</v>
      </c>
      <c r="BL484" s="36">
        <f>テーブル2[[#This Row],[Ts]]-テーブル2[[#This Row],[Tin]]</f>
        <v>116.72476944211769</v>
      </c>
      <c r="BM484" s="36">
        <f>テーブル2[[#This Row],[q_P]]*0.000001</f>
        <v>-23.660065890993451</v>
      </c>
      <c r="BN484" s="36">
        <f>テーブル2[[#This Row],[Tsub]]</f>
        <v>116.72476944211769</v>
      </c>
      <c r="BO484" s="36">
        <f>テーブル2[[#This Row],[Fcorr]]</f>
        <v>1</v>
      </c>
      <c r="BP484" s="36">
        <f>(テーブル2[[#This Row],[Tsub]]-40)^2</f>
        <v>5886.6902459461162</v>
      </c>
      <c r="BQ484" s="36">
        <v>1</v>
      </c>
      <c r="BR484" s="36">
        <v>0.15240000000000001</v>
      </c>
    </row>
    <row r="485" spans="1:70" x14ac:dyDescent="0.15">
      <c r="A485" s="35" t="s">
        <v>249</v>
      </c>
      <c r="B485" s="36">
        <v>17236893.232919998</v>
      </c>
      <c r="C485" s="22">
        <f>TsatFromP(テーブル2[[#This Row],[P]])</f>
        <v>626.57723583796371</v>
      </c>
      <c r="D485" s="36">
        <f>RhoGFromP(テーブル2[[#This Row],[P]])</f>
        <v>122.58359097668941</v>
      </c>
      <c r="E485" s="36">
        <f>RhoFFromP(テーブル2[[#This Row],[P]])</f>
        <v>560.26337686440854</v>
      </c>
      <c r="F485" s="36">
        <f>HgFromP(テーブル2[[#This Row],[P]])</f>
        <v>2538890.645480752</v>
      </c>
      <c r="G485" s="36">
        <f>HfFromP(テーブル2[[#This Row],[P]])</f>
        <v>1699798.646597503</v>
      </c>
      <c r="H485" s="36">
        <f>MuGFromP(テーブル2[[#This Row],[P]])</f>
        <v>2.4290890628325484E-5</v>
      </c>
      <c r="I485" s="36">
        <f>MuFFromP(テーブル2[[#This Row],[P]])</f>
        <v>6.4066005508527627E-5</v>
      </c>
      <c r="J485" s="36">
        <f>KfFromP(テーブル2[[#This Row],[P]])</f>
        <v>0.45288481052759361</v>
      </c>
      <c r="K485" s="36">
        <f>CpFFromP(テーブル2[[#This Row],[P]])</f>
        <v>11219.515372647445</v>
      </c>
      <c r="L485" s="36">
        <f>SigmaFromP(テーブル2[[#This Row],[P]])</f>
        <v>3.029253861182898E-3</v>
      </c>
      <c r="M485" s="36">
        <v>18.010000000000002</v>
      </c>
      <c r="N485" s="36">
        <v>3444.8242</v>
      </c>
      <c r="O485" s="37">
        <f t="shared" si="236"/>
        <v>2.8502295699234246E-6</v>
      </c>
      <c r="P485" s="37">
        <f t="shared" si="237"/>
        <v>5.9847340050885557E-3</v>
      </c>
      <c r="Q485" s="37">
        <v>1.905E-3</v>
      </c>
      <c r="R485" s="36">
        <v>0.15240000000000001</v>
      </c>
      <c r="S485" s="38">
        <v>4921160.3999999994</v>
      </c>
      <c r="T485" s="36">
        <v>554.38992768740229</v>
      </c>
      <c r="U485" s="12">
        <f>+T485+BG485*S485*テーブル2[[#This Row],[Pw]]*R485/(N485*O485*K485)</f>
        <v>595.1351167730669</v>
      </c>
      <c r="V485" s="36">
        <v>0.03</v>
      </c>
      <c r="W485" s="37">
        <f t="shared" si="208"/>
        <v>102431.70381719054</v>
      </c>
      <c r="X485" s="36">
        <v>0.01</v>
      </c>
      <c r="Y485" s="36">
        <f t="shared" si="209"/>
        <v>10</v>
      </c>
      <c r="Z485" s="36">
        <f t="shared" si="210"/>
        <v>5.5388068892215063</v>
      </c>
      <c r="AA485" s="36">
        <f t="shared" si="211"/>
        <v>4.4611931107784937</v>
      </c>
      <c r="AB485" s="36">
        <f t="shared" si="212"/>
        <v>1.3729825288143014E-5</v>
      </c>
      <c r="AC485" s="36">
        <v>600</v>
      </c>
      <c r="AD485" s="36">
        <f t="shared" si="213"/>
        <v>1810.7538094406848</v>
      </c>
      <c r="AE485" s="36">
        <f>+gettm2(AD485,AC485,AK485,AL485,テーブル2[[#This Row],[Fcorr]])</f>
        <v>552.1312757452132</v>
      </c>
      <c r="AF485" s="39">
        <f t="shared" si="214"/>
        <v>-43.003841027853696</v>
      </c>
      <c r="AG485" s="36">
        <v>1.0000000000000001E-5</v>
      </c>
      <c r="AH485" s="36">
        <f t="shared" si="215"/>
        <v>26.475971522803935</v>
      </c>
      <c r="AI485" s="36">
        <f t="shared" si="216"/>
        <v>0.21738513102963669</v>
      </c>
      <c r="AJ485" s="36">
        <f t="shared" si="217"/>
        <v>19.010538681791967</v>
      </c>
      <c r="AK485" s="36">
        <f>+S88*テーブル2[[#This Row],[F_form]]/(E88*CpFromTP((テーブル2[[#This Row],[Tin]]+テーブル2[[#This Row],[Tf]])/2,テーブル2[[#This Row],[P]])*AI88)</f>
        <v>1.8004604247582823</v>
      </c>
      <c r="AL485" s="36">
        <f t="shared" si="218"/>
        <v>1.5871354414153991</v>
      </c>
      <c r="AM485" s="36">
        <f t="shared" si="219"/>
        <v>570.45210372364568</v>
      </c>
      <c r="AN485" s="36">
        <f t="shared" si="220"/>
        <v>56.125132114318035</v>
      </c>
      <c r="AO485" s="36">
        <f t="shared" si="221"/>
        <v>-3.7298252881430136E-6</v>
      </c>
      <c r="AP485" s="36">
        <v>1</v>
      </c>
      <c r="AQ485" s="36">
        <f t="shared" si="222"/>
        <v>1.8924061455248241E-4</v>
      </c>
      <c r="AR485" s="36">
        <f t="shared" si="223"/>
        <v>3.1350873559284936E-6</v>
      </c>
      <c r="AS485" s="36">
        <f t="shared" si="224"/>
        <v>5.9599699450675532</v>
      </c>
      <c r="AT485" s="36">
        <f t="shared" si="225"/>
        <v>5.8753271914532155</v>
      </c>
      <c r="AU485" s="36">
        <f t="shared" si="226"/>
        <v>1.2772087713560445</v>
      </c>
      <c r="AV485" s="36">
        <f t="shared" si="227"/>
        <v>-0.27720877135604449</v>
      </c>
      <c r="AW485" s="36">
        <f t="shared" si="228"/>
        <v>1.0891738335895526E-2</v>
      </c>
      <c r="AX485" s="36">
        <f t="shared" si="229"/>
        <v>0.51578503611402537</v>
      </c>
      <c r="AY485" s="36">
        <f t="shared" si="230"/>
        <v>-0.79299380747006987</v>
      </c>
      <c r="AZ485" s="36">
        <f t="shared" si="231"/>
        <v>839091.99888324901</v>
      </c>
      <c r="BA485" s="36">
        <f t="shared" si="232"/>
        <v>1.8924061455248241E-4</v>
      </c>
      <c r="BB485" s="38">
        <f t="shared" si="233"/>
        <v>-9265651.3378919158</v>
      </c>
      <c r="BC485" s="40">
        <f t="shared" si="234"/>
        <v>-14186811.737891916</v>
      </c>
      <c r="BD485" s="41">
        <f t="shared" si="235"/>
        <v>-288.28183974438059</v>
      </c>
      <c r="BE485" s="38">
        <v>4921160.3999999994</v>
      </c>
      <c r="BF485" s="42">
        <f>テーブル2[[#This Row],[q_P]]/テーブル2[[#This Row],[q_M]]</f>
        <v>-1.8828183974438055</v>
      </c>
      <c r="BG485" s="36">
        <v>1</v>
      </c>
      <c r="BH485" s="36">
        <v>-5.0000000000000001E-3</v>
      </c>
      <c r="BI485" s="36">
        <v>4.5999999999999999E-2</v>
      </c>
      <c r="BJ485" s="36">
        <v>5625</v>
      </c>
      <c r="BK485" s="22">
        <v>1</v>
      </c>
      <c r="BL485" s="36">
        <f>テーブル2[[#This Row],[Ts]]-テーブル2[[#This Row],[Tin]]</f>
        <v>72.187308150561421</v>
      </c>
      <c r="BM485" s="36">
        <f>テーブル2[[#This Row],[q_P]]*0.000001</f>
        <v>-9.2656513378919154</v>
      </c>
      <c r="BN485" s="36">
        <f>テーブル2[[#This Row],[Tsub]]</f>
        <v>72.187308150561421</v>
      </c>
      <c r="BO485" s="36">
        <f>テーブル2[[#This Row],[Fcorr]]</f>
        <v>1</v>
      </c>
      <c r="BP485" s="36">
        <f>(テーブル2[[#This Row],[Tsub]]-40)^2</f>
        <v>1036.0228059791978</v>
      </c>
      <c r="BQ485" s="36">
        <v>1</v>
      </c>
      <c r="BR485" s="36">
        <v>0.15240000000000001</v>
      </c>
    </row>
    <row r="486" spans="1:70" x14ac:dyDescent="0.15">
      <c r="A486" s="35" t="s">
        <v>250</v>
      </c>
      <c r="B486" s="36">
        <v>17236893.232919998</v>
      </c>
      <c r="C486" s="22">
        <f>TsatFromP(テーブル2[[#This Row],[P]])</f>
        <v>626.57723583796371</v>
      </c>
      <c r="D486" s="36">
        <f>RhoGFromP(テーブル2[[#This Row],[P]])</f>
        <v>122.58359097668941</v>
      </c>
      <c r="E486" s="36">
        <f>RhoFFromP(テーブル2[[#This Row],[P]])</f>
        <v>560.26337686440854</v>
      </c>
      <c r="F486" s="36">
        <f>HgFromP(テーブル2[[#This Row],[P]])</f>
        <v>2538890.645480752</v>
      </c>
      <c r="G486" s="36">
        <f>HfFromP(テーブル2[[#This Row],[P]])</f>
        <v>1699798.646597503</v>
      </c>
      <c r="H486" s="36">
        <f>MuGFromP(テーブル2[[#This Row],[P]])</f>
        <v>2.4290890628325484E-5</v>
      </c>
      <c r="I486" s="36">
        <f>MuFFromP(テーブル2[[#This Row],[P]])</f>
        <v>6.4066005508527627E-5</v>
      </c>
      <c r="J486" s="36">
        <f>KfFromP(テーブル2[[#This Row],[P]])</f>
        <v>0.45288481052759361</v>
      </c>
      <c r="K486" s="36">
        <f>CpFFromP(テーブル2[[#This Row],[P]])</f>
        <v>11219.515372647445</v>
      </c>
      <c r="L486" s="36">
        <f>SigmaFromP(テーブル2[[#This Row],[P]])</f>
        <v>3.029253861182898E-3</v>
      </c>
      <c r="M486" s="36">
        <v>19.010000000000002</v>
      </c>
      <c r="N486" s="36">
        <v>3580.4472000000001</v>
      </c>
      <c r="O486" s="37">
        <f t="shared" si="236"/>
        <v>2.8502295699234246E-6</v>
      </c>
      <c r="P486" s="37">
        <f t="shared" si="237"/>
        <v>5.9847340050885557E-3</v>
      </c>
      <c r="Q486" s="37">
        <v>1.905E-3</v>
      </c>
      <c r="R486" s="36">
        <v>0.15240000000000001</v>
      </c>
      <c r="S486" s="38">
        <v>5394348.8999999994</v>
      </c>
      <c r="T486" s="36">
        <v>542.70946131557059</v>
      </c>
      <c r="U486" s="12">
        <f>+T486+BG486*S486*テーブル2[[#This Row],[Pw]]*R486/(N486*O486*K486)</f>
        <v>585.68067690285579</v>
      </c>
      <c r="V486" s="36">
        <v>0.03</v>
      </c>
      <c r="W486" s="37">
        <f t="shared" si="208"/>
        <v>106464.44806196183</v>
      </c>
      <c r="X486" s="36">
        <v>0.01</v>
      </c>
      <c r="Y486" s="36">
        <f t="shared" si="209"/>
        <v>10</v>
      </c>
      <c r="Z486" s="36">
        <f t="shared" si="210"/>
        <v>5.6009613370591929</v>
      </c>
      <c r="AA486" s="36">
        <f t="shared" si="211"/>
        <v>4.3990386629408071</v>
      </c>
      <c r="AB486" s="36">
        <f t="shared" si="212"/>
        <v>1.2709386597363329E-5</v>
      </c>
      <c r="AC486" s="36">
        <v>600</v>
      </c>
      <c r="AD486" s="36">
        <f t="shared" si="213"/>
        <v>1882.043329497405</v>
      </c>
      <c r="AE486" s="36">
        <f>+gettm2(AD486,AC486,AK486,AL486,テーブル2[[#This Row],[Fcorr]])</f>
        <v>549.77615935484903</v>
      </c>
      <c r="AF486" s="39">
        <f t="shared" si="214"/>
        <v>-35.904517548006766</v>
      </c>
      <c r="AG486" s="36">
        <v>1.0000000000000001E-5</v>
      </c>
      <c r="AH486" s="36">
        <f t="shared" si="215"/>
        <v>28.601731527889878</v>
      </c>
      <c r="AI486" s="36">
        <f t="shared" si="216"/>
        <v>0.22594360075521297</v>
      </c>
      <c r="AJ486" s="36">
        <f t="shared" si="217"/>
        <v>19.758985086586929</v>
      </c>
      <c r="AK486" s="36">
        <f>+S88*テーブル2[[#This Row],[F_form]]/(E88*CpFromTP((テーブル2[[#This Row],[Tin]]+テーブル2[[#This Row],[Tf]])/2,テーブル2[[#This Row],[P]])*AI88)</f>
        <v>1.8820749209319363</v>
      </c>
      <c r="AL486" s="36">
        <f t="shared" si="218"/>
        <v>1.5871354414153991</v>
      </c>
      <c r="AM486" s="36">
        <f t="shared" si="219"/>
        <v>568.71098182145238</v>
      </c>
      <c r="AN486" s="36">
        <f t="shared" si="220"/>
        <v>57.866254016511334</v>
      </c>
      <c r="AO486" s="36">
        <f t="shared" si="221"/>
        <v>-2.7093865973633283E-6</v>
      </c>
      <c r="AP486" s="36">
        <v>1</v>
      </c>
      <c r="AQ486" s="36">
        <f t="shared" si="222"/>
        <v>1.8924061455248241E-4</v>
      </c>
      <c r="AR486" s="36">
        <f t="shared" si="223"/>
        <v>3.6453067013183363E-6</v>
      </c>
      <c r="AS486" s="36">
        <f t="shared" si="224"/>
        <v>7.2027560747384411</v>
      </c>
      <c r="AT486" s="36">
        <f t="shared" si="225"/>
        <v>6.8223187046771523</v>
      </c>
      <c r="AU486" s="36">
        <f t="shared" si="226"/>
        <v>1.5414592536343963</v>
      </c>
      <c r="AV486" s="36">
        <f t="shared" si="227"/>
        <v>-0.54145925363439629</v>
      </c>
      <c r="AW486" s="36">
        <f t="shared" si="228"/>
        <v>1.008223413795104E-2</v>
      </c>
      <c r="AX486" s="36">
        <f t="shared" si="229"/>
        <v>0.53609153359882955</v>
      </c>
      <c r="AY486" s="36">
        <f t="shared" si="230"/>
        <v>-1.0775507872332257</v>
      </c>
      <c r="AZ486" s="36">
        <f t="shared" si="231"/>
        <v>839091.99888324901</v>
      </c>
      <c r="BA486" s="36">
        <f t="shared" si="232"/>
        <v>1.8924061455248241E-4</v>
      </c>
      <c r="BB486" s="38">
        <f t="shared" si="233"/>
        <v>-6730672.2463734271</v>
      </c>
      <c r="BC486" s="40">
        <f t="shared" si="234"/>
        <v>-12125021.146373427</v>
      </c>
      <c r="BD486" s="41">
        <f t="shared" si="235"/>
        <v>-224.77265321813772</v>
      </c>
      <c r="BE486" s="38">
        <v>5394348.8999999994</v>
      </c>
      <c r="BF486" s="42">
        <f>テーブル2[[#This Row],[q_P]]/テーブル2[[#This Row],[q_M]]</f>
        <v>-1.2477265321813773</v>
      </c>
      <c r="BG486" s="36">
        <v>1</v>
      </c>
      <c r="BH486" s="36">
        <v>-4.4999999999999998E-2</v>
      </c>
      <c r="BI486" s="36">
        <v>4.5999999999999999E-2</v>
      </c>
      <c r="BJ486" s="36">
        <v>5625</v>
      </c>
      <c r="BK486" s="22">
        <v>1</v>
      </c>
      <c r="BL486" s="36">
        <f>テーブル2[[#This Row],[Ts]]-テーブル2[[#This Row],[Tin]]</f>
        <v>83.86777452239312</v>
      </c>
      <c r="BM486" s="36">
        <f>テーブル2[[#This Row],[q_P]]*0.000001</f>
        <v>-6.7306722463734268</v>
      </c>
      <c r="BN486" s="36">
        <f>テーブル2[[#This Row],[Tsub]]</f>
        <v>83.86777452239312</v>
      </c>
      <c r="BO486" s="36">
        <f>テーブル2[[#This Row],[Fcorr]]</f>
        <v>1</v>
      </c>
      <c r="BP486" s="36">
        <f>(テーブル2[[#This Row],[Tsub]]-40)^2</f>
        <v>1924.3816415475228</v>
      </c>
      <c r="BQ486" s="36">
        <v>1</v>
      </c>
      <c r="BR486" s="36">
        <v>0.15240000000000001</v>
      </c>
    </row>
    <row r="487" spans="1:70" x14ac:dyDescent="0.15">
      <c r="A487" s="35" t="s">
        <v>233</v>
      </c>
      <c r="B487" s="36">
        <v>17236893.232919998</v>
      </c>
      <c r="C487" s="22">
        <f>TsatFromP(テーブル2[[#This Row],[P]])</f>
        <v>626.57723583796371</v>
      </c>
      <c r="D487" s="36">
        <f>RhoGFromP(テーブル2[[#This Row],[P]])</f>
        <v>122.58359097668941</v>
      </c>
      <c r="E487" s="36">
        <f>RhoFFromP(テーブル2[[#This Row],[P]])</f>
        <v>560.26337686440854</v>
      </c>
      <c r="F487" s="36">
        <f>HgFromP(テーブル2[[#This Row],[P]])</f>
        <v>2538890.645480752</v>
      </c>
      <c r="G487" s="36">
        <f>HfFromP(テーブル2[[#This Row],[P]])</f>
        <v>1699798.646597503</v>
      </c>
      <c r="H487" s="36">
        <f>MuGFromP(テーブル2[[#This Row],[P]])</f>
        <v>2.4290890628325484E-5</v>
      </c>
      <c r="I487" s="36">
        <f>MuFFromP(テーブル2[[#This Row],[P]])</f>
        <v>6.4066005508527627E-5</v>
      </c>
      <c r="J487" s="36">
        <f>KfFromP(テーブル2[[#This Row],[P]])</f>
        <v>0.45288481052759361</v>
      </c>
      <c r="K487" s="36">
        <f>CpFFromP(テーブル2[[#This Row],[P]])</f>
        <v>11219.515372647445</v>
      </c>
      <c r="L487" s="36">
        <f>SigmaFromP(テーブル2[[#This Row],[P]])</f>
        <v>3.029253861182898E-3</v>
      </c>
      <c r="M487" s="36">
        <v>2.0099999999999998</v>
      </c>
      <c r="N487" s="36">
        <v>1952.9712</v>
      </c>
      <c r="O487" s="37">
        <f t="shared" si="236"/>
        <v>2.8502295699234246E-6</v>
      </c>
      <c r="P487" s="37">
        <f t="shared" si="237"/>
        <v>5.9847340050885557E-3</v>
      </c>
      <c r="Q487" s="37">
        <v>1.905E-3</v>
      </c>
      <c r="R487" s="36">
        <v>0.15240000000000001</v>
      </c>
      <c r="S487" s="38">
        <v>3059952.2999999989</v>
      </c>
      <c r="T487" s="36">
        <v>541.04626069578649</v>
      </c>
      <c r="U487" s="12">
        <f>+T487+BG487*S487*テーブル2[[#This Row],[Pw]]*R487/(N487*O487*K487)</f>
        <v>585.73464961550712</v>
      </c>
      <c r="V487" s="36">
        <v>0.03</v>
      </c>
      <c r="W487" s="37">
        <f t="shared" si="208"/>
        <v>58071.51712470645</v>
      </c>
      <c r="X487" s="36">
        <v>0.01</v>
      </c>
      <c r="Y487" s="36">
        <f t="shared" si="209"/>
        <v>10</v>
      </c>
      <c r="Z487" s="36">
        <f t="shared" si="210"/>
        <v>4.609040754256351</v>
      </c>
      <c r="AA487" s="36">
        <f t="shared" si="211"/>
        <v>5.390959245743649</v>
      </c>
      <c r="AB487" s="36">
        <f t="shared" si="212"/>
        <v>4.2717660507804529E-5</v>
      </c>
      <c r="AC487" s="36">
        <v>600</v>
      </c>
      <c r="AD487" s="36">
        <f t="shared" si="213"/>
        <v>1026.5690888167662</v>
      </c>
      <c r="AE487" s="36">
        <f>+gettm2(AD487,AC487,AK487,AL487,テーブル2[[#This Row],[Fcorr]])</f>
        <v>552.56255085887585</v>
      </c>
      <c r="AF487" s="39">
        <f t="shared" si="214"/>
        <v>-33.172098756631271</v>
      </c>
      <c r="AG487" s="36">
        <v>1.0000000000000001E-5</v>
      </c>
      <c r="AH487" s="36">
        <f t="shared" si="215"/>
        <v>8.5096060744135169</v>
      </c>
      <c r="AI487" s="36">
        <f t="shared" si="216"/>
        <v>0.12324196404829797</v>
      </c>
      <c r="AJ487" s="36">
        <f t="shared" si="217"/>
        <v>10.777628229047416</v>
      </c>
      <c r="AK487" s="36">
        <f>+S88*テーブル2[[#This Row],[F_form]]/(E88*CpFromTP((テーブル2[[#This Row],[Tin]]+テーブル2[[#This Row],[Tf]])/2,テーブル2[[#This Row],[P]])*AI88)</f>
        <v>1.8876725933980263</v>
      </c>
      <c r="AL487" s="36">
        <f t="shared" si="218"/>
        <v>1.5871354414153991</v>
      </c>
      <c r="AM487" s="36">
        <f t="shared" si="219"/>
        <v>575.18828032148542</v>
      </c>
      <c r="AN487" s="36">
        <f t="shared" si="220"/>
        <v>51.388955516478291</v>
      </c>
      <c r="AO487" s="36">
        <f t="shared" si="221"/>
        <v>-3.271766050780453E-5</v>
      </c>
      <c r="AP487" s="36">
        <v>1</v>
      </c>
      <c r="AQ487" s="36">
        <f t="shared" si="222"/>
        <v>1.8924061455248241E-4</v>
      </c>
      <c r="AR487" s="36">
        <f t="shared" si="223"/>
        <v>-1.1358830253902265E-5</v>
      </c>
      <c r="AS487" s="36">
        <f t="shared" si="224"/>
        <v>-12.242124959341487</v>
      </c>
      <c r="AT487" s="36">
        <f t="shared" si="225"/>
        <v>-12.242124959341487</v>
      </c>
      <c r="AU487" s="36">
        <f t="shared" si="226"/>
        <v>-1.5087435241139349</v>
      </c>
      <c r="AV487" s="36">
        <f t="shared" si="227"/>
        <v>2.5087435241139349</v>
      </c>
      <c r="AW487" s="36">
        <f t="shared" si="228"/>
        <v>3.3887509185891E-2</v>
      </c>
      <c r="AX487" s="36">
        <f t="shared" si="229"/>
        <v>0.29241356378117972</v>
      </c>
      <c r="AY487" s="36">
        <f t="shared" si="230"/>
        <v>2.2163299603327551</v>
      </c>
      <c r="AZ487" s="36">
        <f t="shared" si="231"/>
        <v>839091.99888324901</v>
      </c>
      <c r="BA487" s="36">
        <f t="shared" si="232"/>
        <v>1.8924061455248241E-4</v>
      </c>
      <c r="BB487" s="38">
        <f t="shared" si="233"/>
        <v>-81277382.031951293</v>
      </c>
      <c r="BC487" s="40">
        <f t="shared" si="234"/>
        <v>-84337334.33195129</v>
      </c>
      <c r="BD487" s="41">
        <f t="shared" si="235"/>
        <v>-2756.1650007404141</v>
      </c>
      <c r="BE487" s="38">
        <v>3059952.2999999989</v>
      </c>
      <c r="BF487" s="42">
        <f>テーブル2[[#This Row],[q_P]]/テーブル2[[#This Row],[q_M]]</f>
        <v>-26.561650007404143</v>
      </c>
      <c r="BG487" s="36">
        <v>1</v>
      </c>
      <c r="BH487" s="36">
        <v>-3.1E-2</v>
      </c>
      <c r="BI487" s="36">
        <v>4.5999999999999999E-2</v>
      </c>
      <c r="BJ487" s="36">
        <v>5625</v>
      </c>
      <c r="BK487" s="22">
        <v>1</v>
      </c>
      <c r="BL487" s="36">
        <f>テーブル2[[#This Row],[Ts]]-テーブル2[[#This Row],[Tin]]</f>
        <v>85.530975142177226</v>
      </c>
      <c r="BM487" s="36">
        <f>テーブル2[[#This Row],[q_P]]*0.000001</f>
        <v>-81.277382031951291</v>
      </c>
      <c r="BN487" s="36">
        <f>テーブル2[[#This Row],[Tsub]]</f>
        <v>85.530975142177226</v>
      </c>
      <c r="BO487" s="36">
        <f>テーブル2[[#This Row],[Fcorr]]</f>
        <v>1</v>
      </c>
      <c r="BP487" s="36">
        <f>(テーブル2[[#This Row],[Tsub]]-40)^2</f>
        <v>2073.0696973975605</v>
      </c>
      <c r="BQ487" s="36">
        <v>1</v>
      </c>
      <c r="BR487" s="36">
        <v>0.15240000000000001</v>
      </c>
    </row>
    <row r="488" spans="1:70" x14ac:dyDescent="0.15">
      <c r="A488" s="35" t="s">
        <v>251</v>
      </c>
      <c r="B488" s="36">
        <v>17236893.232919998</v>
      </c>
      <c r="C488" s="22">
        <f>TsatFromP(テーブル2[[#This Row],[P]])</f>
        <v>626.57723583796371</v>
      </c>
      <c r="D488" s="36">
        <f>RhoGFromP(テーブル2[[#This Row],[P]])</f>
        <v>122.58359097668941</v>
      </c>
      <c r="E488" s="36">
        <f>RhoFFromP(テーブル2[[#This Row],[P]])</f>
        <v>560.26337686440854</v>
      </c>
      <c r="F488" s="36">
        <f>HgFromP(テーブル2[[#This Row],[P]])</f>
        <v>2538890.645480752</v>
      </c>
      <c r="G488" s="36">
        <f>HfFromP(テーブル2[[#This Row],[P]])</f>
        <v>1699798.646597503</v>
      </c>
      <c r="H488" s="36">
        <f>MuGFromP(テーブル2[[#This Row],[P]])</f>
        <v>2.4290890628325484E-5</v>
      </c>
      <c r="I488" s="36">
        <f>MuFFromP(テーブル2[[#This Row],[P]])</f>
        <v>6.4066005508527627E-5</v>
      </c>
      <c r="J488" s="36">
        <f>KfFromP(テーブル2[[#This Row],[P]])</f>
        <v>0.45288481052759361</v>
      </c>
      <c r="K488" s="36">
        <f>CpFFromP(テーブル2[[#This Row],[P]])</f>
        <v>11219.515372647445</v>
      </c>
      <c r="L488" s="36">
        <f>SigmaFromP(テーブル2[[#This Row],[P]])</f>
        <v>3.029253861182898E-3</v>
      </c>
      <c r="M488" s="36">
        <v>20.010000000000002</v>
      </c>
      <c r="N488" s="36">
        <v>3607.5718000000002</v>
      </c>
      <c r="O488" s="37">
        <f t="shared" si="236"/>
        <v>2.8502295699234246E-6</v>
      </c>
      <c r="P488" s="37">
        <f t="shared" si="237"/>
        <v>5.9847340050885557E-3</v>
      </c>
      <c r="Q488" s="37">
        <v>1.905E-3</v>
      </c>
      <c r="R488" s="36">
        <v>0.15240000000000001</v>
      </c>
      <c r="S488" s="38">
        <v>4984252.2</v>
      </c>
      <c r="T488" s="36">
        <v>545.545229034003</v>
      </c>
      <c r="U488" s="12">
        <f>+T488+BG488*S488*テーブル2[[#This Row],[Pw]]*R488/(N488*O488*K488)</f>
        <v>584.95109775353956</v>
      </c>
      <c r="V488" s="36">
        <v>0.03</v>
      </c>
      <c r="W488" s="37">
        <f t="shared" si="208"/>
        <v>107270.99691091609</v>
      </c>
      <c r="X488" s="36">
        <v>0.01</v>
      </c>
      <c r="Y488" s="36">
        <f t="shared" si="209"/>
        <v>10</v>
      </c>
      <c r="Z488" s="36">
        <f t="shared" si="210"/>
        <v>5.6130902415536346</v>
      </c>
      <c r="AA488" s="36">
        <f t="shared" si="211"/>
        <v>4.3869097584463654</v>
      </c>
      <c r="AB488" s="36">
        <f t="shared" si="212"/>
        <v>1.2518986492874591E-5</v>
      </c>
      <c r="AC488" s="36">
        <v>600</v>
      </c>
      <c r="AD488" s="36">
        <f t="shared" si="213"/>
        <v>1896.3012335087492</v>
      </c>
      <c r="AE488" s="36">
        <f>+gettm2(AD488,AC488,AK488,AL488,テーブル2[[#This Row],[Fcorr]])</f>
        <v>549.93907578126459</v>
      </c>
      <c r="AF488" s="39">
        <f t="shared" si="214"/>
        <v>-35.012021972274965</v>
      </c>
      <c r="AG488" s="36">
        <v>1.0000000000000001E-5</v>
      </c>
      <c r="AH488" s="36">
        <f t="shared" si="215"/>
        <v>29.036732610011711</v>
      </c>
      <c r="AI488" s="36">
        <f t="shared" si="216"/>
        <v>0.22765529470032822</v>
      </c>
      <c r="AJ488" s="36">
        <f t="shared" si="217"/>
        <v>19.90867436754592</v>
      </c>
      <c r="AK488" s="36">
        <f>+S88*テーブル2[[#This Row],[F_form]]/(E88*CpFromTP((テーブル2[[#This Row],[Tin]]+テーブル2[[#This Row],[Tf]])/2,テーブル2[[#This Row],[P]])*AI88)</f>
        <v>1.8746190907203495</v>
      </c>
      <c r="AL488" s="36">
        <f t="shared" si="218"/>
        <v>1.5871354414153991</v>
      </c>
      <c r="AM488" s="36">
        <f t="shared" si="219"/>
        <v>568.75691667201215</v>
      </c>
      <c r="AN488" s="36">
        <f t="shared" si="220"/>
        <v>57.82031916595156</v>
      </c>
      <c r="AO488" s="36">
        <f t="shared" si="221"/>
        <v>-2.51898649287459E-6</v>
      </c>
      <c r="AP488" s="36">
        <v>1</v>
      </c>
      <c r="AQ488" s="36">
        <f t="shared" si="222"/>
        <v>1.8924061455248241E-4</v>
      </c>
      <c r="AR488" s="36">
        <f t="shared" si="223"/>
        <v>3.7405067535627054E-6</v>
      </c>
      <c r="AS488" s="36">
        <f t="shared" si="224"/>
        <v>7.4468530926286238</v>
      </c>
      <c r="AT488" s="36">
        <f t="shared" si="225"/>
        <v>6.9889576973994778</v>
      </c>
      <c r="AU488" s="36">
        <f t="shared" si="226"/>
        <v>1.5910732242496055</v>
      </c>
      <c r="AV488" s="36">
        <f t="shared" si="227"/>
        <v>-0.59107322424960551</v>
      </c>
      <c r="AW488" s="36">
        <f t="shared" si="228"/>
        <v>9.9311915664909781E-3</v>
      </c>
      <c r="AX488" s="36">
        <f t="shared" si="229"/>
        <v>0.54015283309579032</v>
      </c>
      <c r="AY488" s="36">
        <f t="shared" si="230"/>
        <v>-1.1312260573453958</v>
      </c>
      <c r="AZ488" s="36">
        <f t="shared" si="231"/>
        <v>839091.99888324901</v>
      </c>
      <c r="BA488" s="36">
        <f t="shared" si="232"/>
        <v>1.8924061455248241E-4</v>
      </c>
      <c r="BB488" s="38">
        <f t="shared" si="233"/>
        <v>-6257679.3186620101</v>
      </c>
      <c r="BC488" s="40">
        <f t="shared" si="234"/>
        <v>-11241931.518662009</v>
      </c>
      <c r="BD488" s="41">
        <f t="shared" si="235"/>
        <v>-225.54901051479717</v>
      </c>
      <c r="BE488" s="38">
        <v>4984252.2</v>
      </c>
      <c r="BF488" s="42">
        <f>テーブル2[[#This Row],[q_P]]/テーブル2[[#This Row],[q_M]]</f>
        <v>-1.2554901051479719</v>
      </c>
      <c r="BG488" s="36">
        <v>1</v>
      </c>
      <c r="BH488" s="36">
        <v>-7.5999999999999998E-2</v>
      </c>
      <c r="BI488" s="36">
        <v>4.5999999999999999E-2</v>
      </c>
      <c r="BJ488" s="36">
        <v>5625</v>
      </c>
      <c r="BK488" s="22">
        <v>1</v>
      </c>
      <c r="BL488" s="36">
        <f>テーブル2[[#This Row],[Ts]]-テーブル2[[#This Row],[Tin]]</f>
        <v>81.032006803960712</v>
      </c>
      <c r="BM488" s="36">
        <f>テーブル2[[#This Row],[q_P]]*0.000001</f>
        <v>-6.2576793186620101</v>
      </c>
      <c r="BN488" s="36">
        <f>テーブル2[[#This Row],[Tsub]]</f>
        <v>81.032006803960712</v>
      </c>
      <c r="BO488" s="36">
        <f>テーブル2[[#This Row],[Fcorr]]</f>
        <v>1</v>
      </c>
      <c r="BP488" s="36">
        <f>(テーブル2[[#This Row],[Tsub]]-40)^2</f>
        <v>1683.6255823602783</v>
      </c>
      <c r="BQ488" s="36">
        <v>1</v>
      </c>
      <c r="BR488" s="36">
        <v>0.15240000000000001</v>
      </c>
    </row>
    <row r="489" spans="1:70" x14ac:dyDescent="0.15">
      <c r="A489" s="35" t="s">
        <v>252</v>
      </c>
      <c r="B489" s="36">
        <v>17236893.232919998</v>
      </c>
      <c r="C489" s="22">
        <f>TsatFromP(テーブル2[[#This Row],[P]])</f>
        <v>626.57723583796371</v>
      </c>
      <c r="D489" s="36">
        <f>RhoGFromP(テーブル2[[#This Row],[P]])</f>
        <v>122.58359097668941</v>
      </c>
      <c r="E489" s="36">
        <f>RhoFFromP(テーブル2[[#This Row],[P]])</f>
        <v>560.26337686440854</v>
      </c>
      <c r="F489" s="36">
        <f>HgFromP(テーブル2[[#This Row],[P]])</f>
        <v>2538890.645480752</v>
      </c>
      <c r="G489" s="36">
        <f>HfFromP(テーブル2[[#This Row],[P]])</f>
        <v>1699798.646597503</v>
      </c>
      <c r="H489" s="36">
        <f>MuGFromP(テーブル2[[#This Row],[P]])</f>
        <v>2.4290890628325484E-5</v>
      </c>
      <c r="I489" s="36">
        <f>MuFFromP(テーブル2[[#This Row],[P]])</f>
        <v>6.4066005508527627E-5</v>
      </c>
      <c r="J489" s="36">
        <f>KfFromP(テーブル2[[#This Row],[P]])</f>
        <v>0.45288481052759361</v>
      </c>
      <c r="K489" s="36">
        <f>CpFFromP(テーブル2[[#This Row],[P]])</f>
        <v>11219.515372647445</v>
      </c>
      <c r="L489" s="36">
        <f>SigmaFromP(テーブル2[[#This Row],[P]])</f>
        <v>3.029253861182898E-3</v>
      </c>
      <c r="M489" s="36">
        <v>21.01</v>
      </c>
      <c r="N489" s="36">
        <v>3621.1341000000002</v>
      </c>
      <c r="O489" s="37">
        <f t="shared" si="236"/>
        <v>2.8502295699234246E-6</v>
      </c>
      <c r="P489" s="37">
        <f t="shared" si="237"/>
        <v>5.9847340050885557E-3</v>
      </c>
      <c r="Q489" s="37">
        <v>1.905E-3</v>
      </c>
      <c r="R489" s="36">
        <v>0.15240000000000001</v>
      </c>
      <c r="S489" s="38">
        <v>5110435.8000000007</v>
      </c>
      <c r="T489" s="36">
        <v>552.869065736827</v>
      </c>
      <c r="U489" s="12">
        <f>+T489+BG489*S489*テーブル2[[#This Row],[Pw]]*R489/(N489*O489*K489)</f>
        <v>593.12122746968316</v>
      </c>
      <c r="V489" s="36">
        <v>0.03</v>
      </c>
      <c r="W489" s="37">
        <f t="shared" si="208"/>
        <v>107674.27133539322</v>
      </c>
      <c r="X489" s="36">
        <v>0.01</v>
      </c>
      <c r="Y489" s="36">
        <f t="shared" si="209"/>
        <v>10</v>
      </c>
      <c r="Z489" s="36">
        <f t="shared" si="210"/>
        <v>5.6191181891755706</v>
      </c>
      <c r="AA489" s="36">
        <f t="shared" si="211"/>
        <v>4.3808818108244294</v>
      </c>
      <c r="AB489" s="36">
        <f t="shared" si="212"/>
        <v>1.2425386922103475E-5</v>
      </c>
      <c r="AC489" s="36">
        <v>600</v>
      </c>
      <c r="AD489" s="36">
        <f t="shared" si="213"/>
        <v>1903.4301855144208</v>
      </c>
      <c r="AE489" s="36">
        <f>+gettm2(AD489,AC489,AK489,AL489,テーブル2[[#This Row],[Fcorr]])</f>
        <v>551.50649141977271</v>
      </c>
      <c r="AF489" s="39">
        <f t="shared" si="214"/>
        <v>-41.614736049910448</v>
      </c>
      <c r="AG489" s="36">
        <v>1.0000000000000001E-5</v>
      </c>
      <c r="AH489" s="36">
        <f t="shared" si="215"/>
        <v>29.255464286210707</v>
      </c>
      <c r="AI489" s="36">
        <f t="shared" si="216"/>
        <v>0.22851114167288583</v>
      </c>
      <c r="AJ489" s="36">
        <f t="shared" si="217"/>
        <v>19.983519008025418</v>
      </c>
      <c r="AK489" s="36">
        <f>+S88*テーブル2[[#This Row],[F_form]]/(E88*CpFromTP((テーブル2[[#This Row],[Tin]]+テーブル2[[#This Row],[Tf]])/2,テーブル2[[#This Row],[P]])*AI88)</f>
        <v>1.8152746922613689</v>
      </c>
      <c r="AL489" s="36">
        <f t="shared" si="218"/>
        <v>1.5871354414153991</v>
      </c>
      <c r="AM489" s="36">
        <f t="shared" si="219"/>
        <v>569.70843315166792</v>
      </c>
      <c r="AN489" s="36">
        <f t="shared" si="220"/>
        <v>56.868802686295794</v>
      </c>
      <c r="AO489" s="36">
        <f t="shared" si="221"/>
        <v>-2.4253869221034739E-6</v>
      </c>
      <c r="AP489" s="36">
        <v>1</v>
      </c>
      <c r="AQ489" s="36">
        <f t="shared" si="222"/>
        <v>1.8924061455248241E-4</v>
      </c>
      <c r="AR489" s="36">
        <f t="shared" si="223"/>
        <v>3.7873065389482635E-6</v>
      </c>
      <c r="AS489" s="36">
        <f t="shared" si="224"/>
        <v>7.5683712210291567</v>
      </c>
      <c r="AT489" s="36">
        <f t="shared" si="225"/>
        <v>7.0698894097554161</v>
      </c>
      <c r="AU489" s="36">
        <f t="shared" si="226"/>
        <v>1.6155485005242551</v>
      </c>
      <c r="AV489" s="36">
        <f t="shared" si="227"/>
        <v>-0.61554850052425514</v>
      </c>
      <c r="AW489" s="36">
        <f t="shared" si="228"/>
        <v>9.85693992731888E-3</v>
      </c>
      <c r="AX489" s="36">
        <f t="shared" si="229"/>
        <v>0.54218348284427076</v>
      </c>
      <c r="AY489" s="36">
        <f t="shared" si="230"/>
        <v>-1.1577319833685258</v>
      </c>
      <c r="AZ489" s="36">
        <f t="shared" si="231"/>
        <v>839091.99888324901</v>
      </c>
      <c r="BA489" s="36">
        <f t="shared" si="232"/>
        <v>1.8924061455248241E-4</v>
      </c>
      <c r="BB489" s="38">
        <f t="shared" si="233"/>
        <v>-6025158.7791883536</v>
      </c>
      <c r="BC489" s="40">
        <f t="shared" si="234"/>
        <v>-11135594.579188354</v>
      </c>
      <c r="BD489" s="41">
        <f t="shared" si="235"/>
        <v>-217.89911888117942</v>
      </c>
      <c r="BE489" s="38">
        <v>5110435.8000000007</v>
      </c>
      <c r="BF489" s="42">
        <f>テーブル2[[#This Row],[q_P]]/テーブル2[[#This Row],[q_M]]</f>
        <v>-1.1789911888117943</v>
      </c>
      <c r="BG489" s="36">
        <v>1</v>
      </c>
      <c r="BH489" s="36">
        <v>-2.1000000000000001E-2</v>
      </c>
      <c r="BI489" s="36">
        <v>4.5999999999999999E-2</v>
      </c>
      <c r="BJ489" s="36">
        <v>5625</v>
      </c>
      <c r="BK489" s="22">
        <v>1</v>
      </c>
      <c r="BL489" s="36">
        <f>テーブル2[[#This Row],[Ts]]-テーブル2[[#This Row],[Tin]]</f>
        <v>73.708170101136716</v>
      </c>
      <c r="BM489" s="36">
        <f>テーブル2[[#This Row],[q_P]]*0.000001</f>
        <v>-6.0251587791883532</v>
      </c>
      <c r="BN489" s="36">
        <f>テーブル2[[#This Row],[Tsub]]</f>
        <v>73.708170101136716</v>
      </c>
      <c r="BO489" s="36">
        <f>テーブル2[[#This Row],[Fcorr]]</f>
        <v>1</v>
      </c>
      <c r="BP489" s="36">
        <f>(テーブル2[[#This Row],[Tsub]]-40)^2</f>
        <v>1136.2407315671671</v>
      </c>
      <c r="BQ489" s="36">
        <v>1</v>
      </c>
      <c r="BR489" s="36">
        <v>0.15240000000000001</v>
      </c>
    </row>
    <row r="490" spans="1:70" x14ac:dyDescent="0.15">
      <c r="A490" s="35" t="s">
        <v>253</v>
      </c>
      <c r="B490" s="36">
        <v>17236893.232919998</v>
      </c>
      <c r="C490" s="22">
        <f>TsatFromP(テーブル2[[#This Row],[P]])</f>
        <v>626.57723583796371</v>
      </c>
      <c r="D490" s="36">
        <f>RhoGFromP(テーブル2[[#This Row],[P]])</f>
        <v>122.58359097668941</v>
      </c>
      <c r="E490" s="36">
        <f>RhoFFromP(テーブル2[[#This Row],[P]])</f>
        <v>560.26337686440854</v>
      </c>
      <c r="F490" s="36">
        <f>HgFromP(テーブル2[[#This Row],[P]])</f>
        <v>2538890.645480752</v>
      </c>
      <c r="G490" s="36">
        <f>HfFromP(テーブル2[[#This Row],[P]])</f>
        <v>1699798.646597503</v>
      </c>
      <c r="H490" s="36">
        <f>MuGFromP(テーブル2[[#This Row],[P]])</f>
        <v>2.4290890628325484E-5</v>
      </c>
      <c r="I490" s="36">
        <f>MuFFromP(テーブル2[[#This Row],[P]])</f>
        <v>6.4066005508527627E-5</v>
      </c>
      <c r="J490" s="36">
        <f>KfFromP(テーブル2[[#This Row],[P]])</f>
        <v>0.45288481052759361</v>
      </c>
      <c r="K490" s="36">
        <f>CpFFromP(テーブル2[[#This Row],[P]])</f>
        <v>11219.515372647445</v>
      </c>
      <c r="L490" s="36">
        <f>SigmaFromP(テーブル2[[#This Row],[P]])</f>
        <v>3.029253861182898E-3</v>
      </c>
      <c r="M490" s="36">
        <v>22.01</v>
      </c>
      <c r="N490" s="36">
        <v>2088.5942</v>
      </c>
      <c r="O490" s="37">
        <f t="shared" si="236"/>
        <v>2.8502295699234246E-6</v>
      </c>
      <c r="P490" s="37">
        <f t="shared" si="237"/>
        <v>5.9847340050885557E-3</v>
      </c>
      <c r="Q490" s="37">
        <v>1.905E-3</v>
      </c>
      <c r="R490" s="36">
        <v>0.69595999999999991</v>
      </c>
      <c r="S490" s="38">
        <v>2113575.2999999998</v>
      </c>
      <c r="T490" s="36">
        <v>296.62837940072689</v>
      </c>
      <c r="U490" s="12">
        <f>+T490+BG490*S490*テーブル2[[#This Row],[Pw]]*R490/(N490*O490*K490)</f>
        <v>428.43549314364782</v>
      </c>
      <c r="V490" s="36">
        <v>0.03</v>
      </c>
      <c r="W490" s="37">
        <f t="shared" si="208"/>
        <v>62104.261369477732</v>
      </c>
      <c r="X490" s="36">
        <v>0.01</v>
      </c>
      <c r="Y490" s="36">
        <f t="shared" si="209"/>
        <v>10</v>
      </c>
      <c r="Z490" s="36">
        <f t="shared" si="210"/>
        <v>4.7204194714109535</v>
      </c>
      <c r="AA490" s="36">
        <f t="shared" si="211"/>
        <v>5.2795805285890465</v>
      </c>
      <c r="AB490" s="36">
        <f t="shared" si="212"/>
        <v>3.7350034082047338E-5</v>
      </c>
      <c r="AC490" s="36">
        <v>600</v>
      </c>
      <c r="AD490" s="36">
        <f t="shared" si="213"/>
        <v>1097.8586088734862</v>
      </c>
      <c r="AE490" s="36">
        <f>+gettm2(AD490,AC490,AK490,AL490,テーブル2[[#This Row],[Fcorr]])</f>
        <v>539.76921299618141</v>
      </c>
      <c r="AF490" s="39">
        <f t="shared" si="214"/>
        <v>111.33371985253359</v>
      </c>
      <c r="AG490" s="36">
        <v>1.0000000000000001E-5</v>
      </c>
      <c r="AH490" s="36">
        <f t="shared" si="215"/>
        <v>9.7325336449069724</v>
      </c>
      <c r="AI490" s="36">
        <f t="shared" si="216"/>
        <v>0.13180043377387424</v>
      </c>
      <c r="AJ490" s="36">
        <f t="shared" si="217"/>
        <v>11.526074633842375</v>
      </c>
      <c r="AK490" s="36">
        <f>+S88*テーブル2[[#This Row],[F_form]]/(E88*CpFromTP((テーブル2[[#This Row],[Tin]]+テーブル2[[#This Row],[Tf]])/2,テーブル2[[#This Row],[P]])*AI88)</f>
        <v>2.3803179900317901</v>
      </c>
      <c r="AL490" s="36">
        <f t="shared" si="218"/>
        <v>1.5871354414153991</v>
      </c>
      <c r="AM490" s="36">
        <f t="shared" si="219"/>
        <v>567.75479984029289</v>
      </c>
      <c r="AN490" s="36">
        <f t="shared" si="220"/>
        <v>58.822435997670823</v>
      </c>
      <c r="AO490" s="36">
        <f t="shared" si="221"/>
        <v>-2.7350034082047339E-5</v>
      </c>
      <c r="AP490" s="36">
        <v>1</v>
      </c>
      <c r="AQ490" s="36">
        <f t="shared" si="222"/>
        <v>1.8924061455248241E-4</v>
      </c>
      <c r="AR490" s="36">
        <f t="shared" si="223"/>
        <v>-8.6750170410236697E-6</v>
      </c>
      <c r="AS490" s="36">
        <f t="shared" si="224"/>
        <v>-9.998889386469326</v>
      </c>
      <c r="AT490" s="36">
        <f t="shared" si="225"/>
        <v>-9.998889386469326</v>
      </c>
      <c r="AU490" s="36">
        <f t="shared" si="226"/>
        <v>-1.3178579583936445</v>
      </c>
      <c r="AV490" s="36">
        <f t="shared" si="227"/>
        <v>2.3178579583936445</v>
      </c>
      <c r="AW490" s="36">
        <f t="shared" si="228"/>
        <v>2.9629422772754082E-2</v>
      </c>
      <c r="AX490" s="36">
        <f t="shared" si="229"/>
        <v>0.31272006126598384</v>
      </c>
      <c r="AY490" s="36">
        <f t="shared" si="230"/>
        <v>2.0051378971276606</v>
      </c>
      <c r="AZ490" s="36">
        <f t="shared" si="231"/>
        <v>839091.99888324901</v>
      </c>
      <c r="BA490" s="36">
        <f t="shared" si="232"/>
        <v>1.8924061455248241E-4</v>
      </c>
      <c r="BB490" s="38">
        <f t="shared" si="233"/>
        <v>-67943096.608120441</v>
      </c>
      <c r="BC490" s="40">
        <f t="shared" si="234"/>
        <v>-70056671.908120438</v>
      </c>
      <c r="BD490" s="41">
        <f t="shared" si="235"/>
        <v>-3314.6049685630055</v>
      </c>
      <c r="BE490" s="38">
        <v>2113575.2999999998</v>
      </c>
      <c r="BF490" s="42">
        <f>テーブル2[[#This Row],[q_P]]/テーブル2[[#This Row],[q_M]]</f>
        <v>-32.146049685630054</v>
      </c>
      <c r="BG490" s="36">
        <v>1</v>
      </c>
      <c r="BH490" s="36">
        <v>-0.127</v>
      </c>
      <c r="BI490" s="36">
        <v>4.5999999999999999E-2</v>
      </c>
      <c r="BJ490" s="36">
        <v>5625</v>
      </c>
      <c r="BK490" s="22">
        <v>1</v>
      </c>
      <c r="BL490" s="36">
        <f>テーブル2[[#This Row],[Ts]]-テーブル2[[#This Row],[Tin]]</f>
        <v>329.94885643723683</v>
      </c>
      <c r="BM490" s="36">
        <f>テーブル2[[#This Row],[q_P]]*0.000001</f>
        <v>-67.943096608120442</v>
      </c>
      <c r="BN490" s="36">
        <f>テーブル2[[#This Row],[Tsub]]</f>
        <v>329.94885643723683</v>
      </c>
      <c r="BO490" s="36">
        <f>テーブル2[[#This Row],[Fcorr]]</f>
        <v>1</v>
      </c>
      <c r="BP490" s="36">
        <f>(テーブル2[[#This Row],[Tsub]]-40)^2</f>
        <v>84070.339349261369</v>
      </c>
      <c r="BQ490" s="36">
        <v>1</v>
      </c>
      <c r="BR490" s="36">
        <v>0.69595999999999991</v>
      </c>
    </row>
    <row r="491" spans="1:70" x14ac:dyDescent="0.15">
      <c r="A491" s="35" t="s">
        <v>254</v>
      </c>
      <c r="B491" s="36">
        <v>17236893.232919998</v>
      </c>
      <c r="C491" s="22">
        <f>TsatFromP(テーブル2[[#This Row],[P]])</f>
        <v>626.57723583796371</v>
      </c>
      <c r="D491" s="36">
        <f>RhoGFromP(テーブル2[[#This Row],[P]])</f>
        <v>122.58359097668941</v>
      </c>
      <c r="E491" s="36">
        <f>RhoFFromP(テーブル2[[#This Row],[P]])</f>
        <v>560.26337686440854</v>
      </c>
      <c r="F491" s="36">
        <f>HgFromP(テーブル2[[#This Row],[P]])</f>
        <v>2538890.645480752</v>
      </c>
      <c r="G491" s="36">
        <f>HfFromP(テーブル2[[#This Row],[P]])</f>
        <v>1699798.646597503</v>
      </c>
      <c r="H491" s="36">
        <f>MuGFromP(テーブル2[[#This Row],[P]])</f>
        <v>2.4290890628325484E-5</v>
      </c>
      <c r="I491" s="36">
        <f>MuFFromP(テーブル2[[#This Row],[P]])</f>
        <v>6.4066005508527627E-5</v>
      </c>
      <c r="J491" s="36">
        <f>KfFromP(テーブル2[[#This Row],[P]])</f>
        <v>0.45288481052759361</v>
      </c>
      <c r="K491" s="36">
        <f>CpFFromP(テーブル2[[#This Row],[P]])</f>
        <v>11219.515372647445</v>
      </c>
      <c r="L491" s="36">
        <f>SigmaFromP(テーブル2[[#This Row],[P]])</f>
        <v>3.029253861182898E-3</v>
      </c>
      <c r="M491" s="36">
        <v>23.01</v>
      </c>
      <c r="N491" s="36">
        <v>2088.5942</v>
      </c>
      <c r="O491" s="37">
        <f t="shared" si="236"/>
        <v>2.8502295699234246E-6</v>
      </c>
      <c r="P491" s="37">
        <f t="shared" si="237"/>
        <v>5.9847340050885557E-3</v>
      </c>
      <c r="Q491" s="37">
        <v>1.905E-3</v>
      </c>
      <c r="R491" s="36">
        <v>0.69595999999999991</v>
      </c>
      <c r="S491" s="38">
        <v>2082029.4</v>
      </c>
      <c r="T491" s="36">
        <v>299.38443485861791</v>
      </c>
      <c r="U491" s="12">
        <f>+T491+BG491*S491*テーブル2[[#This Row],[Pw]]*R491/(N491*O491*K491)</f>
        <v>429.22427824716692</v>
      </c>
      <c r="V491" s="36">
        <v>0.03</v>
      </c>
      <c r="W491" s="37">
        <f t="shared" si="208"/>
        <v>62104.261369477732</v>
      </c>
      <c r="X491" s="36">
        <v>0.01</v>
      </c>
      <c r="Y491" s="36">
        <f t="shared" si="209"/>
        <v>10</v>
      </c>
      <c r="Z491" s="36">
        <f t="shared" si="210"/>
        <v>4.7204194714109535</v>
      </c>
      <c r="AA491" s="36">
        <f t="shared" si="211"/>
        <v>5.2795805285890465</v>
      </c>
      <c r="AB491" s="36">
        <f t="shared" si="212"/>
        <v>3.7350034082047338E-5</v>
      </c>
      <c r="AC491" s="36">
        <v>600</v>
      </c>
      <c r="AD491" s="36">
        <f t="shared" si="213"/>
        <v>1097.8586088734862</v>
      </c>
      <c r="AE491" s="36">
        <f>+gettm2(AD491,AC491,AK491,AL491,テーブル2[[#This Row],[Fcorr]])</f>
        <v>539.79135528733025</v>
      </c>
      <c r="AF491" s="39">
        <f t="shared" si="214"/>
        <v>110.56707704016333</v>
      </c>
      <c r="AG491" s="36">
        <v>1.0000000000000001E-5</v>
      </c>
      <c r="AH491" s="36">
        <f t="shared" si="215"/>
        <v>9.7325336449069724</v>
      </c>
      <c r="AI491" s="36">
        <f t="shared" si="216"/>
        <v>0.13180043377387424</v>
      </c>
      <c r="AJ491" s="36">
        <f t="shared" si="217"/>
        <v>11.526074633842375</v>
      </c>
      <c r="AK491" s="36">
        <f>+S88*テーブル2[[#This Row],[F_form]]/(E88*CpFromTP((テーブル2[[#This Row],[Tin]]+テーブル2[[#This Row],[Tf]])/2,テーブル2[[#This Row],[P]])*AI88)</f>
        <v>2.3794429276827143</v>
      </c>
      <c r="AL491" s="36">
        <f t="shared" si="218"/>
        <v>1.5871354414153991</v>
      </c>
      <c r="AM491" s="36">
        <f t="shared" si="219"/>
        <v>567.76665395420389</v>
      </c>
      <c r="AN491" s="36">
        <f t="shared" si="220"/>
        <v>58.810581883759824</v>
      </c>
      <c r="AO491" s="36">
        <f t="shared" si="221"/>
        <v>-2.7350034082047339E-5</v>
      </c>
      <c r="AP491" s="36">
        <v>1</v>
      </c>
      <c r="AQ491" s="36">
        <f t="shared" si="222"/>
        <v>1.8924061455248241E-4</v>
      </c>
      <c r="AR491" s="36">
        <f t="shared" si="223"/>
        <v>-8.6750170410236697E-6</v>
      </c>
      <c r="AS491" s="36">
        <f t="shared" si="224"/>
        <v>-9.998889386469326</v>
      </c>
      <c r="AT491" s="36">
        <f t="shared" si="225"/>
        <v>-9.998889386469326</v>
      </c>
      <c r="AU491" s="36">
        <f t="shared" si="226"/>
        <v>-1.3178579583936445</v>
      </c>
      <c r="AV491" s="36">
        <f t="shared" si="227"/>
        <v>2.3178579583936445</v>
      </c>
      <c r="AW491" s="36">
        <f t="shared" si="228"/>
        <v>2.9629422772754082E-2</v>
      </c>
      <c r="AX491" s="36">
        <f t="shared" si="229"/>
        <v>0.31272006126598384</v>
      </c>
      <c r="AY491" s="36">
        <f t="shared" si="230"/>
        <v>2.0051378971276606</v>
      </c>
      <c r="AZ491" s="36">
        <f t="shared" si="231"/>
        <v>839091.99888324901</v>
      </c>
      <c r="BA491" s="36">
        <f t="shared" si="232"/>
        <v>1.8924061455248241E-4</v>
      </c>
      <c r="BB491" s="38">
        <f t="shared" si="233"/>
        <v>-67943096.608120441</v>
      </c>
      <c r="BC491" s="40">
        <f t="shared" si="234"/>
        <v>-70025126.008120447</v>
      </c>
      <c r="BD491" s="41">
        <f t="shared" si="235"/>
        <v>-3363.3111044503239</v>
      </c>
      <c r="BE491" s="38">
        <v>2082029.4</v>
      </c>
      <c r="BF491" s="42">
        <f>テーブル2[[#This Row],[q_P]]/テーブル2[[#This Row],[q_M]]</f>
        <v>-32.633111044503238</v>
      </c>
      <c r="BG491" s="36">
        <v>1</v>
      </c>
      <c r="BH491" s="36">
        <v>-0.14000000000000001</v>
      </c>
      <c r="BI491" s="36">
        <v>4.5999999999999999E-2</v>
      </c>
      <c r="BJ491" s="36">
        <v>5625</v>
      </c>
      <c r="BK491" s="22">
        <v>1</v>
      </c>
      <c r="BL491" s="36">
        <f>テーブル2[[#This Row],[Ts]]-テーブル2[[#This Row],[Tin]]</f>
        <v>327.1928009793458</v>
      </c>
      <c r="BM491" s="36">
        <f>テーブル2[[#This Row],[q_P]]*0.000001</f>
        <v>-67.943096608120442</v>
      </c>
      <c r="BN491" s="36">
        <f>テーブル2[[#This Row],[Tsub]]</f>
        <v>327.1928009793458</v>
      </c>
      <c r="BO491" s="36">
        <f>テーブル2[[#This Row],[Fcorr]]</f>
        <v>1</v>
      </c>
      <c r="BP491" s="36">
        <f>(テーブル2[[#This Row],[Tsub]]-40)^2</f>
        <v>82479.704934362133</v>
      </c>
      <c r="BQ491" s="36">
        <v>1</v>
      </c>
      <c r="BR491" s="36">
        <v>0.69595999999999991</v>
      </c>
    </row>
    <row r="492" spans="1:70" x14ac:dyDescent="0.15">
      <c r="A492" s="35" t="s">
        <v>255</v>
      </c>
      <c r="B492" s="36">
        <v>17236893.232919998</v>
      </c>
      <c r="C492" s="22">
        <f>TsatFromP(テーブル2[[#This Row],[P]])</f>
        <v>626.57723583796371</v>
      </c>
      <c r="D492" s="36">
        <f>RhoGFromP(テーブル2[[#This Row],[P]])</f>
        <v>122.58359097668941</v>
      </c>
      <c r="E492" s="36">
        <f>RhoFFromP(テーブル2[[#This Row],[P]])</f>
        <v>560.26337686440854</v>
      </c>
      <c r="F492" s="36">
        <f>HgFromP(テーブル2[[#This Row],[P]])</f>
        <v>2538890.645480752</v>
      </c>
      <c r="G492" s="36">
        <f>HfFromP(テーブル2[[#This Row],[P]])</f>
        <v>1699798.646597503</v>
      </c>
      <c r="H492" s="36">
        <f>MuGFromP(テーブル2[[#This Row],[P]])</f>
        <v>2.4290890628325484E-5</v>
      </c>
      <c r="I492" s="36">
        <f>MuFFromP(テーブル2[[#This Row],[P]])</f>
        <v>6.4066005508527627E-5</v>
      </c>
      <c r="J492" s="36">
        <f>KfFromP(テーブル2[[#This Row],[P]])</f>
        <v>0.45288481052759361</v>
      </c>
      <c r="K492" s="36">
        <f>CpFFromP(テーブル2[[#This Row],[P]])</f>
        <v>11219.515372647445</v>
      </c>
      <c r="L492" s="36">
        <f>SigmaFromP(テーブル2[[#This Row],[P]])</f>
        <v>3.029253861182898E-3</v>
      </c>
      <c r="M492" s="36">
        <v>24.01</v>
      </c>
      <c r="N492" s="36">
        <v>2197.0925999999999</v>
      </c>
      <c r="O492" s="37">
        <f t="shared" si="236"/>
        <v>2.8502295699234246E-6</v>
      </c>
      <c r="P492" s="37">
        <f t="shared" si="237"/>
        <v>5.9847340050885557E-3</v>
      </c>
      <c r="Q492" s="37">
        <v>1.905E-3</v>
      </c>
      <c r="R492" s="36">
        <v>0.69595999999999991</v>
      </c>
      <c r="S492" s="38">
        <v>2429034.2999999998</v>
      </c>
      <c r="T492" s="36">
        <v>298.87824001090689</v>
      </c>
      <c r="U492" s="12">
        <f>+T492+BG492*S492*テーブル2[[#This Row],[Pw]]*R492/(N492*O492*K492)</f>
        <v>442.87757249326881</v>
      </c>
      <c r="V492" s="36">
        <v>0.03</v>
      </c>
      <c r="W492" s="37">
        <f t="shared" si="208"/>
        <v>65330.456765294752</v>
      </c>
      <c r="X492" s="36">
        <v>0.01</v>
      </c>
      <c r="Y492" s="36">
        <f t="shared" si="209"/>
        <v>10</v>
      </c>
      <c r="Z492" s="36">
        <f t="shared" si="210"/>
        <v>4.8042160526373827</v>
      </c>
      <c r="AA492" s="36">
        <f t="shared" si="211"/>
        <v>5.1957839473626173</v>
      </c>
      <c r="AB492" s="36">
        <f t="shared" si="212"/>
        <v>3.3752225586413459E-5</v>
      </c>
      <c r="AC492" s="36">
        <v>600</v>
      </c>
      <c r="AD492" s="36">
        <f t="shared" si="213"/>
        <v>1154.890224918862</v>
      </c>
      <c r="AE492" s="36">
        <f>+gettm2(AD492,AC492,AK492,AL492,テーブル2[[#This Row],[Fcorr]])</f>
        <v>539.56932836137082</v>
      </c>
      <c r="AF492" s="39">
        <f t="shared" si="214"/>
        <v>96.691755868102007</v>
      </c>
      <c r="AG492" s="36">
        <v>1.0000000000000001E-5</v>
      </c>
      <c r="AH492" s="36">
        <f t="shared" si="215"/>
        <v>10.769970187929605</v>
      </c>
      <c r="AI492" s="36">
        <f t="shared" si="216"/>
        <v>0.13864720955433521</v>
      </c>
      <c r="AJ492" s="36">
        <f t="shared" si="217"/>
        <v>12.124831757678344</v>
      </c>
      <c r="AK492" s="36">
        <f>+S88*テーブル2[[#This Row],[F_form]]/(E88*CpFromTP((テーブル2[[#This Row],[Tin]]+テーブル2[[#This Row],[Tf]])/2,テーブル2[[#This Row],[P]])*AI88)</f>
        <v>2.3759486184040846</v>
      </c>
      <c r="AL492" s="36">
        <f t="shared" si="218"/>
        <v>1.5871354414153991</v>
      </c>
      <c r="AM492" s="36">
        <f t="shared" si="219"/>
        <v>567.10074092421826</v>
      </c>
      <c r="AN492" s="36">
        <f t="shared" si="220"/>
        <v>59.476494913745455</v>
      </c>
      <c r="AO492" s="36">
        <f t="shared" si="221"/>
        <v>-2.375222558641346E-5</v>
      </c>
      <c r="AP492" s="36">
        <v>1</v>
      </c>
      <c r="AQ492" s="36">
        <f t="shared" si="222"/>
        <v>1.8924061455248241E-4</v>
      </c>
      <c r="AR492" s="36">
        <f t="shared" si="223"/>
        <v>-6.8761127932067305E-6</v>
      </c>
      <c r="AS492" s="36">
        <f t="shared" si="224"/>
        <v>-8.337171076445129</v>
      </c>
      <c r="AT492" s="36">
        <f t="shared" si="225"/>
        <v>-8.337171076445129</v>
      </c>
      <c r="AU492" s="36">
        <f t="shared" si="226"/>
        <v>-1.1559255053262303</v>
      </c>
      <c r="AV492" s="36">
        <f t="shared" si="227"/>
        <v>2.1559255053262305</v>
      </c>
      <c r="AW492" s="36">
        <f t="shared" si="228"/>
        <v>2.6775315899963265E-2</v>
      </c>
      <c r="AX492" s="36">
        <f t="shared" si="229"/>
        <v>0.32896525925382714</v>
      </c>
      <c r="AY492" s="36">
        <f t="shared" si="230"/>
        <v>1.8269602460724035</v>
      </c>
      <c r="AZ492" s="36">
        <f t="shared" si="231"/>
        <v>839091.99888324901</v>
      </c>
      <c r="BA492" s="36">
        <f t="shared" si="232"/>
        <v>1.8924061455248241E-4</v>
      </c>
      <c r="BB492" s="38">
        <f t="shared" si="233"/>
        <v>-59005402.071321875</v>
      </c>
      <c r="BC492" s="40">
        <f t="shared" si="234"/>
        <v>-61434436.371321872</v>
      </c>
      <c r="BD492" s="41">
        <f t="shared" si="235"/>
        <v>-2529.171217192029</v>
      </c>
      <c r="BE492" s="38">
        <v>2429034.2999999998</v>
      </c>
      <c r="BF492" s="42">
        <f>テーブル2[[#This Row],[q_P]]/テーブル2[[#This Row],[q_M]]</f>
        <v>-24.291712171920288</v>
      </c>
      <c r="BG492" s="36">
        <v>1</v>
      </c>
      <c r="BH492" s="36">
        <v>4.7E-2</v>
      </c>
      <c r="BI492" s="36">
        <v>4.5999999999999999E-2</v>
      </c>
      <c r="BJ492" s="36">
        <v>5625</v>
      </c>
      <c r="BK492" s="22">
        <v>1</v>
      </c>
      <c r="BL492" s="36">
        <f>テーブル2[[#This Row],[Ts]]-テーブル2[[#This Row],[Tin]]</f>
        <v>327.69899582705682</v>
      </c>
      <c r="BM492" s="36">
        <f>テーブル2[[#This Row],[q_P]]*0.000001</f>
        <v>-59.005402071321875</v>
      </c>
      <c r="BN492" s="36">
        <f>テーブル2[[#This Row],[Tsub]]</f>
        <v>327.69899582705682</v>
      </c>
      <c r="BO492" s="36">
        <f>テーブル2[[#This Row],[Fcorr]]</f>
        <v>1</v>
      </c>
      <c r="BP492" s="36">
        <f>(テーブル2[[#This Row],[Tsub]]-40)^2</f>
        <v>82770.712199896851</v>
      </c>
      <c r="BQ492" s="36">
        <v>1</v>
      </c>
      <c r="BR492" s="36">
        <v>0.69595999999999991</v>
      </c>
    </row>
    <row r="493" spans="1:70" x14ac:dyDescent="0.15">
      <c r="A493" s="35" t="s">
        <v>256</v>
      </c>
      <c r="B493" s="36">
        <v>17236893.232919998</v>
      </c>
      <c r="C493" s="22">
        <f>TsatFromP(テーブル2[[#This Row],[P]])</f>
        <v>626.57723583796371</v>
      </c>
      <c r="D493" s="36">
        <f>RhoGFromP(テーブル2[[#This Row],[P]])</f>
        <v>122.58359097668941</v>
      </c>
      <c r="E493" s="36">
        <f>RhoFFromP(テーブル2[[#This Row],[P]])</f>
        <v>560.26337686440854</v>
      </c>
      <c r="F493" s="36">
        <f>HgFromP(テーブル2[[#This Row],[P]])</f>
        <v>2538890.645480752</v>
      </c>
      <c r="G493" s="36">
        <f>HfFromP(テーブル2[[#This Row],[P]])</f>
        <v>1699798.646597503</v>
      </c>
      <c r="H493" s="36">
        <f>MuGFromP(テーブル2[[#This Row],[P]])</f>
        <v>2.4290890628325484E-5</v>
      </c>
      <c r="I493" s="36">
        <f>MuFFromP(テーブル2[[#This Row],[P]])</f>
        <v>6.4066005508527627E-5</v>
      </c>
      <c r="J493" s="36">
        <f>KfFromP(テーブル2[[#This Row],[P]])</f>
        <v>0.45288481052759361</v>
      </c>
      <c r="K493" s="36">
        <f>CpFFromP(テーブル2[[#This Row],[P]])</f>
        <v>11219.515372647445</v>
      </c>
      <c r="L493" s="36">
        <f>SigmaFromP(テーブル2[[#This Row],[P]])</f>
        <v>3.029253861182898E-3</v>
      </c>
      <c r="M493" s="36">
        <v>25.01</v>
      </c>
      <c r="N493" s="36">
        <v>2414.0893999999998</v>
      </c>
      <c r="O493" s="37">
        <f t="shared" si="236"/>
        <v>2.8502295699234246E-6</v>
      </c>
      <c r="P493" s="37">
        <f t="shared" si="237"/>
        <v>5.9847340050885557E-3</v>
      </c>
      <c r="Q493" s="37">
        <v>1.905E-3</v>
      </c>
      <c r="R493" s="36">
        <v>0.69595999999999991</v>
      </c>
      <c r="S493" s="38">
        <v>2492126.1</v>
      </c>
      <c r="T493" s="36">
        <v>297.75333044174482</v>
      </c>
      <c r="U493" s="12">
        <f>+T493+BG493*S493*テーブル2[[#This Row],[Pw]]*R493/(N493*O493*K493)</f>
        <v>432.21294353887515</v>
      </c>
      <c r="V493" s="36">
        <v>0.03</v>
      </c>
      <c r="W493" s="37">
        <f t="shared" si="208"/>
        <v>71782.847556928798</v>
      </c>
      <c r="X493" s="36">
        <v>0.01</v>
      </c>
      <c r="Y493" s="36">
        <f t="shared" si="209"/>
        <v>10</v>
      </c>
      <c r="Z493" s="36">
        <f t="shared" si="210"/>
        <v>4.9595347012158566</v>
      </c>
      <c r="AA493" s="36">
        <f t="shared" si="211"/>
        <v>5.0404652987841434</v>
      </c>
      <c r="AB493" s="36">
        <f t="shared" si="212"/>
        <v>2.7957120574732822E-5</v>
      </c>
      <c r="AC493" s="36">
        <v>600</v>
      </c>
      <c r="AD493" s="36">
        <f t="shared" si="213"/>
        <v>1268.9534570096137</v>
      </c>
      <c r="AE493" s="36">
        <f>+gettm2(AD493,AC493,AK493,AL493,テーブル2[[#This Row],[Fcorr]])</f>
        <v>538.91225609282094</v>
      </c>
      <c r="AF493" s="39">
        <f t="shared" si="214"/>
        <v>106.69931255394579</v>
      </c>
      <c r="AG493" s="36">
        <v>1.0000000000000001E-5</v>
      </c>
      <c r="AH493" s="36">
        <f t="shared" si="215"/>
        <v>13.002428571649199</v>
      </c>
      <c r="AI493" s="36">
        <f t="shared" si="216"/>
        <v>0.15234076111525721</v>
      </c>
      <c r="AJ493" s="36">
        <f t="shared" si="217"/>
        <v>13.322346005350278</v>
      </c>
      <c r="AK493" s="36">
        <f>+S88*テーブル2[[#This Row],[F_form]]/(E88*CpFromTP((テーブル2[[#This Row],[Tin]]+テーブル2[[#This Row],[Tf]])/2,テーブル2[[#This Row],[P]])*AI88)</f>
        <v>2.3791013354552035</v>
      </c>
      <c r="AL493" s="36">
        <f t="shared" si="218"/>
        <v>1.5871354414153991</v>
      </c>
      <c r="AM493" s="36">
        <f t="shared" si="219"/>
        <v>565.7457406282997</v>
      </c>
      <c r="AN493" s="36">
        <f t="shared" si="220"/>
        <v>60.831495209664013</v>
      </c>
      <c r="AO493" s="36">
        <f t="shared" si="221"/>
        <v>-1.795712057473282E-5</v>
      </c>
      <c r="AP493" s="36">
        <v>1</v>
      </c>
      <c r="AQ493" s="36">
        <f t="shared" si="222"/>
        <v>1.8924061455248241E-4</v>
      </c>
      <c r="AR493" s="36">
        <f t="shared" si="223"/>
        <v>-3.9785602873664086E-6</v>
      </c>
      <c r="AS493" s="36">
        <f t="shared" si="224"/>
        <v>-5.300375675144112</v>
      </c>
      <c r="AT493" s="36">
        <f t="shared" si="225"/>
        <v>-5.300375675144112</v>
      </c>
      <c r="AU493" s="36">
        <f t="shared" si="226"/>
        <v>-0.80746326454824935</v>
      </c>
      <c r="AV493" s="36">
        <f t="shared" si="227"/>
        <v>1.8074632645482493</v>
      </c>
      <c r="AW493" s="36">
        <f t="shared" si="228"/>
        <v>2.2178114836467484E-2</v>
      </c>
      <c r="AX493" s="36">
        <f t="shared" si="229"/>
        <v>0.36145565522951384</v>
      </c>
      <c r="AY493" s="36">
        <f t="shared" si="230"/>
        <v>1.4460076093187355</v>
      </c>
      <c r="AZ493" s="36">
        <f t="shared" si="231"/>
        <v>839091.99888324901</v>
      </c>
      <c r="BA493" s="36">
        <f t="shared" si="232"/>
        <v>1.8924061455248241E-4</v>
      </c>
      <c r="BB493" s="38">
        <f t="shared" si="233"/>
        <v>-44609172.125807062</v>
      </c>
      <c r="BC493" s="40">
        <f t="shared" si="234"/>
        <v>-47101298.225807063</v>
      </c>
      <c r="BD493" s="41">
        <f t="shared" si="235"/>
        <v>-1890.0046119579206</v>
      </c>
      <c r="BE493" s="38">
        <v>2492126.1</v>
      </c>
      <c r="BF493" s="42">
        <f>テーブル2[[#This Row],[q_P]]/テーブル2[[#This Row],[q_M]]</f>
        <v>-17.900046119579205</v>
      </c>
      <c r="BG493" s="36">
        <v>1</v>
      </c>
      <c r="BH493" s="36">
        <v>-8.5999999999999993E-2</v>
      </c>
      <c r="BI493" s="36">
        <v>4.5999999999999999E-2</v>
      </c>
      <c r="BJ493" s="36">
        <v>5625</v>
      </c>
      <c r="BK493" s="22">
        <v>1</v>
      </c>
      <c r="BL493" s="36">
        <f>テーブル2[[#This Row],[Ts]]-テーブル2[[#This Row],[Tin]]</f>
        <v>328.82390539621889</v>
      </c>
      <c r="BM493" s="36">
        <f>テーブル2[[#This Row],[q_P]]*0.000001</f>
        <v>-44.609172125807056</v>
      </c>
      <c r="BN493" s="36">
        <f>テーブル2[[#This Row],[Tsub]]</f>
        <v>328.82390539621889</v>
      </c>
      <c r="BO493" s="36">
        <f>テーブル2[[#This Row],[Fcorr]]</f>
        <v>1</v>
      </c>
      <c r="BP493" s="36">
        <f>(テーブル2[[#This Row],[Tsub]]-40)^2</f>
        <v>83419.248328324</v>
      </c>
      <c r="BQ493" s="36">
        <v>1</v>
      </c>
      <c r="BR493" s="36">
        <v>0.69595999999999991</v>
      </c>
    </row>
    <row r="494" spans="1:70" x14ac:dyDescent="0.15">
      <c r="A494" s="35" t="s">
        <v>257</v>
      </c>
      <c r="B494" s="36">
        <v>17236893.232919998</v>
      </c>
      <c r="C494" s="22">
        <f>TsatFromP(テーブル2[[#This Row],[P]])</f>
        <v>626.57723583796371</v>
      </c>
      <c r="D494" s="36">
        <f>RhoGFromP(テーブル2[[#This Row],[P]])</f>
        <v>122.58359097668941</v>
      </c>
      <c r="E494" s="36">
        <f>RhoFFromP(テーブル2[[#This Row],[P]])</f>
        <v>560.26337686440854</v>
      </c>
      <c r="F494" s="36">
        <f>HgFromP(テーブル2[[#This Row],[P]])</f>
        <v>2538890.645480752</v>
      </c>
      <c r="G494" s="36">
        <f>HfFromP(テーブル2[[#This Row],[P]])</f>
        <v>1699798.646597503</v>
      </c>
      <c r="H494" s="36">
        <f>MuGFromP(テーブル2[[#This Row],[P]])</f>
        <v>2.4290890628325484E-5</v>
      </c>
      <c r="I494" s="36">
        <f>MuFFromP(テーブル2[[#This Row],[P]])</f>
        <v>6.4066005508527627E-5</v>
      </c>
      <c r="J494" s="36">
        <f>KfFromP(テーブル2[[#This Row],[P]])</f>
        <v>0.45288481052759361</v>
      </c>
      <c r="K494" s="36">
        <f>CpFFromP(テーブル2[[#This Row],[P]])</f>
        <v>11219.515372647445</v>
      </c>
      <c r="L494" s="36">
        <f>SigmaFromP(テーブル2[[#This Row],[P]])</f>
        <v>3.029253861182898E-3</v>
      </c>
      <c r="M494" s="36">
        <v>26.01</v>
      </c>
      <c r="N494" s="36">
        <v>2983.7060000000001</v>
      </c>
      <c r="O494" s="37">
        <f t="shared" si="236"/>
        <v>2.8502295699234246E-6</v>
      </c>
      <c r="P494" s="37">
        <f t="shared" si="237"/>
        <v>5.9847340050885557E-3</v>
      </c>
      <c r="Q494" s="37">
        <v>1.905E-3</v>
      </c>
      <c r="R494" s="36">
        <v>0.69595999999999991</v>
      </c>
      <c r="S494" s="38">
        <v>3028406.4</v>
      </c>
      <c r="T494" s="36">
        <v>298.31579063094472</v>
      </c>
      <c r="U494" s="12">
        <f>+T494+BG494*S494*テーブル2[[#This Row],[Pw]]*R494/(N494*O494*K494)</f>
        <v>430.51635844474004</v>
      </c>
      <c r="V494" s="36">
        <v>0.03</v>
      </c>
      <c r="W494" s="37">
        <f t="shared" si="208"/>
        <v>88720.373384968188</v>
      </c>
      <c r="X494" s="36">
        <v>0.01</v>
      </c>
      <c r="Y494" s="36">
        <f t="shared" si="209"/>
        <v>10</v>
      </c>
      <c r="Z494" s="36">
        <f t="shared" si="210"/>
        <v>5.3061246161358842</v>
      </c>
      <c r="AA494" s="36">
        <f t="shared" si="211"/>
        <v>4.6938753838641158</v>
      </c>
      <c r="AB494" s="36">
        <f t="shared" si="212"/>
        <v>1.8301516700203192E-5</v>
      </c>
      <c r="AC494" s="36">
        <v>600</v>
      </c>
      <c r="AD494" s="36">
        <f t="shared" si="213"/>
        <v>1568.3694412478376</v>
      </c>
      <c r="AE494" s="36">
        <f>+gettm2(AD494,AC494,AK494,AL494,テーブル2[[#This Row],[Fcorr]])</f>
        <v>537.61253114430303</v>
      </c>
      <c r="AF494" s="39">
        <f t="shared" si="214"/>
        <v>107.096172699563</v>
      </c>
      <c r="AG494" s="36">
        <v>1.0000000000000001E-5</v>
      </c>
      <c r="AH494" s="36">
        <f t="shared" si="215"/>
        <v>19.862313561034636</v>
      </c>
      <c r="AI494" s="36">
        <f t="shared" si="216"/>
        <v>0.18828633396267747</v>
      </c>
      <c r="AJ494" s="36">
        <f t="shared" si="217"/>
        <v>16.46582090548911</v>
      </c>
      <c r="AK494" s="36">
        <f>+S88*テーブル2[[#This Row],[F_form]]/(E88*CpFromTP((テーブル2[[#This Row],[Tin]]+テーブル2[[#This Row],[Tf]])/2,テーブル2[[#This Row],[P]])*AI88)</f>
        <v>2.3793866995261372</v>
      </c>
      <c r="AL494" s="36">
        <f t="shared" si="218"/>
        <v>1.5871354414153991</v>
      </c>
      <c r="AM494" s="36">
        <f t="shared" si="219"/>
        <v>562.86068315994771</v>
      </c>
      <c r="AN494" s="36">
        <f t="shared" si="220"/>
        <v>63.716552678016001</v>
      </c>
      <c r="AO494" s="36">
        <f t="shared" si="221"/>
        <v>-8.3015167002031914E-6</v>
      </c>
      <c r="AP494" s="36">
        <v>1</v>
      </c>
      <c r="AQ494" s="36">
        <f t="shared" si="222"/>
        <v>1.8924061455248241E-4</v>
      </c>
      <c r="AR494" s="36">
        <f t="shared" si="223"/>
        <v>8.492416498984047E-7</v>
      </c>
      <c r="AS494" s="36">
        <f t="shared" si="224"/>
        <v>1.3983460912709211</v>
      </c>
      <c r="AT494" s="36">
        <f t="shared" si="225"/>
        <v>1.3983460912709211</v>
      </c>
      <c r="AU494" s="36">
        <f t="shared" si="226"/>
        <v>0.26328945913644131</v>
      </c>
      <c r="AV494" s="36">
        <f t="shared" si="227"/>
        <v>0.73671054086355869</v>
      </c>
      <c r="AW494" s="36">
        <f t="shared" si="228"/>
        <v>1.4518417158649497E-2</v>
      </c>
      <c r="AX494" s="36">
        <f t="shared" si="229"/>
        <v>0.44674294466569126</v>
      </c>
      <c r="AY494" s="36">
        <f t="shared" si="230"/>
        <v>0.28996759619786744</v>
      </c>
      <c r="AZ494" s="36">
        <f t="shared" si="231"/>
        <v>839091.99888324901</v>
      </c>
      <c r="BA494" s="36">
        <f t="shared" si="232"/>
        <v>1.8924061455248241E-4</v>
      </c>
      <c r="BB494" s="38">
        <f t="shared" si="233"/>
        <v>-20622670.869944636</v>
      </c>
      <c r="BC494" s="40">
        <f t="shared" si="234"/>
        <v>-23651077.269944634</v>
      </c>
      <c r="BD494" s="41">
        <f t="shared" si="235"/>
        <v>-780.97435238363767</v>
      </c>
      <c r="BE494" s="38">
        <v>3028406.4</v>
      </c>
      <c r="BF494" s="42">
        <f>テーブル2[[#This Row],[q_P]]/テーブル2[[#This Row],[q_M]]</f>
        <v>-6.809743523836377</v>
      </c>
      <c r="BG494" s="36">
        <v>1</v>
      </c>
      <c r="BH494" s="36">
        <v>-0.114</v>
      </c>
      <c r="BI494" s="36">
        <v>4.5999999999999999E-2</v>
      </c>
      <c r="BJ494" s="36">
        <v>5625</v>
      </c>
      <c r="BK494" s="22">
        <v>1</v>
      </c>
      <c r="BL494" s="36">
        <f>テーブル2[[#This Row],[Ts]]-テーブル2[[#This Row],[Tin]]</f>
        <v>328.26144520701899</v>
      </c>
      <c r="BM494" s="36">
        <f>テーブル2[[#This Row],[q_P]]*0.000001</f>
        <v>-20.622670869944635</v>
      </c>
      <c r="BN494" s="36">
        <f>テーブル2[[#This Row],[Tsub]]</f>
        <v>328.26144520701899</v>
      </c>
      <c r="BO494" s="36">
        <f>テーブル2[[#This Row],[Fcorr]]</f>
        <v>1</v>
      </c>
      <c r="BP494" s="36">
        <f>(テーブル2[[#This Row],[Tsub]]-40)^2</f>
        <v>83094.660792839219</v>
      </c>
      <c r="BQ494" s="36">
        <v>1</v>
      </c>
      <c r="BR494" s="36">
        <v>0.69595999999999991</v>
      </c>
    </row>
    <row r="495" spans="1:70" x14ac:dyDescent="0.15">
      <c r="A495" s="35" t="s">
        <v>258</v>
      </c>
      <c r="B495" s="36">
        <v>17236893.232919998</v>
      </c>
      <c r="C495" s="22">
        <f>TsatFromP(テーブル2[[#This Row],[P]])</f>
        <v>626.57723583796371</v>
      </c>
      <c r="D495" s="36">
        <f>RhoGFromP(テーブル2[[#This Row],[P]])</f>
        <v>122.58359097668941</v>
      </c>
      <c r="E495" s="36">
        <f>RhoFFromP(テーブル2[[#This Row],[P]])</f>
        <v>560.26337686440854</v>
      </c>
      <c r="F495" s="36">
        <f>HgFromP(テーブル2[[#This Row],[P]])</f>
        <v>2538890.645480752</v>
      </c>
      <c r="G495" s="36">
        <f>HfFromP(テーブル2[[#This Row],[P]])</f>
        <v>1699798.646597503</v>
      </c>
      <c r="H495" s="36">
        <f>MuGFromP(テーブル2[[#This Row],[P]])</f>
        <v>2.4290890628325484E-5</v>
      </c>
      <c r="I495" s="36">
        <f>MuFFromP(テーブル2[[#This Row],[P]])</f>
        <v>6.4066005508527627E-5</v>
      </c>
      <c r="J495" s="36">
        <f>KfFromP(テーブル2[[#This Row],[P]])</f>
        <v>0.45288481052759361</v>
      </c>
      <c r="K495" s="36">
        <f>CpFFromP(テーブル2[[#This Row],[P]])</f>
        <v>11219.515372647445</v>
      </c>
      <c r="L495" s="36">
        <f>SigmaFromP(テーブル2[[#This Row],[P]])</f>
        <v>3.029253861182898E-3</v>
      </c>
      <c r="M495" s="36">
        <v>27.01</v>
      </c>
      <c r="N495" s="36">
        <v>3051.5174999999999</v>
      </c>
      <c r="O495" s="37">
        <f t="shared" si="236"/>
        <v>2.8502295699234246E-6</v>
      </c>
      <c r="P495" s="37">
        <f t="shared" si="237"/>
        <v>5.9847340050885557E-3</v>
      </c>
      <c r="Q495" s="37">
        <v>1.905E-3</v>
      </c>
      <c r="R495" s="36">
        <v>0.69595999999999991</v>
      </c>
      <c r="S495" s="38">
        <v>3028406.4</v>
      </c>
      <c r="T495" s="36">
        <v>297.75333044174482</v>
      </c>
      <c r="U495" s="12">
        <f>+T495+BG495*S495*テーブル2[[#This Row],[Pw]]*R495/(N495*O495*K495)</f>
        <v>427.01610785967807</v>
      </c>
      <c r="V495" s="36">
        <v>0.03</v>
      </c>
      <c r="W495" s="37">
        <f t="shared" si="208"/>
        <v>90736.745507353829</v>
      </c>
      <c r="X495" s="36">
        <v>0.01</v>
      </c>
      <c r="Y495" s="36">
        <f t="shared" si="209"/>
        <v>10</v>
      </c>
      <c r="Z495" s="36">
        <f t="shared" si="210"/>
        <v>5.34264870334089</v>
      </c>
      <c r="AA495" s="36">
        <f t="shared" si="211"/>
        <v>4.65735129665911</v>
      </c>
      <c r="AB495" s="36">
        <f t="shared" si="212"/>
        <v>1.7497153743996736E-5</v>
      </c>
      <c r="AC495" s="36">
        <v>600</v>
      </c>
      <c r="AD495" s="36">
        <f t="shared" si="213"/>
        <v>1604.0142012761974</v>
      </c>
      <c r="AE495" s="36">
        <f>+gettm2(AD495,AC495,AK495,AL495,テーブル2[[#This Row],[Fcorr]])</f>
        <v>537.44946329930815</v>
      </c>
      <c r="AF495" s="39">
        <f t="shared" si="214"/>
        <v>110.43335543963008</v>
      </c>
      <c r="AG495" s="36">
        <v>1.0000000000000001E-5</v>
      </c>
      <c r="AH495" s="36">
        <f t="shared" si="215"/>
        <v>20.77540545511112</v>
      </c>
      <c r="AI495" s="36">
        <f t="shared" si="216"/>
        <v>0.19256556882546558</v>
      </c>
      <c r="AJ495" s="36">
        <f t="shared" si="217"/>
        <v>16.840044107886587</v>
      </c>
      <c r="AK495" s="36">
        <f>+S88*テーブル2[[#This Row],[F_form]]/(E88*CpFromTP((テーブル2[[#This Row],[Tin]]+テーブル2[[#This Row],[Tf]])/2,テーブル2[[#This Row],[P]])*AI88)</f>
        <v>2.3803895156408768</v>
      </c>
      <c r="AL495" s="36">
        <f t="shared" si="218"/>
        <v>1.5871354414153991</v>
      </c>
      <c r="AM495" s="36">
        <f t="shared" si="219"/>
        <v>562.54413579394532</v>
      </c>
      <c r="AN495" s="36">
        <f t="shared" si="220"/>
        <v>64.033100044018397</v>
      </c>
      <c r="AO495" s="36">
        <f t="shared" si="221"/>
        <v>-7.4971537439967354E-6</v>
      </c>
      <c r="AP495" s="36">
        <v>1</v>
      </c>
      <c r="AQ495" s="36">
        <f t="shared" si="222"/>
        <v>1.8924061455248241E-4</v>
      </c>
      <c r="AR495" s="36">
        <f t="shared" si="223"/>
        <v>1.2514231280016327E-6</v>
      </c>
      <c r="AS495" s="36">
        <f t="shared" si="224"/>
        <v>2.1074020673176892</v>
      </c>
      <c r="AT495" s="36">
        <f t="shared" si="225"/>
        <v>2.1074020673176892</v>
      </c>
      <c r="AU495" s="36">
        <f t="shared" si="226"/>
        <v>0.40581307783699294</v>
      </c>
      <c r="AV495" s="36">
        <f t="shared" si="227"/>
        <v>0.59418692216300706</v>
      </c>
      <c r="AW495" s="36">
        <f t="shared" si="228"/>
        <v>1.3880323762540956E-2</v>
      </c>
      <c r="AX495" s="36">
        <f t="shared" si="229"/>
        <v>0.45689619340809329</v>
      </c>
      <c r="AY495" s="36">
        <f t="shared" si="230"/>
        <v>0.13729072875491377</v>
      </c>
      <c r="AZ495" s="36">
        <f t="shared" si="231"/>
        <v>839091.99888324901</v>
      </c>
      <c r="BA495" s="36">
        <f t="shared" si="232"/>
        <v>1.8924061455248241E-4</v>
      </c>
      <c r="BB495" s="38">
        <f t="shared" si="233"/>
        <v>-18624468.239645112</v>
      </c>
      <c r="BC495" s="40">
        <f t="shared" si="234"/>
        <v>-21652874.639645111</v>
      </c>
      <c r="BD495" s="41">
        <f t="shared" si="235"/>
        <v>-714.99236825166895</v>
      </c>
      <c r="BE495" s="38">
        <v>3028406.4</v>
      </c>
      <c r="BF495" s="42">
        <f>テーブル2[[#This Row],[q_P]]/テーブル2[[#This Row],[q_M]]</f>
        <v>-6.1499236825166905</v>
      </c>
      <c r="BG495" s="36">
        <v>1</v>
      </c>
      <c r="BH495" s="36">
        <v>-0.156</v>
      </c>
      <c r="BI495" s="36">
        <v>4.5999999999999999E-2</v>
      </c>
      <c r="BJ495" s="36">
        <v>5625</v>
      </c>
      <c r="BK495" s="22">
        <v>1</v>
      </c>
      <c r="BL495" s="36">
        <f>テーブル2[[#This Row],[Ts]]-テーブル2[[#This Row],[Tin]]</f>
        <v>328.82390539621889</v>
      </c>
      <c r="BM495" s="36">
        <f>テーブル2[[#This Row],[q_P]]*0.000001</f>
        <v>-18.624468239645111</v>
      </c>
      <c r="BN495" s="36">
        <f>テーブル2[[#This Row],[Tsub]]</f>
        <v>328.82390539621889</v>
      </c>
      <c r="BO495" s="36">
        <f>テーブル2[[#This Row],[Fcorr]]</f>
        <v>1</v>
      </c>
      <c r="BP495" s="36">
        <f>(テーブル2[[#This Row],[Tsub]]-40)^2</f>
        <v>83419.248328324</v>
      </c>
      <c r="BQ495" s="36">
        <v>1</v>
      </c>
      <c r="BR495" s="36">
        <v>0.69595999999999991</v>
      </c>
    </row>
    <row r="496" spans="1:70" x14ac:dyDescent="0.15">
      <c r="A496" s="35" t="s">
        <v>259</v>
      </c>
      <c r="B496" s="36">
        <v>17236893.232919998</v>
      </c>
      <c r="C496" s="22">
        <f>TsatFromP(テーブル2[[#This Row],[P]])</f>
        <v>626.57723583796371</v>
      </c>
      <c r="D496" s="36">
        <f>RhoGFromP(テーブル2[[#This Row],[P]])</f>
        <v>122.58359097668941</v>
      </c>
      <c r="E496" s="36">
        <f>RhoFFromP(テーブル2[[#This Row],[P]])</f>
        <v>560.26337686440854</v>
      </c>
      <c r="F496" s="36">
        <f>HgFromP(テーブル2[[#This Row],[P]])</f>
        <v>2538890.645480752</v>
      </c>
      <c r="G496" s="36">
        <f>HfFromP(テーブル2[[#This Row],[P]])</f>
        <v>1699798.646597503</v>
      </c>
      <c r="H496" s="36">
        <f>MuGFromP(テーブル2[[#This Row],[P]])</f>
        <v>2.4290890628325484E-5</v>
      </c>
      <c r="I496" s="36">
        <f>MuFFromP(テーブル2[[#This Row],[P]])</f>
        <v>6.4066005508527627E-5</v>
      </c>
      <c r="J496" s="36">
        <f>KfFromP(テーブル2[[#This Row],[P]])</f>
        <v>0.45288481052759361</v>
      </c>
      <c r="K496" s="36">
        <f>CpFFromP(テーブル2[[#This Row],[P]])</f>
        <v>11219.515372647445</v>
      </c>
      <c r="L496" s="36">
        <f>SigmaFromP(テーブル2[[#This Row],[P]])</f>
        <v>3.029253861182898E-3</v>
      </c>
      <c r="M496" s="36">
        <v>28.01</v>
      </c>
      <c r="N496" s="36">
        <v>3607.5718000000002</v>
      </c>
      <c r="O496" s="37">
        <f t="shared" si="236"/>
        <v>2.8502295699234246E-6</v>
      </c>
      <c r="P496" s="37">
        <f t="shared" si="237"/>
        <v>5.9847340050885557E-3</v>
      </c>
      <c r="Q496" s="37">
        <v>1.905E-3</v>
      </c>
      <c r="R496" s="36">
        <v>0.69595999999999991</v>
      </c>
      <c r="S496" s="38">
        <v>3722416.2</v>
      </c>
      <c r="T496" s="36">
        <v>299.94686253576202</v>
      </c>
      <c r="U496" s="12">
        <f>+T496+BG496*S496*テーブル2[[#This Row],[Pw]]*R496/(N496*O496*K496)</f>
        <v>434.34248990285664</v>
      </c>
      <c r="V496" s="36">
        <v>0.03</v>
      </c>
      <c r="W496" s="37">
        <f t="shared" si="208"/>
        <v>107270.99691091609</v>
      </c>
      <c r="X496" s="36">
        <v>0.01</v>
      </c>
      <c r="Y496" s="36">
        <f t="shared" si="209"/>
        <v>10</v>
      </c>
      <c r="Z496" s="36">
        <f t="shared" si="210"/>
        <v>5.6130902415536346</v>
      </c>
      <c r="AA496" s="36">
        <f t="shared" si="211"/>
        <v>4.3869097584463654</v>
      </c>
      <c r="AB496" s="36">
        <f t="shared" si="212"/>
        <v>1.2518986492874591E-5</v>
      </c>
      <c r="AC496" s="36">
        <v>600</v>
      </c>
      <c r="AD496" s="36">
        <f t="shared" si="213"/>
        <v>1896.3012335087492</v>
      </c>
      <c r="AE496" s="36">
        <f>+gettm2(AD496,AC496,AK496,AL496,テーブル2[[#This Row],[Fcorr]])</f>
        <v>536.49696320884675</v>
      </c>
      <c r="AF496" s="39">
        <f t="shared" si="214"/>
        <v>102.15447330599011</v>
      </c>
      <c r="AG496" s="36">
        <v>1.0000000000000001E-5</v>
      </c>
      <c r="AH496" s="36">
        <f t="shared" si="215"/>
        <v>29.036732610011711</v>
      </c>
      <c r="AI496" s="36">
        <f t="shared" si="216"/>
        <v>0.22765529470032822</v>
      </c>
      <c r="AJ496" s="36">
        <f t="shared" si="217"/>
        <v>19.90867436754592</v>
      </c>
      <c r="AK496" s="36">
        <f>+S88*テーブル2[[#This Row],[F_form]]/(E88*CpFromTP((テーブル2[[#This Row],[Tin]]+テーブル2[[#This Row],[Tf]])/2,テーブル2[[#This Row],[P]])*AI88)</f>
        <v>2.3779825671468564</v>
      </c>
      <c r="AL496" s="36">
        <f t="shared" si="218"/>
        <v>1.5871354414153991</v>
      </c>
      <c r="AM496" s="36">
        <f t="shared" si="219"/>
        <v>560.3676779642085</v>
      </c>
      <c r="AN496" s="36">
        <f t="shared" si="220"/>
        <v>66.209557873755216</v>
      </c>
      <c r="AO496" s="36">
        <f t="shared" si="221"/>
        <v>-2.51898649287459E-6</v>
      </c>
      <c r="AP496" s="36">
        <v>1</v>
      </c>
      <c r="AQ496" s="36">
        <f t="shared" si="222"/>
        <v>1.8924061455248241E-4</v>
      </c>
      <c r="AR496" s="36">
        <f t="shared" si="223"/>
        <v>3.7405067535627054E-6</v>
      </c>
      <c r="AS496" s="36">
        <f t="shared" si="224"/>
        <v>7.4468530926286238</v>
      </c>
      <c r="AT496" s="36">
        <f t="shared" si="225"/>
        <v>6.9889576973994778</v>
      </c>
      <c r="AU496" s="36">
        <f t="shared" si="226"/>
        <v>1.5910732242496055</v>
      </c>
      <c r="AV496" s="36">
        <f t="shared" si="227"/>
        <v>-0.59107322424960551</v>
      </c>
      <c r="AW496" s="36">
        <f t="shared" si="228"/>
        <v>9.9311915664909781E-3</v>
      </c>
      <c r="AX496" s="36">
        <f t="shared" si="229"/>
        <v>0.54015283309579032</v>
      </c>
      <c r="AY496" s="36">
        <f t="shared" si="230"/>
        <v>-1.1312260573453958</v>
      </c>
      <c r="AZ496" s="36">
        <f t="shared" si="231"/>
        <v>839091.99888324901</v>
      </c>
      <c r="BA496" s="36">
        <f t="shared" si="232"/>
        <v>1.8924061455248241E-4</v>
      </c>
      <c r="BB496" s="38">
        <f t="shared" si="233"/>
        <v>-6257679.3186620101</v>
      </c>
      <c r="BC496" s="40">
        <f t="shared" si="234"/>
        <v>-9980095.5186620094</v>
      </c>
      <c r="BD496" s="41">
        <f t="shared" si="235"/>
        <v>-268.10799712998261</v>
      </c>
      <c r="BE496" s="38">
        <v>3722416.2</v>
      </c>
      <c r="BF496" s="42">
        <f>テーブル2[[#This Row],[q_P]]/テーブル2[[#This Row],[q_M]]</f>
        <v>-1.6810799712998266</v>
      </c>
      <c r="BG496" s="36">
        <v>1</v>
      </c>
      <c r="BH496" s="36">
        <v>-7.5999999999999998E-2</v>
      </c>
      <c r="BI496" s="36">
        <v>4.5999999999999999E-2</v>
      </c>
      <c r="BJ496" s="36">
        <v>5625</v>
      </c>
      <c r="BK496" s="22">
        <v>1</v>
      </c>
      <c r="BL496" s="36">
        <f>テーブル2[[#This Row],[Ts]]-テーブル2[[#This Row],[Tin]]</f>
        <v>326.63037330220169</v>
      </c>
      <c r="BM496" s="36">
        <f>テーブル2[[#This Row],[q_P]]*0.000001</f>
        <v>-6.2576793186620101</v>
      </c>
      <c r="BN496" s="36">
        <f>テーブル2[[#This Row],[Tsub]]</f>
        <v>326.63037330220169</v>
      </c>
      <c r="BO496" s="36">
        <f>テーブル2[[#This Row],[Fcorr]]</f>
        <v>1</v>
      </c>
      <c r="BP496" s="36">
        <f>(テーブル2[[#This Row],[Tsub]]-40)^2</f>
        <v>82156.970899359498</v>
      </c>
      <c r="BQ496" s="36">
        <v>1</v>
      </c>
      <c r="BR496" s="36">
        <v>0.69595999999999991</v>
      </c>
    </row>
    <row r="497" spans="1:70" x14ac:dyDescent="0.15">
      <c r="A497" s="35" t="s">
        <v>260</v>
      </c>
      <c r="B497" s="36">
        <v>17236893.232919998</v>
      </c>
      <c r="C497" s="22">
        <f>TsatFromP(テーブル2[[#This Row],[P]])</f>
        <v>626.57723583796371</v>
      </c>
      <c r="D497" s="36">
        <f>RhoGFromP(テーブル2[[#This Row],[P]])</f>
        <v>122.58359097668941</v>
      </c>
      <c r="E497" s="36">
        <f>RhoFFromP(テーブル2[[#This Row],[P]])</f>
        <v>560.26337686440854</v>
      </c>
      <c r="F497" s="36">
        <f>HgFromP(テーブル2[[#This Row],[P]])</f>
        <v>2538890.645480752</v>
      </c>
      <c r="G497" s="36">
        <f>HfFromP(テーブル2[[#This Row],[P]])</f>
        <v>1699798.646597503</v>
      </c>
      <c r="H497" s="36">
        <f>MuGFromP(テーブル2[[#This Row],[P]])</f>
        <v>2.4290890628325484E-5</v>
      </c>
      <c r="I497" s="36">
        <f>MuFFromP(テーブル2[[#This Row],[P]])</f>
        <v>6.4066005508527627E-5</v>
      </c>
      <c r="J497" s="36">
        <f>KfFromP(テーブル2[[#This Row],[P]])</f>
        <v>0.45288481052759361</v>
      </c>
      <c r="K497" s="36">
        <f>CpFFromP(テーブル2[[#This Row],[P]])</f>
        <v>11219.515372647445</v>
      </c>
      <c r="L497" s="36">
        <f>SigmaFromP(テーブル2[[#This Row],[P]])</f>
        <v>3.029253861182898E-3</v>
      </c>
      <c r="M497" s="36">
        <v>29.01</v>
      </c>
      <c r="N497" s="36">
        <v>3648.2586999999999</v>
      </c>
      <c r="O497" s="37">
        <f t="shared" si="236"/>
        <v>2.8502295699234246E-6</v>
      </c>
      <c r="P497" s="37">
        <f t="shared" si="237"/>
        <v>5.9847340050885557E-3</v>
      </c>
      <c r="Q497" s="37">
        <v>1.905E-3</v>
      </c>
      <c r="R497" s="36">
        <v>0.69595999999999991</v>
      </c>
      <c r="S497" s="38">
        <v>3753962.1</v>
      </c>
      <c r="T497" s="36">
        <v>296.62837940072689</v>
      </c>
      <c r="U497" s="12">
        <f>+T497+BG497*S497*テーブル2[[#This Row],[Pw]]*R497/(N497*O497*K497)</f>
        <v>430.65141476957609</v>
      </c>
      <c r="V497" s="36">
        <v>0.03</v>
      </c>
      <c r="W497" s="37">
        <f t="shared" si="208"/>
        <v>108480.82018434747</v>
      </c>
      <c r="X497" s="36">
        <v>0.01</v>
      </c>
      <c r="Y497" s="36">
        <f t="shared" si="209"/>
        <v>10</v>
      </c>
      <c r="Z497" s="36">
        <f t="shared" si="210"/>
        <v>5.6311019914643383</v>
      </c>
      <c r="AA497" s="36">
        <f t="shared" si="211"/>
        <v>4.3688980085356617</v>
      </c>
      <c r="AB497" s="36">
        <f t="shared" si="212"/>
        <v>1.2241309659759189E-5</v>
      </c>
      <c r="AC497" s="36">
        <v>600</v>
      </c>
      <c r="AD497" s="36">
        <f t="shared" si="213"/>
        <v>1917.688089525765</v>
      </c>
      <c r="AE497" s="36">
        <f>+gettm2(AD497,AC497,AK497,AL497,テーブル2[[#This Row],[Fcorr]])</f>
        <v>536.38113501781947</v>
      </c>
      <c r="AF497" s="39">
        <f t="shared" si="214"/>
        <v>105.72972024824338</v>
      </c>
      <c r="AG497" s="36">
        <v>1.0000000000000001E-5</v>
      </c>
      <c r="AH497" s="36">
        <f t="shared" si="215"/>
        <v>29.695389908884856</v>
      </c>
      <c r="AI497" s="36">
        <f t="shared" si="216"/>
        <v>0.23022283561800108</v>
      </c>
      <c r="AJ497" s="36">
        <f t="shared" si="217"/>
        <v>20.133208288984413</v>
      </c>
      <c r="AK497" s="36">
        <f>+S88*テーブル2[[#This Row],[F_form]]/(E88*CpFromTP((テーブル2[[#This Row],[Tin]]+テーブル2[[#This Row],[Tf]])/2,テーブル2[[#This Row],[P]])*AI88)</f>
        <v>2.3797741666636627</v>
      </c>
      <c r="AL497" s="36">
        <f t="shared" si="218"/>
        <v>1.5871354414153991</v>
      </c>
      <c r="AM497" s="36">
        <f t="shared" si="219"/>
        <v>560.19078784737769</v>
      </c>
      <c r="AN497" s="36">
        <f t="shared" si="220"/>
        <v>66.386447990586021</v>
      </c>
      <c r="AO497" s="36">
        <f t="shared" si="221"/>
        <v>-2.2413096597591885E-6</v>
      </c>
      <c r="AP497" s="36">
        <v>1</v>
      </c>
      <c r="AQ497" s="36">
        <f t="shared" si="222"/>
        <v>1.8924061455248241E-4</v>
      </c>
      <c r="AR497" s="36">
        <f t="shared" si="223"/>
        <v>3.8793451701204062E-6</v>
      </c>
      <c r="AS497" s="36">
        <f t="shared" si="224"/>
        <v>7.8103664334899792</v>
      </c>
      <c r="AT497" s="36">
        <f t="shared" si="225"/>
        <v>7.2272594062579678</v>
      </c>
      <c r="AU497" s="36">
        <f t="shared" si="226"/>
        <v>1.6638801542555801</v>
      </c>
      <c r="AV497" s="36">
        <f t="shared" si="227"/>
        <v>-0.66388015425558011</v>
      </c>
      <c r="AW497" s="36">
        <f t="shared" si="228"/>
        <v>9.7109132057135172E-3</v>
      </c>
      <c r="AX497" s="36">
        <f t="shared" si="229"/>
        <v>0.54624478234123153</v>
      </c>
      <c r="AY497" s="36">
        <f t="shared" si="230"/>
        <v>-1.2101249365968116</v>
      </c>
      <c r="AZ497" s="36">
        <f t="shared" si="231"/>
        <v>839091.99888324901</v>
      </c>
      <c r="BA497" s="36">
        <f t="shared" si="232"/>
        <v>1.8924061455248241E-4</v>
      </c>
      <c r="BB497" s="38">
        <f t="shared" si="233"/>
        <v>-5567873.0887465412</v>
      </c>
      <c r="BC497" s="40">
        <f t="shared" si="234"/>
        <v>-9321835.1887465417</v>
      </c>
      <c r="BD497" s="41">
        <f t="shared" si="235"/>
        <v>-248.31990681915892</v>
      </c>
      <c r="BE497" s="38">
        <v>3753962.1</v>
      </c>
      <c r="BF497" s="42">
        <f>テーブル2[[#This Row],[q_P]]/テーブル2[[#This Row],[q_M]]</f>
        <v>-1.4831990681915892</v>
      </c>
      <c r="BG497" s="36">
        <v>1</v>
      </c>
      <c r="BH497" s="36">
        <v>-9.7000000000000003E-2</v>
      </c>
      <c r="BI497" s="36">
        <v>4.5999999999999999E-2</v>
      </c>
      <c r="BJ497" s="36">
        <v>5625</v>
      </c>
      <c r="BK497" s="22">
        <v>1</v>
      </c>
      <c r="BL497" s="36">
        <f>テーブル2[[#This Row],[Ts]]-テーブル2[[#This Row],[Tin]]</f>
        <v>329.94885643723683</v>
      </c>
      <c r="BM497" s="36">
        <f>テーブル2[[#This Row],[q_P]]*0.000001</f>
        <v>-5.5678730887465413</v>
      </c>
      <c r="BN497" s="36">
        <f>テーブル2[[#This Row],[Tsub]]</f>
        <v>329.94885643723683</v>
      </c>
      <c r="BO497" s="36">
        <f>テーブル2[[#This Row],[Fcorr]]</f>
        <v>1</v>
      </c>
      <c r="BP497" s="36">
        <f>(テーブル2[[#This Row],[Tsub]]-40)^2</f>
        <v>84070.339349261369</v>
      </c>
      <c r="BQ497" s="36">
        <v>1</v>
      </c>
      <c r="BR497" s="36">
        <v>0.69595999999999991</v>
      </c>
    </row>
    <row r="498" spans="1:70" x14ac:dyDescent="0.15">
      <c r="A498" s="35" t="s">
        <v>234</v>
      </c>
      <c r="B498" s="36">
        <v>17236893.232919998</v>
      </c>
      <c r="C498" s="22">
        <f>TsatFromP(テーブル2[[#This Row],[P]])</f>
        <v>626.57723583796371</v>
      </c>
      <c r="D498" s="36">
        <f>RhoGFromP(テーブル2[[#This Row],[P]])</f>
        <v>122.58359097668941</v>
      </c>
      <c r="E498" s="36">
        <f>RhoFFromP(テーブル2[[#This Row],[P]])</f>
        <v>560.26337686440854</v>
      </c>
      <c r="F498" s="36">
        <f>HgFromP(テーブル2[[#This Row],[P]])</f>
        <v>2538890.645480752</v>
      </c>
      <c r="G498" s="36">
        <f>HfFromP(テーブル2[[#This Row],[P]])</f>
        <v>1699798.646597503</v>
      </c>
      <c r="H498" s="36">
        <f>MuGFromP(テーブル2[[#This Row],[P]])</f>
        <v>2.4290890628325484E-5</v>
      </c>
      <c r="I498" s="36">
        <f>MuFFromP(テーブル2[[#This Row],[P]])</f>
        <v>6.4066005508527627E-5</v>
      </c>
      <c r="J498" s="36">
        <f>KfFromP(テーブル2[[#This Row],[P]])</f>
        <v>0.45288481052759361</v>
      </c>
      <c r="K498" s="36">
        <f>CpFFromP(テーブル2[[#This Row],[P]])</f>
        <v>11219.515372647445</v>
      </c>
      <c r="L498" s="36">
        <f>SigmaFromP(テーブル2[[#This Row],[P]])</f>
        <v>3.029253861182898E-3</v>
      </c>
      <c r="M498" s="36">
        <v>3.01</v>
      </c>
      <c r="N498" s="36">
        <v>2007.2203999999999</v>
      </c>
      <c r="O498" s="37">
        <f t="shared" si="236"/>
        <v>2.8502295699234246E-6</v>
      </c>
      <c r="P498" s="37">
        <f t="shared" si="237"/>
        <v>5.9847340050885557E-3</v>
      </c>
      <c r="Q498" s="37">
        <v>1.905E-3</v>
      </c>
      <c r="R498" s="36">
        <v>0.15240000000000001</v>
      </c>
      <c r="S498" s="38">
        <v>3533140.8</v>
      </c>
      <c r="T498" s="36">
        <v>523.78019028427457</v>
      </c>
      <c r="U498" s="12">
        <f>+T498+BG498*S498*テーブル2[[#This Row],[Pw]]*R498/(N498*O498*K498)</f>
        <v>573.98458820133044</v>
      </c>
      <c r="V498" s="36">
        <v>0.03</v>
      </c>
      <c r="W498" s="37">
        <f t="shared" si="208"/>
        <v>59684.61482261496</v>
      </c>
      <c r="X498" s="36">
        <v>0.01</v>
      </c>
      <c r="Y498" s="36">
        <f t="shared" si="209"/>
        <v>10</v>
      </c>
      <c r="Z498" s="36">
        <f t="shared" si="210"/>
        <v>4.6545321528061221</v>
      </c>
      <c r="AA498" s="36">
        <f t="shared" si="211"/>
        <v>5.3454678471938779</v>
      </c>
      <c r="AB498" s="36">
        <f t="shared" si="212"/>
        <v>4.0439801328060388E-5</v>
      </c>
      <c r="AC498" s="36">
        <v>600</v>
      </c>
      <c r="AD498" s="36">
        <f t="shared" si="213"/>
        <v>1055.0848968394544</v>
      </c>
      <c r="AE498" s="36">
        <f>+gettm2(AD498,AC498,AK498,AL498,テーブル2[[#This Row],[Fcorr]])</f>
        <v>550.17356112655193</v>
      </c>
      <c r="AF498" s="39">
        <f t="shared" si="214"/>
        <v>-23.811027074778508</v>
      </c>
      <c r="AG498" s="36">
        <v>1.0000000000000001E-5</v>
      </c>
      <c r="AH498" s="36">
        <f t="shared" si="215"/>
        <v>8.9889280215062541</v>
      </c>
      <c r="AI498" s="36">
        <f t="shared" si="216"/>
        <v>0.12666535193852849</v>
      </c>
      <c r="AJ498" s="36">
        <f t="shared" si="217"/>
        <v>11.077006790965401</v>
      </c>
      <c r="AK498" s="36">
        <f>+S88*テーブル2[[#This Row],[F_form]]/(E88*CpFromTP((テーブル2[[#This Row],[Tin]]+テーブル2[[#This Row],[Tf]])/2,テーブル2[[#This Row],[P]])*AI88)</f>
        <v>1.9771615824486035</v>
      </c>
      <c r="AL498" s="36">
        <f t="shared" si="218"/>
        <v>1.5871354414153991</v>
      </c>
      <c r="AM498" s="36">
        <f t="shared" si="219"/>
        <v>573.6859688294478</v>
      </c>
      <c r="AN498" s="36">
        <f t="shared" si="220"/>
        <v>52.891267008515911</v>
      </c>
      <c r="AO498" s="36">
        <f t="shared" si="221"/>
        <v>-3.0439801328060389E-5</v>
      </c>
      <c r="AP498" s="36">
        <v>1</v>
      </c>
      <c r="AQ498" s="36">
        <f t="shared" si="222"/>
        <v>1.8924061455248241E-4</v>
      </c>
      <c r="AR498" s="36">
        <f t="shared" si="223"/>
        <v>-1.0219900664030195E-5</v>
      </c>
      <c r="AS498" s="36">
        <f t="shared" si="224"/>
        <v>-11.320590905845428</v>
      </c>
      <c r="AT498" s="36">
        <f t="shared" si="225"/>
        <v>-11.320590905845428</v>
      </c>
      <c r="AU498" s="36">
        <f t="shared" si="226"/>
        <v>-1.4339266312410162</v>
      </c>
      <c r="AV498" s="36">
        <f t="shared" si="227"/>
        <v>2.4339266312410164</v>
      </c>
      <c r="AW498" s="36">
        <f t="shared" si="228"/>
        <v>3.208050540899543E-2</v>
      </c>
      <c r="AX498" s="36">
        <f t="shared" si="229"/>
        <v>0.30053616277510131</v>
      </c>
      <c r="AY498" s="36">
        <f t="shared" si="230"/>
        <v>2.1333904684659153</v>
      </c>
      <c r="AZ498" s="36">
        <f t="shared" si="231"/>
        <v>839091.99888324901</v>
      </c>
      <c r="BA498" s="36">
        <f t="shared" si="232"/>
        <v>1.8924061455248241E-4</v>
      </c>
      <c r="BB498" s="38">
        <f t="shared" si="233"/>
        <v>-75618712.435973063</v>
      </c>
      <c r="BC498" s="40">
        <f t="shared" si="234"/>
        <v>-79151853.23597306</v>
      </c>
      <c r="BD498" s="41">
        <f t="shared" si="235"/>
        <v>-2240.2688632157842</v>
      </c>
      <c r="BE498" s="38">
        <v>3533140.8</v>
      </c>
      <c r="BF498" s="42">
        <f>テーブル2[[#This Row],[q_P]]/テーブル2[[#This Row],[q_M]]</f>
        <v>-21.402688632157844</v>
      </c>
      <c r="BG498" s="36">
        <v>1</v>
      </c>
      <c r="BH498" s="36">
        <v>-5.6000000000000001E-2</v>
      </c>
      <c r="BI498" s="36">
        <v>4.5999999999999999E-2</v>
      </c>
      <c r="BJ498" s="36">
        <v>5625</v>
      </c>
      <c r="BK498" s="22">
        <v>1</v>
      </c>
      <c r="BL498" s="36">
        <f>テーブル2[[#This Row],[Ts]]-テーブル2[[#This Row],[Tin]]</f>
        <v>102.79704555368914</v>
      </c>
      <c r="BM498" s="36">
        <f>テーブル2[[#This Row],[q_P]]*0.000001</f>
        <v>-75.618712435973066</v>
      </c>
      <c r="BN498" s="36">
        <f>テーブル2[[#This Row],[Tsub]]</f>
        <v>102.79704555368914</v>
      </c>
      <c r="BO498" s="36">
        <f>テーブル2[[#This Row],[Fcorr]]</f>
        <v>1</v>
      </c>
      <c r="BP498" s="36">
        <f>(テーブル2[[#This Row],[Tsub]]-40)^2</f>
        <v>3943.4689302721094</v>
      </c>
      <c r="BQ498" s="36">
        <v>1</v>
      </c>
      <c r="BR498" s="36">
        <v>0.15240000000000001</v>
      </c>
    </row>
    <row r="499" spans="1:70" x14ac:dyDescent="0.15">
      <c r="A499" s="35" t="s">
        <v>261</v>
      </c>
      <c r="B499" s="36">
        <v>17236893.232919998</v>
      </c>
      <c r="C499" s="22">
        <f>TsatFromP(テーブル2[[#This Row],[P]])</f>
        <v>626.57723583796371</v>
      </c>
      <c r="D499" s="36">
        <f>RhoGFromP(テーブル2[[#This Row],[P]])</f>
        <v>122.58359097668941</v>
      </c>
      <c r="E499" s="36">
        <f>RhoFFromP(テーブル2[[#This Row],[P]])</f>
        <v>560.26337686440854</v>
      </c>
      <c r="F499" s="36">
        <f>HgFromP(テーブル2[[#This Row],[P]])</f>
        <v>2538890.645480752</v>
      </c>
      <c r="G499" s="36">
        <f>HfFromP(テーブル2[[#This Row],[P]])</f>
        <v>1699798.646597503</v>
      </c>
      <c r="H499" s="36">
        <f>MuGFromP(テーブル2[[#This Row],[P]])</f>
        <v>2.4290890628325484E-5</v>
      </c>
      <c r="I499" s="36">
        <f>MuFFromP(テーブル2[[#This Row],[P]])</f>
        <v>6.4066005508527627E-5</v>
      </c>
      <c r="J499" s="36">
        <f>KfFromP(テーブル2[[#This Row],[P]])</f>
        <v>0.45288481052759361</v>
      </c>
      <c r="K499" s="36">
        <f>CpFFromP(テーブル2[[#This Row],[P]])</f>
        <v>11219.515372647445</v>
      </c>
      <c r="L499" s="36">
        <f>SigmaFromP(テーブル2[[#This Row],[P]])</f>
        <v>3.029253861182898E-3</v>
      </c>
      <c r="M499" s="36">
        <v>30.01</v>
      </c>
      <c r="N499" s="36">
        <v>3661.8209999999999</v>
      </c>
      <c r="O499" s="37">
        <f t="shared" si="236"/>
        <v>2.8502295699234246E-6</v>
      </c>
      <c r="P499" s="37">
        <f t="shared" si="237"/>
        <v>5.9847340050885557E-3</v>
      </c>
      <c r="Q499" s="37">
        <v>1.905E-3</v>
      </c>
      <c r="R499" s="36">
        <v>0.69595999999999991</v>
      </c>
      <c r="S499" s="38">
        <v>3659324.399999999</v>
      </c>
      <c r="T499" s="36">
        <v>298.87824001090689</v>
      </c>
      <c r="U499" s="12">
        <f>+T499+BG499*S499*テーブル2[[#This Row],[Pw]]*R499/(N499*O499*K499)</f>
        <v>429.03867560535355</v>
      </c>
      <c r="V499" s="36">
        <v>0.03</v>
      </c>
      <c r="W499" s="37">
        <f t="shared" si="208"/>
        <v>108884.0946088246</v>
      </c>
      <c r="X499" s="36">
        <v>0.01</v>
      </c>
      <c r="Y499" s="36">
        <f t="shared" si="209"/>
        <v>10</v>
      </c>
      <c r="Z499" s="36">
        <f t="shared" si="210"/>
        <v>5.6370582065159063</v>
      </c>
      <c r="AA499" s="36">
        <f t="shared" si="211"/>
        <v>4.3629417934840937</v>
      </c>
      <c r="AB499" s="36">
        <f t="shared" si="212"/>
        <v>1.2150801211108844E-5</v>
      </c>
      <c r="AC499" s="36">
        <v>600</v>
      </c>
      <c r="AD499" s="36">
        <f t="shared" si="213"/>
        <v>1924.8170415314366</v>
      </c>
      <c r="AE499" s="36">
        <f>+gettm2(AD499,AC499,AK499,AL499,テーブル2[[#This Row],[Fcorr]])</f>
        <v>536.36285713907989</v>
      </c>
      <c r="AF499" s="39">
        <f t="shared" si="214"/>
        <v>107.32418153372635</v>
      </c>
      <c r="AG499" s="36">
        <v>1.0000000000000001E-5</v>
      </c>
      <c r="AH499" s="36">
        <f t="shared" si="215"/>
        <v>29.916583855360013</v>
      </c>
      <c r="AI499" s="36">
        <f t="shared" si="216"/>
        <v>0.23107868259055869</v>
      </c>
      <c r="AJ499" s="36">
        <f t="shared" si="217"/>
        <v>20.208052929463904</v>
      </c>
      <c r="AK499" s="36">
        <f>+S88*テーブル2[[#This Row],[F_form]]/(E88*CpFromTP((テーブル2[[#This Row],[Tin]]+テーブル2[[#This Row],[Tf]])/2,テーブル2[[#This Row],[P]])*AI88)</f>
        <v>2.3796166630299358</v>
      </c>
      <c r="AL499" s="36">
        <f t="shared" si="218"/>
        <v>1.5871354414153991</v>
      </c>
      <c r="AM499" s="36">
        <f t="shared" si="219"/>
        <v>560.14481656908822</v>
      </c>
      <c r="AN499" s="36">
        <f t="shared" si="220"/>
        <v>66.432419268875492</v>
      </c>
      <c r="AO499" s="36">
        <f t="shared" si="221"/>
        <v>-2.150801211108843E-6</v>
      </c>
      <c r="AP499" s="36">
        <v>1</v>
      </c>
      <c r="AQ499" s="36">
        <f t="shared" si="222"/>
        <v>1.8924061455248241E-4</v>
      </c>
      <c r="AR499" s="36">
        <f t="shared" si="223"/>
        <v>3.9245993944455789E-6</v>
      </c>
      <c r="AS499" s="36">
        <f t="shared" si="224"/>
        <v>7.9308512289898241</v>
      </c>
      <c r="AT499" s="36">
        <f t="shared" si="225"/>
        <v>7.3038018637989861</v>
      </c>
      <c r="AU499" s="36">
        <f t="shared" si="226"/>
        <v>1.6877529125891368</v>
      </c>
      <c r="AV499" s="36">
        <f t="shared" si="227"/>
        <v>-0.68775291258913684</v>
      </c>
      <c r="AW499" s="36">
        <f t="shared" si="228"/>
        <v>9.6391137239867728E-3</v>
      </c>
      <c r="AX499" s="36">
        <f t="shared" si="229"/>
        <v>0.54827543208971197</v>
      </c>
      <c r="AY499" s="36">
        <f t="shared" si="230"/>
        <v>-1.2360283446788487</v>
      </c>
      <c r="AZ499" s="36">
        <f t="shared" si="231"/>
        <v>839091.99888324901</v>
      </c>
      <c r="BA499" s="36">
        <f t="shared" si="232"/>
        <v>1.8924061455248241E-4</v>
      </c>
      <c r="BB499" s="38">
        <f t="shared" si="233"/>
        <v>-5343031.5308876419</v>
      </c>
      <c r="BC499" s="40">
        <f t="shared" si="234"/>
        <v>-9002355.9308876414</v>
      </c>
      <c r="BD499" s="41">
        <f t="shared" si="235"/>
        <v>-246.01142032905429</v>
      </c>
      <c r="BE499" s="38">
        <v>3659324.399999999</v>
      </c>
      <c r="BF499" s="42">
        <f>テーブル2[[#This Row],[q_P]]/テーブル2[[#This Row],[q_M]]</f>
        <v>-1.4601142032905428</v>
      </c>
      <c r="BG499" s="36">
        <v>1</v>
      </c>
      <c r="BH499" s="36">
        <v>-0.13800000000000001</v>
      </c>
      <c r="BI499" s="36">
        <v>4.5999999999999999E-2</v>
      </c>
      <c r="BJ499" s="36">
        <v>5625</v>
      </c>
      <c r="BK499" s="22">
        <v>1</v>
      </c>
      <c r="BL499" s="36">
        <f>テーブル2[[#This Row],[Ts]]-テーブル2[[#This Row],[Tin]]</f>
        <v>327.69899582705682</v>
      </c>
      <c r="BM499" s="36">
        <f>テーブル2[[#This Row],[q_P]]*0.000001</f>
        <v>-5.3430315308876413</v>
      </c>
      <c r="BN499" s="36">
        <f>テーブル2[[#This Row],[Tsub]]</f>
        <v>327.69899582705682</v>
      </c>
      <c r="BO499" s="36">
        <f>テーブル2[[#This Row],[Fcorr]]</f>
        <v>1</v>
      </c>
      <c r="BP499" s="36">
        <f>(テーブル2[[#This Row],[Tsub]]-40)^2</f>
        <v>82770.712199896851</v>
      </c>
      <c r="BQ499" s="36">
        <v>1</v>
      </c>
      <c r="BR499" s="36">
        <v>0.69595999999999991</v>
      </c>
    </row>
    <row r="500" spans="1:70" x14ac:dyDescent="0.15">
      <c r="A500" s="35" t="s">
        <v>235</v>
      </c>
      <c r="B500" s="36">
        <v>17236893.232919998</v>
      </c>
      <c r="C500" s="22">
        <f>TsatFromP(テーブル2[[#This Row],[P]])</f>
        <v>626.57723583796371</v>
      </c>
      <c r="D500" s="36">
        <f>RhoGFromP(テーブル2[[#This Row],[P]])</f>
        <v>122.58359097668941</v>
      </c>
      <c r="E500" s="36">
        <f>RhoFFromP(テーブル2[[#This Row],[P]])</f>
        <v>560.26337686440854</v>
      </c>
      <c r="F500" s="36">
        <f>HgFromP(テーブル2[[#This Row],[P]])</f>
        <v>2538890.645480752</v>
      </c>
      <c r="G500" s="36">
        <f>HfFromP(テーブル2[[#This Row],[P]])</f>
        <v>1699798.646597503</v>
      </c>
      <c r="H500" s="36">
        <f>MuGFromP(テーブル2[[#This Row],[P]])</f>
        <v>2.4290890628325484E-5</v>
      </c>
      <c r="I500" s="36">
        <f>MuFFromP(テーブル2[[#This Row],[P]])</f>
        <v>6.4066005508527627E-5</v>
      </c>
      <c r="J500" s="36">
        <f>KfFromP(テーブル2[[#This Row],[P]])</f>
        <v>0.45288481052759361</v>
      </c>
      <c r="K500" s="36">
        <f>CpFFromP(テーブル2[[#This Row],[P]])</f>
        <v>11219.515372647445</v>
      </c>
      <c r="L500" s="36">
        <f>SigmaFromP(テーブル2[[#This Row],[P]])</f>
        <v>3.029253861182898E-3</v>
      </c>
      <c r="M500" s="36">
        <v>4.01</v>
      </c>
      <c r="N500" s="36">
        <v>2007.2203999999999</v>
      </c>
      <c r="O500" s="37">
        <f t="shared" si="236"/>
        <v>2.8502295699234246E-6</v>
      </c>
      <c r="P500" s="37">
        <f t="shared" si="237"/>
        <v>5.9847340050885557E-3</v>
      </c>
      <c r="Q500" s="37">
        <v>1.905E-3</v>
      </c>
      <c r="R500" s="36">
        <v>0.15240000000000001</v>
      </c>
      <c r="S500" s="38">
        <v>3501594.9</v>
      </c>
      <c r="T500" s="36">
        <v>524.91371220058011</v>
      </c>
      <c r="U500" s="12">
        <f>+T500+BG500*S500*テーブル2[[#This Row],[Pw]]*R500/(N500*O500*K500)</f>
        <v>574.66985656480506</v>
      </c>
      <c r="V500" s="36">
        <v>0.03</v>
      </c>
      <c r="W500" s="37">
        <f t="shared" si="208"/>
        <v>59684.61482261496</v>
      </c>
      <c r="X500" s="36">
        <v>0.01</v>
      </c>
      <c r="Y500" s="36">
        <f t="shared" si="209"/>
        <v>10</v>
      </c>
      <c r="Z500" s="36">
        <f t="shared" si="210"/>
        <v>4.6545321528061221</v>
      </c>
      <c r="AA500" s="36">
        <f t="shared" si="211"/>
        <v>5.3454678471938779</v>
      </c>
      <c r="AB500" s="36">
        <f t="shared" si="212"/>
        <v>4.0439801328060388E-5</v>
      </c>
      <c r="AC500" s="36">
        <v>600</v>
      </c>
      <c r="AD500" s="36">
        <f t="shared" si="213"/>
        <v>1055.0848968394544</v>
      </c>
      <c r="AE500" s="36">
        <f>+gettm2(AD500,AC500,AK500,AL500,テーブル2[[#This Row],[Fcorr]])</f>
        <v>550.30068224661295</v>
      </c>
      <c r="AF500" s="39">
        <f t="shared" si="214"/>
        <v>-24.369174318192108</v>
      </c>
      <c r="AG500" s="36">
        <v>1.0000000000000001E-5</v>
      </c>
      <c r="AH500" s="36">
        <f t="shared" si="215"/>
        <v>8.9889280215062541</v>
      </c>
      <c r="AI500" s="36">
        <f t="shared" si="216"/>
        <v>0.12666535193852849</v>
      </c>
      <c r="AJ500" s="36">
        <f t="shared" si="217"/>
        <v>11.077006790965401</v>
      </c>
      <c r="AK500" s="36">
        <f>+S88*テーブル2[[#This Row],[F_form]]/(E88*CpFromTP((テーブル2[[#This Row],[Tin]]+テーブル2[[#This Row],[Tf]])/2,テーブル2[[#This Row],[P]])*AI88)</f>
        <v>1.9721172926983261</v>
      </c>
      <c r="AL500" s="36">
        <f t="shared" si="218"/>
        <v>1.5871354414153991</v>
      </c>
      <c r="AM500" s="36">
        <f t="shared" si="219"/>
        <v>573.75310325027624</v>
      </c>
      <c r="AN500" s="36">
        <f t="shared" si="220"/>
        <v>52.824132587687473</v>
      </c>
      <c r="AO500" s="36">
        <f t="shared" si="221"/>
        <v>-3.0439801328060389E-5</v>
      </c>
      <c r="AP500" s="36">
        <v>1</v>
      </c>
      <c r="AQ500" s="36">
        <f t="shared" si="222"/>
        <v>1.8924061455248241E-4</v>
      </c>
      <c r="AR500" s="36">
        <f t="shared" si="223"/>
        <v>-1.0219900664030195E-5</v>
      </c>
      <c r="AS500" s="36">
        <f t="shared" si="224"/>
        <v>-11.320590905845428</v>
      </c>
      <c r="AT500" s="36">
        <f t="shared" si="225"/>
        <v>-11.320590905845428</v>
      </c>
      <c r="AU500" s="36">
        <f t="shared" si="226"/>
        <v>-1.4339266312410162</v>
      </c>
      <c r="AV500" s="36">
        <f t="shared" si="227"/>
        <v>2.4339266312410164</v>
      </c>
      <c r="AW500" s="36">
        <f t="shared" si="228"/>
        <v>3.208050540899543E-2</v>
      </c>
      <c r="AX500" s="36">
        <f t="shared" si="229"/>
        <v>0.30053616277510131</v>
      </c>
      <c r="AY500" s="36">
        <f t="shared" si="230"/>
        <v>2.1333904684659153</v>
      </c>
      <c r="AZ500" s="36">
        <f t="shared" si="231"/>
        <v>839091.99888324901</v>
      </c>
      <c r="BA500" s="36">
        <f t="shared" si="232"/>
        <v>1.8924061455248241E-4</v>
      </c>
      <c r="BB500" s="38">
        <f t="shared" si="233"/>
        <v>-75618712.435973063</v>
      </c>
      <c r="BC500" s="40">
        <f t="shared" si="234"/>
        <v>-79120307.335973069</v>
      </c>
      <c r="BD500" s="41">
        <f t="shared" si="235"/>
        <v>-2259.550564686197</v>
      </c>
      <c r="BE500" s="38">
        <v>3501594.9</v>
      </c>
      <c r="BF500" s="42">
        <f>テーブル2[[#This Row],[q_P]]/テーブル2[[#This Row],[q_M]]</f>
        <v>-21.595505646861966</v>
      </c>
      <c r="BG500" s="36">
        <v>1</v>
      </c>
      <c r="BH500" s="36">
        <v>-5.6000000000000001E-2</v>
      </c>
      <c r="BI500" s="36">
        <v>4.5999999999999999E-2</v>
      </c>
      <c r="BJ500" s="36">
        <v>5625</v>
      </c>
      <c r="BK500" s="22">
        <v>1</v>
      </c>
      <c r="BL500" s="36">
        <f>テーブル2[[#This Row],[Ts]]-テーブル2[[#This Row],[Tin]]</f>
        <v>101.66352363738361</v>
      </c>
      <c r="BM500" s="36">
        <f>テーブル2[[#This Row],[q_P]]*0.000001</f>
        <v>-75.618712435973066</v>
      </c>
      <c r="BN500" s="36">
        <f>テーブル2[[#This Row],[Tsub]]</f>
        <v>101.66352363738361</v>
      </c>
      <c r="BO500" s="36">
        <f>テーブル2[[#This Row],[Fcorr]]</f>
        <v>1</v>
      </c>
      <c r="BP500" s="36">
        <f>(テーブル2[[#This Row],[Tsub]]-40)^2</f>
        <v>3802.3901473781666</v>
      </c>
      <c r="BQ500" s="36">
        <v>1</v>
      </c>
      <c r="BR500" s="36">
        <v>0.15240000000000001</v>
      </c>
    </row>
    <row r="501" spans="1:70" x14ac:dyDescent="0.15">
      <c r="A501" s="35" t="s">
        <v>236</v>
      </c>
      <c r="B501" s="36">
        <v>17236893.232919998</v>
      </c>
      <c r="C501" s="22">
        <f>TsatFromP(テーブル2[[#This Row],[P]])</f>
        <v>626.57723583796371</v>
      </c>
      <c r="D501" s="36">
        <f>RhoGFromP(テーブル2[[#This Row],[P]])</f>
        <v>122.58359097668941</v>
      </c>
      <c r="E501" s="36">
        <f>RhoFFromP(テーブル2[[#This Row],[P]])</f>
        <v>560.26337686440854</v>
      </c>
      <c r="F501" s="36">
        <f>HgFromP(テーブル2[[#This Row],[P]])</f>
        <v>2538890.645480752</v>
      </c>
      <c r="G501" s="36">
        <f>HfFromP(テーブル2[[#This Row],[P]])</f>
        <v>1699798.646597503</v>
      </c>
      <c r="H501" s="36">
        <f>MuGFromP(テーブル2[[#This Row],[P]])</f>
        <v>2.4290890628325484E-5</v>
      </c>
      <c r="I501" s="36">
        <f>MuFFromP(テーブル2[[#This Row],[P]])</f>
        <v>6.4066005508527627E-5</v>
      </c>
      <c r="J501" s="36">
        <f>KfFromP(テーブル2[[#This Row],[P]])</f>
        <v>0.45288481052759361</v>
      </c>
      <c r="K501" s="36">
        <f>CpFFromP(テーブル2[[#This Row],[P]])</f>
        <v>11219.515372647445</v>
      </c>
      <c r="L501" s="36">
        <f>SigmaFromP(テーブル2[[#This Row],[P]])</f>
        <v>3.029253861182898E-3</v>
      </c>
      <c r="M501" s="36">
        <v>5.01</v>
      </c>
      <c r="N501" s="36">
        <v>2183.5302999999999</v>
      </c>
      <c r="O501" s="37">
        <f t="shared" si="236"/>
        <v>2.8502295699234246E-6</v>
      </c>
      <c r="P501" s="37">
        <f t="shared" si="237"/>
        <v>5.9847340050885557E-3</v>
      </c>
      <c r="Q501" s="37">
        <v>1.905E-3</v>
      </c>
      <c r="R501" s="36">
        <v>0.15240000000000001</v>
      </c>
      <c r="S501" s="38">
        <v>4763430.8999999994</v>
      </c>
      <c r="T501" s="36">
        <v>477.00509626748368</v>
      </c>
      <c r="U501" s="12">
        <f>+T501+BG501*S501*テーブル2[[#This Row],[Pw]]*R501/(N501*O501*K501)</f>
        <v>539.22603042067601</v>
      </c>
      <c r="V501" s="36">
        <v>0.03</v>
      </c>
      <c r="W501" s="37">
        <f t="shared" si="208"/>
        <v>64927.182340817628</v>
      </c>
      <c r="X501" s="36">
        <v>0.01</v>
      </c>
      <c r="Y501" s="36">
        <f t="shared" si="209"/>
        <v>10</v>
      </c>
      <c r="Z501" s="36">
        <f t="shared" si="210"/>
        <v>4.7939809737197052</v>
      </c>
      <c r="AA501" s="36">
        <f t="shared" si="211"/>
        <v>5.2060190262802948</v>
      </c>
      <c r="AB501" s="36">
        <f t="shared" si="212"/>
        <v>3.4172810010795679E-5</v>
      </c>
      <c r="AC501" s="36">
        <v>600</v>
      </c>
      <c r="AD501" s="36">
        <f t="shared" si="213"/>
        <v>1147.7612729131899</v>
      </c>
      <c r="AE501" s="36">
        <f>+gettm2(AD501,AC501,AK501,AL501,テーブル2[[#This Row],[Fcorr]])</f>
        <v>545.34004847352378</v>
      </c>
      <c r="AF501" s="39">
        <f t="shared" si="214"/>
        <v>6.1140180528477686</v>
      </c>
      <c r="AG501" s="36">
        <v>1.0000000000000001E-5</v>
      </c>
      <c r="AH501" s="36">
        <f t="shared" si="215"/>
        <v>10.637417971396253</v>
      </c>
      <c r="AI501" s="36">
        <f t="shared" si="216"/>
        <v>0.13779136258177757</v>
      </c>
      <c r="AJ501" s="36">
        <f t="shared" si="217"/>
        <v>12.049987117198844</v>
      </c>
      <c r="AK501" s="36">
        <f>+S88*テーブル2[[#This Row],[F_form]]/(E88*CpFromTP((テーブル2[[#This Row],[Tin]]+テーブル2[[#This Row],[Tf]])/2,テーブル2[[#This Row],[P]])*AI88)</f>
        <v>2.1504113637917226</v>
      </c>
      <c r="AL501" s="36">
        <f t="shared" si="218"/>
        <v>1.5871354414153991</v>
      </c>
      <c r="AM501" s="36">
        <f t="shared" si="219"/>
        <v>570.30231268167302</v>
      </c>
      <c r="AN501" s="36">
        <f t="shared" si="220"/>
        <v>56.274923156290697</v>
      </c>
      <c r="AO501" s="36">
        <f t="shared" si="221"/>
        <v>-2.417281001079568E-5</v>
      </c>
      <c r="AP501" s="36">
        <v>1</v>
      </c>
      <c r="AQ501" s="36">
        <f t="shared" si="222"/>
        <v>1.8924061455248241E-4</v>
      </c>
      <c r="AR501" s="36">
        <f t="shared" si="223"/>
        <v>-7.0864050053978402E-6</v>
      </c>
      <c r="AS501" s="36">
        <f t="shared" si="224"/>
        <v>-8.5391089022297386</v>
      </c>
      <c r="AT501" s="36">
        <f t="shared" si="225"/>
        <v>-8.5391089022297386</v>
      </c>
      <c r="AU501" s="36">
        <f t="shared" si="226"/>
        <v>-1.1766154508724225</v>
      </c>
      <c r="AV501" s="36">
        <f t="shared" si="227"/>
        <v>2.1766154508724225</v>
      </c>
      <c r="AW501" s="36">
        <f t="shared" si="228"/>
        <v>2.7108961478285402E-2</v>
      </c>
      <c r="AX501" s="36">
        <f t="shared" si="229"/>
        <v>0.32693460950534675</v>
      </c>
      <c r="AY501" s="36">
        <f t="shared" si="230"/>
        <v>1.8496808413670758</v>
      </c>
      <c r="AZ501" s="36">
        <f t="shared" si="231"/>
        <v>839091.99888324901</v>
      </c>
      <c r="BA501" s="36">
        <f t="shared" si="232"/>
        <v>1.8924061455248241E-4</v>
      </c>
      <c r="BB501" s="38">
        <f t="shared" si="233"/>
        <v>-60050220.081125706</v>
      </c>
      <c r="BC501" s="40">
        <f t="shared" si="234"/>
        <v>-64813650.981125705</v>
      </c>
      <c r="BD501" s="41">
        <f t="shared" si="235"/>
        <v>-1360.6505970544406</v>
      </c>
      <c r="BE501" s="38">
        <v>4763430.8999999994</v>
      </c>
      <c r="BF501" s="42">
        <f>テーブル2[[#This Row],[q_P]]/テーブル2[[#This Row],[q_M]]</f>
        <v>-12.606505970544406</v>
      </c>
      <c r="BG501" s="36">
        <v>1</v>
      </c>
      <c r="BH501" s="36">
        <v>-0.15</v>
      </c>
      <c r="BI501" s="36">
        <v>4.5999999999999999E-2</v>
      </c>
      <c r="BJ501" s="36">
        <v>5625</v>
      </c>
      <c r="BK501" s="22">
        <v>1</v>
      </c>
      <c r="BL501" s="36">
        <f>テーブル2[[#This Row],[Ts]]-テーブル2[[#This Row],[Tin]]</f>
        <v>149.57213957048003</v>
      </c>
      <c r="BM501" s="36">
        <f>テーブル2[[#This Row],[q_P]]*0.000001</f>
        <v>-60.050220081125701</v>
      </c>
      <c r="BN501" s="36">
        <f>テーブル2[[#This Row],[Tsub]]</f>
        <v>149.57213957048003</v>
      </c>
      <c r="BO501" s="36">
        <f>テーブル2[[#This Row],[Fcorr]]</f>
        <v>1</v>
      </c>
      <c r="BP501" s="36">
        <f>(テーブル2[[#This Row],[Tsub]]-40)^2</f>
        <v>12006.053770052757</v>
      </c>
      <c r="BQ501" s="36">
        <v>1</v>
      </c>
      <c r="BR501" s="36">
        <v>0.15240000000000001</v>
      </c>
    </row>
    <row r="502" spans="1:70" x14ac:dyDescent="0.15">
      <c r="A502" s="35" t="s">
        <v>237</v>
      </c>
      <c r="B502" s="36">
        <v>17236893.232919998</v>
      </c>
      <c r="C502" s="22">
        <f>TsatFromP(テーブル2[[#This Row],[P]])</f>
        <v>626.57723583796371</v>
      </c>
      <c r="D502" s="36">
        <f>RhoGFromP(テーブル2[[#This Row],[P]])</f>
        <v>122.58359097668941</v>
      </c>
      <c r="E502" s="36">
        <f>RhoFFromP(テーブル2[[#This Row],[P]])</f>
        <v>560.26337686440854</v>
      </c>
      <c r="F502" s="36">
        <f>HgFromP(テーブル2[[#This Row],[P]])</f>
        <v>2538890.645480752</v>
      </c>
      <c r="G502" s="36">
        <f>HfFromP(テーブル2[[#This Row],[P]])</f>
        <v>1699798.646597503</v>
      </c>
      <c r="H502" s="36">
        <f>MuGFromP(テーブル2[[#This Row],[P]])</f>
        <v>2.4290890628325484E-5</v>
      </c>
      <c r="I502" s="36">
        <f>MuFFromP(テーブル2[[#This Row],[P]])</f>
        <v>6.4066005508527627E-5</v>
      </c>
      <c r="J502" s="36">
        <f>KfFromP(テーブル2[[#This Row],[P]])</f>
        <v>0.45288481052759361</v>
      </c>
      <c r="K502" s="36">
        <f>CpFFromP(テーブル2[[#This Row],[P]])</f>
        <v>11219.515372647445</v>
      </c>
      <c r="L502" s="36">
        <f>SigmaFromP(テーブル2[[#This Row],[P]])</f>
        <v>3.029253861182898E-3</v>
      </c>
      <c r="M502" s="36">
        <v>6.01</v>
      </c>
      <c r="N502" s="36">
        <v>2183.5302999999999</v>
      </c>
      <c r="O502" s="37">
        <f t="shared" si="236"/>
        <v>2.8502295699234246E-6</v>
      </c>
      <c r="P502" s="37">
        <f t="shared" si="237"/>
        <v>5.9847340050885557E-3</v>
      </c>
      <c r="Q502" s="37">
        <v>1.905E-3</v>
      </c>
      <c r="R502" s="36">
        <v>0.15240000000000001</v>
      </c>
      <c r="S502" s="38">
        <v>4763430.8999999994</v>
      </c>
      <c r="T502" s="36">
        <v>478.78975200551793</v>
      </c>
      <c r="U502" s="12">
        <f>+T502+BG502*S502*テーブル2[[#This Row],[Pw]]*R502/(N502*O502*K502)</f>
        <v>541.0106861587102</v>
      </c>
      <c r="V502" s="36">
        <v>0.03</v>
      </c>
      <c r="W502" s="37">
        <f t="shared" si="208"/>
        <v>64927.182340817628</v>
      </c>
      <c r="X502" s="36">
        <v>0.01</v>
      </c>
      <c r="Y502" s="36">
        <f t="shared" si="209"/>
        <v>10</v>
      </c>
      <c r="Z502" s="36">
        <f t="shared" si="210"/>
        <v>4.7939809737197052</v>
      </c>
      <c r="AA502" s="36">
        <f t="shared" si="211"/>
        <v>5.2060190262802948</v>
      </c>
      <c r="AB502" s="36">
        <f t="shared" si="212"/>
        <v>3.4172810010795679E-5</v>
      </c>
      <c r="AC502" s="36">
        <v>600</v>
      </c>
      <c r="AD502" s="36">
        <f t="shared" si="213"/>
        <v>1147.7612729131899</v>
      </c>
      <c r="AE502" s="36">
        <f>+gettm2(AD502,AC502,AK502,AL502,テーブル2[[#This Row],[Fcorr]])</f>
        <v>545.49018476122444</v>
      </c>
      <c r="AF502" s="39">
        <f t="shared" si="214"/>
        <v>4.4794986025142407</v>
      </c>
      <c r="AG502" s="36">
        <v>1.0000000000000001E-5</v>
      </c>
      <c r="AH502" s="36">
        <f t="shared" si="215"/>
        <v>10.637417971396253</v>
      </c>
      <c r="AI502" s="36">
        <f t="shared" si="216"/>
        <v>0.13779136258177757</v>
      </c>
      <c r="AJ502" s="36">
        <f t="shared" si="217"/>
        <v>12.049987117198844</v>
      </c>
      <c r="AK502" s="36">
        <f>+S88*テーブル2[[#This Row],[F_form]]/(E88*CpFromTP((テーブル2[[#This Row],[Tin]]+テーブル2[[#This Row],[Tf]])/2,テーブル2[[#This Row],[P]])*AI88)</f>
        <v>2.1445047581293881</v>
      </c>
      <c r="AL502" s="36">
        <f t="shared" si="218"/>
        <v>1.5871354414153991</v>
      </c>
      <c r="AM502" s="36">
        <f t="shared" si="219"/>
        <v>570.38388429677252</v>
      </c>
      <c r="AN502" s="36">
        <f t="shared" si="220"/>
        <v>56.193351541191191</v>
      </c>
      <c r="AO502" s="36">
        <f t="shared" si="221"/>
        <v>-2.417281001079568E-5</v>
      </c>
      <c r="AP502" s="36">
        <v>1</v>
      </c>
      <c r="AQ502" s="36">
        <f t="shared" si="222"/>
        <v>1.8924061455248241E-4</v>
      </c>
      <c r="AR502" s="36">
        <f t="shared" si="223"/>
        <v>-7.0864050053978402E-6</v>
      </c>
      <c r="AS502" s="36">
        <f t="shared" si="224"/>
        <v>-8.5391089022297386</v>
      </c>
      <c r="AT502" s="36">
        <f t="shared" si="225"/>
        <v>-8.5391089022297386</v>
      </c>
      <c r="AU502" s="36">
        <f t="shared" si="226"/>
        <v>-1.1766154508724225</v>
      </c>
      <c r="AV502" s="36">
        <f t="shared" si="227"/>
        <v>2.1766154508724225</v>
      </c>
      <c r="AW502" s="36">
        <f t="shared" si="228"/>
        <v>2.7108961478285402E-2</v>
      </c>
      <c r="AX502" s="36">
        <f t="shared" si="229"/>
        <v>0.32693460950534675</v>
      </c>
      <c r="AY502" s="36">
        <f t="shared" si="230"/>
        <v>1.8496808413670758</v>
      </c>
      <c r="AZ502" s="36">
        <f t="shared" si="231"/>
        <v>839091.99888324901</v>
      </c>
      <c r="BA502" s="36">
        <f t="shared" si="232"/>
        <v>1.8924061455248241E-4</v>
      </c>
      <c r="BB502" s="38">
        <f t="shared" si="233"/>
        <v>-60050220.081125706</v>
      </c>
      <c r="BC502" s="40">
        <f t="shared" si="234"/>
        <v>-64813650.981125705</v>
      </c>
      <c r="BD502" s="41">
        <f t="shared" si="235"/>
        <v>-1360.6505970544406</v>
      </c>
      <c r="BE502" s="38">
        <v>4763430.8999999994</v>
      </c>
      <c r="BF502" s="42">
        <f>テーブル2[[#This Row],[q_P]]/テーブル2[[#This Row],[q_M]]</f>
        <v>-12.606505970544406</v>
      </c>
      <c r="BG502" s="36">
        <v>1</v>
      </c>
      <c r="BH502" s="36">
        <v>-0.14000000000000001</v>
      </c>
      <c r="BI502" s="36">
        <v>4.5999999999999999E-2</v>
      </c>
      <c r="BJ502" s="36">
        <v>5625</v>
      </c>
      <c r="BK502" s="22">
        <v>1</v>
      </c>
      <c r="BL502" s="36">
        <f>テーブル2[[#This Row],[Ts]]-テーブル2[[#This Row],[Tin]]</f>
        <v>147.78748383244579</v>
      </c>
      <c r="BM502" s="36">
        <f>テーブル2[[#This Row],[q_P]]*0.000001</f>
        <v>-60.050220081125701</v>
      </c>
      <c r="BN502" s="36">
        <f>テーブル2[[#This Row],[Tsub]]</f>
        <v>147.78748383244579</v>
      </c>
      <c r="BO502" s="36">
        <f>テーブル2[[#This Row],[Fcorr]]</f>
        <v>1</v>
      </c>
      <c r="BP502" s="36">
        <f>(テーブル2[[#This Row],[Tsub]]-40)^2</f>
        <v>11618.141670929763</v>
      </c>
      <c r="BQ502" s="36">
        <v>1</v>
      </c>
      <c r="BR502" s="36">
        <v>0.15240000000000001</v>
      </c>
    </row>
    <row r="503" spans="1:70" x14ac:dyDescent="0.15">
      <c r="A503" s="35" t="s">
        <v>238</v>
      </c>
      <c r="B503" s="36">
        <v>17236893.232919998</v>
      </c>
      <c r="C503" s="22">
        <f>TsatFromP(テーブル2[[#This Row],[P]])</f>
        <v>626.57723583796371</v>
      </c>
      <c r="D503" s="36">
        <f>RhoGFromP(テーブル2[[#This Row],[P]])</f>
        <v>122.58359097668941</v>
      </c>
      <c r="E503" s="36">
        <f>RhoFFromP(テーブル2[[#This Row],[P]])</f>
        <v>560.26337686440854</v>
      </c>
      <c r="F503" s="36">
        <f>HgFromP(テーブル2[[#This Row],[P]])</f>
        <v>2538890.645480752</v>
      </c>
      <c r="G503" s="36">
        <f>HfFromP(テーブル2[[#This Row],[P]])</f>
        <v>1699798.646597503</v>
      </c>
      <c r="H503" s="36">
        <f>MuGFromP(テーブル2[[#This Row],[P]])</f>
        <v>2.4290890628325484E-5</v>
      </c>
      <c r="I503" s="36">
        <f>MuFFromP(テーブル2[[#This Row],[P]])</f>
        <v>6.4066005508527627E-5</v>
      </c>
      <c r="J503" s="36">
        <f>KfFromP(テーブル2[[#This Row],[P]])</f>
        <v>0.45288481052759361</v>
      </c>
      <c r="K503" s="36">
        <f>CpFFromP(テーブル2[[#This Row],[P]])</f>
        <v>11219.515372647445</v>
      </c>
      <c r="L503" s="36">
        <f>SigmaFromP(テーブル2[[#This Row],[P]])</f>
        <v>3.029253861182898E-3</v>
      </c>
      <c r="M503" s="36">
        <v>7.01</v>
      </c>
      <c r="N503" s="36">
        <v>2183.5302999999999</v>
      </c>
      <c r="O503" s="37">
        <f t="shared" si="236"/>
        <v>2.8502295699234246E-6</v>
      </c>
      <c r="P503" s="37">
        <f t="shared" si="237"/>
        <v>5.9847340050885557E-3</v>
      </c>
      <c r="Q503" s="37">
        <v>1.905E-3</v>
      </c>
      <c r="R503" s="36">
        <v>0.15240000000000001</v>
      </c>
      <c r="S503" s="38">
        <v>4321788.3</v>
      </c>
      <c r="T503" s="36">
        <v>504.27724900609451</v>
      </c>
      <c r="U503" s="12">
        <f>+T503+BG503*S503*テーブル2[[#This Row],[Pw]]*R503/(N503*O503*K503)</f>
        <v>560.72935482720277</v>
      </c>
      <c r="V503" s="36">
        <v>0.03</v>
      </c>
      <c r="W503" s="37">
        <f t="shared" si="208"/>
        <v>64927.182340817628</v>
      </c>
      <c r="X503" s="36">
        <v>0.01</v>
      </c>
      <c r="Y503" s="36">
        <f t="shared" si="209"/>
        <v>10</v>
      </c>
      <c r="Z503" s="36">
        <f t="shared" si="210"/>
        <v>4.7939809737197052</v>
      </c>
      <c r="AA503" s="36">
        <f t="shared" si="211"/>
        <v>5.2060190262802948</v>
      </c>
      <c r="AB503" s="36">
        <f t="shared" si="212"/>
        <v>3.4172810010795679E-5</v>
      </c>
      <c r="AC503" s="36">
        <v>600</v>
      </c>
      <c r="AD503" s="36">
        <f t="shared" si="213"/>
        <v>1147.7612729131899</v>
      </c>
      <c r="AE503" s="36">
        <f>+gettm2(AD503,AC503,AK503,AL503,テーブル2[[#This Row],[Fcorr]])</f>
        <v>547.69532027756657</v>
      </c>
      <c r="AF503" s="39">
        <f t="shared" si="214"/>
        <v>-13.034034549636203</v>
      </c>
      <c r="AG503" s="36">
        <v>1.0000000000000001E-5</v>
      </c>
      <c r="AH503" s="36">
        <f t="shared" si="215"/>
        <v>10.637417971396253</v>
      </c>
      <c r="AI503" s="36">
        <f t="shared" si="216"/>
        <v>0.13779136258177757</v>
      </c>
      <c r="AJ503" s="36">
        <f t="shared" si="217"/>
        <v>12.049987117198844</v>
      </c>
      <c r="AK503" s="36">
        <f>+S88*テーブル2[[#This Row],[F_form]]/(E88*CpFromTP((テーブル2[[#This Row],[Tin]]+テーブル2[[#This Row],[Tf]])/2,テーブル2[[#This Row],[P]])*AI88)</f>
        <v>2.0577511416219556</v>
      </c>
      <c r="AL503" s="36">
        <f t="shared" si="218"/>
        <v>1.5871354414153991</v>
      </c>
      <c r="AM503" s="36">
        <f t="shared" si="219"/>
        <v>571.58197216970348</v>
      </c>
      <c r="AN503" s="36">
        <f t="shared" si="220"/>
        <v>54.995263668260236</v>
      </c>
      <c r="AO503" s="36">
        <f t="shared" si="221"/>
        <v>-2.417281001079568E-5</v>
      </c>
      <c r="AP503" s="36">
        <v>1</v>
      </c>
      <c r="AQ503" s="36">
        <f t="shared" si="222"/>
        <v>1.8924061455248241E-4</v>
      </c>
      <c r="AR503" s="36">
        <f t="shared" si="223"/>
        <v>-7.0864050053978402E-6</v>
      </c>
      <c r="AS503" s="36">
        <f t="shared" si="224"/>
        <v>-8.5391089022297386</v>
      </c>
      <c r="AT503" s="36">
        <f t="shared" si="225"/>
        <v>-8.5391089022297386</v>
      </c>
      <c r="AU503" s="36">
        <f t="shared" si="226"/>
        <v>-1.1766154508724225</v>
      </c>
      <c r="AV503" s="36">
        <f t="shared" si="227"/>
        <v>2.1766154508724225</v>
      </c>
      <c r="AW503" s="36">
        <f t="shared" si="228"/>
        <v>2.7108961478285402E-2</v>
      </c>
      <c r="AX503" s="36">
        <f t="shared" si="229"/>
        <v>0.32693460950534675</v>
      </c>
      <c r="AY503" s="36">
        <f t="shared" si="230"/>
        <v>1.8496808413670758</v>
      </c>
      <c r="AZ503" s="36">
        <f t="shared" si="231"/>
        <v>839091.99888324901</v>
      </c>
      <c r="BA503" s="36">
        <f t="shared" si="232"/>
        <v>1.8924061455248241E-4</v>
      </c>
      <c r="BB503" s="38">
        <f t="shared" si="233"/>
        <v>-60050220.081125706</v>
      </c>
      <c r="BC503" s="40">
        <f t="shared" si="234"/>
        <v>-64372008.381125703</v>
      </c>
      <c r="BD503" s="41">
        <f t="shared" si="235"/>
        <v>-1489.4762055125584</v>
      </c>
      <c r="BE503" s="38">
        <v>4321788.3</v>
      </c>
      <c r="BF503" s="42">
        <f>テーブル2[[#This Row],[q_P]]/テーブル2[[#This Row],[q_M]]</f>
        <v>-13.894762055125586</v>
      </c>
      <c r="BG503" s="36">
        <v>1</v>
      </c>
      <c r="BH503" s="36">
        <v>-8.1000000000000003E-2</v>
      </c>
      <c r="BI503" s="36">
        <v>4.5999999999999999E-2</v>
      </c>
      <c r="BJ503" s="36">
        <v>5625</v>
      </c>
      <c r="BK503" s="22">
        <v>1</v>
      </c>
      <c r="BL503" s="36">
        <f>テーブル2[[#This Row],[Ts]]-テーブル2[[#This Row],[Tin]]</f>
        <v>122.29998683186921</v>
      </c>
      <c r="BM503" s="36">
        <f>テーブル2[[#This Row],[q_P]]*0.000001</f>
        <v>-60.050220081125701</v>
      </c>
      <c r="BN503" s="36">
        <f>テーブル2[[#This Row],[Tsub]]</f>
        <v>122.29998683186921</v>
      </c>
      <c r="BO503" s="36">
        <f>テーブル2[[#This Row],[Fcorr]]</f>
        <v>1</v>
      </c>
      <c r="BP503" s="36">
        <f>(テーブル2[[#This Row],[Tsub]]-40)^2</f>
        <v>6773.2878325258444</v>
      </c>
      <c r="BQ503" s="36">
        <v>1</v>
      </c>
      <c r="BR503" s="36">
        <v>0.15240000000000001</v>
      </c>
    </row>
    <row r="504" spans="1:70" x14ac:dyDescent="0.15">
      <c r="A504" s="35" t="s">
        <v>239</v>
      </c>
      <c r="B504" s="36">
        <v>17236893.232919998</v>
      </c>
      <c r="C504" s="22">
        <f>TsatFromP(テーブル2[[#This Row],[P]])</f>
        <v>626.57723583796371</v>
      </c>
      <c r="D504" s="36">
        <f>RhoGFromP(テーブル2[[#This Row],[P]])</f>
        <v>122.58359097668941</v>
      </c>
      <c r="E504" s="36">
        <f>RhoFFromP(テーブル2[[#This Row],[P]])</f>
        <v>560.26337686440854</v>
      </c>
      <c r="F504" s="36">
        <f>HgFromP(テーブル2[[#This Row],[P]])</f>
        <v>2538890.645480752</v>
      </c>
      <c r="G504" s="36">
        <f>HfFromP(テーブル2[[#This Row],[P]])</f>
        <v>1699798.646597503</v>
      </c>
      <c r="H504" s="36">
        <f>MuGFromP(テーブル2[[#This Row],[P]])</f>
        <v>2.4290890628325484E-5</v>
      </c>
      <c r="I504" s="36">
        <f>MuFFromP(テーブル2[[#This Row],[P]])</f>
        <v>6.4066005508527627E-5</v>
      </c>
      <c r="J504" s="36">
        <f>KfFromP(テーブル2[[#This Row],[P]])</f>
        <v>0.45288481052759361</v>
      </c>
      <c r="K504" s="36">
        <f>CpFFromP(テーブル2[[#This Row],[P]])</f>
        <v>11219.515372647445</v>
      </c>
      <c r="L504" s="36">
        <f>SigmaFromP(テーブル2[[#This Row],[P]])</f>
        <v>3.029253861182898E-3</v>
      </c>
      <c r="M504" s="36">
        <v>8.01</v>
      </c>
      <c r="N504" s="36">
        <v>2197.0925999999999</v>
      </c>
      <c r="O504" s="37">
        <f t="shared" si="236"/>
        <v>2.8502295699234246E-6</v>
      </c>
      <c r="P504" s="37">
        <f t="shared" si="237"/>
        <v>5.9847340050885557E-3</v>
      </c>
      <c r="Q504" s="37">
        <v>1.905E-3</v>
      </c>
      <c r="R504" s="36">
        <v>0.15240000000000001</v>
      </c>
      <c r="S504" s="38">
        <v>3817053.899999999</v>
      </c>
      <c r="T504" s="36">
        <v>523.23724590008021</v>
      </c>
      <c r="U504" s="12">
        <f>+T504+BG504*S504*テーブル2[[#This Row],[Pw]]*R504/(N504*O504*K504)</f>
        <v>572.78863246856758</v>
      </c>
      <c r="V504" s="36">
        <v>0.03</v>
      </c>
      <c r="W504" s="37">
        <f t="shared" si="208"/>
        <v>65330.456765294752</v>
      </c>
      <c r="X504" s="36">
        <v>0.01</v>
      </c>
      <c r="Y504" s="36">
        <f t="shared" si="209"/>
        <v>10</v>
      </c>
      <c r="Z504" s="36">
        <f t="shared" si="210"/>
        <v>4.8042160526373827</v>
      </c>
      <c r="AA504" s="36">
        <f t="shared" si="211"/>
        <v>5.1957839473626173</v>
      </c>
      <c r="AB504" s="36">
        <f t="shared" si="212"/>
        <v>3.3752225586413459E-5</v>
      </c>
      <c r="AC504" s="36">
        <v>600</v>
      </c>
      <c r="AD504" s="36">
        <f t="shared" si="213"/>
        <v>1154.890224918862</v>
      </c>
      <c r="AE504" s="36">
        <f>+gettm2(AD504,AC504,AK504,AL504,テーブル2[[#This Row],[Fcorr]])</f>
        <v>549.59109312326268</v>
      </c>
      <c r="AF504" s="39">
        <f t="shared" si="214"/>
        <v>-23.197539345304904</v>
      </c>
      <c r="AG504" s="36">
        <v>1.0000000000000001E-5</v>
      </c>
      <c r="AH504" s="36">
        <f t="shared" si="215"/>
        <v>10.769970187929605</v>
      </c>
      <c r="AI504" s="36">
        <f t="shared" si="216"/>
        <v>0.13864720955433521</v>
      </c>
      <c r="AJ504" s="36">
        <f t="shared" si="217"/>
        <v>12.124831757678344</v>
      </c>
      <c r="AK504" s="36">
        <f>+S88*テーブル2[[#This Row],[F_form]]/(E88*CpFromTP((テーブル2[[#This Row],[Tin]]+テーブル2[[#This Row],[Tf]])/2,テーブル2[[#This Row],[P]])*AI88)</f>
        <v>1.9819235729374864</v>
      </c>
      <c r="AL504" s="36">
        <f t="shared" si="218"/>
        <v>1.5871354414153991</v>
      </c>
      <c r="AM504" s="36">
        <f t="shared" si="219"/>
        <v>572.55672256992386</v>
      </c>
      <c r="AN504" s="36">
        <f t="shared" si="220"/>
        <v>54.020513268039849</v>
      </c>
      <c r="AO504" s="36">
        <f t="shared" si="221"/>
        <v>-2.375222558641346E-5</v>
      </c>
      <c r="AP504" s="36">
        <v>1</v>
      </c>
      <c r="AQ504" s="36">
        <f t="shared" si="222"/>
        <v>1.8924061455248241E-4</v>
      </c>
      <c r="AR504" s="36">
        <f t="shared" si="223"/>
        <v>-6.8761127932067305E-6</v>
      </c>
      <c r="AS504" s="36">
        <f t="shared" si="224"/>
        <v>-8.337171076445129</v>
      </c>
      <c r="AT504" s="36">
        <f t="shared" si="225"/>
        <v>-8.337171076445129</v>
      </c>
      <c r="AU504" s="36">
        <f t="shared" si="226"/>
        <v>-1.1559255053262303</v>
      </c>
      <c r="AV504" s="36">
        <f t="shared" si="227"/>
        <v>2.1559255053262305</v>
      </c>
      <c r="AW504" s="36">
        <f t="shared" si="228"/>
        <v>2.6775315899963265E-2</v>
      </c>
      <c r="AX504" s="36">
        <f t="shared" si="229"/>
        <v>0.32896525925382714</v>
      </c>
      <c r="AY504" s="36">
        <f t="shared" si="230"/>
        <v>1.8269602460724035</v>
      </c>
      <c r="AZ504" s="36">
        <f t="shared" si="231"/>
        <v>839091.99888324901</v>
      </c>
      <c r="BA504" s="36">
        <f t="shared" si="232"/>
        <v>1.8924061455248241E-4</v>
      </c>
      <c r="BB504" s="38">
        <f t="shared" si="233"/>
        <v>-59005402.071321875</v>
      </c>
      <c r="BC504" s="40">
        <f t="shared" si="234"/>
        <v>-62822455.971321873</v>
      </c>
      <c r="BD504" s="41">
        <f t="shared" si="235"/>
        <v>-1645.8362291222006</v>
      </c>
      <c r="BE504" s="38">
        <v>3817053.899999999</v>
      </c>
      <c r="BF504" s="42">
        <f>テーブル2[[#This Row],[q_P]]/テーブル2[[#This Row],[q_M]]</f>
        <v>-15.458362291222006</v>
      </c>
      <c r="BG504" s="36">
        <v>1</v>
      </c>
      <c r="BH504" s="36">
        <v>-6.8000000000000005E-2</v>
      </c>
      <c r="BI504" s="36">
        <v>4.5999999999999999E-2</v>
      </c>
      <c r="BJ504" s="36">
        <v>5625</v>
      </c>
      <c r="BK504" s="22">
        <v>1</v>
      </c>
      <c r="BL504" s="36">
        <f>テーブル2[[#This Row],[Ts]]-テーブル2[[#This Row],[Tin]]</f>
        <v>103.3399899378835</v>
      </c>
      <c r="BM504" s="36">
        <f>テーブル2[[#This Row],[q_P]]*0.000001</f>
        <v>-59.005402071321875</v>
      </c>
      <c r="BN504" s="36">
        <f>テーブル2[[#This Row],[Tsub]]</f>
        <v>103.3399899378835</v>
      </c>
      <c r="BO504" s="36">
        <f>テーブル2[[#This Row],[Fcorr]]</f>
        <v>1</v>
      </c>
      <c r="BP504" s="36">
        <f>(テーブル2[[#This Row],[Tsub]]-40)^2</f>
        <v>4011.9543253311831</v>
      </c>
      <c r="BQ504" s="36">
        <v>1</v>
      </c>
      <c r="BR504" s="36">
        <v>0.15240000000000001</v>
      </c>
    </row>
    <row r="505" spans="1:70" x14ac:dyDescent="0.15">
      <c r="A505" s="35" t="s">
        <v>240</v>
      </c>
      <c r="B505" s="36">
        <v>17236893.232919998</v>
      </c>
      <c r="C505" s="22">
        <f>TsatFromP(テーブル2[[#This Row],[P]])</f>
        <v>626.57723583796371</v>
      </c>
      <c r="D505" s="36">
        <f>RhoGFromP(テーブル2[[#This Row],[P]])</f>
        <v>122.58359097668941</v>
      </c>
      <c r="E505" s="36">
        <f>RhoFFromP(テーブル2[[#This Row],[P]])</f>
        <v>560.26337686440854</v>
      </c>
      <c r="F505" s="36">
        <f>HgFromP(テーブル2[[#This Row],[P]])</f>
        <v>2538890.645480752</v>
      </c>
      <c r="G505" s="36">
        <f>HfFromP(テーブル2[[#This Row],[P]])</f>
        <v>1699798.646597503</v>
      </c>
      <c r="H505" s="36">
        <f>MuGFromP(テーブル2[[#This Row],[P]])</f>
        <v>2.4290890628325484E-5</v>
      </c>
      <c r="I505" s="36">
        <f>MuFFromP(テーブル2[[#This Row],[P]])</f>
        <v>6.4066005508527627E-5</v>
      </c>
      <c r="J505" s="36">
        <f>KfFromP(テーブル2[[#This Row],[P]])</f>
        <v>0.45288481052759361</v>
      </c>
      <c r="K505" s="36">
        <f>CpFFromP(テーブル2[[#This Row],[P]])</f>
        <v>11219.515372647445</v>
      </c>
      <c r="L505" s="36">
        <f>SigmaFromP(テーブル2[[#This Row],[P]])</f>
        <v>3.029253861182898E-3</v>
      </c>
      <c r="M505" s="36">
        <v>9.01</v>
      </c>
      <c r="N505" s="36">
        <v>2210.6549</v>
      </c>
      <c r="O505" s="37">
        <f t="shared" si="236"/>
        <v>2.8502295699234246E-6</v>
      </c>
      <c r="P505" s="37">
        <f t="shared" si="237"/>
        <v>5.9847340050885557E-3</v>
      </c>
      <c r="Q505" s="37">
        <v>1.905E-3</v>
      </c>
      <c r="R505" s="36">
        <v>0.15240000000000001</v>
      </c>
      <c r="S505" s="38">
        <v>4353334.1999999993</v>
      </c>
      <c r="T505" s="36">
        <v>508.1846213637059</v>
      </c>
      <c r="U505" s="12">
        <f>+T505+BG505*S505*テーブル2[[#This Row],[Pw]]*R505/(N505*O505*K505)</f>
        <v>564.35106653559171</v>
      </c>
      <c r="V505" s="36">
        <v>0.03</v>
      </c>
      <c r="W505" s="37">
        <f t="shared" si="208"/>
        <v>65733.731189771876</v>
      </c>
      <c r="X505" s="36">
        <v>0.01</v>
      </c>
      <c r="Y505" s="36">
        <f t="shared" si="209"/>
        <v>10</v>
      </c>
      <c r="Z505" s="36">
        <f t="shared" si="210"/>
        <v>4.8143852498476445</v>
      </c>
      <c r="AA505" s="36">
        <f t="shared" si="211"/>
        <v>5.1856147501523555</v>
      </c>
      <c r="AB505" s="36">
        <f t="shared" si="212"/>
        <v>3.3339358210314073E-5</v>
      </c>
      <c r="AC505" s="36">
        <v>600</v>
      </c>
      <c r="AD505" s="36">
        <f t="shared" si="213"/>
        <v>1162.0191769245341</v>
      </c>
      <c r="AE505" s="36">
        <f>+gettm2(AD505,AC505,AK505,AL505,テーブル2[[#This Row],[Fcorr]])</f>
        <v>548.06179215136137</v>
      </c>
      <c r="AF505" s="39">
        <f t="shared" si="214"/>
        <v>-16.289274384230339</v>
      </c>
      <c r="AG505" s="36">
        <v>1.0000000000000001E-5</v>
      </c>
      <c r="AH505" s="36">
        <f t="shared" si="215"/>
        <v>10.903343161221679</v>
      </c>
      <c r="AI505" s="36">
        <f t="shared" si="216"/>
        <v>0.13950305652689285</v>
      </c>
      <c r="AJ505" s="36">
        <f t="shared" si="217"/>
        <v>12.199676398157838</v>
      </c>
      <c r="AK505" s="36">
        <f>+S88*テーブル2[[#This Row],[F_form]]/(E88*CpFromTP((テーブル2[[#This Row],[Tin]]+テーブル2[[#This Row],[Tf]])/2,テーブル2[[#This Row],[P]])*AI88)</f>
        <v>2.0407781732907102</v>
      </c>
      <c r="AL505" s="36">
        <f t="shared" si="218"/>
        <v>1.5871354414153991</v>
      </c>
      <c r="AM505" s="36">
        <f t="shared" si="219"/>
        <v>571.6677192249191</v>
      </c>
      <c r="AN505" s="36">
        <f t="shared" si="220"/>
        <v>54.909516613044616</v>
      </c>
      <c r="AO505" s="36">
        <f t="shared" si="221"/>
        <v>-2.3339358210314073E-5</v>
      </c>
      <c r="AP505" s="36">
        <v>1</v>
      </c>
      <c r="AQ505" s="36">
        <f t="shared" si="222"/>
        <v>1.8924061455248241E-4</v>
      </c>
      <c r="AR505" s="36">
        <f t="shared" si="223"/>
        <v>-6.6696791051570371E-6</v>
      </c>
      <c r="AS505" s="36">
        <f t="shared" si="224"/>
        <v>-8.1367926762470795</v>
      </c>
      <c r="AT505" s="36">
        <f t="shared" si="225"/>
        <v>-8.1367926762470795</v>
      </c>
      <c r="AU505" s="36">
        <f t="shared" si="226"/>
        <v>-1.135107448662104</v>
      </c>
      <c r="AV505" s="36">
        <f t="shared" si="227"/>
        <v>2.135107448662104</v>
      </c>
      <c r="AW505" s="36">
        <f t="shared" si="228"/>
        <v>2.6447792181814738E-2</v>
      </c>
      <c r="AX505" s="36">
        <f t="shared" si="229"/>
        <v>0.33099590900230758</v>
      </c>
      <c r="AY505" s="36">
        <f t="shared" si="230"/>
        <v>1.8041115396597964</v>
      </c>
      <c r="AZ505" s="36">
        <f t="shared" si="231"/>
        <v>839091.99888324901</v>
      </c>
      <c r="BA505" s="36">
        <f t="shared" si="232"/>
        <v>1.8924061455248241E-4</v>
      </c>
      <c r="BB505" s="38">
        <f t="shared" si="233"/>
        <v>-57979754.792912267</v>
      </c>
      <c r="BC505" s="40">
        <f t="shared" si="234"/>
        <v>-62333088.992912263</v>
      </c>
      <c r="BD505" s="41">
        <f t="shared" si="235"/>
        <v>-1431.8470884434341</v>
      </c>
      <c r="BE505" s="38">
        <v>4353334.1999999993</v>
      </c>
      <c r="BF505" s="42">
        <f>テーブル2[[#This Row],[q_P]]/テーブル2[[#This Row],[q_M]]</f>
        <v>-13.318470884434344</v>
      </c>
      <c r="BG505" s="36">
        <v>1</v>
      </c>
      <c r="BH505" s="36">
        <v>-6.3E-2</v>
      </c>
      <c r="BI505" s="36">
        <v>4.5999999999999999E-2</v>
      </c>
      <c r="BJ505" s="36">
        <v>5625</v>
      </c>
      <c r="BK505" s="22">
        <v>1</v>
      </c>
      <c r="BL505" s="36">
        <f>テーブル2[[#This Row],[Ts]]-テーブル2[[#This Row],[Tin]]</f>
        <v>118.39261447425781</v>
      </c>
      <c r="BM505" s="36">
        <f>テーブル2[[#This Row],[q_P]]*0.000001</f>
        <v>-57.979754792912267</v>
      </c>
      <c r="BN505" s="36">
        <f>テーブル2[[#This Row],[Tsub]]</f>
        <v>118.39261447425781</v>
      </c>
      <c r="BO505" s="36">
        <f>テーブル2[[#This Row],[Fcorr]]</f>
        <v>1</v>
      </c>
      <c r="BP505" s="36">
        <f>(テーブル2[[#This Row],[Tsub]]-40)^2</f>
        <v>6145.4020041096155</v>
      </c>
      <c r="BQ505" s="36">
        <v>1</v>
      </c>
      <c r="BR505" s="36">
        <v>0.15240000000000001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O1033"/>
  <sheetViews>
    <sheetView topLeftCell="A49" workbookViewId="0">
      <selection activeCell="J25" sqref="J25"/>
    </sheetView>
  </sheetViews>
  <sheetFormatPr defaultRowHeight="13.5" x14ac:dyDescent="0.15"/>
  <sheetData>
    <row r="1" spans="1:15" x14ac:dyDescent="0.15">
      <c r="A1" t="s">
        <v>452</v>
      </c>
      <c r="B1" t="s">
        <v>0</v>
      </c>
      <c r="C1" t="s">
        <v>453</v>
      </c>
      <c r="D1" t="s">
        <v>454</v>
      </c>
      <c r="E1" t="s">
        <v>455</v>
      </c>
      <c r="F1" t="s">
        <v>456</v>
      </c>
      <c r="G1" t="s">
        <v>18</v>
      </c>
      <c r="H1" t="s">
        <v>53</v>
      </c>
      <c r="I1" t="s">
        <v>40</v>
      </c>
      <c r="J1" t="s">
        <v>32</v>
      </c>
      <c r="K1" t="s">
        <v>57</v>
      </c>
      <c r="L1" t="s">
        <v>457</v>
      </c>
      <c r="M1" t="s">
        <v>458</v>
      </c>
      <c r="N1" t="s">
        <v>459</v>
      </c>
      <c r="O1" t="s">
        <v>460</v>
      </c>
    </row>
    <row r="2" spans="1:15" x14ac:dyDescent="0.15">
      <c r="A2">
        <v>226</v>
      </c>
      <c r="B2" t="s">
        <v>172</v>
      </c>
      <c r="C2" t="s">
        <v>461</v>
      </c>
      <c r="D2">
        <v>0</v>
      </c>
      <c r="E2">
        <v>100000</v>
      </c>
      <c r="F2">
        <v>12000000</v>
      </c>
      <c r="G2">
        <v>100000</v>
      </c>
      <c r="H2">
        <v>-23646.164214381108</v>
      </c>
      <c r="I2">
        <v>-3.4568031211913247E-5</v>
      </c>
      <c r="J2">
        <v>-8.4000427394651136E-6</v>
      </c>
      <c r="K2">
        <v>-7.3488199530423138E-3</v>
      </c>
      <c r="L2">
        <v>-123.6461642143811</v>
      </c>
      <c r="M2">
        <v>0</v>
      </c>
      <c r="O2" t="s">
        <v>462</v>
      </c>
    </row>
    <row r="3" spans="1:15" x14ac:dyDescent="0.15">
      <c r="A3">
        <v>226</v>
      </c>
      <c r="B3" t="s">
        <v>172</v>
      </c>
      <c r="C3" t="s">
        <v>461</v>
      </c>
      <c r="D3">
        <v>0</v>
      </c>
      <c r="E3">
        <v>100000</v>
      </c>
      <c r="F3">
        <v>12000000</v>
      </c>
      <c r="G3">
        <v>12000000</v>
      </c>
      <c r="H3">
        <v>1.4271059776795487E+18</v>
      </c>
      <c r="I3">
        <v>536.87089583201168</v>
      </c>
      <c r="J3">
        <v>536.87092200000018</v>
      </c>
      <c r="K3">
        <v>443519920981.48077</v>
      </c>
      <c r="L3">
        <v>11892549813896.238</v>
      </c>
      <c r="M3">
        <v>5</v>
      </c>
      <c r="O3" t="s">
        <v>463</v>
      </c>
    </row>
    <row r="4" spans="1:15" x14ac:dyDescent="0.15">
      <c r="A4">
        <v>226</v>
      </c>
      <c r="B4" t="s">
        <v>172</v>
      </c>
      <c r="C4" t="s">
        <v>464</v>
      </c>
      <c r="D4">
        <v>1</v>
      </c>
      <c r="E4">
        <v>100000</v>
      </c>
      <c r="F4">
        <v>12000000</v>
      </c>
      <c r="G4">
        <v>6050000</v>
      </c>
      <c r="H4">
        <v>575978101205622</v>
      </c>
      <c r="I4">
        <v>0.60741437042767954</v>
      </c>
      <c r="J4">
        <v>0.60744053841615198</v>
      </c>
      <c r="K4">
        <v>179004058.51368585</v>
      </c>
      <c r="L4">
        <v>9520299093.4813557</v>
      </c>
      <c r="M4">
        <v>0</v>
      </c>
    </row>
    <row r="5" spans="1:15" x14ac:dyDescent="0.15">
      <c r="A5">
        <v>226</v>
      </c>
      <c r="B5" t="s">
        <v>172</v>
      </c>
      <c r="C5" t="s">
        <v>464</v>
      </c>
      <c r="D5">
        <v>2</v>
      </c>
      <c r="E5">
        <v>100000</v>
      </c>
      <c r="F5">
        <v>6050000</v>
      </c>
      <c r="G5">
        <v>3075000</v>
      </c>
      <c r="H5">
        <v>-259968.2877382549</v>
      </c>
      <c r="I5">
        <v>-2.0855981154215223E-5</v>
      </c>
      <c r="J5">
        <v>5.312007318232911E-6</v>
      </c>
      <c r="K5">
        <v>-8.0793659503017021E-2</v>
      </c>
      <c r="L5">
        <v>-108.45425325978064</v>
      </c>
      <c r="M5">
        <v>0</v>
      </c>
    </row>
    <row r="6" spans="1:15" x14ac:dyDescent="0.15">
      <c r="A6">
        <v>226</v>
      </c>
      <c r="B6" t="s">
        <v>172</v>
      </c>
      <c r="C6" t="s">
        <v>464</v>
      </c>
      <c r="D6">
        <v>3</v>
      </c>
      <c r="E6">
        <v>3075000</v>
      </c>
      <c r="F6">
        <v>6050000</v>
      </c>
      <c r="G6">
        <v>4562500</v>
      </c>
      <c r="H6">
        <v>159643160338.24771</v>
      </c>
      <c r="I6">
        <v>7.7235207724090618E-4</v>
      </c>
      <c r="J6">
        <v>7.9852006571335429E-4</v>
      </c>
      <c r="K6">
        <v>49614.340466558169</v>
      </c>
      <c r="L6">
        <v>3498928.1717972099</v>
      </c>
      <c r="M6">
        <v>0</v>
      </c>
    </row>
    <row r="7" spans="1:15" x14ac:dyDescent="0.15">
      <c r="A7">
        <v>226</v>
      </c>
      <c r="B7" t="s">
        <v>172</v>
      </c>
      <c r="C7" t="s">
        <v>464</v>
      </c>
      <c r="D7">
        <v>4</v>
      </c>
      <c r="E7">
        <v>3075000</v>
      </c>
      <c r="F7">
        <v>4562500</v>
      </c>
      <c r="G7">
        <v>3818750</v>
      </c>
      <c r="H7">
        <v>666677142.60952508</v>
      </c>
      <c r="I7">
        <v>1.1110533972180122E-5</v>
      </c>
      <c r="J7">
        <v>3.7278522444628254E-5</v>
      </c>
      <c r="K7">
        <v>207.19175606783901</v>
      </c>
      <c r="L7">
        <v>17357.993914488383</v>
      </c>
      <c r="M7">
        <v>0</v>
      </c>
    </row>
    <row r="8" spans="1:15" x14ac:dyDescent="0.15">
      <c r="A8">
        <v>226</v>
      </c>
      <c r="B8" t="s">
        <v>172</v>
      </c>
      <c r="C8" t="s">
        <v>464</v>
      </c>
      <c r="D8">
        <v>5</v>
      </c>
      <c r="E8">
        <v>3075000</v>
      </c>
      <c r="F8">
        <v>3818750</v>
      </c>
      <c r="G8">
        <v>3446875</v>
      </c>
      <c r="H8">
        <v>-2998706.5375506682</v>
      </c>
      <c r="I8">
        <v>-1.5212276813122699E-5</v>
      </c>
      <c r="J8">
        <v>1.0955711659325433E-5</v>
      </c>
      <c r="K8">
        <v>-0.93194626564710914</v>
      </c>
      <c r="L8">
        <v>-186.99783245840561</v>
      </c>
      <c r="M8">
        <v>0</v>
      </c>
    </row>
    <row r="9" spans="1:15" x14ac:dyDescent="0.15">
      <c r="A9">
        <v>226</v>
      </c>
      <c r="B9" t="s">
        <v>172</v>
      </c>
      <c r="C9" t="s">
        <v>464</v>
      </c>
      <c r="D9">
        <v>6</v>
      </c>
      <c r="E9">
        <v>3446875</v>
      </c>
      <c r="F9">
        <v>3818750</v>
      </c>
      <c r="G9">
        <v>3632812.5</v>
      </c>
      <c r="H9">
        <v>-116289119.53233801</v>
      </c>
      <c r="I9">
        <v>-8.4917879361150669E-6</v>
      </c>
      <c r="J9">
        <v>1.7676200536333065E-5</v>
      </c>
      <c r="K9">
        <v>-36.140652420117497</v>
      </c>
      <c r="L9">
        <v>-3301.076838739627</v>
      </c>
      <c r="M9">
        <v>0</v>
      </c>
    </row>
    <row r="10" spans="1:15" x14ac:dyDescent="0.15">
      <c r="A10">
        <v>226</v>
      </c>
      <c r="B10" t="s">
        <v>172</v>
      </c>
      <c r="C10" t="s">
        <v>464</v>
      </c>
      <c r="D10">
        <v>7</v>
      </c>
      <c r="E10">
        <v>3632812.5</v>
      </c>
      <c r="F10">
        <v>3818750</v>
      </c>
      <c r="G10">
        <v>3725781.25</v>
      </c>
      <c r="H10">
        <v>-21800604.541275643</v>
      </c>
      <c r="I10">
        <v>-5.2147819853123949E-7</v>
      </c>
      <c r="J10">
        <v>2.5646510273916892E-5</v>
      </c>
      <c r="K10">
        <v>-6.7752518416443923</v>
      </c>
      <c r="L10">
        <v>-685.12840874046594</v>
      </c>
      <c r="M10">
        <v>0</v>
      </c>
    </row>
    <row r="11" spans="1:15" x14ac:dyDescent="0.15">
      <c r="A11">
        <v>226</v>
      </c>
      <c r="B11" t="s">
        <v>172</v>
      </c>
      <c r="C11" t="s">
        <v>464</v>
      </c>
      <c r="D11">
        <v>8</v>
      </c>
      <c r="E11">
        <v>3725781.25</v>
      </c>
      <c r="F11">
        <v>3818750</v>
      </c>
      <c r="G11">
        <v>3772265.625</v>
      </c>
      <c r="H11">
        <v>248997724.81211028</v>
      </c>
      <c r="I11">
        <v>4.7456139085594449E-6</v>
      </c>
      <c r="J11">
        <v>3.0913602381007577E-5</v>
      </c>
      <c r="K11">
        <v>77.384197782425318</v>
      </c>
      <c r="L11">
        <v>6500.7473906907144</v>
      </c>
      <c r="M11">
        <v>0</v>
      </c>
    </row>
    <row r="12" spans="1:15" x14ac:dyDescent="0.15">
      <c r="A12">
        <v>226</v>
      </c>
      <c r="B12" t="s">
        <v>172</v>
      </c>
      <c r="C12" t="s">
        <v>464</v>
      </c>
      <c r="D12">
        <v>9</v>
      </c>
      <c r="E12">
        <v>3725781.25</v>
      </c>
      <c r="F12">
        <v>3772265.625</v>
      </c>
      <c r="G12">
        <v>3749023.4375</v>
      </c>
      <c r="H12">
        <v>96632008.061746567</v>
      </c>
      <c r="I12">
        <v>1.9874661474334786E-6</v>
      </c>
      <c r="J12">
        <v>2.815545461988161E-5</v>
      </c>
      <c r="K12">
        <v>30.031561250632855</v>
      </c>
      <c r="L12">
        <v>2477.5247787243679</v>
      </c>
      <c r="M12">
        <v>0</v>
      </c>
    </row>
    <row r="13" spans="1:15" x14ac:dyDescent="0.15">
      <c r="A13">
        <v>226</v>
      </c>
      <c r="B13" t="s">
        <v>172</v>
      </c>
      <c r="C13" t="s">
        <v>464</v>
      </c>
      <c r="D13">
        <v>10</v>
      </c>
      <c r="E13">
        <v>3725781.25</v>
      </c>
      <c r="F13">
        <v>3749023.4375</v>
      </c>
      <c r="G13">
        <v>3737402.34375</v>
      </c>
      <c r="H13">
        <v>32104769.682100289</v>
      </c>
      <c r="I13">
        <v>7.033182428728196E-7</v>
      </c>
      <c r="J13">
        <v>2.6871306715320951E-5</v>
      </c>
      <c r="K13">
        <v>9.9776086255950762</v>
      </c>
      <c r="L13">
        <v>759.01293811164317</v>
      </c>
      <c r="M13">
        <v>0</v>
      </c>
    </row>
    <row r="14" spans="1:15" x14ac:dyDescent="0.15">
      <c r="A14">
        <v>226</v>
      </c>
      <c r="B14" t="s">
        <v>172</v>
      </c>
      <c r="C14" t="s">
        <v>464</v>
      </c>
      <c r="D14">
        <v>11</v>
      </c>
      <c r="E14">
        <v>3725781.25</v>
      </c>
      <c r="F14">
        <v>3737402.34375</v>
      </c>
      <c r="G14">
        <v>3731591.796875</v>
      </c>
      <c r="H14">
        <v>3658296.687766098</v>
      </c>
      <c r="I14">
        <v>8.3678905426043772E-8</v>
      </c>
      <c r="J14">
        <v>2.6251667377874176E-5</v>
      </c>
      <c r="K14">
        <v>1.1369355067260218</v>
      </c>
      <c r="L14">
        <v>-1.9641781067876345</v>
      </c>
      <c r="M14">
        <v>0</v>
      </c>
    </row>
    <row r="15" spans="1:15" x14ac:dyDescent="0.15">
      <c r="A15">
        <v>226</v>
      </c>
      <c r="B15" t="s">
        <v>172</v>
      </c>
      <c r="C15" t="s">
        <v>464</v>
      </c>
      <c r="D15">
        <v>12</v>
      </c>
      <c r="E15">
        <v>3731591.796875</v>
      </c>
      <c r="F15">
        <v>3737402.34375</v>
      </c>
      <c r="G15">
        <v>3734497.0703125</v>
      </c>
      <c r="H15">
        <v>17499954.698185034</v>
      </c>
      <c r="I15">
        <v>3.9166554203591816E-7</v>
      </c>
      <c r="J15">
        <v>2.655965401448405E-5</v>
      </c>
      <c r="K15">
        <v>5.4386840545218096</v>
      </c>
      <c r="L15">
        <v>368.60271594002484</v>
      </c>
      <c r="M15">
        <v>0</v>
      </c>
    </row>
    <row r="16" spans="1:15" x14ac:dyDescent="0.15">
      <c r="A16">
        <v>226</v>
      </c>
      <c r="B16" t="s">
        <v>172</v>
      </c>
      <c r="C16" t="s">
        <v>464</v>
      </c>
      <c r="D16">
        <v>13</v>
      </c>
      <c r="E16">
        <v>3731591.796875</v>
      </c>
      <c r="F16">
        <v>3734497.0703125</v>
      </c>
      <c r="G16">
        <v>3733044.43359375</v>
      </c>
      <c r="H16">
        <v>10484727.019432627</v>
      </c>
      <c r="I16">
        <v>2.3721612232572553E-7</v>
      </c>
      <c r="J16">
        <v>2.6405204594773857E-5</v>
      </c>
      <c r="K16">
        <v>3.2584723012177981</v>
      </c>
      <c r="L16">
        <v>180.86263654084411</v>
      </c>
      <c r="M16">
        <v>0</v>
      </c>
    </row>
    <row r="17" spans="1:15" x14ac:dyDescent="0.15">
      <c r="A17">
        <v>226</v>
      </c>
      <c r="B17" t="s">
        <v>172</v>
      </c>
      <c r="C17" t="s">
        <v>464</v>
      </c>
      <c r="D17">
        <v>14</v>
      </c>
      <c r="E17">
        <v>3731591.796875</v>
      </c>
      <c r="F17">
        <v>3733044.43359375</v>
      </c>
      <c r="G17">
        <v>3732318.115234375</v>
      </c>
      <c r="H17">
        <v>7048013.4263311336</v>
      </c>
      <c r="I17">
        <v>1.6033324756725879E-7</v>
      </c>
      <c r="J17">
        <v>2.6328321720015391E-5</v>
      </c>
      <c r="K17">
        <v>2.1904009981133417</v>
      </c>
      <c r="L17">
        <v>88.837425126302392</v>
      </c>
      <c r="M17">
        <v>0</v>
      </c>
    </row>
    <row r="18" spans="1:15" x14ac:dyDescent="0.15">
      <c r="A18">
        <v>226</v>
      </c>
      <c r="B18" t="s">
        <v>172</v>
      </c>
      <c r="C18" t="s">
        <v>464</v>
      </c>
      <c r="D18">
        <v>15</v>
      </c>
      <c r="E18">
        <v>3731591.796875</v>
      </c>
      <c r="F18">
        <v>3732318.115234375</v>
      </c>
      <c r="G18">
        <v>3731954.9560546875</v>
      </c>
      <c r="H18">
        <v>5347339.4027238525</v>
      </c>
      <c r="I18">
        <v>1.2197852577179163E-7</v>
      </c>
      <c r="J18">
        <v>2.6289966998219923E-5</v>
      </c>
      <c r="K18">
        <v>1.661860847372743</v>
      </c>
      <c r="L18">
        <v>43.285207503600247</v>
      </c>
      <c r="M18">
        <v>0</v>
      </c>
    </row>
    <row r="19" spans="1:15" x14ac:dyDescent="0.15">
      <c r="A19">
        <v>226</v>
      </c>
      <c r="B19" t="s">
        <v>172</v>
      </c>
      <c r="C19" t="s">
        <v>464</v>
      </c>
      <c r="D19">
        <v>16</v>
      </c>
      <c r="E19">
        <v>3731591.796875</v>
      </c>
      <c r="F19">
        <v>3731954.9560546875</v>
      </c>
      <c r="G19">
        <v>3731773.3764648438</v>
      </c>
      <c r="H19">
        <v>4501288.8720834665</v>
      </c>
      <c r="I19">
        <v>1.0282008414473051E-7</v>
      </c>
      <c r="J19">
        <v>2.6270808556592862E-5</v>
      </c>
      <c r="K19">
        <v>1.3989229364082758</v>
      </c>
      <c r="L19">
        <v>20.620638446903616</v>
      </c>
      <c r="M19">
        <v>0</v>
      </c>
    </row>
    <row r="20" spans="1:15" x14ac:dyDescent="0.15">
      <c r="A20">
        <v>226</v>
      </c>
      <c r="B20" t="s">
        <v>172</v>
      </c>
      <c r="C20" t="s">
        <v>464</v>
      </c>
      <c r="D20">
        <v>17</v>
      </c>
      <c r="E20">
        <v>3731591.796875</v>
      </c>
      <c r="F20">
        <v>3731773.3764648438</v>
      </c>
      <c r="G20">
        <v>3731682.5866699219</v>
      </c>
      <c r="H20">
        <v>4079462.149149362</v>
      </c>
      <c r="I20">
        <v>9.3248503314924825E-8</v>
      </c>
      <c r="J20">
        <v>2.6261236975763057E-5</v>
      </c>
      <c r="K20">
        <v>1.2678264672253676</v>
      </c>
      <c r="L20">
        <v>9.3196448090669897</v>
      </c>
      <c r="M20">
        <v>0</v>
      </c>
    </row>
    <row r="21" spans="1:15" x14ac:dyDescent="0.15">
      <c r="A21">
        <v>226</v>
      </c>
      <c r="B21" t="s">
        <v>172</v>
      </c>
      <c r="C21" t="s">
        <v>464</v>
      </c>
      <c r="D21">
        <v>18</v>
      </c>
      <c r="E21">
        <v>3731591.796875</v>
      </c>
      <c r="F21">
        <v>3731682.5866699219</v>
      </c>
      <c r="G21">
        <v>3731637.1917724609</v>
      </c>
      <c r="H21">
        <v>3868719.8607058031</v>
      </c>
      <c r="I21">
        <v>8.8461708983718324E-8</v>
      </c>
      <c r="J21">
        <v>2.625645018143185E-5</v>
      </c>
      <c r="K21">
        <v>1.2023313991786893</v>
      </c>
      <c r="L21">
        <v>3.6735261733263624</v>
      </c>
      <c r="M21">
        <v>0</v>
      </c>
    </row>
    <row r="22" spans="1:15" x14ac:dyDescent="0.15">
      <c r="A22">
        <v>226</v>
      </c>
      <c r="B22" t="s">
        <v>172</v>
      </c>
      <c r="C22" t="s">
        <v>464</v>
      </c>
      <c r="D22">
        <v>19</v>
      </c>
      <c r="E22">
        <v>3731591.796875</v>
      </c>
      <c r="F22">
        <v>3731637.1917724609</v>
      </c>
      <c r="G22">
        <v>3731614.4943237305</v>
      </c>
      <c r="H22">
        <v>3763519.6605245704</v>
      </c>
      <c r="I22">
        <v>8.6070973353447749E-8</v>
      </c>
      <c r="J22">
        <v>2.625405944580158E-5</v>
      </c>
      <c r="K22">
        <v>1.1696369916144507</v>
      </c>
      <c r="L22">
        <v>0.85499630922143244</v>
      </c>
      <c r="M22">
        <v>0</v>
      </c>
    </row>
    <row r="23" spans="1:15" x14ac:dyDescent="0.15">
      <c r="A23">
        <v>226</v>
      </c>
      <c r="B23" t="s">
        <v>172</v>
      </c>
      <c r="C23" t="s">
        <v>465</v>
      </c>
      <c r="D23">
        <v>19</v>
      </c>
      <c r="E23">
        <v>3731591.796875</v>
      </c>
      <c r="F23">
        <v>3731637.1917724609</v>
      </c>
      <c r="G23">
        <v>3731614.4943237305</v>
      </c>
      <c r="H23">
        <v>3763519.6605245704</v>
      </c>
      <c r="I23">
        <v>8.6070973353447749E-8</v>
      </c>
      <c r="J23">
        <v>2.625405944580158E-5</v>
      </c>
      <c r="K23">
        <v>1.1696369916144507</v>
      </c>
      <c r="L23">
        <v>0.85499630922143244</v>
      </c>
      <c r="M23">
        <v>0</v>
      </c>
      <c r="N23" t="s">
        <v>466</v>
      </c>
      <c r="O23" t="s">
        <v>467</v>
      </c>
    </row>
    <row r="24" spans="1:15" x14ac:dyDescent="0.15">
      <c r="A24">
        <v>227</v>
      </c>
      <c r="B24" t="s">
        <v>181</v>
      </c>
      <c r="C24" t="s">
        <v>461</v>
      </c>
      <c r="D24">
        <v>0</v>
      </c>
      <c r="E24">
        <v>100000</v>
      </c>
      <c r="F24">
        <v>12000000</v>
      </c>
      <c r="G24">
        <v>100000</v>
      </c>
      <c r="H24">
        <v>-16586.387389427993</v>
      </c>
      <c r="I24">
        <v>-3.2778346523372859E-5</v>
      </c>
      <c r="J24">
        <v>-1.0825712746633361E-5</v>
      </c>
      <c r="K24">
        <v>-4.1729034566834492E-3</v>
      </c>
      <c r="L24">
        <v>-116.586387389428</v>
      </c>
      <c r="M24">
        <v>0</v>
      </c>
      <c r="O24" t="s">
        <v>462</v>
      </c>
    </row>
    <row r="25" spans="1:15" x14ac:dyDescent="0.15">
      <c r="A25">
        <v>227</v>
      </c>
      <c r="B25" t="s">
        <v>181</v>
      </c>
      <c r="C25" t="s">
        <v>461</v>
      </c>
      <c r="D25">
        <v>0</v>
      </c>
      <c r="E25">
        <v>100000</v>
      </c>
      <c r="F25">
        <v>12000000</v>
      </c>
      <c r="G25">
        <v>12000000</v>
      </c>
      <c r="H25">
        <v>1.876042526919842E+18</v>
      </c>
      <c r="I25">
        <v>536.87090004736626</v>
      </c>
      <c r="J25">
        <v>536.87092200000006</v>
      </c>
      <c r="K25">
        <v>471986102920.68799</v>
      </c>
      <c r="L25">
        <v>15633687724232.018</v>
      </c>
      <c r="M25">
        <v>5</v>
      </c>
      <c r="O25" t="s">
        <v>463</v>
      </c>
    </row>
    <row r="26" spans="1:15" x14ac:dyDescent="0.15">
      <c r="A26">
        <v>227</v>
      </c>
      <c r="B26" t="s">
        <v>181</v>
      </c>
      <c r="C26" t="s">
        <v>464</v>
      </c>
      <c r="D26">
        <v>1</v>
      </c>
      <c r="E26">
        <v>100000</v>
      </c>
      <c r="F26">
        <v>12000000</v>
      </c>
      <c r="G26">
        <v>6050000</v>
      </c>
      <c r="H26">
        <v>114052019446.76941</v>
      </c>
      <c r="I26">
        <v>4.7928489887082046E-4</v>
      </c>
      <c r="J26">
        <v>5.0123753264755993E-4</v>
      </c>
      <c r="K26">
        <v>28693.895482900884</v>
      </c>
      <c r="L26">
        <v>1885057.3462275935</v>
      </c>
      <c r="M26">
        <v>0</v>
      </c>
    </row>
    <row r="27" spans="1:15" x14ac:dyDescent="0.15">
      <c r="A27">
        <v>227</v>
      </c>
      <c r="B27" t="s">
        <v>181</v>
      </c>
      <c r="C27" t="s">
        <v>464</v>
      </c>
      <c r="D27">
        <v>2</v>
      </c>
      <c r="E27">
        <v>100000</v>
      </c>
      <c r="F27">
        <v>6050000</v>
      </c>
      <c r="G27">
        <v>3075000</v>
      </c>
      <c r="H27">
        <v>-68575.341411593414</v>
      </c>
      <c r="I27">
        <v>-2.2855676030191161E-5</v>
      </c>
      <c r="J27">
        <v>-9.030422534516631E-7</v>
      </c>
      <c r="K27">
        <v>-1.7252598320601172E-2</v>
      </c>
      <c r="L27">
        <v>-102.23009240362906</v>
      </c>
      <c r="M27">
        <v>0</v>
      </c>
    </row>
    <row r="28" spans="1:15" x14ac:dyDescent="0.15">
      <c r="A28">
        <v>227</v>
      </c>
      <c r="B28" t="s">
        <v>181</v>
      </c>
      <c r="C28" t="s">
        <v>464</v>
      </c>
      <c r="D28">
        <v>3</v>
      </c>
      <c r="E28">
        <v>3075000</v>
      </c>
      <c r="F28">
        <v>6050000</v>
      </c>
      <c r="G28">
        <v>4562500</v>
      </c>
      <c r="H28">
        <v>-501285.20431519201</v>
      </c>
      <c r="I28">
        <v>-1.5997509600701223E-5</v>
      </c>
      <c r="J28">
        <v>5.9551241760382727E-6</v>
      </c>
      <c r="K28">
        <v>-0.12611635751402001</v>
      </c>
      <c r="L28">
        <v>-110.98707297129188</v>
      </c>
      <c r="M28">
        <v>0</v>
      </c>
    </row>
    <row r="29" spans="1:15" x14ac:dyDescent="0.15">
      <c r="A29">
        <v>227</v>
      </c>
      <c r="B29" t="s">
        <v>181</v>
      </c>
      <c r="C29" t="s">
        <v>464</v>
      </c>
      <c r="D29">
        <v>4</v>
      </c>
      <c r="E29">
        <v>4562500</v>
      </c>
      <c r="F29">
        <v>6050000</v>
      </c>
      <c r="G29">
        <v>5306250</v>
      </c>
      <c r="H29">
        <v>1077239909.8814631</v>
      </c>
      <c r="I29">
        <v>1.3430874473324314E-5</v>
      </c>
      <c r="J29">
        <v>3.5383508250063811E-5</v>
      </c>
      <c r="K29">
        <v>271.01851886607534</v>
      </c>
      <c r="L29">
        <v>20201.341057836758</v>
      </c>
      <c r="M29">
        <v>0</v>
      </c>
    </row>
    <row r="30" spans="1:15" x14ac:dyDescent="0.15">
      <c r="A30">
        <v>227</v>
      </c>
      <c r="B30" t="s">
        <v>181</v>
      </c>
      <c r="C30" t="s">
        <v>464</v>
      </c>
      <c r="D30">
        <v>5</v>
      </c>
      <c r="E30">
        <v>4562500</v>
      </c>
      <c r="F30">
        <v>5306250</v>
      </c>
      <c r="G30">
        <v>4934375</v>
      </c>
      <c r="H30">
        <v>-14502980.497070361</v>
      </c>
      <c r="I30">
        <v>-1.0722432439598766E-5</v>
      </c>
      <c r="J30">
        <v>1.123020133714073E-5</v>
      </c>
      <c r="K30">
        <v>-3.6487473750318977</v>
      </c>
      <c r="L30">
        <v>-393.91727416482047</v>
      </c>
      <c r="M30">
        <v>0</v>
      </c>
    </row>
    <row r="31" spans="1:15" x14ac:dyDescent="0.15">
      <c r="A31">
        <v>227</v>
      </c>
      <c r="B31" t="s">
        <v>181</v>
      </c>
      <c r="C31" t="s">
        <v>464</v>
      </c>
      <c r="D31">
        <v>6</v>
      </c>
      <c r="E31">
        <v>4934375</v>
      </c>
      <c r="F31">
        <v>5306250</v>
      </c>
      <c r="G31">
        <v>5120312.5</v>
      </c>
      <c r="H31">
        <v>-119432000.46817639</v>
      </c>
      <c r="I31">
        <v>-3.4758641372138282E-6</v>
      </c>
      <c r="J31">
        <v>1.8476769639525668E-5</v>
      </c>
      <c r="K31">
        <v>-30.047423582421221</v>
      </c>
      <c r="L31">
        <v>-2432.5138937941074</v>
      </c>
      <c r="M31">
        <v>0</v>
      </c>
    </row>
    <row r="32" spans="1:15" x14ac:dyDescent="0.15">
      <c r="A32">
        <v>227</v>
      </c>
      <c r="B32" t="s">
        <v>181</v>
      </c>
      <c r="C32" t="s">
        <v>464</v>
      </c>
      <c r="D32">
        <v>7</v>
      </c>
      <c r="E32">
        <v>5120312.5</v>
      </c>
      <c r="F32">
        <v>5306250</v>
      </c>
      <c r="G32">
        <v>5213281.25</v>
      </c>
      <c r="H32">
        <v>229679151.99551636</v>
      </c>
      <c r="I32">
        <v>3.6009385197462252E-6</v>
      </c>
      <c r="J32">
        <v>2.5553572296485722E-5</v>
      </c>
      <c r="K32">
        <v>57.784067427552493</v>
      </c>
      <c r="L32">
        <v>4305.6543466845642</v>
      </c>
      <c r="M32">
        <v>0</v>
      </c>
    </row>
    <row r="33" spans="1:15" x14ac:dyDescent="0.15">
      <c r="A33">
        <v>227</v>
      </c>
      <c r="B33" t="s">
        <v>181</v>
      </c>
      <c r="C33" t="s">
        <v>464</v>
      </c>
      <c r="D33">
        <v>8</v>
      </c>
      <c r="E33">
        <v>5120312.5</v>
      </c>
      <c r="F33">
        <v>5213281.25</v>
      </c>
      <c r="G33">
        <v>5166796.875</v>
      </c>
      <c r="H33">
        <v>-11346588.627363227</v>
      </c>
      <c r="I33">
        <v>-2.2714500078998325E-7</v>
      </c>
      <c r="J33">
        <v>2.1725488775949513E-5</v>
      </c>
      <c r="K33">
        <v>-2.8546432561239006</v>
      </c>
      <c r="L33">
        <v>-319.60585836584153</v>
      </c>
      <c r="M33">
        <v>0</v>
      </c>
    </row>
    <row r="34" spans="1:15" x14ac:dyDescent="0.15">
      <c r="A34">
        <v>227</v>
      </c>
      <c r="B34" t="s">
        <v>181</v>
      </c>
      <c r="C34" t="s">
        <v>464</v>
      </c>
      <c r="D34">
        <v>9</v>
      </c>
      <c r="E34">
        <v>5166796.875</v>
      </c>
      <c r="F34">
        <v>5213281.25</v>
      </c>
      <c r="G34">
        <v>5190039.0625</v>
      </c>
      <c r="H34">
        <v>93550536.058196813</v>
      </c>
      <c r="I34">
        <v>1.6083405602257098E-6</v>
      </c>
      <c r="J34">
        <v>2.3560974336965206E-5</v>
      </c>
      <c r="K34">
        <v>23.536008542804325</v>
      </c>
      <c r="L34">
        <v>1702.5015791140167</v>
      </c>
      <c r="M34">
        <v>0</v>
      </c>
    </row>
    <row r="35" spans="1:15" x14ac:dyDescent="0.15">
      <c r="A35">
        <v>227</v>
      </c>
      <c r="B35" t="s">
        <v>181</v>
      </c>
      <c r="C35" t="s">
        <v>464</v>
      </c>
      <c r="D35">
        <v>10</v>
      </c>
      <c r="E35">
        <v>5166796.875</v>
      </c>
      <c r="F35">
        <v>5190039.0625</v>
      </c>
      <c r="G35">
        <v>5178417.96875</v>
      </c>
      <c r="H35">
        <v>36292696.812968992</v>
      </c>
      <c r="I35">
        <v>6.7176701038523275E-7</v>
      </c>
      <c r="J35">
        <v>2.2624400787124729E-5</v>
      </c>
      <c r="K35">
        <v>9.1307357309002022</v>
      </c>
      <c r="L35">
        <v>600.84525876403052</v>
      </c>
      <c r="M35">
        <v>0</v>
      </c>
    </row>
    <row r="36" spans="1:15" x14ac:dyDescent="0.15">
      <c r="A36">
        <v>227</v>
      </c>
      <c r="B36" t="s">
        <v>181</v>
      </c>
      <c r="C36" t="s">
        <v>464</v>
      </c>
      <c r="D36">
        <v>11</v>
      </c>
      <c r="E36">
        <v>5166796.875</v>
      </c>
      <c r="F36">
        <v>5178417.96875</v>
      </c>
      <c r="G36">
        <v>5172607.421875</v>
      </c>
      <c r="H36">
        <v>11316192.628758334</v>
      </c>
      <c r="I36">
        <v>2.1769900383022901E-7</v>
      </c>
      <c r="J36">
        <v>2.2170332780569725E-5</v>
      </c>
      <c r="K36">
        <v>2.8469960473213041</v>
      </c>
      <c r="L36">
        <v>118.77153446639041</v>
      </c>
      <c r="M36">
        <v>0</v>
      </c>
    </row>
    <row r="37" spans="1:15" x14ac:dyDescent="0.15">
      <c r="A37">
        <v>227</v>
      </c>
      <c r="B37" t="s">
        <v>181</v>
      </c>
      <c r="C37" t="s">
        <v>464</v>
      </c>
      <c r="D37">
        <v>12</v>
      </c>
      <c r="E37">
        <v>5166796.875</v>
      </c>
      <c r="F37">
        <v>5172607.421875</v>
      </c>
      <c r="G37">
        <v>5169702.1484375</v>
      </c>
      <c r="H37">
        <v>-298806.03933216631</v>
      </c>
      <c r="I37">
        <v>-5.8629809358276075E-9</v>
      </c>
      <c r="J37">
        <v>2.1946770795803669E-5</v>
      </c>
      <c r="K37">
        <v>-7.5175427001171011E-2</v>
      </c>
      <c r="L37">
        <v>-105.77994690511287</v>
      </c>
      <c r="M37">
        <v>0</v>
      </c>
    </row>
    <row r="38" spans="1:15" x14ac:dyDescent="0.15">
      <c r="A38">
        <v>227</v>
      </c>
      <c r="B38" t="s">
        <v>181</v>
      </c>
      <c r="C38" t="s">
        <v>464</v>
      </c>
      <c r="D38">
        <v>13</v>
      </c>
      <c r="E38">
        <v>5169702.1484375</v>
      </c>
      <c r="F38">
        <v>5172607.421875</v>
      </c>
      <c r="G38">
        <v>5171154.78515625</v>
      </c>
      <c r="H38">
        <v>5437067.6483656345</v>
      </c>
      <c r="I38">
        <v>1.0563082897811798E-7</v>
      </c>
      <c r="J38">
        <v>2.2058264605717614E-5</v>
      </c>
      <c r="K38">
        <v>1.367890297711728</v>
      </c>
      <c r="L38">
        <v>5.1422336839091498</v>
      </c>
      <c r="M38">
        <v>0</v>
      </c>
    </row>
    <row r="39" spans="1:15" x14ac:dyDescent="0.15">
      <c r="A39">
        <v>227</v>
      </c>
      <c r="B39" t="s">
        <v>181</v>
      </c>
      <c r="C39" t="s">
        <v>464</v>
      </c>
      <c r="D39">
        <v>14</v>
      </c>
      <c r="E39">
        <v>5169702.1484375</v>
      </c>
      <c r="F39">
        <v>5171154.78515625</v>
      </c>
      <c r="G39">
        <v>5170428.466796875</v>
      </c>
      <c r="H39">
        <v>2551284.5475777327</v>
      </c>
      <c r="I39">
        <v>4.9811801654831711E-8</v>
      </c>
      <c r="J39">
        <v>2.2002445578394328E-5</v>
      </c>
      <c r="K39">
        <v>0.64186756631260278</v>
      </c>
      <c r="L39">
        <v>-50.656225804855289</v>
      </c>
      <c r="M39">
        <v>0</v>
      </c>
    </row>
    <row r="40" spans="1:15" x14ac:dyDescent="0.15">
      <c r="A40">
        <v>227</v>
      </c>
      <c r="B40" t="s">
        <v>181</v>
      </c>
      <c r="C40" t="s">
        <v>464</v>
      </c>
      <c r="D40">
        <v>15</v>
      </c>
      <c r="E40">
        <v>5170428.466796875</v>
      </c>
      <c r="F40">
        <v>5171154.78515625</v>
      </c>
      <c r="G40">
        <v>5170791.6259765625</v>
      </c>
      <c r="H40">
        <v>3989778.4030438596</v>
      </c>
      <c r="I40">
        <v>7.7704707571288507E-8</v>
      </c>
      <c r="J40">
        <v>2.2030338484310785E-5</v>
      </c>
      <c r="K40">
        <v>1.0037725333772551</v>
      </c>
      <c r="L40">
        <v>-22.840085394267945</v>
      </c>
      <c r="M40">
        <v>0</v>
      </c>
    </row>
    <row r="41" spans="1:15" x14ac:dyDescent="0.15">
      <c r="A41">
        <v>227</v>
      </c>
      <c r="B41" t="s">
        <v>181</v>
      </c>
      <c r="C41" t="s">
        <v>464</v>
      </c>
      <c r="D41">
        <v>16</v>
      </c>
      <c r="E41">
        <v>5170791.6259765625</v>
      </c>
      <c r="F41">
        <v>5171154.78515625</v>
      </c>
      <c r="G41">
        <v>5170973.2055664063</v>
      </c>
      <c r="H41">
        <v>4712272.3900076523</v>
      </c>
      <c r="I41">
        <v>9.1662648927377766E-8</v>
      </c>
      <c r="J41">
        <v>2.2044296425666874E-5</v>
      </c>
      <c r="K41">
        <v>1.1855419316704534</v>
      </c>
      <c r="L41">
        <v>-8.870686374181469</v>
      </c>
      <c r="M41">
        <v>0</v>
      </c>
    </row>
    <row r="42" spans="1:15" x14ac:dyDescent="0.15">
      <c r="A42">
        <v>227</v>
      </c>
      <c r="B42" t="s">
        <v>181</v>
      </c>
      <c r="C42" t="s">
        <v>464</v>
      </c>
      <c r="D42">
        <v>17</v>
      </c>
      <c r="E42">
        <v>5170973.2055664063</v>
      </c>
      <c r="F42">
        <v>5171154.78515625</v>
      </c>
      <c r="G42">
        <v>5171063.9953613281</v>
      </c>
      <c r="H42">
        <v>5074457.3064351706</v>
      </c>
      <c r="I42">
        <v>9.8646906947103007E-8</v>
      </c>
      <c r="J42">
        <v>2.2051280683686599E-5</v>
      </c>
      <c r="K42">
        <v>1.2766625991331177</v>
      </c>
      <c r="L42">
        <v>-1.8682168507838617</v>
      </c>
      <c r="M42">
        <v>0</v>
      </c>
    </row>
    <row r="43" spans="1:15" x14ac:dyDescent="0.15">
      <c r="A43">
        <v>227</v>
      </c>
      <c r="B43" t="s">
        <v>181</v>
      </c>
      <c r="C43" t="s">
        <v>464</v>
      </c>
      <c r="D43">
        <v>18</v>
      </c>
      <c r="E43">
        <v>5171063.9953613281</v>
      </c>
      <c r="F43">
        <v>5171154.78515625</v>
      </c>
      <c r="G43">
        <v>5171109.3902587891</v>
      </c>
      <c r="H43">
        <v>5255726.0323427347</v>
      </c>
      <c r="I43">
        <v>1.0213923201458957E-7</v>
      </c>
      <c r="J43">
        <v>2.2054773008754086E-5</v>
      </c>
      <c r="K43">
        <v>1.3222672793548285</v>
      </c>
      <c r="L43">
        <v>1.6363344052118578</v>
      </c>
      <c r="M43">
        <v>0</v>
      </c>
    </row>
    <row r="44" spans="1:15" x14ac:dyDescent="0.15">
      <c r="A44">
        <v>227</v>
      </c>
      <c r="B44" t="s">
        <v>181</v>
      </c>
      <c r="C44" t="s">
        <v>464</v>
      </c>
      <c r="D44">
        <v>19</v>
      </c>
      <c r="E44">
        <v>5171063.9953613281</v>
      </c>
      <c r="F44">
        <v>5171109.3902587891</v>
      </c>
      <c r="G44">
        <v>5171086.6928100586</v>
      </c>
      <c r="H44">
        <v>5165074.1969289752</v>
      </c>
      <c r="I44">
        <v>1.0039299950933493E-7</v>
      </c>
      <c r="J44">
        <v>2.2053026776248831E-5</v>
      </c>
      <c r="K44">
        <v>1.2994605434170263</v>
      </c>
      <c r="L44">
        <v>-0.11627141910893253</v>
      </c>
      <c r="M44">
        <v>0</v>
      </c>
    </row>
    <row r="45" spans="1:15" x14ac:dyDescent="0.15">
      <c r="A45">
        <v>227</v>
      </c>
      <c r="B45" t="s">
        <v>181</v>
      </c>
      <c r="C45" t="s">
        <v>465</v>
      </c>
      <c r="D45">
        <v>19</v>
      </c>
      <c r="E45">
        <v>5171063.9953613281</v>
      </c>
      <c r="F45">
        <v>5171109.3902587891</v>
      </c>
      <c r="G45">
        <v>5171086.6928100586</v>
      </c>
      <c r="H45">
        <v>5165074.1969289752</v>
      </c>
      <c r="I45">
        <v>1.0039299950933493E-7</v>
      </c>
      <c r="J45">
        <v>2.2053026776248831E-5</v>
      </c>
      <c r="K45">
        <v>1.2994605434170263</v>
      </c>
      <c r="L45">
        <v>-0.11627141910893253</v>
      </c>
      <c r="M45">
        <v>0</v>
      </c>
      <c r="N45" t="s">
        <v>466</v>
      </c>
      <c r="O45" t="s">
        <v>467</v>
      </c>
    </row>
    <row r="46" spans="1:15" x14ac:dyDescent="0.15">
      <c r="A46">
        <v>228</v>
      </c>
      <c r="B46" t="s">
        <v>182</v>
      </c>
      <c r="C46" t="s">
        <v>461</v>
      </c>
      <c r="D46">
        <v>0</v>
      </c>
      <c r="E46">
        <v>100000</v>
      </c>
      <c r="F46">
        <v>12000000</v>
      </c>
      <c r="G46">
        <v>100000</v>
      </c>
      <c r="H46">
        <v>-8873.6639983028017</v>
      </c>
      <c r="I46">
        <v>-3.0262283345160468E-5</v>
      </c>
      <c r="J46">
        <v>-1.436100270037315E-5</v>
      </c>
      <c r="K46">
        <v>-1.3523737203784503E-3</v>
      </c>
      <c r="L46">
        <v>-108.8736639983028</v>
      </c>
      <c r="M46">
        <v>0</v>
      </c>
      <c r="O46" t="s">
        <v>462</v>
      </c>
    </row>
    <row r="47" spans="1:15" x14ac:dyDescent="0.15">
      <c r="A47">
        <v>228</v>
      </c>
      <c r="B47" t="s">
        <v>182</v>
      </c>
      <c r="C47" t="s">
        <v>461</v>
      </c>
      <c r="D47">
        <v>0</v>
      </c>
      <c r="E47">
        <v>100000</v>
      </c>
      <c r="F47">
        <v>12000000</v>
      </c>
      <c r="G47">
        <v>12000000</v>
      </c>
      <c r="H47">
        <v>244281362053532.09</v>
      </c>
      <c r="I47">
        <v>0.15207139384625956</v>
      </c>
      <c r="J47">
        <v>0.15208729512690436</v>
      </c>
      <c r="K47">
        <v>37229231.857622258</v>
      </c>
      <c r="L47">
        <v>2035677917.1127675</v>
      </c>
      <c r="M47">
        <v>0</v>
      </c>
      <c r="O47" t="s">
        <v>463</v>
      </c>
    </row>
    <row r="48" spans="1:15" x14ac:dyDescent="0.15">
      <c r="A48">
        <v>228</v>
      </c>
      <c r="B48" t="s">
        <v>182</v>
      </c>
      <c r="C48" t="s">
        <v>464</v>
      </c>
      <c r="D48">
        <v>1</v>
      </c>
      <c r="E48">
        <v>100000</v>
      </c>
      <c r="F48">
        <v>12000000</v>
      </c>
      <c r="G48">
        <v>6050000</v>
      </c>
      <c r="H48">
        <v>-71474.145544338637</v>
      </c>
      <c r="I48">
        <v>-1.6967601623278778E-5</v>
      </c>
      <c r="J48">
        <v>-1.0663209784914597E-6</v>
      </c>
      <c r="K48">
        <v>-1.0892879890331147E-2</v>
      </c>
      <c r="L48">
        <v>-101.18139083544361</v>
      </c>
      <c r="M48">
        <v>0</v>
      </c>
    </row>
    <row r="49" spans="1:13" x14ac:dyDescent="0.15">
      <c r="A49">
        <v>228</v>
      </c>
      <c r="B49" t="s">
        <v>182</v>
      </c>
      <c r="C49" t="s">
        <v>464</v>
      </c>
      <c r="D49">
        <v>2</v>
      </c>
      <c r="E49">
        <v>6050000</v>
      </c>
      <c r="F49">
        <v>12000000</v>
      </c>
      <c r="G49">
        <v>9025000</v>
      </c>
      <c r="H49">
        <v>1988797023.8755019</v>
      </c>
      <c r="I49">
        <v>1.499888916731788E-5</v>
      </c>
      <c r="J49">
        <v>3.0900169812105199E-5</v>
      </c>
      <c r="K49">
        <v>303.09879107103001</v>
      </c>
      <c r="L49">
        <v>21936.532120504176</v>
      </c>
      <c r="M49">
        <v>0</v>
      </c>
    </row>
    <row r="50" spans="1:13" x14ac:dyDescent="0.15">
      <c r="A50">
        <v>228</v>
      </c>
      <c r="B50" t="s">
        <v>182</v>
      </c>
      <c r="C50" t="s">
        <v>464</v>
      </c>
      <c r="D50">
        <v>3</v>
      </c>
      <c r="E50">
        <v>6050000</v>
      </c>
      <c r="F50">
        <v>9025000</v>
      </c>
      <c r="G50">
        <v>7537500</v>
      </c>
      <c r="H50">
        <v>-234134.13512228522</v>
      </c>
      <c r="I50">
        <v>-1.3366595428098261E-5</v>
      </c>
      <c r="J50">
        <v>2.5346852166890586E-6</v>
      </c>
      <c r="K50">
        <v>-3.5682763224241569E-2</v>
      </c>
      <c r="L50">
        <v>-103.10625718238521</v>
      </c>
      <c r="M50">
        <v>0</v>
      </c>
    </row>
    <row r="51" spans="1:13" x14ac:dyDescent="0.15">
      <c r="A51">
        <v>228</v>
      </c>
      <c r="B51" t="s">
        <v>182</v>
      </c>
      <c r="C51" t="s">
        <v>464</v>
      </c>
      <c r="D51">
        <v>4</v>
      </c>
      <c r="E51">
        <v>7537500</v>
      </c>
      <c r="F51">
        <v>9025000</v>
      </c>
      <c r="G51">
        <v>8281250</v>
      </c>
      <c r="H51">
        <v>-3451088.6124263932</v>
      </c>
      <c r="I51">
        <v>-9.1404659445982281E-6</v>
      </c>
      <c r="J51">
        <v>6.7608147001890909E-6</v>
      </c>
      <c r="K51">
        <v>-0.5259565323901646</v>
      </c>
      <c r="L51">
        <v>-141.6735228670357</v>
      </c>
      <c r="M51">
        <v>0</v>
      </c>
    </row>
    <row r="52" spans="1:13" x14ac:dyDescent="0.15">
      <c r="A52">
        <v>228</v>
      </c>
      <c r="B52" t="s">
        <v>182</v>
      </c>
      <c r="C52" t="s">
        <v>464</v>
      </c>
      <c r="D52">
        <v>5</v>
      </c>
      <c r="E52">
        <v>8281250</v>
      </c>
      <c r="F52">
        <v>9025000</v>
      </c>
      <c r="G52">
        <v>8653125</v>
      </c>
      <c r="H52">
        <v>-108143251.65051235</v>
      </c>
      <c r="I52">
        <v>-4.677782181208149E-6</v>
      </c>
      <c r="J52">
        <v>1.122349846357917E-5</v>
      </c>
      <c r="K52">
        <v>-16.481364585857488</v>
      </c>
      <c r="L52">
        <v>-1349.7594990308398</v>
      </c>
      <c r="M52">
        <v>0</v>
      </c>
    </row>
    <row r="53" spans="1:13" x14ac:dyDescent="0.15">
      <c r="A53">
        <v>228</v>
      </c>
      <c r="B53" t="s">
        <v>182</v>
      </c>
      <c r="C53" t="s">
        <v>464</v>
      </c>
      <c r="D53">
        <v>6</v>
      </c>
      <c r="E53">
        <v>8653125</v>
      </c>
      <c r="F53">
        <v>9025000</v>
      </c>
      <c r="G53">
        <v>8839062.5</v>
      </c>
      <c r="H53">
        <v>245989906.99910736</v>
      </c>
      <c r="I53">
        <v>2.7002988554218224E-6</v>
      </c>
      <c r="J53">
        <v>1.8601579500209141E-5</v>
      </c>
      <c r="K53">
        <v>37.489619368905458</v>
      </c>
      <c r="L53">
        <v>2682.9863970201291</v>
      </c>
      <c r="M53">
        <v>0</v>
      </c>
    </row>
    <row r="54" spans="1:13" x14ac:dyDescent="0.15">
      <c r="A54">
        <v>228</v>
      </c>
      <c r="B54" t="s">
        <v>182</v>
      </c>
      <c r="C54" t="s">
        <v>464</v>
      </c>
      <c r="D54">
        <v>7</v>
      </c>
      <c r="E54">
        <v>8653125</v>
      </c>
      <c r="F54">
        <v>8839062.5</v>
      </c>
      <c r="G54">
        <v>8746093.75</v>
      </c>
      <c r="H54">
        <v>-79404397.837253183</v>
      </c>
      <c r="I54">
        <v>-1.4563580127037648E-6</v>
      </c>
      <c r="J54">
        <v>1.4444922632083554E-5</v>
      </c>
      <c r="K54">
        <v>-12.101474761509479</v>
      </c>
      <c r="L54">
        <v>-1007.8841378444312</v>
      </c>
      <c r="M54">
        <v>0</v>
      </c>
    </row>
    <row r="55" spans="1:13" x14ac:dyDescent="0.15">
      <c r="A55">
        <v>228</v>
      </c>
      <c r="B55" t="s">
        <v>182</v>
      </c>
      <c r="C55" t="s">
        <v>464</v>
      </c>
      <c r="D55">
        <v>8</v>
      </c>
      <c r="E55">
        <v>8746093.75</v>
      </c>
      <c r="F55">
        <v>8839062.5</v>
      </c>
      <c r="G55">
        <v>8792578.125</v>
      </c>
      <c r="H55">
        <v>35369786.685640529</v>
      </c>
      <c r="I55">
        <v>4.896206854764534E-7</v>
      </c>
      <c r="J55">
        <v>1.6390901330263772E-5</v>
      </c>
      <c r="K55">
        <v>5.3904644144967113</v>
      </c>
      <c r="L55">
        <v>302.26866549042495</v>
      </c>
      <c r="M55">
        <v>0</v>
      </c>
    </row>
    <row r="56" spans="1:13" x14ac:dyDescent="0.15">
      <c r="A56">
        <v>228</v>
      </c>
      <c r="B56" t="s">
        <v>182</v>
      </c>
      <c r="C56" t="s">
        <v>464</v>
      </c>
      <c r="D56">
        <v>9</v>
      </c>
      <c r="E56">
        <v>8746093.75</v>
      </c>
      <c r="F56">
        <v>8792578.125</v>
      </c>
      <c r="G56">
        <v>8769335.9375</v>
      </c>
      <c r="H56">
        <v>-32526658.865328208</v>
      </c>
      <c r="I56">
        <v>-5.1438956564319092E-7</v>
      </c>
      <c r="J56">
        <v>1.5386891079144128E-5</v>
      </c>
      <c r="K56">
        <v>-4.9571629790803318</v>
      </c>
      <c r="L56">
        <v>-470.91359137281546</v>
      </c>
      <c r="M56">
        <v>0</v>
      </c>
    </row>
    <row r="57" spans="1:13" x14ac:dyDescent="0.15">
      <c r="A57">
        <v>228</v>
      </c>
      <c r="B57" t="s">
        <v>182</v>
      </c>
      <c r="C57" t="s">
        <v>464</v>
      </c>
      <c r="D57">
        <v>10</v>
      </c>
      <c r="E57">
        <v>8769335.9375</v>
      </c>
      <c r="F57">
        <v>8792578.125</v>
      </c>
      <c r="G57">
        <v>8780957.03125</v>
      </c>
      <c r="H57">
        <v>-1380552.5161642386</v>
      </c>
      <c r="I57">
        <v>-2.0392140641742356E-8</v>
      </c>
      <c r="J57">
        <v>1.5880888504145577E-5</v>
      </c>
      <c r="K57">
        <v>-0.21040045496651136</v>
      </c>
      <c r="L57">
        <v>-115.72211902701581</v>
      </c>
      <c r="M57">
        <v>0</v>
      </c>
    </row>
    <row r="58" spans="1:13" x14ac:dyDescent="0.15">
      <c r="A58">
        <v>228</v>
      </c>
      <c r="B58" t="s">
        <v>182</v>
      </c>
      <c r="C58" t="s">
        <v>464</v>
      </c>
      <c r="D58">
        <v>11</v>
      </c>
      <c r="E58">
        <v>8780957.03125</v>
      </c>
      <c r="F58">
        <v>8792578.125</v>
      </c>
      <c r="G58">
        <v>8786767.578125</v>
      </c>
      <c r="H58">
        <v>16271515.167501623</v>
      </c>
      <c r="I58">
        <v>2.3258064941820273E-7</v>
      </c>
      <c r="J58">
        <v>1.6133861294205522E-5</v>
      </c>
      <c r="K58">
        <v>2.4798290207379177</v>
      </c>
      <c r="L58">
        <v>85.182036770953104</v>
      </c>
      <c r="M58">
        <v>0</v>
      </c>
    </row>
    <row r="59" spans="1:13" x14ac:dyDescent="0.15">
      <c r="A59">
        <v>228</v>
      </c>
      <c r="B59" t="s">
        <v>182</v>
      </c>
      <c r="C59" t="s">
        <v>464</v>
      </c>
      <c r="D59">
        <v>12</v>
      </c>
      <c r="E59">
        <v>8780957.03125</v>
      </c>
      <c r="F59">
        <v>8786767.578125</v>
      </c>
      <c r="G59">
        <v>8783862.3046875</v>
      </c>
      <c r="H59">
        <v>7267592.1819356717</v>
      </c>
      <c r="I59">
        <v>1.0559026357518644E-7</v>
      </c>
      <c r="J59">
        <v>1.6006870908362505E-5</v>
      </c>
      <c r="K59">
        <v>1.1076034295593686</v>
      </c>
      <c r="L59">
        <v>-17.261997856485888</v>
      </c>
      <c r="M59">
        <v>0</v>
      </c>
    </row>
    <row r="60" spans="1:13" x14ac:dyDescent="0.15">
      <c r="A60">
        <v>228</v>
      </c>
      <c r="B60" t="s">
        <v>182</v>
      </c>
      <c r="C60" t="s">
        <v>464</v>
      </c>
      <c r="D60">
        <v>13</v>
      </c>
      <c r="E60">
        <v>8783862.3046875</v>
      </c>
      <c r="F60">
        <v>8786767.578125</v>
      </c>
      <c r="G60">
        <v>8785314.94140625</v>
      </c>
      <c r="H60">
        <v>11724716.859788474</v>
      </c>
      <c r="I60">
        <v>1.6895882016945964E-7</v>
      </c>
      <c r="J60">
        <v>1.6070239464956779E-5</v>
      </c>
      <c r="K60">
        <v>1.7868829564753379</v>
      </c>
      <c r="L60">
        <v>33.458128000949259</v>
      </c>
      <c r="M60">
        <v>0</v>
      </c>
    </row>
    <row r="61" spans="1:13" x14ac:dyDescent="0.15">
      <c r="A61">
        <v>228</v>
      </c>
      <c r="B61" t="s">
        <v>182</v>
      </c>
      <c r="C61" t="s">
        <v>464</v>
      </c>
      <c r="D61">
        <v>14</v>
      </c>
      <c r="E61">
        <v>8783862.3046875</v>
      </c>
      <c r="F61">
        <v>8785314.94140625</v>
      </c>
      <c r="G61">
        <v>8784588.623046875</v>
      </c>
      <c r="H61">
        <v>9484927.1859872136</v>
      </c>
      <c r="I61">
        <v>1.3724205443699914E-7</v>
      </c>
      <c r="J61">
        <v>1.6038522699224318E-5</v>
      </c>
      <c r="K61">
        <v>1.4455321126071019</v>
      </c>
      <c r="L61">
        <v>7.9723546883340672</v>
      </c>
      <c r="M61">
        <v>0</v>
      </c>
    </row>
    <row r="62" spans="1:13" x14ac:dyDescent="0.15">
      <c r="A62">
        <v>228</v>
      </c>
      <c r="B62" t="s">
        <v>182</v>
      </c>
      <c r="C62" t="s">
        <v>464</v>
      </c>
      <c r="D62">
        <v>15</v>
      </c>
      <c r="E62">
        <v>8783862.3046875</v>
      </c>
      <c r="F62">
        <v>8784588.623046875</v>
      </c>
      <c r="G62">
        <v>8784225.4638671875</v>
      </c>
      <c r="H62">
        <v>8373440.755038131</v>
      </c>
      <c r="I62">
        <v>1.2140779032464137E-7</v>
      </c>
      <c r="J62">
        <v>1.602268843511196E-5</v>
      </c>
      <c r="K62">
        <v>1.2761381576342439</v>
      </c>
      <c r="L62">
        <v>-4.676390770236579</v>
      </c>
      <c r="M62">
        <v>0</v>
      </c>
    </row>
    <row r="63" spans="1:13" x14ac:dyDescent="0.15">
      <c r="A63">
        <v>228</v>
      </c>
      <c r="B63" t="s">
        <v>182</v>
      </c>
      <c r="C63" t="s">
        <v>464</v>
      </c>
      <c r="D63">
        <v>16</v>
      </c>
      <c r="E63">
        <v>8784225.4638671875</v>
      </c>
      <c r="F63">
        <v>8784588.623046875</v>
      </c>
      <c r="G63">
        <v>8784407.0434570313</v>
      </c>
      <c r="H63">
        <v>8928486.8869912811</v>
      </c>
      <c r="I63">
        <v>1.2932294880087515E-7</v>
      </c>
      <c r="J63">
        <v>1.6030603593588194E-5</v>
      </c>
      <c r="K63">
        <v>1.360728897445298</v>
      </c>
      <c r="L63">
        <v>1.6401772233626868</v>
      </c>
      <c r="M63">
        <v>0</v>
      </c>
    </row>
    <row r="64" spans="1:13" x14ac:dyDescent="0.15">
      <c r="A64">
        <v>228</v>
      </c>
      <c r="B64" t="s">
        <v>182</v>
      </c>
      <c r="C64" t="s">
        <v>464</v>
      </c>
      <c r="D64">
        <v>17</v>
      </c>
      <c r="E64">
        <v>8784225.4638671875</v>
      </c>
      <c r="F64">
        <v>8784407.0434570313</v>
      </c>
      <c r="G64">
        <v>8784316.2536621094</v>
      </c>
      <c r="H64">
        <v>8650853.6349909101</v>
      </c>
      <c r="I64">
        <v>1.2536578892604469E-7</v>
      </c>
      <c r="J64">
        <v>1.6026646433713364E-5</v>
      </c>
      <c r="K64">
        <v>1.3184167348504192</v>
      </c>
      <c r="L64">
        <v>-1.5193284806379761</v>
      </c>
      <c r="M64">
        <v>0</v>
      </c>
    </row>
    <row r="65" spans="1:15" x14ac:dyDescent="0.15">
      <c r="A65">
        <v>228</v>
      </c>
      <c r="B65" t="s">
        <v>182</v>
      </c>
      <c r="C65" t="s">
        <v>464</v>
      </c>
      <c r="D65">
        <v>18</v>
      </c>
      <c r="E65">
        <v>8784316.2536621094</v>
      </c>
      <c r="F65">
        <v>8784407.0434570313</v>
      </c>
      <c r="G65">
        <v>8784361.6485595703</v>
      </c>
      <c r="H65">
        <v>8789594.7052116655</v>
      </c>
      <c r="I65">
        <v>1.273437892140401E-7</v>
      </c>
      <c r="J65">
        <v>1.6028624434001359E-5</v>
      </c>
      <c r="K65">
        <v>1.3395613012143945</v>
      </c>
      <c r="L65">
        <v>5.957241813869614E-2</v>
      </c>
      <c r="M65">
        <v>0</v>
      </c>
    </row>
    <row r="66" spans="1:15" x14ac:dyDescent="0.15">
      <c r="A66">
        <v>228</v>
      </c>
      <c r="B66" t="s">
        <v>182</v>
      </c>
      <c r="C66" t="s">
        <v>465</v>
      </c>
      <c r="D66">
        <v>18</v>
      </c>
      <c r="E66">
        <v>8784316.2536621094</v>
      </c>
      <c r="F66">
        <v>8784407.0434570313</v>
      </c>
      <c r="G66">
        <v>8784361.6485595703</v>
      </c>
      <c r="H66">
        <v>8789594.7052116655</v>
      </c>
      <c r="I66">
        <v>1.273437892140401E-7</v>
      </c>
      <c r="J66">
        <v>1.6028624434001359E-5</v>
      </c>
      <c r="K66">
        <v>1.3395613012143945</v>
      </c>
      <c r="L66">
        <v>5.957241813869614E-2</v>
      </c>
      <c r="M66">
        <v>0</v>
      </c>
      <c r="N66" t="s">
        <v>466</v>
      </c>
      <c r="O66" t="s">
        <v>467</v>
      </c>
    </row>
    <row r="67" spans="1:15" x14ac:dyDescent="0.15">
      <c r="A67">
        <v>229</v>
      </c>
      <c r="B67" t="s">
        <v>183</v>
      </c>
      <c r="C67" t="s">
        <v>461</v>
      </c>
      <c r="D67">
        <v>0</v>
      </c>
      <c r="E67">
        <v>100000</v>
      </c>
      <c r="F67">
        <v>12000000</v>
      </c>
      <c r="G67">
        <v>100000</v>
      </c>
      <c r="H67">
        <v>-15596.803442384586</v>
      </c>
      <c r="I67">
        <v>-2.5335355446305006E-5</v>
      </c>
      <c r="J67">
        <v>-9.4340748015176849E-6</v>
      </c>
      <c r="K67">
        <v>-2.9964617103648179E-3</v>
      </c>
      <c r="L67">
        <v>-115.59680344238458</v>
      </c>
      <c r="M67">
        <v>0</v>
      </c>
      <c r="O67" t="s">
        <v>462</v>
      </c>
    </row>
    <row r="68" spans="1:15" x14ac:dyDescent="0.15">
      <c r="A68">
        <v>229</v>
      </c>
      <c r="B68" t="s">
        <v>183</v>
      </c>
      <c r="C68" t="s">
        <v>461</v>
      </c>
      <c r="D68">
        <v>0</v>
      </c>
      <c r="E68">
        <v>100000</v>
      </c>
      <c r="F68">
        <v>12000000</v>
      </c>
      <c r="G68">
        <v>12000000</v>
      </c>
      <c r="H68">
        <v>3.1004018763052989E+18</v>
      </c>
      <c r="I68">
        <v>536.87090609871939</v>
      </c>
      <c r="J68">
        <v>536.87092200000006</v>
      </c>
      <c r="K68">
        <v>595649970419.30334</v>
      </c>
      <c r="L68">
        <v>25836682302444.156</v>
      </c>
      <c r="M68">
        <v>5</v>
      </c>
      <c r="O68" t="s">
        <v>463</v>
      </c>
    </row>
    <row r="69" spans="1:15" x14ac:dyDescent="0.15">
      <c r="A69">
        <v>229</v>
      </c>
      <c r="B69" t="s">
        <v>183</v>
      </c>
      <c r="C69" t="s">
        <v>464</v>
      </c>
      <c r="D69">
        <v>1</v>
      </c>
      <c r="E69">
        <v>100000</v>
      </c>
      <c r="F69">
        <v>12000000</v>
      </c>
      <c r="G69">
        <v>6050000</v>
      </c>
      <c r="H69">
        <v>-10501060.172227364</v>
      </c>
      <c r="I69">
        <v>-7.9929915687975504E-6</v>
      </c>
      <c r="J69">
        <v>7.9082890759897686E-6</v>
      </c>
      <c r="K69">
        <v>-2.0174662609908132</v>
      </c>
      <c r="L69">
        <v>-273.57124251615477</v>
      </c>
      <c r="M69">
        <v>0</v>
      </c>
    </row>
    <row r="70" spans="1:15" x14ac:dyDescent="0.15">
      <c r="A70">
        <v>229</v>
      </c>
      <c r="B70" t="s">
        <v>183</v>
      </c>
      <c r="C70" t="s">
        <v>464</v>
      </c>
      <c r="D70">
        <v>2</v>
      </c>
      <c r="E70">
        <v>6050000</v>
      </c>
      <c r="F70">
        <v>12000000</v>
      </c>
      <c r="G70">
        <v>9025000</v>
      </c>
      <c r="H70">
        <v>39819742621468.164</v>
      </c>
      <c r="I70">
        <v>3.3737017003839999E-2</v>
      </c>
      <c r="J70">
        <v>3.3752918284484783E-2</v>
      </c>
      <c r="K70">
        <v>7650178.7383921035</v>
      </c>
      <c r="L70">
        <v>441215884.72540903</v>
      </c>
      <c r="M70">
        <v>0</v>
      </c>
    </row>
    <row r="71" spans="1:15" x14ac:dyDescent="0.15">
      <c r="A71">
        <v>229</v>
      </c>
      <c r="B71" t="s">
        <v>183</v>
      </c>
      <c r="C71" t="s">
        <v>464</v>
      </c>
      <c r="D71">
        <v>3</v>
      </c>
      <c r="E71">
        <v>6050000</v>
      </c>
      <c r="F71">
        <v>9025000</v>
      </c>
      <c r="G71">
        <v>7537500</v>
      </c>
      <c r="H71">
        <v>137009098738.05745</v>
      </c>
      <c r="I71">
        <v>3.7036190228552346E-4</v>
      </c>
      <c r="J71">
        <v>3.8626318293031079E-4</v>
      </c>
      <c r="K71">
        <v>26322.221720415182</v>
      </c>
      <c r="L71">
        <v>1817599.4857453725</v>
      </c>
      <c r="M71">
        <v>0</v>
      </c>
    </row>
    <row r="72" spans="1:15" x14ac:dyDescent="0.15">
      <c r="A72">
        <v>229</v>
      </c>
      <c r="B72" t="s">
        <v>183</v>
      </c>
      <c r="C72" t="s">
        <v>464</v>
      </c>
      <c r="D72">
        <v>4</v>
      </c>
      <c r="E72">
        <v>6050000</v>
      </c>
      <c r="F72">
        <v>7537500</v>
      </c>
      <c r="G72">
        <v>6793750</v>
      </c>
      <c r="H72">
        <v>4814061848.4486837</v>
      </c>
      <c r="I72">
        <v>2.9570177159472906E-5</v>
      </c>
      <c r="J72">
        <v>4.5471457804260225E-5</v>
      </c>
      <c r="K72">
        <v>924.8787454103549</v>
      </c>
      <c r="L72">
        <v>70760.156002924501</v>
      </c>
      <c r="M72">
        <v>0</v>
      </c>
    </row>
    <row r="73" spans="1:15" x14ac:dyDescent="0.15">
      <c r="A73">
        <v>229</v>
      </c>
      <c r="B73" t="s">
        <v>183</v>
      </c>
      <c r="C73" t="s">
        <v>464</v>
      </c>
      <c r="D73">
        <v>5</v>
      </c>
      <c r="E73">
        <v>6050000</v>
      </c>
      <c r="F73">
        <v>6793750</v>
      </c>
      <c r="G73">
        <v>6421875</v>
      </c>
      <c r="H73">
        <v>935078.11564550421</v>
      </c>
      <c r="I73">
        <v>1.3749860819618298E-8</v>
      </c>
      <c r="J73">
        <v>1.5915030505606937E-5</v>
      </c>
      <c r="K73">
        <v>0.17964743737922326</v>
      </c>
      <c r="L73">
        <v>-85.439172895057837</v>
      </c>
      <c r="M73">
        <v>0</v>
      </c>
    </row>
    <row r="74" spans="1:15" x14ac:dyDescent="0.15">
      <c r="A74">
        <v>229</v>
      </c>
      <c r="B74" t="s">
        <v>183</v>
      </c>
      <c r="C74" t="s">
        <v>464</v>
      </c>
      <c r="D74">
        <v>6</v>
      </c>
      <c r="E74">
        <v>6421875</v>
      </c>
      <c r="F74">
        <v>6793750</v>
      </c>
      <c r="G74">
        <v>6607812.5</v>
      </c>
      <c r="H74">
        <v>1335305244.4567654</v>
      </c>
      <c r="I74">
        <v>1.0958327907668801E-5</v>
      </c>
      <c r="J74">
        <v>2.685960855245612E-5</v>
      </c>
      <c r="K74">
        <v>256.53917172481152</v>
      </c>
      <c r="L74">
        <v>20107.97721570891</v>
      </c>
      <c r="M74">
        <v>0</v>
      </c>
    </row>
    <row r="75" spans="1:15" x14ac:dyDescent="0.15">
      <c r="A75">
        <v>229</v>
      </c>
      <c r="B75" t="s">
        <v>183</v>
      </c>
      <c r="C75" t="s">
        <v>464</v>
      </c>
      <c r="D75">
        <v>7</v>
      </c>
      <c r="E75">
        <v>6421875</v>
      </c>
      <c r="F75">
        <v>6607812.5</v>
      </c>
      <c r="G75">
        <v>6514843.75</v>
      </c>
      <c r="H75">
        <v>485061705.28052258</v>
      </c>
      <c r="I75">
        <v>4.7662031520537644E-6</v>
      </c>
      <c r="J75">
        <v>2.0667483796841083E-5</v>
      </c>
      <c r="K75">
        <v>93.190174025500824</v>
      </c>
      <c r="L75">
        <v>7345.4848634017135</v>
      </c>
      <c r="M75">
        <v>0</v>
      </c>
    </row>
    <row r="76" spans="1:15" x14ac:dyDescent="0.15">
      <c r="A76">
        <v>229</v>
      </c>
      <c r="B76" t="s">
        <v>183</v>
      </c>
      <c r="C76" t="s">
        <v>464</v>
      </c>
      <c r="D76">
        <v>8</v>
      </c>
      <c r="E76">
        <v>6421875</v>
      </c>
      <c r="F76">
        <v>6514843.75</v>
      </c>
      <c r="G76">
        <v>6468359.375</v>
      </c>
      <c r="H76">
        <v>194795142.04354337</v>
      </c>
      <c r="I76">
        <v>2.2333655980299151E-6</v>
      </c>
      <c r="J76">
        <v>1.8134646242817234E-5</v>
      </c>
      <c r="K76">
        <v>37.424090561553726</v>
      </c>
      <c r="L76">
        <v>2911.5077216708196</v>
      </c>
      <c r="M76">
        <v>0</v>
      </c>
    </row>
    <row r="77" spans="1:15" x14ac:dyDescent="0.15">
      <c r="A77">
        <v>229</v>
      </c>
      <c r="B77" t="s">
        <v>183</v>
      </c>
      <c r="C77" t="s">
        <v>464</v>
      </c>
      <c r="D77">
        <v>9</v>
      </c>
      <c r="E77">
        <v>6421875</v>
      </c>
      <c r="F77">
        <v>6468359.375</v>
      </c>
      <c r="G77">
        <v>6445117.1875</v>
      </c>
      <c r="H77">
        <v>84195857.934147865</v>
      </c>
      <c r="I77">
        <v>1.0869191211232551E-6</v>
      </c>
      <c r="J77">
        <v>1.6988199765910574E-5</v>
      </c>
      <c r="K77">
        <v>16.175728917977409</v>
      </c>
      <c r="L77">
        <v>1206.3510791928152</v>
      </c>
      <c r="M77">
        <v>0</v>
      </c>
    </row>
    <row r="78" spans="1:15" x14ac:dyDescent="0.15">
      <c r="A78">
        <v>229</v>
      </c>
      <c r="B78" t="s">
        <v>183</v>
      </c>
      <c r="C78" t="s">
        <v>464</v>
      </c>
      <c r="D78">
        <v>10</v>
      </c>
      <c r="E78">
        <v>6421875</v>
      </c>
      <c r="F78">
        <v>6445117.1875</v>
      </c>
      <c r="G78">
        <v>6433496.09375</v>
      </c>
      <c r="H78">
        <v>39363632.537829213</v>
      </c>
      <c r="I78">
        <v>5.4147839248507395E-7</v>
      </c>
      <c r="J78">
        <v>1.6442759037272393E-5</v>
      </c>
      <c r="K78">
        <v>7.5625507570314268</v>
      </c>
      <c r="L78">
        <v>511.85445618083327</v>
      </c>
      <c r="M78">
        <v>0</v>
      </c>
    </row>
    <row r="79" spans="1:15" x14ac:dyDescent="0.15">
      <c r="A79">
        <v>229</v>
      </c>
      <c r="B79" t="s">
        <v>183</v>
      </c>
      <c r="C79" t="s">
        <v>464</v>
      </c>
      <c r="D79">
        <v>11</v>
      </c>
      <c r="E79">
        <v>6421875</v>
      </c>
      <c r="F79">
        <v>6433496.09375</v>
      </c>
      <c r="G79">
        <v>6427685.546875</v>
      </c>
      <c r="H79">
        <v>19374783.717984073</v>
      </c>
      <c r="I79">
        <v>2.7543725566253824E-7</v>
      </c>
      <c r="J79">
        <v>1.6176717900449857E-5</v>
      </c>
      <c r="K79">
        <v>3.7222882093757326</v>
      </c>
      <c r="L79">
        <v>201.42706230244366</v>
      </c>
      <c r="M79">
        <v>0</v>
      </c>
    </row>
    <row r="80" spans="1:15" x14ac:dyDescent="0.15">
      <c r="A80">
        <v>229</v>
      </c>
      <c r="B80" t="s">
        <v>183</v>
      </c>
      <c r="C80" t="s">
        <v>464</v>
      </c>
      <c r="D80">
        <v>12</v>
      </c>
      <c r="E80">
        <v>6421875</v>
      </c>
      <c r="F80">
        <v>6427685.546875</v>
      </c>
      <c r="G80">
        <v>6424780.2734375</v>
      </c>
      <c r="H80">
        <v>9964481.2201759424</v>
      </c>
      <c r="I80">
        <v>1.4405421396432568E-7</v>
      </c>
      <c r="J80">
        <v>1.6045334858751645E-5</v>
      </c>
      <c r="K80">
        <v>1.9143785808549953</v>
      </c>
      <c r="L80">
        <v>55.094505898869734</v>
      </c>
      <c r="M80">
        <v>0</v>
      </c>
    </row>
    <row r="81" spans="1:15" x14ac:dyDescent="0.15">
      <c r="A81">
        <v>229</v>
      </c>
      <c r="B81" t="s">
        <v>183</v>
      </c>
      <c r="C81" t="s">
        <v>464</v>
      </c>
      <c r="D81">
        <v>13</v>
      </c>
      <c r="E81">
        <v>6421875</v>
      </c>
      <c r="F81">
        <v>6424780.2734375</v>
      </c>
      <c r="G81">
        <v>6423327.63671875</v>
      </c>
      <c r="H81">
        <v>5402517.6982307071</v>
      </c>
      <c r="I81">
        <v>7.8767163562858041E-8</v>
      </c>
      <c r="J81">
        <v>1.5980047808350177E-5</v>
      </c>
      <c r="K81">
        <v>1.0379330278872543</v>
      </c>
      <c r="L81">
        <v>-15.892229016197385</v>
      </c>
      <c r="M81">
        <v>0</v>
      </c>
    </row>
    <row r="82" spans="1:15" x14ac:dyDescent="0.15">
      <c r="A82">
        <v>229</v>
      </c>
      <c r="B82" t="s">
        <v>183</v>
      </c>
      <c r="C82" t="s">
        <v>464</v>
      </c>
      <c r="D82">
        <v>14</v>
      </c>
      <c r="E82">
        <v>6423327.63671875</v>
      </c>
      <c r="F82">
        <v>6424780.2734375</v>
      </c>
      <c r="G82">
        <v>6424053.955078125</v>
      </c>
      <c r="H82">
        <v>7671677.7975595566</v>
      </c>
      <c r="I82">
        <v>1.1137751456836913E-7</v>
      </c>
      <c r="J82">
        <v>1.6012658159355688E-5</v>
      </c>
      <c r="K82">
        <v>1.4738846238308754</v>
      </c>
      <c r="L82">
        <v>19.421129573409051</v>
      </c>
      <c r="M82">
        <v>0</v>
      </c>
    </row>
    <row r="83" spans="1:15" x14ac:dyDescent="0.15">
      <c r="A83">
        <v>229</v>
      </c>
      <c r="B83" t="s">
        <v>183</v>
      </c>
      <c r="C83" t="s">
        <v>464</v>
      </c>
      <c r="D83">
        <v>15</v>
      </c>
      <c r="E83">
        <v>6423327.63671875</v>
      </c>
      <c r="F83">
        <v>6424053.955078125</v>
      </c>
      <c r="G83">
        <v>6423690.7958984375</v>
      </c>
      <c r="H83">
        <v>6534105.5116708139</v>
      </c>
      <c r="I83">
        <v>9.5063438710185334E-8</v>
      </c>
      <c r="J83">
        <v>1.5996344083497504E-5</v>
      </c>
      <c r="K83">
        <v>1.2553339567002877</v>
      </c>
      <c r="L83">
        <v>1.7188672257213378</v>
      </c>
      <c r="M83">
        <v>0</v>
      </c>
    </row>
    <row r="84" spans="1:15" x14ac:dyDescent="0.15">
      <c r="A84">
        <v>229</v>
      </c>
      <c r="B84" t="s">
        <v>183</v>
      </c>
      <c r="C84" t="s">
        <v>464</v>
      </c>
      <c r="D84">
        <v>16</v>
      </c>
      <c r="E84">
        <v>6423327.63671875</v>
      </c>
      <c r="F84">
        <v>6423690.7958984375</v>
      </c>
      <c r="G84">
        <v>6423509.2163085938</v>
      </c>
      <c r="H84">
        <v>5967635.9780613407</v>
      </c>
      <c r="I84">
        <v>8.691410847710645E-8</v>
      </c>
      <c r="J84">
        <v>1.5988194753264425E-5</v>
      </c>
      <c r="K84">
        <v>1.1465036906897361</v>
      </c>
      <c r="L84">
        <v>-7.0969500143292432</v>
      </c>
      <c r="M84">
        <v>0</v>
      </c>
    </row>
    <row r="85" spans="1:15" x14ac:dyDescent="0.15">
      <c r="A85">
        <v>229</v>
      </c>
      <c r="B85" t="s">
        <v>183</v>
      </c>
      <c r="C85" t="s">
        <v>464</v>
      </c>
      <c r="D85">
        <v>17</v>
      </c>
      <c r="E85">
        <v>6423509.2163085938</v>
      </c>
      <c r="F85">
        <v>6423690.7958984375</v>
      </c>
      <c r="G85">
        <v>6423600.0061035156</v>
      </c>
      <c r="H85">
        <v>6250717.5916382838</v>
      </c>
      <c r="I85">
        <v>9.0988702585190022E-8</v>
      </c>
      <c r="J85">
        <v>1.5992269347372509E-5</v>
      </c>
      <c r="K85">
        <v>1.2008893998592498</v>
      </c>
      <c r="L85">
        <v>-2.6913633212056176</v>
      </c>
      <c r="M85">
        <v>0</v>
      </c>
    </row>
    <row r="86" spans="1:15" x14ac:dyDescent="0.15">
      <c r="A86">
        <v>229</v>
      </c>
      <c r="B86" t="s">
        <v>183</v>
      </c>
      <c r="C86" t="s">
        <v>464</v>
      </c>
      <c r="D86">
        <v>18</v>
      </c>
      <c r="E86">
        <v>6423600.0061035156</v>
      </c>
      <c r="F86">
        <v>6423690.7958984375</v>
      </c>
      <c r="G86">
        <v>6423645.4010009766</v>
      </c>
      <c r="H86">
        <v>6392333.7777101239</v>
      </c>
      <c r="I86">
        <v>9.302548512164305E-8</v>
      </c>
      <c r="J86">
        <v>1.5994306129908962E-5</v>
      </c>
      <c r="K86">
        <v>1.2280967363304525</v>
      </c>
      <c r="L86">
        <v>-0.48744320920911127</v>
      </c>
      <c r="M86">
        <v>0</v>
      </c>
    </row>
    <row r="87" spans="1:15" x14ac:dyDescent="0.15">
      <c r="A87">
        <v>229</v>
      </c>
      <c r="B87" t="s">
        <v>183</v>
      </c>
      <c r="C87" t="s">
        <v>465</v>
      </c>
      <c r="D87">
        <v>18</v>
      </c>
      <c r="E87">
        <v>6423600.0061035156</v>
      </c>
      <c r="F87">
        <v>6423690.7958984375</v>
      </c>
      <c r="G87">
        <v>6423645.4010009766</v>
      </c>
      <c r="H87">
        <v>6392333.7777101239</v>
      </c>
      <c r="I87">
        <v>9.302548512164305E-8</v>
      </c>
      <c r="J87">
        <v>1.5994306129908962E-5</v>
      </c>
      <c r="K87">
        <v>1.2280967363304525</v>
      </c>
      <c r="L87">
        <v>-0.48744320920911127</v>
      </c>
      <c r="M87">
        <v>0</v>
      </c>
      <c r="N87" t="s">
        <v>466</v>
      </c>
      <c r="O87" t="s">
        <v>467</v>
      </c>
    </row>
    <row r="88" spans="1:15" x14ac:dyDescent="0.15">
      <c r="A88">
        <v>230</v>
      </c>
      <c r="B88" t="s">
        <v>184</v>
      </c>
      <c r="C88" t="s">
        <v>461</v>
      </c>
      <c r="D88">
        <v>0</v>
      </c>
      <c r="E88">
        <v>100000</v>
      </c>
      <c r="F88">
        <v>12000000</v>
      </c>
      <c r="G88">
        <v>100000</v>
      </c>
      <c r="H88">
        <v>-15128.345797637694</v>
      </c>
      <c r="I88">
        <v>-2.5569654213799181E-5</v>
      </c>
      <c r="J88">
        <v>-9.6683735690118633E-6</v>
      </c>
      <c r="K88">
        <v>-2.8044804068267991E-3</v>
      </c>
      <c r="L88">
        <v>-115.12834579763769</v>
      </c>
      <c r="M88">
        <v>0</v>
      </c>
      <c r="O88" t="s">
        <v>462</v>
      </c>
    </row>
    <row r="89" spans="1:15" x14ac:dyDescent="0.15">
      <c r="A89">
        <v>230</v>
      </c>
      <c r="B89" t="s">
        <v>184</v>
      </c>
      <c r="C89" t="s">
        <v>461</v>
      </c>
      <c r="D89">
        <v>0</v>
      </c>
      <c r="E89">
        <v>100000</v>
      </c>
      <c r="F89">
        <v>12000000</v>
      </c>
      <c r="G89">
        <v>12000000</v>
      </c>
      <c r="H89">
        <v>2.9786261992498488E+18</v>
      </c>
      <c r="I89">
        <v>518.13244191302783</v>
      </c>
      <c r="J89">
        <v>518.13245781430851</v>
      </c>
      <c r="K89">
        <v>552175295752.53259</v>
      </c>
      <c r="L89">
        <v>24821884993648.742</v>
      </c>
      <c r="M89">
        <v>0</v>
      </c>
      <c r="O89" t="s">
        <v>463</v>
      </c>
    </row>
    <row r="90" spans="1:15" x14ac:dyDescent="0.15">
      <c r="A90">
        <v>230</v>
      </c>
      <c r="B90" t="s">
        <v>184</v>
      </c>
      <c r="C90" t="s">
        <v>464</v>
      </c>
      <c r="D90">
        <v>1</v>
      </c>
      <c r="E90">
        <v>100000</v>
      </c>
      <c r="F90">
        <v>12000000</v>
      </c>
      <c r="G90">
        <v>6050000</v>
      </c>
      <c r="H90">
        <v>-3557250.8516855291</v>
      </c>
      <c r="I90">
        <v>-9.1074551229698249E-6</v>
      </c>
      <c r="J90">
        <v>6.7938255218174933E-6</v>
      </c>
      <c r="K90">
        <v>-0.659440261953677</v>
      </c>
      <c r="L90">
        <v>-158.79753473860379</v>
      </c>
      <c r="M90">
        <v>0</v>
      </c>
    </row>
    <row r="91" spans="1:15" x14ac:dyDescent="0.15">
      <c r="A91">
        <v>230</v>
      </c>
      <c r="B91" t="s">
        <v>184</v>
      </c>
      <c r="C91" t="s">
        <v>464</v>
      </c>
      <c r="D91">
        <v>2</v>
      </c>
      <c r="E91">
        <v>6050000</v>
      </c>
      <c r="F91">
        <v>12000000</v>
      </c>
      <c r="G91">
        <v>9025000</v>
      </c>
      <c r="H91">
        <v>25653838210616.484</v>
      </c>
      <c r="I91">
        <v>2.3515061727898585E-2</v>
      </c>
      <c r="J91">
        <v>2.3530963008543373E-2</v>
      </c>
      <c r="K91">
        <v>4755687.6068243356</v>
      </c>
      <c r="L91">
        <v>284252954.96527958</v>
      </c>
      <c r="M91">
        <v>0</v>
      </c>
    </row>
    <row r="92" spans="1:15" x14ac:dyDescent="0.15">
      <c r="A92">
        <v>230</v>
      </c>
      <c r="B92" t="s">
        <v>184</v>
      </c>
      <c r="C92" t="s">
        <v>464</v>
      </c>
      <c r="D92">
        <v>3</v>
      </c>
      <c r="E92">
        <v>6050000</v>
      </c>
      <c r="F92">
        <v>9025000</v>
      </c>
      <c r="G92">
        <v>7537500</v>
      </c>
      <c r="H92">
        <v>87146131464.86615</v>
      </c>
      <c r="I92">
        <v>2.6222589957861076E-4</v>
      </c>
      <c r="J92">
        <v>2.7812718022339808E-4</v>
      </c>
      <c r="K92">
        <v>16155.078783440604</v>
      </c>
      <c r="L92">
        <v>1156067.5816234315</v>
      </c>
      <c r="M92">
        <v>0</v>
      </c>
    </row>
    <row r="93" spans="1:15" x14ac:dyDescent="0.15">
      <c r="A93">
        <v>230</v>
      </c>
      <c r="B93" t="s">
        <v>184</v>
      </c>
      <c r="C93" t="s">
        <v>464</v>
      </c>
      <c r="D93">
        <v>4</v>
      </c>
      <c r="E93">
        <v>6050000</v>
      </c>
      <c r="F93">
        <v>7537500</v>
      </c>
      <c r="G93">
        <v>6793750</v>
      </c>
      <c r="H93">
        <v>2380371080.2281919</v>
      </c>
      <c r="I93">
        <v>1.7247689538291678E-5</v>
      </c>
      <c r="J93">
        <v>3.3148970183078997E-5</v>
      </c>
      <c r="K93">
        <v>441.27124966429074</v>
      </c>
      <c r="L93">
        <v>34937.660794527204</v>
      </c>
      <c r="M93">
        <v>0</v>
      </c>
    </row>
    <row r="94" spans="1:15" x14ac:dyDescent="0.15">
      <c r="A94">
        <v>230</v>
      </c>
      <c r="B94" t="s">
        <v>184</v>
      </c>
      <c r="C94" t="s">
        <v>464</v>
      </c>
      <c r="D94">
        <v>5</v>
      </c>
      <c r="E94">
        <v>6050000</v>
      </c>
      <c r="F94">
        <v>6793750</v>
      </c>
      <c r="G94">
        <v>6421875</v>
      </c>
      <c r="H94">
        <v>-116513948.97014505</v>
      </c>
      <c r="I94">
        <v>-4.2354505311659996E-6</v>
      </c>
      <c r="J94">
        <v>1.1665830113621319E-5</v>
      </c>
      <c r="K94">
        <v>-21.599260843165901</v>
      </c>
      <c r="L94">
        <v>-1914.3291323818207</v>
      </c>
      <c r="M94">
        <v>0</v>
      </c>
    </row>
    <row r="95" spans="1:15" x14ac:dyDescent="0.15">
      <c r="A95">
        <v>230</v>
      </c>
      <c r="B95" t="s">
        <v>184</v>
      </c>
      <c r="C95" t="s">
        <v>464</v>
      </c>
      <c r="D95">
        <v>6</v>
      </c>
      <c r="E95">
        <v>6421875</v>
      </c>
      <c r="F95">
        <v>6793750</v>
      </c>
      <c r="G95">
        <v>6607812.5</v>
      </c>
      <c r="H95">
        <v>365229426.18703067</v>
      </c>
      <c r="I95">
        <v>3.7341117509088621E-6</v>
      </c>
      <c r="J95">
        <v>1.9635392395696181E-5</v>
      </c>
      <c r="K95">
        <v>67.705933182599793</v>
      </c>
      <c r="L95">
        <v>5427.2365277772433</v>
      </c>
      <c r="M95">
        <v>0</v>
      </c>
    </row>
    <row r="96" spans="1:15" x14ac:dyDescent="0.15">
      <c r="A96">
        <v>230</v>
      </c>
      <c r="B96" t="s">
        <v>184</v>
      </c>
      <c r="C96" t="s">
        <v>464</v>
      </c>
      <c r="D96">
        <v>7</v>
      </c>
      <c r="E96">
        <v>6421875</v>
      </c>
      <c r="F96">
        <v>6607812.5</v>
      </c>
      <c r="G96">
        <v>6514843.75</v>
      </c>
      <c r="H96">
        <v>-47003598.595109388</v>
      </c>
      <c r="I96">
        <v>-7.7212904509383515E-7</v>
      </c>
      <c r="J96">
        <v>1.5129151599693484E-5</v>
      </c>
      <c r="K96">
        <v>-8.713488776209747</v>
      </c>
      <c r="L96">
        <v>-821.48466484878304</v>
      </c>
      <c r="M96">
        <v>0</v>
      </c>
    </row>
    <row r="97" spans="1:15" x14ac:dyDescent="0.15">
      <c r="A97">
        <v>230</v>
      </c>
      <c r="B97" t="s">
        <v>184</v>
      </c>
      <c r="C97" t="s">
        <v>464</v>
      </c>
      <c r="D97">
        <v>8</v>
      </c>
      <c r="E97">
        <v>6514843.75</v>
      </c>
      <c r="F97">
        <v>6607812.5</v>
      </c>
      <c r="G97">
        <v>6561328.125</v>
      </c>
      <c r="H97">
        <v>106077790.53179747</v>
      </c>
      <c r="I97">
        <v>1.3328769455251114E-6</v>
      </c>
      <c r="J97">
        <v>1.723415759031243E-5</v>
      </c>
      <c r="K97">
        <v>19.664614302533803</v>
      </c>
      <c r="L97">
        <v>1516.7121733726351</v>
      </c>
      <c r="M97">
        <v>0</v>
      </c>
    </row>
    <row r="98" spans="1:15" x14ac:dyDescent="0.15">
      <c r="A98">
        <v>230</v>
      </c>
      <c r="B98" t="s">
        <v>184</v>
      </c>
      <c r="C98" t="s">
        <v>464</v>
      </c>
      <c r="D98">
        <v>9</v>
      </c>
      <c r="E98">
        <v>6514843.75</v>
      </c>
      <c r="F98">
        <v>6561328.125</v>
      </c>
      <c r="G98">
        <v>6538085.9375</v>
      </c>
      <c r="H98">
        <v>17218637.292658277</v>
      </c>
      <c r="I98">
        <v>2.4570829891481534E-7</v>
      </c>
      <c r="J98">
        <v>1.6146988943702134E-5</v>
      </c>
      <c r="K98">
        <v>3.1919769395446926</v>
      </c>
      <c r="L98">
        <v>163.35899309457918</v>
      </c>
      <c r="M98">
        <v>0</v>
      </c>
    </row>
    <row r="99" spans="1:15" x14ac:dyDescent="0.15">
      <c r="A99">
        <v>230</v>
      </c>
      <c r="B99" t="s">
        <v>184</v>
      </c>
      <c r="C99" t="s">
        <v>464</v>
      </c>
      <c r="D99">
        <v>10</v>
      </c>
      <c r="E99">
        <v>6514843.75</v>
      </c>
      <c r="F99">
        <v>6538085.9375</v>
      </c>
      <c r="G99">
        <v>6526464.84375</v>
      </c>
      <c r="H99">
        <v>-17772218.238155708</v>
      </c>
      <c r="I99">
        <v>-2.7159030857787559E-7</v>
      </c>
      <c r="J99">
        <v>1.5629690336209443E-5</v>
      </c>
      <c r="K99">
        <v>-3.294599323776723</v>
      </c>
      <c r="L99">
        <v>-372.31002791925073</v>
      </c>
      <c r="M99">
        <v>0</v>
      </c>
    </row>
    <row r="100" spans="1:15" x14ac:dyDescent="0.15">
      <c r="A100">
        <v>230</v>
      </c>
      <c r="B100" t="s">
        <v>184</v>
      </c>
      <c r="C100" t="s">
        <v>464</v>
      </c>
      <c r="D100">
        <v>11</v>
      </c>
      <c r="E100">
        <v>6526464.84375</v>
      </c>
      <c r="F100">
        <v>6538085.9375</v>
      </c>
      <c r="G100">
        <v>6532275.390625</v>
      </c>
      <c r="H100">
        <v>-1020970.4747241803</v>
      </c>
      <c r="I100">
        <v>-1.5070126800334667E-8</v>
      </c>
      <c r="J100">
        <v>1.5886210517986984E-5</v>
      </c>
      <c r="K100">
        <v>-0.18926667400474975</v>
      </c>
      <c r="L100">
        <v>-115.62963000900817</v>
      </c>
      <c r="M100">
        <v>0</v>
      </c>
    </row>
    <row r="101" spans="1:15" x14ac:dyDescent="0.15">
      <c r="A101">
        <v>230</v>
      </c>
      <c r="B101" t="s">
        <v>184</v>
      </c>
      <c r="C101" t="s">
        <v>464</v>
      </c>
      <c r="D101">
        <v>12</v>
      </c>
      <c r="E101">
        <v>6532275.390625</v>
      </c>
      <c r="F101">
        <v>6538085.9375</v>
      </c>
      <c r="G101">
        <v>6535180.6640625</v>
      </c>
      <c r="H101">
        <v>7909646.7171603153</v>
      </c>
      <c r="I101">
        <v>1.1478167151777202E-7</v>
      </c>
      <c r="J101">
        <v>1.6016062316305091E-5</v>
      </c>
      <c r="K101">
        <v>1.4662838581242523</v>
      </c>
      <c r="L101">
        <v>21.03179887062829</v>
      </c>
      <c r="M101">
        <v>0</v>
      </c>
    </row>
    <row r="102" spans="1:15" x14ac:dyDescent="0.15">
      <c r="A102">
        <v>230</v>
      </c>
      <c r="B102" t="s">
        <v>184</v>
      </c>
      <c r="C102" t="s">
        <v>464</v>
      </c>
      <c r="D102">
        <v>13</v>
      </c>
      <c r="E102">
        <v>6532275.390625</v>
      </c>
      <c r="F102">
        <v>6535180.6640625</v>
      </c>
      <c r="G102">
        <v>6533728.02734375</v>
      </c>
      <c r="H102">
        <v>3397407.4219967527</v>
      </c>
      <c r="I102">
        <v>4.9721629329180857E-8</v>
      </c>
      <c r="J102">
        <v>1.59510022741165E-5</v>
      </c>
      <c r="K102">
        <v>0.62980861731000626</v>
      </c>
      <c r="L102">
        <v>-48.002007310702993</v>
      </c>
      <c r="M102">
        <v>0</v>
      </c>
    </row>
    <row r="103" spans="1:15" x14ac:dyDescent="0.15">
      <c r="A103">
        <v>230</v>
      </c>
      <c r="B103" t="s">
        <v>184</v>
      </c>
      <c r="C103" t="s">
        <v>464</v>
      </c>
      <c r="D103">
        <v>14</v>
      </c>
      <c r="E103">
        <v>6533728.02734375</v>
      </c>
      <c r="F103">
        <v>6535180.6640625</v>
      </c>
      <c r="G103">
        <v>6534454.345703125</v>
      </c>
      <c r="H103">
        <v>5641815.3955903267</v>
      </c>
      <c r="I103">
        <v>8.2219050375108646E-8</v>
      </c>
      <c r="J103">
        <v>1.5983499695162428E-5</v>
      </c>
      <c r="K103">
        <v>1.0458751371440449</v>
      </c>
      <c r="L103">
        <v>-13.660497156886141</v>
      </c>
      <c r="M103">
        <v>0</v>
      </c>
    </row>
    <row r="104" spans="1:15" x14ac:dyDescent="0.15">
      <c r="A104">
        <v>230</v>
      </c>
      <c r="B104" t="s">
        <v>184</v>
      </c>
      <c r="C104" t="s">
        <v>464</v>
      </c>
      <c r="D104">
        <v>15</v>
      </c>
      <c r="E104">
        <v>6534454.345703125</v>
      </c>
      <c r="F104">
        <v>6535180.6640625</v>
      </c>
      <c r="G104">
        <v>6534817.5048828125</v>
      </c>
      <c r="H104">
        <v>6772753.5237553576</v>
      </c>
      <c r="I104">
        <v>9.8491574340533631E-8</v>
      </c>
      <c r="J104">
        <v>1.5999772219127853E-5</v>
      </c>
      <c r="K104">
        <v>1.2555275250652322</v>
      </c>
      <c r="L104">
        <v>3.641050705620462</v>
      </c>
      <c r="M104">
        <v>0</v>
      </c>
    </row>
    <row r="105" spans="1:15" x14ac:dyDescent="0.15">
      <c r="A105">
        <v>230</v>
      </c>
      <c r="B105" t="s">
        <v>184</v>
      </c>
      <c r="C105" t="s">
        <v>464</v>
      </c>
      <c r="D105">
        <v>16</v>
      </c>
      <c r="E105">
        <v>6534454.345703125</v>
      </c>
      <c r="F105">
        <v>6534817.5048828125</v>
      </c>
      <c r="G105">
        <v>6534635.9252929688</v>
      </c>
      <c r="H105">
        <v>6206577.1437435187</v>
      </c>
      <c r="I105">
        <v>9.0353638560178225E-8</v>
      </c>
      <c r="J105">
        <v>1.5991634283347497E-5</v>
      </c>
      <c r="K105">
        <v>1.1505702094544754</v>
      </c>
      <c r="L105">
        <v>-5.0203069505320919</v>
      </c>
      <c r="M105">
        <v>0</v>
      </c>
    </row>
    <row r="106" spans="1:15" x14ac:dyDescent="0.15">
      <c r="A106">
        <v>230</v>
      </c>
      <c r="B106" t="s">
        <v>184</v>
      </c>
      <c r="C106" t="s">
        <v>464</v>
      </c>
      <c r="D106">
        <v>17</v>
      </c>
      <c r="E106">
        <v>6534635.9252929688</v>
      </c>
      <c r="F106">
        <v>6534817.5048828125</v>
      </c>
      <c r="G106">
        <v>6534726.7150878906</v>
      </c>
      <c r="H106">
        <v>6489510.3606426474</v>
      </c>
      <c r="I106">
        <v>9.4422503046843776E-8</v>
      </c>
      <c r="J106">
        <v>1.5995703147834163E-5</v>
      </c>
      <c r="K106">
        <v>1.2030201384716972</v>
      </c>
      <c r="L106">
        <v>-0.69193948602080302</v>
      </c>
      <c r="M106">
        <v>0</v>
      </c>
    </row>
    <row r="107" spans="1:15" x14ac:dyDescent="0.15">
      <c r="A107">
        <v>230</v>
      </c>
      <c r="B107" t="s">
        <v>184</v>
      </c>
      <c r="C107" t="s">
        <v>465</v>
      </c>
      <c r="D107">
        <v>17</v>
      </c>
      <c r="E107">
        <v>6534635.9252929688</v>
      </c>
      <c r="F107">
        <v>6534817.5048828125</v>
      </c>
      <c r="G107">
        <v>6534726.7150878906</v>
      </c>
      <c r="H107">
        <v>6489510.3606426474</v>
      </c>
      <c r="I107">
        <v>9.4422503046843776E-8</v>
      </c>
      <c r="J107">
        <v>1.5995703147834163E-5</v>
      </c>
      <c r="K107">
        <v>1.2030201384716972</v>
      </c>
      <c r="L107">
        <v>-0.69193948602080302</v>
      </c>
      <c r="M107">
        <v>0</v>
      </c>
      <c r="N107" t="s">
        <v>466</v>
      </c>
      <c r="O107" t="s">
        <v>467</v>
      </c>
    </row>
    <row r="108" spans="1:15" x14ac:dyDescent="0.15">
      <c r="A108">
        <v>231</v>
      </c>
      <c r="B108" t="s">
        <v>185</v>
      </c>
      <c r="C108" t="s">
        <v>461</v>
      </c>
      <c r="D108">
        <v>0</v>
      </c>
      <c r="E108">
        <v>100000</v>
      </c>
      <c r="F108">
        <v>12000000</v>
      </c>
      <c r="G108">
        <v>100000</v>
      </c>
      <c r="H108">
        <v>-37320.771836692504</v>
      </c>
      <c r="I108">
        <v>-1.9856418527668174E-5</v>
      </c>
      <c r="J108">
        <v>-3.9551378828808554E-6</v>
      </c>
      <c r="K108">
        <v>-9.3893850509420215E-3</v>
      </c>
      <c r="L108">
        <v>-137.3207718366925</v>
      </c>
      <c r="M108">
        <v>0</v>
      </c>
      <c r="O108" t="s">
        <v>462</v>
      </c>
    </row>
    <row r="109" spans="1:15" x14ac:dyDescent="0.15">
      <c r="A109">
        <v>231</v>
      </c>
      <c r="B109" t="s">
        <v>185</v>
      </c>
      <c r="C109" t="s">
        <v>461</v>
      </c>
      <c r="D109">
        <v>0</v>
      </c>
      <c r="E109">
        <v>100000</v>
      </c>
      <c r="F109">
        <v>12000000</v>
      </c>
      <c r="G109">
        <v>12000000</v>
      </c>
      <c r="H109">
        <v>3.1004018763052989E+18</v>
      </c>
      <c r="I109">
        <v>536.87090609871939</v>
      </c>
      <c r="J109">
        <v>536.87092200000006</v>
      </c>
      <c r="K109">
        <v>780017818406.23035</v>
      </c>
      <c r="L109">
        <v>25836682302444.156</v>
      </c>
      <c r="M109">
        <v>5</v>
      </c>
      <c r="O109" t="s">
        <v>463</v>
      </c>
    </row>
    <row r="110" spans="1:15" x14ac:dyDescent="0.15">
      <c r="A110">
        <v>231</v>
      </c>
      <c r="B110" t="s">
        <v>185</v>
      </c>
      <c r="C110" t="s">
        <v>464</v>
      </c>
      <c r="D110">
        <v>1</v>
      </c>
      <c r="E110">
        <v>100000</v>
      </c>
      <c r="F110">
        <v>12000000</v>
      </c>
      <c r="G110">
        <v>6050000</v>
      </c>
      <c r="H110">
        <v>12359972260406.973</v>
      </c>
      <c r="I110">
        <v>1.2960246139796639E-2</v>
      </c>
      <c r="J110">
        <v>1.2976147420441427E-2</v>
      </c>
      <c r="K110">
        <v>3109596.4274196611</v>
      </c>
      <c r="L110">
        <v>204296962.15548715</v>
      </c>
      <c r="M110">
        <v>0</v>
      </c>
    </row>
    <row r="111" spans="1:15" x14ac:dyDescent="0.15">
      <c r="A111">
        <v>231</v>
      </c>
      <c r="B111" t="s">
        <v>185</v>
      </c>
      <c r="C111" t="s">
        <v>464</v>
      </c>
      <c r="D111">
        <v>2</v>
      </c>
      <c r="E111">
        <v>100000</v>
      </c>
      <c r="F111">
        <v>6050000</v>
      </c>
      <c r="G111">
        <v>3075000</v>
      </c>
      <c r="H111">
        <v>-508730.96560984559</v>
      </c>
      <c r="I111">
        <v>-1.1767490922621164E-5</v>
      </c>
      <c r="J111">
        <v>4.1337897221661547E-6</v>
      </c>
      <c r="K111">
        <v>-0.12798960708395973</v>
      </c>
      <c r="L111">
        <v>-116.54409644259661</v>
      </c>
      <c r="M111">
        <v>0</v>
      </c>
    </row>
    <row r="112" spans="1:15" x14ac:dyDescent="0.15">
      <c r="A112">
        <v>231</v>
      </c>
      <c r="B112" t="s">
        <v>185</v>
      </c>
      <c r="C112" t="s">
        <v>464</v>
      </c>
      <c r="D112">
        <v>3</v>
      </c>
      <c r="E112">
        <v>3075000</v>
      </c>
      <c r="F112">
        <v>6050000</v>
      </c>
      <c r="G112">
        <v>4562500</v>
      </c>
      <c r="H112">
        <v>25396459400.705292</v>
      </c>
      <c r="I112">
        <v>1.0328635338122355E-4</v>
      </c>
      <c r="J112">
        <v>1.1918763402601087E-4</v>
      </c>
      <c r="K112">
        <v>6389.394551840307</v>
      </c>
      <c r="L112">
        <v>556534.72659080091</v>
      </c>
      <c r="M112">
        <v>0</v>
      </c>
    </row>
    <row r="113" spans="1:15" x14ac:dyDescent="0.15">
      <c r="A113">
        <v>231</v>
      </c>
      <c r="B113" t="s">
        <v>185</v>
      </c>
      <c r="C113" t="s">
        <v>464</v>
      </c>
      <c r="D113">
        <v>4</v>
      </c>
      <c r="E113">
        <v>3075000</v>
      </c>
      <c r="F113">
        <v>4562500</v>
      </c>
      <c r="G113">
        <v>3818750</v>
      </c>
      <c r="H113">
        <v>-117647821.79789539</v>
      </c>
      <c r="I113">
        <v>-2.8708773995676304E-6</v>
      </c>
      <c r="J113">
        <v>1.3030403245219689E-5</v>
      </c>
      <c r="K113">
        <v>-29.598549143054033</v>
      </c>
      <c r="L113">
        <v>-3180.7940241674733</v>
      </c>
      <c r="M113">
        <v>0</v>
      </c>
    </row>
    <row r="114" spans="1:15" x14ac:dyDescent="0.15">
      <c r="A114">
        <v>231</v>
      </c>
      <c r="B114" t="s">
        <v>185</v>
      </c>
      <c r="C114" t="s">
        <v>464</v>
      </c>
      <c r="D114">
        <v>5</v>
      </c>
      <c r="E114">
        <v>3818750</v>
      </c>
      <c r="F114">
        <v>4562500</v>
      </c>
      <c r="G114">
        <v>4190625</v>
      </c>
      <c r="H114">
        <v>3488797717.880568</v>
      </c>
      <c r="I114">
        <v>2.3143311291489878E-5</v>
      </c>
      <c r="J114">
        <v>3.9044591936277197E-5</v>
      </c>
      <c r="K114">
        <v>877.73278862958125</v>
      </c>
      <c r="L114">
        <v>83152.443677985211</v>
      </c>
      <c r="M114">
        <v>0</v>
      </c>
    </row>
    <row r="115" spans="1:15" x14ac:dyDescent="0.15">
      <c r="A115">
        <v>231</v>
      </c>
      <c r="B115" t="s">
        <v>185</v>
      </c>
      <c r="C115" t="s">
        <v>464</v>
      </c>
      <c r="D115">
        <v>6</v>
      </c>
      <c r="E115">
        <v>3818750</v>
      </c>
      <c r="F115">
        <v>4190625</v>
      </c>
      <c r="G115">
        <v>4004687.5</v>
      </c>
      <c r="H115">
        <v>715399665.50670815</v>
      </c>
      <c r="I115">
        <v>6.60437008262234E-6</v>
      </c>
      <c r="J115">
        <v>2.2505650727409659E-5</v>
      </c>
      <c r="K115">
        <v>179.98456607892348</v>
      </c>
      <c r="L115">
        <v>17764.057195641562</v>
      </c>
      <c r="M115">
        <v>0</v>
      </c>
    </row>
    <row r="116" spans="1:15" x14ac:dyDescent="0.15">
      <c r="A116">
        <v>231</v>
      </c>
      <c r="B116" t="s">
        <v>185</v>
      </c>
      <c r="C116" t="s">
        <v>464</v>
      </c>
      <c r="D116">
        <v>7</v>
      </c>
      <c r="E116">
        <v>3818750</v>
      </c>
      <c r="F116">
        <v>4004687.5</v>
      </c>
      <c r="G116">
        <v>3911718.75</v>
      </c>
      <c r="H116">
        <v>95423729.443254158</v>
      </c>
      <c r="I116">
        <v>1.2145601317518964E-6</v>
      </c>
      <c r="J116">
        <v>1.7115840776539215E-5</v>
      </c>
      <c r="K116">
        <v>24.007277841417512</v>
      </c>
      <c r="L116">
        <v>2339.4322685713064</v>
      </c>
      <c r="M116">
        <v>0</v>
      </c>
    </row>
    <row r="117" spans="1:15" x14ac:dyDescent="0.15">
      <c r="A117">
        <v>231</v>
      </c>
      <c r="B117" t="s">
        <v>185</v>
      </c>
      <c r="C117" t="s">
        <v>464</v>
      </c>
      <c r="D117">
        <v>8</v>
      </c>
      <c r="E117">
        <v>3818750</v>
      </c>
      <c r="F117">
        <v>3911718.75</v>
      </c>
      <c r="G117">
        <v>3865234.375</v>
      </c>
      <c r="H117">
        <v>-57249637.762457862</v>
      </c>
      <c r="I117">
        <v>-9.693860157401452E-7</v>
      </c>
      <c r="J117">
        <v>1.4931894629047174E-5</v>
      </c>
      <c r="K117">
        <v>-14.403209433363806</v>
      </c>
      <c r="L117">
        <v>-1581.1427253349382</v>
      </c>
      <c r="M117">
        <v>0</v>
      </c>
    </row>
    <row r="118" spans="1:15" x14ac:dyDescent="0.15">
      <c r="A118">
        <v>231</v>
      </c>
      <c r="B118" t="s">
        <v>185</v>
      </c>
      <c r="C118" t="s">
        <v>464</v>
      </c>
      <c r="D118">
        <v>9</v>
      </c>
      <c r="E118">
        <v>3865234.375</v>
      </c>
      <c r="F118">
        <v>3911718.75</v>
      </c>
      <c r="G118">
        <v>3888476.5625</v>
      </c>
      <c r="H118">
        <v>5818137.9936492555</v>
      </c>
      <c r="I118">
        <v>8.4760554384690466E-8</v>
      </c>
      <c r="J118">
        <v>1.5986041199172009E-5</v>
      </c>
      <c r="K118">
        <v>1.4637622753605279</v>
      </c>
      <c r="L118">
        <v>49.625126965112202</v>
      </c>
      <c r="M118">
        <v>0</v>
      </c>
    </row>
    <row r="119" spans="1:15" x14ac:dyDescent="0.15">
      <c r="A119">
        <v>231</v>
      </c>
      <c r="B119" t="s">
        <v>185</v>
      </c>
      <c r="C119" t="s">
        <v>464</v>
      </c>
      <c r="D119">
        <v>10</v>
      </c>
      <c r="E119">
        <v>3865234.375</v>
      </c>
      <c r="F119">
        <v>3888476.5625</v>
      </c>
      <c r="G119">
        <v>3876855.46875</v>
      </c>
      <c r="H119">
        <v>-28804954.045560408</v>
      </c>
      <c r="I119">
        <v>-4.5144188962706214E-7</v>
      </c>
      <c r="J119">
        <v>1.5449838755160257E-5</v>
      </c>
      <c r="K119">
        <v>-7.2469242086400003</v>
      </c>
      <c r="L119">
        <v>-842.997882633161</v>
      </c>
      <c r="M119">
        <v>0</v>
      </c>
    </row>
    <row r="120" spans="1:15" x14ac:dyDescent="0.15">
      <c r="A120">
        <v>231</v>
      </c>
      <c r="B120" t="s">
        <v>185</v>
      </c>
      <c r="C120" t="s">
        <v>464</v>
      </c>
      <c r="D120">
        <v>11</v>
      </c>
      <c r="E120">
        <v>3876855.46875</v>
      </c>
      <c r="F120">
        <v>3888476.5625</v>
      </c>
      <c r="G120">
        <v>3882666.015625</v>
      </c>
      <c r="H120">
        <v>-12293365.255011002</v>
      </c>
      <c r="I120">
        <v>-1.8566222459400806E-7</v>
      </c>
      <c r="J120">
        <v>1.5715618420193311E-5</v>
      </c>
      <c r="K120">
        <v>-3.0928390349549617</v>
      </c>
      <c r="L120">
        <v>-416.62175437029231</v>
      </c>
      <c r="M120">
        <v>0</v>
      </c>
    </row>
    <row r="121" spans="1:15" x14ac:dyDescent="0.15">
      <c r="A121">
        <v>231</v>
      </c>
      <c r="B121" t="s">
        <v>185</v>
      </c>
      <c r="C121" t="s">
        <v>464</v>
      </c>
      <c r="D121">
        <v>12</v>
      </c>
      <c r="E121">
        <v>3882666.015625</v>
      </c>
      <c r="F121">
        <v>3888476.5625</v>
      </c>
      <c r="G121">
        <v>3885571.2890625</v>
      </c>
      <c r="H121">
        <v>-3441177.4751771102</v>
      </c>
      <c r="I121">
        <v>-5.1036995355875457E-8</v>
      </c>
      <c r="J121">
        <v>1.5850243649431444E-5</v>
      </c>
      <c r="K121">
        <v>-0.86575220052924395</v>
      </c>
      <c r="L121">
        <v>-188.56297360606109</v>
      </c>
      <c r="M121">
        <v>0</v>
      </c>
    </row>
    <row r="122" spans="1:15" x14ac:dyDescent="0.15">
      <c r="A122">
        <v>231</v>
      </c>
      <c r="B122" t="s">
        <v>185</v>
      </c>
      <c r="C122" t="s">
        <v>464</v>
      </c>
      <c r="D122">
        <v>13</v>
      </c>
      <c r="E122">
        <v>3885571.2890625</v>
      </c>
      <c r="F122">
        <v>3888476.5625</v>
      </c>
      <c r="G122">
        <v>3887023.92578125</v>
      </c>
      <c r="H122">
        <v>1137212.0811991764</v>
      </c>
      <c r="I122">
        <v>1.6715608078339599E-8</v>
      </c>
      <c r="J122">
        <v>1.5917996252865659E-5</v>
      </c>
      <c r="K122">
        <v>0.2861066797247811</v>
      </c>
      <c r="L122">
        <v>-70.743373261572884</v>
      </c>
      <c r="M122">
        <v>0</v>
      </c>
    </row>
    <row r="123" spans="1:15" x14ac:dyDescent="0.15">
      <c r="A123">
        <v>231</v>
      </c>
      <c r="B123" t="s">
        <v>185</v>
      </c>
      <c r="C123" t="s">
        <v>464</v>
      </c>
      <c r="D123">
        <v>14</v>
      </c>
      <c r="E123">
        <v>3887023.92578125</v>
      </c>
      <c r="F123">
        <v>3888476.5625</v>
      </c>
      <c r="G123">
        <v>3887750.244140625</v>
      </c>
      <c r="H123">
        <v>3464755.9380214484</v>
      </c>
      <c r="I123">
        <v>5.0700782445410451E-8</v>
      </c>
      <c r="J123">
        <v>1.5951981427232729E-5</v>
      </c>
      <c r="K123">
        <v>0.87168421253380712</v>
      </c>
      <c r="L123">
        <v>-10.88018209906069</v>
      </c>
      <c r="M123">
        <v>0</v>
      </c>
    </row>
    <row r="124" spans="1:15" x14ac:dyDescent="0.15">
      <c r="A124">
        <v>231</v>
      </c>
      <c r="B124" t="s">
        <v>185</v>
      </c>
      <c r="C124" t="s">
        <v>464</v>
      </c>
      <c r="D124">
        <v>15</v>
      </c>
      <c r="E124">
        <v>3887750.244140625</v>
      </c>
      <c r="F124">
        <v>3888476.5625</v>
      </c>
      <c r="G124">
        <v>3888113.4033203125</v>
      </c>
      <c r="H124">
        <v>4638280.3003451731</v>
      </c>
      <c r="I124">
        <v>6.7722350000196699E-8</v>
      </c>
      <c r="J124">
        <v>1.5969002994787516E-5</v>
      </c>
      <c r="K124">
        <v>1.1669265551288086</v>
      </c>
      <c r="L124">
        <v>19.293853321876991</v>
      </c>
      <c r="M124">
        <v>0</v>
      </c>
    </row>
    <row r="125" spans="1:15" x14ac:dyDescent="0.15">
      <c r="A125">
        <v>231</v>
      </c>
      <c r="B125" t="s">
        <v>185</v>
      </c>
      <c r="C125" t="s">
        <v>464</v>
      </c>
      <c r="D125">
        <v>16</v>
      </c>
      <c r="E125">
        <v>3887750.244140625</v>
      </c>
      <c r="F125">
        <v>3888113.4033203125</v>
      </c>
      <c r="G125">
        <v>3887931.8237304688</v>
      </c>
      <c r="H125">
        <v>4050742.7666031923</v>
      </c>
      <c r="I125">
        <v>5.9209713270302802E-8</v>
      </c>
      <c r="J125">
        <v>1.5960490358057622E-5</v>
      </c>
      <c r="K125">
        <v>1.0191103159490886</v>
      </c>
      <c r="L125">
        <v>4.1875976805711206</v>
      </c>
      <c r="M125">
        <v>0</v>
      </c>
    </row>
    <row r="126" spans="1:15" x14ac:dyDescent="0.15">
      <c r="A126">
        <v>231</v>
      </c>
      <c r="B126" t="s">
        <v>185</v>
      </c>
      <c r="C126" t="s">
        <v>464</v>
      </c>
      <c r="D126">
        <v>17</v>
      </c>
      <c r="E126">
        <v>3887750.244140625</v>
      </c>
      <c r="F126">
        <v>3887931.8237304688</v>
      </c>
      <c r="G126">
        <v>3887841.0339355469</v>
      </c>
      <c r="H126">
        <v>3757516.72501862</v>
      </c>
      <c r="I126">
        <v>5.4954220313841649E-8</v>
      </c>
      <c r="J126">
        <v>1.5956234865101161E-5</v>
      </c>
      <c r="K126">
        <v>0.94533873846273486</v>
      </c>
      <c r="L126">
        <v>-3.3520997329719369</v>
      </c>
      <c r="M126">
        <v>0</v>
      </c>
    </row>
    <row r="127" spans="1:15" x14ac:dyDescent="0.15">
      <c r="A127">
        <v>231</v>
      </c>
      <c r="B127" t="s">
        <v>185</v>
      </c>
      <c r="C127" t="s">
        <v>464</v>
      </c>
      <c r="D127">
        <v>18</v>
      </c>
      <c r="E127">
        <v>3887841.0339355469</v>
      </c>
      <c r="F127">
        <v>3887931.8237304688</v>
      </c>
      <c r="G127">
        <v>3887886.4288330078</v>
      </c>
      <c r="H127">
        <v>3904048.2227312811</v>
      </c>
      <c r="I127">
        <v>5.7081371165481574E-8</v>
      </c>
      <c r="J127">
        <v>1.5958362015952801E-5</v>
      </c>
      <c r="K127">
        <v>0.98220401713745742</v>
      </c>
      <c r="L127">
        <v>0.41569614221278578</v>
      </c>
      <c r="M127">
        <v>0</v>
      </c>
    </row>
    <row r="128" spans="1:15" x14ac:dyDescent="0.15">
      <c r="A128">
        <v>231</v>
      </c>
      <c r="B128" t="s">
        <v>185</v>
      </c>
      <c r="C128" t="s">
        <v>465</v>
      </c>
      <c r="D128">
        <v>18</v>
      </c>
      <c r="E128">
        <v>3887841.0339355469</v>
      </c>
      <c r="F128">
        <v>3887931.8237304688</v>
      </c>
      <c r="G128">
        <v>3887886.4288330078</v>
      </c>
      <c r="H128">
        <v>3904048.2227312811</v>
      </c>
      <c r="I128">
        <v>5.7081371165481574E-8</v>
      </c>
      <c r="J128">
        <v>1.5958362015952801E-5</v>
      </c>
      <c r="K128">
        <v>0.98220401713745742</v>
      </c>
      <c r="L128">
        <v>0.41569614221278578</v>
      </c>
      <c r="M128">
        <v>0</v>
      </c>
      <c r="N128" t="s">
        <v>466</v>
      </c>
      <c r="O128" t="s">
        <v>467</v>
      </c>
    </row>
    <row r="129" spans="1:15" x14ac:dyDescent="0.15">
      <c r="A129">
        <v>232</v>
      </c>
      <c r="B129" t="s">
        <v>186</v>
      </c>
      <c r="C129" t="s">
        <v>461</v>
      </c>
      <c r="D129">
        <v>0</v>
      </c>
      <c r="E129">
        <v>100000</v>
      </c>
      <c r="F129">
        <v>12000000</v>
      </c>
      <c r="G129">
        <v>100000</v>
      </c>
      <c r="H129">
        <v>-15263.477498466709</v>
      </c>
      <c r="I129">
        <v>-2.5360467562621386E-5</v>
      </c>
      <c r="J129">
        <v>-9.5620452585747904E-6</v>
      </c>
      <c r="K129">
        <v>-2.8130802496330581E-3</v>
      </c>
      <c r="L129">
        <v>-115.26347749846671</v>
      </c>
      <c r="M129">
        <v>0</v>
      </c>
      <c r="O129" t="s">
        <v>462</v>
      </c>
    </row>
    <row r="130" spans="1:15" x14ac:dyDescent="0.15">
      <c r="A130">
        <v>232</v>
      </c>
      <c r="B130" t="s">
        <v>186</v>
      </c>
      <c r="C130" t="s">
        <v>461</v>
      </c>
      <c r="D130">
        <v>0</v>
      </c>
      <c r="E130">
        <v>100000</v>
      </c>
      <c r="F130">
        <v>12000000</v>
      </c>
      <c r="G130">
        <v>12000000</v>
      </c>
      <c r="H130">
        <v>2.8770473395213952E+18</v>
      </c>
      <c r="I130">
        <v>497.95409939789073</v>
      </c>
      <c r="J130">
        <v>497.95411519631301</v>
      </c>
      <c r="K130">
        <v>530243848355.00232</v>
      </c>
      <c r="L130">
        <v>23975394495911.625</v>
      </c>
      <c r="M130">
        <v>0</v>
      </c>
      <c r="O130" t="s">
        <v>463</v>
      </c>
    </row>
    <row r="131" spans="1:15" x14ac:dyDescent="0.15">
      <c r="A131">
        <v>232</v>
      </c>
      <c r="B131" t="s">
        <v>186</v>
      </c>
      <c r="C131" t="s">
        <v>464</v>
      </c>
      <c r="D131">
        <v>1</v>
      </c>
      <c r="E131">
        <v>100000</v>
      </c>
      <c r="F131">
        <v>12000000</v>
      </c>
      <c r="G131">
        <v>6050000</v>
      </c>
      <c r="H131">
        <v>-3968074.6590026855</v>
      </c>
      <c r="I131">
        <v>-8.9315993381406702E-6</v>
      </c>
      <c r="J131">
        <v>6.8668229659059248E-6</v>
      </c>
      <c r="K131">
        <v>-0.73132170918660022</v>
      </c>
      <c r="L131">
        <v>-165.58801089260638</v>
      </c>
      <c r="M131">
        <v>0</v>
      </c>
    </row>
    <row r="132" spans="1:15" x14ac:dyDescent="0.15">
      <c r="A132">
        <v>232</v>
      </c>
      <c r="B132" t="s">
        <v>186</v>
      </c>
      <c r="C132" t="s">
        <v>464</v>
      </c>
      <c r="D132">
        <v>2</v>
      </c>
      <c r="E132">
        <v>6050000</v>
      </c>
      <c r="F132">
        <v>12000000</v>
      </c>
      <c r="G132">
        <v>9025000</v>
      </c>
      <c r="H132">
        <v>25759743136381.332</v>
      </c>
      <c r="I132">
        <v>2.3395587784695752E-2</v>
      </c>
      <c r="J132">
        <v>2.3411386206999799E-2</v>
      </c>
      <c r="K132">
        <v>4747556.6862043357</v>
      </c>
      <c r="L132">
        <v>285426416.74660754</v>
      </c>
      <c r="M132">
        <v>0</v>
      </c>
    </row>
    <row r="133" spans="1:15" x14ac:dyDescent="0.15">
      <c r="A133">
        <v>232</v>
      </c>
      <c r="B133" t="s">
        <v>186</v>
      </c>
      <c r="C133" t="s">
        <v>464</v>
      </c>
      <c r="D133">
        <v>3</v>
      </c>
      <c r="E133">
        <v>6050000</v>
      </c>
      <c r="F133">
        <v>9025000</v>
      </c>
      <c r="G133">
        <v>7537500</v>
      </c>
      <c r="H133">
        <v>89369230842.346909</v>
      </c>
      <c r="I133">
        <v>2.6517766409687776E-4</v>
      </c>
      <c r="J133">
        <v>2.8097608640092434E-4</v>
      </c>
      <c r="K133">
        <v>16470.87423116772</v>
      </c>
      <c r="L133">
        <v>1185561.4373777367</v>
      </c>
      <c r="M133">
        <v>0</v>
      </c>
    </row>
    <row r="134" spans="1:15" x14ac:dyDescent="0.15">
      <c r="A134">
        <v>232</v>
      </c>
      <c r="B134" t="s">
        <v>186</v>
      </c>
      <c r="C134" t="s">
        <v>464</v>
      </c>
      <c r="D134">
        <v>4</v>
      </c>
      <c r="E134">
        <v>6050000</v>
      </c>
      <c r="F134">
        <v>7537500</v>
      </c>
      <c r="G134">
        <v>6793750</v>
      </c>
      <c r="H134">
        <v>2529023832.5717926</v>
      </c>
      <c r="I134">
        <v>1.7938174279921474E-5</v>
      </c>
      <c r="J134">
        <v>3.3736596583968069E-5</v>
      </c>
      <c r="K134">
        <v>466.10262929752952</v>
      </c>
      <c r="L134">
        <v>37125.741785785358</v>
      </c>
      <c r="M134">
        <v>0</v>
      </c>
    </row>
    <row r="135" spans="1:15" x14ac:dyDescent="0.15">
      <c r="A135">
        <v>232</v>
      </c>
      <c r="B135" t="s">
        <v>186</v>
      </c>
      <c r="C135" t="s">
        <v>464</v>
      </c>
      <c r="D135">
        <v>5</v>
      </c>
      <c r="E135">
        <v>6050000</v>
      </c>
      <c r="F135">
        <v>6793750</v>
      </c>
      <c r="G135">
        <v>6421875</v>
      </c>
      <c r="H135">
        <v>-119968962.382752</v>
      </c>
      <c r="I135">
        <v>-3.8827131327385974E-6</v>
      </c>
      <c r="J135">
        <v>1.1915709171307997E-5</v>
      </c>
      <c r="K135">
        <v>-22.110447549176964</v>
      </c>
      <c r="L135">
        <v>-1968.1298278579386</v>
      </c>
      <c r="M135">
        <v>0</v>
      </c>
    </row>
    <row r="136" spans="1:15" x14ac:dyDescent="0.15">
      <c r="A136">
        <v>232</v>
      </c>
      <c r="B136" t="s">
        <v>186</v>
      </c>
      <c r="C136" t="s">
        <v>464</v>
      </c>
      <c r="D136">
        <v>6</v>
      </c>
      <c r="E136">
        <v>6421875</v>
      </c>
      <c r="F136">
        <v>6793750</v>
      </c>
      <c r="G136">
        <v>6607812.5</v>
      </c>
      <c r="H136">
        <v>424582992.78583598</v>
      </c>
      <c r="I136">
        <v>4.2212465235024809E-6</v>
      </c>
      <c r="J136">
        <v>2.0019668827549075E-5</v>
      </c>
      <c r="K136">
        <v>78.251239369004367</v>
      </c>
      <c r="L136">
        <v>6325.4697418523301</v>
      </c>
      <c r="M136">
        <v>0</v>
      </c>
    </row>
    <row r="137" spans="1:15" x14ac:dyDescent="0.15">
      <c r="A137">
        <v>232</v>
      </c>
      <c r="B137" t="s">
        <v>186</v>
      </c>
      <c r="C137" t="s">
        <v>464</v>
      </c>
      <c r="D137">
        <v>7</v>
      </c>
      <c r="E137">
        <v>6421875</v>
      </c>
      <c r="F137">
        <v>6607812.5</v>
      </c>
      <c r="G137">
        <v>6514843.75</v>
      </c>
      <c r="H137">
        <v>-23329841.351921581</v>
      </c>
      <c r="I137">
        <v>-3.5899458223109633E-7</v>
      </c>
      <c r="J137">
        <v>1.5439427721815498E-5</v>
      </c>
      <c r="K137">
        <v>-4.2997223890005358</v>
      </c>
      <c r="L137">
        <v>-458.10285322532224</v>
      </c>
      <c r="M137">
        <v>0</v>
      </c>
    </row>
    <row r="138" spans="1:15" x14ac:dyDescent="0.15">
      <c r="A138">
        <v>232</v>
      </c>
      <c r="B138" t="s">
        <v>186</v>
      </c>
      <c r="C138" t="s">
        <v>464</v>
      </c>
      <c r="D138">
        <v>8</v>
      </c>
      <c r="E138">
        <v>6514843.75</v>
      </c>
      <c r="F138">
        <v>6607812.5</v>
      </c>
      <c r="G138">
        <v>6561328.125</v>
      </c>
      <c r="H138">
        <v>149612228.85021308</v>
      </c>
      <c r="I138">
        <v>1.780963697630319E-6</v>
      </c>
      <c r="J138">
        <v>1.7579386001676913E-5</v>
      </c>
      <c r="K138">
        <v>27.573743016582835</v>
      </c>
      <c r="L138">
        <v>2180.2125728198221</v>
      </c>
      <c r="M138">
        <v>0</v>
      </c>
    </row>
    <row r="139" spans="1:15" x14ac:dyDescent="0.15">
      <c r="A139">
        <v>232</v>
      </c>
      <c r="B139" t="s">
        <v>186</v>
      </c>
      <c r="C139" t="s">
        <v>464</v>
      </c>
      <c r="D139">
        <v>9</v>
      </c>
      <c r="E139">
        <v>6514843.75</v>
      </c>
      <c r="F139">
        <v>6561328.125</v>
      </c>
      <c r="G139">
        <v>6538085.9375</v>
      </c>
      <c r="H139">
        <v>50256262.882924736</v>
      </c>
      <c r="I139">
        <v>6.7598019281252578E-7</v>
      </c>
      <c r="J139">
        <v>1.647440249685912E-5</v>
      </c>
      <c r="K139">
        <v>9.2622995349863295</v>
      </c>
      <c r="L139">
        <v>668.66935313091756</v>
      </c>
      <c r="M139">
        <v>0</v>
      </c>
    </row>
    <row r="140" spans="1:15" x14ac:dyDescent="0.15">
      <c r="A140">
        <v>232</v>
      </c>
      <c r="B140" t="s">
        <v>186</v>
      </c>
      <c r="C140" t="s">
        <v>464</v>
      </c>
      <c r="D140">
        <v>10</v>
      </c>
      <c r="E140">
        <v>6514843.75</v>
      </c>
      <c r="F140">
        <v>6538085.9375</v>
      </c>
      <c r="G140">
        <v>6526464.84375</v>
      </c>
      <c r="H140">
        <v>10447776.852318343</v>
      </c>
      <c r="I140">
        <v>1.5005090649006621E-7</v>
      </c>
      <c r="J140">
        <v>1.594847321053666E-5</v>
      </c>
      <c r="K140">
        <v>1.9255398855721171</v>
      </c>
      <c r="L140">
        <v>60.083247247145529</v>
      </c>
      <c r="M140">
        <v>0</v>
      </c>
    </row>
    <row r="141" spans="1:15" x14ac:dyDescent="0.15">
      <c r="A141">
        <v>232</v>
      </c>
      <c r="B141" t="s">
        <v>186</v>
      </c>
      <c r="C141" t="s">
        <v>464</v>
      </c>
      <c r="D141">
        <v>11</v>
      </c>
      <c r="E141">
        <v>6514843.75</v>
      </c>
      <c r="F141">
        <v>6526464.84375</v>
      </c>
      <c r="G141">
        <v>6520654.296875</v>
      </c>
      <c r="H141">
        <v>-7171182.5404882748</v>
      </c>
      <c r="I141">
        <v>-1.0655904272243211E-7</v>
      </c>
      <c r="J141">
        <v>1.5691863261324162E-5</v>
      </c>
      <c r="K141">
        <v>-1.3216589714360618</v>
      </c>
      <c r="L141">
        <v>-209.97642589218444</v>
      </c>
      <c r="M141">
        <v>0</v>
      </c>
    </row>
    <row r="142" spans="1:15" x14ac:dyDescent="0.15">
      <c r="A142">
        <v>232</v>
      </c>
      <c r="B142" t="s">
        <v>186</v>
      </c>
      <c r="C142" t="s">
        <v>464</v>
      </c>
      <c r="D142">
        <v>12</v>
      </c>
      <c r="E142">
        <v>6520654.296875</v>
      </c>
      <c r="F142">
        <v>6526464.84375</v>
      </c>
      <c r="G142">
        <v>6523559.5703125</v>
      </c>
      <c r="H142">
        <v>1452673.7291095429</v>
      </c>
      <c r="I142">
        <v>2.1219132302183506E-8</v>
      </c>
      <c r="J142">
        <v>1.5819641436348778E-5</v>
      </c>
      <c r="K142">
        <v>0.26772979990499324</v>
      </c>
      <c r="L142">
        <v>-77.731885277473523</v>
      </c>
      <c r="M142">
        <v>0</v>
      </c>
    </row>
    <row r="143" spans="1:15" x14ac:dyDescent="0.15">
      <c r="A143">
        <v>232</v>
      </c>
      <c r="B143" t="s">
        <v>186</v>
      </c>
      <c r="C143" t="s">
        <v>464</v>
      </c>
      <c r="D143">
        <v>13</v>
      </c>
      <c r="E143">
        <v>6523559.5703125</v>
      </c>
      <c r="F143">
        <v>6526464.84375</v>
      </c>
      <c r="G143">
        <v>6525012.20703125</v>
      </c>
      <c r="H143">
        <v>5903443.0710880011</v>
      </c>
      <c r="I143">
        <v>8.550288559338348E-8</v>
      </c>
      <c r="J143">
        <v>1.5883925189639978E-5</v>
      </c>
      <c r="K143">
        <v>1.0880128142344379</v>
      </c>
      <c r="L143">
        <v>-9.5259459480160942</v>
      </c>
      <c r="M143">
        <v>0</v>
      </c>
    </row>
    <row r="144" spans="1:15" x14ac:dyDescent="0.15">
      <c r="A144">
        <v>232</v>
      </c>
      <c r="B144" t="s">
        <v>186</v>
      </c>
      <c r="C144" t="s">
        <v>464</v>
      </c>
      <c r="D144">
        <v>14</v>
      </c>
      <c r="E144">
        <v>6525012.20703125</v>
      </c>
      <c r="F144">
        <v>6526464.84375</v>
      </c>
      <c r="G144">
        <v>6525738.525390625</v>
      </c>
      <c r="H144">
        <v>8163866.2170506846</v>
      </c>
      <c r="I144">
        <v>1.1774379424531005E-7</v>
      </c>
      <c r="J144">
        <v>1.5916166098291904E-5</v>
      </c>
      <c r="K144">
        <v>1.5046119613396645</v>
      </c>
      <c r="L144">
        <v>25.102564028368004</v>
      </c>
      <c r="M144">
        <v>0</v>
      </c>
    </row>
    <row r="145" spans="1:15" x14ac:dyDescent="0.15">
      <c r="A145">
        <v>232</v>
      </c>
      <c r="B145" t="s">
        <v>186</v>
      </c>
      <c r="C145" t="s">
        <v>464</v>
      </c>
      <c r="D145">
        <v>15</v>
      </c>
      <c r="E145">
        <v>6525012.20703125</v>
      </c>
      <c r="F145">
        <v>6525738.525390625</v>
      </c>
      <c r="G145">
        <v>6525375.3662109375</v>
      </c>
      <c r="H145">
        <v>7030724.7416189071</v>
      </c>
      <c r="I145">
        <v>1.0161507302242599E-7</v>
      </c>
      <c r="J145">
        <v>1.590003737706902E-5</v>
      </c>
      <c r="K145">
        <v>1.2957724026678343</v>
      </c>
      <c r="L145">
        <v>7.7443725003885664</v>
      </c>
      <c r="M145">
        <v>0</v>
      </c>
    </row>
    <row r="146" spans="1:15" x14ac:dyDescent="0.15">
      <c r="A146">
        <v>232</v>
      </c>
      <c r="B146" t="s">
        <v>186</v>
      </c>
      <c r="C146" t="s">
        <v>464</v>
      </c>
      <c r="D146">
        <v>16</v>
      </c>
      <c r="E146">
        <v>6525012.20703125</v>
      </c>
      <c r="F146">
        <v>6525375.3662109375</v>
      </c>
      <c r="G146">
        <v>6525193.7866210938</v>
      </c>
      <c r="H146">
        <v>6466415.3097593207</v>
      </c>
      <c r="I146">
        <v>9.355781590475508E-8</v>
      </c>
      <c r="J146">
        <v>1.5891980119951349E-5</v>
      </c>
      <c r="K146">
        <v>1.1917693851637747</v>
      </c>
      <c r="L146">
        <v>-0.9007928160277674</v>
      </c>
      <c r="M146">
        <v>0</v>
      </c>
    </row>
    <row r="147" spans="1:15" x14ac:dyDescent="0.15">
      <c r="A147">
        <v>232</v>
      </c>
      <c r="B147" t="s">
        <v>186</v>
      </c>
      <c r="C147" t="s">
        <v>465</v>
      </c>
      <c r="D147">
        <v>16</v>
      </c>
      <c r="E147">
        <v>6525012.20703125</v>
      </c>
      <c r="F147">
        <v>6525375.3662109375</v>
      </c>
      <c r="G147">
        <v>6525193.7866210938</v>
      </c>
      <c r="H147">
        <v>6466415.3097593207</v>
      </c>
      <c r="I147">
        <v>9.355781590475508E-8</v>
      </c>
      <c r="J147">
        <v>1.5891980119951349E-5</v>
      </c>
      <c r="K147">
        <v>1.1917693851637747</v>
      </c>
      <c r="L147">
        <v>-0.9007928160277674</v>
      </c>
      <c r="M147">
        <v>0</v>
      </c>
      <c r="N147" t="s">
        <v>466</v>
      </c>
      <c r="O147" t="s">
        <v>467</v>
      </c>
    </row>
    <row r="148" spans="1:15" x14ac:dyDescent="0.15">
      <c r="A148">
        <v>233</v>
      </c>
      <c r="B148" t="s">
        <v>187</v>
      </c>
      <c r="C148" t="s">
        <v>461</v>
      </c>
      <c r="D148">
        <v>0</v>
      </c>
      <c r="E148">
        <v>100000</v>
      </c>
      <c r="F148">
        <v>12000000</v>
      </c>
      <c r="G148">
        <v>100000</v>
      </c>
      <c r="H148">
        <v>-9413.537748876246</v>
      </c>
      <c r="I148">
        <v>-2.9047094034841042E-5</v>
      </c>
      <c r="J148">
        <v>-1.3550901321723959E-5</v>
      </c>
      <c r="K148">
        <v>-1.4209887888043779E-3</v>
      </c>
      <c r="L148">
        <v>-109.41353774887625</v>
      </c>
      <c r="M148">
        <v>0</v>
      </c>
      <c r="O148" t="s">
        <v>462</v>
      </c>
    </row>
    <row r="149" spans="1:15" x14ac:dyDescent="0.15">
      <c r="A149">
        <v>233</v>
      </c>
      <c r="B149" t="s">
        <v>187</v>
      </c>
      <c r="C149" t="s">
        <v>461</v>
      </c>
      <c r="D149">
        <v>0</v>
      </c>
      <c r="E149">
        <v>100000</v>
      </c>
      <c r="F149">
        <v>12000000</v>
      </c>
      <c r="G149">
        <v>12000000</v>
      </c>
      <c r="H149">
        <v>389365398782115.19</v>
      </c>
      <c r="I149">
        <v>0.21724708967332065</v>
      </c>
      <c r="J149">
        <v>0.21726258586603378</v>
      </c>
      <c r="K149">
        <v>58775338.366681591</v>
      </c>
      <c r="L149">
        <v>3244711556.5176268</v>
      </c>
      <c r="M149">
        <v>0</v>
      </c>
      <c r="O149" t="s">
        <v>463</v>
      </c>
    </row>
    <row r="150" spans="1:15" x14ac:dyDescent="0.15">
      <c r="A150">
        <v>233</v>
      </c>
      <c r="B150" t="s">
        <v>187</v>
      </c>
      <c r="C150" t="s">
        <v>464</v>
      </c>
      <c r="D150">
        <v>1</v>
      </c>
      <c r="E150">
        <v>100000</v>
      </c>
      <c r="F150">
        <v>12000000</v>
      </c>
      <c r="G150">
        <v>6050000</v>
      </c>
      <c r="H150">
        <v>-81657.162950884594</v>
      </c>
      <c r="I150">
        <v>-1.6092813712152266E-5</v>
      </c>
      <c r="J150">
        <v>-5.9662099903518403E-7</v>
      </c>
      <c r="K150">
        <v>-1.2326281168058303E-2</v>
      </c>
      <c r="L150">
        <v>-101.34970517274189</v>
      </c>
      <c r="M150">
        <v>0</v>
      </c>
    </row>
    <row r="151" spans="1:15" x14ac:dyDescent="0.15">
      <c r="A151">
        <v>233</v>
      </c>
      <c r="B151" t="s">
        <v>187</v>
      </c>
      <c r="C151" t="s">
        <v>464</v>
      </c>
      <c r="D151">
        <v>2</v>
      </c>
      <c r="E151">
        <v>6050000</v>
      </c>
      <c r="F151">
        <v>12000000</v>
      </c>
      <c r="G151">
        <v>9025000</v>
      </c>
      <c r="H151">
        <v>5450026739.9549627</v>
      </c>
      <c r="I151">
        <v>3.1507464395165167E-5</v>
      </c>
      <c r="J151">
        <v>4.7003657108282254E-5</v>
      </c>
      <c r="K151">
        <v>822.69037451776057</v>
      </c>
      <c r="L151">
        <v>60288.107921938645</v>
      </c>
      <c r="M151">
        <v>0</v>
      </c>
    </row>
    <row r="152" spans="1:15" x14ac:dyDescent="0.15">
      <c r="A152">
        <v>233</v>
      </c>
      <c r="B152" t="s">
        <v>187</v>
      </c>
      <c r="C152" t="s">
        <v>464</v>
      </c>
      <c r="D152">
        <v>3</v>
      </c>
      <c r="E152">
        <v>6050000</v>
      </c>
      <c r="F152">
        <v>9025000</v>
      </c>
      <c r="G152">
        <v>7537500</v>
      </c>
      <c r="H152">
        <v>-324089.77486185543</v>
      </c>
      <c r="I152">
        <v>-1.2340548499555444E-5</v>
      </c>
      <c r="J152">
        <v>3.1556442135616388E-6</v>
      </c>
      <c r="K152">
        <v>-4.8921877080676461E-2</v>
      </c>
      <c r="L152">
        <v>-104.29969850562992</v>
      </c>
      <c r="M152">
        <v>0</v>
      </c>
    </row>
    <row r="153" spans="1:15" x14ac:dyDescent="0.15">
      <c r="A153">
        <v>233</v>
      </c>
      <c r="B153" t="s">
        <v>187</v>
      </c>
      <c r="C153" t="s">
        <v>464</v>
      </c>
      <c r="D153">
        <v>4</v>
      </c>
      <c r="E153">
        <v>7537500</v>
      </c>
      <c r="F153">
        <v>9025000</v>
      </c>
      <c r="G153">
        <v>8281250</v>
      </c>
      <c r="H153">
        <v>-19920689.877294373</v>
      </c>
      <c r="I153">
        <v>-7.1433546670679863E-6</v>
      </c>
      <c r="J153">
        <v>8.3528380460490966E-6</v>
      </c>
      <c r="K153">
        <v>-3.0070604416775577</v>
      </c>
      <c r="L153">
        <v>-340.55172682015848</v>
      </c>
      <c r="M153">
        <v>0</v>
      </c>
    </row>
    <row r="154" spans="1:15" x14ac:dyDescent="0.15">
      <c r="A154">
        <v>233</v>
      </c>
      <c r="B154" t="s">
        <v>187</v>
      </c>
      <c r="C154" t="s">
        <v>464</v>
      </c>
      <c r="D154">
        <v>5</v>
      </c>
      <c r="E154">
        <v>8281250</v>
      </c>
      <c r="F154">
        <v>9025000</v>
      </c>
      <c r="G154">
        <v>8653125</v>
      </c>
      <c r="H154">
        <v>148293923.95656011</v>
      </c>
      <c r="I154">
        <v>1.7363380873069855E-6</v>
      </c>
      <c r="J154">
        <v>1.7232530800424068E-5</v>
      </c>
      <c r="K154">
        <v>22.385208304416302</v>
      </c>
      <c r="L154">
        <v>1613.7614902888854</v>
      </c>
      <c r="M154">
        <v>0</v>
      </c>
    </row>
    <row r="155" spans="1:15" x14ac:dyDescent="0.15">
      <c r="A155">
        <v>233</v>
      </c>
      <c r="B155" t="s">
        <v>187</v>
      </c>
      <c r="C155" t="s">
        <v>464</v>
      </c>
      <c r="D155">
        <v>6</v>
      </c>
      <c r="E155">
        <v>8281250</v>
      </c>
      <c r="F155">
        <v>8653125</v>
      </c>
      <c r="G155">
        <v>8467187.5</v>
      </c>
      <c r="H155">
        <v>-100577463.08570005</v>
      </c>
      <c r="I155">
        <v>-4.8038039856241456E-6</v>
      </c>
      <c r="J155">
        <v>1.0692388727492937E-5</v>
      </c>
      <c r="K155">
        <v>-15.182331155810912</v>
      </c>
      <c r="L155">
        <v>-1287.8497208866586</v>
      </c>
      <c r="M155">
        <v>0</v>
      </c>
    </row>
    <row r="156" spans="1:15" x14ac:dyDescent="0.15">
      <c r="A156">
        <v>233</v>
      </c>
      <c r="B156" t="s">
        <v>187</v>
      </c>
      <c r="C156" t="s">
        <v>464</v>
      </c>
      <c r="D156">
        <v>7</v>
      </c>
      <c r="E156">
        <v>8467187.5</v>
      </c>
      <c r="F156">
        <v>8653125</v>
      </c>
      <c r="G156">
        <v>8560156.25</v>
      </c>
      <c r="H156">
        <v>-101756805.42461522</v>
      </c>
      <c r="I156">
        <v>-2.0676364426045632E-6</v>
      </c>
      <c r="J156">
        <v>1.342855627051252E-5</v>
      </c>
      <c r="K156">
        <v>-15.360354794369206</v>
      </c>
      <c r="L156">
        <v>-1288.7260285069588</v>
      </c>
      <c r="M156">
        <v>0</v>
      </c>
    </row>
    <row r="157" spans="1:15" x14ac:dyDescent="0.15">
      <c r="A157">
        <v>233</v>
      </c>
      <c r="B157" t="s">
        <v>187</v>
      </c>
      <c r="C157" t="s">
        <v>464</v>
      </c>
      <c r="D157">
        <v>8</v>
      </c>
      <c r="E157">
        <v>8560156.25</v>
      </c>
      <c r="F157">
        <v>8653125</v>
      </c>
      <c r="G157">
        <v>8606640.625</v>
      </c>
      <c r="H157">
        <v>-19019090.930741113</v>
      </c>
      <c r="I157">
        <v>-2.850829769266838E-7</v>
      </c>
      <c r="J157">
        <v>1.5211109736190399E-5</v>
      </c>
      <c r="K157">
        <v>-2.8709626186032344</v>
      </c>
      <c r="L157">
        <v>-320.98158572458243</v>
      </c>
      <c r="M157">
        <v>0</v>
      </c>
    </row>
    <row r="158" spans="1:15" x14ac:dyDescent="0.15">
      <c r="A158">
        <v>233</v>
      </c>
      <c r="B158" t="s">
        <v>187</v>
      </c>
      <c r="C158" t="s">
        <v>464</v>
      </c>
      <c r="D158">
        <v>9</v>
      </c>
      <c r="E158">
        <v>8606640.625</v>
      </c>
      <c r="F158">
        <v>8653125</v>
      </c>
      <c r="G158">
        <v>8629882.8125</v>
      </c>
      <c r="H158">
        <v>52676643.226411536</v>
      </c>
      <c r="I158">
        <v>6.9387392239237053E-7</v>
      </c>
      <c r="J158">
        <v>1.6190066635509453E-5</v>
      </c>
      <c r="K158">
        <v>7.951624718933596</v>
      </c>
      <c r="L158">
        <v>510.39812904657026</v>
      </c>
      <c r="M158">
        <v>0</v>
      </c>
    </row>
    <row r="159" spans="1:15" x14ac:dyDescent="0.15">
      <c r="A159">
        <v>233</v>
      </c>
      <c r="B159" t="s">
        <v>187</v>
      </c>
      <c r="C159" t="s">
        <v>464</v>
      </c>
      <c r="D159">
        <v>10</v>
      </c>
      <c r="E159">
        <v>8606640.625</v>
      </c>
      <c r="F159">
        <v>8629882.8125</v>
      </c>
      <c r="G159">
        <v>8618261.71875</v>
      </c>
      <c r="H159">
        <v>14023119.10395186</v>
      </c>
      <c r="I159">
        <v>1.9673447058679314E-7</v>
      </c>
      <c r="J159">
        <v>1.5692927183703876E-5</v>
      </c>
      <c r="K159">
        <v>2.1168125695531272</v>
      </c>
      <c r="L159">
        <v>62.714008480886392</v>
      </c>
      <c r="M159">
        <v>0</v>
      </c>
    </row>
    <row r="160" spans="1:15" x14ac:dyDescent="0.15">
      <c r="A160">
        <v>233</v>
      </c>
      <c r="B160" t="s">
        <v>187</v>
      </c>
      <c r="C160" t="s">
        <v>464</v>
      </c>
      <c r="D160">
        <v>11</v>
      </c>
      <c r="E160">
        <v>8606640.625</v>
      </c>
      <c r="F160">
        <v>8618261.71875</v>
      </c>
      <c r="G160">
        <v>8612451.171875</v>
      </c>
      <c r="H160">
        <v>-3178228.3269072128</v>
      </c>
      <c r="I160">
        <v>-4.6069532276955512E-8</v>
      </c>
      <c r="J160">
        <v>1.5450123180840127E-5</v>
      </c>
      <c r="K160">
        <v>-0.4797587199705845</v>
      </c>
      <c r="L160">
        <v>-136.90271519084024</v>
      </c>
      <c r="M160">
        <v>0</v>
      </c>
    </row>
    <row r="161" spans="1:15" x14ac:dyDescent="0.15">
      <c r="A161">
        <v>233</v>
      </c>
      <c r="B161" t="s">
        <v>187</v>
      </c>
      <c r="C161" t="s">
        <v>464</v>
      </c>
      <c r="D161">
        <v>12</v>
      </c>
      <c r="E161">
        <v>8612451.171875</v>
      </c>
      <c r="F161">
        <v>8618261.71875</v>
      </c>
      <c r="G161">
        <v>8615356.4453125</v>
      </c>
      <c r="H161">
        <v>5249681.8700697115</v>
      </c>
      <c r="I161">
        <v>7.4855105861471472E-8</v>
      </c>
      <c r="J161">
        <v>1.5571047818978554E-5</v>
      </c>
      <c r="K161">
        <v>0.7924479915161734</v>
      </c>
      <c r="L161">
        <v>-39.065993341157778</v>
      </c>
      <c r="M161">
        <v>0</v>
      </c>
    </row>
    <row r="162" spans="1:15" x14ac:dyDescent="0.15">
      <c r="A162">
        <v>233</v>
      </c>
      <c r="B162" t="s">
        <v>187</v>
      </c>
      <c r="C162" t="s">
        <v>464</v>
      </c>
      <c r="D162">
        <v>13</v>
      </c>
      <c r="E162">
        <v>8615356.4453125</v>
      </c>
      <c r="F162">
        <v>8618261.71875</v>
      </c>
      <c r="G162">
        <v>8616809.08203125</v>
      </c>
      <c r="H162">
        <v>9592890.9777739514</v>
      </c>
      <c r="I162">
        <v>1.3567530752893283E-7</v>
      </c>
      <c r="J162">
        <v>1.5631868020646016E-5</v>
      </c>
      <c r="K162">
        <v>1.4480624495574703</v>
      </c>
      <c r="L162">
        <v>11.327649092030347</v>
      </c>
      <c r="M162">
        <v>0</v>
      </c>
    </row>
    <row r="163" spans="1:15" x14ac:dyDescent="0.15">
      <c r="A163">
        <v>233</v>
      </c>
      <c r="B163" t="s">
        <v>187</v>
      </c>
      <c r="C163" t="s">
        <v>464</v>
      </c>
      <c r="D163">
        <v>14</v>
      </c>
      <c r="E163">
        <v>8615356.4453125</v>
      </c>
      <c r="F163">
        <v>8616809.08203125</v>
      </c>
      <c r="G163">
        <v>8616082.763671875</v>
      </c>
      <c r="H163">
        <v>7410443.9155389965</v>
      </c>
      <c r="I163">
        <v>1.0523528444413574E-7</v>
      </c>
      <c r="J163">
        <v>1.5601427997561219E-5</v>
      </c>
      <c r="K163">
        <v>1.1186185263135087</v>
      </c>
      <c r="L163">
        <v>-13.992888429719274</v>
      </c>
      <c r="M163">
        <v>0</v>
      </c>
    </row>
    <row r="164" spans="1:15" x14ac:dyDescent="0.15">
      <c r="A164">
        <v>233</v>
      </c>
      <c r="B164" t="s">
        <v>187</v>
      </c>
      <c r="C164" t="s">
        <v>464</v>
      </c>
      <c r="D164">
        <v>15</v>
      </c>
      <c r="E164">
        <v>8616082.763671875</v>
      </c>
      <c r="F164">
        <v>8616809.08203125</v>
      </c>
      <c r="G164">
        <v>8616445.9228515625</v>
      </c>
      <c r="H164">
        <v>8498951.4501708355</v>
      </c>
      <c r="I164">
        <v>1.2044780800229751E-7</v>
      </c>
      <c r="J164">
        <v>1.561664052111938E-5</v>
      </c>
      <c r="K164">
        <v>1.2829305038615442</v>
      </c>
      <c r="L164">
        <v>-1.3636071500097444</v>
      </c>
      <c r="M164">
        <v>0</v>
      </c>
    </row>
    <row r="165" spans="1:15" x14ac:dyDescent="0.15">
      <c r="A165">
        <v>233</v>
      </c>
      <c r="B165" t="s">
        <v>187</v>
      </c>
      <c r="C165" t="s">
        <v>464</v>
      </c>
      <c r="D165">
        <v>16</v>
      </c>
      <c r="E165">
        <v>8616445.9228515625</v>
      </c>
      <c r="F165">
        <v>8616809.08203125</v>
      </c>
      <c r="G165">
        <v>8616627.5024414063</v>
      </c>
      <c r="H165">
        <v>9045177.7815365195</v>
      </c>
      <c r="I165">
        <v>1.280587972902545E-7</v>
      </c>
      <c r="J165">
        <v>1.5624251510407337E-5</v>
      </c>
      <c r="K165">
        <v>1.3653842543777133</v>
      </c>
      <c r="L165">
        <v>4.9735268116637199</v>
      </c>
      <c r="M165">
        <v>0</v>
      </c>
    </row>
    <row r="166" spans="1:15" x14ac:dyDescent="0.15">
      <c r="A166">
        <v>233</v>
      </c>
      <c r="B166" t="s">
        <v>187</v>
      </c>
      <c r="C166" t="s">
        <v>464</v>
      </c>
      <c r="D166">
        <v>17</v>
      </c>
      <c r="E166">
        <v>8616445.9228515625</v>
      </c>
      <c r="F166">
        <v>8616627.5024414063</v>
      </c>
      <c r="G166">
        <v>8616536.7126464844</v>
      </c>
      <c r="H166">
        <v>8771862.9831871428</v>
      </c>
      <c r="I166">
        <v>1.2425239100970065E-7</v>
      </c>
      <c r="J166">
        <v>1.5620445104126784E-5</v>
      </c>
      <c r="K166">
        <v>1.3241269423416344</v>
      </c>
      <c r="L166">
        <v>1.802653150803456</v>
      </c>
      <c r="M166">
        <v>0</v>
      </c>
    </row>
    <row r="167" spans="1:15" x14ac:dyDescent="0.15">
      <c r="A167">
        <v>233</v>
      </c>
      <c r="B167" t="s">
        <v>187</v>
      </c>
      <c r="C167" t="s">
        <v>464</v>
      </c>
      <c r="D167">
        <v>18</v>
      </c>
      <c r="E167">
        <v>8616445.9228515625</v>
      </c>
      <c r="F167">
        <v>8616536.7126464844</v>
      </c>
      <c r="G167">
        <v>8616491.3177490234</v>
      </c>
      <c r="H167">
        <v>8635332.9697584566</v>
      </c>
      <c r="I167">
        <v>1.2234953896961682E-7</v>
      </c>
      <c r="J167">
        <v>1.56185422520867E-5</v>
      </c>
      <c r="K167">
        <v>1.3035175154085312</v>
      </c>
      <c r="L167">
        <v>0.21866965699392521</v>
      </c>
      <c r="M167">
        <v>0</v>
      </c>
    </row>
    <row r="168" spans="1:15" x14ac:dyDescent="0.15">
      <c r="A168">
        <v>233</v>
      </c>
      <c r="B168" t="s">
        <v>187</v>
      </c>
      <c r="C168" t="s">
        <v>465</v>
      </c>
      <c r="D168">
        <v>18</v>
      </c>
      <c r="E168">
        <v>8616445.9228515625</v>
      </c>
      <c r="F168">
        <v>8616536.7126464844</v>
      </c>
      <c r="G168">
        <v>8616491.3177490234</v>
      </c>
      <c r="H168">
        <v>8635332.9697584566</v>
      </c>
      <c r="I168">
        <v>1.2234953896961682E-7</v>
      </c>
      <c r="J168">
        <v>1.56185422520867E-5</v>
      </c>
      <c r="K168">
        <v>1.3035175154085312</v>
      </c>
      <c r="L168">
        <v>0.21866965699392521</v>
      </c>
      <c r="M168">
        <v>0</v>
      </c>
      <c r="N168" t="s">
        <v>466</v>
      </c>
      <c r="O168" t="s">
        <v>467</v>
      </c>
    </row>
    <row r="169" spans="1:15" x14ac:dyDescent="0.15">
      <c r="A169">
        <v>234</v>
      </c>
      <c r="B169" t="s">
        <v>188</v>
      </c>
      <c r="C169" t="s">
        <v>461</v>
      </c>
      <c r="D169">
        <v>0</v>
      </c>
      <c r="E169">
        <v>100000</v>
      </c>
      <c r="F169">
        <v>12000000</v>
      </c>
      <c r="G169">
        <v>100000</v>
      </c>
      <c r="H169">
        <v>-33643.49783232843</v>
      </c>
      <c r="I169">
        <v>-1.9615723780820936E-5</v>
      </c>
      <c r="J169">
        <v>-4.4125552308077936E-6</v>
      </c>
      <c r="K169">
        <v>-8.3319806001751692E-3</v>
      </c>
      <c r="L169">
        <v>-133.64349783232842</v>
      </c>
      <c r="M169">
        <v>0</v>
      </c>
      <c r="O169" t="s">
        <v>462</v>
      </c>
    </row>
    <row r="170" spans="1:15" x14ac:dyDescent="0.15">
      <c r="A170">
        <v>234</v>
      </c>
      <c r="B170" t="s">
        <v>188</v>
      </c>
      <c r="C170" t="s">
        <v>461</v>
      </c>
      <c r="D170">
        <v>0</v>
      </c>
      <c r="E170">
        <v>100000</v>
      </c>
      <c r="F170">
        <v>12000000</v>
      </c>
      <c r="G170">
        <v>12000000</v>
      </c>
      <c r="H170">
        <v>3.3250595186698977E+18</v>
      </c>
      <c r="I170">
        <v>536.87090679683149</v>
      </c>
      <c r="J170">
        <v>536.87092200000006</v>
      </c>
      <c r="K170">
        <v>823467629378.41602</v>
      </c>
      <c r="L170">
        <v>27708829322149.148</v>
      </c>
      <c r="M170">
        <v>5</v>
      </c>
      <c r="O170" t="s">
        <v>463</v>
      </c>
    </row>
    <row r="171" spans="1:15" x14ac:dyDescent="0.15">
      <c r="A171">
        <v>234</v>
      </c>
      <c r="B171" t="s">
        <v>188</v>
      </c>
      <c r="C171" t="s">
        <v>464</v>
      </c>
      <c r="D171">
        <v>1</v>
      </c>
      <c r="E171">
        <v>100000</v>
      </c>
      <c r="F171">
        <v>12000000</v>
      </c>
      <c r="G171">
        <v>6050000</v>
      </c>
      <c r="H171">
        <v>2207626875710.0298</v>
      </c>
      <c r="I171">
        <v>3.0623643748136642E-3</v>
      </c>
      <c r="J171">
        <v>3.0775675433636772E-3</v>
      </c>
      <c r="K171">
        <v>546729.84338644985</v>
      </c>
      <c r="L171">
        <v>36489600.424959168</v>
      </c>
      <c r="M171">
        <v>0</v>
      </c>
    </row>
    <row r="172" spans="1:15" x14ac:dyDescent="0.15">
      <c r="A172">
        <v>234</v>
      </c>
      <c r="B172" t="s">
        <v>188</v>
      </c>
      <c r="C172" t="s">
        <v>464</v>
      </c>
      <c r="D172">
        <v>2</v>
      </c>
      <c r="E172">
        <v>100000</v>
      </c>
      <c r="F172">
        <v>6050000</v>
      </c>
      <c r="G172">
        <v>3075000</v>
      </c>
      <c r="H172">
        <v>-251553.07277264693</v>
      </c>
      <c r="I172">
        <v>-1.2660934582154936E-5</v>
      </c>
      <c r="J172">
        <v>2.5422339678582075E-6</v>
      </c>
      <c r="K172">
        <v>-6.229837731801293E-2</v>
      </c>
      <c r="L172">
        <v>-108.1805877324438</v>
      </c>
      <c r="M172">
        <v>0</v>
      </c>
    </row>
    <row r="173" spans="1:15" x14ac:dyDescent="0.15">
      <c r="A173">
        <v>234</v>
      </c>
      <c r="B173" t="s">
        <v>188</v>
      </c>
      <c r="C173" t="s">
        <v>464</v>
      </c>
      <c r="D173">
        <v>3</v>
      </c>
      <c r="E173">
        <v>3075000</v>
      </c>
      <c r="F173">
        <v>6050000</v>
      </c>
      <c r="G173">
        <v>4562500</v>
      </c>
      <c r="H173">
        <v>3450796507.2683792</v>
      </c>
      <c r="I173">
        <v>2.1770586684730457E-5</v>
      </c>
      <c r="J173">
        <v>3.6973755234743599E-5</v>
      </c>
      <c r="K173">
        <v>854.6070238298546</v>
      </c>
      <c r="L173">
        <v>75533.896049717907</v>
      </c>
      <c r="M173">
        <v>0</v>
      </c>
    </row>
    <row r="174" spans="1:15" x14ac:dyDescent="0.15">
      <c r="A174">
        <v>234</v>
      </c>
      <c r="B174" t="s">
        <v>188</v>
      </c>
      <c r="C174" t="s">
        <v>464</v>
      </c>
      <c r="D174">
        <v>4</v>
      </c>
      <c r="E174">
        <v>3075000</v>
      </c>
      <c r="F174">
        <v>4562500</v>
      </c>
      <c r="G174">
        <v>3818750</v>
      </c>
      <c r="H174">
        <v>-5848490.6472789021</v>
      </c>
      <c r="I174">
        <v>-8.20365638740842E-6</v>
      </c>
      <c r="J174">
        <v>6.9995121626047226E-6</v>
      </c>
      <c r="K174">
        <v>-1.4484079763730444</v>
      </c>
      <c r="L174">
        <v>-253.15196457686159</v>
      </c>
      <c r="M174">
        <v>0</v>
      </c>
    </row>
    <row r="175" spans="1:15" x14ac:dyDescent="0.15">
      <c r="A175">
        <v>234</v>
      </c>
      <c r="B175" t="s">
        <v>188</v>
      </c>
      <c r="C175" t="s">
        <v>464</v>
      </c>
      <c r="D175">
        <v>5</v>
      </c>
      <c r="E175">
        <v>3818750</v>
      </c>
      <c r="F175">
        <v>4562500</v>
      </c>
      <c r="G175">
        <v>4190625</v>
      </c>
      <c r="H175">
        <v>-110242108.84050885</v>
      </c>
      <c r="I175">
        <v>-2.3867716108130185E-6</v>
      </c>
      <c r="J175">
        <v>1.2816396939200124E-5</v>
      </c>
      <c r="K175">
        <v>-27.302009938422277</v>
      </c>
      <c r="L175">
        <v>-2730.684178147862</v>
      </c>
      <c r="M175">
        <v>0</v>
      </c>
    </row>
    <row r="176" spans="1:15" x14ac:dyDescent="0.15">
      <c r="A176">
        <v>234</v>
      </c>
      <c r="B176" t="s">
        <v>188</v>
      </c>
      <c r="C176" t="s">
        <v>464</v>
      </c>
      <c r="D176">
        <v>6</v>
      </c>
      <c r="E176">
        <v>4190625</v>
      </c>
      <c r="F176">
        <v>4562500</v>
      </c>
      <c r="G176">
        <v>4376562.5</v>
      </c>
      <c r="H176">
        <v>750400944.19817472</v>
      </c>
      <c r="I176">
        <v>6.5216099198624664E-6</v>
      </c>
      <c r="J176">
        <v>2.1724778469875609E-5</v>
      </c>
      <c r="K176">
        <v>185.84054905861743</v>
      </c>
      <c r="L176">
        <v>17045.898046655901</v>
      </c>
      <c r="M176">
        <v>0</v>
      </c>
    </row>
    <row r="177" spans="1:15" x14ac:dyDescent="0.15">
      <c r="A177">
        <v>234</v>
      </c>
      <c r="B177" t="s">
        <v>188</v>
      </c>
      <c r="C177" t="s">
        <v>464</v>
      </c>
      <c r="D177">
        <v>7</v>
      </c>
      <c r="E177">
        <v>4190625</v>
      </c>
      <c r="F177">
        <v>4376562.5</v>
      </c>
      <c r="G177">
        <v>4283593.75</v>
      </c>
      <c r="H177">
        <v>125057918.97031422</v>
      </c>
      <c r="I177">
        <v>1.475282440246794E-6</v>
      </c>
      <c r="J177">
        <v>1.6678450990259937E-5</v>
      </c>
      <c r="K177">
        <v>30.971219459757997</v>
      </c>
      <c r="L177">
        <v>2819.4626350903191</v>
      </c>
      <c r="M177">
        <v>0</v>
      </c>
    </row>
    <row r="178" spans="1:15" x14ac:dyDescent="0.15">
      <c r="A178">
        <v>234</v>
      </c>
      <c r="B178" t="s">
        <v>188</v>
      </c>
      <c r="C178" t="s">
        <v>464</v>
      </c>
      <c r="D178">
        <v>8</v>
      </c>
      <c r="E178">
        <v>4190625</v>
      </c>
      <c r="F178">
        <v>4283593.75</v>
      </c>
      <c r="G178">
        <v>4237109.375</v>
      </c>
      <c r="H178">
        <v>-37868816.382432997</v>
      </c>
      <c r="I178">
        <v>-5.8464276611530977E-7</v>
      </c>
      <c r="J178">
        <v>1.4618525783897833E-5</v>
      </c>
      <c r="K178">
        <v>-9.3784018838504455</v>
      </c>
      <c r="L178">
        <v>-993.74177135639786</v>
      </c>
      <c r="M178">
        <v>0</v>
      </c>
    </row>
    <row r="179" spans="1:15" x14ac:dyDescent="0.15">
      <c r="A179">
        <v>234</v>
      </c>
      <c r="B179" t="s">
        <v>188</v>
      </c>
      <c r="C179" t="s">
        <v>464</v>
      </c>
      <c r="D179">
        <v>9</v>
      </c>
      <c r="E179">
        <v>4237109.375</v>
      </c>
      <c r="F179">
        <v>4283593.75</v>
      </c>
      <c r="G179">
        <v>4260351.5625</v>
      </c>
      <c r="H179">
        <v>30651752.936019104</v>
      </c>
      <c r="I179">
        <v>4.1087298607476739E-7</v>
      </c>
      <c r="J179">
        <v>1.561404153608791E-5</v>
      </c>
      <c r="K179">
        <v>7.5910600050291555</v>
      </c>
      <c r="L179">
        <v>619.46534191728699</v>
      </c>
      <c r="M179">
        <v>0</v>
      </c>
    </row>
    <row r="180" spans="1:15" x14ac:dyDescent="0.15">
      <c r="A180">
        <v>234</v>
      </c>
      <c r="B180" t="s">
        <v>188</v>
      </c>
      <c r="C180" t="s">
        <v>464</v>
      </c>
      <c r="D180">
        <v>10</v>
      </c>
      <c r="E180">
        <v>4237109.375</v>
      </c>
      <c r="F180">
        <v>4260351.5625</v>
      </c>
      <c r="G180">
        <v>4248730.46875</v>
      </c>
      <c r="H180">
        <v>-6630598.7987053329</v>
      </c>
      <c r="I180">
        <v>-9.5206869801306497E-8</v>
      </c>
      <c r="J180">
        <v>1.5107961680211836E-5</v>
      </c>
      <c r="K180">
        <v>-1.6421009739739685</v>
      </c>
      <c r="L180">
        <v>-256.06070677992648</v>
      </c>
      <c r="M180">
        <v>0</v>
      </c>
    </row>
    <row r="181" spans="1:15" x14ac:dyDescent="0.15">
      <c r="A181">
        <v>234</v>
      </c>
      <c r="B181" t="s">
        <v>188</v>
      </c>
      <c r="C181" t="s">
        <v>464</v>
      </c>
      <c r="D181">
        <v>11</v>
      </c>
      <c r="E181">
        <v>4248730.46875</v>
      </c>
      <c r="F181">
        <v>4260351.5625</v>
      </c>
      <c r="G181">
        <v>4254541.015625</v>
      </c>
      <c r="H181">
        <v>11229038.638522949</v>
      </c>
      <c r="I181">
        <v>1.5571625863518445E-7</v>
      </c>
      <c r="J181">
        <v>1.5358884808648327E-5</v>
      </c>
      <c r="K181">
        <v>2.7809276122558093</v>
      </c>
      <c r="L181">
        <v>163.93067071826977</v>
      </c>
      <c r="M181">
        <v>0</v>
      </c>
    </row>
    <row r="182" spans="1:15" x14ac:dyDescent="0.15">
      <c r="A182">
        <v>234</v>
      </c>
      <c r="B182" t="s">
        <v>188</v>
      </c>
      <c r="C182" t="s">
        <v>464</v>
      </c>
      <c r="D182">
        <v>12</v>
      </c>
      <c r="E182">
        <v>4248730.46875</v>
      </c>
      <c r="F182">
        <v>4254541.015625</v>
      </c>
      <c r="G182">
        <v>4251635.7421875</v>
      </c>
      <c r="H182">
        <v>2107172.1650596652</v>
      </c>
      <c r="I182">
        <v>2.9730621234569593E-8</v>
      </c>
      <c r="J182">
        <v>1.5232899171247712E-5</v>
      </c>
      <c r="K182">
        <v>0.52185173158884779</v>
      </c>
      <c r="L182">
        <v>-50.438553704144262</v>
      </c>
      <c r="M182">
        <v>0</v>
      </c>
    </row>
    <row r="183" spans="1:15" x14ac:dyDescent="0.15">
      <c r="A183">
        <v>234</v>
      </c>
      <c r="B183" t="s">
        <v>188</v>
      </c>
      <c r="C183" t="s">
        <v>464</v>
      </c>
      <c r="D183">
        <v>13</v>
      </c>
      <c r="E183">
        <v>4251635.7421875</v>
      </c>
      <c r="F183">
        <v>4254541.015625</v>
      </c>
      <c r="G183">
        <v>4253088.37890625</v>
      </c>
      <c r="H183">
        <v>6619709.1218230138</v>
      </c>
      <c r="I183">
        <v>9.2592190162418158E-8</v>
      </c>
      <c r="J183">
        <v>1.5295760740175561E-5</v>
      </c>
      <c r="K183">
        <v>1.6394040909989029</v>
      </c>
      <c r="L183">
        <v>55.644758163369701</v>
      </c>
      <c r="M183">
        <v>0</v>
      </c>
    </row>
    <row r="184" spans="1:15" x14ac:dyDescent="0.15">
      <c r="A184">
        <v>234</v>
      </c>
      <c r="B184" t="s">
        <v>188</v>
      </c>
      <c r="C184" t="s">
        <v>464</v>
      </c>
      <c r="D184">
        <v>14</v>
      </c>
      <c r="E184">
        <v>4251635.7421875</v>
      </c>
      <c r="F184">
        <v>4253088.37890625</v>
      </c>
      <c r="G184">
        <v>4252362.060546875</v>
      </c>
      <c r="H184">
        <v>4351384.8026084332</v>
      </c>
      <c r="I184">
        <v>6.1128554627438135E-8</v>
      </c>
      <c r="J184">
        <v>1.5264297104640581E-5</v>
      </c>
      <c r="K184">
        <v>1.0776422219806181</v>
      </c>
      <c r="L184">
        <v>2.3286526559035137</v>
      </c>
      <c r="M184">
        <v>0</v>
      </c>
    </row>
    <row r="185" spans="1:15" x14ac:dyDescent="0.15">
      <c r="A185">
        <v>234</v>
      </c>
      <c r="B185" t="s">
        <v>188</v>
      </c>
      <c r="C185" t="s">
        <v>464</v>
      </c>
      <c r="D185">
        <v>15</v>
      </c>
      <c r="E185">
        <v>4251635.7421875</v>
      </c>
      <c r="F185">
        <v>4252362.060546875</v>
      </c>
      <c r="G185">
        <v>4251998.9013671875</v>
      </c>
      <c r="H185">
        <v>3226209.4546188982</v>
      </c>
      <c r="I185">
        <v>4.5420524072885426E-8</v>
      </c>
      <c r="J185">
        <v>1.5248589074086028E-5</v>
      </c>
      <c r="K185">
        <v>0.79898691634127228</v>
      </c>
      <c r="L185">
        <v>-24.124875630105571</v>
      </c>
      <c r="M185">
        <v>0</v>
      </c>
    </row>
    <row r="186" spans="1:15" x14ac:dyDescent="0.15">
      <c r="A186">
        <v>234</v>
      </c>
      <c r="B186" t="s">
        <v>188</v>
      </c>
      <c r="C186" t="s">
        <v>464</v>
      </c>
      <c r="D186">
        <v>16</v>
      </c>
      <c r="E186">
        <v>4251998.9013671875</v>
      </c>
      <c r="F186">
        <v>4252362.060546875</v>
      </c>
      <c r="G186">
        <v>4252180.4809570313</v>
      </c>
      <c r="H186">
        <v>3788075.1650050222</v>
      </c>
      <c r="I186">
        <v>5.3272917144844216E-8</v>
      </c>
      <c r="J186">
        <v>1.5256441467157987E-5</v>
      </c>
      <c r="K186">
        <v>0.93813577126034553</v>
      </c>
      <c r="L186">
        <v>-10.914525336599862</v>
      </c>
      <c r="M186">
        <v>0</v>
      </c>
    </row>
    <row r="187" spans="1:15" x14ac:dyDescent="0.15">
      <c r="A187">
        <v>234</v>
      </c>
      <c r="B187" t="s">
        <v>188</v>
      </c>
      <c r="C187" t="s">
        <v>464</v>
      </c>
      <c r="D187">
        <v>17</v>
      </c>
      <c r="E187">
        <v>4252180.4809570313</v>
      </c>
      <c r="F187">
        <v>4252362.060546875</v>
      </c>
      <c r="G187">
        <v>4252271.2707519531</v>
      </c>
      <c r="H187">
        <v>4069541.7112661139</v>
      </c>
      <c r="I187">
        <v>5.7200222724294717E-8</v>
      </c>
      <c r="J187">
        <v>1.5260368772737437E-5</v>
      </c>
      <c r="K187">
        <v>1.0078423699836274</v>
      </c>
      <c r="L187">
        <v>-4.2972225394624486</v>
      </c>
      <c r="M187">
        <v>0</v>
      </c>
    </row>
    <row r="188" spans="1:15" x14ac:dyDescent="0.15">
      <c r="A188">
        <v>234</v>
      </c>
      <c r="B188" t="s">
        <v>188</v>
      </c>
      <c r="C188" t="s">
        <v>464</v>
      </c>
      <c r="D188">
        <v>18</v>
      </c>
      <c r="E188">
        <v>4252271.2707519531</v>
      </c>
      <c r="F188">
        <v>4252362.060546875</v>
      </c>
      <c r="G188">
        <v>4252316.6656494141</v>
      </c>
      <c r="H188">
        <v>4210416.176368162</v>
      </c>
      <c r="I188">
        <v>5.9164260368948655E-8</v>
      </c>
      <c r="J188">
        <v>1.5262332810382091E-5</v>
      </c>
      <c r="K188">
        <v>1.0427306362435773</v>
      </c>
      <c r="L188">
        <v>-0.98535674964491338</v>
      </c>
      <c r="M188">
        <v>0</v>
      </c>
    </row>
    <row r="189" spans="1:15" x14ac:dyDescent="0.15">
      <c r="A189">
        <v>234</v>
      </c>
      <c r="B189" t="s">
        <v>188</v>
      </c>
      <c r="C189" t="s">
        <v>465</v>
      </c>
      <c r="D189">
        <v>18</v>
      </c>
      <c r="E189">
        <v>4252271.2707519531</v>
      </c>
      <c r="F189">
        <v>4252362.060546875</v>
      </c>
      <c r="G189">
        <v>4252316.6656494141</v>
      </c>
      <c r="H189">
        <v>4210416.176368162</v>
      </c>
      <c r="I189">
        <v>5.9164260368948655E-8</v>
      </c>
      <c r="J189">
        <v>1.5262332810382091E-5</v>
      </c>
      <c r="K189">
        <v>1.0427306362435773</v>
      </c>
      <c r="L189">
        <v>-0.98535674964491338</v>
      </c>
      <c r="M189">
        <v>0</v>
      </c>
      <c r="N189" t="s">
        <v>466</v>
      </c>
      <c r="O189" t="s">
        <v>467</v>
      </c>
    </row>
    <row r="190" spans="1:15" x14ac:dyDescent="0.15">
      <c r="A190">
        <v>235</v>
      </c>
      <c r="B190" t="s">
        <v>189</v>
      </c>
      <c r="C190" t="s">
        <v>461</v>
      </c>
      <c r="D190">
        <v>0</v>
      </c>
      <c r="E190">
        <v>100000</v>
      </c>
      <c r="F190">
        <v>12000000</v>
      </c>
      <c r="G190">
        <v>100000</v>
      </c>
      <c r="H190">
        <v>-52967.495722107182</v>
      </c>
      <c r="I190">
        <v>-1.4344139083426285E-5</v>
      </c>
      <c r="J190">
        <v>-2.1963199773251941E-6</v>
      </c>
      <c r="K190">
        <v>-1.3066623881035947E-2</v>
      </c>
      <c r="L190">
        <v>-152.96749572210717</v>
      </c>
      <c r="M190">
        <v>0</v>
      </c>
      <c r="O190" t="s">
        <v>462</v>
      </c>
    </row>
    <row r="191" spans="1:15" x14ac:dyDescent="0.15">
      <c r="A191">
        <v>235</v>
      </c>
      <c r="B191" t="s">
        <v>189</v>
      </c>
      <c r="C191" t="s">
        <v>461</v>
      </c>
      <c r="D191">
        <v>0</v>
      </c>
      <c r="E191">
        <v>100000</v>
      </c>
      <c r="F191">
        <v>12000000</v>
      </c>
      <c r="G191">
        <v>12000000</v>
      </c>
      <c r="H191">
        <v>4.7167824058099517E+18</v>
      </c>
      <c r="I191">
        <v>536.87090985218094</v>
      </c>
      <c r="J191">
        <v>536.87092200000006</v>
      </c>
      <c r="K191">
        <v>1163589495504.1799</v>
      </c>
      <c r="L191">
        <v>39306520048316.266</v>
      </c>
      <c r="M191">
        <v>5</v>
      </c>
      <c r="O191" t="s">
        <v>463</v>
      </c>
    </row>
    <row r="192" spans="1:15" x14ac:dyDescent="0.15">
      <c r="A192">
        <v>235</v>
      </c>
      <c r="B192" t="s">
        <v>189</v>
      </c>
      <c r="C192" t="s">
        <v>464</v>
      </c>
      <c r="D192">
        <v>1</v>
      </c>
      <c r="E192">
        <v>100000</v>
      </c>
      <c r="F192">
        <v>12000000</v>
      </c>
      <c r="G192">
        <v>6050000</v>
      </c>
      <c r="H192">
        <v>4894888611850.4053</v>
      </c>
      <c r="I192">
        <v>4.3367133830912062E-3</v>
      </c>
      <c r="J192">
        <v>4.3488612021973074E-3</v>
      </c>
      <c r="K192">
        <v>1207526.7587914371</v>
      </c>
      <c r="L192">
        <v>80907149.78265132</v>
      </c>
      <c r="M192">
        <v>0</v>
      </c>
    </row>
    <row r="193" spans="1:13" x14ac:dyDescent="0.15">
      <c r="A193">
        <v>235</v>
      </c>
      <c r="B193" t="s">
        <v>189</v>
      </c>
      <c r="C193" t="s">
        <v>464</v>
      </c>
      <c r="D193">
        <v>2</v>
      </c>
      <c r="E193">
        <v>100000</v>
      </c>
      <c r="F193">
        <v>6050000</v>
      </c>
      <c r="G193">
        <v>3075000</v>
      </c>
      <c r="H193">
        <v>-1670559.2169011938</v>
      </c>
      <c r="I193">
        <v>-7.6843890833238376E-6</v>
      </c>
      <c r="J193">
        <v>4.4634300227772512E-6</v>
      </c>
      <c r="K193">
        <v>-0.41211253544568094</v>
      </c>
      <c r="L193">
        <v>-154.32712900491688</v>
      </c>
      <c r="M193">
        <v>0</v>
      </c>
    </row>
    <row r="194" spans="1:13" x14ac:dyDescent="0.15">
      <c r="A194">
        <v>235</v>
      </c>
      <c r="B194" t="s">
        <v>189</v>
      </c>
      <c r="C194" t="s">
        <v>464</v>
      </c>
      <c r="D194">
        <v>3</v>
      </c>
      <c r="E194">
        <v>3075000</v>
      </c>
      <c r="F194">
        <v>6050000</v>
      </c>
      <c r="G194">
        <v>4562500</v>
      </c>
      <c r="H194">
        <v>23736137570.201965</v>
      </c>
      <c r="I194">
        <v>7.0968665805129429E-5</v>
      </c>
      <c r="J194">
        <v>8.3116484911230522E-5</v>
      </c>
      <c r="K194">
        <v>5855.5002042300994</v>
      </c>
      <c r="L194">
        <v>520144.11112771434</v>
      </c>
      <c r="M194">
        <v>0</v>
      </c>
    </row>
    <row r="195" spans="1:13" x14ac:dyDescent="0.15">
      <c r="A195">
        <v>235</v>
      </c>
      <c r="B195" t="s">
        <v>189</v>
      </c>
      <c r="C195" t="s">
        <v>464</v>
      </c>
      <c r="D195">
        <v>4</v>
      </c>
      <c r="E195">
        <v>3075000</v>
      </c>
      <c r="F195">
        <v>4562500</v>
      </c>
      <c r="G195">
        <v>3818750</v>
      </c>
      <c r="H195">
        <v>50823255.793537103</v>
      </c>
      <c r="I195">
        <v>5.4128304401129277E-7</v>
      </c>
      <c r="J195">
        <v>1.2689102150112382E-5</v>
      </c>
      <c r="K195">
        <v>12.537658403711507</v>
      </c>
      <c r="L195">
        <v>1230.8872220893513</v>
      </c>
      <c r="M195">
        <v>0</v>
      </c>
    </row>
    <row r="196" spans="1:13" x14ac:dyDescent="0.15">
      <c r="A196">
        <v>235</v>
      </c>
      <c r="B196" t="s">
        <v>189</v>
      </c>
      <c r="C196" t="s">
        <v>464</v>
      </c>
      <c r="D196">
        <v>5</v>
      </c>
      <c r="E196">
        <v>3075000</v>
      </c>
      <c r="F196">
        <v>3818750</v>
      </c>
      <c r="G196">
        <v>3446875</v>
      </c>
      <c r="H196">
        <v>-30003492.636963394</v>
      </c>
      <c r="I196">
        <v>-5.1440113750340927E-6</v>
      </c>
      <c r="J196">
        <v>7.0038077310669969E-6</v>
      </c>
      <c r="K196">
        <v>-7.4016025877735325</v>
      </c>
      <c r="L196">
        <v>-970.45490877862972</v>
      </c>
      <c r="M196">
        <v>0</v>
      </c>
    </row>
    <row r="197" spans="1:13" x14ac:dyDescent="0.15">
      <c r="A197">
        <v>235</v>
      </c>
      <c r="B197" t="s">
        <v>189</v>
      </c>
      <c r="C197" t="s">
        <v>464</v>
      </c>
      <c r="D197">
        <v>6</v>
      </c>
      <c r="E197">
        <v>3446875</v>
      </c>
      <c r="F197">
        <v>3818750</v>
      </c>
      <c r="G197">
        <v>3632812.5</v>
      </c>
      <c r="H197">
        <v>-102590566.37142549</v>
      </c>
      <c r="I197">
        <v>-3.3506887915783139E-6</v>
      </c>
      <c r="J197">
        <v>8.7971303145227757E-6</v>
      </c>
      <c r="K197">
        <v>-25.308206971891604</v>
      </c>
      <c r="L197">
        <v>-2923.9983861381643</v>
      </c>
      <c r="M197">
        <v>0</v>
      </c>
    </row>
    <row r="198" spans="1:13" x14ac:dyDescent="0.15">
      <c r="A198">
        <v>235</v>
      </c>
      <c r="B198" t="s">
        <v>189</v>
      </c>
      <c r="C198" t="s">
        <v>464</v>
      </c>
      <c r="D198">
        <v>7</v>
      </c>
      <c r="E198">
        <v>3632812.5</v>
      </c>
      <c r="F198">
        <v>3818750</v>
      </c>
      <c r="G198">
        <v>3725781.25</v>
      </c>
      <c r="H198">
        <v>-107690846.52545442</v>
      </c>
      <c r="I198">
        <v>-2.0766111476684797E-6</v>
      </c>
      <c r="J198">
        <v>1.007120795843261E-5</v>
      </c>
      <c r="K198">
        <v>-26.566402050817956</v>
      </c>
      <c r="L198">
        <v>-2990.423224000454</v>
      </c>
      <c r="M198">
        <v>0</v>
      </c>
    </row>
    <row r="199" spans="1:13" x14ac:dyDescent="0.15">
      <c r="A199">
        <v>235</v>
      </c>
      <c r="B199" t="s">
        <v>189</v>
      </c>
      <c r="C199" t="s">
        <v>464</v>
      </c>
      <c r="D199">
        <v>8</v>
      </c>
      <c r="E199">
        <v>3725781.25</v>
      </c>
      <c r="F199">
        <v>3818750</v>
      </c>
      <c r="G199">
        <v>3772265.625</v>
      </c>
      <c r="H199">
        <v>-60850447.9920104</v>
      </c>
      <c r="I199">
        <v>-8.4446297967045769E-7</v>
      </c>
      <c r="J199">
        <v>1.1303356126430632E-5</v>
      </c>
      <c r="K199">
        <v>-15.0112801457646</v>
      </c>
      <c r="L199">
        <v>-1713.1008269602012</v>
      </c>
      <c r="M199">
        <v>0</v>
      </c>
    </row>
    <row r="200" spans="1:13" x14ac:dyDescent="0.15">
      <c r="A200">
        <v>235</v>
      </c>
      <c r="B200" t="s">
        <v>189</v>
      </c>
      <c r="C200" t="s">
        <v>464</v>
      </c>
      <c r="D200">
        <v>9</v>
      </c>
      <c r="E200">
        <v>3772265.625</v>
      </c>
      <c r="F200">
        <v>3818750</v>
      </c>
      <c r="G200">
        <v>3795507.8125</v>
      </c>
      <c r="H200">
        <v>-14234570.703781469</v>
      </c>
      <c r="I200">
        <v>-1.7195262958577094E-7</v>
      </c>
      <c r="J200">
        <v>1.1975866476515319E-5</v>
      </c>
      <c r="K200">
        <v>-3.5115456934222249</v>
      </c>
      <c r="L200">
        <v>-475.0373179815835</v>
      </c>
      <c r="M200">
        <v>0</v>
      </c>
    </row>
    <row r="201" spans="1:13" x14ac:dyDescent="0.15">
      <c r="A201">
        <v>235</v>
      </c>
      <c r="B201" t="s">
        <v>189</v>
      </c>
      <c r="C201" t="s">
        <v>464</v>
      </c>
      <c r="D201">
        <v>10</v>
      </c>
      <c r="E201">
        <v>3795507.8125</v>
      </c>
      <c r="F201">
        <v>3818750</v>
      </c>
      <c r="G201">
        <v>3807128.90625</v>
      </c>
      <c r="H201">
        <v>15841110.726032464</v>
      </c>
      <c r="I201">
        <v>1.7942065910600788E-7</v>
      </c>
      <c r="J201">
        <v>1.2327239765207097E-5</v>
      </c>
      <c r="K201">
        <v>3.9078652462800609</v>
      </c>
      <c r="L201">
        <v>316.09073703879039</v>
      </c>
      <c r="M201">
        <v>0</v>
      </c>
    </row>
    <row r="202" spans="1:13" x14ac:dyDescent="0.15">
      <c r="A202">
        <v>235</v>
      </c>
      <c r="B202" t="s">
        <v>189</v>
      </c>
      <c r="C202" t="s">
        <v>464</v>
      </c>
      <c r="D202">
        <v>11</v>
      </c>
      <c r="E202">
        <v>3795507.8125</v>
      </c>
      <c r="F202">
        <v>3807128.90625</v>
      </c>
      <c r="G202">
        <v>3801318.359375</v>
      </c>
      <c r="H202">
        <v>208927.01947367305</v>
      </c>
      <c r="I202">
        <v>2.4429013862485615E-9</v>
      </c>
      <c r="J202">
        <v>1.2150262007487338E-5</v>
      </c>
      <c r="K202">
        <v>5.154049185883907E-2</v>
      </c>
      <c r="L202">
        <v>-94.503827364040504</v>
      </c>
      <c r="M202">
        <v>0</v>
      </c>
    </row>
    <row r="203" spans="1:13" x14ac:dyDescent="0.15">
      <c r="A203">
        <v>235</v>
      </c>
      <c r="B203" t="s">
        <v>189</v>
      </c>
      <c r="C203" t="s">
        <v>464</v>
      </c>
      <c r="D203">
        <v>12</v>
      </c>
      <c r="E203">
        <v>3801318.359375</v>
      </c>
      <c r="F203">
        <v>3807128.90625</v>
      </c>
      <c r="G203">
        <v>3804223.6328125</v>
      </c>
      <c r="H203">
        <v>7874061.2002294818</v>
      </c>
      <c r="I203">
        <v>9.0606178791258999E-8</v>
      </c>
      <c r="J203">
        <v>1.2238425284892349E-5</v>
      </c>
      <c r="K203">
        <v>1.9424629146043377</v>
      </c>
      <c r="L203">
        <v>106.98207992594038</v>
      </c>
      <c r="M203">
        <v>0</v>
      </c>
    </row>
    <row r="204" spans="1:13" x14ac:dyDescent="0.15">
      <c r="A204">
        <v>235</v>
      </c>
      <c r="B204" t="s">
        <v>189</v>
      </c>
      <c r="C204" t="s">
        <v>464</v>
      </c>
      <c r="D204">
        <v>13</v>
      </c>
      <c r="E204">
        <v>3801318.359375</v>
      </c>
      <c r="F204">
        <v>3804223.6328125</v>
      </c>
      <c r="G204">
        <v>3802770.99609375</v>
      </c>
      <c r="H204">
        <v>4004026.6609219769</v>
      </c>
      <c r="I204">
        <v>4.6443188250161501E-8</v>
      </c>
      <c r="J204">
        <v>1.2194262294351251E-5</v>
      </c>
      <c r="K204">
        <v>0.98775880706912789</v>
      </c>
      <c r="L204">
        <v>5.292342479601297</v>
      </c>
      <c r="M204">
        <v>0</v>
      </c>
    </row>
    <row r="205" spans="1:13" x14ac:dyDescent="0.15">
      <c r="A205">
        <v>235</v>
      </c>
      <c r="B205" t="s">
        <v>189</v>
      </c>
      <c r="C205" t="s">
        <v>464</v>
      </c>
      <c r="D205">
        <v>14</v>
      </c>
      <c r="E205">
        <v>3801318.359375</v>
      </c>
      <c r="F205">
        <v>3802770.99609375</v>
      </c>
      <c r="G205">
        <v>3802044.677734375</v>
      </c>
      <c r="H205">
        <v>2097182.9795581116</v>
      </c>
      <c r="I205">
        <v>2.4423165004187092E-8</v>
      </c>
      <c r="J205">
        <v>1.2172242271105277E-5</v>
      </c>
      <c r="K205">
        <v>0.51735693428599905</v>
      </c>
      <c r="L205">
        <v>-44.840653981798667</v>
      </c>
      <c r="M205">
        <v>0</v>
      </c>
    </row>
    <row r="206" spans="1:13" x14ac:dyDescent="0.15">
      <c r="A206">
        <v>235</v>
      </c>
      <c r="B206" t="s">
        <v>189</v>
      </c>
      <c r="C206" t="s">
        <v>464</v>
      </c>
      <c r="D206">
        <v>15</v>
      </c>
      <c r="E206">
        <v>3802044.677734375</v>
      </c>
      <c r="F206">
        <v>3802770.99609375</v>
      </c>
      <c r="G206">
        <v>3802407.8369140625</v>
      </c>
      <c r="H206">
        <v>3048298.7355409702</v>
      </c>
      <c r="I206">
        <v>3.5428454372867077E-8</v>
      </c>
      <c r="J206">
        <v>1.2183247560473957E-5</v>
      </c>
      <c r="K206">
        <v>0.75198897949269972</v>
      </c>
      <c r="L206">
        <v>-19.832409718182888</v>
      </c>
      <c r="M206">
        <v>0</v>
      </c>
    </row>
    <row r="207" spans="1:13" x14ac:dyDescent="0.15">
      <c r="A207">
        <v>235</v>
      </c>
      <c r="B207" t="s">
        <v>189</v>
      </c>
      <c r="C207" t="s">
        <v>464</v>
      </c>
      <c r="D207">
        <v>16</v>
      </c>
      <c r="E207">
        <v>3802407.8369140625</v>
      </c>
      <c r="F207">
        <v>3802770.99609375</v>
      </c>
      <c r="G207">
        <v>3802589.4165039063</v>
      </c>
      <c r="H207">
        <v>3525607.5513014863</v>
      </c>
      <c r="I207">
        <v>4.0934892576768286E-8</v>
      </c>
      <c r="J207">
        <v>1.2188753998677858E-5</v>
      </c>
      <c r="K207">
        <v>0.86973694332634333</v>
      </c>
      <c r="L207">
        <v>-7.2840329276747564</v>
      </c>
      <c r="M207">
        <v>0</v>
      </c>
    </row>
    <row r="208" spans="1:13" x14ac:dyDescent="0.15">
      <c r="A208">
        <v>235</v>
      </c>
      <c r="B208" t="s">
        <v>189</v>
      </c>
      <c r="C208" t="s">
        <v>464</v>
      </c>
      <c r="D208">
        <v>17</v>
      </c>
      <c r="E208">
        <v>3802589.4165039063</v>
      </c>
      <c r="F208">
        <v>3802770.99609375</v>
      </c>
      <c r="G208">
        <v>3802680.2062988281</v>
      </c>
      <c r="H208">
        <v>3764641.7458029687</v>
      </c>
      <c r="I208">
        <v>4.3688387636738822E-8</v>
      </c>
      <c r="J208">
        <v>1.2191507493737828E-5</v>
      </c>
      <c r="K208">
        <v>0.92870461532359905</v>
      </c>
      <c r="L208">
        <v>-1.0003065846255437</v>
      </c>
      <c r="M208">
        <v>0</v>
      </c>
    </row>
    <row r="209" spans="1:15" x14ac:dyDescent="0.15">
      <c r="A209">
        <v>235</v>
      </c>
      <c r="B209" t="s">
        <v>189</v>
      </c>
      <c r="C209" t="s">
        <v>464</v>
      </c>
      <c r="D209">
        <v>18</v>
      </c>
      <c r="E209">
        <v>3802680.2062988281</v>
      </c>
      <c r="F209">
        <v>3802770.99609375</v>
      </c>
      <c r="G209">
        <v>3802725.6011962891</v>
      </c>
      <c r="H209">
        <v>3884356.1355349654</v>
      </c>
      <c r="I209">
        <v>4.5066381863637884E-8</v>
      </c>
      <c r="J209">
        <v>1.2192885487964727E-5</v>
      </c>
      <c r="K209">
        <v>0.95823712167395814</v>
      </c>
      <c r="L209">
        <v>2.1466322553748407</v>
      </c>
      <c r="M209">
        <v>0</v>
      </c>
    </row>
    <row r="210" spans="1:15" x14ac:dyDescent="0.15">
      <c r="A210">
        <v>235</v>
      </c>
      <c r="B210" t="s">
        <v>189</v>
      </c>
      <c r="C210" t="s">
        <v>464</v>
      </c>
      <c r="D210">
        <v>19</v>
      </c>
      <c r="E210">
        <v>3802680.2062988281</v>
      </c>
      <c r="F210">
        <v>3802725.6011962891</v>
      </c>
      <c r="G210">
        <v>3802702.9037475586</v>
      </c>
      <c r="H210">
        <v>3824460.5615147916</v>
      </c>
      <c r="I210">
        <v>4.4377028459928776E-8</v>
      </c>
      <c r="J210">
        <v>1.2192196134561018E-5</v>
      </c>
      <c r="K210">
        <v>0.94346140069280349</v>
      </c>
      <c r="L210">
        <v>0.57216296718291693</v>
      </c>
      <c r="M210">
        <v>0</v>
      </c>
    </row>
    <row r="211" spans="1:15" x14ac:dyDescent="0.15">
      <c r="A211">
        <v>235</v>
      </c>
      <c r="B211" t="s">
        <v>189</v>
      </c>
      <c r="C211" t="s">
        <v>465</v>
      </c>
      <c r="D211">
        <v>19</v>
      </c>
      <c r="E211">
        <v>3802680.2062988281</v>
      </c>
      <c r="F211">
        <v>3802725.6011962891</v>
      </c>
      <c r="G211">
        <v>3802702.9037475586</v>
      </c>
      <c r="H211">
        <v>3824460.5615147916</v>
      </c>
      <c r="I211">
        <v>4.4377028459928776E-8</v>
      </c>
      <c r="J211">
        <v>1.2192196134561018E-5</v>
      </c>
      <c r="K211">
        <v>0.94346140069280349</v>
      </c>
      <c r="L211">
        <v>0.57216296718291693</v>
      </c>
      <c r="M211">
        <v>0</v>
      </c>
      <c r="N211" t="s">
        <v>466</v>
      </c>
      <c r="O211" t="s">
        <v>467</v>
      </c>
    </row>
    <row r="212" spans="1:15" x14ac:dyDescent="0.15">
      <c r="A212">
        <v>236</v>
      </c>
      <c r="B212" t="s">
        <v>190</v>
      </c>
      <c r="C212" t="s">
        <v>461</v>
      </c>
      <c r="D212">
        <v>0</v>
      </c>
      <c r="E212">
        <v>100000</v>
      </c>
      <c r="F212">
        <v>12000000</v>
      </c>
      <c r="G212">
        <v>100000</v>
      </c>
      <c r="H212">
        <v>-43243.895886469458</v>
      </c>
      <c r="I212">
        <v>-1.3939385556985611E-5</v>
      </c>
      <c r="J212">
        <v>-2.8510237920972527E-6</v>
      </c>
      <c r="K212">
        <v>-9.2937261312089625E-3</v>
      </c>
      <c r="L212">
        <v>-143.24389588646946</v>
      </c>
      <c r="M212">
        <v>0</v>
      </c>
      <c r="O212" t="s">
        <v>462</v>
      </c>
    </row>
    <row r="213" spans="1:15" x14ac:dyDescent="0.15">
      <c r="A213">
        <v>236</v>
      </c>
      <c r="B213" t="s">
        <v>190</v>
      </c>
      <c r="C213" t="s">
        <v>461</v>
      </c>
      <c r="D213">
        <v>0</v>
      </c>
      <c r="E213">
        <v>100000</v>
      </c>
      <c r="F213">
        <v>12000000</v>
      </c>
      <c r="G213">
        <v>12000000</v>
      </c>
      <c r="H213">
        <v>5.4377317224528742E+18</v>
      </c>
      <c r="I213">
        <v>536.87091091163825</v>
      </c>
      <c r="J213">
        <v>536.87092200000006</v>
      </c>
      <c r="K213">
        <v>1168645617317.6711</v>
      </c>
      <c r="L213">
        <v>45314431020340.617</v>
      </c>
      <c r="M213">
        <v>5</v>
      </c>
      <c r="O213" t="s">
        <v>463</v>
      </c>
    </row>
    <row r="214" spans="1:15" x14ac:dyDescent="0.15">
      <c r="A214">
        <v>236</v>
      </c>
      <c r="B214" t="s">
        <v>190</v>
      </c>
      <c r="C214" t="s">
        <v>464</v>
      </c>
      <c r="D214">
        <v>1</v>
      </c>
      <c r="E214">
        <v>100000</v>
      </c>
      <c r="F214">
        <v>12000000</v>
      </c>
      <c r="G214">
        <v>6050000</v>
      </c>
      <c r="H214">
        <v>295216893005.28729</v>
      </c>
      <c r="I214">
        <v>4.2657620383809784E-4</v>
      </c>
      <c r="J214">
        <v>4.376645656029862E-4</v>
      </c>
      <c r="K214">
        <v>63446.29448051237</v>
      </c>
      <c r="L214">
        <v>4879518.066203096</v>
      </c>
      <c r="M214">
        <v>0</v>
      </c>
    </row>
    <row r="215" spans="1:15" x14ac:dyDescent="0.15">
      <c r="A215">
        <v>236</v>
      </c>
      <c r="B215" t="s">
        <v>190</v>
      </c>
      <c r="C215" t="s">
        <v>464</v>
      </c>
      <c r="D215">
        <v>2</v>
      </c>
      <c r="E215">
        <v>100000</v>
      </c>
      <c r="F215">
        <v>6050000</v>
      </c>
      <c r="G215">
        <v>3075000</v>
      </c>
      <c r="H215">
        <v>-315148.436634454</v>
      </c>
      <c r="I215">
        <v>-9.0789773209543051E-6</v>
      </c>
      <c r="J215">
        <v>2.0093844439340526E-6</v>
      </c>
      <c r="K215">
        <v>-6.7729865700553102E-2</v>
      </c>
      <c r="L215">
        <v>-110.24872964664891</v>
      </c>
      <c r="M215">
        <v>0</v>
      </c>
    </row>
    <row r="216" spans="1:15" x14ac:dyDescent="0.15">
      <c r="A216">
        <v>236</v>
      </c>
      <c r="B216" t="s">
        <v>190</v>
      </c>
      <c r="C216" t="s">
        <v>464</v>
      </c>
      <c r="D216">
        <v>3</v>
      </c>
      <c r="E216">
        <v>3075000</v>
      </c>
      <c r="F216">
        <v>6050000</v>
      </c>
      <c r="G216">
        <v>4562500</v>
      </c>
      <c r="H216">
        <v>164993512.08876029</v>
      </c>
      <c r="I216">
        <v>1.3975573378721175E-6</v>
      </c>
      <c r="J216">
        <v>1.2485919102760476E-5</v>
      </c>
      <c r="K216">
        <v>35.459444237054477</v>
      </c>
      <c r="L216">
        <v>3516.2961553700884</v>
      </c>
      <c r="M216">
        <v>0</v>
      </c>
    </row>
    <row r="217" spans="1:15" x14ac:dyDescent="0.15">
      <c r="A217">
        <v>236</v>
      </c>
      <c r="B217" t="s">
        <v>190</v>
      </c>
      <c r="C217" t="s">
        <v>464</v>
      </c>
      <c r="D217">
        <v>4</v>
      </c>
      <c r="E217">
        <v>3075000</v>
      </c>
      <c r="F217">
        <v>4562500</v>
      </c>
      <c r="G217">
        <v>3818750</v>
      </c>
      <c r="H217">
        <v>-3010826.913826636</v>
      </c>
      <c r="I217">
        <v>-6.5016268680127895E-6</v>
      </c>
      <c r="J217">
        <v>4.5867348968755687E-6</v>
      </c>
      <c r="K217">
        <v>-0.64706937689055533</v>
      </c>
      <c r="L217">
        <v>-178.84325797254692</v>
      </c>
      <c r="M217">
        <v>0</v>
      </c>
    </row>
    <row r="218" spans="1:15" x14ac:dyDescent="0.15">
      <c r="A218">
        <v>236</v>
      </c>
      <c r="B218" t="s">
        <v>190</v>
      </c>
      <c r="C218" t="s">
        <v>464</v>
      </c>
      <c r="D218">
        <v>5</v>
      </c>
      <c r="E218">
        <v>3818750</v>
      </c>
      <c r="F218">
        <v>4562500</v>
      </c>
      <c r="G218">
        <v>4190625</v>
      </c>
      <c r="H218">
        <v>-53805715.985638447</v>
      </c>
      <c r="I218">
        <v>-4.0932783187560808E-6</v>
      </c>
      <c r="J218">
        <v>6.9950834461322774E-6</v>
      </c>
      <c r="K218">
        <v>-11.563610965509648</v>
      </c>
      <c r="L218">
        <v>-1383.9544455931621</v>
      </c>
      <c r="M218">
        <v>0</v>
      </c>
    </row>
    <row r="219" spans="1:15" x14ac:dyDescent="0.15">
      <c r="A219">
        <v>236</v>
      </c>
      <c r="B219" t="s">
        <v>190</v>
      </c>
      <c r="C219" t="s">
        <v>464</v>
      </c>
      <c r="D219">
        <v>6</v>
      </c>
      <c r="E219">
        <v>4190625</v>
      </c>
      <c r="F219">
        <v>4562500</v>
      </c>
      <c r="G219">
        <v>4376562.5</v>
      </c>
      <c r="H219">
        <v>-108587427.07239386</v>
      </c>
      <c r="I219">
        <v>-2.4303477123048113E-6</v>
      </c>
      <c r="J219">
        <v>8.6580140525835469E-6</v>
      </c>
      <c r="K219">
        <v>-23.336977111241641</v>
      </c>
      <c r="L219">
        <v>-2581.1122215755827</v>
      </c>
      <c r="M219">
        <v>0</v>
      </c>
    </row>
    <row r="220" spans="1:15" x14ac:dyDescent="0.15">
      <c r="A220">
        <v>236</v>
      </c>
      <c r="B220" t="s">
        <v>190</v>
      </c>
      <c r="C220" t="s">
        <v>464</v>
      </c>
      <c r="D220">
        <v>7</v>
      </c>
      <c r="E220">
        <v>4376562.5</v>
      </c>
      <c r="F220">
        <v>4562500</v>
      </c>
      <c r="G220">
        <v>4469531.25</v>
      </c>
      <c r="H220">
        <v>-74454217.394810811</v>
      </c>
      <c r="I220">
        <v>-1.0270478366314071E-6</v>
      </c>
      <c r="J220">
        <v>1.0061313928256951E-5</v>
      </c>
      <c r="K220">
        <v>-16.001266574073217</v>
      </c>
      <c r="L220">
        <v>-1765.8171345107121</v>
      </c>
      <c r="M220">
        <v>0</v>
      </c>
    </row>
    <row r="221" spans="1:15" x14ac:dyDescent="0.15">
      <c r="A221">
        <v>236</v>
      </c>
      <c r="B221" t="s">
        <v>190</v>
      </c>
      <c r="C221" t="s">
        <v>464</v>
      </c>
      <c r="D221">
        <v>8</v>
      </c>
      <c r="E221">
        <v>4469531.25</v>
      </c>
      <c r="F221">
        <v>4562500</v>
      </c>
      <c r="G221">
        <v>4516015.625</v>
      </c>
      <c r="H221">
        <v>11230182.448468456</v>
      </c>
      <c r="I221">
        <v>1.1883537532670455E-7</v>
      </c>
      <c r="J221">
        <v>1.1207197140215063E-5</v>
      </c>
      <c r="K221">
        <v>2.413525376011088</v>
      </c>
      <c r="L221">
        <v>148.67457026277353</v>
      </c>
      <c r="M221">
        <v>0</v>
      </c>
    </row>
    <row r="222" spans="1:15" x14ac:dyDescent="0.15">
      <c r="A222">
        <v>236</v>
      </c>
      <c r="B222" t="s">
        <v>190</v>
      </c>
      <c r="C222" t="s">
        <v>464</v>
      </c>
      <c r="D222">
        <v>9</v>
      </c>
      <c r="E222">
        <v>4469531.25</v>
      </c>
      <c r="F222">
        <v>4516015.625</v>
      </c>
      <c r="G222">
        <v>4492773.4375</v>
      </c>
      <c r="H222">
        <v>-39132967.307511844</v>
      </c>
      <c r="I222">
        <v>-4.6979957363289812E-7</v>
      </c>
      <c r="J222">
        <v>1.061856219125546E-5</v>
      </c>
      <c r="K222">
        <v>-8.41022931449994</v>
      </c>
      <c r="L222">
        <v>-971.02026959292539</v>
      </c>
      <c r="M222">
        <v>0</v>
      </c>
    </row>
    <row r="223" spans="1:15" x14ac:dyDescent="0.15">
      <c r="A223">
        <v>236</v>
      </c>
      <c r="B223" t="s">
        <v>190</v>
      </c>
      <c r="C223" t="s">
        <v>464</v>
      </c>
      <c r="D223">
        <v>10</v>
      </c>
      <c r="E223">
        <v>4492773.4375</v>
      </c>
      <c r="F223">
        <v>4516015.625</v>
      </c>
      <c r="G223">
        <v>4504394.53125</v>
      </c>
      <c r="H223">
        <v>-15950038.514793381</v>
      </c>
      <c r="I223">
        <v>-1.7951540485323928E-7</v>
      </c>
      <c r="J223">
        <v>1.0908846360035119E-5</v>
      </c>
      <c r="K223">
        <v>-3.427889340217976</v>
      </c>
      <c r="L223">
        <v>-454.09950003573817</v>
      </c>
      <c r="M223">
        <v>0</v>
      </c>
    </row>
    <row r="224" spans="1:15" x14ac:dyDescent="0.15">
      <c r="A224">
        <v>236</v>
      </c>
      <c r="B224" t="s">
        <v>190</v>
      </c>
      <c r="C224" t="s">
        <v>464</v>
      </c>
      <c r="D224">
        <v>11</v>
      </c>
      <c r="E224">
        <v>4504394.53125</v>
      </c>
      <c r="F224">
        <v>4516015.625</v>
      </c>
      <c r="G224">
        <v>4510205.078125</v>
      </c>
      <c r="H224">
        <v>-2874809.5723329359</v>
      </c>
      <c r="I224">
        <v>-3.1362428353603119E-8</v>
      </c>
      <c r="J224">
        <v>1.1056999336534755E-5</v>
      </c>
      <c r="K224">
        <v>-0.61783732239999078</v>
      </c>
      <c r="L224">
        <v>-163.7401076566581</v>
      </c>
      <c r="M224">
        <v>0</v>
      </c>
    </row>
    <row r="225" spans="1:15" x14ac:dyDescent="0.15">
      <c r="A225">
        <v>236</v>
      </c>
      <c r="B225" t="s">
        <v>190</v>
      </c>
      <c r="C225" t="s">
        <v>464</v>
      </c>
      <c r="D225">
        <v>12</v>
      </c>
      <c r="E225">
        <v>4510205.078125</v>
      </c>
      <c r="F225">
        <v>4516015.625</v>
      </c>
      <c r="G225">
        <v>4513110.3515625</v>
      </c>
      <c r="H225">
        <v>4046978.3299963498</v>
      </c>
      <c r="I225">
        <v>4.3478479283007318E-8</v>
      </c>
      <c r="J225">
        <v>1.1131840244171366E-5</v>
      </c>
      <c r="K225">
        <v>0.86975300182636206</v>
      </c>
      <c r="L225">
        <v>-10.32839849361913</v>
      </c>
      <c r="M225">
        <v>0</v>
      </c>
    </row>
    <row r="226" spans="1:15" x14ac:dyDescent="0.15">
      <c r="A226">
        <v>236</v>
      </c>
      <c r="B226" t="s">
        <v>190</v>
      </c>
      <c r="C226" t="s">
        <v>464</v>
      </c>
      <c r="D226">
        <v>13</v>
      </c>
      <c r="E226">
        <v>4513110.3515625</v>
      </c>
      <c r="F226">
        <v>4516015.625</v>
      </c>
      <c r="G226">
        <v>4514562.98828125</v>
      </c>
      <c r="H226">
        <v>7605644.7936169384</v>
      </c>
      <c r="I226">
        <v>8.1092049725499192E-8</v>
      </c>
      <c r="J226">
        <v>1.1169453814613857E-5</v>
      </c>
      <c r="K226">
        <v>1.6345608626175523</v>
      </c>
      <c r="L226">
        <v>68.469125657553434</v>
      </c>
      <c r="M226">
        <v>0</v>
      </c>
    </row>
    <row r="227" spans="1:15" x14ac:dyDescent="0.15">
      <c r="A227">
        <v>236</v>
      </c>
      <c r="B227" t="s">
        <v>190</v>
      </c>
      <c r="C227" t="s">
        <v>464</v>
      </c>
      <c r="D227">
        <v>14</v>
      </c>
      <c r="E227">
        <v>4513110.3515625</v>
      </c>
      <c r="F227">
        <v>4514562.98828125</v>
      </c>
      <c r="G227">
        <v>4513836.669921875</v>
      </c>
      <c r="H227">
        <v>5818173.3877544086</v>
      </c>
      <c r="I227">
        <v>6.2269761117617428E-8</v>
      </c>
      <c r="J227">
        <v>1.1150631526005976E-5</v>
      </c>
      <c r="K227">
        <v>1.2504079232740086</v>
      </c>
      <c r="L227">
        <v>28.89640926806306</v>
      </c>
      <c r="M227">
        <v>0</v>
      </c>
    </row>
    <row r="228" spans="1:15" x14ac:dyDescent="0.15">
      <c r="A228">
        <v>236</v>
      </c>
      <c r="B228" t="s">
        <v>190</v>
      </c>
      <c r="C228" t="s">
        <v>464</v>
      </c>
      <c r="D228">
        <v>15</v>
      </c>
      <c r="E228">
        <v>4513110.3515625</v>
      </c>
      <c r="F228">
        <v>4513836.669921875</v>
      </c>
      <c r="G228">
        <v>4513473.5107421875</v>
      </c>
      <c r="H228">
        <v>4930559.2972206399</v>
      </c>
      <c r="I228">
        <v>5.2870400020186639E-8</v>
      </c>
      <c r="J228">
        <v>1.1141232164908545E-5</v>
      </c>
      <c r="K228">
        <v>1.059647074869412</v>
      </c>
      <c r="L228">
        <v>9.2409047153102168</v>
      </c>
      <c r="M228">
        <v>0</v>
      </c>
    </row>
    <row r="229" spans="1:15" x14ac:dyDescent="0.15">
      <c r="A229">
        <v>236</v>
      </c>
      <c r="B229" t="s">
        <v>190</v>
      </c>
      <c r="C229" t="s">
        <v>464</v>
      </c>
      <c r="D229">
        <v>16</v>
      </c>
      <c r="E229">
        <v>4513110.3515625</v>
      </c>
      <c r="F229">
        <v>4513473.5107421875</v>
      </c>
      <c r="G229">
        <v>4513291.9311523438</v>
      </c>
      <c r="H229">
        <v>4488229.2190211825</v>
      </c>
      <c r="I229">
        <v>4.8173128571957891E-8</v>
      </c>
      <c r="J229">
        <v>1.1136534893460316E-5</v>
      </c>
      <c r="K229">
        <v>0.96458407182328132</v>
      </c>
      <c r="L229">
        <v>-0.5553089078543646</v>
      </c>
      <c r="M229">
        <v>0</v>
      </c>
    </row>
    <row r="230" spans="1:15" x14ac:dyDescent="0.15">
      <c r="A230">
        <v>236</v>
      </c>
      <c r="B230" t="s">
        <v>190</v>
      </c>
      <c r="C230" t="s">
        <v>465</v>
      </c>
      <c r="D230">
        <v>16</v>
      </c>
      <c r="E230">
        <v>4513110.3515625</v>
      </c>
      <c r="F230">
        <v>4513473.5107421875</v>
      </c>
      <c r="G230">
        <v>4513291.9311523438</v>
      </c>
      <c r="H230">
        <v>4488229.2190211825</v>
      </c>
      <c r="I230">
        <v>4.8173128571957891E-8</v>
      </c>
      <c r="J230">
        <v>1.1136534893460316E-5</v>
      </c>
      <c r="K230">
        <v>0.96458407182328132</v>
      </c>
      <c r="L230">
        <v>-0.5553089078543646</v>
      </c>
      <c r="M230">
        <v>0</v>
      </c>
      <c r="N230" t="s">
        <v>466</v>
      </c>
      <c r="O230" t="s">
        <v>467</v>
      </c>
    </row>
    <row r="231" spans="1:15" x14ac:dyDescent="0.15">
      <c r="A231">
        <v>237</v>
      </c>
      <c r="B231" t="s">
        <v>173</v>
      </c>
      <c r="C231" t="s">
        <v>461</v>
      </c>
      <c r="D231">
        <v>0</v>
      </c>
      <c r="E231">
        <v>100000</v>
      </c>
      <c r="F231">
        <v>12000000</v>
      </c>
      <c r="G231">
        <v>100000</v>
      </c>
      <c r="H231">
        <v>-21699.982361141596</v>
      </c>
      <c r="I231">
        <v>-3.4318906921673888E-5</v>
      </c>
      <c r="J231">
        <v>-9.049996272587185E-6</v>
      </c>
      <c r="K231">
        <v>-6.3108805576303235E-3</v>
      </c>
      <c r="L231">
        <v>-121.69998236114159</v>
      </c>
      <c r="M231">
        <v>0</v>
      </c>
      <c r="O231" t="s">
        <v>462</v>
      </c>
    </row>
    <row r="232" spans="1:15" x14ac:dyDescent="0.15">
      <c r="A232">
        <v>237</v>
      </c>
      <c r="B232" t="s">
        <v>173</v>
      </c>
      <c r="C232" t="s">
        <v>461</v>
      </c>
      <c r="D232">
        <v>0</v>
      </c>
      <c r="E232">
        <v>100000</v>
      </c>
      <c r="F232">
        <v>12000000</v>
      </c>
      <c r="G232">
        <v>12000000</v>
      </c>
      <c r="H232">
        <v>1.5069434646471744E+18</v>
      </c>
      <c r="I232">
        <v>536.87089673108937</v>
      </c>
      <c r="J232">
        <v>536.87092200000006</v>
      </c>
      <c r="K232">
        <v>438255665567.72168</v>
      </c>
      <c r="L232">
        <v>12557862205293.119</v>
      </c>
      <c r="M232">
        <v>5</v>
      </c>
      <c r="O232" t="s">
        <v>463</v>
      </c>
    </row>
    <row r="233" spans="1:15" x14ac:dyDescent="0.15">
      <c r="A233">
        <v>237</v>
      </c>
      <c r="B233" t="s">
        <v>173</v>
      </c>
      <c r="C233" t="s">
        <v>464</v>
      </c>
      <c r="D233">
        <v>1</v>
      </c>
      <c r="E233">
        <v>100000</v>
      </c>
      <c r="F233">
        <v>12000000</v>
      </c>
      <c r="G233">
        <v>6050000</v>
      </c>
      <c r="H233">
        <v>78687259391147.328</v>
      </c>
      <c r="I233">
        <v>0.1089437637848745</v>
      </c>
      <c r="J233">
        <v>0.10896903269552359</v>
      </c>
      <c r="K233">
        <v>22884161.247709017</v>
      </c>
      <c r="L233">
        <v>1300615757.7049146</v>
      </c>
      <c r="M233">
        <v>0</v>
      </c>
    </row>
    <row r="234" spans="1:15" x14ac:dyDescent="0.15">
      <c r="A234">
        <v>237</v>
      </c>
      <c r="B234" t="s">
        <v>173</v>
      </c>
      <c r="C234" t="s">
        <v>464</v>
      </c>
      <c r="D234">
        <v>2</v>
      </c>
      <c r="E234">
        <v>100000</v>
      </c>
      <c r="F234">
        <v>6050000</v>
      </c>
      <c r="G234">
        <v>3075000</v>
      </c>
      <c r="H234">
        <v>-150307.07687935603</v>
      </c>
      <c r="I234">
        <v>-2.2183202725150985E-5</v>
      </c>
      <c r="J234">
        <v>3.0857079239357152E-6</v>
      </c>
      <c r="K234">
        <v>-4.3712939179655248E-2</v>
      </c>
      <c r="L234">
        <v>-104.88803502046686</v>
      </c>
      <c r="M234">
        <v>0</v>
      </c>
    </row>
    <row r="235" spans="1:15" x14ac:dyDescent="0.15">
      <c r="A235">
        <v>237</v>
      </c>
      <c r="B235" t="s">
        <v>173</v>
      </c>
      <c r="C235" t="s">
        <v>464</v>
      </c>
      <c r="D235">
        <v>3</v>
      </c>
      <c r="E235">
        <v>3075000</v>
      </c>
      <c r="F235">
        <v>6050000</v>
      </c>
      <c r="G235">
        <v>4562500</v>
      </c>
      <c r="H235">
        <v>25824610109.042847</v>
      </c>
      <c r="I235">
        <v>1.8315819212604375E-4</v>
      </c>
      <c r="J235">
        <v>2.0842710277513044E-4</v>
      </c>
      <c r="K235">
        <v>7510.4222267657242</v>
      </c>
      <c r="L235">
        <v>565918.8517050487</v>
      </c>
      <c r="M235">
        <v>0</v>
      </c>
    </row>
    <row r="236" spans="1:15" x14ac:dyDescent="0.15">
      <c r="A236">
        <v>237</v>
      </c>
      <c r="B236" t="s">
        <v>173</v>
      </c>
      <c r="C236" t="s">
        <v>464</v>
      </c>
      <c r="D236">
        <v>4</v>
      </c>
      <c r="E236">
        <v>3075000</v>
      </c>
      <c r="F236">
        <v>4562500</v>
      </c>
      <c r="G236">
        <v>3818750</v>
      </c>
      <c r="H236">
        <v>-11142401.28197762</v>
      </c>
      <c r="I236">
        <v>-1.2772743538297729E-5</v>
      </c>
      <c r="J236">
        <v>1.2496167110788971E-5</v>
      </c>
      <c r="K236">
        <v>-3.2404802200055074</v>
      </c>
      <c r="L236">
        <v>-391.78137563280183</v>
      </c>
      <c r="M236">
        <v>0</v>
      </c>
    </row>
    <row r="237" spans="1:15" x14ac:dyDescent="0.15">
      <c r="A237">
        <v>237</v>
      </c>
      <c r="B237" t="s">
        <v>173</v>
      </c>
      <c r="C237" t="s">
        <v>464</v>
      </c>
      <c r="D237">
        <v>5</v>
      </c>
      <c r="E237">
        <v>3818750</v>
      </c>
      <c r="F237">
        <v>4562500</v>
      </c>
      <c r="G237">
        <v>4190625</v>
      </c>
      <c r="H237">
        <v>1658775298.6386995</v>
      </c>
      <c r="I237">
        <v>2.2357058190968865E-5</v>
      </c>
      <c r="J237">
        <v>4.7625968840055564E-5</v>
      </c>
      <c r="K237">
        <v>482.41204105318371</v>
      </c>
      <c r="L237">
        <v>39483.004889215801</v>
      </c>
      <c r="M237">
        <v>0</v>
      </c>
    </row>
    <row r="238" spans="1:15" x14ac:dyDescent="0.15">
      <c r="A238">
        <v>237</v>
      </c>
      <c r="B238" t="s">
        <v>173</v>
      </c>
      <c r="C238" t="s">
        <v>464</v>
      </c>
      <c r="D238">
        <v>6</v>
      </c>
      <c r="E238">
        <v>3818750</v>
      </c>
      <c r="F238">
        <v>4190625</v>
      </c>
      <c r="G238">
        <v>4004687.5</v>
      </c>
      <c r="H238">
        <v>-83564730.315894976</v>
      </c>
      <c r="I238">
        <v>-2.2586472727206186E-6</v>
      </c>
      <c r="J238">
        <v>2.3010263376366081E-5</v>
      </c>
      <c r="K238">
        <v>-24.302647950468614</v>
      </c>
      <c r="L238">
        <v>-2186.6729380480992</v>
      </c>
      <c r="M238">
        <v>0</v>
      </c>
    </row>
    <row r="239" spans="1:15" x14ac:dyDescent="0.15">
      <c r="A239">
        <v>237</v>
      </c>
      <c r="B239" t="s">
        <v>173</v>
      </c>
      <c r="C239" t="s">
        <v>464</v>
      </c>
      <c r="D239">
        <v>7</v>
      </c>
      <c r="E239">
        <v>4004687.5</v>
      </c>
      <c r="F239">
        <v>4190625</v>
      </c>
      <c r="G239">
        <v>4097656.25</v>
      </c>
      <c r="H239">
        <v>460784574.8176893</v>
      </c>
      <c r="I239">
        <v>7.8071580035147739E-6</v>
      </c>
      <c r="J239">
        <v>3.3076068652601473E-5</v>
      </c>
      <c r="K239">
        <v>134.00731696815666</v>
      </c>
      <c r="L239">
        <v>11145.076373053238</v>
      </c>
      <c r="M239">
        <v>0</v>
      </c>
    </row>
    <row r="240" spans="1:15" x14ac:dyDescent="0.15">
      <c r="A240">
        <v>237</v>
      </c>
      <c r="B240" t="s">
        <v>173</v>
      </c>
      <c r="C240" t="s">
        <v>464</v>
      </c>
      <c r="D240">
        <v>8</v>
      </c>
      <c r="E240">
        <v>4004687.5</v>
      </c>
      <c r="F240">
        <v>4097656.25</v>
      </c>
      <c r="G240">
        <v>4051171.875</v>
      </c>
      <c r="H240">
        <v>118589338.55479151</v>
      </c>
      <c r="I240">
        <v>2.3128165589425268E-6</v>
      </c>
      <c r="J240">
        <v>2.7581727208029226E-5</v>
      </c>
      <c r="K240">
        <v>34.488652505443866</v>
      </c>
      <c r="L240">
        <v>2827.2848008896563</v>
      </c>
      <c r="M240">
        <v>0</v>
      </c>
    </row>
    <row r="241" spans="1:15" x14ac:dyDescent="0.15">
      <c r="A241">
        <v>237</v>
      </c>
      <c r="B241" t="s">
        <v>173</v>
      </c>
      <c r="C241" t="s">
        <v>464</v>
      </c>
      <c r="D241">
        <v>9</v>
      </c>
      <c r="E241">
        <v>4004687.5</v>
      </c>
      <c r="F241">
        <v>4051171.875</v>
      </c>
      <c r="G241">
        <v>4027929.6875</v>
      </c>
      <c r="H241">
        <v>-3468792.1462747101</v>
      </c>
      <c r="I241">
        <v>-7.7763292140379359E-8</v>
      </c>
      <c r="J241">
        <v>2.519114735694632E-5</v>
      </c>
      <c r="K241">
        <v>-1.0088087884157237</v>
      </c>
      <c r="L241">
        <v>-186.11848804212053</v>
      </c>
      <c r="M241">
        <v>0</v>
      </c>
    </row>
    <row r="242" spans="1:15" x14ac:dyDescent="0.15">
      <c r="A242">
        <v>237</v>
      </c>
      <c r="B242" t="s">
        <v>173</v>
      </c>
      <c r="C242" t="s">
        <v>464</v>
      </c>
      <c r="D242">
        <v>10</v>
      </c>
      <c r="E242">
        <v>4027929.6875</v>
      </c>
      <c r="F242">
        <v>4051171.875</v>
      </c>
      <c r="G242">
        <v>4039550.78125</v>
      </c>
      <c r="H242">
        <v>52880732.777301967</v>
      </c>
      <c r="I242">
        <v>1.0900704381345983E-6</v>
      </c>
      <c r="J242">
        <v>2.6358981087221298E-5</v>
      </c>
      <c r="K242">
        <v>15.378998139423508</v>
      </c>
      <c r="L242">
        <v>1209.0745887575781</v>
      </c>
      <c r="M242">
        <v>0</v>
      </c>
    </row>
    <row r="243" spans="1:15" x14ac:dyDescent="0.15">
      <c r="A243">
        <v>237</v>
      </c>
      <c r="B243" t="s">
        <v>173</v>
      </c>
      <c r="C243" t="s">
        <v>464</v>
      </c>
      <c r="D243">
        <v>11</v>
      </c>
      <c r="E243">
        <v>4027929.6875</v>
      </c>
      <c r="F243">
        <v>4039550.78125</v>
      </c>
      <c r="G243">
        <v>4033740.234375</v>
      </c>
      <c r="H243">
        <v>23249847.494035594</v>
      </c>
      <c r="I243">
        <v>4.9944952401883834E-7</v>
      </c>
      <c r="J243">
        <v>2.5768360173105538E-5</v>
      </c>
      <c r="K243">
        <v>6.7616188841114013</v>
      </c>
      <c r="L243">
        <v>476.38435157285227</v>
      </c>
      <c r="M243">
        <v>0</v>
      </c>
    </row>
    <row r="244" spans="1:15" x14ac:dyDescent="0.15">
      <c r="A244">
        <v>237</v>
      </c>
      <c r="B244" t="s">
        <v>173</v>
      </c>
      <c r="C244" t="s">
        <v>464</v>
      </c>
      <c r="D244">
        <v>12</v>
      </c>
      <c r="E244">
        <v>4027929.6875</v>
      </c>
      <c r="F244">
        <v>4033740.234375</v>
      </c>
      <c r="G244">
        <v>4030834.9609375</v>
      </c>
      <c r="H244">
        <v>9534000.3232160993</v>
      </c>
      <c r="I244">
        <v>2.0918475461330523E-7</v>
      </c>
      <c r="J244">
        <v>2.5478095403700005E-5</v>
      </c>
      <c r="K244">
        <v>2.772718257318453</v>
      </c>
      <c r="L244">
        <v>136.52668530488933</v>
      </c>
      <c r="M244">
        <v>0</v>
      </c>
    </row>
    <row r="245" spans="1:15" x14ac:dyDescent="0.15">
      <c r="A245">
        <v>237</v>
      </c>
      <c r="B245" t="s">
        <v>173</v>
      </c>
      <c r="C245" t="s">
        <v>464</v>
      </c>
      <c r="D245">
        <v>13</v>
      </c>
      <c r="E245">
        <v>4027929.6875</v>
      </c>
      <c r="F245">
        <v>4030834.9609375</v>
      </c>
      <c r="G245">
        <v>4029382.32421875</v>
      </c>
      <c r="H245">
        <v>2944469.5801415527</v>
      </c>
      <c r="I245">
        <v>6.5299899049116674E-8</v>
      </c>
      <c r="J245">
        <v>2.5334210548135816E-5</v>
      </c>
      <c r="K245">
        <v>0.85632308435073179</v>
      </c>
      <c r="L245">
        <v>-26.925038548868631</v>
      </c>
      <c r="M245">
        <v>0</v>
      </c>
    </row>
    <row r="246" spans="1:15" x14ac:dyDescent="0.15">
      <c r="A246">
        <v>237</v>
      </c>
      <c r="B246" t="s">
        <v>173</v>
      </c>
      <c r="C246" t="s">
        <v>464</v>
      </c>
      <c r="D246">
        <v>14</v>
      </c>
      <c r="E246">
        <v>4029382.32421875</v>
      </c>
      <c r="F246">
        <v>4030834.9609375</v>
      </c>
      <c r="G246">
        <v>4030108.642578125</v>
      </c>
      <c r="H246">
        <v>6217115.8150677131</v>
      </c>
      <c r="I246">
        <v>1.3713998316787834E-7</v>
      </c>
      <c r="J246">
        <v>2.5406050632254578E-5</v>
      </c>
      <c r="K246">
        <v>1.8080878900669635</v>
      </c>
      <c r="L246">
        <v>54.266705105262986</v>
      </c>
      <c r="M246">
        <v>0</v>
      </c>
    </row>
    <row r="247" spans="1:15" x14ac:dyDescent="0.15">
      <c r="A247">
        <v>237</v>
      </c>
      <c r="B247" t="s">
        <v>173</v>
      </c>
      <c r="C247" t="s">
        <v>464</v>
      </c>
      <c r="D247">
        <v>15</v>
      </c>
      <c r="E247">
        <v>4029382.32421875</v>
      </c>
      <c r="F247">
        <v>4030108.642578125</v>
      </c>
      <c r="G247">
        <v>4029745.4833984375</v>
      </c>
      <c r="H247">
        <v>4575262.2691212464</v>
      </c>
      <c r="I247">
        <v>1.0119406232962609E-7</v>
      </c>
      <c r="J247">
        <v>2.5370104711416325E-5</v>
      </c>
      <c r="K247">
        <v>1.3305971046299905</v>
      </c>
      <c r="L247">
        <v>13.537251619741351</v>
      </c>
      <c r="M247">
        <v>0</v>
      </c>
    </row>
    <row r="248" spans="1:15" x14ac:dyDescent="0.15">
      <c r="A248">
        <v>237</v>
      </c>
      <c r="B248" t="s">
        <v>173</v>
      </c>
      <c r="C248" t="s">
        <v>464</v>
      </c>
      <c r="D248">
        <v>16</v>
      </c>
      <c r="E248">
        <v>4029382.32421875</v>
      </c>
      <c r="F248">
        <v>4029745.4833984375</v>
      </c>
      <c r="G248">
        <v>4029563.9038085938</v>
      </c>
      <c r="H248">
        <v>3758490.1510847071</v>
      </c>
      <c r="I248">
        <v>8.3240625862862074E-8</v>
      </c>
      <c r="J248">
        <v>2.5352151274949561E-5</v>
      </c>
      <c r="K248">
        <v>1.0930599862145558</v>
      </c>
      <c r="L248">
        <v>-6.7271238078065423</v>
      </c>
      <c r="M248">
        <v>0</v>
      </c>
    </row>
    <row r="249" spans="1:15" x14ac:dyDescent="0.15">
      <c r="A249">
        <v>237</v>
      </c>
      <c r="B249" t="s">
        <v>173</v>
      </c>
      <c r="C249" t="s">
        <v>464</v>
      </c>
      <c r="D249">
        <v>17</v>
      </c>
      <c r="E249">
        <v>4029563.9038085938</v>
      </c>
      <c r="F249">
        <v>4029745.4833984375</v>
      </c>
      <c r="G249">
        <v>4029654.6936035156</v>
      </c>
      <c r="H249">
        <v>4166534.9263790278</v>
      </c>
      <c r="I249">
        <v>9.2215818174514342E-8</v>
      </c>
      <c r="J249">
        <v>2.5361126467261214E-5</v>
      </c>
      <c r="K249">
        <v>1.2117292918476728</v>
      </c>
      <c r="L249">
        <v>3.3968228839257466</v>
      </c>
      <c r="M249">
        <v>0</v>
      </c>
    </row>
    <row r="250" spans="1:15" x14ac:dyDescent="0.15">
      <c r="A250">
        <v>237</v>
      </c>
      <c r="B250" t="s">
        <v>173</v>
      </c>
      <c r="C250" t="s">
        <v>464</v>
      </c>
      <c r="D250">
        <v>18</v>
      </c>
      <c r="E250">
        <v>4029563.9038085938</v>
      </c>
      <c r="F250">
        <v>4029654.6936035156</v>
      </c>
      <c r="G250">
        <v>4029609.2987060547</v>
      </c>
      <c r="H250">
        <v>3962358.2587080789</v>
      </c>
      <c r="I250">
        <v>8.7726323231662566E-8</v>
      </c>
      <c r="J250">
        <v>2.5356636972318362E-5</v>
      </c>
      <c r="K250">
        <v>1.1523497706627279</v>
      </c>
      <c r="L250">
        <v>-1.6689220967295948</v>
      </c>
      <c r="M250">
        <v>0</v>
      </c>
    </row>
    <row r="251" spans="1:15" x14ac:dyDescent="0.15">
      <c r="A251">
        <v>237</v>
      </c>
      <c r="B251" t="s">
        <v>173</v>
      </c>
      <c r="C251" t="s">
        <v>464</v>
      </c>
      <c r="D251">
        <v>19</v>
      </c>
      <c r="E251">
        <v>4029609.2987060547</v>
      </c>
      <c r="F251">
        <v>4029654.6936035156</v>
      </c>
      <c r="G251">
        <v>4029631.9961547852</v>
      </c>
      <c r="H251">
        <v>4064459.0378686241</v>
      </c>
      <c r="I251">
        <v>8.997171818857504E-8</v>
      </c>
      <c r="J251">
        <v>2.5358882367275274E-5</v>
      </c>
      <c r="K251">
        <v>1.1820431506572218</v>
      </c>
      <c r="L251">
        <v>0.86427350554770521</v>
      </c>
      <c r="M251">
        <v>0</v>
      </c>
    </row>
    <row r="252" spans="1:15" x14ac:dyDescent="0.15">
      <c r="A252">
        <v>237</v>
      </c>
      <c r="B252" t="s">
        <v>173</v>
      </c>
      <c r="C252" t="s">
        <v>465</v>
      </c>
      <c r="D252">
        <v>19</v>
      </c>
      <c r="E252">
        <v>4029609.2987060547</v>
      </c>
      <c r="F252">
        <v>4029654.6936035156</v>
      </c>
      <c r="G252">
        <v>4029631.9961547852</v>
      </c>
      <c r="H252">
        <v>4064459.0378686241</v>
      </c>
      <c r="I252">
        <v>8.997171818857504E-8</v>
      </c>
      <c r="J252">
        <v>2.5358882367275274E-5</v>
      </c>
      <c r="K252">
        <v>1.1820431506572218</v>
      </c>
      <c r="L252">
        <v>0.86427350554770521</v>
      </c>
      <c r="M252">
        <v>0</v>
      </c>
      <c r="N252" t="s">
        <v>466</v>
      </c>
      <c r="O252" t="s">
        <v>467</v>
      </c>
    </row>
    <row r="253" spans="1:15" x14ac:dyDescent="0.15">
      <c r="A253">
        <v>238</v>
      </c>
      <c r="B253" t="s">
        <v>191</v>
      </c>
      <c r="C253" t="s">
        <v>461</v>
      </c>
      <c r="D253">
        <v>0</v>
      </c>
      <c r="E253">
        <v>100000</v>
      </c>
      <c r="F253">
        <v>12000000</v>
      </c>
      <c r="G253">
        <v>100000</v>
      </c>
      <c r="H253">
        <v>-38607.964572462683</v>
      </c>
      <c r="I253">
        <v>-1.4361620798014884E-5</v>
      </c>
      <c r="J253">
        <v>-3.2732590331265256E-6</v>
      </c>
      <c r="K253">
        <v>-7.4625995176797145E-3</v>
      </c>
      <c r="L253">
        <v>-138.60796457246269</v>
      </c>
      <c r="M253">
        <v>0</v>
      </c>
      <c r="O253" t="s">
        <v>462</v>
      </c>
    </row>
    <row r="254" spans="1:15" x14ac:dyDescent="0.15">
      <c r="A254">
        <v>238</v>
      </c>
      <c r="B254" t="s">
        <v>191</v>
      </c>
      <c r="C254" t="s">
        <v>461</v>
      </c>
      <c r="D254">
        <v>0</v>
      </c>
      <c r="E254">
        <v>100000</v>
      </c>
      <c r="F254">
        <v>12000000</v>
      </c>
      <c r="G254">
        <v>12000000</v>
      </c>
      <c r="H254">
        <v>5.4377317224528763E+18</v>
      </c>
      <c r="I254">
        <v>536.87091091163836</v>
      </c>
      <c r="J254">
        <v>536.87092200000018</v>
      </c>
      <c r="K254">
        <v>1051068466794.8573</v>
      </c>
      <c r="L254">
        <v>45314431020340.633</v>
      </c>
      <c r="M254">
        <v>5</v>
      </c>
      <c r="O254" t="s">
        <v>463</v>
      </c>
    </row>
    <row r="255" spans="1:15" x14ac:dyDescent="0.15">
      <c r="A255">
        <v>238</v>
      </c>
      <c r="B255" t="s">
        <v>191</v>
      </c>
      <c r="C255" t="s">
        <v>464</v>
      </c>
      <c r="D255">
        <v>1</v>
      </c>
      <c r="E255">
        <v>100000</v>
      </c>
      <c r="F255">
        <v>12000000</v>
      </c>
      <c r="G255">
        <v>6050000</v>
      </c>
      <c r="H255">
        <v>111673361310.15567</v>
      </c>
      <c r="I255">
        <v>2.0323934479324788E-4</v>
      </c>
      <c r="J255">
        <v>2.1432770655813624E-4</v>
      </c>
      <c r="K255">
        <v>21585.535043855896</v>
      </c>
      <c r="L255">
        <v>1845740.6828124905</v>
      </c>
      <c r="M255">
        <v>0</v>
      </c>
    </row>
    <row r="256" spans="1:15" x14ac:dyDescent="0.15">
      <c r="A256">
        <v>238</v>
      </c>
      <c r="B256" t="s">
        <v>191</v>
      </c>
      <c r="C256" t="s">
        <v>464</v>
      </c>
      <c r="D256">
        <v>2</v>
      </c>
      <c r="E256">
        <v>100000</v>
      </c>
      <c r="F256">
        <v>6050000</v>
      </c>
      <c r="G256">
        <v>3075000</v>
      </c>
      <c r="H256">
        <v>-231339.51021886189</v>
      </c>
      <c r="I256">
        <v>-9.6034494347070317E-6</v>
      </c>
      <c r="J256">
        <v>1.4849123301813265E-6</v>
      </c>
      <c r="K256">
        <v>-4.4716009675653791E-2</v>
      </c>
      <c r="L256">
        <v>-107.52323610467843</v>
      </c>
      <c r="M256">
        <v>0</v>
      </c>
    </row>
    <row r="257" spans="1:15" x14ac:dyDescent="0.15">
      <c r="A257">
        <v>238</v>
      </c>
      <c r="B257" t="s">
        <v>191</v>
      </c>
      <c r="C257" t="s">
        <v>464</v>
      </c>
      <c r="D257">
        <v>3</v>
      </c>
      <c r="E257">
        <v>3075000</v>
      </c>
      <c r="F257">
        <v>6050000</v>
      </c>
      <c r="G257">
        <v>4562500</v>
      </c>
      <c r="H257">
        <v>-88914640.212184682</v>
      </c>
      <c r="I257">
        <v>-3.3533231933049957E-6</v>
      </c>
      <c r="J257">
        <v>7.7350385715833625E-6</v>
      </c>
      <c r="K257">
        <v>-17.186462910178484</v>
      </c>
      <c r="L257">
        <v>-2048.8140320478833</v>
      </c>
      <c r="M257">
        <v>0</v>
      </c>
    </row>
    <row r="258" spans="1:15" x14ac:dyDescent="0.15">
      <c r="A258">
        <v>238</v>
      </c>
      <c r="B258" t="s">
        <v>191</v>
      </c>
      <c r="C258" t="s">
        <v>464</v>
      </c>
      <c r="D258">
        <v>4</v>
      </c>
      <c r="E258">
        <v>4562500</v>
      </c>
      <c r="F258">
        <v>6050000</v>
      </c>
      <c r="G258">
        <v>5306250</v>
      </c>
      <c r="H258">
        <v>6888144780.6291637</v>
      </c>
      <c r="I258">
        <v>2.5296745389944188E-5</v>
      </c>
      <c r="J258">
        <v>3.6385107154832545E-5</v>
      </c>
      <c r="K258">
        <v>1331.4212879871686</v>
      </c>
      <c r="L258">
        <v>129711.91577157435</v>
      </c>
      <c r="M258">
        <v>0</v>
      </c>
    </row>
    <row r="259" spans="1:15" x14ac:dyDescent="0.15">
      <c r="A259">
        <v>238</v>
      </c>
      <c r="B259" t="s">
        <v>191</v>
      </c>
      <c r="C259" t="s">
        <v>464</v>
      </c>
      <c r="D259">
        <v>5</v>
      </c>
      <c r="E259">
        <v>4562500</v>
      </c>
      <c r="F259">
        <v>5306250</v>
      </c>
      <c r="G259">
        <v>4934375</v>
      </c>
      <c r="H259">
        <v>680125175.93299162</v>
      </c>
      <c r="I259">
        <v>4.1712472760067618E-6</v>
      </c>
      <c r="J259">
        <v>1.525960904089512E-5</v>
      </c>
      <c r="K259">
        <v>131.46255872549938</v>
      </c>
      <c r="L259">
        <v>13683.41078521579</v>
      </c>
      <c r="M259">
        <v>0</v>
      </c>
    </row>
    <row r="260" spans="1:15" x14ac:dyDescent="0.15">
      <c r="A260">
        <v>238</v>
      </c>
      <c r="B260" t="s">
        <v>191</v>
      </c>
      <c r="C260" t="s">
        <v>464</v>
      </c>
      <c r="D260">
        <v>6</v>
      </c>
      <c r="E260">
        <v>4562500</v>
      </c>
      <c r="F260">
        <v>4934375</v>
      </c>
      <c r="G260">
        <v>4748437.5</v>
      </c>
      <c r="H260">
        <v>-81345123.808112532</v>
      </c>
      <c r="I260">
        <v>-1.1657989045951035E-6</v>
      </c>
      <c r="J260">
        <v>9.9225628602932547E-6</v>
      </c>
      <c r="K260">
        <v>-15.723338135494348</v>
      </c>
      <c r="L260">
        <v>-1813.0924395258974</v>
      </c>
      <c r="M260">
        <v>0</v>
      </c>
    </row>
    <row r="261" spans="1:15" x14ac:dyDescent="0.15">
      <c r="A261">
        <v>238</v>
      </c>
      <c r="B261" t="s">
        <v>191</v>
      </c>
      <c r="C261" t="s">
        <v>464</v>
      </c>
      <c r="D261">
        <v>7</v>
      </c>
      <c r="E261">
        <v>4748437.5</v>
      </c>
      <c r="F261">
        <v>4934375</v>
      </c>
      <c r="G261">
        <v>4841406.25</v>
      </c>
      <c r="H261">
        <v>139140758.36869171</v>
      </c>
      <c r="I261">
        <v>1.212843963697203E-6</v>
      </c>
      <c r="J261">
        <v>1.2301205728585561E-5</v>
      </c>
      <c r="K261">
        <v>26.894755208939397</v>
      </c>
      <c r="L261">
        <v>2773.9740311751716</v>
      </c>
      <c r="M261">
        <v>0</v>
      </c>
    </row>
    <row r="262" spans="1:15" x14ac:dyDescent="0.15">
      <c r="A262">
        <v>238</v>
      </c>
      <c r="B262" t="s">
        <v>191</v>
      </c>
      <c r="C262" t="s">
        <v>464</v>
      </c>
      <c r="D262">
        <v>8</v>
      </c>
      <c r="E262">
        <v>4748437.5</v>
      </c>
      <c r="F262">
        <v>4841406.25</v>
      </c>
      <c r="G262">
        <v>4794921.875</v>
      </c>
      <c r="H262">
        <v>-3777731.6397853415</v>
      </c>
      <c r="I262">
        <v>-4.1297566677595644E-8</v>
      </c>
      <c r="J262">
        <v>1.1047064198210763E-5</v>
      </c>
      <c r="K262">
        <v>-0.73020421110449718</v>
      </c>
      <c r="L262">
        <v>-178.78609366884297</v>
      </c>
      <c r="M262">
        <v>0</v>
      </c>
    </row>
    <row r="263" spans="1:15" x14ac:dyDescent="0.15">
      <c r="A263">
        <v>238</v>
      </c>
      <c r="B263" t="s">
        <v>191</v>
      </c>
      <c r="C263" t="s">
        <v>464</v>
      </c>
      <c r="D263">
        <v>9</v>
      </c>
      <c r="E263">
        <v>4794921.875</v>
      </c>
      <c r="F263">
        <v>4841406.25</v>
      </c>
      <c r="G263">
        <v>4818164.0625</v>
      </c>
      <c r="H263">
        <v>58521995.746398099</v>
      </c>
      <c r="I263">
        <v>5.6865864900025113E-7</v>
      </c>
      <c r="J263">
        <v>1.1657020413888609E-5</v>
      </c>
      <c r="K263">
        <v>11.311816669615933</v>
      </c>
      <c r="L263">
        <v>1114.611934904367</v>
      </c>
      <c r="M263">
        <v>0</v>
      </c>
    </row>
    <row r="264" spans="1:15" x14ac:dyDescent="0.15">
      <c r="A264">
        <v>238</v>
      </c>
      <c r="B264" t="s">
        <v>191</v>
      </c>
      <c r="C264" t="s">
        <v>464</v>
      </c>
      <c r="D264">
        <v>10</v>
      </c>
      <c r="E264">
        <v>4794921.875</v>
      </c>
      <c r="F264">
        <v>4818164.0625</v>
      </c>
      <c r="G264">
        <v>4806542.96875</v>
      </c>
      <c r="H264">
        <v>25211421.474770293</v>
      </c>
      <c r="I264">
        <v>2.595189673005473E-7</v>
      </c>
      <c r="J264">
        <v>1.1347880732188906E-5</v>
      </c>
      <c r="K264">
        <v>4.8731587852687399</v>
      </c>
      <c r="L264">
        <v>424.52296044545358</v>
      </c>
      <c r="M264">
        <v>0</v>
      </c>
    </row>
    <row r="265" spans="1:15" x14ac:dyDescent="0.15">
      <c r="A265">
        <v>238</v>
      </c>
      <c r="B265" t="s">
        <v>191</v>
      </c>
      <c r="C265" t="s">
        <v>464</v>
      </c>
      <c r="D265">
        <v>11</v>
      </c>
      <c r="E265">
        <v>4794921.875</v>
      </c>
      <c r="F265">
        <v>4806542.96875</v>
      </c>
      <c r="G265">
        <v>4800732.421875</v>
      </c>
      <c r="H265">
        <v>10192302.797435837</v>
      </c>
      <c r="I265">
        <v>1.0808452200414987E-7</v>
      </c>
      <c r="J265">
        <v>1.1196446286892508E-5</v>
      </c>
      <c r="K265">
        <v>1.9700876433781545</v>
      </c>
      <c r="L265">
        <v>112.30724609840004</v>
      </c>
      <c r="M265">
        <v>0</v>
      </c>
    </row>
    <row r="266" spans="1:15" x14ac:dyDescent="0.15">
      <c r="A266">
        <v>238</v>
      </c>
      <c r="B266" t="s">
        <v>191</v>
      </c>
      <c r="C266" t="s">
        <v>464</v>
      </c>
      <c r="D266">
        <v>12</v>
      </c>
      <c r="E266">
        <v>4794921.875</v>
      </c>
      <c r="F266">
        <v>4800732.421875</v>
      </c>
      <c r="G266">
        <v>4797827.1484375</v>
      </c>
      <c r="H266">
        <v>3078055.0092324875</v>
      </c>
      <c r="I266">
        <v>3.3138475507734066E-8</v>
      </c>
      <c r="J266">
        <v>1.1121500240396092E-5</v>
      </c>
      <c r="K266">
        <v>0.59496251826944702</v>
      </c>
      <c r="L266">
        <v>-35.844812370222378</v>
      </c>
      <c r="M266">
        <v>0</v>
      </c>
    </row>
    <row r="267" spans="1:15" x14ac:dyDescent="0.15">
      <c r="A267">
        <v>238</v>
      </c>
      <c r="B267" t="s">
        <v>191</v>
      </c>
      <c r="C267" t="s">
        <v>464</v>
      </c>
      <c r="D267">
        <v>13</v>
      </c>
      <c r="E267">
        <v>4797827.1484375</v>
      </c>
      <c r="F267">
        <v>4800732.421875</v>
      </c>
      <c r="G267">
        <v>4799279.78515625</v>
      </c>
      <c r="H267">
        <v>6602696.7592680184</v>
      </c>
      <c r="I267">
        <v>7.0548215077415096E-8</v>
      </c>
      <c r="J267">
        <v>1.1158909979965773E-5</v>
      </c>
      <c r="K267">
        <v>1.2762465516310419</v>
      </c>
      <c r="L267">
        <v>37.576825166342218</v>
      </c>
      <c r="M267">
        <v>0</v>
      </c>
    </row>
    <row r="268" spans="1:15" x14ac:dyDescent="0.15">
      <c r="A268">
        <v>238</v>
      </c>
      <c r="B268" t="s">
        <v>191</v>
      </c>
      <c r="C268" t="s">
        <v>464</v>
      </c>
      <c r="D268">
        <v>14</v>
      </c>
      <c r="E268">
        <v>4797827.1484375</v>
      </c>
      <c r="F268">
        <v>4799279.78515625</v>
      </c>
      <c r="G268">
        <v>4798553.466796875</v>
      </c>
      <c r="H268">
        <v>4832299.3297585482</v>
      </c>
      <c r="I268">
        <v>5.1827703752420519E-8</v>
      </c>
      <c r="J268">
        <v>1.1140189468640779E-5</v>
      </c>
      <c r="K268">
        <v>0.9340434039162272</v>
      </c>
      <c r="L268">
        <v>0.70325074410808175</v>
      </c>
      <c r="M268">
        <v>0</v>
      </c>
    </row>
    <row r="269" spans="1:15" x14ac:dyDescent="0.15">
      <c r="A269">
        <v>238</v>
      </c>
      <c r="B269" t="s">
        <v>191</v>
      </c>
      <c r="C269" t="s">
        <v>465</v>
      </c>
      <c r="D269">
        <v>14</v>
      </c>
      <c r="E269">
        <v>4797827.1484375</v>
      </c>
      <c r="F269">
        <v>4799279.78515625</v>
      </c>
      <c r="G269">
        <v>4798553.466796875</v>
      </c>
      <c r="H269">
        <v>4832299.3297585482</v>
      </c>
      <c r="I269">
        <v>5.1827703752420519E-8</v>
      </c>
      <c r="J269">
        <v>1.1140189468640779E-5</v>
      </c>
      <c r="K269">
        <v>0.9340434039162272</v>
      </c>
      <c r="L269">
        <v>0.70325074410808175</v>
      </c>
      <c r="M269">
        <v>0</v>
      </c>
      <c r="N269" t="s">
        <v>466</v>
      </c>
      <c r="O269" t="s">
        <v>467</v>
      </c>
    </row>
    <row r="270" spans="1:15" x14ac:dyDescent="0.15">
      <c r="A270">
        <v>239</v>
      </c>
      <c r="B270" t="s">
        <v>192</v>
      </c>
      <c r="C270" t="s">
        <v>461</v>
      </c>
      <c r="D270">
        <v>0</v>
      </c>
      <c r="E270">
        <v>100000</v>
      </c>
      <c r="F270">
        <v>12000000</v>
      </c>
      <c r="G270">
        <v>100000</v>
      </c>
      <c r="H270">
        <v>-39367.747515436429</v>
      </c>
      <c r="I270">
        <v>-1.4094432567041788E-5</v>
      </c>
      <c r="J270">
        <v>-3.1776283209145962E-6</v>
      </c>
      <c r="K270">
        <v>-8.3755122083503369E-3</v>
      </c>
      <c r="L270">
        <v>-139.36774751543643</v>
      </c>
      <c r="M270">
        <v>0</v>
      </c>
      <c r="O270" t="s">
        <v>462</v>
      </c>
    </row>
    <row r="271" spans="1:15" x14ac:dyDescent="0.15">
      <c r="A271">
        <v>239</v>
      </c>
      <c r="B271" t="s">
        <v>192</v>
      </c>
      <c r="C271" t="s">
        <v>461</v>
      </c>
      <c r="D271">
        <v>0</v>
      </c>
      <c r="E271">
        <v>100000</v>
      </c>
      <c r="F271">
        <v>12000000</v>
      </c>
      <c r="G271">
        <v>12000000</v>
      </c>
      <c r="H271">
        <v>5.5715171152965571E+18</v>
      </c>
      <c r="I271">
        <v>536.87091108319578</v>
      </c>
      <c r="J271">
        <v>536.87092200000006</v>
      </c>
      <c r="K271">
        <v>1185343652183.8516</v>
      </c>
      <c r="L271">
        <v>46429309294037.977</v>
      </c>
      <c r="M271">
        <v>5</v>
      </c>
      <c r="O271" t="s">
        <v>463</v>
      </c>
    </row>
    <row r="272" spans="1:15" x14ac:dyDescent="0.15">
      <c r="A272">
        <v>239</v>
      </c>
      <c r="B272" t="s">
        <v>192</v>
      </c>
      <c r="C272" t="s">
        <v>464</v>
      </c>
      <c r="D272">
        <v>1</v>
      </c>
      <c r="E272">
        <v>100000</v>
      </c>
      <c r="F272">
        <v>12000000</v>
      </c>
      <c r="G272">
        <v>6050000</v>
      </c>
      <c r="H272">
        <v>109268811698.25842</v>
      </c>
      <c r="I272">
        <v>1.9612225872767182E-4</v>
      </c>
      <c r="J272">
        <v>2.0703906297379901E-4</v>
      </c>
      <c r="K272">
        <v>23247.006093296211</v>
      </c>
      <c r="L272">
        <v>1805996.0611282384</v>
      </c>
      <c r="M272">
        <v>0</v>
      </c>
    </row>
    <row r="273" spans="1:13" x14ac:dyDescent="0.15">
      <c r="A273">
        <v>239</v>
      </c>
      <c r="B273" t="s">
        <v>192</v>
      </c>
      <c r="C273" t="s">
        <v>464</v>
      </c>
      <c r="D273">
        <v>2</v>
      </c>
      <c r="E273">
        <v>100000</v>
      </c>
      <c r="F273">
        <v>6050000</v>
      </c>
      <c r="G273">
        <v>3075000</v>
      </c>
      <c r="H273">
        <v>-238073.02240676555</v>
      </c>
      <c r="I273">
        <v>-9.4157979534207164E-6</v>
      </c>
      <c r="J273">
        <v>1.5010062927064753E-6</v>
      </c>
      <c r="K273">
        <v>-5.0650180198012859E-2</v>
      </c>
      <c r="L273">
        <v>-107.74221211078913</v>
      </c>
      <c r="M273">
        <v>0</v>
      </c>
    </row>
    <row r="274" spans="1:13" x14ac:dyDescent="0.15">
      <c r="A274">
        <v>239</v>
      </c>
      <c r="B274" t="s">
        <v>192</v>
      </c>
      <c r="C274" t="s">
        <v>464</v>
      </c>
      <c r="D274">
        <v>3</v>
      </c>
      <c r="E274">
        <v>3075000</v>
      </c>
      <c r="F274">
        <v>6050000</v>
      </c>
      <c r="G274">
        <v>4562500</v>
      </c>
      <c r="H274">
        <v>-91305364.315493271</v>
      </c>
      <c r="I274">
        <v>-3.2178058568296645E-6</v>
      </c>
      <c r="J274">
        <v>7.6989983892975265E-6</v>
      </c>
      <c r="K274">
        <v>-19.425271745924306</v>
      </c>
      <c r="L274">
        <v>-2101.2134644491675</v>
      </c>
      <c r="M274">
        <v>0</v>
      </c>
    </row>
    <row r="275" spans="1:13" x14ac:dyDescent="0.15">
      <c r="A275">
        <v>239</v>
      </c>
      <c r="B275" t="s">
        <v>192</v>
      </c>
      <c r="C275" t="s">
        <v>464</v>
      </c>
      <c r="D275">
        <v>4</v>
      </c>
      <c r="E275">
        <v>4562500</v>
      </c>
      <c r="F275">
        <v>6050000</v>
      </c>
      <c r="G275">
        <v>5306250</v>
      </c>
      <c r="H275">
        <v>6886516631.480195</v>
      </c>
      <c r="I275">
        <v>2.4830358471778775E-5</v>
      </c>
      <c r="J275">
        <v>3.5747162717905964E-5</v>
      </c>
      <c r="K275">
        <v>1465.1105983992081</v>
      </c>
      <c r="L275">
        <v>129681.23215981522</v>
      </c>
      <c r="M275">
        <v>0</v>
      </c>
    </row>
    <row r="276" spans="1:13" x14ac:dyDescent="0.15">
      <c r="A276">
        <v>239</v>
      </c>
      <c r="B276" t="s">
        <v>192</v>
      </c>
      <c r="C276" t="s">
        <v>464</v>
      </c>
      <c r="D276">
        <v>5</v>
      </c>
      <c r="E276">
        <v>4562500</v>
      </c>
      <c r="F276">
        <v>5306250</v>
      </c>
      <c r="G276">
        <v>4934375</v>
      </c>
      <c r="H276">
        <v>700533322.41765904</v>
      </c>
      <c r="I276">
        <v>4.1982342247562178E-6</v>
      </c>
      <c r="J276">
        <v>1.5115038470883409E-5</v>
      </c>
      <c r="K276">
        <v>149.03889007022048</v>
      </c>
      <c r="L276">
        <v>14097.002100927859</v>
      </c>
      <c r="M276">
        <v>0</v>
      </c>
    </row>
    <row r="277" spans="1:13" x14ac:dyDescent="0.15">
      <c r="A277">
        <v>239</v>
      </c>
      <c r="B277" t="s">
        <v>192</v>
      </c>
      <c r="C277" t="s">
        <v>464</v>
      </c>
      <c r="D277">
        <v>6</v>
      </c>
      <c r="E277">
        <v>4562500</v>
      </c>
      <c r="F277">
        <v>4934375</v>
      </c>
      <c r="G277">
        <v>4748437.5</v>
      </c>
      <c r="H277">
        <v>-76147040.464317381</v>
      </c>
      <c r="I277">
        <v>-1.0486419757097737E-6</v>
      </c>
      <c r="J277">
        <v>9.8681622704174174E-6</v>
      </c>
      <c r="K277">
        <v>-16.200329134618688</v>
      </c>
      <c r="L277">
        <v>-1703.6230963199448</v>
      </c>
      <c r="M277">
        <v>0</v>
      </c>
    </row>
    <row r="278" spans="1:13" x14ac:dyDescent="0.15">
      <c r="A278">
        <v>239</v>
      </c>
      <c r="B278" t="s">
        <v>192</v>
      </c>
      <c r="C278" t="s">
        <v>464</v>
      </c>
      <c r="D278">
        <v>7</v>
      </c>
      <c r="E278">
        <v>4748437.5</v>
      </c>
      <c r="F278">
        <v>4934375</v>
      </c>
      <c r="G278">
        <v>4841406.25</v>
      </c>
      <c r="H278">
        <v>152677493.65298903</v>
      </c>
      <c r="I278">
        <v>1.292358490439027E-6</v>
      </c>
      <c r="J278">
        <v>1.2209162736566218E-5</v>
      </c>
      <c r="K278">
        <v>32.482229559350102</v>
      </c>
      <c r="L278">
        <v>3053.5774064196539</v>
      </c>
      <c r="M278">
        <v>0</v>
      </c>
    </row>
    <row r="279" spans="1:13" x14ac:dyDescent="0.15">
      <c r="A279">
        <v>239</v>
      </c>
      <c r="B279" t="s">
        <v>192</v>
      </c>
      <c r="C279" t="s">
        <v>464</v>
      </c>
      <c r="D279">
        <v>8</v>
      </c>
      <c r="E279">
        <v>4748437.5</v>
      </c>
      <c r="F279">
        <v>4841406.25</v>
      </c>
      <c r="G279">
        <v>4794921.875</v>
      </c>
      <c r="H279">
        <v>5567971.158198121</v>
      </c>
      <c r="I279">
        <v>5.88537726272982E-8</v>
      </c>
      <c r="J279">
        <v>1.0975658018754489E-5</v>
      </c>
      <c r="K279">
        <v>1.1845892476562216</v>
      </c>
      <c r="L279">
        <v>16.122249816596252</v>
      </c>
      <c r="M279">
        <v>0</v>
      </c>
    </row>
    <row r="280" spans="1:13" x14ac:dyDescent="0.15">
      <c r="A280">
        <v>239</v>
      </c>
      <c r="B280" t="s">
        <v>192</v>
      </c>
      <c r="C280" t="s">
        <v>464</v>
      </c>
      <c r="D280">
        <v>9</v>
      </c>
      <c r="E280">
        <v>4748437.5</v>
      </c>
      <c r="F280">
        <v>4794921.875</v>
      </c>
      <c r="G280">
        <v>4771679.6875</v>
      </c>
      <c r="H280">
        <v>-42526140.373833433</v>
      </c>
      <c r="I280">
        <v>-5.0984375316450097E-7</v>
      </c>
      <c r="J280">
        <v>1.040696049296269E-5</v>
      </c>
      <c r="K280">
        <v>-9.0474622083826759</v>
      </c>
      <c r="L280">
        <v>-991.21951092475615</v>
      </c>
      <c r="M280">
        <v>0</v>
      </c>
    </row>
    <row r="281" spans="1:13" x14ac:dyDescent="0.15">
      <c r="A281">
        <v>239</v>
      </c>
      <c r="B281" t="s">
        <v>192</v>
      </c>
      <c r="C281" t="s">
        <v>464</v>
      </c>
      <c r="D281">
        <v>10</v>
      </c>
      <c r="E281">
        <v>4771679.6875</v>
      </c>
      <c r="F281">
        <v>4794921.875</v>
      </c>
      <c r="G281">
        <v>4783300.78125</v>
      </c>
      <c r="H281">
        <v>-20401563.500679947</v>
      </c>
      <c r="I281">
        <v>-2.2933559573588541E-7</v>
      </c>
      <c r="J281">
        <v>1.0687468650391306E-5</v>
      </c>
      <c r="K281">
        <v>-4.3404450331423856</v>
      </c>
      <c r="L281">
        <v>-526.51642524032309</v>
      </c>
      <c r="M281">
        <v>0</v>
      </c>
    </row>
    <row r="282" spans="1:13" x14ac:dyDescent="0.15">
      <c r="A282">
        <v>239</v>
      </c>
      <c r="B282" t="s">
        <v>192</v>
      </c>
      <c r="C282" t="s">
        <v>464</v>
      </c>
      <c r="D282">
        <v>11</v>
      </c>
      <c r="E282">
        <v>4783300.78125</v>
      </c>
      <c r="F282">
        <v>4794921.875</v>
      </c>
      <c r="G282">
        <v>4789111.328125</v>
      </c>
      <c r="H282">
        <v>-7912022.5332803791</v>
      </c>
      <c r="I282">
        <v>-8.6214857559578889E-8</v>
      </c>
      <c r="J282">
        <v>1.0830589388567612E-5</v>
      </c>
      <c r="K282">
        <v>-1.6832876022243544</v>
      </c>
      <c r="L282">
        <v>-265.20857401696776</v>
      </c>
      <c r="M282">
        <v>0</v>
      </c>
    </row>
    <row r="283" spans="1:13" x14ac:dyDescent="0.15">
      <c r="A283">
        <v>239</v>
      </c>
      <c r="B283" t="s">
        <v>192</v>
      </c>
      <c r="C283" t="s">
        <v>464</v>
      </c>
      <c r="D283">
        <v>12</v>
      </c>
      <c r="E283">
        <v>4789111.328125</v>
      </c>
      <c r="F283">
        <v>4794921.875</v>
      </c>
      <c r="G283">
        <v>4792016.6015625</v>
      </c>
      <c r="H283">
        <v>-1297637.5796980746</v>
      </c>
      <c r="I283">
        <v>-1.3925255253875057E-8</v>
      </c>
      <c r="J283">
        <v>1.0902878990873316E-5</v>
      </c>
      <c r="K283">
        <v>-0.27607318367691275</v>
      </c>
      <c r="L283">
        <v>-127.07915451033627</v>
      </c>
      <c r="M283">
        <v>0</v>
      </c>
    </row>
    <row r="284" spans="1:13" x14ac:dyDescent="0.15">
      <c r="A284">
        <v>239</v>
      </c>
      <c r="B284" t="s">
        <v>192</v>
      </c>
      <c r="C284" t="s">
        <v>464</v>
      </c>
      <c r="D284">
        <v>13</v>
      </c>
      <c r="E284">
        <v>4792016.6015625</v>
      </c>
      <c r="F284">
        <v>4794921.875</v>
      </c>
      <c r="G284">
        <v>4793469.23828125</v>
      </c>
      <c r="H284">
        <v>2103524.8175363904</v>
      </c>
      <c r="I284">
        <v>2.2402796628070239E-8</v>
      </c>
      <c r="J284">
        <v>1.0939207042755261E-5</v>
      </c>
      <c r="K284">
        <v>0.44752618327822147</v>
      </c>
      <c r="L284">
        <v>-56.116859982382366</v>
      </c>
      <c r="M284">
        <v>0</v>
      </c>
    </row>
    <row r="285" spans="1:13" x14ac:dyDescent="0.15">
      <c r="A285">
        <v>239</v>
      </c>
      <c r="B285" t="s">
        <v>192</v>
      </c>
      <c r="C285" t="s">
        <v>464</v>
      </c>
      <c r="D285">
        <v>14</v>
      </c>
      <c r="E285">
        <v>4793469.23828125</v>
      </c>
      <c r="F285">
        <v>4794921.875</v>
      </c>
      <c r="G285">
        <v>4794195.556640625</v>
      </c>
      <c r="H285">
        <v>3827808.3457002519</v>
      </c>
      <c r="I285">
        <v>4.0612892796436969E-8</v>
      </c>
      <c r="J285">
        <v>1.0957417138923628E-5</v>
      </c>
      <c r="K285">
        <v>0.81436855177113754</v>
      </c>
      <c r="L285">
        <v>-20.157442463976942</v>
      </c>
      <c r="M285">
        <v>0</v>
      </c>
    </row>
    <row r="286" spans="1:13" x14ac:dyDescent="0.15">
      <c r="A286">
        <v>239</v>
      </c>
      <c r="B286" t="s">
        <v>192</v>
      </c>
      <c r="C286" t="s">
        <v>464</v>
      </c>
      <c r="D286">
        <v>15</v>
      </c>
      <c r="E286">
        <v>4794195.556640625</v>
      </c>
      <c r="F286">
        <v>4794921.875</v>
      </c>
      <c r="G286">
        <v>4794558.7158203125</v>
      </c>
      <c r="H286">
        <v>4695901.1910720486</v>
      </c>
      <c r="I286">
        <v>4.9729481460313523E-8</v>
      </c>
      <c r="J286">
        <v>1.0966533727587505E-5</v>
      </c>
      <c r="K286">
        <v>0.99905583217858662</v>
      </c>
      <c r="L286">
        <v>-2.0576977068344093</v>
      </c>
      <c r="M286">
        <v>0</v>
      </c>
    </row>
    <row r="287" spans="1:13" x14ac:dyDescent="0.15">
      <c r="A287">
        <v>239</v>
      </c>
      <c r="B287" t="s">
        <v>192</v>
      </c>
      <c r="C287" t="s">
        <v>464</v>
      </c>
      <c r="D287">
        <v>16</v>
      </c>
      <c r="E287">
        <v>4794558.7158203125</v>
      </c>
      <c r="F287">
        <v>4794921.875</v>
      </c>
      <c r="G287">
        <v>4794740.2954101563</v>
      </c>
      <c r="H287">
        <v>5131438.5777003551</v>
      </c>
      <c r="I287">
        <v>5.4290663818892145E-8</v>
      </c>
      <c r="J287">
        <v>1.0971094909946083E-5</v>
      </c>
      <c r="K287">
        <v>1.0917166758671424</v>
      </c>
      <c r="L287">
        <v>7.0222423227491335</v>
      </c>
      <c r="M287">
        <v>0</v>
      </c>
    </row>
    <row r="288" spans="1:13" x14ac:dyDescent="0.15">
      <c r="A288">
        <v>239</v>
      </c>
      <c r="B288" t="s">
        <v>192</v>
      </c>
      <c r="C288" t="s">
        <v>464</v>
      </c>
      <c r="D288">
        <v>17</v>
      </c>
      <c r="E288">
        <v>4794558.7158203125</v>
      </c>
      <c r="F288">
        <v>4794740.2954101563</v>
      </c>
      <c r="G288">
        <v>4794649.5056152344</v>
      </c>
      <c r="H288">
        <v>4913545.5422505196</v>
      </c>
      <c r="I288">
        <v>5.2009831884782952E-8</v>
      </c>
      <c r="J288">
        <v>1.0968814078011974E-5</v>
      </c>
      <c r="K288">
        <v>1.0453598001579334</v>
      </c>
      <c r="L288">
        <v>2.4797649232971177</v>
      </c>
      <c r="M288">
        <v>0</v>
      </c>
    </row>
    <row r="289" spans="1:15" x14ac:dyDescent="0.15">
      <c r="A289">
        <v>239</v>
      </c>
      <c r="B289" t="s">
        <v>192</v>
      </c>
      <c r="C289" t="s">
        <v>464</v>
      </c>
      <c r="D289">
        <v>18</v>
      </c>
      <c r="E289">
        <v>4794558.7158203125</v>
      </c>
      <c r="F289">
        <v>4794649.5056152344</v>
      </c>
      <c r="G289">
        <v>4794604.1107177734</v>
      </c>
      <c r="H289">
        <v>4804692.2883163076</v>
      </c>
      <c r="I289">
        <v>5.0869596490826842E-8</v>
      </c>
      <c r="J289">
        <v>1.0967673842618018E-5</v>
      </c>
      <c r="K289">
        <v>1.0222012042314794</v>
      </c>
      <c r="L289">
        <v>0.21040689419973627</v>
      </c>
      <c r="M289">
        <v>0</v>
      </c>
    </row>
    <row r="290" spans="1:15" x14ac:dyDescent="0.15">
      <c r="A290">
        <v>239</v>
      </c>
      <c r="B290" t="s">
        <v>192</v>
      </c>
      <c r="C290" t="s">
        <v>465</v>
      </c>
      <c r="D290">
        <v>18</v>
      </c>
      <c r="E290">
        <v>4794558.7158203125</v>
      </c>
      <c r="F290">
        <v>4794649.5056152344</v>
      </c>
      <c r="G290">
        <v>4794604.1107177734</v>
      </c>
      <c r="H290">
        <v>4804692.2883163076</v>
      </c>
      <c r="I290">
        <v>5.0869596490826842E-8</v>
      </c>
      <c r="J290">
        <v>1.0967673842618018E-5</v>
      </c>
      <c r="K290">
        <v>1.0222012042314794</v>
      </c>
      <c r="L290">
        <v>0.21040689419973627</v>
      </c>
      <c r="M290">
        <v>0</v>
      </c>
      <c r="N290" t="s">
        <v>466</v>
      </c>
      <c r="O290" t="s">
        <v>467</v>
      </c>
    </row>
    <row r="291" spans="1:15" x14ac:dyDescent="0.15">
      <c r="A291">
        <v>240</v>
      </c>
      <c r="B291" t="s">
        <v>193</v>
      </c>
      <c r="C291" t="s">
        <v>461</v>
      </c>
      <c r="D291">
        <v>0</v>
      </c>
      <c r="E291">
        <v>100000</v>
      </c>
      <c r="F291">
        <v>12000000</v>
      </c>
      <c r="G291">
        <v>100000</v>
      </c>
      <c r="H291">
        <v>2458.5445051352754</v>
      </c>
      <c r="I291">
        <v>-7.1190925396971103E-5</v>
      </c>
      <c r="J291">
        <v>-4.5366076711531264E-5</v>
      </c>
      <c r="K291">
        <v>1.1684478080566745E-3</v>
      </c>
      <c r="L291">
        <v>-97.541455494864721</v>
      </c>
      <c r="M291">
        <v>0</v>
      </c>
      <c r="O291" t="s">
        <v>462</v>
      </c>
    </row>
    <row r="292" spans="1:15" x14ac:dyDescent="0.15">
      <c r="A292">
        <v>240</v>
      </c>
      <c r="B292" t="s">
        <v>193</v>
      </c>
      <c r="C292" t="s">
        <v>461</v>
      </c>
      <c r="D292">
        <v>0</v>
      </c>
      <c r="E292">
        <v>100000</v>
      </c>
      <c r="F292">
        <v>12000000</v>
      </c>
      <c r="G292">
        <v>12000000</v>
      </c>
      <c r="H292">
        <v>1.4567380032979699E+18</v>
      </c>
      <c r="I292">
        <v>536.87089617515142</v>
      </c>
      <c r="J292">
        <v>536.87092200000006</v>
      </c>
      <c r="K292">
        <v>692329271774.85217</v>
      </c>
      <c r="L292">
        <v>12139483360716.416</v>
      </c>
      <c r="M292">
        <v>5</v>
      </c>
      <c r="O292" t="s">
        <v>463</v>
      </c>
    </row>
    <row r="293" spans="1:15" x14ac:dyDescent="0.15">
      <c r="A293">
        <v>240</v>
      </c>
      <c r="B293" t="s">
        <v>193</v>
      </c>
      <c r="C293" t="s">
        <v>464</v>
      </c>
      <c r="D293">
        <v>1</v>
      </c>
      <c r="E293">
        <v>100000</v>
      </c>
      <c r="F293">
        <v>12000000</v>
      </c>
      <c r="G293">
        <v>6050000</v>
      </c>
      <c r="H293">
        <v>1.4567380032979699E+18</v>
      </c>
      <c r="I293">
        <v>536.87089617515142</v>
      </c>
      <c r="J293">
        <v>536.87092200000006</v>
      </c>
      <c r="K293">
        <v>692329271774.85217</v>
      </c>
      <c r="L293">
        <v>24078314103998.676</v>
      </c>
      <c r="M293">
        <v>5</v>
      </c>
    </row>
    <row r="294" spans="1:15" x14ac:dyDescent="0.15">
      <c r="A294">
        <v>240</v>
      </c>
      <c r="B294" t="s">
        <v>193</v>
      </c>
      <c r="C294" t="s">
        <v>464</v>
      </c>
      <c r="D294">
        <v>2</v>
      </c>
      <c r="E294">
        <v>100000</v>
      </c>
      <c r="F294">
        <v>6050000</v>
      </c>
      <c r="G294">
        <v>3075000</v>
      </c>
      <c r="H294">
        <v>-110804635.22065094</v>
      </c>
      <c r="I294">
        <v>-8.6264744543484441E-6</v>
      </c>
      <c r="J294">
        <v>1.7198374231091391E-5</v>
      </c>
      <c r="K294">
        <v>-52.661008525841282</v>
      </c>
      <c r="L294">
        <v>-3703.4027714032827</v>
      </c>
      <c r="M294">
        <v>0</v>
      </c>
    </row>
    <row r="295" spans="1:15" x14ac:dyDescent="0.15">
      <c r="A295">
        <v>240</v>
      </c>
      <c r="B295" t="s">
        <v>193</v>
      </c>
      <c r="C295" t="s">
        <v>464</v>
      </c>
      <c r="D295">
        <v>3</v>
      </c>
      <c r="E295">
        <v>3075000</v>
      </c>
      <c r="F295">
        <v>6050000</v>
      </c>
      <c r="G295">
        <v>4562500</v>
      </c>
      <c r="H295">
        <v>1.4567380032979699E+18</v>
      </c>
      <c r="I295">
        <v>536.87089617515142</v>
      </c>
      <c r="J295">
        <v>536.87092200000006</v>
      </c>
      <c r="K295">
        <v>692329271774.85217</v>
      </c>
      <c r="L295">
        <v>31928504181773.313</v>
      </c>
      <c r="M295">
        <v>5</v>
      </c>
    </row>
    <row r="296" spans="1:15" x14ac:dyDescent="0.15">
      <c r="A296">
        <v>240</v>
      </c>
      <c r="B296" t="s">
        <v>193</v>
      </c>
      <c r="C296" t="s">
        <v>464</v>
      </c>
      <c r="D296">
        <v>4</v>
      </c>
      <c r="E296">
        <v>3075000</v>
      </c>
      <c r="F296">
        <v>4562500</v>
      </c>
      <c r="G296">
        <v>3818750</v>
      </c>
      <c r="H296">
        <v>3877816159772899.5</v>
      </c>
      <c r="I296">
        <v>3.0341098187191524</v>
      </c>
      <c r="J296">
        <v>3.0341356435678377</v>
      </c>
      <c r="K296">
        <v>1842970823.7818077</v>
      </c>
      <c r="L296">
        <v>101546740581.45073</v>
      </c>
      <c r="M296">
        <v>0</v>
      </c>
    </row>
    <row r="297" spans="1:15" x14ac:dyDescent="0.15">
      <c r="A297">
        <v>240</v>
      </c>
      <c r="B297" t="s">
        <v>193</v>
      </c>
      <c r="C297" t="s">
        <v>464</v>
      </c>
      <c r="D297">
        <v>5</v>
      </c>
      <c r="E297">
        <v>3075000</v>
      </c>
      <c r="F297">
        <v>3818750</v>
      </c>
      <c r="G297">
        <v>3446875</v>
      </c>
      <c r="H297">
        <v>2465976564340.2725</v>
      </c>
      <c r="I297">
        <v>6.5865544041866968E-3</v>
      </c>
      <c r="J297">
        <v>6.6123792528721363E-3</v>
      </c>
      <c r="K297">
        <v>1171979.9683528529</v>
      </c>
      <c r="L297">
        <v>71542284.459554598</v>
      </c>
      <c r="M297">
        <v>0</v>
      </c>
    </row>
    <row r="298" spans="1:15" x14ac:dyDescent="0.15">
      <c r="A298">
        <v>240</v>
      </c>
      <c r="B298" t="s">
        <v>193</v>
      </c>
      <c r="C298" t="s">
        <v>464</v>
      </c>
      <c r="D298">
        <v>6</v>
      </c>
      <c r="E298">
        <v>3075000</v>
      </c>
      <c r="F298">
        <v>3446875</v>
      </c>
      <c r="G298">
        <v>3260937.5</v>
      </c>
      <c r="H298">
        <v>48759885839.990944</v>
      </c>
      <c r="I298">
        <v>3.0516710347017434E-4</v>
      </c>
      <c r="J298">
        <v>3.3099195215561416E-4</v>
      </c>
      <c r="K298">
        <v>23173.622284171859</v>
      </c>
      <c r="L298">
        <v>1495172.0142594252</v>
      </c>
      <c r="M298">
        <v>0</v>
      </c>
    </row>
    <row r="299" spans="1:15" x14ac:dyDescent="0.15">
      <c r="A299">
        <v>240</v>
      </c>
      <c r="B299" t="s">
        <v>193</v>
      </c>
      <c r="C299" t="s">
        <v>464</v>
      </c>
      <c r="D299">
        <v>7</v>
      </c>
      <c r="E299">
        <v>3075000</v>
      </c>
      <c r="F299">
        <v>3260937.5</v>
      </c>
      <c r="G299">
        <v>3167968.75</v>
      </c>
      <c r="H299">
        <v>4438697375.3934174</v>
      </c>
      <c r="I299">
        <v>4.9301421587289216E-5</v>
      </c>
      <c r="J299">
        <v>7.5126270272729055E-5</v>
      </c>
      <c r="K299">
        <v>2109.5352181228805</v>
      </c>
      <c r="L299">
        <v>140011.779050643</v>
      </c>
      <c r="M299">
        <v>0</v>
      </c>
    </row>
    <row r="300" spans="1:15" x14ac:dyDescent="0.15">
      <c r="A300">
        <v>240</v>
      </c>
      <c r="B300" t="s">
        <v>193</v>
      </c>
      <c r="C300" t="s">
        <v>464</v>
      </c>
      <c r="D300">
        <v>8</v>
      </c>
      <c r="E300">
        <v>3075000</v>
      </c>
      <c r="F300">
        <v>3167968.75</v>
      </c>
      <c r="G300">
        <v>3121484.375</v>
      </c>
      <c r="H300">
        <v>604744225.21748149</v>
      </c>
      <c r="I300">
        <v>1.0083396863944277E-5</v>
      </c>
      <c r="J300">
        <v>3.5908245549384112E-5</v>
      </c>
      <c r="K300">
        <v>287.4107273284518</v>
      </c>
      <c r="L300">
        <v>19273.610518793052</v>
      </c>
      <c r="M300">
        <v>0</v>
      </c>
    </row>
    <row r="301" spans="1:15" x14ac:dyDescent="0.15">
      <c r="A301">
        <v>240</v>
      </c>
      <c r="B301" t="s">
        <v>193</v>
      </c>
      <c r="C301" t="s">
        <v>464</v>
      </c>
      <c r="D301">
        <v>9</v>
      </c>
      <c r="E301">
        <v>3075000</v>
      </c>
      <c r="F301">
        <v>3121484.375</v>
      </c>
      <c r="G301">
        <v>3098242.1875</v>
      </c>
      <c r="H301">
        <v>-39971650.204353757</v>
      </c>
      <c r="I301">
        <v>-9.8026320464553873E-7</v>
      </c>
      <c r="J301">
        <v>2.4844585480794297E-5</v>
      </c>
      <c r="K301">
        <v>-18.996925607053615</v>
      </c>
      <c r="L301">
        <v>-1390.1396270963326</v>
      </c>
      <c r="M301">
        <v>0</v>
      </c>
    </row>
    <row r="302" spans="1:15" x14ac:dyDescent="0.15">
      <c r="A302">
        <v>240</v>
      </c>
      <c r="B302" t="s">
        <v>193</v>
      </c>
      <c r="C302" t="s">
        <v>464</v>
      </c>
      <c r="D302">
        <v>10</v>
      </c>
      <c r="E302">
        <v>3098242.1875</v>
      </c>
      <c r="F302">
        <v>3121484.375</v>
      </c>
      <c r="G302">
        <v>3109863.28125</v>
      </c>
      <c r="H302">
        <v>211817589.20162407</v>
      </c>
      <c r="I302">
        <v>4.0416787119779776E-6</v>
      </c>
      <c r="J302">
        <v>2.9866527397417813E-5</v>
      </c>
      <c r="K302">
        <v>100.66842283860498</v>
      </c>
      <c r="L302">
        <v>6711.1543834970335</v>
      </c>
      <c r="M302">
        <v>0</v>
      </c>
    </row>
    <row r="303" spans="1:15" x14ac:dyDescent="0.15">
      <c r="A303">
        <v>240</v>
      </c>
      <c r="B303" t="s">
        <v>193</v>
      </c>
      <c r="C303" t="s">
        <v>464</v>
      </c>
      <c r="D303">
        <v>11</v>
      </c>
      <c r="E303">
        <v>3098242.1875</v>
      </c>
      <c r="F303">
        <v>3109863.28125</v>
      </c>
      <c r="G303">
        <v>3104052.734375</v>
      </c>
      <c r="H303">
        <v>68666013.339691162</v>
      </c>
      <c r="I303">
        <v>1.4148142854262003E-6</v>
      </c>
      <c r="J303">
        <v>2.7239662970866036E-5</v>
      </c>
      <c r="K303">
        <v>32.634208006878403</v>
      </c>
      <c r="L303">
        <v>2112.1406823817069</v>
      </c>
      <c r="M303">
        <v>0</v>
      </c>
    </row>
    <row r="304" spans="1:15" x14ac:dyDescent="0.15">
      <c r="A304">
        <v>240</v>
      </c>
      <c r="B304" t="s">
        <v>193</v>
      </c>
      <c r="C304" t="s">
        <v>464</v>
      </c>
      <c r="D304">
        <v>12</v>
      </c>
      <c r="E304">
        <v>3098242.1875</v>
      </c>
      <c r="F304">
        <v>3104052.734375</v>
      </c>
      <c r="G304">
        <v>3101147.4609375</v>
      </c>
      <c r="H304">
        <v>8458125.0352114867</v>
      </c>
      <c r="I304">
        <v>1.8965819647032652E-7</v>
      </c>
      <c r="J304">
        <v>2.6014506881910162E-5</v>
      </c>
      <c r="K304">
        <v>4.0198083203372246</v>
      </c>
      <c r="L304">
        <v>172.7417880559131</v>
      </c>
      <c r="M304">
        <v>0</v>
      </c>
    </row>
    <row r="305" spans="1:15" x14ac:dyDescent="0.15">
      <c r="A305">
        <v>240</v>
      </c>
      <c r="B305" t="s">
        <v>193</v>
      </c>
      <c r="C305" t="s">
        <v>464</v>
      </c>
      <c r="D305">
        <v>13</v>
      </c>
      <c r="E305">
        <v>3098242.1875</v>
      </c>
      <c r="F305">
        <v>3101147.4609375</v>
      </c>
      <c r="G305">
        <v>3099694.82421875</v>
      </c>
      <c r="H305">
        <v>-17159211.152049392</v>
      </c>
      <c r="I305">
        <v>-4.0205694920008309E-7</v>
      </c>
      <c r="J305">
        <v>2.5422791736239752E-5</v>
      </c>
      <c r="K305">
        <v>-8.1550863190457363</v>
      </c>
      <c r="L305">
        <v>-653.57743665537191</v>
      </c>
      <c r="M305">
        <v>0</v>
      </c>
    </row>
    <row r="306" spans="1:15" x14ac:dyDescent="0.15">
      <c r="A306">
        <v>240</v>
      </c>
      <c r="B306" t="s">
        <v>193</v>
      </c>
      <c r="C306" t="s">
        <v>464</v>
      </c>
      <c r="D306">
        <v>14</v>
      </c>
      <c r="E306">
        <v>3099694.82421875</v>
      </c>
      <c r="F306">
        <v>3101147.4609375</v>
      </c>
      <c r="G306">
        <v>3100421.142578125</v>
      </c>
      <c r="H306">
        <v>-4708623.7273394996</v>
      </c>
      <c r="I306">
        <v>-1.0790779458304619E-7</v>
      </c>
      <c r="J306">
        <v>2.5716940890856789E-5</v>
      </c>
      <c r="K306">
        <v>-2.2378204102800101</v>
      </c>
      <c r="L306">
        <v>-251.87045600598921</v>
      </c>
      <c r="M306">
        <v>0</v>
      </c>
    </row>
    <row r="307" spans="1:15" x14ac:dyDescent="0.15">
      <c r="A307">
        <v>240</v>
      </c>
      <c r="B307" t="s">
        <v>193</v>
      </c>
      <c r="C307" t="s">
        <v>464</v>
      </c>
      <c r="D307">
        <v>15</v>
      </c>
      <c r="E307">
        <v>3100421.142578125</v>
      </c>
      <c r="F307">
        <v>3101147.4609375</v>
      </c>
      <c r="G307">
        <v>3100784.3017578125</v>
      </c>
      <c r="H307">
        <v>1784216.9462271433</v>
      </c>
      <c r="I307">
        <v>4.0444086095733049E-8</v>
      </c>
      <c r="J307">
        <v>2.5865292771535568E-5</v>
      </c>
      <c r="K307">
        <v>0.84796690707129174</v>
      </c>
      <c r="L307">
        <v>-42.459172499819374</v>
      </c>
      <c r="M307">
        <v>0</v>
      </c>
    </row>
    <row r="308" spans="1:15" x14ac:dyDescent="0.15">
      <c r="A308">
        <v>240</v>
      </c>
      <c r="B308" t="s">
        <v>193</v>
      </c>
      <c r="C308" t="s">
        <v>464</v>
      </c>
      <c r="D308">
        <v>16</v>
      </c>
      <c r="E308">
        <v>3100784.3017578125</v>
      </c>
      <c r="F308">
        <v>3101147.4609375</v>
      </c>
      <c r="G308">
        <v>3100965.8813476563</v>
      </c>
      <c r="H308">
        <v>5098400.7976658922</v>
      </c>
      <c r="I308">
        <v>1.1494266783914562E-7</v>
      </c>
      <c r="J308">
        <v>2.5939791353278981E-5</v>
      </c>
      <c r="K308">
        <v>2.4230658522487603</v>
      </c>
      <c r="L308">
        <v>64.41331484273428</v>
      </c>
      <c r="M308">
        <v>0</v>
      </c>
    </row>
    <row r="309" spans="1:15" x14ac:dyDescent="0.15">
      <c r="A309">
        <v>240</v>
      </c>
      <c r="B309" t="s">
        <v>193</v>
      </c>
      <c r="C309" t="s">
        <v>464</v>
      </c>
      <c r="D309">
        <v>17</v>
      </c>
      <c r="E309">
        <v>3100784.3017578125</v>
      </c>
      <c r="F309">
        <v>3100965.8813476563</v>
      </c>
      <c r="G309">
        <v>3100875.0915527344</v>
      </c>
      <c r="H309">
        <v>3435639.9167017355</v>
      </c>
      <c r="I309">
        <v>7.7666489457102179E-8</v>
      </c>
      <c r="J309">
        <v>2.5902515174896938E-5</v>
      </c>
      <c r="K309">
        <v>1.6328221521136457</v>
      </c>
      <c r="L309">
        <v>10.795817801915094</v>
      </c>
      <c r="M309">
        <v>0</v>
      </c>
    </row>
    <row r="310" spans="1:15" x14ac:dyDescent="0.15">
      <c r="A310">
        <v>240</v>
      </c>
      <c r="B310" t="s">
        <v>193</v>
      </c>
      <c r="C310" t="s">
        <v>464</v>
      </c>
      <c r="D310">
        <v>18</v>
      </c>
      <c r="E310">
        <v>3100784.3017578125</v>
      </c>
      <c r="F310">
        <v>3100875.0915527344</v>
      </c>
      <c r="G310">
        <v>3100829.6966552734</v>
      </c>
      <c r="H310">
        <v>2608513.0530317449</v>
      </c>
      <c r="I310">
        <v>5.9048570737764417E-8</v>
      </c>
      <c r="J310">
        <v>2.58838972561776E-5</v>
      </c>
      <c r="K310">
        <v>1.2397218568693196</v>
      </c>
      <c r="L310">
        <v>-15.876932685292859</v>
      </c>
      <c r="M310">
        <v>0</v>
      </c>
    </row>
    <row r="311" spans="1:15" x14ac:dyDescent="0.15">
      <c r="A311">
        <v>240</v>
      </c>
      <c r="B311" t="s">
        <v>193</v>
      </c>
      <c r="C311" t="s">
        <v>464</v>
      </c>
      <c r="D311">
        <v>19</v>
      </c>
      <c r="E311">
        <v>3100829.6966552734</v>
      </c>
      <c r="F311">
        <v>3100875.0915527344</v>
      </c>
      <c r="G311">
        <v>3100852.3941040039</v>
      </c>
      <c r="H311">
        <v>3021722.4078649031</v>
      </c>
      <c r="I311">
        <v>6.8355850233353969E-8</v>
      </c>
      <c r="J311">
        <v>2.5893204535673189E-5</v>
      </c>
      <c r="K311">
        <v>1.436103725863288</v>
      </c>
      <c r="L311">
        <v>-2.5518785218399773</v>
      </c>
      <c r="M311">
        <v>0</v>
      </c>
    </row>
    <row r="312" spans="1:15" x14ac:dyDescent="0.15">
      <c r="A312">
        <v>240</v>
      </c>
      <c r="B312" t="s">
        <v>193</v>
      </c>
      <c r="C312" t="s">
        <v>464</v>
      </c>
      <c r="D312">
        <v>20</v>
      </c>
      <c r="E312">
        <v>3100852.3941040039</v>
      </c>
      <c r="F312">
        <v>3100875.0915527344</v>
      </c>
      <c r="G312">
        <v>3100863.7428283691</v>
      </c>
      <c r="H312">
        <v>3228661.2353331055</v>
      </c>
      <c r="I312">
        <v>7.3012293368926467E-8</v>
      </c>
      <c r="J312">
        <v>2.5897860978808762E-5</v>
      </c>
      <c r="K312">
        <v>1.5344534685065414</v>
      </c>
      <c r="L312">
        <v>4.1213514395885511</v>
      </c>
      <c r="M312">
        <v>0</v>
      </c>
    </row>
    <row r="313" spans="1:15" x14ac:dyDescent="0.15">
      <c r="A313">
        <v>240</v>
      </c>
      <c r="B313" t="s">
        <v>193</v>
      </c>
      <c r="C313" t="s">
        <v>464</v>
      </c>
      <c r="D313">
        <v>21</v>
      </c>
      <c r="E313">
        <v>3100852.3941040039</v>
      </c>
      <c r="F313">
        <v>3100863.7428283691</v>
      </c>
      <c r="G313">
        <v>3100858.0684661865</v>
      </c>
      <c r="H313">
        <v>3125203.9684920562</v>
      </c>
      <c r="I313">
        <v>7.0684738421390768E-8</v>
      </c>
      <c r="J313">
        <v>2.5895533423861226E-5</v>
      </c>
      <c r="K313">
        <v>1.4852843701170424</v>
      </c>
      <c r="L313">
        <v>0.7851342914870082</v>
      </c>
      <c r="M313">
        <v>0</v>
      </c>
    </row>
    <row r="314" spans="1:15" x14ac:dyDescent="0.15">
      <c r="A314">
        <v>240</v>
      </c>
      <c r="B314" t="s">
        <v>193</v>
      </c>
      <c r="C314" t="s">
        <v>465</v>
      </c>
      <c r="D314">
        <v>21</v>
      </c>
      <c r="E314">
        <v>3100852.3941040039</v>
      </c>
      <c r="F314">
        <v>3100863.7428283691</v>
      </c>
      <c r="G314">
        <v>3100858.0684661865</v>
      </c>
      <c r="H314">
        <v>3125203.9684920562</v>
      </c>
      <c r="I314">
        <v>7.0684738421390768E-8</v>
      </c>
      <c r="J314">
        <v>2.5895533423861226E-5</v>
      </c>
      <c r="K314">
        <v>1.4852843701170424</v>
      </c>
      <c r="L314">
        <v>0.7851342914870082</v>
      </c>
      <c r="M314">
        <v>0</v>
      </c>
      <c r="N314" t="s">
        <v>466</v>
      </c>
      <c r="O314" t="s">
        <v>467</v>
      </c>
    </row>
    <row r="315" spans="1:15" x14ac:dyDescent="0.15">
      <c r="A315">
        <v>241</v>
      </c>
      <c r="B315" t="s">
        <v>194</v>
      </c>
      <c r="C315" t="s">
        <v>461</v>
      </c>
      <c r="D315">
        <v>0</v>
      </c>
      <c r="E315">
        <v>100000</v>
      </c>
      <c r="F315">
        <v>12000000</v>
      </c>
      <c r="G315">
        <v>100000</v>
      </c>
      <c r="H315">
        <v>2366.2282567187772</v>
      </c>
      <c r="I315">
        <v>-6.7617942200508667E-5</v>
      </c>
      <c r="J315">
        <v>-4.3806753294277474E-5</v>
      </c>
      <c r="K315">
        <v>1.0950227509842522E-3</v>
      </c>
      <c r="L315">
        <v>-97.63377174328123</v>
      </c>
      <c r="M315">
        <v>0</v>
      </c>
      <c r="O315" t="s">
        <v>462</v>
      </c>
    </row>
    <row r="316" spans="1:15" x14ac:dyDescent="0.15">
      <c r="A316">
        <v>241</v>
      </c>
      <c r="B316" t="s">
        <v>194</v>
      </c>
      <c r="C316" t="s">
        <v>461</v>
      </c>
      <c r="D316">
        <v>0</v>
      </c>
      <c r="E316">
        <v>100000</v>
      </c>
      <c r="F316">
        <v>12000000</v>
      </c>
      <c r="G316">
        <v>12000000</v>
      </c>
      <c r="H316">
        <v>1.6530223433786138E+18</v>
      </c>
      <c r="I316">
        <v>536.87089818881111</v>
      </c>
      <c r="J316">
        <v>536.87092200000006</v>
      </c>
      <c r="K316">
        <v>764971455625.7251</v>
      </c>
      <c r="L316">
        <v>13775186194721.781</v>
      </c>
      <c r="M316">
        <v>5</v>
      </c>
      <c r="O316" t="s">
        <v>463</v>
      </c>
    </row>
    <row r="317" spans="1:15" x14ac:dyDescent="0.15">
      <c r="A317">
        <v>241</v>
      </c>
      <c r="B317" t="s">
        <v>194</v>
      </c>
      <c r="C317" t="s">
        <v>464</v>
      </c>
      <c r="D317">
        <v>1</v>
      </c>
      <c r="E317">
        <v>100000</v>
      </c>
      <c r="F317">
        <v>12000000</v>
      </c>
      <c r="G317">
        <v>6050000</v>
      </c>
      <c r="H317">
        <v>1.6530223433786138E+18</v>
      </c>
      <c r="I317">
        <v>536.87089818881122</v>
      </c>
      <c r="J317">
        <v>536.87092200000018</v>
      </c>
      <c r="K317">
        <v>764971455625.7251</v>
      </c>
      <c r="L317">
        <v>27322683361529.98</v>
      </c>
      <c r="M317">
        <v>5</v>
      </c>
    </row>
    <row r="318" spans="1:15" x14ac:dyDescent="0.15">
      <c r="A318">
        <v>241</v>
      </c>
      <c r="B318" t="s">
        <v>194</v>
      </c>
      <c r="C318" t="s">
        <v>464</v>
      </c>
      <c r="D318">
        <v>2</v>
      </c>
      <c r="E318">
        <v>100000</v>
      </c>
      <c r="F318">
        <v>6050000</v>
      </c>
      <c r="G318">
        <v>3075000</v>
      </c>
      <c r="H318">
        <v>-204887.34836053953</v>
      </c>
      <c r="I318">
        <v>-1.987872677912385E-5</v>
      </c>
      <c r="J318">
        <v>3.9324621271073424E-6</v>
      </c>
      <c r="K318">
        <v>-9.4816003995632794E-2</v>
      </c>
      <c r="L318">
        <v>-106.66300319871674</v>
      </c>
      <c r="M318">
        <v>0</v>
      </c>
    </row>
    <row r="319" spans="1:15" x14ac:dyDescent="0.15">
      <c r="A319">
        <v>241</v>
      </c>
      <c r="B319" t="s">
        <v>194</v>
      </c>
      <c r="C319" t="s">
        <v>464</v>
      </c>
      <c r="D319">
        <v>3</v>
      </c>
      <c r="E319">
        <v>3075000</v>
      </c>
      <c r="F319">
        <v>6050000</v>
      </c>
      <c r="G319">
        <v>4562500</v>
      </c>
      <c r="H319">
        <v>1.6530223433786138E+18</v>
      </c>
      <c r="I319">
        <v>536.87089818881111</v>
      </c>
      <c r="J319">
        <v>536.87092200000006</v>
      </c>
      <c r="K319">
        <v>764971455625.7251</v>
      </c>
      <c r="L319">
        <v>36230626704088.797</v>
      </c>
      <c r="M319">
        <v>5</v>
      </c>
    </row>
    <row r="320" spans="1:15" x14ac:dyDescent="0.15">
      <c r="A320">
        <v>241</v>
      </c>
      <c r="B320" t="s">
        <v>194</v>
      </c>
      <c r="C320" t="s">
        <v>464</v>
      </c>
      <c r="D320">
        <v>4</v>
      </c>
      <c r="E320">
        <v>3075000</v>
      </c>
      <c r="F320">
        <v>4562500</v>
      </c>
      <c r="G320">
        <v>3818750</v>
      </c>
      <c r="H320">
        <v>67531574185567.148</v>
      </c>
      <c r="I320">
        <v>8.8714147230499252E-2</v>
      </c>
      <c r="J320">
        <v>8.8737958419405488E-2</v>
      </c>
      <c r="K320">
        <v>31251680.784811765</v>
      </c>
      <c r="L320">
        <v>1768420827.9362919</v>
      </c>
      <c r="M320">
        <v>0</v>
      </c>
    </row>
    <row r="321" spans="1:15" x14ac:dyDescent="0.15">
      <c r="A321">
        <v>241</v>
      </c>
      <c r="B321" t="s">
        <v>194</v>
      </c>
      <c r="C321" t="s">
        <v>464</v>
      </c>
      <c r="D321">
        <v>5</v>
      </c>
      <c r="E321">
        <v>3075000</v>
      </c>
      <c r="F321">
        <v>3818750</v>
      </c>
      <c r="G321">
        <v>3446875</v>
      </c>
      <c r="H321">
        <v>47607749280.19619</v>
      </c>
      <c r="I321">
        <v>2.7135289428758944E-4</v>
      </c>
      <c r="J321">
        <v>2.9516408319382064E-4</v>
      </c>
      <c r="K321">
        <v>22031.504541856524</v>
      </c>
      <c r="L321">
        <v>1381085.8358715123</v>
      </c>
      <c r="M321">
        <v>0</v>
      </c>
    </row>
    <row r="322" spans="1:15" x14ac:dyDescent="0.15">
      <c r="A322">
        <v>241</v>
      </c>
      <c r="B322" t="s">
        <v>194</v>
      </c>
      <c r="C322" t="s">
        <v>464</v>
      </c>
      <c r="D322">
        <v>6</v>
      </c>
      <c r="E322">
        <v>3075000</v>
      </c>
      <c r="F322">
        <v>3446875</v>
      </c>
      <c r="G322">
        <v>3260937.5</v>
      </c>
      <c r="H322">
        <v>-134860249.0684076</v>
      </c>
      <c r="I322">
        <v>-5.8731114689364096E-6</v>
      </c>
      <c r="J322">
        <v>1.7938077437294783E-5</v>
      </c>
      <c r="K322">
        <v>-62.409465576278969</v>
      </c>
      <c r="L322">
        <v>-4235.6281458447947</v>
      </c>
      <c r="M322">
        <v>0</v>
      </c>
    </row>
    <row r="323" spans="1:15" x14ac:dyDescent="0.15">
      <c r="A323">
        <v>241</v>
      </c>
      <c r="B323" t="s">
        <v>194</v>
      </c>
      <c r="C323" t="s">
        <v>464</v>
      </c>
      <c r="D323">
        <v>7</v>
      </c>
      <c r="E323">
        <v>3260937.5</v>
      </c>
      <c r="F323">
        <v>3446875</v>
      </c>
      <c r="G323">
        <v>3353906.25</v>
      </c>
      <c r="H323">
        <v>4949362103.2846107</v>
      </c>
      <c r="I323">
        <v>4.8676593578202269E-5</v>
      </c>
      <c r="J323">
        <v>7.2487782484433462E-5</v>
      </c>
      <c r="K323">
        <v>2290.4232043409488</v>
      </c>
      <c r="L323">
        <v>147470.07901710464</v>
      </c>
      <c r="M323">
        <v>0</v>
      </c>
    </row>
    <row r="324" spans="1:15" x14ac:dyDescent="0.15">
      <c r="A324">
        <v>241</v>
      </c>
      <c r="B324" t="s">
        <v>194</v>
      </c>
      <c r="C324" t="s">
        <v>464</v>
      </c>
      <c r="D324">
        <v>8</v>
      </c>
      <c r="E324">
        <v>3260937.5</v>
      </c>
      <c r="F324">
        <v>3353906.25</v>
      </c>
      <c r="G324">
        <v>3307421.875</v>
      </c>
      <c r="H324">
        <v>853658844.91484761</v>
      </c>
      <c r="I324">
        <v>1.2215400938846472E-5</v>
      </c>
      <c r="J324">
        <v>3.6026589845077665E-5</v>
      </c>
      <c r="K324">
        <v>395.04889441939935</v>
      </c>
      <c r="L324">
        <v>25710.400885579424</v>
      </c>
      <c r="M324">
        <v>0</v>
      </c>
    </row>
    <row r="325" spans="1:15" x14ac:dyDescent="0.15">
      <c r="A325">
        <v>241</v>
      </c>
      <c r="B325" t="s">
        <v>194</v>
      </c>
      <c r="C325" t="s">
        <v>464</v>
      </c>
      <c r="D325">
        <v>9</v>
      </c>
      <c r="E325">
        <v>3260937.5</v>
      </c>
      <c r="F325">
        <v>3307421.875</v>
      </c>
      <c r="G325">
        <v>3284179.6875</v>
      </c>
      <c r="H325">
        <v>85690018.852982432</v>
      </c>
      <c r="I325">
        <v>1.6045205870380909E-6</v>
      </c>
      <c r="J325">
        <v>2.5415709493269284E-5</v>
      </c>
      <c r="K325">
        <v>39.654889552541221</v>
      </c>
      <c r="L325">
        <v>2509.1757152974728</v>
      </c>
      <c r="M325">
        <v>0</v>
      </c>
    </row>
    <row r="326" spans="1:15" x14ac:dyDescent="0.15">
      <c r="A326">
        <v>241</v>
      </c>
      <c r="B326" t="s">
        <v>194</v>
      </c>
      <c r="C326" t="s">
        <v>464</v>
      </c>
      <c r="D326">
        <v>10</v>
      </c>
      <c r="E326">
        <v>3260937.5</v>
      </c>
      <c r="F326">
        <v>3284179.6875</v>
      </c>
      <c r="G326">
        <v>3272558.59375</v>
      </c>
      <c r="H326">
        <v>-92531875.023952186</v>
      </c>
      <c r="I326">
        <v>-2.4603188740131862E-6</v>
      </c>
      <c r="J326">
        <v>2.1350870032218007E-5</v>
      </c>
      <c r="K326">
        <v>-42.821104876401371</v>
      </c>
      <c r="L326">
        <v>-2927.5085800043876</v>
      </c>
      <c r="M326">
        <v>0</v>
      </c>
    </row>
    <row r="327" spans="1:15" x14ac:dyDescent="0.15">
      <c r="A327">
        <v>241</v>
      </c>
      <c r="B327" t="s">
        <v>194</v>
      </c>
      <c r="C327" t="s">
        <v>464</v>
      </c>
      <c r="D327">
        <v>11</v>
      </c>
      <c r="E327">
        <v>3272558.59375</v>
      </c>
      <c r="F327">
        <v>3284179.6875</v>
      </c>
      <c r="G327">
        <v>3278369.140625</v>
      </c>
      <c r="H327">
        <v>-23444370.48366322</v>
      </c>
      <c r="I327">
        <v>-5.1669661758493255E-7</v>
      </c>
      <c r="J327">
        <v>2.329449228864626E-5</v>
      </c>
      <c r="K327">
        <v>-10.849384030986997</v>
      </c>
      <c r="L327">
        <v>-815.1229613878595</v>
      </c>
      <c r="M327">
        <v>0</v>
      </c>
    </row>
    <row r="328" spans="1:15" x14ac:dyDescent="0.15">
      <c r="A328">
        <v>241</v>
      </c>
      <c r="B328" t="s">
        <v>194</v>
      </c>
      <c r="C328" t="s">
        <v>464</v>
      </c>
      <c r="D328">
        <v>12</v>
      </c>
      <c r="E328">
        <v>3278369.140625</v>
      </c>
      <c r="F328">
        <v>3284179.6875</v>
      </c>
      <c r="G328">
        <v>3281274.4140625</v>
      </c>
      <c r="H328">
        <v>25700765.010754969</v>
      </c>
      <c r="I328">
        <v>5.2071792999584316E-7</v>
      </c>
      <c r="J328">
        <v>2.4331906836227036E-5</v>
      </c>
      <c r="K328">
        <v>11.893578873706041</v>
      </c>
      <c r="L328">
        <v>683.25558205707068</v>
      </c>
      <c r="M328">
        <v>0</v>
      </c>
    </row>
    <row r="329" spans="1:15" x14ac:dyDescent="0.15">
      <c r="A329">
        <v>241</v>
      </c>
      <c r="B329" t="s">
        <v>194</v>
      </c>
      <c r="C329" t="s">
        <v>464</v>
      </c>
      <c r="D329">
        <v>13</v>
      </c>
      <c r="E329">
        <v>3278369.140625</v>
      </c>
      <c r="F329">
        <v>3281274.4140625</v>
      </c>
      <c r="G329">
        <v>3279821.77734375</v>
      </c>
      <c r="H329">
        <v>-173386.76444559635</v>
      </c>
      <c r="I329">
        <v>-3.6612944760164789E-9</v>
      </c>
      <c r="J329">
        <v>2.3807527611755176E-5</v>
      </c>
      <c r="K329">
        <v>-8.0238434837539979E-2</v>
      </c>
      <c r="L329">
        <v>-105.28646908936675</v>
      </c>
      <c r="M329">
        <v>0</v>
      </c>
    </row>
    <row r="330" spans="1:15" x14ac:dyDescent="0.15">
      <c r="A330">
        <v>241</v>
      </c>
      <c r="B330" t="s">
        <v>194</v>
      </c>
      <c r="C330" t="s">
        <v>464</v>
      </c>
      <c r="D330">
        <v>14</v>
      </c>
      <c r="E330">
        <v>3279821.77734375</v>
      </c>
      <c r="F330">
        <v>3281274.4140625</v>
      </c>
      <c r="G330">
        <v>3280548.095703125</v>
      </c>
      <c r="H330">
        <v>12431609.923266187</v>
      </c>
      <c r="I330">
        <v>2.5709329998970716E-7</v>
      </c>
      <c r="J330">
        <v>2.40682822062209E-5</v>
      </c>
      <c r="K330">
        <v>5.752993464888684</v>
      </c>
      <c r="L330">
        <v>278.94917436355098</v>
      </c>
      <c r="M330">
        <v>0</v>
      </c>
    </row>
    <row r="331" spans="1:15" x14ac:dyDescent="0.15">
      <c r="A331">
        <v>241</v>
      </c>
      <c r="B331" t="s">
        <v>194</v>
      </c>
      <c r="C331" t="s">
        <v>464</v>
      </c>
      <c r="D331">
        <v>15</v>
      </c>
      <c r="E331">
        <v>3279821.77734375</v>
      </c>
      <c r="F331">
        <v>3280548.095703125</v>
      </c>
      <c r="G331">
        <v>3280184.9365234375</v>
      </c>
      <c r="H331">
        <v>6046910.4407442678</v>
      </c>
      <c r="I331">
        <v>1.2635886435820434E-7</v>
      </c>
      <c r="J331">
        <v>2.3937547770589397E-5</v>
      </c>
      <c r="K331">
        <v>2.7983371794237435</v>
      </c>
      <c r="L331">
        <v>84.346631600387553</v>
      </c>
      <c r="M331">
        <v>0</v>
      </c>
    </row>
    <row r="332" spans="1:15" x14ac:dyDescent="0.15">
      <c r="A332">
        <v>241</v>
      </c>
      <c r="B332" t="s">
        <v>194</v>
      </c>
      <c r="C332" t="s">
        <v>464</v>
      </c>
      <c r="D332">
        <v>16</v>
      </c>
      <c r="E332">
        <v>3279821.77734375</v>
      </c>
      <c r="F332">
        <v>3280184.9365234375</v>
      </c>
      <c r="G332">
        <v>3280003.3569335938</v>
      </c>
      <c r="H332">
        <v>2916290.1542863804</v>
      </c>
      <c r="I332">
        <v>6.1259216396118368E-8</v>
      </c>
      <c r="J332">
        <v>2.3872448122627311E-5</v>
      </c>
      <c r="K332">
        <v>1.3495756625961437</v>
      </c>
      <c r="L332">
        <v>-11.088805804980675</v>
      </c>
      <c r="M332">
        <v>0</v>
      </c>
    </row>
    <row r="333" spans="1:15" x14ac:dyDescent="0.15">
      <c r="A333">
        <v>241</v>
      </c>
      <c r="B333" t="s">
        <v>194</v>
      </c>
      <c r="C333" t="s">
        <v>464</v>
      </c>
      <c r="D333">
        <v>17</v>
      </c>
      <c r="E333">
        <v>3280003.3569335938</v>
      </c>
      <c r="F333">
        <v>3280184.9365234375</v>
      </c>
      <c r="G333">
        <v>3280094.1467285156</v>
      </c>
      <c r="H333">
        <v>4476545.8574138638</v>
      </c>
      <c r="I333">
        <v>9.3788209222897312E-8</v>
      </c>
      <c r="J333">
        <v>2.390497711545409E-5</v>
      </c>
      <c r="K333">
        <v>2.071617370713815</v>
      </c>
      <c r="L333">
        <v>36.476139316874772</v>
      </c>
      <c r="M333">
        <v>0</v>
      </c>
    </row>
    <row r="334" spans="1:15" x14ac:dyDescent="0.15">
      <c r="A334">
        <v>241</v>
      </c>
      <c r="B334" t="s">
        <v>194</v>
      </c>
      <c r="C334" t="s">
        <v>464</v>
      </c>
      <c r="D334">
        <v>18</v>
      </c>
      <c r="E334">
        <v>3280003.3569335938</v>
      </c>
      <c r="F334">
        <v>3280094.1467285156</v>
      </c>
      <c r="G334">
        <v>3280048.7518310547</v>
      </c>
      <c r="H334">
        <v>3695104.9638447156</v>
      </c>
      <c r="I334">
        <v>7.7517447295446758E-8</v>
      </c>
      <c r="J334">
        <v>2.3888706353526639E-5</v>
      </c>
      <c r="K334">
        <v>1.7099888783745913</v>
      </c>
      <c r="L334">
        <v>12.653964724821847</v>
      </c>
      <c r="M334">
        <v>0</v>
      </c>
    </row>
    <row r="335" spans="1:15" x14ac:dyDescent="0.15">
      <c r="A335">
        <v>241</v>
      </c>
      <c r="B335" t="s">
        <v>194</v>
      </c>
      <c r="C335" t="s">
        <v>464</v>
      </c>
      <c r="D335">
        <v>19</v>
      </c>
      <c r="E335">
        <v>3280003.3569335938</v>
      </c>
      <c r="F335">
        <v>3280048.7518310547</v>
      </c>
      <c r="G335">
        <v>3280026.0543823242</v>
      </c>
      <c r="H335">
        <v>3305378.0086266538</v>
      </c>
      <c r="I335">
        <v>6.9386942865873487E-8</v>
      </c>
      <c r="J335">
        <v>2.3880575849097066E-5</v>
      </c>
      <c r="K335">
        <v>1.5296343916830235</v>
      </c>
      <c r="L335">
        <v>0.77291929466407028</v>
      </c>
      <c r="M335">
        <v>0</v>
      </c>
    </row>
    <row r="336" spans="1:15" x14ac:dyDescent="0.15">
      <c r="A336">
        <v>241</v>
      </c>
      <c r="B336" t="s">
        <v>194</v>
      </c>
      <c r="C336" t="s">
        <v>465</v>
      </c>
      <c r="D336">
        <v>19</v>
      </c>
      <c r="E336">
        <v>3280003.3569335938</v>
      </c>
      <c r="F336">
        <v>3280048.7518310547</v>
      </c>
      <c r="G336">
        <v>3280026.0543823242</v>
      </c>
      <c r="H336">
        <v>3305378.0086266538</v>
      </c>
      <c r="I336">
        <v>6.9386942865873487E-8</v>
      </c>
      <c r="J336">
        <v>2.3880575849097066E-5</v>
      </c>
      <c r="K336">
        <v>1.5296343916830235</v>
      </c>
      <c r="L336">
        <v>0.77291929466407028</v>
      </c>
      <c r="M336">
        <v>0</v>
      </c>
      <c r="N336" t="s">
        <v>466</v>
      </c>
      <c r="O336" t="s">
        <v>467</v>
      </c>
    </row>
    <row r="337" spans="1:15" x14ac:dyDescent="0.15">
      <c r="A337">
        <v>242</v>
      </c>
      <c r="B337" t="s">
        <v>195</v>
      </c>
      <c r="C337" t="s">
        <v>461</v>
      </c>
      <c r="D337">
        <v>0</v>
      </c>
      <c r="E337">
        <v>100000</v>
      </c>
      <c r="F337">
        <v>12000000</v>
      </c>
      <c r="G337">
        <v>100000</v>
      </c>
      <c r="H337">
        <v>2266.9637587297871</v>
      </c>
      <c r="I337">
        <v>-6.0078979003200071E-5</v>
      </c>
      <c r="J337">
        <v>-3.9913758645435835E-5</v>
      </c>
      <c r="K337">
        <v>9.2131268825530938E-4</v>
      </c>
      <c r="L337">
        <v>-97.733036241270213</v>
      </c>
      <c r="M337">
        <v>0</v>
      </c>
      <c r="O337" t="s">
        <v>462</v>
      </c>
    </row>
    <row r="338" spans="1:15" x14ac:dyDescent="0.15">
      <c r="A338">
        <v>242</v>
      </c>
      <c r="B338" t="s">
        <v>195</v>
      </c>
      <c r="C338" t="s">
        <v>461</v>
      </c>
      <c r="D338">
        <v>0</v>
      </c>
      <c r="E338">
        <v>100000</v>
      </c>
      <c r="F338">
        <v>12000000</v>
      </c>
      <c r="G338">
        <v>12000000</v>
      </c>
      <c r="H338">
        <v>2.1413588465018122E+18</v>
      </c>
      <c r="I338">
        <v>536.87090183477972</v>
      </c>
      <c r="J338">
        <v>536.87092200000006</v>
      </c>
      <c r="K338">
        <v>870265820436.09558</v>
      </c>
      <c r="L338">
        <v>17844657054081.77</v>
      </c>
      <c r="M338">
        <v>5</v>
      </c>
      <c r="O338" t="s">
        <v>463</v>
      </c>
    </row>
    <row r="339" spans="1:15" x14ac:dyDescent="0.15">
      <c r="A339">
        <v>242</v>
      </c>
      <c r="B339" t="s">
        <v>195</v>
      </c>
      <c r="C339" t="s">
        <v>464</v>
      </c>
      <c r="D339">
        <v>1</v>
      </c>
      <c r="E339">
        <v>100000</v>
      </c>
      <c r="F339">
        <v>12000000</v>
      </c>
      <c r="G339">
        <v>6050000</v>
      </c>
      <c r="H339">
        <v>2.1413588465018122E+18</v>
      </c>
      <c r="I339">
        <v>536.87090183477972</v>
      </c>
      <c r="J339">
        <v>536.87092200000006</v>
      </c>
      <c r="K339">
        <v>870265820436.09558</v>
      </c>
      <c r="L339">
        <v>35394361099103.508</v>
      </c>
      <c r="M339">
        <v>5</v>
      </c>
    </row>
    <row r="340" spans="1:15" x14ac:dyDescent="0.15">
      <c r="A340">
        <v>242</v>
      </c>
      <c r="B340" t="s">
        <v>195</v>
      </c>
      <c r="C340" t="s">
        <v>464</v>
      </c>
      <c r="D340">
        <v>2</v>
      </c>
      <c r="E340">
        <v>100000</v>
      </c>
      <c r="F340">
        <v>6050000</v>
      </c>
      <c r="G340">
        <v>3075000</v>
      </c>
      <c r="H340">
        <v>-68833.525102506494</v>
      </c>
      <c r="I340">
        <v>-2.1163419152922586E-5</v>
      </c>
      <c r="J340">
        <v>-9.9819879515835323E-7</v>
      </c>
      <c r="K340">
        <v>-2.7974509874746815E-2</v>
      </c>
      <c r="L340">
        <v>-102.23848862121973</v>
      </c>
      <c r="M340">
        <v>0</v>
      </c>
    </row>
    <row r="341" spans="1:15" x14ac:dyDescent="0.15">
      <c r="A341">
        <v>242</v>
      </c>
      <c r="B341" t="s">
        <v>195</v>
      </c>
      <c r="C341" t="s">
        <v>464</v>
      </c>
      <c r="D341">
        <v>3</v>
      </c>
      <c r="E341">
        <v>3075000</v>
      </c>
      <c r="F341">
        <v>6050000</v>
      </c>
      <c r="G341">
        <v>4562500</v>
      </c>
      <c r="H341">
        <v>2.415361453785516E+16</v>
      </c>
      <c r="I341">
        <v>10.516041292429163</v>
      </c>
      <c r="J341">
        <v>10.516061457649521</v>
      </c>
      <c r="K341">
        <v>9816227301.9408836</v>
      </c>
      <c r="L341">
        <v>529394291140.66101</v>
      </c>
      <c r="M341">
        <v>0</v>
      </c>
    </row>
    <row r="342" spans="1:15" x14ac:dyDescent="0.15">
      <c r="A342">
        <v>242</v>
      </c>
      <c r="B342" t="s">
        <v>195</v>
      </c>
      <c r="C342" t="s">
        <v>464</v>
      </c>
      <c r="D342">
        <v>4</v>
      </c>
      <c r="E342">
        <v>3075000</v>
      </c>
      <c r="F342">
        <v>4562500</v>
      </c>
      <c r="G342">
        <v>3818750</v>
      </c>
      <c r="H342">
        <v>73688926271.426117</v>
      </c>
      <c r="I342">
        <v>3.089324241902008E-4</v>
      </c>
      <c r="J342">
        <v>3.2909764454796506E-4</v>
      </c>
      <c r="K342">
        <v>29947.784783209307</v>
      </c>
      <c r="L342">
        <v>1929560.917091355</v>
      </c>
      <c r="M342">
        <v>0</v>
      </c>
    </row>
    <row r="343" spans="1:15" x14ac:dyDescent="0.15">
      <c r="A343">
        <v>242</v>
      </c>
      <c r="B343" t="s">
        <v>195</v>
      </c>
      <c r="C343" t="s">
        <v>464</v>
      </c>
      <c r="D343">
        <v>5</v>
      </c>
      <c r="E343">
        <v>3075000</v>
      </c>
      <c r="F343">
        <v>3818750</v>
      </c>
      <c r="G343">
        <v>3446875</v>
      </c>
      <c r="H343">
        <v>-471718.6097473249</v>
      </c>
      <c r="I343">
        <v>-1.4895474789365783E-5</v>
      </c>
      <c r="J343">
        <v>5.2697455683984501E-6</v>
      </c>
      <c r="K343">
        <v>-0.19171031683800627</v>
      </c>
      <c r="L343">
        <v>-113.68539937616899</v>
      </c>
      <c r="M343">
        <v>0</v>
      </c>
    </row>
    <row r="344" spans="1:15" x14ac:dyDescent="0.15">
      <c r="A344">
        <v>242</v>
      </c>
      <c r="B344" t="s">
        <v>195</v>
      </c>
      <c r="C344" t="s">
        <v>464</v>
      </c>
      <c r="D344">
        <v>6</v>
      </c>
      <c r="E344">
        <v>3446875</v>
      </c>
      <c r="F344">
        <v>3818750</v>
      </c>
      <c r="G344">
        <v>3632812.5</v>
      </c>
      <c r="H344">
        <v>502225306.52706921</v>
      </c>
      <c r="I344">
        <v>6.4661055757039702E-6</v>
      </c>
      <c r="J344">
        <v>2.6631325933468203E-5</v>
      </c>
      <c r="K344">
        <v>204.10848893568647</v>
      </c>
      <c r="L344">
        <v>13724.696609777389</v>
      </c>
      <c r="M344">
        <v>0</v>
      </c>
    </row>
    <row r="345" spans="1:15" x14ac:dyDescent="0.15">
      <c r="A345">
        <v>242</v>
      </c>
      <c r="B345" t="s">
        <v>195</v>
      </c>
      <c r="C345" t="s">
        <v>464</v>
      </c>
      <c r="D345">
        <v>7</v>
      </c>
      <c r="E345">
        <v>3446875</v>
      </c>
      <c r="F345">
        <v>3632812.5</v>
      </c>
      <c r="G345">
        <v>3539843.75</v>
      </c>
      <c r="H345">
        <v>-8923176.9792907424</v>
      </c>
      <c r="I345">
        <v>-1.0397498991331847E-5</v>
      </c>
      <c r="J345">
        <v>9.7677213664323861E-6</v>
      </c>
      <c r="K345">
        <v>-3.6264524030920602</v>
      </c>
      <c r="L345">
        <v>-352.07827264383468</v>
      </c>
      <c r="M345">
        <v>0</v>
      </c>
    </row>
    <row r="346" spans="1:15" x14ac:dyDescent="0.15">
      <c r="A346">
        <v>242</v>
      </c>
      <c r="B346" t="s">
        <v>195</v>
      </c>
      <c r="C346" t="s">
        <v>464</v>
      </c>
      <c r="D346">
        <v>8</v>
      </c>
      <c r="E346">
        <v>3539843.75</v>
      </c>
      <c r="F346">
        <v>3632812.5</v>
      </c>
      <c r="G346">
        <v>3586328.125</v>
      </c>
      <c r="H346">
        <v>-118642614.27557896</v>
      </c>
      <c r="I346">
        <v>-5.9069854234764176E-6</v>
      </c>
      <c r="J346">
        <v>1.4258234934287815E-5</v>
      </c>
      <c r="K346">
        <v>-48.217332755737431</v>
      </c>
      <c r="L346">
        <v>-3408.1918368966576</v>
      </c>
      <c r="M346">
        <v>0</v>
      </c>
    </row>
    <row r="347" spans="1:15" x14ac:dyDescent="0.15">
      <c r="A347">
        <v>242</v>
      </c>
      <c r="B347" t="s">
        <v>195</v>
      </c>
      <c r="C347" t="s">
        <v>464</v>
      </c>
      <c r="D347">
        <v>9</v>
      </c>
      <c r="E347">
        <v>3586328.125</v>
      </c>
      <c r="F347">
        <v>3632812.5</v>
      </c>
      <c r="G347">
        <v>3609570.3125</v>
      </c>
      <c r="H347">
        <v>-34994427.940089487</v>
      </c>
      <c r="I347">
        <v>-6.8241967325727114E-7</v>
      </c>
      <c r="J347">
        <v>1.9482800684506961E-5</v>
      </c>
      <c r="K347">
        <v>-14.222022895286845</v>
      </c>
      <c r="L347">
        <v>-1069.4901306923769</v>
      </c>
      <c r="M347">
        <v>0</v>
      </c>
    </row>
    <row r="348" spans="1:15" x14ac:dyDescent="0.15">
      <c r="A348">
        <v>242</v>
      </c>
      <c r="B348" t="s">
        <v>195</v>
      </c>
      <c r="C348" t="s">
        <v>464</v>
      </c>
      <c r="D348">
        <v>10</v>
      </c>
      <c r="E348">
        <v>3609570.3125</v>
      </c>
      <c r="F348">
        <v>3632812.5</v>
      </c>
      <c r="G348">
        <v>3621191.40625</v>
      </c>
      <c r="H348">
        <v>179592482.9063448</v>
      </c>
      <c r="I348">
        <v>2.6120270355581334E-6</v>
      </c>
      <c r="J348">
        <v>2.2777247393322366E-5</v>
      </c>
      <c r="K348">
        <v>72.987859898386887</v>
      </c>
      <c r="L348">
        <v>4859.4860574444347</v>
      </c>
      <c r="M348">
        <v>0</v>
      </c>
    </row>
    <row r="349" spans="1:15" x14ac:dyDescent="0.15">
      <c r="A349">
        <v>242</v>
      </c>
      <c r="B349" t="s">
        <v>195</v>
      </c>
      <c r="C349" t="s">
        <v>464</v>
      </c>
      <c r="D349">
        <v>11</v>
      </c>
      <c r="E349">
        <v>3609570.3125</v>
      </c>
      <c r="F349">
        <v>3621191.40625</v>
      </c>
      <c r="G349">
        <v>3615380.859375</v>
      </c>
      <c r="H349">
        <v>53907843.982949086</v>
      </c>
      <c r="I349">
        <v>9.0024845800429414E-7</v>
      </c>
      <c r="J349">
        <v>2.1065468815768527E-5</v>
      </c>
      <c r="K349">
        <v>21.908590495424242</v>
      </c>
      <c r="L349">
        <v>1391.0695741269226</v>
      </c>
      <c r="M349">
        <v>0</v>
      </c>
    </row>
    <row r="350" spans="1:15" x14ac:dyDescent="0.15">
      <c r="A350">
        <v>242</v>
      </c>
      <c r="B350" t="s">
        <v>195</v>
      </c>
      <c r="C350" t="s">
        <v>464</v>
      </c>
      <c r="D350">
        <v>12</v>
      </c>
      <c r="E350">
        <v>3609570.3125</v>
      </c>
      <c r="F350">
        <v>3615380.859375</v>
      </c>
      <c r="G350">
        <v>3612475.5859375</v>
      </c>
      <c r="H350">
        <v>5188064.6145258704</v>
      </c>
      <c r="I350">
        <v>9.3403657243532832E-8</v>
      </c>
      <c r="J350">
        <v>2.0258624015007765E-5</v>
      </c>
      <c r="K350">
        <v>2.1084720646479518</v>
      </c>
      <c r="L350">
        <v>43.615215967735814</v>
      </c>
      <c r="M350">
        <v>0</v>
      </c>
    </row>
    <row r="351" spans="1:15" x14ac:dyDescent="0.15">
      <c r="A351">
        <v>242</v>
      </c>
      <c r="B351" t="s">
        <v>195</v>
      </c>
      <c r="C351" t="s">
        <v>464</v>
      </c>
      <c r="D351">
        <v>13</v>
      </c>
      <c r="E351">
        <v>3609570.3125</v>
      </c>
      <c r="F351">
        <v>3612475.5859375</v>
      </c>
      <c r="G351">
        <v>3611022.94921875</v>
      </c>
      <c r="H351">
        <v>-15930676.079227233</v>
      </c>
      <c r="I351">
        <v>-2.9830947789942589E-7</v>
      </c>
      <c r="J351">
        <v>1.9866910879864807E-5</v>
      </c>
      <c r="K351">
        <v>-6.4743575841288292</v>
      </c>
      <c r="L351">
        <v>-541.16795443445903</v>
      </c>
      <c r="M351">
        <v>0</v>
      </c>
    </row>
    <row r="352" spans="1:15" x14ac:dyDescent="0.15">
      <c r="A352">
        <v>242</v>
      </c>
      <c r="B352" t="s">
        <v>195</v>
      </c>
      <c r="C352" t="s">
        <v>464</v>
      </c>
      <c r="D352">
        <v>14</v>
      </c>
      <c r="E352">
        <v>3611022.94921875</v>
      </c>
      <c r="F352">
        <v>3612475.5859375</v>
      </c>
      <c r="G352">
        <v>3611749.267578125</v>
      </c>
      <c r="H352">
        <v>-5632988.5709245</v>
      </c>
      <c r="I352">
        <v>-1.0341143278516196E-7</v>
      </c>
      <c r="J352">
        <v>2.0061808924979071E-5</v>
      </c>
      <c r="K352">
        <v>-2.2892928143226134</v>
      </c>
      <c r="L352">
        <v>-255.96289093184274</v>
      </c>
      <c r="M352">
        <v>0</v>
      </c>
    </row>
    <row r="353" spans="1:15" x14ac:dyDescent="0.15">
      <c r="A353">
        <v>242</v>
      </c>
      <c r="B353" t="s">
        <v>195</v>
      </c>
      <c r="C353" t="s">
        <v>464</v>
      </c>
      <c r="D353">
        <v>15</v>
      </c>
      <c r="E353">
        <v>3611749.267578125</v>
      </c>
      <c r="F353">
        <v>3612475.5859375</v>
      </c>
      <c r="G353">
        <v>3612112.4267578125</v>
      </c>
      <c r="H353">
        <v>-288476.79669666319</v>
      </c>
      <c r="I353">
        <v>-5.2443146136558799E-9</v>
      </c>
      <c r="J353">
        <v>2.0159976043150577E-5</v>
      </c>
      <c r="K353">
        <v>-0.11723933920002411</v>
      </c>
      <c r="L353">
        <v>-107.98637369533917</v>
      </c>
      <c r="M353">
        <v>0</v>
      </c>
    </row>
    <row r="354" spans="1:15" x14ac:dyDescent="0.15">
      <c r="A354">
        <v>242</v>
      </c>
      <c r="B354" t="s">
        <v>195</v>
      </c>
      <c r="C354" t="s">
        <v>464</v>
      </c>
      <c r="D354">
        <v>16</v>
      </c>
      <c r="E354">
        <v>3612112.4267578125</v>
      </c>
      <c r="F354">
        <v>3612475.5859375</v>
      </c>
      <c r="G354">
        <v>3612294.0063476563</v>
      </c>
      <c r="H354">
        <v>2433231.6269991128</v>
      </c>
      <c r="I354">
        <v>4.4019751683837746E-8</v>
      </c>
      <c r="J354">
        <v>2.020924010944807E-5</v>
      </c>
      <c r="K354">
        <v>0.98888531534111856</v>
      </c>
      <c r="L354">
        <v>-32.640266193079846</v>
      </c>
      <c r="M354">
        <v>0</v>
      </c>
    </row>
    <row r="355" spans="1:15" x14ac:dyDescent="0.15">
      <c r="A355">
        <v>242</v>
      </c>
      <c r="B355" t="s">
        <v>195</v>
      </c>
      <c r="C355" t="s">
        <v>464</v>
      </c>
      <c r="D355">
        <v>17</v>
      </c>
      <c r="E355">
        <v>3612294.0063476563</v>
      </c>
      <c r="F355">
        <v>3612475.5859375</v>
      </c>
      <c r="G355">
        <v>3612384.7961425781</v>
      </c>
      <c r="H355">
        <v>3806457.9212452071</v>
      </c>
      <c r="I355">
        <v>6.8695988581427269E-8</v>
      </c>
      <c r="J355">
        <v>2.023391634634566E-5</v>
      </c>
      <c r="K355">
        <v>1.5469757585000508</v>
      </c>
      <c r="L355">
        <v>5.3724377677003439</v>
      </c>
      <c r="M355">
        <v>0</v>
      </c>
    </row>
    <row r="356" spans="1:15" x14ac:dyDescent="0.15">
      <c r="A356">
        <v>242</v>
      </c>
      <c r="B356" t="s">
        <v>195</v>
      </c>
      <c r="C356" t="s">
        <v>464</v>
      </c>
      <c r="D356">
        <v>18</v>
      </c>
      <c r="E356">
        <v>3612294.0063476563</v>
      </c>
      <c r="F356">
        <v>3612384.7961425781</v>
      </c>
      <c r="G356">
        <v>3612339.4012451172</v>
      </c>
      <c r="H356">
        <v>3118839.5660194927</v>
      </c>
      <c r="I356">
        <v>5.635468144310436E-8</v>
      </c>
      <c r="J356">
        <v>2.0221575039207337E-5</v>
      </c>
      <c r="K356">
        <v>1.267522012092714</v>
      </c>
      <c r="L356">
        <v>-13.661502434005033</v>
      </c>
      <c r="M356">
        <v>0</v>
      </c>
    </row>
    <row r="357" spans="1:15" x14ac:dyDescent="0.15">
      <c r="A357">
        <v>242</v>
      </c>
      <c r="B357" t="s">
        <v>195</v>
      </c>
      <c r="C357" t="s">
        <v>464</v>
      </c>
      <c r="D357">
        <v>19</v>
      </c>
      <c r="E357">
        <v>3612339.4012451172</v>
      </c>
      <c r="F357">
        <v>3612384.7961425781</v>
      </c>
      <c r="G357">
        <v>3612362.0986938477</v>
      </c>
      <c r="H357">
        <v>3462356.2147012632</v>
      </c>
      <c r="I357">
        <v>6.2523799804742574E-8</v>
      </c>
      <c r="J357">
        <v>2.0227744157568975E-5</v>
      </c>
      <c r="K357">
        <v>1.4071299991364894</v>
      </c>
      <c r="L357">
        <v>-4.1525705312549732</v>
      </c>
      <c r="M357">
        <v>0</v>
      </c>
    </row>
    <row r="358" spans="1:15" x14ac:dyDescent="0.15">
      <c r="A358">
        <v>242</v>
      </c>
      <c r="B358" t="s">
        <v>195</v>
      </c>
      <c r="C358" t="s">
        <v>464</v>
      </c>
      <c r="D358">
        <v>20</v>
      </c>
      <c r="E358">
        <v>3612362.0986938477</v>
      </c>
      <c r="F358">
        <v>3612384.7961425781</v>
      </c>
      <c r="G358">
        <v>3612373.4474182129</v>
      </c>
      <c r="H358">
        <v>3634407.9597595534</v>
      </c>
      <c r="I358">
        <v>6.5610838738348865E-8</v>
      </c>
      <c r="J358">
        <v>2.0230831196502581E-5</v>
      </c>
      <c r="K358">
        <v>1.4770532412475534</v>
      </c>
      <c r="L358">
        <v>0.60997326721822598</v>
      </c>
      <c r="M358">
        <v>0</v>
      </c>
    </row>
    <row r="359" spans="1:15" x14ac:dyDescent="0.15">
      <c r="A359">
        <v>242</v>
      </c>
      <c r="B359" t="s">
        <v>195</v>
      </c>
      <c r="C359" t="s">
        <v>465</v>
      </c>
      <c r="D359">
        <v>20</v>
      </c>
      <c r="E359">
        <v>3612362.0986938477</v>
      </c>
      <c r="F359">
        <v>3612384.7961425781</v>
      </c>
      <c r="G359">
        <v>3612373.4474182129</v>
      </c>
      <c r="H359">
        <v>3634407.9597595534</v>
      </c>
      <c r="I359">
        <v>6.5610838738348865E-8</v>
      </c>
      <c r="J359">
        <v>2.0230831196502581E-5</v>
      </c>
      <c r="K359">
        <v>1.4770532412475534</v>
      </c>
      <c r="L359">
        <v>0.60997326721822598</v>
      </c>
      <c r="M359">
        <v>0</v>
      </c>
      <c r="N359" t="s">
        <v>466</v>
      </c>
      <c r="O359" t="s">
        <v>467</v>
      </c>
    </row>
    <row r="360" spans="1:15" x14ac:dyDescent="0.15">
      <c r="A360">
        <v>243</v>
      </c>
      <c r="B360" t="s">
        <v>196</v>
      </c>
      <c r="C360" t="s">
        <v>461</v>
      </c>
      <c r="D360">
        <v>0</v>
      </c>
      <c r="E360">
        <v>100000</v>
      </c>
      <c r="F360">
        <v>12000000</v>
      </c>
      <c r="G360">
        <v>100000</v>
      </c>
      <c r="H360">
        <v>2177.9351041377445</v>
      </c>
      <c r="I360">
        <v>-5.8510913331001019E-5</v>
      </c>
      <c r="J360">
        <v>-3.9364065280458771E-5</v>
      </c>
      <c r="K360">
        <v>8.5445786545771014E-4</v>
      </c>
      <c r="L360">
        <v>-97.822064895862255</v>
      </c>
      <c r="M360">
        <v>0</v>
      </c>
      <c r="O360" t="s">
        <v>462</v>
      </c>
    </row>
    <row r="361" spans="1:15" x14ac:dyDescent="0.15">
      <c r="A361">
        <v>243</v>
      </c>
      <c r="B361" t="s">
        <v>196</v>
      </c>
      <c r="C361" t="s">
        <v>461</v>
      </c>
      <c r="D361">
        <v>0</v>
      </c>
      <c r="E361">
        <v>100000</v>
      </c>
      <c r="F361">
        <v>12000000</v>
      </c>
      <c r="G361">
        <v>12000000</v>
      </c>
      <c r="H361">
        <v>2.3213791530745083E+18</v>
      </c>
      <c r="I361">
        <v>536.87090285315196</v>
      </c>
      <c r="J361">
        <v>536.87092200000006</v>
      </c>
      <c r="K361">
        <v>910734517426.93555</v>
      </c>
      <c r="L361">
        <v>19344826275520.902</v>
      </c>
      <c r="M361">
        <v>5</v>
      </c>
      <c r="O361" t="s">
        <v>463</v>
      </c>
    </row>
    <row r="362" spans="1:15" x14ac:dyDescent="0.15">
      <c r="A362">
        <v>243</v>
      </c>
      <c r="B362" t="s">
        <v>196</v>
      </c>
      <c r="C362" t="s">
        <v>464</v>
      </c>
      <c r="D362">
        <v>1</v>
      </c>
      <c r="E362">
        <v>100000</v>
      </c>
      <c r="F362">
        <v>12000000</v>
      </c>
      <c r="G362">
        <v>6050000</v>
      </c>
      <c r="H362">
        <v>2.3213791530745083E+18</v>
      </c>
      <c r="I362">
        <v>536.87090285315196</v>
      </c>
      <c r="J362">
        <v>536.87092200000006</v>
      </c>
      <c r="K362">
        <v>910734517426.93555</v>
      </c>
      <c r="L362">
        <v>38369903356503.445</v>
      </c>
      <c r="M362">
        <v>5</v>
      </c>
    </row>
    <row r="363" spans="1:15" x14ac:dyDescent="0.15">
      <c r="A363">
        <v>243</v>
      </c>
      <c r="B363" t="s">
        <v>196</v>
      </c>
      <c r="C363" t="s">
        <v>464</v>
      </c>
      <c r="D363">
        <v>2</v>
      </c>
      <c r="E363">
        <v>100000</v>
      </c>
      <c r="F363">
        <v>6050000</v>
      </c>
      <c r="G363">
        <v>3075000</v>
      </c>
      <c r="H363">
        <v>-48705.167073508965</v>
      </c>
      <c r="I363">
        <v>-2.1887860654339381E-5</v>
      </c>
      <c r="J363">
        <v>-2.7410126037971357E-6</v>
      </c>
      <c r="K363">
        <v>-1.9108242947793345E-2</v>
      </c>
      <c r="L363">
        <v>-101.58390787230924</v>
      </c>
      <c r="M363">
        <v>0</v>
      </c>
    </row>
    <row r="364" spans="1:15" x14ac:dyDescent="0.15">
      <c r="A364">
        <v>243</v>
      </c>
      <c r="B364" t="s">
        <v>196</v>
      </c>
      <c r="C364" t="s">
        <v>464</v>
      </c>
      <c r="D364">
        <v>3</v>
      </c>
      <c r="E364">
        <v>3075000</v>
      </c>
      <c r="F364">
        <v>6050000</v>
      </c>
      <c r="G364">
        <v>4562500</v>
      </c>
      <c r="H364">
        <v>1126936258984330</v>
      </c>
      <c r="I364">
        <v>0.70684294975725437</v>
      </c>
      <c r="J364">
        <v>0.70686209660530486</v>
      </c>
      <c r="K364">
        <v>442124996.52962458</v>
      </c>
      <c r="L364">
        <v>24699972699.656548</v>
      </c>
      <c r="M364">
        <v>0</v>
      </c>
    </row>
    <row r="365" spans="1:15" x14ac:dyDescent="0.15">
      <c r="A365">
        <v>243</v>
      </c>
      <c r="B365" t="s">
        <v>196</v>
      </c>
      <c r="C365" t="s">
        <v>464</v>
      </c>
      <c r="D365">
        <v>4</v>
      </c>
      <c r="E365">
        <v>3075000</v>
      </c>
      <c r="F365">
        <v>4562500</v>
      </c>
      <c r="G365">
        <v>3818750</v>
      </c>
      <c r="H365">
        <v>1739126773.7446468</v>
      </c>
      <c r="I365">
        <v>1.6776212401797004E-5</v>
      </c>
      <c r="J365">
        <v>3.5923060452339249E-5</v>
      </c>
      <c r="K365">
        <v>682.30249286629873</v>
      </c>
      <c r="L365">
        <v>45441.781309188787</v>
      </c>
      <c r="M365">
        <v>0</v>
      </c>
    </row>
    <row r="366" spans="1:15" x14ac:dyDescent="0.15">
      <c r="A366">
        <v>243</v>
      </c>
      <c r="B366" t="s">
        <v>196</v>
      </c>
      <c r="C366" t="s">
        <v>464</v>
      </c>
      <c r="D366">
        <v>5</v>
      </c>
      <c r="E366">
        <v>3075000</v>
      </c>
      <c r="F366">
        <v>3818750</v>
      </c>
      <c r="G366">
        <v>3446875</v>
      </c>
      <c r="H366">
        <v>-149735.27838292872</v>
      </c>
      <c r="I366">
        <v>-1.7212944752737932E-5</v>
      </c>
      <c r="J366">
        <v>1.9339032978043131E-6</v>
      </c>
      <c r="K366">
        <v>-5.8744857047265585E-2</v>
      </c>
      <c r="L366">
        <v>-104.34408785879756</v>
      </c>
      <c r="M366">
        <v>0</v>
      </c>
    </row>
    <row r="367" spans="1:15" x14ac:dyDescent="0.15">
      <c r="A367">
        <v>243</v>
      </c>
      <c r="B367" t="s">
        <v>196</v>
      </c>
      <c r="C367" t="s">
        <v>464</v>
      </c>
      <c r="D367">
        <v>6</v>
      </c>
      <c r="E367">
        <v>3446875</v>
      </c>
      <c r="F367">
        <v>3818750</v>
      </c>
      <c r="G367">
        <v>3632812.5</v>
      </c>
      <c r="H367">
        <v>-947128.17839875503</v>
      </c>
      <c r="I367">
        <v>-1.2861458856350436E-5</v>
      </c>
      <c r="J367">
        <v>6.2853891941918085E-6</v>
      </c>
      <c r="K367">
        <v>-0.37158183459733896</v>
      </c>
      <c r="L367">
        <v>-126.07148534086896</v>
      </c>
      <c r="M367">
        <v>0</v>
      </c>
    </row>
    <row r="368" spans="1:15" x14ac:dyDescent="0.15">
      <c r="A368">
        <v>243</v>
      </c>
      <c r="B368" t="s">
        <v>196</v>
      </c>
      <c r="C368" t="s">
        <v>464</v>
      </c>
      <c r="D368">
        <v>7</v>
      </c>
      <c r="E368">
        <v>3632812.5</v>
      </c>
      <c r="F368">
        <v>3818750</v>
      </c>
      <c r="G368">
        <v>3725781.25</v>
      </c>
      <c r="H368">
        <v>-51251956.268351562</v>
      </c>
      <c r="I368">
        <v>-7.7235190406283437E-6</v>
      </c>
      <c r="J368">
        <v>1.1423329009913901E-5</v>
      </c>
      <c r="K368">
        <v>-20.107411405596178</v>
      </c>
      <c r="L368">
        <v>-1475.6029361184735</v>
      </c>
      <c r="M368">
        <v>0</v>
      </c>
    </row>
    <row r="369" spans="1:15" x14ac:dyDescent="0.15">
      <c r="A369">
        <v>243</v>
      </c>
      <c r="B369" t="s">
        <v>196</v>
      </c>
      <c r="C369" t="s">
        <v>464</v>
      </c>
      <c r="D369">
        <v>8</v>
      </c>
      <c r="E369">
        <v>3725781.25</v>
      </c>
      <c r="F369">
        <v>3818750</v>
      </c>
      <c r="G369">
        <v>3772265.625</v>
      </c>
      <c r="H369">
        <v>29653138.749534298</v>
      </c>
      <c r="I369">
        <v>4.8937410234577261E-7</v>
      </c>
      <c r="J369">
        <v>1.9636222152888018E-5</v>
      </c>
      <c r="K369">
        <v>11.633660521799422</v>
      </c>
      <c r="L369">
        <v>686.08299884858445</v>
      </c>
      <c r="M369">
        <v>0</v>
      </c>
    </row>
    <row r="370" spans="1:15" x14ac:dyDescent="0.15">
      <c r="A370">
        <v>243</v>
      </c>
      <c r="B370" t="s">
        <v>196</v>
      </c>
      <c r="C370" t="s">
        <v>464</v>
      </c>
      <c r="D370">
        <v>9</v>
      </c>
      <c r="E370">
        <v>3725781.25</v>
      </c>
      <c r="F370">
        <v>3772265.625</v>
      </c>
      <c r="G370">
        <v>3749023.4375</v>
      </c>
      <c r="H370">
        <v>-127602076.46782747</v>
      </c>
      <c r="I370">
        <v>-4.6218058838116539E-6</v>
      </c>
      <c r="J370">
        <v>1.4525042166730591E-5</v>
      </c>
      <c r="K370">
        <v>-50.061453933833874</v>
      </c>
      <c r="L370">
        <v>-3503.6083954950595</v>
      </c>
      <c r="M370">
        <v>0</v>
      </c>
    </row>
    <row r="371" spans="1:15" x14ac:dyDescent="0.15">
      <c r="A371">
        <v>243</v>
      </c>
      <c r="B371" t="s">
        <v>196</v>
      </c>
      <c r="C371" t="s">
        <v>464</v>
      </c>
      <c r="D371">
        <v>10</v>
      </c>
      <c r="E371">
        <v>3749023.4375</v>
      </c>
      <c r="F371">
        <v>3772265.625</v>
      </c>
      <c r="G371">
        <v>3760644.53125</v>
      </c>
      <c r="H371">
        <v>-98147687.905300424</v>
      </c>
      <c r="I371">
        <v>-2.2591575107459791E-6</v>
      </c>
      <c r="J371">
        <v>1.6887690539796266E-5</v>
      </c>
      <c r="K371">
        <v>-38.505768031308868</v>
      </c>
      <c r="L371">
        <v>-2709.8634712671746</v>
      </c>
      <c r="M371">
        <v>0</v>
      </c>
    </row>
    <row r="372" spans="1:15" x14ac:dyDescent="0.15">
      <c r="A372">
        <v>243</v>
      </c>
      <c r="B372" t="s">
        <v>196</v>
      </c>
      <c r="C372" t="s">
        <v>464</v>
      </c>
      <c r="D372">
        <v>11</v>
      </c>
      <c r="E372">
        <v>3760644.53125</v>
      </c>
      <c r="F372">
        <v>3772265.625</v>
      </c>
      <c r="G372">
        <v>3766455.078125</v>
      </c>
      <c r="H372">
        <v>-48593417.098251201</v>
      </c>
      <c r="I372">
        <v>-9.3687292694245346E-7</v>
      </c>
      <c r="J372">
        <v>1.8209975123599791E-5</v>
      </c>
      <c r="K372">
        <v>-19.064400665650826</v>
      </c>
      <c r="L372">
        <v>-1390.163192984151</v>
      </c>
      <c r="M372">
        <v>0</v>
      </c>
    </row>
    <row r="373" spans="1:15" x14ac:dyDescent="0.15">
      <c r="A373">
        <v>243</v>
      </c>
      <c r="B373" t="s">
        <v>196</v>
      </c>
      <c r="C373" t="s">
        <v>464</v>
      </c>
      <c r="D373">
        <v>12</v>
      </c>
      <c r="E373">
        <v>3766455.078125</v>
      </c>
      <c r="F373">
        <v>3772265.625</v>
      </c>
      <c r="G373">
        <v>3769360.3515625</v>
      </c>
      <c r="H373">
        <v>-13331598.774859056</v>
      </c>
      <c r="I373">
        <v>-2.3724303119784906E-7</v>
      </c>
      <c r="J373">
        <v>1.8909605019344396E-5</v>
      </c>
      <c r="K373">
        <v>-5.2303162801604977</v>
      </c>
      <c r="L373">
        <v>-453.68331842650053</v>
      </c>
      <c r="M373">
        <v>0</v>
      </c>
    </row>
    <row r="374" spans="1:15" x14ac:dyDescent="0.15">
      <c r="A374">
        <v>243</v>
      </c>
      <c r="B374" t="s">
        <v>196</v>
      </c>
      <c r="C374" t="s">
        <v>464</v>
      </c>
      <c r="D374">
        <v>13</v>
      </c>
      <c r="E374">
        <v>3769360.3515625</v>
      </c>
      <c r="F374">
        <v>3772265.625</v>
      </c>
      <c r="G374">
        <v>3770812.98828125</v>
      </c>
      <c r="H374">
        <v>7159593.0642580939</v>
      </c>
      <c r="I374">
        <v>1.2262776870677894E-7</v>
      </c>
      <c r="J374">
        <v>1.9269475819249024E-5</v>
      </c>
      <c r="K374">
        <v>2.8088856254758676</v>
      </c>
      <c r="L374">
        <v>89.868685784957535</v>
      </c>
      <c r="M374">
        <v>0</v>
      </c>
    </row>
    <row r="375" spans="1:15" x14ac:dyDescent="0.15">
      <c r="A375">
        <v>243</v>
      </c>
      <c r="B375" t="s">
        <v>196</v>
      </c>
      <c r="C375" t="s">
        <v>464</v>
      </c>
      <c r="D375">
        <v>14</v>
      </c>
      <c r="E375">
        <v>3769360.3515625</v>
      </c>
      <c r="F375">
        <v>3770812.98828125</v>
      </c>
      <c r="G375">
        <v>3770086.669921875</v>
      </c>
      <c r="H375">
        <v>-3331815.3430275293</v>
      </c>
      <c r="I375">
        <v>-5.8160062623106976E-8</v>
      </c>
      <c r="J375">
        <v>1.9088687987919138E-5</v>
      </c>
      <c r="K375">
        <v>-1.3071536524177803</v>
      </c>
      <c r="L375">
        <v>-188.37503311552709</v>
      </c>
      <c r="M375">
        <v>0</v>
      </c>
    </row>
    <row r="376" spans="1:15" x14ac:dyDescent="0.15">
      <c r="A376">
        <v>243</v>
      </c>
      <c r="B376" t="s">
        <v>196</v>
      </c>
      <c r="C376" t="s">
        <v>464</v>
      </c>
      <c r="D376">
        <v>15</v>
      </c>
      <c r="E376">
        <v>3770086.669921875</v>
      </c>
      <c r="F376">
        <v>3770812.98828125</v>
      </c>
      <c r="G376">
        <v>3770449.8291015625</v>
      </c>
      <c r="H376">
        <v>1851919.4453136444</v>
      </c>
      <c r="I376">
        <v>3.202056808925349E-8</v>
      </c>
      <c r="J376">
        <v>1.9178868618631498E-5</v>
      </c>
      <c r="K376">
        <v>0.72655385058812316</v>
      </c>
      <c r="L376">
        <v>-50.883328800189155</v>
      </c>
      <c r="M376">
        <v>0</v>
      </c>
    </row>
    <row r="377" spans="1:15" x14ac:dyDescent="0.15">
      <c r="A377">
        <v>243</v>
      </c>
      <c r="B377" t="s">
        <v>196</v>
      </c>
      <c r="C377" t="s">
        <v>464</v>
      </c>
      <c r="D377">
        <v>16</v>
      </c>
      <c r="E377">
        <v>3770449.8291015625</v>
      </c>
      <c r="F377">
        <v>3770812.98828125</v>
      </c>
      <c r="G377">
        <v>3770631.4086914063</v>
      </c>
      <c r="H377">
        <v>4490185.1615421353</v>
      </c>
      <c r="I377">
        <v>7.7270581812241909E-8</v>
      </c>
      <c r="J377">
        <v>1.9224118632354487E-5</v>
      </c>
      <c r="K377">
        <v>1.7616108126234253</v>
      </c>
      <c r="L377">
        <v>19.083110356322244</v>
      </c>
      <c r="M377">
        <v>0</v>
      </c>
    </row>
    <row r="378" spans="1:15" x14ac:dyDescent="0.15">
      <c r="A378">
        <v>243</v>
      </c>
      <c r="B378" t="s">
        <v>196</v>
      </c>
      <c r="C378" t="s">
        <v>464</v>
      </c>
      <c r="D378">
        <v>17</v>
      </c>
      <c r="E378">
        <v>3770449.8291015625</v>
      </c>
      <c r="F378">
        <v>3770631.4086914063</v>
      </c>
      <c r="G378">
        <v>3770540.6188964844</v>
      </c>
      <c r="H378">
        <v>3167103.3491510558</v>
      </c>
      <c r="I378">
        <v>5.4631078392945943E-8</v>
      </c>
      <c r="J378">
        <v>1.9201479128935191E-5</v>
      </c>
      <c r="K378">
        <v>1.2425330590697088</v>
      </c>
      <c r="L378">
        <v>-16.003998649987629</v>
      </c>
      <c r="M378">
        <v>0</v>
      </c>
    </row>
    <row r="379" spans="1:15" x14ac:dyDescent="0.15">
      <c r="A379">
        <v>243</v>
      </c>
      <c r="B379" t="s">
        <v>196</v>
      </c>
      <c r="C379" t="s">
        <v>464</v>
      </c>
      <c r="D379">
        <v>18</v>
      </c>
      <c r="E379">
        <v>3770540.6188964844</v>
      </c>
      <c r="F379">
        <v>3770631.4086914063</v>
      </c>
      <c r="G379">
        <v>3770586.0137939453</v>
      </c>
      <c r="H379">
        <v>3827704.699751358</v>
      </c>
      <c r="I379">
        <v>6.5948040819253088E-8</v>
      </c>
      <c r="J379">
        <v>1.9212796091361498E-5</v>
      </c>
      <c r="K379">
        <v>1.5017033249238356</v>
      </c>
      <c r="L379">
        <v>1.5148490380130635</v>
      </c>
      <c r="M379">
        <v>0</v>
      </c>
    </row>
    <row r="380" spans="1:15" x14ac:dyDescent="0.15">
      <c r="A380">
        <v>243</v>
      </c>
      <c r="B380" t="s">
        <v>196</v>
      </c>
      <c r="C380" t="s">
        <v>464</v>
      </c>
      <c r="D380">
        <v>19</v>
      </c>
      <c r="E380">
        <v>3770540.6188964844</v>
      </c>
      <c r="F380">
        <v>3770586.0137939453</v>
      </c>
      <c r="G380">
        <v>3770563.3163452148</v>
      </c>
      <c r="H380">
        <v>3497128.5158184371</v>
      </c>
      <c r="I380">
        <v>6.0288164781634304E-8</v>
      </c>
      <c r="J380">
        <v>1.9207136215323879E-5</v>
      </c>
      <c r="K380">
        <v>1.3720101031387413</v>
      </c>
      <c r="L380">
        <v>-7.2518289068758168</v>
      </c>
      <c r="M380">
        <v>0</v>
      </c>
    </row>
    <row r="381" spans="1:15" x14ac:dyDescent="0.15">
      <c r="A381">
        <v>243</v>
      </c>
      <c r="B381" t="s">
        <v>196</v>
      </c>
      <c r="C381" t="s">
        <v>464</v>
      </c>
      <c r="D381">
        <v>20</v>
      </c>
      <c r="E381">
        <v>3770563.3163452148</v>
      </c>
      <c r="F381">
        <v>3770586.0137939453</v>
      </c>
      <c r="G381">
        <v>3770574.6650695801</v>
      </c>
      <c r="H381">
        <v>3662323.2435019324</v>
      </c>
      <c r="I381">
        <v>6.3117335355654066E-8</v>
      </c>
      <c r="J381">
        <v>1.9209965385897899E-5</v>
      </c>
      <c r="K381">
        <v>1.4368200849114487</v>
      </c>
      <c r="L381">
        <v>-2.8709528701416156</v>
      </c>
      <c r="M381">
        <v>0</v>
      </c>
    </row>
    <row r="382" spans="1:15" x14ac:dyDescent="0.15">
      <c r="A382">
        <v>243</v>
      </c>
      <c r="B382" t="s">
        <v>196</v>
      </c>
      <c r="C382" t="s">
        <v>464</v>
      </c>
      <c r="D382">
        <v>21</v>
      </c>
      <c r="E382">
        <v>3770574.6650695801</v>
      </c>
      <c r="F382">
        <v>3770586.0137939453</v>
      </c>
      <c r="G382">
        <v>3770580.3394317627</v>
      </c>
      <c r="H382">
        <v>3744966.158569193</v>
      </c>
      <c r="I382">
        <v>6.453207751442447E-8</v>
      </c>
      <c r="J382">
        <v>1.9211380128056669E-5</v>
      </c>
      <c r="K382">
        <v>1.4692429466713868</v>
      </c>
      <c r="L382">
        <v>-0.67931667161956943</v>
      </c>
      <c r="M382">
        <v>0</v>
      </c>
    </row>
    <row r="383" spans="1:15" x14ac:dyDescent="0.15">
      <c r="A383">
        <v>243</v>
      </c>
      <c r="B383" t="s">
        <v>196</v>
      </c>
      <c r="C383" t="s">
        <v>465</v>
      </c>
      <c r="D383">
        <v>21</v>
      </c>
      <c r="E383">
        <v>3770574.6650695801</v>
      </c>
      <c r="F383">
        <v>3770586.0137939453</v>
      </c>
      <c r="G383">
        <v>3770580.3394317627</v>
      </c>
      <c r="H383">
        <v>3744966.158569193</v>
      </c>
      <c r="I383">
        <v>6.453207751442447E-8</v>
      </c>
      <c r="J383">
        <v>1.9211380128056669E-5</v>
      </c>
      <c r="K383">
        <v>1.4692429466713868</v>
      </c>
      <c r="L383">
        <v>-0.67931667161956943</v>
      </c>
      <c r="M383">
        <v>0</v>
      </c>
      <c r="N383" t="s">
        <v>466</v>
      </c>
      <c r="O383" t="s">
        <v>467</v>
      </c>
    </row>
    <row r="384" spans="1:15" x14ac:dyDescent="0.15">
      <c r="A384">
        <v>244</v>
      </c>
      <c r="B384" t="s">
        <v>197</v>
      </c>
      <c r="C384" t="s">
        <v>461</v>
      </c>
      <c r="D384">
        <v>0</v>
      </c>
      <c r="E384">
        <v>100000</v>
      </c>
      <c r="F384">
        <v>12000000</v>
      </c>
      <c r="G384">
        <v>100000</v>
      </c>
      <c r="H384">
        <v>1983.5966655021296</v>
      </c>
      <c r="I384">
        <v>-5.0403926072573551E-5</v>
      </c>
      <c r="J384">
        <v>-3.5200757522560408E-5</v>
      </c>
      <c r="K384">
        <v>6.5980795395106516E-4</v>
      </c>
      <c r="L384">
        <v>-98.016403334497866</v>
      </c>
      <c r="M384">
        <v>0</v>
      </c>
      <c r="O384" t="s">
        <v>462</v>
      </c>
    </row>
    <row r="385" spans="1:15" x14ac:dyDescent="0.15">
      <c r="A385">
        <v>244</v>
      </c>
      <c r="B385" t="s">
        <v>197</v>
      </c>
      <c r="C385" t="s">
        <v>461</v>
      </c>
      <c r="D385">
        <v>0</v>
      </c>
      <c r="E385">
        <v>100000</v>
      </c>
      <c r="F385">
        <v>12000000</v>
      </c>
      <c r="G385">
        <v>12000000</v>
      </c>
      <c r="H385">
        <v>3.3250595186698977E+18</v>
      </c>
      <c r="I385">
        <v>536.87090679683149</v>
      </c>
      <c r="J385">
        <v>536.87092200000006</v>
      </c>
      <c r="K385">
        <v>1106021579857.6838</v>
      </c>
      <c r="L385">
        <v>27708829322149.148</v>
      </c>
      <c r="M385">
        <v>5</v>
      </c>
      <c r="O385" t="s">
        <v>463</v>
      </c>
    </row>
    <row r="386" spans="1:15" x14ac:dyDescent="0.15">
      <c r="A386">
        <v>244</v>
      </c>
      <c r="B386" t="s">
        <v>197</v>
      </c>
      <c r="C386" t="s">
        <v>464</v>
      </c>
      <c r="D386">
        <v>1</v>
      </c>
      <c r="E386">
        <v>100000</v>
      </c>
      <c r="F386">
        <v>12000000</v>
      </c>
      <c r="G386">
        <v>6050000</v>
      </c>
      <c r="H386">
        <v>3.3250595186698977E+18</v>
      </c>
      <c r="I386">
        <v>536.87090679683149</v>
      </c>
      <c r="J386">
        <v>536.87092200000006</v>
      </c>
      <c r="K386">
        <v>1106021579857.6838</v>
      </c>
      <c r="L386">
        <v>54959661465518.141</v>
      </c>
      <c r="M386">
        <v>5</v>
      </c>
    </row>
    <row r="387" spans="1:15" x14ac:dyDescent="0.15">
      <c r="A387">
        <v>244</v>
      </c>
      <c r="B387" t="s">
        <v>197</v>
      </c>
      <c r="C387" t="s">
        <v>464</v>
      </c>
      <c r="D387">
        <v>2</v>
      </c>
      <c r="E387">
        <v>100000</v>
      </c>
      <c r="F387">
        <v>6050000</v>
      </c>
      <c r="G387">
        <v>3075000</v>
      </c>
      <c r="H387">
        <v>-20845.615062597735</v>
      </c>
      <c r="I387">
        <v>-2.2384570899870328E-5</v>
      </c>
      <c r="J387">
        <v>-7.181402349857185E-6</v>
      </c>
      <c r="K387">
        <v>-6.9339210246264407E-3</v>
      </c>
      <c r="L387">
        <v>-100.67790618089748</v>
      </c>
      <c r="M387">
        <v>0</v>
      </c>
    </row>
    <row r="388" spans="1:15" x14ac:dyDescent="0.15">
      <c r="A388">
        <v>244</v>
      </c>
      <c r="B388" t="s">
        <v>197</v>
      </c>
      <c r="C388" t="s">
        <v>464</v>
      </c>
      <c r="D388">
        <v>3</v>
      </c>
      <c r="E388">
        <v>3075000</v>
      </c>
      <c r="F388">
        <v>6050000</v>
      </c>
      <c r="G388">
        <v>4562500</v>
      </c>
      <c r="H388">
        <v>31510218335.990555</v>
      </c>
      <c r="I388">
        <v>1.1504882429129134E-4</v>
      </c>
      <c r="J388">
        <v>1.3025199284130449E-4</v>
      </c>
      <c r="K388">
        <v>10481.310566005761</v>
      </c>
      <c r="L388">
        <v>690534.92243266967</v>
      </c>
      <c r="M388">
        <v>0</v>
      </c>
    </row>
    <row r="389" spans="1:15" x14ac:dyDescent="0.15">
      <c r="A389">
        <v>244</v>
      </c>
      <c r="B389" t="s">
        <v>197</v>
      </c>
      <c r="C389" t="s">
        <v>464</v>
      </c>
      <c r="D389">
        <v>4</v>
      </c>
      <c r="E389">
        <v>3075000</v>
      </c>
      <c r="F389">
        <v>4562500</v>
      </c>
      <c r="G389">
        <v>3818750</v>
      </c>
      <c r="H389">
        <v>-95819.119970844942</v>
      </c>
      <c r="I389">
        <v>-1.5277067360166042E-5</v>
      </c>
      <c r="J389">
        <v>-7.3898810152901178E-8</v>
      </c>
      <c r="K389">
        <v>-3.1872516523590098E-2</v>
      </c>
      <c r="L389">
        <v>-102.50917499105323</v>
      </c>
      <c r="M389">
        <v>0</v>
      </c>
    </row>
    <row r="390" spans="1:15" x14ac:dyDescent="0.15">
      <c r="A390">
        <v>244</v>
      </c>
      <c r="B390" t="s">
        <v>197</v>
      </c>
      <c r="C390" t="s">
        <v>464</v>
      </c>
      <c r="D390">
        <v>5</v>
      </c>
      <c r="E390">
        <v>3818750</v>
      </c>
      <c r="F390">
        <v>4562500</v>
      </c>
      <c r="G390">
        <v>4190625</v>
      </c>
      <c r="H390">
        <v>-849149.44624948432</v>
      </c>
      <c r="I390">
        <v>-1.0463993956416103E-5</v>
      </c>
      <c r="J390">
        <v>4.7391745935970404E-6</v>
      </c>
      <c r="K390">
        <v>-0.28245437617063324</v>
      </c>
      <c r="L390">
        <v>-120.26307403429045</v>
      </c>
      <c r="M390">
        <v>0</v>
      </c>
    </row>
    <row r="391" spans="1:15" x14ac:dyDescent="0.15">
      <c r="A391">
        <v>244</v>
      </c>
      <c r="B391" t="s">
        <v>197</v>
      </c>
      <c r="C391" t="s">
        <v>464</v>
      </c>
      <c r="D391">
        <v>6</v>
      </c>
      <c r="E391">
        <v>4190625</v>
      </c>
      <c r="F391">
        <v>4562500</v>
      </c>
      <c r="G391">
        <v>4376562.5</v>
      </c>
      <c r="H391">
        <v>83632035.694257721</v>
      </c>
      <c r="I391">
        <v>1.0372728053249512E-6</v>
      </c>
      <c r="J391">
        <v>1.6240441355338094E-5</v>
      </c>
      <c r="K391">
        <v>27.818700906225835</v>
      </c>
      <c r="L391">
        <v>1810.9069205399837</v>
      </c>
      <c r="M391">
        <v>0</v>
      </c>
    </row>
    <row r="392" spans="1:15" x14ac:dyDescent="0.15">
      <c r="A392">
        <v>244</v>
      </c>
      <c r="B392" t="s">
        <v>197</v>
      </c>
      <c r="C392" t="s">
        <v>464</v>
      </c>
      <c r="D392">
        <v>7</v>
      </c>
      <c r="E392">
        <v>4190625</v>
      </c>
      <c r="F392">
        <v>4376562.5</v>
      </c>
      <c r="G392">
        <v>4283593.75</v>
      </c>
      <c r="H392">
        <v>-14841339.899244292</v>
      </c>
      <c r="I392">
        <v>-7.2938303248987585E-6</v>
      </c>
      <c r="J392">
        <v>7.9093382251143841E-6</v>
      </c>
      <c r="K392">
        <v>-4.9367062786092237</v>
      </c>
      <c r="L392">
        <v>-446.46936113501175</v>
      </c>
      <c r="M392">
        <v>0</v>
      </c>
    </row>
    <row r="393" spans="1:15" x14ac:dyDescent="0.15">
      <c r="A393">
        <v>244</v>
      </c>
      <c r="B393" t="s">
        <v>197</v>
      </c>
      <c r="C393" t="s">
        <v>464</v>
      </c>
      <c r="D393">
        <v>8</v>
      </c>
      <c r="E393">
        <v>4283593.75</v>
      </c>
      <c r="F393">
        <v>4376562.5</v>
      </c>
      <c r="G393">
        <v>4330078.125</v>
      </c>
      <c r="H393">
        <v>-91500758.241761595</v>
      </c>
      <c r="I393">
        <v>-4.9726047778472416E-6</v>
      </c>
      <c r="J393">
        <v>1.0230563772165901E-5</v>
      </c>
      <c r="K393">
        <v>-30.436090728749495</v>
      </c>
      <c r="L393">
        <v>-2213.1433567786171</v>
      </c>
      <c r="M393">
        <v>0</v>
      </c>
    </row>
    <row r="394" spans="1:15" x14ac:dyDescent="0.15">
      <c r="A394">
        <v>244</v>
      </c>
      <c r="B394" t="s">
        <v>197</v>
      </c>
      <c r="C394" t="s">
        <v>464</v>
      </c>
      <c r="D394">
        <v>9</v>
      </c>
      <c r="E394">
        <v>4330078.125</v>
      </c>
      <c r="F394">
        <v>4376562.5</v>
      </c>
      <c r="G394">
        <v>4353320.3125</v>
      </c>
      <c r="H394">
        <v>-115294810.86879621</v>
      </c>
      <c r="I394">
        <v>-2.6699116611280361E-6</v>
      </c>
      <c r="J394">
        <v>1.2533256888885106E-5</v>
      </c>
      <c r="K394">
        <v>-38.350756776079983</v>
      </c>
      <c r="L394">
        <v>-2748.4338985519162</v>
      </c>
      <c r="M394">
        <v>0</v>
      </c>
    </row>
    <row r="395" spans="1:15" x14ac:dyDescent="0.15">
      <c r="A395">
        <v>244</v>
      </c>
      <c r="B395" t="s">
        <v>197</v>
      </c>
      <c r="C395" t="s">
        <v>464</v>
      </c>
      <c r="D395">
        <v>10</v>
      </c>
      <c r="E395">
        <v>4353320.3125</v>
      </c>
      <c r="F395">
        <v>4376562.5</v>
      </c>
      <c r="G395">
        <v>4364941.40625</v>
      </c>
      <c r="H395">
        <v>-57345028.688865572</v>
      </c>
      <c r="I395">
        <v>-9.3668202073927624E-7</v>
      </c>
      <c r="J395">
        <v>1.4266486529273866E-5</v>
      </c>
      <c r="K395">
        <v>-19.074798171677458</v>
      </c>
      <c r="L395">
        <v>-1413.7639970780667</v>
      </c>
      <c r="M395">
        <v>0</v>
      </c>
    </row>
    <row r="396" spans="1:15" x14ac:dyDescent="0.15">
      <c r="A396">
        <v>244</v>
      </c>
      <c r="B396" t="s">
        <v>197</v>
      </c>
      <c r="C396" t="s">
        <v>464</v>
      </c>
      <c r="D396">
        <v>11</v>
      </c>
      <c r="E396">
        <v>4364941.40625</v>
      </c>
      <c r="F396">
        <v>4376562.5</v>
      </c>
      <c r="G396">
        <v>4370751.953125</v>
      </c>
      <c r="H396">
        <v>1288527.0956177693</v>
      </c>
      <c r="I396">
        <v>1.8209273034025484E-8</v>
      </c>
      <c r="J396">
        <v>1.5221377823047168E-5</v>
      </c>
      <c r="K396">
        <v>0.42860549291902211</v>
      </c>
      <c r="L396">
        <v>-70.519326893018984</v>
      </c>
      <c r="M396">
        <v>0</v>
      </c>
    </row>
    <row r="397" spans="1:15" x14ac:dyDescent="0.15">
      <c r="A397">
        <v>244</v>
      </c>
      <c r="B397" t="s">
        <v>197</v>
      </c>
      <c r="C397" t="s">
        <v>464</v>
      </c>
      <c r="D397">
        <v>12</v>
      </c>
      <c r="E397">
        <v>4370751.953125</v>
      </c>
      <c r="F397">
        <v>4376562.5</v>
      </c>
      <c r="G397">
        <v>4373657.2265625</v>
      </c>
      <c r="H397">
        <v>39299252.103546873</v>
      </c>
      <c r="I397">
        <v>5.1945557934204945E-7</v>
      </c>
      <c r="J397">
        <v>1.5722624129355192E-5</v>
      </c>
      <c r="K397">
        <v>13.072193341121805</v>
      </c>
      <c r="L397">
        <v>798.54440043611589</v>
      </c>
      <c r="M397">
        <v>0</v>
      </c>
    </row>
    <row r="398" spans="1:15" x14ac:dyDescent="0.15">
      <c r="A398">
        <v>244</v>
      </c>
      <c r="B398" t="s">
        <v>197</v>
      </c>
      <c r="C398" t="s">
        <v>464</v>
      </c>
      <c r="D398">
        <v>13</v>
      </c>
      <c r="E398">
        <v>4370751.953125</v>
      </c>
      <c r="F398">
        <v>4373657.2265625</v>
      </c>
      <c r="G398">
        <v>4372204.58984375</v>
      </c>
      <c r="H398">
        <v>19529012.253879756</v>
      </c>
      <c r="I398">
        <v>2.6679561624458914E-7</v>
      </c>
      <c r="J398">
        <v>1.5469964166257732E-5</v>
      </c>
      <c r="K398">
        <v>6.4959766478816192</v>
      </c>
      <c r="L398">
        <v>346.66281855254323</v>
      </c>
      <c r="M398">
        <v>0</v>
      </c>
    </row>
    <row r="399" spans="1:15" x14ac:dyDescent="0.15">
      <c r="A399">
        <v>244</v>
      </c>
      <c r="B399" t="s">
        <v>197</v>
      </c>
      <c r="C399" t="s">
        <v>464</v>
      </c>
      <c r="D399">
        <v>14</v>
      </c>
      <c r="E399">
        <v>4370751.953125</v>
      </c>
      <c r="F399">
        <v>4372204.58984375</v>
      </c>
      <c r="G399">
        <v>4371478.271484375</v>
      </c>
      <c r="H399">
        <v>10220668.802197712</v>
      </c>
      <c r="I399">
        <v>1.4199760064989223E-7</v>
      </c>
      <c r="J399">
        <v>1.5345166150663035E-5</v>
      </c>
      <c r="K399">
        <v>3.3997226793494608</v>
      </c>
      <c r="L399">
        <v>133.80349088930026</v>
      </c>
      <c r="M399">
        <v>0</v>
      </c>
    </row>
    <row r="400" spans="1:15" x14ac:dyDescent="0.15">
      <c r="A400">
        <v>244</v>
      </c>
      <c r="B400" t="s">
        <v>197</v>
      </c>
      <c r="C400" t="s">
        <v>464</v>
      </c>
      <c r="D400">
        <v>15</v>
      </c>
      <c r="E400">
        <v>4370751.953125</v>
      </c>
      <c r="F400">
        <v>4371478.271484375</v>
      </c>
      <c r="G400">
        <v>4371115.1123046875</v>
      </c>
      <c r="H400">
        <v>5707980.2730040513</v>
      </c>
      <c r="I400">
        <v>7.997806560214855E-8</v>
      </c>
      <c r="J400">
        <v>1.5283146615615291E-5</v>
      </c>
      <c r="K400">
        <v>1.8986575500067566</v>
      </c>
      <c r="L400">
        <v>30.584075833100091</v>
      </c>
      <c r="M400">
        <v>0</v>
      </c>
    </row>
    <row r="401" spans="1:15" x14ac:dyDescent="0.15">
      <c r="A401">
        <v>244</v>
      </c>
      <c r="B401" t="s">
        <v>197</v>
      </c>
      <c r="C401" t="s">
        <v>464</v>
      </c>
      <c r="D401">
        <v>16</v>
      </c>
      <c r="E401">
        <v>4370751.953125</v>
      </c>
      <c r="F401">
        <v>4371115.1123046875</v>
      </c>
      <c r="G401">
        <v>4370933.5327148438</v>
      </c>
      <c r="H401">
        <v>3486670.1634677062</v>
      </c>
      <c r="I401">
        <v>4.9062715651600045E-8</v>
      </c>
      <c r="J401">
        <v>1.5252231265664743E-5</v>
      </c>
      <c r="K401">
        <v>1.1597784704268466</v>
      </c>
      <c r="L401">
        <v>-20.230537999005218</v>
      </c>
      <c r="M401">
        <v>0</v>
      </c>
    </row>
    <row r="402" spans="1:15" x14ac:dyDescent="0.15">
      <c r="A402">
        <v>244</v>
      </c>
      <c r="B402" t="s">
        <v>197</v>
      </c>
      <c r="C402" t="s">
        <v>464</v>
      </c>
      <c r="D402">
        <v>17</v>
      </c>
      <c r="E402">
        <v>4370933.5327148438</v>
      </c>
      <c r="F402">
        <v>4371115.1123046875</v>
      </c>
      <c r="G402">
        <v>4371024.3225097656</v>
      </c>
      <c r="H402">
        <v>4594353.1835521692</v>
      </c>
      <c r="I402">
        <v>6.4511666034988967E-8</v>
      </c>
      <c r="J402">
        <v>1.5267680216048132E-5</v>
      </c>
      <c r="K402">
        <v>1.5282294160344085</v>
      </c>
      <c r="L402">
        <v>5.1093026385671561</v>
      </c>
      <c r="M402">
        <v>0</v>
      </c>
    </row>
    <row r="403" spans="1:15" x14ac:dyDescent="0.15">
      <c r="A403">
        <v>244</v>
      </c>
      <c r="B403" t="s">
        <v>197</v>
      </c>
      <c r="C403" t="s">
        <v>464</v>
      </c>
      <c r="D403">
        <v>18</v>
      </c>
      <c r="E403">
        <v>4370933.5327148438</v>
      </c>
      <c r="F403">
        <v>4371024.3225097656</v>
      </c>
      <c r="G403">
        <v>4370978.9276123047</v>
      </c>
      <c r="H403">
        <v>4039816.2854501037</v>
      </c>
      <c r="I403">
        <v>5.6785663068254985E-8</v>
      </c>
      <c r="J403">
        <v>1.5259954213081398E-5</v>
      </c>
      <c r="K403">
        <v>1.34377263482961</v>
      </c>
      <c r="L403">
        <v>-7.5763953028961923</v>
      </c>
      <c r="M403">
        <v>0</v>
      </c>
    </row>
    <row r="404" spans="1:15" x14ac:dyDescent="0.15">
      <c r="A404">
        <v>244</v>
      </c>
      <c r="B404" t="s">
        <v>197</v>
      </c>
      <c r="C404" t="s">
        <v>464</v>
      </c>
      <c r="D404">
        <v>19</v>
      </c>
      <c r="E404">
        <v>4370978.9276123047</v>
      </c>
      <c r="F404">
        <v>4371024.3225097656</v>
      </c>
      <c r="G404">
        <v>4371001.6250610352</v>
      </c>
      <c r="H404">
        <v>4316934.2310447404</v>
      </c>
      <c r="I404">
        <v>6.0648608668936683E-8</v>
      </c>
      <c r="J404">
        <v>1.5263817158682079E-5</v>
      </c>
      <c r="K404">
        <v>1.4359509631490086</v>
      </c>
      <c r="L404">
        <v>-1.2369566212535956</v>
      </c>
      <c r="M404">
        <v>0</v>
      </c>
    </row>
    <row r="405" spans="1:15" x14ac:dyDescent="0.15">
      <c r="A405">
        <v>244</v>
      </c>
      <c r="B405" t="s">
        <v>197</v>
      </c>
      <c r="C405" t="s">
        <v>464</v>
      </c>
      <c r="D405">
        <v>20</v>
      </c>
      <c r="E405">
        <v>4371001.6250610352</v>
      </c>
      <c r="F405">
        <v>4371024.3225097656</v>
      </c>
      <c r="G405">
        <v>4371012.9737854004</v>
      </c>
      <c r="H405">
        <v>4455567.0505863698</v>
      </c>
      <c r="I405">
        <v>6.2579579851509281E-8</v>
      </c>
      <c r="J405">
        <v>1.5265748129864652E-5</v>
      </c>
      <c r="K405">
        <v>1.4820646911074467</v>
      </c>
      <c r="L405">
        <v>1.9344274955959146</v>
      </c>
      <c r="M405">
        <v>0</v>
      </c>
    </row>
    <row r="406" spans="1:15" x14ac:dyDescent="0.15">
      <c r="A406">
        <v>244</v>
      </c>
      <c r="B406" t="s">
        <v>197</v>
      </c>
      <c r="C406" t="s">
        <v>464</v>
      </c>
      <c r="D406">
        <v>21</v>
      </c>
      <c r="E406">
        <v>4371001.6250610352</v>
      </c>
      <c r="F406">
        <v>4371012.9737854004</v>
      </c>
      <c r="G406">
        <v>4371007.2994232178</v>
      </c>
      <c r="H406">
        <v>4386208.0729653547</v>
      </c>
      <c r="I406">
        <v>6.1613628798521953E-8</v>
      </c>
      <c r="J406">
        <v>1.5264782178811665E-5</v>
      </c>
      <c r="K406">
        <v>1.4589936676941888</v>
      </c>
      <c r="L406">
        <v>0.34776362748565359</v>
      </c>
      <c r="M406">
        <v>0</v>
      </c>
    </row>
    <row r="407" spans="1:15" x14ac:dyDescent="0.15">
      <c r="A407">
        <v>244</v>
      </c>
      <c r="B407" t="s">
        <v>197</v>
      </c>
      <c r="C407" t="s">
        <v>465</v>
      </c>
      <c r="D407">
        <v>21</v>
      </c>
      <c r="E407">
        <v>4371001.6250610352</v>
      </c>
      <c r="F407">
        <v>4371012.9737854004</v>
      </c>
      <c r="G407">
        <v>4371007.2994232178</v>
      </c>
      <c r="H407">
        <v>4386208.0729653547</v>
      </c>
      <c r="I407">
        <v>6.1613628798521953E-8</v>
      </c>
      <c r="J407">
        <v>1.5264782178811665E-5</v>
      </c>
      <c r="K407">
        <v>1.4589936676941888</v>
      </c>
      <c r="L407">
        <v>0.34776362748565359</v>
      </c>
      <c r="M407">
        <v>0</v>
      </c>
      <c r="N407" t="s">
        <v>466</v>
      </c>
      <c r="O407" t="s">
        <v>467</v>
      </c>
    </row>
    <row r="408" spans="1:15" x14ac:dyDescent="0.15">
      <c r="A408">
        <v>245</v>
      </c>
      <c r="B408" t="s">
        <v>198</v>
      </c>
      <c r="C408" t="s">
        <v>461</v>
      </c>
      <c r="D408">
        <v>0</v>
      </c>
      <c r="E408">
        <v>100000</v>
      </c>
      <c r="F408">
        <v>12000000</v>
      </c>
      <c r="G408">
        <v>100000</v>
      </c>
      <c r="H408">
        <v>-1872.8444027022681</v>
      </c>
      <c r="I408">
        <v>-4.825005017779783E-5</v>
      </c>
      <c r="J408">
        <v>-3.421924487571416E-5</v>
      </c>
      <c r="K408">
        <v>-6.0580478510460333E-4</v>
      </c>
      <c r="L408">
        <v>-101.87284440270227</v>
      </c>
      <c r="M408">
        <v>0</v>
      </c>
      <c r="O408" t="s">
        <v>462</v>
      </c>
    </row>
    <row r="409" spans="1:15" x14ac:dyDescent="0.15">
      <c r="A409">
        <v>245</v>
      </c>
      <c r="B409" t="s">
        <v>198</v>
      </c>
      <c r="C409" t="s">
        <v>461</v>
      </c>
      <c r="D409">
        <v>0</v>
      </c>
      <c r="E409">
        <v>100000</v>
      </c>
      <c r="F409">
        <v>12000000</v>
      </c>
      <c r="G409">
        <v>12000000</v>
      </c>
      <c r="H409">
        <v>3.7679796478938747E+18</v>
      </c>
      <c r="I409">
        <v>536.87090796919472</v>
      </c>
      <c r="J409">
        <v>536.87092200000006</v>
      </c>
      <c r="K409">
        <v>1218819939113.6228</v>
      </c>
      <c r="L409">
        <v>31399830399015.621</v>
      </c>
      <c r="M409">
        <v>5</v>
      </c>
      <c r="O409" t="s">
        <v>463</v>
      </c>
    </row>
    <row r="410" spans="1:15" x14ac:dyDescent="0.15">
      <c r="A410">
        <v>245</v>
      </c>
      <c r="B410" t="s">
        <v>198</v>
      </c>
      <c r="C410" t="s">
        <v>464</v>
      </c>
      <c r="D410">
        <v>1</v>
      </c>
      <c r="E410">
        <v>100000</v>
      </c>
      <c r="F410">
        <v>12000000</v>
      </c>
      <c r="G410">
        <v>6050000</v>
      </c>
      <c r="H410">
        <v>3.6895093971886726E+17</v>
      </c>
      <c r="I410">
        <v>69.097574868686166</v>
      </c>
      <c r="J410">
        <v>69.09758889949147</v>
      </c>
      <c r="K410">
        <v>119343734283.5481</v>
      </c>
      <c r="L410">
        <v>6098362639881.2773</v>
      </c>
      <c r="M410">
        <v>0</v>
      </c>
    </row>
    <row r="411" spans="1:15" x14ac:dyDescent="0.15">
      <c r="A411">
        <v>245</v>
      </c>
      <c r="B411" t="s">
        <v>198</v>
      </c>
      <c r="C411" t="s">
        <v>464</v>
      </c>
      <c r="D411">
        <v>2</v>
      </c>
      <c r="E411">
        <v>100000</v>
      </c>
      <c r="F411">
        <v>6050000</v>
      </c>
      <c r="G411">
        <v>3075000</v>
      </c>
      <c r="H411">
        <v>-15757.8056283562</v>
      </c>
      <c r="I411">
        <v>-2.270411058269331E-5</v>
      </c>
      <c r="J411">
        <v>-8.6733052806096428E-6</v>
      </c>
      <c r="K411">
        <v>-5.0971421003435163E-3</v>
      </c>
      <c r="L411">
        <v>-100.51244896352378</v>
      </c>
      <c r="M411">
        <v>0</v>
      </c>
    </row>
    <row r="412" spans="1:15" x14ac:dyDescent="0.15">
      <c r="A412">
        <v>245</v>
      </c>
      <c r="B412" t="s">
        <v>198</v>
      </c>
      <c r="C412" t="s">
        <v>464</v>
      </c>
      <c r="D412">
        <v>3</v>
      </c>
      <c r="E412">
        <v>3075000</v>
      </c>
      <c r="F412">
        <v>6050000</v>
      </c>
      <c r="G412">
        <v>4562500</v>
      </c>
      <c r="H412">
        <v>-27989099.191198125</v>
      </c>
      <c r="I412">
        <v>-6.0938203538228642E-6</v>
      </c>
      <c r="J412">
        <v>7.9369849482608044E-6</v>
      </c>
      <c r="K412">
        <v>-9.0535712397303438</v>
      </c>
      <c r="L412">
        <v>-713.45970830023293</v>
      </c>
      <c r="M412">
        <v>0</v>
      </c>
    </row>
    <row r="413" spans="1:15" x14ac:dyDescent="0.15">
      <c r="A413">
        <v>245</v>
      </c>
      <c r="B413" t="s">
        <v>198</v>
      </c>
      <c r="C413" t="s">
        <v>464</v>
      </c>
      <c r="D413">
        <v>4</v>
      </c>
      <c r="E413">
        <v>4562500</v>
      </c>
      <c r="F413">
        <v>6050000</v>
      </c>
      <c r="G413">
        <v>5306250</v>
      </c>
      <c r="H413">
        <v>21589740700159.332</v>
      </c>
      <c r="I413">
        <v>1.7347830203180502E-2</v>
      </c>
      <c r="J413">
        <v>1.7361861008482585E-2</v>
      </c>
      <c r="K413">
        <v>6983585.0786390016</v>
      </c>
      <c r="L413">
        <v>406873694.11372119</v>
      </c>
      <c r="M413">
        <v>0</v>
      </c>
    </row>
    <row r="414" spans="1:15" x14ac:dyDescent="0.15">
      <c r="A414">
        <v>245</v>
      </c>
      <c r="B414" t="s">
        <v>198</v>
      </c>
      <c r="C414" t="s">
        <v>464</v>
      </c>
      <c r="D414">
        <v>5</v>
      </c>
      <c r="E414">
        <v>4562500</v>
      </c>
      <c r="F414">
        <v>5306250</v>
      </c>
      <c r="G414">
        <v>4934375</v>
      </c>
      <c r="H414">
        <v>127128442568.53076</v>
      </c>
      <c r="I414">
        <v>2.99693584438742E-4</v>
      </c>
      <c r="J414">
        <v>3.1372438974082564E-4</v>
      </c>
      <c r="K414">
        <v>41121.952640480515</v>
      </c>
      <c r="L414">
        <v>2576283.8899258925</v>
      </c>
      <c r="M414">
        <v>0</v>
      </c>
    </row>
    <row r="415" spans="1:15" x14ac:dyDescent="0.15">
      <c r="A415">
        <v>245</v>
      </c>
      <c r="B415" t="s">
        <v>198</v>
      </c>
      <c r="C415" t="s">
        <v>464</v>
      </c>
      <c r="D415">
        <v>6</v>
      </c>
      <c r="E415">
        <v>4562500</v>
      </c>
      <c r="F415">
        <v>4934375</v>
      </c>
      <c r="G415">
        <v>4748437.5</v>
      </c>
      <c r="H415">
        <v>5762146750.9693937</v>
      </c>
      <c r="I415">
        <v>2.921999258260467E-5</v>
      </c>
      <c r="J415">
        <v>4.325079788468834E-5</v>
      </c>
      <c r="K415">
        <v>1863.8687064315268</v>
      </c>
      <c r="L415">
        <v>121248.26984601554</v>
      </c>
      <c r="M415">
        <v>0</v>
      </c>
    </row>
    <row r="416" spans="1:15" x14ac:dyDescent="0.15">
      <c r="A416">
        <v>245</v>
      </c>
      <c r="B416" t="s">
        <v>198</v>
      </c>
      <c r="C416" t="s">
        <v>464</v>
      </c>
      <c r="D416">
        <v>7</v>
      </c>
      <c r="E416">
        <v>4562500</v>
      </c>
      <c r="F416">
        <v>4748437.5</v>
      </c>
      <c r="G416">
        <v>4655468.75</v>
      </c>
      <c r="H416">
        <v>210500783.41408685</v>
      </c>
      <c r="I416">
        <v>2.117182461488852E-6</v>
      </c>
      <c r="J416">
        <v>1.6147987763572521E-5</v>
      </c>
      <c r="K416">
        <v>68.090217039132298</v>
      </c>
      <c r="L416">
        <v>4421.5808486328442</v>
      </c>
      <c r="M416">
        <v>0</v>
      </c>
    </row>
    <row r="417" spans="1:15" x14ac:dyDescent="0.15">
      <c r="A417">
        <v>245</v>
      </c>
      <c r="B417" t="s">
        <v>198</v>
      </c>
      <c r="C417" t="s">
        <v>464</v>
      </c>
      <c r="D417">
        <v>8</v>
      </c>
      <c r="E417">
        <v>4562500</v>
      </c>
      <c r="F417">
        <v>4655468.75</v>
      </c>
      <c r="G417">
        <v>4608984.375</v>
      </c>
      <c r="H417">
        <v>-108201585.84324859</v>
      </c>
      <c r="I417">
        <v>-3.8989425919783765E-6</v>
      </c>
      <c r="J417">
        <v>1.0131862710105292E-5</v>
      </c>
      <c r="K417">
        <v>-34.999724678231601</v>
      </c>
      <c r="L417">
        <v>-2447.6231863608473</v>
      </c>
      <c r="M417">
        <v>0</v>
      </c>
    </row>
    <row r="418" spans="1:15" x14ac:dyDescent="0.15">
      <c r="A418">
        <v>245</v>
      </c>
      <c r="B418" t="s">
        <v>198</v>
      </c>
      <c r="C418" t="s">
        <v>464</v>
      </c>
      <c r="D418">
        <v>9</v>
      </c>
      <c r="E418">
        <v>4608984.375</v>
      </c>
      <c r="F418">
        <v>4655468.75</v>
      </c>
      <c r="G418">
        <v>4632226.5625</v>
      </c>
      <c r="H418">
        <v>-82624845.600561947</v>
      </c>
      <c r="I418">
        <v>-1.401353378247763E-6</v>
      </c>
      <c r="J418">
        <v>1.2629451923835906E-5</v>
      </c>
      <c r="K418">
        <v>-26.726473785610466</v>
      </c>
      <c r="L418">
        <v>-1883.6961229281831</v>
      </c>
      <c r="M418">
        <v>0</v>
      </c>
    </row>
    <row r="419" spans="1:15" x14ac:dyDescent="0.15">
      <c r="A419">
        <v>245</v>
      </c>
      <c r="B419" t="s">
        <v>198</v>
      </c>
      <c r="C419" t="s">
        <v>464</v>
      </c>
      <c r="D419">
        <v>10</v>
      </c>
      <c r="E419">
        <v>4632226.5625</v>
      </c>
      <c r="F419">
        <v>4655468.75</v>
      </c>
      <c r="G419">
        <v>4643847.65625</v>
      </c>
      <c r="H419">
        <v>19602779.393318642</v>
      </c>
      <c r="I419">
        <v>2.4962153577233141E-7</v>
      </c>
      <c r="J419">
        <v>1.4280426837856E-5</v>
      </c>
      <c r="K419">
        <v>6.3408671540933259</v>
      </c>
      <c r="L419">
        <v>322.12365358144154</v>
      </c>
      <c r="M419">
        <v>0</v>
      </c>
    </row>
    <row r="420" spans="1:15" x14ac:dyDescent="0.15">
      <c r="A420">
        <v>245</v>
      </c>
      <c r="B420" t="s">
        <v>198</v>
      </c>
      <c r="C420" t="s">
        <v>464</v>
      </c>
      <c r="D420">
        <v>11</v>
      </c>
      <c r="E420">
        <v>4632226.5625</v>
      </c>
      <c r="F420">
        <v>4643847.65625</v>
      </c>
      <c r="G420">
        <v>4638037.109375</v>
      </c>
      <c r="H420">
        <v>-41233205.70678591</v>
      </c>
      <c r="I420">
        <v>-6.0130216313435041E-7</v>
      </c>
      <c r="J420">
        <v>1.3429503138949318E-5</v>
      </c>
      <c r="K420">
        <v>-13.337612716962251</v>
      </c>
      <c r="L420">
        <v>-989.0227640361054</v>
      </c>
      <c r="M420">
        <v>0</v>
      </c>
    </row>
    <row r="421" spans="1:15" x14ac:dyDescent="0.15">
      <c r="A421">
        <v>245</v>
      </c>
      <c r="B421" t="s">
        <v>198</v>
      </c>
      <c r="C421" t="s">
        <v>464</v>
      </c>
      <c r="D421">
        <v>12</v>
      </c>
      <c r="E421">
        <v>4638037.109375</v>
      </c>
      <c r="F421">
        <v>4643847.65625</v>
      </c>
      <c r="G421">
        <v>4640942.3828125</v>
      </c>
      <c r="H421">
        <v>-13407816.98363707</v>
      </c>
      <c r="I421">
        <v>-1.823954850498053E-7</v>
      </c>
      <c r="J421">
        <v>1.3848409817033863E-5</v>
      </c>
      <c r="K421">
        <v>-4.3369965357369669</v>
      </c>
      <c r="L421">
        <v>-388.90289681880677</v>
      </c>
      <c r="M421">
        <v>0</v>
      </c>
    </row>
    <row r="422" spans="1:15" x14ac:dyDescent="0.15">
      <c r="A422">
        <v>245</v>
      </c>
      <c r="B422" t="s">
        <v>198</v>
      </c>
      <c r="C422" t="s">
        <v>464</v>
      </c>
      <c r="D422">
        <v>13</v>
      </c>
      <c r="E422">
        <v>4640942.3828125</v>
      </c>
      <c r="F422">
        <v>4643847.65625</v>
      </c>
      <c r="G422">
        <v>4642395.01953125</v>
      </c>
      <c r="H422">
        <v>2428625.545010102</v>
      </c>
      <c r="I422">
        <v>3.1951634551911809E-8</v>
      </c>
      <c r="J422">
        <v>1.406275693663558E-5</v>
      </c>
      <c r="K422">
        <v>0.78558206665302344</v>
      </c>
      <c r="L422">
        <v>-47.685935066005563</v>
      </c>
      <c r="M422">
        <v>0</v>
      </c>
    </row>
    <row r="423" spans="1:15" x14ac:dyDescent="0.15">
      <c r="A423">
        <v>245</v>
      </c>
      <c r="B423" t="s">
        <v>198</v>
      </c>
      <c r="C423" t="s">
        <v>464</v>
      </c>
      <c r="D423">
        <v>14</v>
      </c>
      <c r="E423">
        <v>4642395.01953125</v>
      </c>
      <c r="F423">
        <v>4643847.65625</v>
      </c>
      <c r="G423">
        <v>4643121.337890625</v>
      </c>
      <c r="H423">
        <v>10846052.834475979</v>
      </c>
      <c r="I423">
        <v>1.4037078187839959E-7</v>
      </c>
      <c r="J423">
        <v>1.4171176083962068E-5</v>
      </c>
      <c r="K423">
        <v>3.5083484229348665</v>
      </c>
      <c r="L423">
        <v>133.59399949266353</v>
      </c>
      <c r="M423">
        <v>0</v>
      </c>
    </row>
    <row r="424" spans="1:15" x14ac:dyDescent="0.15">
      <c r="A424">
        <v>245</v>
      </c>
      <c r="B424" t="s">
        <v>198</v>
      </c>
      <c r="C424" t="s">
        <v>464</v>
      </c>
      <c r="D424">
        <v>15</v>
      </c>
      <c r="E424">
        <v>4642395.01953125</v>
      </c>
      <c r="F424">
        <v>4643121.337890625</v>
      </c>
      <c r="G424">
        <v>4642758.1787109375</v>
      </c>
      <c r="H424">
        <v>6595249.226580401</v>
      </c>
      <c r="I424">
        <v>8.6057549668107369E-8</v>
      </c>
      <c r="J424">
        <v>1.4116862851751776E-5</v>
      </c>
      <c r="K424">
        <v>2.1333504986612644</v>
      </c>
      <c r="L424">
        <v>42.054549746365915</v>
      </c>
      <c r="M424">
        <v>0</v>
      </c>
    </row>
    <row r="425" spans="1:15" x14ac:dyDescent="0.15">
      <c r="A425">
        <v>245</v>
      </c>
      <c r="B425" t="s">
        <v>198</v>
      </c>
      <c r="C425" t="s">
        <v>464</v>
      </c>
      <c r="D425">
        <v>16</v>
      </c>
      <c r="E425">
        <v>4642395.01953125</v>
      </c>
      <c r="F425">
        <v>4642758.1787109375</v>
      </c>
      <c r="G425">
        <v>4642576.5991210938</v>
      </c>
      <c r="H425">
        <v>4501471.2156514674</v>
      </c>
      <c r="I425">
        <v>5.8978923331647783E-8</v>
      </c>
      <c r="J425">
        <v>1.4089784225415316E-5</v>
      </c>
      <c r="K425">
        <v>1.4560808140375003</v>
      </c>
      <c r="L425">
        <v>-3.0393765284635168</v>
      </c>
      <c r="M425">
        <v>0</v>
      </c>
    </row>
    <row r="426" spans="1:15" x14ac:dyDescent="0.15">
      <c r="A426">
        <v>245</v>
      </c>
      <c r="B426" t="s">
        <v>198</v>
      </c>
      <c r="C426" t="s">
        <v>464</v>
      </c>
      <c r="D426">
        <v>17</v>
      </c>
      <c r="E426">
        <v>4642576.5991210938</v>
      </c>
      <c r="F426">
        <v>4642758.1787109375</v>
      </c>
      <c r="G426">
        <v>4642667.3889160156</v>
      </c>
      <c r="H426">
        <v>5545669.2023843853</v>
      </c>
      <c r="I426">
        <v>7.2510915836116005E-8</v>
      </c>
      <c r="J426">
        <v>1.4103316217919785E-5</v>
      </c>
      <c r="K426">
        <v>1.7938451985462534</v>
      </c>
      <c r="L426">
        <v>19.450064754244764</v>
      </c>
      <c r="M426">
        <v>0</v>
      </c>
    </row>
    <row r="427" spans="1:15" x14ac:dyDescent="0.15">
      <c r="A427">
        <v>245</v>
      </c>
      <c r="B427" t="s">
        <v>198</v>
      </c>
      <c r="C427" t="s">
        <v>464</v>
      </c>
      <c r="D427">
        <v>18</v>
      </c>
      <c r="E427">
        <v>4642576.5991210938</v>
      </c>
      <c r="F427">
        <v>4642667.3889160156</v>
      </c>
      <c r="G427">
        <v>4642621.9940185547</v>
      </c>
      <c r="H427">
        <v>5022882.8358172029</v>
      </c>
      <c r="I427">
        <v>6.5742891116372067E-8</v>
      </c>
      <c r="J427">
        <v>1.4096548193200041E-5</v>
      </c>
      <c r="K427">
        <v>1.6247406632218653</v>
      </c>
      <c r="L427">
        <v>8.1906483510517845</v>
      </c>
      <c r="M427">
        <v>0</v>
      </c>
    </row>
    <row r="428" spans="1:15" x14ac:dyDescent="0.15">
      <c r="A428">
        <v>245</v>
      </c>
      <c r="B428" t="s">
        <v>198</v>
      </c>
      <c r="C428" t="s">
        <v>464</v>
      </c>
      <c r="D428">
        <v>19</v>
      </c>
      <c r="E428">
        <v>4642576.5991210938</v>
      </c>
      <c r="F428">
        <v>4642621.9940185547</v>
      </c>
      <c r="G428">
        <v>4642599.2965698242</v>
      </c>
      <c r="H428">
        <v>4762043.7082380606</v>
      </c>
      <c r="I428">
        <v>6.2360898620130462E-8</v>
      </c>
      <c r="J428">
        <v>1.4093166200703799E-5</v>
      </c>
      <c r="K428">
        <v>1.540367614717699</v>
      </c>
      <c r="L428">
        <v>2.5727917495806207</v>
      </c>
      <c r="M428">
        <v>0</v>
      </c>
    </row>
    <row r="429" spans="1:15" x14ac:dyDescent="0.15">
      <c r="A429">
        <v>245</v>
      </c>
      <c r="B429" t="s">
        <v>198</v>
      </c>
      <c r="C429" t="s">
        <v>464</v>
      </c>
      <c r="D429">
        <v>20</v>
      </c>
      <c r="E429">
        <v>4642576.5991210938</v>
      </c>
      <c r="F429">
        <v>4642599.2965698242</v>
      </c>
      <c r="G429">
        <v>4642587.947845459</v>
      </c>
      <c r="H429">
        <v>4631716.449744042</v>
      </c>
      <c r="I429">
        <v>6.0669809142156026E-8</v>
      </c>
      <c r="J429">
        <v>1.4091475111225825E-5</v>
      </c>
      <c r="K429">
        <v>1.4982109482528703</v>
      </c>
      <c r="L429">
        <v>-0.23416892094553085</v>
      </c>
      <c r="M429">
        <v>0</v>
      </c>
    </row>
    <row r="430" spans="1:15" x14ac:dyDescent="0.15">
      <c r="A430">
        <v>245</v>
      </c>
      <c r="B430" t="s">
        <v>198</v>
      </c>
      <c r="C430" t="s">
        <v>465</v>
      </c>
      <c r="D430">
        <v>20</v>
      </c>
      <c r="E430">
        <v>4642576.5991210938</v>
      </c>
      <c r="F430">
        <v>4642599.2965698242</v>
      </c>
      <c r="G430">
        <v>4642587.947845459</v>
      </c>
      <c r="H430">
        <v>4631716.449744042</v>
      </c>
      <c r="I430">
        <v>6.0669809142156026E-8</v>
      </c>
      <c r="J430">
        <v>1.4091475111225825E-5</v>
      </c>
      <c r="K430">
        <v>1.4982109482528703</v>
      </c>
      <c r="L430">
        <v>-0.23416892094553085</v>
      </c>
      <c r="M430">
        <v>0</v>
      </c>
      <c r="N430" t="s">
        <v>466</v>
      </c>
      <c r="O430" t="s">
        <v>467</v>
      </c>
    </row>
    <row r="431" spans="1:15" x14ac:dyDescent="0.15">
      <c r="A431">
        <v>246</v>
      </c>
      <c r="B431" t="s">
        <v>199</v>
      </c>
      <c r="C431" t="s">
        <v>461</v>
      </c>
      <c r="D431">
        <v>0</v>
      </c>
      <c r="E431">
        <v>100000</v>
      </c>
      <c r="F431">
        <v>12000000</v>
      </c>
      <c r="G431">
        <v>100000</v>
      </c>
      <c r="H431">
        <v>-1787.2128331285774</v>
      </c>
      <c r="I431">
        <v>-4.1250290995358851E-5</v>
      </c>
      <c r="J431">
        <v>-2.998600238484477E-5</v>
      </c>
      <c r="K431">
        <v>-4.9436615915127266E-4</v>
      </c>
      <c r="L431">
        <v>-101.78721283312858</v>
      </c>
      <c r="M431">
        <v>0</v>
      </c>
      <c r="O431" t="s">
        <v>462</v>
      </c>
    </row>
    <row r="432" spans="1:15" x14ac:dyDescent="0.15">
      <c r="A432">
        <v>246</v>
      </c>
      <c r="B432" t="s">
        <v>199</v>
      </c>
      <c r="C432" t="s">
        <v>461</v>
      </c>
      <c r="D432">
        <v>0</v>
      </c>
      <c r="E432">
        <v>100000</v>
      </c>
      <c r="F432">
        <v>12000000</v>
      </c>
      <c r="G432">
        <v>12000000</v>
      </c>
      <c r="H432">
        <v>5.3059318476370268E+18</v>
      </c>
      <c r="I432">
        <v>536.87091073571139</v>
      </c>
      <c r="J432">
        <v>536.87092199999995</v>
      </c>
      <c r="K432">
        <v>1467689297890.1418</v>
      </c>
      <c r="L432">
        <v>44216098730208.555</v>
      </c>
      <c r="M432">
        <v>5</v>
      </c>
      <c r="O432" t="s">
        <v>463</v>
      </c>
    </row>
    <row r="433" spans="1:13" x14ac:dyDescent="0.15">
      <c r="A433">
        <v>246</v>
      </c>
      <c r="B433" t="s">
        <v>199</v>
      </c>
      <c r="C433" t="s">
        <v>464</v>
      </c>
      <c r="D433">
        <v>1</v>
      </c>
      <c r="E433">
        <v>100000</v>
      </c>
      <c r="F433">
        <v>12000000</v>
      </c>
      <c r="G433">
        <v>6050000</v>
      </c>
      <c r="H433">
        <v>49019564420429.25</v>
      </c>
      <c r="I433">
        <v>2.5482911449239257E-2</v>
      </c>
      <c r="J433">
        <v>2.5494175737849772E-2</v>
      </c>
      <c r="K433">
        <v>13559444.816303283</v>
      </c>
      <c r="L433">
        <v>810240634.22197104</v>
      </c>
      <c r="M433">
        <v>0</v>
      </c>
    </row>
    <row r="434" spans="1:13" x14ac:dyDescent="0.15">
      <c r="A434">
        <v>246</v>
      </c>
      <c r="B434" t="s">
        <v>199</v>
      </c>
      <c r="C434" t="s">
        <v>464</v>
      </c>
      <c r="D434">
        <v>2</v>
      </c>
      <c r="E434">
        <v>100000</v>
      </c>
      <c r="F434">
        <v>6050000</v>
      </c>
      <c r="G434">
        <v>3075000</v>
      </c>
      <c r="H434">
        <v>-10567.024156971174</v>
      </c>
      <c r="I434">
        <v>-2.1407314517379666E-5</v>
      </c>
      <c r="J434">
        <v>-1.0143025906865584E-5</v>
      </c>
      <c r="K434">
        <v>-2.9229754001910339E-3</v>
      </c>
      <c r="L434">
        <v>-100.34364306201532</v>
      </c>
      <c r="M434">
        <v>0</v>
      </c>
    </row>
    <row r="435" spans="1:13" x14ac:dyDescent="0.15">
      <c r="A435">
        <v>246</v>
      </c>
      <c r="B435" t="s">
        <v>199</v>
      </c>
      <c r="C435" t="s">
        <v>464</v>
      </c>
      <c r="D435">
        <v>3</v>
      </c>
      <c r="E435">
        <v>3075000</v>
      </c>
      <c r="F435">
        <v>6050000</v>
      </c>
      <c r="G435">
        <v>4562500</v>
      </c>
      <c r="H435">
        <v>-107755.51371045501</v>
      </c>
      <c r="I435">
        <v>-1.1368117192236637E-5</v>
      </c>
      <c r="J435">
        <v>-1.0382858172255345E-7</v>
      </c>
      <c r="K435">
        <v>-2.9806567216260304E-2</v>
      </c>
      <c r="L435">
        <v>-102.36176468406477</v>
      </c>
      <c r="M435">
        <v>0</v>
      </c>
    </row>
    <row r="436" spans="1:13" x14ac:dyDescent="0.15">
      <c r="A436">
        <v>246</v>
      </c>
      <c r="B436" t="s">
        <v>199</v>
      </c>
      <c r="C436" t="s">
        <v>464</v>
      </c>
      <c r="D436">
        <v>4</v>
      </c>
      <c r="E436">
        <v>4562500</v>
      </c>
      <c r="F436">
        <v>6050000</v>
      </c>
      <c r="G436">
        <v>5306250</v>
      </c>
      <c r="H436">
        <v>2838425796.0427985</v>
      </c>
      <c r="I436">
        <v>1.3192412788887493E-5</v>
      </c>
      <c r="J436">
        <v>2.4456701399401576E-5</v>
      </c>
      <c r="K436">
        <v>785.14524561083442</v>
      </c>
      <c r="L436">
        <v>53392.123364764164</v>
      </c>
      <c r="M436">
        <v>0</v>
      </c>
    </row>
    <row r="437" spans="1:13" x14ac:dyDescent="0.15">
      <c r="A437">
        <v>246</v>
      </c>
      <c r="B437" t="s">
        <v>199</v>
      </c>
      <c r="C437" t="s">
        <v>464</v>
      </c>
      <c r="D437">
        <v>5</v>
      </c>
      <c r="E437">
        <v>4562500</v>
      </c>
      <c r="F437">
        <v>5306250</v>
      </c>
      <c r="G437">
        <v>4934375</v>
      </c>
      <c r="H437">
        <v>-513046.79862423916</v>
      </c>
      <c r="I437">
        <v>-8.4885274315736228E-6</v>
      </c>
      <c r="J437">
        <v>2.7757611789404604E-6</v>
      </c>
      <c r="K437">
        <v>-0.14191537269611496</v>
      </c>
      <c r="L437">
        <v>-110.39740187205551</v>
      </c>
      <c r="M437">
        <v>0</v>
      </c>
    </row>
    <row r="438" spans="1:13" x14ac:dyDescent="0.15">
      <c r="A438">
        <v>246</v>
      </c>
      <c r="B438" t="s">
        <v>199</v>
      </c>
      <c r="C438" t="s">
        <v>464</v>
      </c>
      <c r="D438">
        <v>6</v>
      </c>
      <c r="E438">
        <v>4934375</v>
      </c>
      <c r="F438">
        <v>5306250</v>
      </c>
      <c r="G438">
        <v>5120312.5</v>
      </c>
      <c r="H438">
        <v>-26986325.949075356</v>
      </c>
      <c r="I438">
        <v>-4.8270396099286815E-6</v>
      </c>
      <c r="J438">
        <v>6.4372490005854012E-6</v>
      </c>
      <c r="K438">
        <v>-7.4647664014893005</v>
      </c>
      <c r="L438">
        <v>-627.04451044883206</v>
      </c>
      <c r="M438">
        <v>0</v>
      </c>
    </row>
    <row r="439" spans="1:13" x14ac:dyDescent="0.15">
      <c r="A439">
        <v>246</v>
      </c>
      <c r="B439" t="s">
        <v>199</v>
      </c>
      <c r="C439" t="s">
        <v>464</v>
      </c>
      <c r="D439">
        <v>7</v>
      </c>
      <c r="E439">
        <v>5120312.5</v>
      </c>
      <c r="F439">
        <v>5306250</v>
      </c>
      <c r="G439">
        <v>5213281.25</v>
      </c>
      <c r="H439">
        <v>-64644677.374854974</v>
      </c>
      <c r="I439">
        <v>-8.6132140750882705E-7</v>
      </c>
      <c r="J439">
        <v>1.0402967203005256E-5</v>
      </c>
      <c r="K439">
        <v>-17.881552924749545</v>
      </c>
      <c r="L439">
        <v>-1339.9998057817229</v>
      </c>
      <c r="M439">
        <v>0</v>
      </c>
    </row>
    <row r="440" spans="1:13" x14ac:dyDescent="0.15">
      <c r="A440">
        <v>246</v>
      </c>
      <c r="B440" t="s">
        <v>199</v>
      </c>
      <c r="C440" t="s">
        <v>464</v>
      </c>
      <c r="D440">
        <v>8</v>
      </c>
      <c r="E440">
        <v>5213281.25</v>
      </c>
      <c r="F440">
        <v>5306250</v>
      </c>
      <c r="G440">
        <v>5259765.625</v>
      </c>
      <c r="H440">
        <v>765009366.03580797</v>
      </c>
      <c r="I440">
        <v>4.6810282635995599E-6</v>
      </c>
      <c r="J440">
        <v>1.5945316874113643E-5</v>
      </c>
      <c r="K440">
        <v>211.61147401780323</v>
      </c>
      <c r="L440">
        <v>14444.552373202141</v>
      </c>
      <c r="M440">
        <v>0</v>
      </c>
    </row>
    <row r="441" spans="1:13" x14ac:dyDescent="0.15">
      <c r="A441">
        <v>246</v>
      </c>
      <c r="B441" t="s">
        <v>199</v>
      </c>
      <c r="C441" t="s">
        <v>464</v>
      </c>
      <c r="D441">
        <v>9</v>
      </c>
      <c r="E441">
        <v>5213281.25</v>
      </c>
      <c r="F441">
        <v>5259765.625</v>
      </c>
      <c r="G441">
        <v>5236523.4375</v>
      </c>
      <c r="H441">
        <v>193354318.82335877</v>
      </c>
      <c r="I441">
        <v>1.6140121102040378E-6</v>
      </c>
      <c r="J441">
        <v>1.2878300720718121E-5</v>
      </c>
      <c r="K441">
        <v>53.484302585654966</v>
      </c>
      <c r="L441">
        <v>3592.4177105501358</v>
      </c>
      <c r="M441">
        <v>0</v>
      </c>
    </row>
    <row r="442" spans="1:13" x14ac:dyDescent="0.15">
      <c r="A442">
        <v>246</v>
      </c>
      <c r="B442" t="s">
        <v>199</v>
      </c>
      <c r="C442" t="s">
        <v>464</v>
      </c>
      <c r="D442">
        <v>10</v>
      </c>
      <c r="E442">
        <v>5213281.25</v>
      </c>
      <c r="F442">
        <v>5236523.4375</v>
      </c>
      <c r="G442">
        <v>5224902.34375</v>
      </c>
      <c r="H442">
        <v>29992607.191954635</v>
      </c>
      <c r="I442">
        <v>3.1012853324739361E-7</v>
      </c>
      <c r="J442">
        <v>1.1574417143761476E-5</v>
      </c>
      <c r="K442">
        <v>8.2963426322670824</v>
      </c>
      <c r="L442">
        <v>474.03191904307323</v>
      </c>
      <c r="M442">
        <v>0</v>
      </c>
    </row>
    <row r="443" spans="1:13" x14ac:dyDescent="0.15">
      <c r="A443">
        <v>246</v>
      </c>
      <c r="B443" t="s">
        <v>199</v>
      </c>
      <c r="C443" t="s">
        <v>464</v>
      </c>
      <c r="D443">
        <v>11</v>
      </c>
      <c r="E443">
        <v>5213281.25</v>
      </c>
      <c r="F443">
        <v>5224902.34375</v>
      </c>
      <c r="G443">
        <v>5219091.796875</v>
      </c>
      <c r="H443">
        <v>-24959992.247781388</v>
      </c>
      <c r="I443">
        <v>-2.9125913832433895E-7</v>
      </c>
      <c r="J443">
        <v>1.0973029472189744E-5</v>
      </c>
      <c r="K443">
        <v>-6.904256320933376</v>
      </c>
      <c r="L443">
        <v>-578.24397843943871</v>
      </c>
      <c r="M443">
        <v>0</v>
      </c>
    </row>
    <row r="444" spans="1:13" x14ac:dyDescent="0.15">
      <c r="A444">
        <v>246</v>
      </c>
      <c r="B444" t="s">
        <v>199</v>
      </c>
      <c r="C444" t="s">
        <v>464</v>
      </c>
      <c r="D444">
        <v>12</v>
      </c>
      <c r="E444">
        <v>5219091.796875</v>
      </c>
      <c r="F444">
        <v>5224902.34375</v>
      </c>
      <c r="G444">
        <v>5221997.0703125</v>
      </c>
      <c r="H444">
        <v>492969.08045935881</v>
      </c>
      <c r="I444">
        <v>5.4078394663265142E-9</v>
      </c>
      <c r="J444">
        <v>1.1269696449980409E-5</v>
      </c>
      <c r="K444">
        <v>0.1363616164619913</v>
      </c>
      <c r="L444">
        <v>-90.559759536022526</v>
      </c>
      <c r="M444">
        <v>0</v>
      </c>
    </row>
    <row r="445" spans="1:13" x14ac:dyDescent="0.15">
      <c r="A445">
        <v>246</v>
      </c>
      <c r="B445" t="s">
        <v>199</v>
      </c>
      <c r="C445" t="s">
        <v>464</v>
      </c>
      <c r="D445">
        <v>13</v>
      </c>
      <c r="E445">
        <v>5221997.0703125</v>
      </c>
      <c r="F445">
        <v>5224902.34375</v>
      </c>
      <c r="G445">
        <v>5223449.70703125</v>
      </c>
      <c r="H445">
        <v>14722218.309364131</v>
      </c>
      <c r="I445">
        <v>1.5674773100815454E-7</v>
      </c>
      <c r="J445">
        <v>1.1421036341522237E-5</v>
      </c>
      <c r="K445">
        <v>4.0723557848710206</v>
      </c>
      <c r="L445">
        <v>181.8485701039038</v>
      </c>
      <c r="M445">
        <v>0</v>
      </c>
    </row>
    <row r="446" spans="1:13" x14ac:dyDescent="0.15">
      <c r="A446">
        <v>246</v>
      </c>
      <c r="B446" t="s">
        <v>199</v>
      </c>
      <c r="C446" t="s">
        <v>464</v>
      </c>
      <c r="D446">
        <v>14</v>
      </c>
      <c r="E446">
        <v>5221997.0703125</v>
      </c>
      <c r="F446">
        <v>5223449.70703125</v>
      </c>
      <c r="G446">
        <v>5222723.388671875</v>
      </c>
      <c r="H446">
        <v>7479377.2099368181</v>
      </c>
      <c r="I446">
        <v>8.0825092831235889E-8</v>
      </c>
      <c r="J446">
        <v>1.1345113703345319E-5</v>
      </c>
      <c r="K446">
        <v>2.0688923644574202</v>
      </c>
      <c r="L446">
        <v>43.208373358612896</v>
      </c>
      <c r="M446">
        <v>0</v>
      </c>
    </row>
    <row r="447" spans="1:13" x14ac:dyDescent="0.15">
      <c r="A447">
        <v>246</v>
      </c>
      <c r="B447" t="s">
        <v>199</v>
      </c>
      <c r="C447" t="s">
        <v>464</v>
      </c>
      <c r="D447">
        <v>15</v>
      </c>
      <c r="E447">
        <v>5221997.0703125</v>
      </c>
      <c r="F447">
        <v>5222723.388671875</v>
      </c>
      <c r="G447">
        <v>5222360.2294921875</v>
      </c>
      <c r="H447">
        <v>3954363.4610557179</v>
      </c>
      <c r="I447">
        <v>4.3053660630983318E-8</v>
      </c>
      <c r="J447">
        <v>1.1307342271145066E-5</v>
      </c>
      <c r="K447">
        <v>1.0938280208676228</v>
      </c>
      <c r="L447">
        <v>-24.280147533211572</v>
      </c>
      <c r="M447">
        <v>0</v>
      </c>
    </row>
    <row r="448" spans="1:13" x14ac:dyDescent="0.15">
      <c r="A448">
        <v>246</v>
      </c>
      <c r="B448" t="s">
        <v>199</v>
      </c>
      <c r="C448" t="s">
        <v>464</v>
      </c>
      <c r="D448">
        <v>16</v>
      </c>
      <c r="E448">
        <v>5222360.2294921875</v>
      </c>
      <c r="F448">
        <v>5222723.388671875</v>
      </c>
      <c r="G448">
        <v>5222541.8090820313</v>
      </c>
      <c r="H448">
        <v>5708881.9502125317</v>
      </c>
      <c r="I448">
        <v>6.1923570736583181E-8</v>
      </c>
      <c r="J448">
        <v>1.1326212181250666E-5</v>
      </c>
      <c r="K448">
        <v>1.5791505020888319</v>
      </c>
      <c r="L448">
        <v>9.3123264285745329</v>
      </c>
      <c r="M448">
        <v>0</v>
      </c>
    </row>
    <row r="449" spans="1:15" x14ac:dyDescent="0.15">
      <c r="A449">
        <v>246</v>
      </c>
      <c r="B449" t="s">
        <v>199</v>
      </c>
      <c r="C449" t="s">
        <v>464</v>
      </c>
      <c r="D449">
        <v>17</v>
      </c>
      <c r="E449">
        <v>5222360.2294921875</v>
      </c>
      <c r="F449">
        <v>5222541.8090820313</v>
      </c>
      <c r="G449">
        <v>5222451.0192871094</v>
      </c>
      <c r="H449">
        <v>4829629.1654489394</v>
      </c>
      <c r="I449">
        <v>5.2484667504338974E-8</v>
      </c>
      <c r="J449">
        <v>1.1316773278018422E-5</v>
      </c>
      <c r="K449">
        <v>1.3359378225078957</v>
      </c>
      <c r="L449">
        <v>-7.5217910591680779</v>
      </c>
      <c r="M449">
        <v>0</v>
      </c>
    </row>
    <row r="450" spans="1:15" x14ac:dyDescent="0.15">
      <c r="A450">
        <v>246</v>
      </c>
      <c r="B450" t="s">
        <v>199</v>
      </c>
      <c r="C450" t="s">
        <v>464</v>
      </c>
      <c r="D450">
        <v>18</v>
      </c>
      <c r="E450">
        <v>5222451.0192871094</v>
      </c>
      <c r="F450">
        <v>5222541.8090820313</v>
      </c>
      <c r="G450">
        <v>5222496.4141845703</v>
      </c>
      <c r="H450">
        <v>5268756.737467627</v>
      </c>
      <c r="I450">
        <v>5.7203131661034344E-8</v>
      </c>
      <c r="J450">
        <v>1.1321491742175117E-5</v>
      </c>
      <c r="K450">
        <v>1.4574061821415265</v>
      </c>
      <c r="L450">
        <v>0.88578946952287607</v>
      </c>
      <c r="M450">
        <v>0</v>
      </c>
    </row>
    <row r="451" spans="1:15" x14ac:dyDescent="0.15">
      <c r="A451">
        <v>246</v>
      </c>
      <c r="B451" t="s">
        <v>199</v>
      </c>
      <c r="C451" t="s">
        <v>465</v>
      </c>
      <c r="D451">
        <v>18</v>
      </c>
      <c r="E451">
        <v>5222451.0192871094</v>
      </c>
      <c r="F451">
        <v>5222541.8090820313</v>
      </c>
      <c r="G451">
        <v>5222496.4141845703</v>
      </c>
      <c r="H451">
        <v>5268756.737467627</v>
      </c>
      <c r="I451">
        <v>5.7203131661034344E-8</v>
      </c>
      <c r="J451">
        <v>1.1321491742175117E-5</v>
      </c>
      <c r="K451">
        <v>1.4574061821415265</v>
      </c>
      <c r="L451">
        <v>0.88578946952287607</v>
      </c>
      <c r="M451">
        <v>0</v>
      </c>
      <c r="N451" t="s">
        <v>466</v>
      </c>
      <c r="O451" t="s">
        <v>467</v>
      </c>
    </row>
    <row r="452" spans="1:15" x14ac:dyDescent="0.15">
      <c r="A452">
        <v>247</v>
      </c>
      <c r="B452" t="s">
        <v>200</v>
      </c>
      <c r="C452" t="s">
        <v>461</v>
      </c>
      <c r="D452">
        <v>0</v>
      </c>
      <c r="E452">
        <v>100000</v>
      </c>
      <c r="F452">
        <v>12000000</v>
      </c>
      <c r="G452">
        <v>100000</v>
      </c>
      <c r="H452">
        <v>-1743.7616693865555</v>
      </c>
      <c r="I452">
        <v>-4.1316308122485502E-5</v>
      </c>
      <c r="J452">
        <v>-3.0169797090744394E-5</v>
      </c>
      <c r="K452">
        <v>-4.7488803158428209E-4</v>
      </c>
      <c r="L452">
        <v>-101.74376166938656</v>
      </c>
      <c r="M452">
        <v>0</v>
      </c>
      <c r="O452" t="s">
        <v>462</v>
      </c>
    </row>
    <row r="453" spans="1:15" x14ac:dyDescent="0.15">
      <c r="A453">
        <v>247</v>
      </c>
      <c r="B453" t="s">
        <v>200</v>
      </c>
      <c r="C453" t="s">
        <v>461</v>
      </c>
      <c r="D453">
        <v>0</v>
      </c>
      <c r="E453">
        <v>100000</v>
      </c>
      <c r="F453">
        <v>12000000</v>
      </c>
      <c r="G453">
        <v>12000000</v>
      </c>
      <c r="H453">
        <v>5.3935783810456402E+18</v>
      </c>
      <c r="I453">
        <v>536.87091085348891</v>
      </c>
      <c r="J453">
        <v>536.87092199999995</v>
      </c>
      <c r="K453">
        <v>1468862325360.8784</v>
      </c>
      <c r="L453">
        <v>44946486508613.672</v>
      </c>
      <c r="M453">
        <v>5</v>
      </c>
      <c r="O453" t="s">
        <v>463</v>
      </c>
    </row>
    <row r="454" spans="1:15" x14ac:dyDescent="0.15">
      <c r="A454">
        <v>247</v>
      </c>
      <c r="B454" t="s">
        <v>200</v>
      </c>
      <c r="C454" t="s">
        <v>464</v>
      </c>
      <c r="D454">
        <v>1</v>
      </c>
      <c r="E454">
        <v>100000</v>
      </c>
      <c r="F454">
        <v>12000000</v>
      </c>
      <c r="G454">
        <v>6050000</v>
      </c>
      <c r="H454">
        <v>16997074328218.512</v>
      </c>
      <c r="I454">
        <v>1.0585630857940141E-2</v>
      </c>
      <c r="J454">
        <v>1.0596777368971882E-2</v>
      </c>
      <c r="K454">
        <v>4628905.0345159834</v>
      </c>
      <c r="L454">
        <v>280943277.32592583</v>
      </c>
      <c r="M454">
        <v>0</v>
      </c>
    </row>
    <row r="455" spans="1:15" x14ac:dyDescent="0.15">
      <c r="A455">
        <v>247</v>
      </c>
      <c r="B455" t="s">
        <v>200</v>
      </c>
      <c r="C455" t="s">
        <v>464</v>
      </c>
      <c r="D455">
        <v>2</v>
      </c>
      <c r="E455">
        <v>100000</v>
      </c>
      <c r="F455">
        <v>6050000</v>
      </c>
      <c r="G455">
        <v>3075000</v>
      </c>
      <c r="H455">
        <v>-9867.7596571067606</v>
      </c>
      <c r="I455">
        <v>-2.1706431001741951E-5</v>
      </c>
      <c r="J455">
        <v>-1.0559919970000844E-5</v>
      </c>
      <c r="K455">
        <v>-2.6873402724575052E-3</v>
      </c>
      <c r="L455">
        <v>-100.32090275307664</v>
      </c>
      <c r="M455">
        <v>0</v>
      </c>
    </row>
    <row r="456" spans="1:15" x14ac:dyDescent="0.15">
      <c r="A456">
        <v>247</v>
      </c>
      <c r="B456" t="s">
        <v>200</v>
      </c>
      <c r="C456" t="s">
        <v>464</v>
      </c>
      <c r="D456">
        <v>3</v>
      </c>
      <c r="E456">
        <v>3075000</v>
      </c>
      <c r="F456">
        <v>6050000</v>
      </c>
      <c r="G456">
        <v>4562500</v>
      </c>
      <c r="H456">
        <v>-87374.298499929981</v>
      </c>
      <c r="I456">
        <v>-1.1798926050727644E-5</v>
      </c>
      <c r="J456">
        <v>-6.5241501898653805E-7</v>
      </c>
      <c r="K456">
        <v>-2.3795114524042857E-2</v>
      </c>
      <c r="L456">
        <v>-101.91505311780668</v>
      </c>
      <c r="M456">
        <v>0</v>
      </c>
    </row>
    <row r="457" spans="1:15" x14ac:dyDescent="0.15">
      <c r="A457">
        <v>247</v>
      </c>
      <c r="B457" t="s">
        <v>200</v>
      </c>
      <c r="C457" t="s">
        <v>464</v>
      </c>
      <c r="D457">
        <v>4</v>
      </c>
      <c r="E457">
        <v>4562500</v>
      </c>
      <c r="F457">
        <v>6050000</v>
      </c>
      <c r="G457">
        <v>5306250</v>
      </c>
      <c r="H457">
        <v>-13118021.107891502</v>
      </c>
      <c r="I457">
        <v>-1.4723650211162338E-7</v>
      </c>
      <c r="J457">
        <v>1.0999274529629482E-5</v>
      </c>
      <c r="K457">
        <v>-3.5725015244767886</v>
      </c>
      <c r="L457">
        <v>-347.21830120879156</v>
      </c>
      <c r="M457">
        <v>0</v>
      </c>
    </row>
    <row r="458" spans="1:15" x14ac:dyDescent="0.15">
      <c r="A458">
        <v>247</v>
      </c>
      <c r="B458" t="s">
        <v>200</v>
      </c>
      <c r="C458" t="s">
        <v>464</v>
      </c>
      <c r="D458">
        <v>5</v>
      </c>
      <c r="E458">
        <v>5306250</v>
      </c>
      <c r="F458">
        <v>6050000</v>
      </c>
      <c r="G458">
        <v>5678125</v>
      </c>
      <c r="H458">
        <v>202729768632.58868</v>
      </c>
      <c r="I458">
        <v>3.2194558480523974E-4</v>
      </c>
      <c r="J458">
        <v>3.3309209583698082E-4</v>
      </c>
      <c r="K458">
        <v>55210.492614702074</v>
      </c>
      <c r="L458">
        <v>3570264.6649657888</v>
      </c>
      <c r="M458">
        <v>0</v>
      </c>
    </row>
    <row r="459" spans="1:15" x14ac:dyDescent="0.15">
      <c r="A459">
        <v>247</v>
      </c>
      <c r="B459" t="s">
        <v>200</v>
      </c>
      <c r="C459" t="s">
        <v>464</v>
      </c>
      <c r="D459">
        <v>6</v>
      </c>
      <c r="E459">
        <v>5306250</v>
      </c>
      <c r="F459">
        <v>5678125</v>
      </c>
      <c r="G459">
        <v>5492187.5</v>
      </c>
      <c r="H459">
        <v>16606410950.302248</v>
      </c>
      <c r="I459">
        <v>4.9045651306710945E-5</v>
      </c>
      <c r="J459">
        <v>6.019216233845205E-5</v>
      </c>
      <c r="K459">
        <v>4522.5135672600336</v>
      </c>
      <c r="L459">
        <v>302264.23920891719</v>
      </c>
      <c r="M459">
        <v>0</v>
      </c>
    </row>
    <row r="460" spans="1:15" x14ac:dyDescent="0.15">
      <c r="A460">
        <v>247</v>
      </c>
      <c r="B460" t="s">
        <v>200</v>
      </c>
      <c r="C460" t="s">
        <v>464</v>
      </c>
      <c r="D460">
        <v>7</v>
      </c>
      <c r="E460">
        <v>5306250</v>
      </c>
      <c r="F460">
        <v>5492187.5</v>
      </c>
      <c r="G460">
        <v>5399218.75</v>
      </c>
      <c r="H460">
        <v>3279734112.4496303</v>
      </c>
      <c r="I460">
        <v>1.4550110046162576E-5</v>
      </c>
      <c r="J460">
        <v>2.5696621077903682E-5</v>
      </c>
      <c r="K460">
        <v>893.18770112027323</v>
      </c>
      <c r="L460">
        <v>60644.605179214683</v>
      </c>
      <c r="M460">
        <v>0</v>
      </c>
    </row>
    <row r="461" spans="1:15" x14ac:dyDescent="0.15">
      <c r="A461">
        <v>247</v>
      </c>
      <c r="B461" t="s">
        <v>200</v>
      </c>
      <c r="C461" t="s">
        <v>464</v>
      </c>
      <c r="D461">
        <v>8</v>
      </c>
      <c r="E461">
        <v>5306250</v>
      </c>
      <c r="F461">
        <v>5399218.75</v>
      </c>
      <c r="G461">
        <v>5352734.375</v>
      </c>
      <c r="H461">
        <v>980260909.37471819</v>
      </c>
      <c r="I461">
        <v>5.6600929542767154E-6</v>
      </c>
      <c r="J461">
        <v>1.6806603986017821E-5</v>
      </c>
      <c r="K461">
        <v>266.95974677304571</v>
      </c>
      <c r="L461">
        <v>18213.273940007872</v>
      </c>
      <c r="M461">
        <v>0</v>
      </c>
    </row>
    <row r="462" spans="1:15" x14ac:dyDescent="0.15">
      <c r="A462">
        <v>247</v>
      </c>
      <c r="B462" t="s">
        <v>200</v>
      </c>
      <c r="C462" t="s">
        <v>464</v>
      </c>
      <c r="D462">
        <v>9</v>
      </c>
      <c r="E462">
        <v>5306250</v>
      </c>
      <c r="F462">
        <v>5352734.375</v>
      </c>
      <c r="G462">
        <v>5329492.1875</v>
      </c>
      <c r="H462">
        <v>332411141.42925537</v>
      </c>
      <c r="I462">
        <v>2.448733328455019E-6</v>
      </c>
      <c r="J462">
        <v>1.3595244360196124E-5</v>
      </c>
      <c r="K462">
        <v>90.527321136469865</v>
      </c>
      <c r="L462">
        <v>6137.2010265613208</v>
      </c>
      <c r="M462">
        <v>0</v>
      </c>
    </row>
    <row r="463" spans="1:15" x14ac:dyDescent="0.15">
      <c r="A463">
        <v>247</v>
      </c>
      <c r="B463" t="s">
        <v>200</v>
      </c>
      <c r="C463" t="s">
        <v>464</v>
      </c>
      <c r="D463">
        <v>10</v>
      </c>
      <c r="E463">
        <v>5306250</v>
      </c>
      <c r="F463">
        <v>5329492.1875</v>
      </c>
      <c r="G463">
        <v>5317871.09375</v>
      </c>
      <c r="H463">
        <v>120873551.93385576</v>
      </c>
      <c r="I463">
        <v>1.0818456524021928E-6</v>
      </c>
      <c r="J463">
        <v>1.2228356684143298E-5</v>
      </c>
      <c r="K463">
        <v>32.918147104737493</v>
      </c>
      <c r="L463">
        <v>2172.9688216007398</v>
      </c>
      <c r="M463">
        <v>0</v>
      </c>
    </row>
    <row r="464" spans="1:15" x14ac:dyDescent="0.15">
      <c r="A464">
        <v>247</v>
      </c>
      <c r="B464" t="s">
        <v>200</v>
      </c>
      <c r="C464" t="s">
        <v>464</v>
      </c>
      <c r="D464">
        <v>11</v>
      </c>
      <c r="E464">
        <v>5306250</v>
      </c>
      <c r="F464">
        <v>5317871.09375</v>
      </c>
      <c r="G464">
        <v>5312060.546875</v>
      </c>
      <c r="H464">
        <v>45203097.438654132</v>
      </c>
      <c r="I464">
        <v>4.5097296404533593E-7</v>
      </c>
      <c r="J464">
        <v>1.1597483995786441E-5</v>
      </c>
      <c r="K464">
        <v>12.310403618234547</v>
      </c>
      <c r="L464">
        <v>750.95222540801774</v>
      </c>
      <c r="M464">
        <v>0</v>
      </c>
    </row>
    <row r="465" spans="1:15" x14ac:dyDescent="0.15">
      <c r="A465">
        <v>247</v>
      </c>
      <c r="B465" t="s">
        <v>200</v>
      </c>
      <c r="C465" t="s">
        <v>464</v>
      </c>
      <c r="D465">
        <v>12</v>
      </c>
      <c r="E465">
        <v>5306250</v>
      </c>
      <c r="F465">
        <v>5312060.546875</v>
      </c>
      <c r="G465">
        <v>5309155.2734375</v>
      </c>
      <c r="H465">
        <v>13993646.051915368</v>
      </c>
      <c r="I465">
        <v>1.478935226280528E-7</v>
      </c>
      <c r="J465">
        <v>1.1294404554369158E-5</v>
      </c>
      <c r="K465">
        <v>3.8109651937807909</v>
      </c>
      <c r="L465">
        <v>163.57575416804397</v>
      </c>
      <c r="M465">
        <v>0</v>
      </c>
    </row>
    <row r="466" spans="1:15" x14ac:dyDescent="0.15">
      <c r="A466">
        <v>247</v>
      </c>
      <c r="B466" t="s">
        <v>200</v>
      </c>
      <c r="C466" t="s">
        <v>464</v>
      </c>
      <c r="D466">
        <v>13</v>
      </c>
      <c r="E466">
        <v>5306250</v>
      </c>
      <c r="F466">
        <v>5309155.2734375</v>
      </c>
      <c r="G466">
        <v>5307702.63671875</v>
      </c>
      <c r="H466">
        <v>-59935.784308235976</v>
      </c>
      <c r="I466">
        <v>-6.5256859388502174E-10</v>
      </c>
      <c r="J466">
        <v>1.114585846314722E-5</v>
      </c>
      <c r="K466">
        <v>-1.6322635788646116E-2</v>
      </c>
      <c r="L466">
        <v>-101.12922272422723</v>
      </c>
      <c r="M466">
        <v>0</v>
      </c>
    </row>
    <row r="467" spans="1:15" x14ac:dyDescent="0.15">
      <c r="A467">
        <v>247</v>
      </c>
      <c r="B467" t="s">
        <v>200</v>
      </c>
      <c r="C467" t="s">
        <v>464</v>
      </c>
      <c r="D467">
        <v>14</v>
      </c>
      <c r="E467">
        <v>5307702.63671875</v>
      </c>
      <c r="F467">
        <v>5309155.2734375</v>
      </c>
      <c r="G467">
        <v>5308428.955078125</v>
      </c>
      <c r="H467">
        <v>6840604.7201286005</v>
      </c>
      <c r="I467">
        <v>7.3373417622163946E-8</v>
      </c>
      <c r="J467">
        <v>1.1219884449363269E-5</v>
      </c>
      <c r="K467">
        <v>1.8629388220987961</v>
      </c>
      <c r="L467">
        <v>28.863073764692142</v>
      </c>
      <c r="M467">
        <v>0</v>
      </c>
    </row>
    <row r="468" spans="1:15" x14ac:dyDescent="0.15">
      <c r="A468">
        <v>247</v>
      </c>
      <c r="B468" t="s">
        <v>200</v>
      </c>
      <c r="C468" t="s">
        <v>464</v>
      </c>
      <c r="D468">
        <v>15</v>
      </c>
      <c r="E468">
        <v>5307702.63671875</v>
      </c>
      <c r="F468">
        <v>5308428.955078125</v>
      </c>
      <c r="G468">
        <v>5308065.7958984375</v>
      </c>
      <c r="H468">
        <v>3359005.1243217988</v>
      </c>
      <c r="I468">
        <v>3.6298941283647879E-8</v>
      </c>
      <c r="J468">
        <v>1.1182809973024753E-5</v>
      </c>
      <c r="K468">
        <v>0.91477600383993996</v>
      </c>
      <c r="L468">
        <v>-36.718849134889872</v>
      </c>
      <c r="M468">
        <v>0</v>
      </c>
    </row>
    <row r="469" spans="1:15" x14ac:dyDescent="0.15">
      <c r="A469">
        <v>247</v>
      </c>
      <c r="B469" t="s">
        <v>200</v>
      </c>
      <c r="C469" t="s">
        <v>464</v>
      </c>
      <c r="D469">
        <v>16</v>
      </c>
      <c r="E469">
        <v>5308065.7958984375</v>
      </c>
      <c r="F469">
        <v>5308428.955078125</v>
      </c>
      <c r="G469">
        <v>5308247.3754882813</v>
      </c>
      <c r="H469">
        <v>5091944.4269318096</v>
      </c>
      <c r="I469">
        <v>5.4820783005226609E-8</v>
      </c>
      <c r="J469">
        <v>1.1201331814746332E-5</v>
      </c>
      <c r="K469">
        <v>1.3867167218401333</v>
      </c>
      <c r="L469">
        <v>-4.0748468045269819</v>
      </c>
      <c r="M469">
        <v>0</v>
      </c>
    </row>
    <row r="470" spans="1:15" x14ac:dyDescent="0.15">
      <c r="A470">
        <v>247</v>
      </c>
      <c r="B470" t="s">
        <v>200</v>
      </c>
      <c r="C470" t="s">
        <v>464</v>
      </c>
      <c r="D470">
        <v>17</v>
      </c>
      <c r="E470">
        <v>5308247.3754882813</v>
      </c>
      <c r="F470">
        <v>5308428.955078125</v>
      </c>
      <c r="G470">
        <v>5308338.1652832031</v>
      </c>
      <c r="H470">
        <v>5964364.500483539</v>
      </c>
      <c r="I470">
        <v>6.4093869472800708E-8</v>
      </c>
      <c r="J470">
        <v>1.1210604901213906E-5</v>
      </c>
      <c r="K470">
        <v>1.624307591462439</v>
      </c>
      <c r="L470">
        <v>12.358412647686631</v>
      </c>
      <c r="M470">
        <v>0</v>
      </c>
    </row>
    <row r="471" spans="1:15" x14ac:dyDescent="0.15">
      <c r="A471">
        <v>247</v>
      </c>
      <c r="B471" t="s">
        <v>200</v>
      </c>
      <c r="C471" t="s">
        <v>464</v>
      </c>
      <c r="D471">
        <v>18</v>
      </c>
      <c r="E471">
        <v>5308247.3754882813</v>
      </c>
      <c r="F471">
        <v>5308338.1652832031</v>
      </c>
      <c r="G471">
        <v>5308292.7703857422</v>
      </c>
      <c r="H471">
        <v>5527691.8946396131</v>
      </c>
      <c r="I471">
        <v>5.9456673996882267E-8</v>
      </c>
      <c r="J471">
        <v>1.1205967705737988E-5</v>
      </c>
      <c r="K471">
        <v>1.5053861827191486</v>
      </c>
      <c r="L471">
        <v>4.1331391041177943</v>
      </c>
      <c r="M471">
        <v>0</v>
      </c>
    </row>
    <row r="472" spans="1:15" x14ac:dyDescent="0.15">
      <c r="A472">
        <v>247</v>
      </c>
      <c r="B472" t="s">
        <v>200</v>
      </c>
      <c r="C472" t="s">
        <v>464</v>
      </c>
      <c r="D472">
        <v>19</v>
      </c>
      <c r="E472">
        <v>5308247.3754882813</v>
      </c>
      <c r="F472">
        <v>5308292.7703857422</v>
      </c>
      <c r="G472">
        <v>5308270.0729370117</v>
      </c>
      <c r="H472">
        <v>5309666.0651135892</v>
      </c>
      <c r="I472">
        <v>5.713817729308838E-8</v>
      </c>
      <c r="J472">
        <v>1.1203649209034194E-5</v>
      </c>
      <c r="K472">
        <v>1.4460100312439486</v>
      </c>
      <c r="L472">
        <v>2.6298439178793716E-2</v>
      </c>
      <c r="M472">
        <v>0</v>
      </c>
    </row>
    <row r="473" spans="1:15" x14ac:dyDescent="0.15">
      <c r="A473">
        <v>247</v>
      </c>
      <c r="B473" t="s">
        <v>200</v>
      </c>
      <c r="C473" t="s">
        <v>465</v>
      </c>
      <c r="D473">
        <v>19</v>
      </c>
      <c r="E473">
        <v>5308247.3754882813</v>
      </c>
      <c r="F473">
        <v>5308292.7703857422</v>
      </c>
      <c r="G473">
        <v>5308270.0729370117</v>
      </c>
      <c r="H473">
        <v>5309666.0651135892</v>
      </c>
      <c r="I473">
        <v>5.713817729308838E-8</v>
      </c>
      <c r="J473">
        <v>1.1203649209034194E-5</v>
      </c>
      <c r="K473">
        <v>1.4460100312439486</v>
      </c>
      <c r="L473">
        <v>2.6298439178793716E-2</v>
      </c>
      <c r="M473">
        <v>0</v>
      </c>
      <c r="N473" t="s">
        <v>466</v>
      </c>
      <c r="O473" t="s">
        <v>467</v>
      </c>
    </row>
    <row r="474" spans="1:15" x14ac:dyDescent="0.15">
      <c r="A474">
        <v>248</v>
      </c>
      <c r="B474" t="s">
        <v>174</v>
      </c>
      <c r="C474" t="s">
        <v>461</v>
      </c>
      <c r="D474">
        <v>0</v>
      </c>
      <c r="E474">
        <v>100000</v>
      </c>
      <c r="F474">
        <v>12000000</v>
      </c>
      <c r="G474">
        <v>100000</v>
      </c>
      <c r="H474">
        <v>-16355.49124849623</v>
      </c>
      <c r="I474">
        <v>-3.6862542196286458E-5</v>
      </c>
      <c r="J474">
        <v>-1.1810599558060946E-5</v>
      </c>
      <c r="K474">
        <v>-4.1148132118334372E-3</v>
      </c>
      <c r="L474">
        <v>-116.35549124849624</v>
      </c>
      <c r="M474">
        <v>0</v>
      </c>
      <c r="O474" t="s">
        <v>462</v>
      </c>
    </row>
    <row r="475" spans="1:15" x14ac:dyDescent="0.15">
      <c r="A475">
        <v>248</v>
      </c>
      <c r="B475" t="s">
        <v>174</v>
      </c>
      <c r="C475" t="s">
        <v>461</v>
      </c>
      <c r="D475">
        <v>0</v>
      </c>
      <c r="E475">
        <v>100000</v>
      </c>
      <c r="F475">
        <v>12000000</v>
      </c>
      <c r="G475">
        <v>12000000</v>
      </c>
      <c r="H475">
        <v>1.527313599464886E+18</v>
      </c>
      <c r="I475">
        <v>536.87089694805741</v>
      </c>
      <c r="J475">
        <v>536.87092200000006</v>
      </c>
      <c r="K475">
        <v>384250774385.56427</v>
      </c>
      <c r="L475">
        <v>12727613328774.051</v>
      </c>
      <c r="M475">
        <v>5</v>
      </c>
      <c r="O475" t="s">
        <v>463</v>
      </c>
    </row>
    <row r="476" spans="1:15" x14ac:dyDescent="0.15">
      <c r="A476">
        <v>248</v>
      </c>
      <c r="B476" t="s">
        <v>174</v>
      </c>
      <c r="C476" t="s">
        <v>464</v>
      </c>
      <c r="D476">
        <v>1</v>
      </c>
      <c r="E476">
        <v>100000</v>
      </c>
      <c r="F476">
        <v>12000000</v>
      </c>
      <c r="G476">
        <v>6050000</v>
      </c>
      <c r="H476">
        <v>963079809512.29114</v>
      </c>
      <c r="I476">
        <v>2.9921213889687148E-3</v>
      </c>
      <c r="J476">
        <v>3.0171733316069404E-3</v>
      </c>
      <c r="K476">
        <v>242297.43173232814</v>
      </c>
      <c r="L476">
        <v>15918574.537393242</v>
      </c>
      <c r="M476">
        <v>0</v>
      </c>
    </row>
    <row r="477" spans="1:15" x14ac:dyDescent="0.15">
      <c r="A477">
        <v>248</v>
      </c>
      <c r="B477" t="s">
        <v>174</v>
      </c>
      <c r="C477" t="s">
        <v>464</v>
      </c>
      <c r="D477">
        <v>2</v>
      </c>
      <c r="E477">
        <v>100000</v>
      </c>
      <c r="F477">
        <v>6050000</v>
      </c>
      <c r="G477">
        <v>3075000</v>
      </c>
      <c r="H477">
        <v>-74537.361203522203</v>
      </c>
      <c r="I477">
        <v>-2.5274994822241863E-5</v>
      </c>
      <c r="J477">
        <v>-2.230521840163488E-7</v>
      </c>
      <c r="K477">
        <v>-1.875255924725916E-2</v>
      </c>
      <c r="L477">
        <v>-102.4239792261308</v>
      </c>
      <c r="M477">
        <v>0</v>
      </c>
    </row>
    <row r="478" spans="1:15" x14ac:dyDescent="0.15">
      <c r="A478">
        <v>248</v>
      </c>
      <c r="B478" t="s">
        <v>174</v>
      </c>
      <c r="C478" t="s">
        <v>464</v>
      </c>
      <c r="D478">
        <v>3</v>
      </c>
      <c r="E478">
        <v>3075000</v>
      </c>
      <c r="F478">
        <v>6050000</v>
      </c>
      <c r="G478">
        <v>4562500</v>
      </c>
      <c r="H478">
        <v>-5104056.9326277394</v>
      </c>
      <c r="I478">
        <v>-1.3765117449935521E-5</v>
      </c>
      <c r="J478">
        <v>1.1286825188289993E-5</v>
      </c>
      <c r="K478">
        <v>-1.2841094517572302</v>
      </c>
      <c r="L478">
        <v>-211.86974098910113</v>
      </c>
      <c r="M478">
        <v>0</v>
      </c>
    </row>
    <row r="479" spans="1:15" x14ac:dyDescent="0.15">
      <c r="A479">
        <v>248</v>
      </c>
      <c r="B479" t="s">
        <v>174</v>
      </c>
      <c r="C479" t="s">
        <v>464</v>
      </c>
      <c r="D479">
        <v>4</v>
      </c>
      <c r="E479">
        <v>4562500</v>
      </c>
      <c r="F479">
        <v>6050000</v>
      </c>
      <c r="G479">
        <v>5306250</v>
      </c>
      <c r="H479">
        <v>17131726511.520216</v>
      </c>
      <c r="I479">
        <v>1.3276447268938368E-4</v>
      </c>
      <c r="J479">
        <v>1.5781641532760919E-4</v>
      </c>
      <c r="K479">
        <v>4310.1031647460877</v>
      </c>
      <c r="L479">
        <v>322759.39244325494</v>
      </c>
      <c r="M479">
        <v>0</v>
      </c>
    </row>
    <row r="480" spans="1:15" x14ac:dyDescent="0.15">
      <c r="A480">
        <v>248</v>
      </c>
      <c r="B480" t="s">
        <v>174</v>
      </c>
      <c r="C480" t="s">
        <v>464</v>
      </c>
      <c r="D480">
        <v>5</v>
      </c>
      <c r="E480">
        <v>4562500</v>
      </c>
      <c r="F480">
        <v>5306250</v>
      </c>
      <c r="G480">
        <v>4934375</v>
      </c>
      <c r="H480">
        <v>819189061.15944099</v>
      </c>
      <c r="I480">
        <v>1.2527847474451391E-5</v>
      </c>
      <c r="J480">
        <v>3.7579790112676905E-5</v>
      </c>
      <c r="K480">
        <v>206.09652872139927</v>
      </c>
      <c r="L480">
        <v>16501.678250222998</v>
      </c>
      <c r="M480">
        <v>0</v>
      </c>
    </row>
    <row r="481" spans="1:15" x14ac:dyDescent="0.15">
      <c r="A481">
        <v>248</v>
      </c>
      <c r="B481" t="s">
        <v>174</v>
      </c>
      <c r="C481" t="s">
        <v>464</v>
      </c>
      <c r="D481">
        <v>6</v>
      </c>
      <c r="E481">
        <v>4562500</v>
      </c>
      <c r="F481">
        <v>4934375</v>
      </c>
      <c r="G481">
        <v>4748437.5</v>
      </c>
      <c r="H481">
        <v>-134932627.07518911</v>
      </c>
      <c r="I481">
        <v>-6.5491651388864025E-6</v>
      </c>
      <c r="J481">
        <v>1.8502777499339111E-5</v>
      </c>
      <c r="K481">
        <v>-33.947164787693616</v>
      </c>
      <c r="L481">
        <v>-2941.6216297506098</v>
      </c>
      <c r="M481">
        <v>0</v>
      </c>
    </row>
    <row r="482" spans="1:15" x14ac:dyDescent="0.15">
      <c r="A482">
        <v>248</v>
      </c>
      <c r="B482" t="s">
        <v>174</v>
      </c>
      <c r="C482" t="s">
        <v>464</v>
      </c>
      <c r="D482">
        <v>7</v>
      </c>
      <c r="E482">
        <v>4748437.5</v>
      </c>
      <c r="F482">
        <v>4934375</v>
      </c>
      <c r="G482">
        <v>4841406.25</v>
      </c>
      <c r="H482">
        <v>64437508.220789276</v>
      </c>
      <c r="I482">
        <v>1.298343982318866E-6</v>
      </c>
      <c r="J482">
        <v>2.635028662054438E-5</v>
      </c>
      <c r="K482">
        <v>16.21157727004427</v>
      </c>
      <c r="L482">
        <v>1230.9667665420409</v>
      </c>
      <c r="M482">
        <v>0</v>
      </c>
    </row>
    <row r="483" spans="1:15" x14ac:dyDescent="0.15">
      <c r="A483">
        <v>248</v>
      </c>
      <c r="B483" t="s">
        <v>174</v>
      </c>
      <c r="C483" t="s">
        <v>464</v>
      </c>
      <c r="D483">
        <v>8</v>
      </c>
      <c r="E483">
        <v>4748437.5</v>
      </c>
      <c r="F483">
        <v>4841406.25</v>
      </c>
      <c r="G483">
        <v>4794921.875</v>
      </c>
      <c r="H483">
        <v>-102822377.45152022</v>
      </c>
      <c r="I483">
        <v>-2.9749820099108363E-6</v>
      </c>
      <c r="J483">
        <v>2.2076960628314677E-5</v>
      </c>
      <c r="K483">
        <v>-25.868674366386912</v>
      </c>
      <c r="L483">
        <v>-2244.40151752254</v>
      </c>
      <c r="M483">
        <v>0</v>
      </c>
    </row>
    <row r="484" spans="1:15" x14ac:dyDescent="0.15">
      <c r="A484">
        <v>248</v>
      </c>
      <c r="B484" t="s">
        <v>174</v>
      </c>
      <c r="C484" t="s">
        <v>464</v>
      </c>
      <c r="D484">
        <v>9</v>
      </c>
      <c r="E484">
        <v>4794921.875</v>
      </c>
      <c r="F484">
        <v>4841406.25</v>
      </c>
      <c r="G484">
        <v>4818164.0625</v>
      </c>
      <c r="H484">
        <v>-39191091.568935417</v>
      </c>
      <c r="I484">
        <v>-9.3384654673699948E-7</v>
      </c>
      <c r="J484">
        <v>2.4118096091488514E-5</v>
      </c>
      <c r="K484">
        <v>-9.8599313786344727</v>
      </c>
      <c r="L484">
        <v>-913.40301120008644</v>
      </c>
      <c r="M484">
        <v>0</v>
      </c>
    </row>
    <row r="485" spans="1:15" x14ac:dyDescent="0.15">
      <c r="A485">
        <v>248</v>
      </c>
      <c r="B485" t="s">
        <v>174</v>
      </c>
      <c r="C485" t="s">
        <v>464</v>
      </c>
      <c r="D485">
        <v>10</v>
      </c>
      <c r="E485">
        <v>4818164.0625</v>
      </c>
      <c r="F485">
        <v>4841406.25</v>
      </c>
      <c r="G485">
        <v>4829785.15625</v>
      </c>
      <c r="H485">
        <v>7197037.9944480332</v>
      </c>
      <c r="I485">
        <v>1.5725365821250912E-7</v>
      </c>
      <c r="J485">
        <v>2.5209196296438023E-5</v>
      </c>
      <c r="K485">
        <v>1.810674260752934</v>
      </c>
      <c r="L485">
        <v>49.013626105804761</v>
      </c>
      <c r="M485">
        <v>0</v>
      </c>
    </row>
    <row r="486" spans="1:15" x14ac:dyDescent="0.15">
      <c r="A486">
        <v>248</v>
      </c>
      <c r="B486" t="s">
        <v>174</v>
      </c>
      <c r="C486" t="s">
        <v>464</v>
      </c>
      <c r="D486">
        <v>11</v>
      </c>
      <c r="E486">
        <v>4818164.0625</v>
      </c>
      <c r="F486">
        <v>4829785.15625</v>
      </c>
      <c r="G486">
        <v>4823974.609375</v>
      </c>
      <c r="H486">
        <v>-17298281.66137182</v>
      </c>
      <c r="I486">
        <v>-3.9440475215003607E-7</v>
      </c>
      <c r="J486">
        <v>2.4657537886075478E-5</v>
      </c>
      <c r="K486">
        <v>-4.3520061146908837</v>
      </c>
      <c r="L486">
        <v>-458.58981570412965</v>
      </c>
      <c r="M486">
        <v>0</v>
      </c>
    </row>
    <row r="487" spans="1:15" x14ac:dyDescent="0.15">
      <c r="A487">
        <v>248</v>
      </c>
      <c r="B487" t="s">
        <v>174</v>
      </c>
      <c r="C487" t="s">
        <v>464</v>
      </c>
      <c r="D487">
        <v>12</v>
      </c>
      <c r="E487">
        <v>4823974.609375</v>
      </c>
      <c r="F487">
        <v>4829785.15625</v>
      </c>
      <c r="G487">
        <v>4826879.8828125</v>
      </c>
      <c r="H487">
        <v>-5382707.4535387242</v>
      </c>
      <c r="I487">
        <v>-1.2011984847227415E-7</v>
      </c>
      <c r="J487">
        <v>2.493182278975324E-5</v>
      </c>
      <c r="K487">
        <v>-1.3542140317730833</v>
      </c>
      <c r="L487">
        <v>-211.51525590486327</v>
      </c>
      <c r="M487">
        <v>0</v>
      </c>
    </row>
    <row r="488" spans="1:15" x14ac:dyDescent="0.15">
      <c r="A488">
        <v>248</v>
      </c>
      <c r="B488" t="s">
        <v>174</v>
      </c>
      <c r="C488" t="s">
        <v>464</v>
      </c>
      <c r="D488">
        <v>13</v>
      </c>
      <c r="E488">
        <v>4826879.8828125</v>
      </c>
      <c r="F488">
        <v>4829785.15625</v>
      </c>
      <c r="G488">
        <v>4828332.51953125</v>
      </c>
      <c r="H488">
        <v>823348.94739265018</v>
      </c>
      <c r="I488">
        <v>1.8180045358541025E-8</v>
      </c>
      <c r="J488">
        <v>2.5070122683584055E-5</v>
      </c>
      <c r="K488">
        <v>0.207143098009479</v>
      </c>
      <c r="L488">
        <v>-82.947550856075182</v>
      </c>
      <c r="M488">
        <v>0</v>
      </c>
    </row>
    <row r="489" spans="1:15" x14ac:dyDescent="0.15">
      <c r="A489">
        <v>248</v>
      </c>
      <c r="B489" t="s">
        <v>174</v>
      </c>
      <c r="C489" t="s">
        <v>464</v>
      </c>
      <c r="D489">
        <v>14</v>
      </c>
      <c r="E489">
        <v>4828332.51953125</v>
      </c>
      <c r="F489">
        <v>4829785.15625</v>
      </c>
      <c r="G489">
        <v>4829058.837890625</v>
      </c>
      <c r="H489">
        <v>3989151.5402421579</v>
      </c>
      <c r="I489">
        <v>8.7620292092356383E-8</v>
      </c>
      <c r="J489">
        <v>2.513956293031787E-5</v>
      </c>
      <c r="K489">
        <v>1.0036148234497906</v>
      </c>
      <c r="L489">
        <v>-17.392774158356413</v>
      </c>
      <c r="M489">
        <v>0</v>
      </c>
    </row>
    <row r="490" spans="1:15" x14ac:dyDescent="0.15">
      <c r="A490">
        <v>248</v>
      </c>
      <c r="B490" t="s">
        <v>174</v>
      </c>
      <c r="C490" t="s">
        <v>464</v>
      </c>
      <c r="D490">
        <v>15</v>
      </c>
      <c r="E490">
        <v>4829058.837890625</v>
      </c>
      <c r="F490">
        <v>4829785.15625</v>
      </c>
      <c r="G490">
        <v>4829421.9970703125</v>
      </c>
      <c r="H490">
        <v>5587850.5472998051</v>
      </c>
      <c r="I490">
        <v>1.2241344498437081E-7</v>
      </c>
      <c r="J490">
        <v>2.5174356083209885E-5</v>
      </c>
      <c r="K490">
        <v>1.4058251695676813</v>
      </c>
      <c r="L490">
        <v>15.704333783413015</v>
      </c>
      <c r="M490">
        <v>0</v>
      </c>
    </row>
    <row r="491" spans="1:15" x14ac:dyDescent="0.15">
      <c r="A491">
        <v>248</v>
      </c>
      <c r="B491" t="s">
        <v>174</v>
      </c>
      <c r="C491" t="s">
        <v>464</v>
      </c>
      <c r="D491">
        <v>16</v>
      </c>
      <c r="E491">
        <v>4829058.837890625</v>
      </c>
      <c r="F491">
        <v>4829421.9970703125</v>
      </c>
      <c r="G491">
        <v>4829240.4174804688</v>
      </c>
      <c r="H491">
        <v>4787109.0862094872</v>
      </c>
      <c r="I491">
        <v>1.0500919430638786E-7</v>
      </c>
      <c r="J491">
        <v>2.5156951832531902E-5</v>
      </c>
      <c r="K491">
        <v>1.2043697994234068</v>
      </c>
      <c r="L491">
        <v>-0.87242149134837466</v>
      </c>
      <c r="M491">
        <v>0</v>
      </c>
    </row>
    <row r="492" spans="1:15" x14ac:dyDescent="0.15">
      <c r="A492">
        <v>248</v>
      </c>
      <c r="B492" t="s">
        <v>174</v>
      </c>
      <c r="C492" t="s">
        <v>465</v>
      </c>
      <c r="D492">
        <v>16</v>
      </c>
      <c r="E492">
        <v>4829058.837890625</v>
      </c>
      <c r="F492">
        <v>4829421.9970703125</v>
      </c>
      <c r="G492">
        <v>4829240.4174804688</v>
      </c>
      <c r="H492">
        <v>4787109.0862094872</v>
      </c>
      <c r="I492">
        <v>1.0500919430638786E-7</v>
      </c>
      <c r="J492">
        <v>2.5156951832531902E-5</v>
      </c>
      <c r="K492">
        <v>1.2043697994234068</v>
      </c>
      <c r="L492">
        <v>-0.87242149134837466</v>
      </c>
      <c r="M492">
        <v>0</v>
      </c>
      <c r="N492" t="s">
        <v>466</v>
      </c>
      <c r="O492" t="s">
        <v>467</v>
      </c>
    </row>
    <row r="493" spans="1:15" x14ac:dyDescent="0.15">
      <c r="A493">
        <v>249</v>
      </c>
      <c r="B493" t="s">
        <v>201</v>
      </c>
      <c r="C493" t="s">
        <v>461</v>
      </c>
      <c r="D493">
        <v>0</v>
      </c>
      <c r="E493">
        <v>100000</v>
      </c>
      <c r="F493">
        <v>12000000</v>
      </c>
      <c r="G493">
        <v>100000</v>
      </c>
      <c r="H493">
        <v>-1728.4537263220877</v>
      </c>
      <c r="I493">
        <v>-4.0448101757975841E-5</v>
      </c>
      <c r="J493">
        <v>-2.9643315482967957E-5</v>
      </c>
      <c r="K493">
        <v>-4.7315809604595304E-4</v>
      </c>
      <c r="L493">
        <v>-101.72845372632209</v>
      </c>
      <c r="M493">
        <v>0</v>
      </c>
      <c r="O493" t="s">
        <v>462</v>
      </c>
    </row>
    <row r="494" spans="1:15" x14ac:dyDescent="0.15">
      <c r="A494">
        <v>249</v>
      </c>
      <c r="B494" t="s">
        <v>201</v>
      </c>
      <c r="C494" t="s">
        <v>461</v>
      </c>
      <c r="D494">
        <v>0</v>
      </c>
      <c r="E494">
        <v>100000</v>
      </c>
      <c r="F494">
        <v>12000000</v>
      </c>
      <c r="G494">
        <v>12000000</v>
      </c>
      <c r="H494">
        <v>5.6618160688280791E+18</v>
      </c>
      <c r="I494">
        <v>536.87091119521381</v>
      </c>
      <c r="J494">
        <v>536.87092200000006</v>
      </c>
      <c r="K494">
        <v>1549902129569.5781</v>
      </c>
      <c r="L494">
        <v>47181800573467.328</v>
      </c>
      <c r="M494">
        <v>5</v>
      </c>
      <c r="O494" t="s">
        <v>463</v>
      </c>
    </row>
    <row r="495" spans="1:15" x14ac:dyDescent="0.15">
      <c r="A495">
        <v>249</v>
      </c>
      <c r="B495" t="s">
        <v>201</v>
      </c>
      <c r="C495" t="s">
        <v>464</v>
      </c>
      <c r="D495">
        <v>1</v>
      </c>
      <c r="E495">
        <v>100000</v>
      </c>
      <c r="F495">
        <v>12000000</v>
      </c>
      <c r="G495">
        <v>6050000</v>
      </c>
      <c r="H495">
        <v>4956114421849.0742</v>
      </c>
      <c r="I495">
        <v>3.7680669240129252E-3</v>
      </c>
      <c r="J495">
        <v>3.7788717102879331E-3</v>
      </c>
      <c r="K495">
        <v>1356718.7989567358</v>
      </c>
      <c r="L495">
        <v>81919146.642133459</v>
      </c>
      <c r="M495">
        <v>0</v>
      </c>
    </row>
    <row r="496" spans="1:15" x14ac:dyDescent="0.15">
      <c r="A496">
        <v>249</v>
      </c>
      <c r="B496" t="s">
        <v>201</v>
      </c>
      <c r="C496" t="s">
        <v>464</v>
      </c>
      <c r="D496">
        <v>2</v>
      </c>
      <c r="E496">
        <v>100000</v>
      </c>
      <c r="F496">
        <v>6050000</v>
      </c>
      <c r="G496">
        <v>3075000</v>
      </c>
      <c r="H496">
        <v>-9361.6275625810322</v>
      </c>
      <c r="I496">
        <v>-2.1525364469462431E-5</v>
      </c>
      <c r="J496">
        <v>-1.0720578194454546E-5</v>
      </c>
      <c r="K496">
        <v>-2.5627124440453426E-3</v>
      </c>
      <c r="L496">
        <v>-100.30444317276687</v>
      </c>
      <c r="M496">
        <v>0</v>
      </c>
    </row>
    <row r="497" spans="1:13" x14ac:dyDescent="0.15">
      <c r="A497">
        <v>249</v>
      </c>
      <c r="B497" t="s">
        <v>201</v>
      </c>
      <c r="C497" t="s">
        <v>464</v>
      </c>
      <c r="D497">
        <v>3</v>
      </c>
      <c r="E497">
        <v>3075000</v>
      </c>
      <c r="F497">
        <v>6050000</v>
      </c>
      <c r="G497">
        <v>4562500</v>
      </c>
      <c r="H497">
        <v>-72785.876171534765</v>
      </c>
      <c r="I497">
        <v>-1.19720423787492E-5</v>
      </c>
      <c r="J497">
        <v>-1.1672561037413155E-6</v>
      </c>
      <c r="K497">
        <v>-1.9924876242791781E-2</v>
      </c>
      <c r="L497">
        <v>-101.59530687499254</v>
      </c>
      <c r="M497">
        <v>0</v>
      </c>
    </row>
    <row r="498" spans="1:13" x14ac:dyDescent="0.15">
      <c r="A498">
        <v>249</v>
      </c>
      <c r="B498" t="s">
        <v>201</v>
      </c>
      <c r="C498" t="s">
        <v>464</v>
      </c>
      <c r="D498">
        <v>4</v>
      </c>
      <c r="E498">
        <v>4562500</v>
      </c>
      <c r="F498">
        <v>6050000</v>
      </c>
      <c r="G498">
        <v>5306250</v>
      </c>
      <c r="H498">
        <v>-37838274.472494841</v>
      </c>
      <c r="I498">
        <v>-4.3132384067110022E-6</v>
      </c>
      <c r="J498">
        <v>6.4915478682968825E-6</v>
      </c>
      <c r="K498">
        <v>-10.358093846785247</v>
      </c>
      <c r="L498">
        <v>-813.08880042393105</v>
      </c>
      <c r="M498">
        <v>0</v>
      </c>
    </row>
    <row r="499" spans="1:13" x14ac:dyDescent="0.15">
      <c r="A499">
        <v>249</v>
      </c>
      <c r="B499" t="s">
        <v>201</v>
      </c>
      <c r="C499" t="s">
        <v>464</v>
      </c>
      <c r="D499">
        <v>5</v>
      </c>
      <c r="E499">
        <v>5306250</v>
      </c>
      <c r="F499">
        <v>6050000</v>
      </c>
      <c r="G499">
        <v>5678125</v>
      </c>
      <c r="H499">
        <v>56753078696.260818</v>
      </c>
      <c r="I499">
        <v>1.1821678600497238E-4</v>
      </c>
      <c r="J499">
        <v>1.2902157227998026E-4</v>
      </c>
      <c r="K499">
        <v>15535.954623331911</v>
      </c>
      <c r="L499">
        <v>999403.86256485758</v>
      </c>
      <c r="M499">
        <v>0</v>
      </c>
    </row>
    <row r="500" spans="1:13" x14ac:dyDescent="0.15">
      <c r="A500">
        <v>249</v>
      </c>
      <c r="B500" t="s">
        <v>201</v>
      </c>
      <c r="C500" t="s">
        <v>464</v>
      </c>
      <c r="D500">
        <v>6</v>
      </c>
      <c r="E500">
        <v>5306250</v>
      </c>
      <c r="F500">
        <v>5678125</v>
      </c>
      <c r="G500">
        <v>5492187.5</v>
      </c>
      <c r="H500">
        <v>3104422547.5710344</v>
      </c>
      <c r="I500">
        <v>1.3454395888297998E-5</v>
      </c>
      <c r="J500">
        <v>2.4259182163305883E-5</v>
      </c>
      <c r="K500">
        <v>849.82469565813506</v>
      </c>
      <c r="L500">
        <v>56424.336570283413</v>
      </c>
      <c r="M500">
        <v>0</v>
      </c>
    </row>
    <row r="501" spans="1:13" x14ac:dyDescent="0.15">
      <c r="A501">
        <v>249</v>
      </c>
      <c r="B501" t="s">
        <v>201</v>
      </c>
      <c r="C501" t="s">
        <v>464</v>
      </c>
      <c r="D501">
        <v>7</v>
      </c>
      <c r="E501">
        <v>5306250</v>
      </c>
      <c r="F501">
        <v>5492187.5</v>
      </c>
      <c r="G501">
        <v>5399218.75</v>
      </c>
      <c r="H501">
        <v>-21854613.521389212</v>
      </c>
      <c r="I501">
        <v>-2.4457555805893212E-7</v>
      </c>
      <c r="J501">
        <v>1.0560210716948953E-5</v>
      </c>
      <c r="K501">
        <v>-5.9826231770775973</v>
      </c>
      <c r="L501">
        <v>-504.7736262100737</v>
      </c>
      <c r="M501">
        <v>0</v>
      </c>
    </row>
    <row r="502" spans="1:13" x14ac:dyDescent="0.15">
      <c r="A502">
        <v>249</v>
      </c>
      <c r="B502" t="s">
        <v>201</v>
      </c>
      <c r="C502" t="s">
        <v>464</v>
      </c>
      <c r="D502">
        <v>8</v>
      </c>
      <c r="E502">
        <v>5399218.75</v>
      </c>
      <c r="F502">
        <v>5492187.5</v>
      </c>
      <c r="G502">
        <v>5445703.125</v>
      </c>
      <c r="H502">
        <v>922150437.43926573</v>
      </c>
      <c r="I502">
        <v>5.1959571773454784E-6</v>
      </c>
      <c r="J502">
        <v>1.6000743452353363E-5</v>
      </c>
      <c r="K502">
        <v>252.43542167318591</v>
      </c>
      <c r="L502">
        <v>16833.542212499247</v>
      </c>
      <c r="M502">
        <v>0</v>
      </c>
    </row>
    <row r="503" spans="1:13" x14ac:dyDescent="0.15">
      <c r="A503">
        <v>249</v>
      </c>
      <c r="B503" t="s">
        <v>201</v>
      </c>
      <c r="C503" t="s">
        <v>464</v>
      </c>
      <c r="D503">
        <v>9</v>
      </c>
      <c r="E503">
        <v>5399218.75</v>
      </c>
      <c r="F503">
        <v>5445703.125</v>
      </c>
      <c r="G503">
        <v>5422460.9375</v>
      </c>
      <c r="H503">
        <v>299013380.56225508</v>
      </c>
      <c r="I503">
        <v>2.1930801605310154E-6</v>
      </c>
      <c r="J503">
        <v>1.29978664355389E-5</v>
      </c>
      <c r="K503">
        <v>81.853855665636999</v>
      </c>
      <c r="L503">
        <v>5414.3482637998268</v>
      </c>
      <c r="M503">
        <v>0</v>
      </c>
    </row>
    <row r="504" spans="1:13" x14ac:dyDescent="0.15">
      <c r="A504">
        <v>249</v>
      </c>
      <c r="B504" t="s">
        <v>201</v>
      </c>
      <c r="C504" t="s">
        <v>464</v>
      </c>
      <c r="D504">
        <v>10</v>
      </c>
      <c r="E504">
        <v>5399218.75</v>
      </c>
      <c r="F504">
        <v>5422460.9375</v>
      </c>
      <c r="G504">
        <v>5410839.84375</v>
      </c>
      <c r="H504">
        <v>102145819.77713668</v>
      </c>
      <c r="I504">
        <v>9.1081744937748861E-7</v>
      </c>
      <c r="J504">
        <v>1.1715603724385373E-5</v>
      </c>
      <c r="K504">
        <v>27.962056992781079</v>
      </c>
      <c r="L504">
        <v>1787.7997266011148</v>
      </c>
      <c r="M504">
        <v>0</v>
      </c>
    </row>
    <row r="505" spans="1:13" x14ac:dyDescent="0.15">
      <c r="A505">
        <v>249</v>
      </c>
      <c r="B505" t="s">
        <v>201</v>
      </c>
      <c r="C505" t="s">
        <v>464</v>
      </c>
      <c r="D505">
        <v>11</v>
      </c>
      <c r="E505">
        <v>5399218.75</v>
      </c>
      <c r="F505">
        <v>5410839.84375</v>
      </c>
      <c r="G505">
        <v>5405029.296875</v>
      </c>
      <c r="H505">
        <v>31991046.652685944</v>
      </c>
      <c r="I505">
        <v>3.1808988263618263E-7</v>
      </c>
      <c r="J505">
        <v>1.1122876157644067E-5</v>
      </c>
      <c r="K505">
        <v>8.7574359059708371</v>
      </c>
      <c r="L505">
        <v>491.87554582140848</v>
      </c>
      <c r="M505">
        <v>0</v>
      </c>
    </row>
    <row r="506" spans="1:13" x14ac:dyDescent="0.15">
      <c r="A506">
        <v>249</v>
      </c>
      <c r="B506" t="s">
        <v>201</v>
      </c>
      <c r="C506" t="s">
        <v>464</v>
      </c>
      <c r="D506">
        <v>12</v>
      </c>
      <c r="E506">
        <v>5399218.75</v>
      </c>
      <c r="F506">
        <v>5405029.296875</v>
      </c>
      <c r="G506">
        <v>5402124.0234375</v>
      </c>
      <c r="H506">
        <v>3141118.0758132534</v>
      </c>
      <c r="I506">
        <v>3.309261457825271E-8</v>
      </c>
      <c r="J506">
        <v>1.0837878889586137E-5</v>
      </c>
      <c r="K506">
        <v>0.85986996676494942</v>
      </c>
      <c r="L506">
        <v>-41.854017749587221</v>
      </c>
      <c r="M506">
        <v>0</v>
      </c>
    </row>
    <row r="507" spans="1:13" x14ac:dyDescent="0.15">
      <c r="A507">
        <v>249</v>
      </c>
      <c r="B507" t="s">
        <v>201</v>
      </c>
      <c r="C507" t="s">
        <v>464</v>
      </c>
      <c r="D507">
        <v>13</v>
      </c>
      <c r="E507">
        <v>5402124.0234375</v>
      </c>
      <c r="F507">
        <v>5405029.296875</v>
      </c>
      <c r="G507">
        <v>5403576.66015625</v>
      </c>
      <c r="H507">
        <v>17070517.267721947</v>
      </c>
      <c r="I507">
        <v>1.7466248159316357E-7</v>
      </c>
      <c r="J507">
        <v>1.0979448756601048E-5</v>
      </c>
      <c r="K507">
        <v>4.6729937434320226</v>
      </c>
      <c r="L507">
        <v>215.9114479413777</v>
      </c>
      <c r="M507">
        <v>0</v>
      </c>
    </row>
    <row r="508" spans="1:13" x14ac:dyDescent="0.15">
      <c r="A508">
        <v>249</v>
      </c>
      <c r="B508" t="s">
        <v>201</v>
      </c>
      <c r="C508" t="s">
        <v>464</v>
      </c>
      <c r="D508">
        <v>14</v>
      </c>
      <c r="E508">
        <v>5402124.0234375</v>
      </c>
      <c r="F508">
        <v>5403576.66015625</v>
      </c>
      <c r="G508">
        <v>5402850.341796875</v>
      </c>
      <c r="H508">
        <v>9983646.7369597107</v>
      </c>
      <c r="I508">
        <v>1.036467264615826E-7</v>
      </c>
      <c r="J508">
        <v>1.0908433001469467E-5</v>
      </c>
      <c r="K508">
        <v>2.7329879936716259</v>
      </c>
      <c r="L508">
        <v>84.784809968276093</v>
      </c>
      <c r="M508">
        <v>0</v>
      </c>
    </row>
    <row r="509" spans="1:13" x14ac:dyDescent="0.15">
      <c r="A509">
        <v>249</v>
      </c>
      <c r="B509" t="s">
        <v>201</v>
      </c>
      <c r="C509" t="s">
        <v>464</v>
      </c>
      <c r="D509">
        <v>15</v>
      </c>
      <c r="E509">
        <v>5402124.0234375</v>
      </c>
      <c r="F509">
        <v>5402850.341796875</v>
      </c>
      <c r="G509">
        <v>5402487.1826171875</v>
      </c>
      <c r="H509">
        <v>6532091.611866897</v>
      </c>
      <c r="I509">
        <v>6.831252973118835E-8</v>
      </c>
      <c r="J509">
        <v>1.0873098804739073E-5</v>
      </c>
      <c r="K509">
        <v>1.7881369823219349</v>
      </c>
      <c r="L509">
        <v>20.908970092224866</v>
      </c>
      <c r="M509">
        <v>0</v>
      </c>
    </row>
    <row r="510" spans="1:13" x14ac:dyDescent="0.15">
      <c r="A510">
        <v>249</v>
      </c>
      <c r="B510" t="s">
        <v>201</v>
      </c>
      <c r="C510" t="s">
        <v>464</v>
      </c>
      <c r="D510">
        <v>16</v>
      </c>
      <c r="E510">
        <v>5402124.0234375</v>
      </c>
      <c r="F510">
        <v>5402487.1826171875</v>
      </c>
      <c r="G510">
        <v>5402305.6030273438</v>
      </c>
      <c r="H510">
        <v>4828993.751859677</v>
      </c>
      <c r="I510">
        <v>5.0687634983931292E-8</v>
      </c>
      <c r="J510">
        <v>1.0855473909991816E-5</v>
      </c>
      <c r="K510">
        <v>1.3219199650254068</v>
      </c>
      <c r="L510">
        <v>-10.612355044231379</v>
      </c>
      <c r="M510">
        <v>0</v>
      </c>
    </row>
    <row r="511" spans="1:13" x14ac:dyDescent="0.15">
      <c r="A511">
        <v>249</v>
      </c>
      <c r="B511" t="s">
        <v>201</v>
      </c>
      <c r="C511" t="s">
        <v>464</v>
      </c>
      <c r="D511">
        <v>17</v>
      </c>
      <c r="E511">
        <v>5402305.6030273438</v>
      </c>
      <c r="F511">
        <v>5402487.1826171875</v>
      </c>
      <c r="G511">
        <v>5402396.3928222656</v>
      </c>
      <c r="H511">
        <v>5678621.8562740469</v>
      </c>
      <c r="I511">
        <v>5.949619456618772E-8</v>
      </c>
      <c r="J511">
        <v>1.0864282469574072E-5</v>
      </c>
      <c r="K511">
        <v>1.5545026544603471</v>
      </c>
      <c r="L511">
        <v>5.1130173235488625</v>
      </c>
      <c r="M511">
        <v>0</v>
      </c>
    </row>
    <row r="512" spans="1:13" x14ac:dyDescent="0.15">
      <c r="A512">
        <v>249</v>
      </c>
      <c r="B512" t="s">
        <v>201</v>
      </c>
      <c r="C512" t="s">
        <v>464</v>
      </c>
      <c r="D512">
        <v>18</v>
      </c>
      <c r="E512">
        <v>5402305.6030273438</v>
      </c>
      <c r="F512">
        <v>5402396.3928222656</v>
      </c>
      <c r="G512">
        <v>5402350.9979248047</v>
      </c>
      <c r="H512">
        <v>5253393.2026408482</v>
      </c>
      <c r="I512">
        <v>5.5091618608519896E-8</v>
      </c>
      <c r="J512">
        <v>1.0859877893616405E-5</v>
      </c>
      <c r="K512">
        <v>1.4380978140684697</v>
      </c>
      <c r="L512">
        <v>-2.7572772546836615</v>
      </c>
      <c r="M512">
        <v>0</v>
      </c>
    </row>
    <row r="513" spans="1:15" x14ac:dyDescent="0.15">
      <c r="A513">
        <v>249</v>
      </c>
      <c r="B513" t="s">
        <v>201</v>
      </c>
      <c r="C513" t="s">
        <v>464</v>
      </c>
      <c r="D513">
        <v>19</v>
      </c>
      <c r="E513">
        <v>5402350.9979248047</v>
      </c>
      <c r="F513">
        <v>5402396.3928222656</v>
      </c>
      <c r="G513">
        <v>5402373.6953735352</v>
      </c>
      <c r="H513">
        <v>5465918.3680895576</v>
      </c>
      <c r="I513">
        <v>5.729398271168878E-8</v>
      </c>
      <c r="J513">
        <v>1.0862080257719574E-5</v>
      </c>
      <c r="K513">
        <v>1.4962758266552088</v>
      </c>
      <c r="L513">
        <v>1.1762361565332036</v>
      </c>
      <c r="M513">
        <v>0</v>
      </c>
    </row>
    <row r="514" spans="1:15" x14ac:dyDescent="0.15">
      <c r="A514">
        <v>249</v>
      </c>
      <c r="B514" t="s">
        <v>201</v>
      </c>
      <c r="C514" t="s">
        <v>464</v>
      </c>
      <c r="D514">
        <v>20</v>
      </c>
      <c r="E514">
        <v>5402350.9979248047</v>
      </c>
      <c r="F514">
        <v>5402373.6953735352</v>
      </c>
      <c r="G514">
        <v>5402362.3466491699</v>
      </c>
      <c r="H514">
        <v>5359626.2475541597</v>
      </c>
      <c r="I514">
        <v>5.6192744627095261E-8</v>
      </c>
      <c r="J514">
        <v>1.086097901963498E-5</v>
      </c>
      <c r="K514">
        <v>1.4671787344905072</v>
      </c>
      <c r="L514">
        <v>-0.79106317482605326</v>
      </c>
      <c r="M514">
        <v>0</v>
      </c>
    </row>
    <row r="515" spans="1:15" x14ac:dyDescent="0.15">
      <c r="A515">
        <v>249</v>
      </c>
      <c r="B515" t="s">
        <v>201</v>
      </c>
      <c r="C515" t="s">
        <v>465</v>
      </c>
      <c r="D515">
        <v>20</v>
      </c>
      <c r="E515">
        <v>5402350.9979248047</v>
      </c>
      <c r="F515">
        <v>5402373.6953735352</v>
      </c>
      <c r="G515">
        <v>5402362.3466491699</v>
      </c>
      <c r="H515">
        <v>5359626.2475541597</v>
      </c>
      <c r="I515">
        <v>5.6192744627095261E-8</v>
      </c>
      <c r="J515">
        <v>1.086097901963498E-5</v>
      </c>
      <c r="K515">
        <v>1.4671787344905072</v>
      </c>
      <c r="L515">
        <v>-0.79106317482605326</v>
      </c>
      <c r="M515">
        <v>0</v>
      </c>
      <c r="N515" t="s">
        <v>466</v>
      </c>
      <c r="O515" t="s">
        <v>467</v>
      </c>
    </row>
    <row r="516" spans="1:15" x14ac:dyDescent="0.15">
      <c r="A516">
        <v>250</v>
      </c>
      <c r="B516" t="s">
        <v>175</v>
      </c>
      <c r="C516" t="s">
        <v>461</v>
      </c>
      <c r="D516">
        <v>0</v>
      </c>
      <c r="E516">
        <v>100000</v>
      </c>
      <c r="F516">
        <v>12000000</v>
      </c>
      <c r="G516">
        <v>100000</v>
      </c>
      <c r="H516">
        <v>-15884.19034856018</v>
      </c>
      <c r="I516">
        <v>-3.6103054469631621E-5</v>
      </c>
      <c r="J516">
        <v>-1.1889544179996354E-5</v>
      </c>
      <c r="K516">
        <v>-3.9033046613338148E-3</v>
      </c>
      <c r="L516">
        <v>-115.88419034856018</v>
      </c>
      <c r="M516">
        <v>0</v>
      </c>
      <c r="O516" t="s">
        <v>462</v>
      </c>
    </row>
    <row r="517" spans="1:15" x14ac:dyDescent="0.15">
      <c r="A517">
        <v>250</v>
      </c>
      <c r="B517" t="s">
        <v>175</v>
      </c>
      <c r="C517" t="s">
        <v>461</v>
      </c>
      <c r="D517">
        <v>0</v>
      </c>
      <c r="E517">
        <v>100000</v>
      </c>
      <c r="F517">
        <v>12000000</v>
      </c>
      <c r="G517">
        <v>12000000</v>
      </c>
      <c r="H517">
        <v>1.6104518543846548E+18</v>
      </c>
      <c r="I517">
        <v>536.87089778648976</v>
      </c>
      <c r="J517">
        <v>536.87092200000006</v>
      </c>
      <c r="K517">
        <v>395744705404.08185</v>
      </c>
      <c r="L517">
        <v>13420432119772.123</v>
      </c>
      <c r="M517">
        <v>5</v>
      </c>
      <c r="O517" t="s">
        <v>463</v>
      </c>
    </row>
    <row r="518" spans="1:15" x14ac:dyDescent="0.15">
      <c r="A518">
        <v>250</v>
      </c>
      <c r="B518" t="s">
        <v>175</v>
      </c>
      <c r="C518" t="s">
        <v>464</v>
      </c>
      <c r="D518">
        <v>1</v>
      </c>
      <c r="E518">
        <v>100000</v>
      </c>
      <c r="F518">
        <v>12000000</v>
      </c>
      <c r="G518">
        <v>6050000</v>
      </c>
      <c r="H518">
        <v>326423991847.74176</v>
      </c>
      <c r="I518">
        <v>1.2231120922183321E-3</v>
      </c>
      <c r="J518">
        <v>1.2473256025079674E-3</v>
      </c>
      <c r="K518">
        <v>80213.864288397614</v>
      </c>
      <c r="L518">
        <v>5395337.8817808554</v>
      </c>
      <c r="M518">
        <v>0</v>
      </c>
    </row>
    <row r="519" spans="1:15" x14ac:dyDescent="0.15">
      <c r="A519">
        <v>250</v>
      </c>
      <c r="B519" t="s">
        <v>175</v>
      </c>
      <c r="C519" t="s">
        <v>464</v>
      </c>
      <c r="D519">
        <v>2</v>
      </c>
      <c r="E519">
        <v>100000</v>
      </c>
      <c r="F519">
        <v>6050000</v>
      </c>
      <c r="G519">
        <v>3075000</v>
      </c>
      <c r="H519">
        <v>-67995.708353080423</v>
      </c>
      <c r="I519">
        <v>-2.5002518499654848E-5</v>
      </c>
      <c r="J519">
        <v>-7.8900821001958003E-7</v>
      </c>
      <c r="K519">
        <v>-1.6708938859406913E-2</v>
      </c>
      <c r="L519">
        <v>-102.21124254806766</v>
      </c>
      <c r="M519">
        <v>0</v>
      </c>
    </row>
    <row r="520" spans="1:15" x14ac:dyDescent="0.15">
      <c r="A520">
        <v>250</v>
      </c>
      <c r="B520" t="s">
        <v>175</v>
      </c>
      <c r="C520" t="s">
        <v>464</v>
      </c>
      <c r="D520">
        <v>3</v>
      </c>
      <c r="E520">
        <v>3075000</v>
      </c>
      <c r="F520">
        <v>6050000</v>
      </c>
      <c r="G520">
        <v>4562500</v>
      </c>
      <c r="H520">
        <v>-880180.37484741362</v>
      </c>
      <c r="I520">
        <v>-1.6268267784184002E-5</v>
      </c>
      <c r="J520">
        <v>7.9452425054512662E-6</v>
      </c>
      <c r="K520">
        <v>-0.2162912987420775</v>
      </c>
      <c r="L520">
        <v>-119.29162465418989</v>
      </c>
      <c r="M520">
        <v>0</v>
      </c>
    </row>
    <row r="521" spans="1:15" x14ac:dyDescent="0.15">
      <c r="A521">
        <v>250</v>
      </c>
      <c r="B521" t="s">
        <v>175</v>
      </c>
      <c r="C521" t="s">
        <v>464</v>
      </c>
      <c r="D521">
        <v>4</v>
      </c>
      <c r="E521">
        <v>4562500</v>
      </c>
      <c r="F521">
        <v>6050000</v>
      </c>
      <c r="G521">
        <v>5306250</v>
      </c>
      <c r="H521">
        <v>4748096449.4464808</v>
      </c>
      <c r="I521">
        <v>4.8101256990041985E-5</v>
      </c>
      <c r="J521">
        <v>7.2314767279677252E-5</v>
      </c>
      <c r="K521">
        <v>1166.7744214149971</v>
      </c>
      <c r="L521">
        <v>89381.205172136266</v>
      </c>
      <c r="M521">
        <v>0</v>
      </c>
    </row>
    <row r="522" spans="1:15" x14ac:dyDescent="0.15">
      <c r="A522">
        <v>250</v>
      </c>
      <c r="B522" t="s">
        <v>175</v>
      </c>
      <c r="C522" t="s">
        <v>464</v>
      </c>
      <c r="D522">
        <v>5</v>
      </c>
      <c r="E522">
        <v>4562500</v>
      </c>
      <c r="F522">
        <v>5306250</v>
      </c>
      <c r="G522">
        <v>4934375</v>
      </c>
      <c r="H522">
        <v>-134649942.49595171</v>
      </c>
      <c r="I522">
        <v>-6.1653117577064927E-6</v>
      </c>
      <c r="J522">
        <v>1.8048198531928775E-5</v>
      </c>
      <c r="K522">
        <v>-33.088230288075053</v>
      </c>
      <c r="L522">
        <v>-2828.8145407665957</v>
      </c>
      <c r="M522">
        <v>0</v>
      </c>
    </row>
    <row r="523" spans="1:15" x14ac:dyDescent="0.15">
      <c r="A523">
        <v>250</v>
      </c>
      <c r="B523" t="s">
        <v>175</v>
      </c>
      <c r="C523" t="s">
        <v>464</v>
      </c>
      <c r="D523">
        <v>6</v>
      </c>
      <c r="E523">
        <v>4934375</v>
      </c>
      <c r="F523">
        <v>5306250</v>
      </c>
      <c r="G523">
        <v>5120312.5</v>
      </c>
      <c r="H523">
        <v>800480917.38487828</v>
      </c>
      <c r="I523">
        <v>1.18140880700881E-5</v>
      </c>
      <c r="J523">
        <v>3.6027598359723368E-5</v>
      </c>
      <c r="K523">
        <v>196.70633677720849</v>
      </c>
      <c r="L523">
        <v>15533.438728297897</v>
      </c>
      <c r="M523">
        <v>0</v>
      </c>
    </row>
    <row r="524" spans="1:15" x14ac:dyDescent="0.15">
      <c r="A524">
        <v>250</v>
      </c>
      <c r="B524" t="s">
        <v>175</v>
      </c>
      <c r="C524" t="s">
        <v>464</v>
      </c>
      <c r="D524">
        <v>7</v>
      </c>
      <c r="E524">
        <v>4934375</v>
      </c>
      <c r="F524">
        <v>5120312.5</v>
      </c>
      <c r="G524">
        <v>5027343.75</v>
      </c>
      <c r="H524">
        <v>65076671.077803716</v>
      </c>
      <c r="I524">
        <v>1.2690357418235202E-6</v>
      </c>
      <c r="J524">
        <v>2.5482546031458788E-5</v>
      </c>
      <c r="K524">
        <v>15.991628656420865</v>
      </c>
      <c r="L524">
        <v>1194.4543741971834</v>
      </c>
      <c r="M524">
        <v>0</v>
      </c>
    </row>
    <row r="525" spans="1:15" x14ac:dyDescent="0.15">
      <c r="A525">
        <v>250</v>
      </c>
      <c r="B525" t="s">
        <v>175</v>
      </c>
      <c r="C525" t="s">
        <v>464</v>
      </c>
      <c r="D525">
        <v>8</v>
      </c>
      <c r="E525">
        <v>4934375</v>
      </c>
      <c r="F525">
        <v>5027343.75</v>
      </c>
      <c r="G525">
        <v>4980859.375</v>
      </c>
      <c r="H525">
        <v>-99763637.614774883</v>
      </c>
      <c r="I525">
        <v>-2.7712037185337696E-6</v>
      </c>
      <c r="J525">
        <v>2.1442306571101498E-5</v>
      </c>
      <c r="K525">
        <v>-24.515437248500746</v>
      </c>
      <c r="L525">
        <v>-2102.9402579705411</v>
      </c>
      <c r="M525">
        <v>0</v>
      </c>
    </row>
    <row r="526" spans="1:15" x14ac:dyDescent="0.15">
      <c r="A526">
        <v>250</v>
      </c>
      <c r="B526" t="s">
        <v>175</v>
      </c>
      <c r="C526" t="s">
        <v>464</v>
      </c>
      <c r="D526">
        <v>9</v>
      </c>
      <c r="E526">
        <v>4980859.375</v>
      </c>
      <c r="F526">
        <v>5027343.75</v>
      </c>
      <c r="G526">
        <v>5004101.5625</v>
      </c>
      <c r="H526">
        <v>-36515360.929081649</v>
      </c>
      <c r="I526">
        <v>-8.3925321814179424E-7</v>
      </c>
      <c r="J526">
        <v>2.3374257071493474E-5</v>
      </c>
      <c r="K526">
        <v>-8.9731094501578248</v>
      </c>
      <c r="L526">
        <v>-829.70862947151966</v>
      </c>
      <c r="M526">
        <v>0</v>
      </c>
    </row>
    <row r="527" spans="1:15" x14ac:dyDescent="0.15">
      <c r="A527">
        <v>250</v>
      </c>
      <c r="B527" t="s">
        <v>175</v>
      </c>
      <c r="C527" t="s">
        <v>464</v>
      </c>
      <c r="D527">
        <v>10</v>
      </c>
      <c r="E527">
        <v>5004101.5625</v>
      </c>
      <c r="F527">
        <v>5027343.75</v>
      </c>
      <c r="G527">
        <v>5015722.65625</v>
      </c>
      <c r="H527">
        <v>9087160.9440448396</v>
      </c>
      <c r="I527">
        <v>1.9186359312611662E-7</v>
      </c>
      <c r="J527">
        <v>2.4405373882761384E-5</v>
      </c>
      <c r="K527">
        <v>2.2330352943923253</v>
      </c>
      <c r="L527">
        <v>81.173513107258728</v>
      </c>
      <c r="M527">
        <v>0</v>
      </c>
    </row>
    <row r="528" spans="1:15" x14ac:dyDescent="0.15">
      <c r="A528">
        <v>250</v>
      </c>
      <c r="B528" t="s">
        <v>175</v>
      </c>
      <c r="C528" t="s">
        <v>464</v>
      </c>
      <c r="D528">
        <v>11</v>
      </c>
      <c r="E528">
        <v>5004101.5625</v>
      </c>
      <c r="F528">
        <v>5015722.65625</v>
      </c>
      <c r="G528">
        <v>5009912.109375</v>
      </c>
      <c r="H528">
        <v>-14960570.066496048</v>
      </c>
      <c r="I528">
        <v>-3.2932577189650895E-7</v>
      </c>
      <c r="J528">
        <v>2.3884184517738759E-5</v>
      </c>
      <c r="K528">
        <v>-3.676338648388108</v>
      </c>
      <c r="L528">
        <v>-398.61941167591499</v>
      </c>
      <c r="M528">
        <v>0</v>
      </c>
    </row>
    <row r="529" spans="1:15" x14ac:dyDescent="0.15">
      <c r="A529">
        <v>250</v>
      </c>
      <c r="B529" t="s">
        <v>175</v>
      </c>
      <c r="C529" t="s">
        <v>464</v>
      </c>
      <c r="D529">
        <v>12</v>
      </c>
      <c r="E529">
        <v>5009912.109375</v>
      </c>
      <c r="F529">
        <v>5015722.65625</v>
      </c>
      <c r="G529">
        <v>5012817.3828125</v>
      </c>
      <c r="H529">
        <v>-3254681.6616968941</v>
      </c>
      <c r="I529">
        <v>-7.0154245875157534E-8</v>
      </c>
      <c r="J529">
        <v>2.414335604376011E-5</v>
      </c>
      <c r="K529">
        <v>-0.79978984276090126</v>
      </c>
      <c r="L529">
        <v>-164.92719389412142</v>
      </c>
      <c r="M529">
        <v>0</v>
      </c>
    </row>
    <row r="530" spans="1:15" x14ac:dyDescent="0.15">
      <c r="A530">
        <v>250</v>
      </c>
      <c r="B530" t="s">
        <v>175</v>
      </c>
      <c r="C530" t="s">
        <v>464</v>
      </c>
      <c r="D530">
        <v>13</v>
      </c>
      <c r="E530">
        <v>5012817.3828125</v>
      </c>
      <c r="F530">
        <v>5015722.65625</v>
      </c>
      <c r="G530">
        <v>5014270.01953125</v>
      </c>
      <c r="H530">
        <v>2836006.3640381698</v>
      </c>
      <c r="I530">
        <v>6.0498346142248412E-8</v>
      </c>
      <c r="J530">
        <v>2.4274008635777516E-5</v>
      </c>
      <c r="K530">
        <v>0.69690658556770391</v>
      </c>
      <c r="L530">
        <v>-43.441291494244481</v>
      </c>
      <c r="M530">
        <v>0</v>
      </c>
    </row>
    <row r="531" spans="1:15" x14ac:dyDescent="0.15">
      <c r="A531">
        <v>250</v>
      </c>
      <c r="B531" t="s">
        <v>175</v>
      </c>
      <c r="C531" t="s">
        <v>464</v>
      </c>
      <c r="D531">
        <v>14</v>
      </c>
      <c r="E531">
        <v>5014270.01953125</v>
      </c>
      <c r="F531">
        <v>5015722.65625</v>
      </c>
      <c r="G531">
        <v>5014996.337890625</v>
      </c>
      <c r="H531">
        <v>5941373.4747271119</v>
      </c>
      <c r="I531">
        <v>1.2609056903766029E-7</v>
      </c>
      <c r="J531">
        <v>2.4339600858672928E-5</v>
      </c>
      <c r="K531">
        <v>1.4600045875633543</v>
      </c>
      <c r="L531">
        <v>18.472139846589272</v>
      </c>
      <c r="M531">
        <v>0</v>
      </c>
    </row>
    <row r="532" spans="1:15" x14ac:dyDescent="0.15">
      <c r="A532">
        <v>250</v>
      </c>
      <c r="B532" t="s">
        <v>175</v>
      </c>
      <c r="C532" t="s">
        <v>464</v>
      </c>
      <c r="D532">
        <v>15</v>
      </c>
      <c r="E532">
        <v>5014270.01953125</v>
      </c>
      <c r="F532">
        <v>5014996.337890625</v>
      </c>
      <c r="G532">
        <v>5014633.1787109375</v>
      </c>
      <c r="H532">
        <v>4383692.5754269967</v>
      </c>
      <c r="I532">
        <v>9.3272783671814518E-8</v>
      </c>
      <c r="J532">
        <v>2.4306783073307082E-5</v>
      </c>
      <c r="K532">
        <v>1.0772275632588126</v>
      </c>
      <c r="L532">
        <v>-12.58198916647639</v>
      </c>
      <c r="M532">
        <v>0</v>
      </c>
    </row>
    <row r="533" spans="1:15" x14ac:dyDescent="0.15">
      <c r="A533">
        <v>250</v>
      </c>
      <c r="B533" t="s">
        <v>175</v>
      </c>
      <c r="C533" t="s">
        <v>464</v>
      </c>
      <c r="D533">
        <v>16</v>
      </c>
      <c r="E533">
        <v>5014633.1787109375</v>
      </c>
      <c r="F533">
        <v>5014996.337890625</v>
      </c>
      <c r="G533">
        <v>5014814.7583007813</v>
      </c>
      <c r="H533">
        <v>5161239.6989011746</v>
      </c>
      <c r="I533">
        <v>1.0967535928216876E-7</v>
      </c>
      <c r="J533">
        <v>2.4323185648917437E-5</v>
      </c>
      <c r="K533">
        <v>1.2682982596470969</v>
      </c>
      <c r="L533">
        <v>2.9198474451727892</v>
      </c>
      <c r="M533">
        <v>0</v>
      </c>
    </row>
    <row r="534" spans="1:15" x14ac:dyDescent="0.15">
      <c r="A534">
        <v>250</v>
      </c>
      <c r="B534" t="s">
        <v>175</v>
      </c>
      <c r="C534" t="s">
        <v>464</v>
      </c>
      <c r="D534">
        <v>17</v>
      </c>
      <c r="E534">
        <v>5014633.1787109375</v>
      </c>
      <c r="F534">
        <v>5014814.7583007813</v>
      </c>
      <c r="G534">
        <v>5014723.9685058594</v>
      </c>
      <c r="H534">
        <v>4772117.5964555675</v>
      </c>
      <c r="I534">
        <v>1.0147195602373569E-7</v>
      </c>
      <c r="J534">
        <v>2.4314982245659003E-5</v>
      </c>
      <c r="K534">
        <v>1.1726772627329149</v>
      </c>
      <c r="L534">
        <v>-4.8378808798637944</v>
      </c>
      <c r="M534">
        <v>0</v>
      </c>
    </row>
    <row r="535" spans="1:15" x14ac:dyDescent="0.15">
      <c r="A535">
        <v>250</v>
      </c>
      <c r="B535" t="s">
        <v>175</v>
      </c>
      <c r="C535" t="s">
        <v>464</v>
      </c>
      <c r="D535">
        <v>18</v>
      </c>
      <c r="E535">
        <v>5014723.9685058594</v>
      </c>
      <c r="F535">
        <v>5014814.7583007813</v>
      </c>
      <c r="G535">
        <v>5014769.3634033203</v>
      </c>
      <c r="H535">
        <v>4966667.8809656585</v>
      </c>
      <c r="I535">
        <v>1.0557473958113601E-7</v>
      </c>
      <c r="J535">
        <v>2.4319085029216404E-5</v>
      </c>
      <c r="K535">
        <v>1.2204851154297249</v>
      </c>
      <c r="L535">
        <v>-0.95919630499252562</v>
      </c>
      <c r="M535">
        <v>0</v>
      </c>
    </row>
    <row r="536" spans="1:15" x14ac:dyDescent="0.15">
      <c r="A536">
        <v>250</v>
      </c>
      <c r="B536" t="s">
        <v>175</v>
      </c>
      <c r="C536" t="s">
        <v>465</v>
      </c>
      <c r="D536">
        <v>18</v>
      </c>
      <c r="E536">
        <v>5014723.9685058594</v>
      </c>
      <c r="F536">
        <v>5014814.7583007813</v>
      </c>
      <c r="G536">
        <v>5014769.3634033203</v>
      </c>
      <c r="H536">
        <v>4966667.8809656585</v>
      </c>
      <c r="I536">
        <v>1.0557473958113601E-7</v>
      </c>
      <c r="J536">
        <v>2.4319085029216404E-5</v>
      </c>
      <c r="K536">
        <v>1.2204851154297249</v>
      </c>
      <c r="L536">
        <v>-0.95919630499252562</v>
      </c>
      <c r="M536">
        <v>0</v>
      </c>
      <c r="N536" t="s">
        <v>466</v>
      </c>
      <c r="O536" t="s">
        <v>467</v>
      </c>
    </row>
    <row r="537" spans="1:15" x14ac:dyDescent="0.15">
      <c r="A537">
        <v>251</v>
      </c>
      <c r="B537" t="s">
        <v>176</v>
      </c>
      <c r="C537" t="s">
        <v>461</v>
      </c>
      <c r="D537">
        <v>0</v>
      </c>
      <c r="E537">
        <v>100000</v>
      </c>
      <c r="F537">
        <v>12000000</v>
      </c>
      <c r="G537">
        <v>100000</v>
      </c>
      <c r="H537">
        <v>-9984.5536015187081</v>
      </c>
      <c r="I537">
        <v>-3.9800119446837734E-5</v>
      </c>
      <c r="J537">
        <v>-1.6761841093940031E-5</v>
      </c>
      <c r="K537">
        <v>-1.95375776005614E-3</v>
      </c>
      <c r="L537">
        <v>-109.98455360151871</v>
      </c>
      <c r="M537">
        <v>0</v>
      </c>
      <c r="O537" t="s">
        <v>462</v>
      </c>
    </row>
    <row r="538" spans="1:15" x14ac:dyDescent="0.15">
      <c r="A538">
        <v>251</v>
      </c>
      <c r="B538" t="s">
        <v>176</v>
      </c>
      <c r="C538" t="s">
        <v>461</v>
      </c>
      <c r="D538">
        <v>0</v>
      </c>
      <c r="E538">
        <v>100000</v>
      </c>
      <c r="F538">
        <v>12000000</v>
      </c>
      <c r="G538">
        <v>12000000</v>
      </c>
      <c r="H538">
        <v>1.7401854032290058E+18</v>
      </c>
      <c r="I538">
        <v>536.87089896172176</v>
      </c>
      <c r="J538">
        <v>536.87092200000006</v>
      </c>
      <c r="K538">
        <v>340516048206.49652</v>
      </c>
      <c r="L538">
        <v>14501545026808.383</v>
      </c>
      <c r="M538">
        <v>5</v>
      </c>
      <c r="O538" t="s">
        <v>463</v>
      </c>
    </row>
    <row r="539" spans="1:15" x14ac:dyDescent="0.15">
      <c r="A539">
        <v>251</v>
      </c>
      <c r="B539" t="s">
        <v>176</v>
      </c>
      <c r="C539" t="s">
        <v>464</v>
      </c>
      <c r="D539">
        <v>1</v>
      </c>
      <c r="E539">
        <v>100000</v>
      </c>
      <c r="F539">
        <v>12000000</v>
      </c>
      <c r="G539">
        <v>6050000</v>
      </c>
      <c r="H539">
        <v>-301632.89703065931</v>
      </c>
      <c r="I539">
        <v>-1.8082181753333274E-5</v>
      </c>
      <c r="J539">
        <v>4.9560965995644288E-6</v>
      </c>
      <c r="K539">
        <v>-5.9022930496584906E-2</v>
      </c>
      <c r="L539">
        <v>-104.98566771951504</v>
      </c>
      <c r="M539">
        <v>0</v>
      </c>
    </row>
    <row r="540" spans="1:15" x14ac:dyDescent="0.15">
      <c r="A540">
        <v>251</v>
      </c>
      <c r="B540" t="s">
        <v>176</v>
      </c>
      <c r="C540" t="s">
        <v>464</v>
      </c>
      <c r="D540">
        <v>2</v>
      </c>
      <c r="E540">
        <v>6050000</v>
      </c>
      <c r="F540">
        <v>12000000</v>
      </c>
      <c r="G540">
        <v>9025000</v>
      </c>
      <c r="H540">
        <v>63249392211164.75</v>
      </c>
      <c r="I540">
        <v>8.0446959885256325E-2</v>
      </c>
      <c r="J540">
        <v>8.0469998163609224E-2</v>
      </c>
      <c r="K540">
        <v>12376516.345467981</v>
      </c>
      <c r="L540">
        <v>700824190.42841828</v>
      </c>
      <c r="M540">
        <v>0</v>
      </c>
    </row>
    <row r="541" spans="1:15" x14ac:dyDescent="0.15">
      <c r="A541">
        <v>251</v>
      </c>
      <c r="B541" t="s">
        <v>176</v>
      </c>
      <c r="C541" t="s">
        <v>464</v>
      </c>
      <c r="D541">
        <v>3</v>
      </c>
      <c r="E541">
        <v>6050000</v>
      </c>
      <c r="F541">
        <v>9025000</v>
      </c>
      <c r="G541">
        <v>7537500</v>
      </c>
      <c r="H541">
        <v>58962057172.672203</v>
      </c>
      <c r="I541">
        <v>3.0681580169849188E-4</v>
      </c>
      <c r="J541">
        <v>3.2985408005138959E-4</v>
      </c>
      <c r="K541">
        <v>11537.579079395186</v>
      </c>
      <c r="L541">
        <v>782149.51472865278</v>
      </c>
      <c r="M541">
        <v>0</v>
      </c>
    </row>
    <row r="542" spans="1:15" x14ac:dyDescent="0.15">
      <c r="A542">
        <v>251</v>
      </c>
      <c r="B542" t="s">
        <v>176</v>
      </c>
      <c r="C542" t="s">
        <v>464</v>
      </c>
      <c r="D542">
        <v>4</v>
      </c>
      <c r="E542">
        <v>6050000</v>
      </c>
      <c r="F542">
        <v>7537500</v>
      </c>
      <c r="G542">
        <v>6793750</v>
      </c>
      <c r="H542">
        <v>37236542.282950886</v>
      </c>
      <c r="I542">
        <v>7.1959468361985378E-7</v>
      </c>
      <c r="J542">
        <v>2.3757873036517557E-5</v>
      </c>
      <c r="K542">
        <v>7.2863731666389153</v>
      </c>
      <c r="L542">
        <v>448.0999784059008</v>
      </c>
      <c r="M542">
        <v>0</v>
      </c>
    </row>
    <row r="543" spans="1:15" x14ac:dyDescent="0.15">
      <c r="A543">
        <v>251</v>
      </c>
      <c r="B543" t="s">
        <v>176</v>
      </c>
      <c r="C543" t="s">
        <v>464</v>
      </c>
      <c r="D543">
        <v>5</v>
      </c>
      <c r="E543">
        <v>6050000</v>
      </c>
      <c r="F543">
        <v>6793750</v>
      </c>
      <c r="G543">
        <v>6421875</v>
      </c>
      <c r="H543">
        <v>-2481289.9938757806</v>
      </c>
      <c r="I543">
        <v>-1.3698907627306171E-5</v>
      </c>
      <c r="J543">
        <v>9.3393707255915317E-6</v>
      </c>
      <c r="K543">
        <v>-0.48553393310914505</v>
      </c>
      <c r="L543">
        <v>-138.63809236205594</v>
      </c>
      <c r="M543">
        <v>0</v>
      </c>
    </row>
    <row r="544" spans="1:15" x14ac:dyDescent="0.15">
      <c r="A544">
        <v>251</v>
      </c>
      <c r="B544" t="s">
        <v>176</v>
      </c>
      <c r="C544" t="s">
        <v>464</v>
      </c>
      <c r="D544">
        <v>6</v>
      </c>
      <c r="E544">
        <v>6421875</v>
      </c>
      <c r="F544">
        <v>6793750</v>
      </c>
      <c r="G544">
        <v>6607812.5</v>
      </c>
      <c r="H544">
        <v>-32484531.367672551</v>
      </c>
      <c r="I544">
        <v>-1.0171592135960951E-5</v>
      </c>
      <c r="J544">
        <v>1.2866686216936752E-5</v>
      </c>
      <c r="K544">
        <v>-6.3565090412979153</v>
      </c>
      <c r="L544">
        <v>-591.60794692150466</v>
      </c>
      <c r="M544">
        <v>0</v>
      </c>
    </row>
    <row r="545" spans="1:15" x14ac:dyDescent="0.15">
      <c r="A545">
        <v>251</v>
      </c>
      <c r="B545" t="s">
        <v>176</v>
      </c>
      <c r="C545" t="s">
        <v>464</v>
      </c>
      <c r="D545">
        <v>7</v>
      </c>
      <c r="E545">
        <v>6607812.5</v>
      </c>
      <c r="F545">
        <v>6793750</v>
      </c>
      <c r="G545">
        <v>6700781.25</v>
      </c>
      <c r="H545">
        <v>-132916800.30616242</v>
      </c>
      <c r="I545">
        <v>-5.859613836060282E-6</v>
      </c>
      <c r="J545">
        <v>1.7178664516837421E-5</v>
      </c>
      <c r="K545">
        <v>-26.008897383303864</v>
      </c>
      <c r="L545">
        <v>-2083.6015435687059</v>
      </c>
      <c r="M545">
        <v>0</v>
      </c>
    </row>
    <row r="546" spans="1:15" x14ac:dyDescent="0.15">
      <c r="A546">
        <v>251</v>
      </c>
      <c r="B546" t="s">
        <v>176</v>
      </c>
      <c r="C546" t="s">
        <v>464</v>
      </c>
      <c r="D546">
        <v>8</v>
      </c>
      <c r="E546">
        <v>6700781.25</v>
      </c>
      <c r="F546">
        <v>6793750</v>
      </c>
      <c r="G546">
        <v>6747265.625</v>
      </c>
      <c r="H546">
        <v>-104082969.08378407</v>
      </c>
      <c r="I546">
        <v>-2.8386175466704733E-6</v>
      </c>
      <c r="J546">
        <v>2.019966080622723E-5</v>
      </c>
      <c r="K546">
        <v>-20.366750147567465</v>
      </c>
      <c r="L546">
        <v>-1642.5948060816722</v>
      </c>
      <c r="M546">
        <v>0</v>
      </c>
    </row>
    <row r="547" spans="1:15" x14ac:dyDescent="0.15">
      <c r="A547">
        <v>251</v>
      </c>
      <c r="B547" t="s">
        <v>176</v>
      </c>
      <c r="C547" t="s">
        <v>464</v>
      </c>
      <c r="D547">
        <v>9</v>
      </c>
      <c r="E547">
        <v>6747265.625</v>
      </c>
      <c r="F547">
        <v>6793750</v>
      </c>
      <c r="G547">
        <v>6770507.8125</v>
      </c>
      <c r="H547">
        <v>-49913107.916135497</v>
      </c>
      <c r="I547">
        <v>-1.132337432633991E-6</v>
      </c>
      <c r="J547">
        <v>2.1905940920263712E-5</v>
      </c>
      <c r="K547">
        <v>-9.766898532633066</v>
      </c>
      <c r="L547">
        <v>-837.21365218697167</v>
      </c>
      <c r="M547">
        <v>0</v>
      </c>
    </row>
    <row r="548" spans="1:15" x14ac:dyDescent="0.15">
      <c r="A548">
        <v>251</v>
      </c>
      <c r="B548" t="s">
        <v>176</v>
      </c>
      <c r="C548" t="s">
        <v>464</v>
      </c>
      <c r="D548">
        <v>10</v>
      </c>
      <c r="E548">
        <v>6770507.8125</v>
      </c>
      <c r="F548">
        <v>6793750</v>
      </c>
      <c r="G548">
        <v>6782128.90625</v>
      </c>
      <c r="H548">
        <v>-10789665.291604526</v>
      </c>
      <c r="I548">
        <v>-2.2533877001142818E-7</v>
      </c>
      <c r="J548">
        <v>2.2812939582886275E-5</v>
      </c>
      <c r="K548">
        <v>-2.1113004279604737</v>
      </c>
      <c r="L548">
        <v>-259.08965224269656</v>
      </c>
      <c r="M548">
        <v>0</v>
      </c>
    </row>
    <row r="549" spans="1:15" x14ac:dyDescent="0.15">
      <c r="A549">
        <v>251</v>
      </c>
      <c r="B549" t="s">
        <v>176</v>
      </c>
      <c r="C549" t="s">
        <v>464</v>
      </c>
      <c r="D549">
        <v>11</v>
      </c>
      <c r="E549">
        <v>6782128.90625</v>
      </c>
      <c r="F549">
        <v>6793750</v>
      </c>
      <c r="G549">
        <v>6787939.453125</v>
      </c>
      <c r="H549">
        <v>12067535.437861744</v>
      </c>
      <c r="I549">
        <v>2.4228825630532907E-7</v>
      </c>
      <c r="J549">
        <v>2.3280566609203032E-5</v>
      </c>
      <c r="K549">
        <v>2.3613515383290293</v>
      </c>
      <c r="L549">
        <v>77.779067141003281</v>
      </c>
      <c r="M549">
        <v>0</v>
      </c>
    </row>
    <row r="550" spans="1:15" x14ac:dyDescent="0.15">
      <c r="A550">
        <v>251</v>
      </c>
      <c r="B550" t="s">
        <v>176</v>
      </c>
      <c r="C550" t="s">
        <v>464</v>
      </c>
      <c r="D550">
        <v>12</v>
      </c>
      <c r="E550">
        <v>6782128.90625</v>
      </c>
      <c r="F550">
        <v>6787939.453125</v>
      </c>
      <c r="G550">
        <v>6785034.1796875</v>
      </c>
      <c r="H550">
        <v>355460.97795217938</v>
      </c>
      <c r="I550">
        <v>7.2777265093977854E-9</v>
      </c>
      <c r="J550">
        <v>2.3045556079407101E-5</v>
      </c>
      <c r="K550">
        <v>6.9555903226918403E-2</v>
      </c>
      <c r="L550">
        <v>-94.761102618814647</v>
      </c>
      <c r="M550">
        <v>0</v>
      </c>
    </row>
    <row r="551" spans="1:15" x14ac:dyDescent="0.15">
      <c r="A551">
        <v>251</v>
      </c>
      <c r="B551" t="s">
        <v>176</v>
      </c>
      <c r="C551" t="s">
        <v>464</v>
      </c>
      <c r="D551">
        <v>13</v>
      </c>
      <c r="E551">
        <v>6785034.1796875</v>
      </c>
      <c r="F551">
        <v>6787939.453125</v>
      </c>
      <c r="G551">
        <v>6786486.81640625</v>
      </c>
      <c r="H551">
        <v>6139943.902662931</v>
      </c>
      <c r="I551">
        <v>1.2448204469668451E-7</v>
      </c>
      <c r="J551">
        <v>2.3162760397594387E-5</v>
      </c>
      <c r="K551">
        <v>1.2014521154268154</v>
      </c>
      <c r="L551">
        <v>-9.5269162268216494</v>
      </c>
      <c r="M551">
        <v>0</v>
      </c>
    </row>
    <row r="552" spans="1:15" x14ac:dyDescent="0.15">
      <c r="A552">
        <v>251</v>
      </c>
      <c r="B552" t="s">
        <v>176</v>
      </c>
      <c r="C552" t="s">
        <v>464</v>
      </c>
      <c r="D552">
        <v>14</v>
      </c>
      <c r="E552">
        <v>6786486.81640625</v>
      </c>
      <c r="F552">
        <v>6787939.453125</v>
      </c>
      <c r="G552">
        <v>6787213.134765625</v>
      </c>
      <c r="H552">
        <v>9085696.9984037131</v>
      </c>
      <c r="I552">
        <v>1.8330835420616023E-7</v>
      </c>
      <c r="J552">
        <v>2.3221586707103863E-5</v>
      </c>
      <c r="K552">
        <v>1.7778712724272383</v>
      </c>
      <c r="L552">
        <v>33.864913595607291</v>
      </c>
      <c r="M552">
        <v>0</v>
      </c>
    </row>
    <row r="553" spans="1:15" x14ac:dyDescent="0.15">
      <c r="A553">
        <v>251</v>
      </c>
      <c r="B553" t="s">
        <v>176</v>
      </c>
      <c r="C553" t="s">
        <v>464</v>
      </c>
      <c r="D553">
        <v>15</v>
      </c>
      <c r="E553">
        <v>6786486.81640625</v>
      </c>
      <c r="F553">
        <v>6787213.134765625</v>
      </c>
      <c r="G553">
        <v>6786849.9755859375</v>
      </c>
      <c r="H553">
        <v>7608303.742912339</v>
      </c>
      <c r="I553">
        <v>1.5387568552264994E-7</v>
      </c>
      <c r="J553">
        <v>2.3192154038420353E-5</v>
      </c>
      <c r="K553">
        <v>1.4887778734863155</v>
      </c>
      <c r="L553">
        <v>12.10360874752476</v>
      </c>
      <c r="M553">
        <v>0</v>
      </c>
    </row>
    <row r="554" spans="1:15" x14ac:dyDescent="0.15">
      <c r="A554">
        <v>251</v>
      </c>
      <c r="B554" t="s">
        <v>176</v>
      </c>
      <c r="C554" t="s">
        <v>464</v>
      </c>
      <c r="D554">
        <v>16</v>
      </c>
      <c r="E554">
        <v>6786486.81640625</v>
      </c>
      <c r="F554">
        <v>6786849.9755859375</v>
      </c>
      <c r="G554">
        <v>6786668.3959960938</v>
      </c>
      <c r="H554">
        <v>6873038.5844212994</v>
      </c>
      <c r="I554">
        <v>1.3917484126933105E-7</v>
      </c>
      <c r="J554">
        <v>2.3177453194167034E-5</v>
      </c>
      <c r="K554">
        <v>1.3449026371530386</v>
      </c>
      <c r="L554">
        <v>1.2726448882659591</v>
      </c>
      <c r="M554">
        <v>0</v>
      </c>
    </row>
    <row r="555" spans="1:15" x14ac:dyDescent="0.15">
      <c r="A555">
        <v>251</v>
      </c>
      <c r="B555" t="s">
        <v>176</v>
      </c>
      <c r="C555" t="s">
        <v>464</v>
      </c>
      <c r="D555">
        <v>17</v>
      </c>
      <c r="E555">
        <v>6786486.81640625</v>
      </c>
      <c r="F555">
        <v>6786668.3959960938</v>
      </c>
      <c r="G555">
        <v>6786577.6062011719</v>
      </c>
      <c r="H555">
        <v>6506143.6401928645</v>
      </c>
      <c r="I555">
        <v>1.3182590558459377E-7</v>
      </c>
      <c r="J555">
        <v>2.3170104258482297E-5</v>
      </c>
      <c r="K555">
        <v>1.2731093579519899</v>
      </c>
      <c r="L555">
        <v>-4.1321853558716182</v>
      </c>
      <c r="M555">
        <v>0</v>
      </c>
    </row>
    <row r="556" spans="1:15" x14ac:dyDescent="0.15">
      <c r="A556">
        <v>251</v>
      </c>
      <c r="B556" t="s">
        <v>176</v>
      </c>
      <c r="C556" t="s">
        <v>464</v>
      </c>
      <c r="D556">
        <v>18</v>
      </c>
      <c r="E556">
        <v>6786577.6062011719</v>
      </c>
      <c r="F556">
        <v>6786668.3959960938</v>
      </c>
      <c r="G556">
        <v>6786623.0010986328</v>
      </c>
      <c r="H556">
        <v>6689487.154779397</v>
      </c>
      <c r="I556">
        <v>1.3549939841574278E-7</v>
      </c>
      <c r="J556">
        <v>2.3173777751313446E-5</v>
      </c>
      <c r="K556">
        <v>1.3089856553484922</v>
      </c>
      <c r="L556">
        <v>-1.4312839582147308</v>
      </c>
      <c r="M556">
        <v>0</v>
      </c>
    </row>
    <row r="557" spans="1:15" x14ac:dyDescent="0.15">
      <c r="A557">
        <v>251</v>
      </c>
      <c r="B557" t="s">
        <v>176</v>
      </c>
      <c r="C557" t="s">
        <v>464</v>
      </c>
      <c r="D557">
        <v>19</v>
      </c>
      <c r="E557">
        <v>6786623.0010986328</v>
      </c>
      <c r="F557">
        <v>6786668.3959960938</v>
      </c>
      <c r="G557">
        <v>6786645.6985473633</v>
      </c>
      <c r="H557">
        <v>6781279.3735196497</v>
      </c>
      <c r="I557">
        <v>1.3733772717776903E-7</v>
      </c>
      <c r="J557">
        <v>2.3175616080075472E-5</v>
      </c>
      <c r="K557">
        <v>1.32694737570515</v>
      </c>
      <c r="L557">
        <v>-7.9071831153086108E-2</v>
      </c>
      <c r="M557">
        <v>0</v>
      </c>
    </row>
    <row r="558" spans="1:15" x14ac:dyDescent="0.15">
      <c r="A558">
        <v>251</v>
      </c>
      <c r="B558" t="s">
        <v>176</v>
      </c>
      <c r="C558" t="s">
        <v>465</v>
      </c>
      <c r="D558">
        <v>19</v>
      </c>
      <c r="E558">
        <v>6786623.0010986328</v>
      </c>
      <c r="F558">
        <v>6786668.3959960938</v>
      </c>
      <c r="G558">
        <v>6786645.6985473633</v>
      </c>
      <c r="H558">
        <v>6781279.3735196497</v>
      </c>
      <c r="I558">
        <v>1.3733772717776903E-7</v>
      </c>
      <c r="J558">
        <v>2.3175616080075472E-5</v>
      </c>
      <c r="K558">
        <v>1.32694737570515</v>
      </c>
      <c r="L558">
        <v>-7.9071831153086108E-2</v>
      </c>
      <c r="M558">
        <v>0</v>
      </c>
      <c r="N558" t="s">
        <v>466</v>
      </c>
      <c r="O558" t="s">
        <v>467</v>
      </c>
    </row>
    <row r="559" spans="1:15" x14ac:dyDescent="0.15">
      <c r="A559">
        <v>252</v>
      </c>
      <c r="B559" t="s">
        <v>177</v>
      </c>
      <c r="C559" t="s">
        <v>461</v>
      </c>
      <c r="D559">
        <v>0</v>
      </c>
      <c r="E559">
        <v>100000</v>
      </c>
      <c r="F559">
        <v>12000000</v>
      </c>
      <c r="G559">
        <v>100000</v>
      </c>
      <c r="H559">
        <v>-10063.910685642599</v>
      </c>
      <c r="I559">
        <v>-3.9701514283033726E-5</v>
      </c>
      <c r="J559">
        <v>-1.6663235930136023E-5</v>
      </c>
      <c r="K559">
        <v>-1.9692861977920937E-3</v>
      </c>
      <c r="L559">
        <v>-110.0639106856426</v>
      </c>
      <c r="M559">
        <v>0</v>
      </c>
      <c r="O559" t="s">
        <v>462</v>
      </c>
    </row>
    <row r="560" spans="1:15" x14ac:dyDescent="0.15">
      <c r="A560">
        <v>252</v>
      </c>
      <c r="B560" t="s">
        <v>177</v>
      </c>
      <c r="C560" t="s">
        <v>461</v>
      </c>
      <c r="D560">
        <v>0</v>
      </c>
      <c r="E560">
        <v>100000</v>
      </c>
      <c r="F560">
        <v>12000000</v>
      </c>
      <c r="G560">
        <v>12000000</v>
      </c>
      <c r="H560">
        <v>1.7401854032290058E+18</v>
      </c>
      <c r="I560">
        <v>536.87089896172176</v>
      </c>
      <c r="J560">
        <v>536.87092200000006</v>
      </c>
      <c r="K560">
        <v>340516048206.49652</v>
      </c>
      <c r="L560">
        <v>14501545026808.383</v>
      </c>
      <c r="M560">
        <v>5</v>
      </c>
      <c r="O560" t="s">
        <v>463</v>
      </c>
    </row>
    <row r="561" spans="1:13" x14ac:dyDescent="0.15">
      <c r="A561">
        <v>252</v>
      </c>
      <c r="B561" t="s">
        <v>177</v>
      </c>
      <c r="C561" t="s">
        <v>464</v>
      </c>
      <c r="D561">
        <v>1</v>
      </c>
      <c r="E561">
        <v>100000</v>
      </c>
      <c r="F561">
        <v>12000000</v>
      </c>
      <c r="G561">
        <v>6050000</v>
      </c>
      <c r="H561">
        <v>-331101.27765742014</v>
      </c>
      <c r="I561">
        <v>-1.7818287951685809E-5</v>
      </c>
      <c r="J561">
        <v>5.219990401211894E-6</v>
      </c>
      <c r="K561">
        <v>-6.4789245108493501E-2</v>
      </c>
      <c r="L561">
        <v>-105.47274839103174</v>
      </c>
      <c r="M561">
        <v>0</v>
      </c>
    </row>
    <row r="562" spans="1:13" x14ac:dyDescent="0.15">
      <c r="A562">
        <v>252</v>
      </c>
      <c r="B562" t="s">
        <v>177</v>
      </c>
      <c r="C562" t="s">
        <v>464</v>
      </c>
      <c r="D562">
        <v>2</v>
      </c>
      <c r="E562">
        <v>6050000</v>
      </c>
      <c r="F562">
        <v>12000000</v>
      </c>
      <c r="G562">
        <v>9025000</v>
      </c>
      <c r="H562">
        <v>73445190994648.766</v>
      </c>
      <c r="I562">
        <v>9.1081058380993646E-2</v>
      </c>
      <c r="J562">
        <v>9.1104096659346545E-2</v>
      </c>
      <c r="K562">
        <v>14371610.146173591</v>
      </c>
      <c r="L562">
        <v>813797030.13461232</v>
      </c>
      <c r="M562">
        <v>0</v>
      </c>
    </row>
    <row r="563" spans="1:13" x14ac:dyDescent="0.15">
      <c r="A563">
        <v>252</v>
      </c>
      <c r="B563" t="s">
        <v>177</v>
      </c>
      <c r="C563" t="s">
        <v>464</v>
      </c>
      <c r="D563">
        <v>3</v>
      </c>
      <c r="E563">
        <v>6050000</v>
      </c>
      <c r="F563">
        <v>9025000</v>
      </c>
      <c r="G563">
        <v>7537500</v>
      </c>
      <c r="H563">
        <v>69042184869.851807</v>
      </c>
      <c r="I563">
        <v>3.4614368342125186E-4</v>
      </c>
      <c r="J563">
        <v>3.6918196177414958E-4</v>
      </c>
      <c r="K563">
        <v>13510.038590026275</v>
      </c>
      <c r="L563">
        <v>915882.55217050493</v>
      </c>
      <c r="M563">
        <v>0</v>
      </c>
    </row>
    <row r="564" spans="1:13" x14ac:dyDescent="0.15">
      <c r="A564">
        <v>252</v>
      </c>
      <c r="B564" t="s">
        <v>177</v>
      </c>
      <c r="C564" t="s">
        <v>464</v>
      </c>
      <c r="D564">
        <v>4</v>
      </c>
      <c r="E564">
        <v>6050000</v>
      </c>
      <c r="F564">
        <v>7537500</v>
      </c>
      <c r="G564">
        <v>6793750</v>
      </c>
      <c r="H564">
        <v>205101757.62652805</v>
      </c>
      <c r="I564">
        <v>3.4388545526149058E-6</v>
      </c>
      <c r="J564">
        <v>2.6477132905512609E-5</v>
      </c>
      <c r="K564">
        <v>40.133907489167171</v>
      </c>
      <c r="L564">
        <v>2918.9771131779657</v>
      </c>
      <c r="M564">
        <v>0</v>
      </c>
    </row>
    <row r="565" spans="1:13" x14ac:dyDescent="0.15">
      <c r="A565">
        <v>252</v>
      </c>
      <c r="B565" t="s">
        <v>177</v>
      </c>
      <c r="C565" t="s">
        <v>464</v>
      </c>
      <c r="D565">
        <v>5</v>
      </c>
      <c r="E565">
        <v>6050000</v>
      </c>
      <c r="F565">
        <v>6793750</v>
      </c>
      <c r="G565">
        <v>6421875</v>
      </c>
      <c r="H565">
        <v>-3490021.2604346438</v>
      </c>
      <c r="I565">
        <v>-1.3190797974172468E-5</v>
      </c>
      <c r="J565">
        <v>9.8474803787252346E-6</v>
      </c>
      <c r="K565">
        <v>-0.68292047821726731</v>
      </c>
      <c r="L565">
        <v>-154.34582984618424</v>
      </c>
      <c r="M565">
        <v>0</v>
      </c>
    </row>
    <row r="566" spans="1:13" x14ac:dyDescent="0.15">
      <c r="A566">
        <v>252</v>
      </c>
      <c r="B566" t="s">
        <v>177</v>
      </c>
      <c r="C566" t="s">
        <v>464</v>
      </c>
      <c r="D566">
        <v>6</v>
      </c>
      <c r="E566">
        <v>6421875</v>
      </c>
      <c r="F566">
        <v>6793750</v>
      </c>
      <c r="G566">
        <v>6607812.5</v>
      </c>
      <c r="H566">
        <v>-61105419.451398924</v>
      </c>
      <c r="I566">
        <v>-9.1952144332075585E-6</v>
      </c>
      <c r="J566">
        <v>1.3843063919690144E-5</v>
      </c>
      <c r="K566">
        <v>-11.956987983568625</v>
      </c>
      <c r="L566">
        <v>-1024.7450567248832</v>
      </c>
      <c r="M566">
        <v>0</v>
      </c>
    </row>
    <row r="567" spans="1:13" x14ac:dyDescent="0.15">
      <c r="A567">
        <v>252</v>
      </c>
      <c r="B567" t="s">
        <v>177</v>
      </c>
      <c r="C567" t="s">
        <v>464</v>
      </c>
      <c r="D567">
        <v>7</v>
      </c>
      <c r="E567">
        <v>6607812.5</v>
      </c>
      <c r="F567">
        <v>6793750</v>
      </c>
      <c r="G567">
        <v>6700781.25</v>
      </c>
      <c r="H567">
        <v>-124360514.61878197</v>
      </c>
      <c r="I567">
        <v>-3.9026755969243695E-6</v>
      </c>
      <c r="J567">
        <v>1.9135602755973333E-5</v>
      </c>
      <c r="K567">
        <v>-24.33462027226366</v>
      </c>
      <c r="L567">
        <v>-1955.9106763675052</v>
      </c>
      <c r="M567">
        <v>0</v>
      </c>
    </row>
    <row r="568" spans="1:13" x14ac:dyDescent="0.15">
      <c r="A568">
        <v>252</v>
      </c>
      <c r="B568" t="s">
        <v>177</v>
      </c>
      <c r="C568" t="s">
        <v>464</v>
      </c>
      <c r="D568">
        <v>8</v>
      </c>
      <c r="E568">
        <v>6700781.25</v>
      </c>
      <c r="F568">
        <v>6793750</v>
      </c>
      <c r="G568">
        <v>6747265.625</v>
      </c>
      <c r="H568">
        <v>-24786961.649085619</v>
      </c>
      <c r="I568">
        <v>-5.3182307169071395E-7</v>
      </c>
      <c r="J568">
        <v>2.2506455281206989E-5</v>
      </c>
      <c r="K568">
        <v>-4.8502637777164948</v>
      </c>
      <c r="L568">
        <v>-467.36306270861564</v>
      </c>
      <c r="M568">
        <v>0</v>
      </c>
    </row>
    <row r="569" spans="1:13" x14ac:dyDescent="0.15">
      <c r="A569">
        <v>252</v>
      </c>
      <c r="B569" t="s">
        <v>177</v>
      </c>
      <c r="C569" t="s">
        <v>464</v>
      </c>
      <c r="D569">
        <v>9</v>
      </c>
      <c r="E569">
        <v>6747265.625</v>
      </c>
      <c r="F569">
        <v>6793750</v>
      </c>
      <c r="G569">
        <v>6770507.8125</v>
      </c>
      <c r="H569">
        <v>74591329.211591437</v>
      </c>
      <c r="I569">
        <v>1.3721671419319475E-6</v>
      </c>
      <c r="J569">
        <v>2.441044549482965E-5</v>
      </c>
      <c r="K569">
        <v>14.595884212378017</v>
      </c>
      <c r="L569">
        <v>1001.7095213135675</v>
      </c>
      <c r="M569">
        <v>0</v>
      </c>
    </row>
    <row r="570" spans="1:13" x14ac:dyDescent="0.15">
      <c r="A570">
        <v>252</v>
      </c>
      <c r="B570" t="s">
        <v>177</v>
      </c>
      <c r="C570" t="s">
        <v>464</v>
      </c>
      <c r="D570">
        <v>10</v>
      </c>
      <c r="E570">
        <v>6747265.625</v>
      </c>
      <c r="F570">
        <v>6770507.8125</v>
      </c>
      <c r="G570">
        <v>6758886.71875</v>
      </c>
      <c r="H570">
        <v>20216612.722859532</v>
      </c>
      <c r="I570">
        <v>4.0070113945414628E-7</v>
      </c>
      <c r="J570">
        <v>2.3438979492351849E-5</v>
      </c>
      <c r="K570">
        <v>3.9559469121712727</v>
      </c>
      <c r="L570">
        <v>199.11157804696018</v>
      </c>
      <c r="M570">
        <v>0</v>
      </c>
    </row>
    <row r="571" spans="1:13" x14ac:dyDescent="0.15">
      <c r="A571">
        <v>252</v>
      </c>
      <c r="B571" t="s">
        <v>177</v>
      </c>
      <c r="C571" t="s">
        <v>464</v>
      </c>
      <c r="D571">
        <v>11</v>
      </c>
      <c r="E571">
        <v>6747265.625</v>
      </c>
      <c r="F571">
        <v>6758886.71875</v>
      </c>
      <c r="G571">
        <v>6753076.171875</v>
      </c>
      <c r="H571">
        <v>-3411060.4824638325</v>
      </c>
      <c r="I571">
        <v>-7.0298232408181293E-8</v>
      </c>
      <c r="J571">
        <v>2.2967980120489522E-5</v>
      </c>
      <c r="K571">
        <v>-0.66746958888786589</v>
      </c>
      <c r="L571">
        <v>-150.51120993822209</v>
      </c>
      <c r="M571">
        <v>0</v>
      </c>
    </row>
    <row r="572" spans="1:13" x14ac:dyDescent="0.15">
      <c r="A572">
        <v>252</v>
      </c>
      <c r="B572" t="s">
        <v>177</v>
      </c>
      <c r="C572" t="s">
        <v>464</v>
      </c>
      <c r="D572">
        <v>12</v>
      </c>
      <c r="E572">
        <v>6753076.171875</v>
      </c>
      <c r="F572">
        <v>6758886.71875</v>
      </c>
      <c r="G572">
        <v>6755981.4453125</v>
      </c>
      <c r="H572">
        <v>8115394.1347539825</v>
      </c>
      <c r="I572">
        <v>1.6399387459871767E-7</v>
      </c>
      <c r="J572">
        <v>2.3202272227496421E-5</v>
      </c>
      <c r="K572">
        <v>1.5880043214228385</v>
      </c>
      <c r="L572">
        <v>20.121616680647982</v>
      </c>
      <c r="M572">
        <v>0</v>
      </c>
    </row>
    <row r="573" spans="1:13" x14ac:dyDescent="0.15">
      <c r="A573">
        <v>252</v>
      </c>
      <c r="B573" t="s">
        <v>177</v>
      </c>
      <c r="C573" t="s">
        <v>464</v>
      </c>
      <c r="D573">
        <v>13</v>
      </c>
      <c r="E573">
        <v>6753076.171875</v>
      </c>
      <c r="F573">
        <v>6755981.4453125</v>
      </c>
      <c r="G573">
        <v>6754528.80859375</v>
      </c>
      <c r="H573">
        <v>2281080.9988965401</v>
      </c>
      <c r="I573">
        <v>4.6549013385422143E-8</v>
      </c>
      <c r="J573">
        <v>2.3084827366283125E-5</v>
      </c>
      <c r="K573">
        <v>0.44635743176668802</v>
      </c>
      <c r="L573">
        <v>-66.228865646492864</v>
      </c>
      <c r="M573">
        <v>0</v>
      </c>
    </row>
    <row r="574" spans="1:13" x14ac:dyDescent="0.15">
      <c r="A574">
        <v>252</v>
      </c>
      <c r="B574" t="s">
        <v>177</v>
      </c>
      <c r="C574" t="s">
        <v>464</v>
      </c>
      <c r="D574">
        <v>14</v>
      </c>
      <c r="E574">
        <v>6754528.80859375</v>
      </c>
      <c r="F574">
        <v>6755981.4453125</v>
      </c>
      <c r="G574">
        <v>6755255.126953125</v>
      </c>
      <c r="H574">
        <v>5180398.5154877175</v>
      </c>
      <c r="I574">
        <v>1.0519689074015836E-7</v>
      </c>
      <c r="J574">
        <v>2.3143475243637861E-5</v>
      </c>
      <c r="K574">
        <v>1.0136901662061222</v>
      </c>
      <c r="L574">
        <v>-23.31305897214466</v>
      </c>
      <c r="M574">
        <v>0</v>
      </c>
    </row>
    <row r="575" spans="1:13" x14ac:dyDescent="0.15">
      <c r="A575">
        <v>252</v>
      </c>
      <c r="B575" t="s">
        <v>177</v>
      </c>
      <c r="C575" t="s">
        <v>464</v>
      </c>
      <c r="D575">
        <v>15</v>
      </c>
      <c r="E575">
        <v>6755255.126953125</v>
      </c>
      <c r="F575">
        <v>6755981.4453125</v>
      </c>
      <c r="G575">
        <v>6755618.2861328125</v>
      </c>
      <c r="H575">
        <v>6643383.5707580596</v>
      </c>
      <c r="I575">
        <v>1.3457586978288203E-7</v>
      </c>
      <c r="J575">
        <v>2.3172854222680585E-5</v>
      </c>
      <c r="K575">
        <v>1.2999641969395366</v>
      </c>
      <c r="L575">
        <v>-1.6613537151016349</v>
      </c>
      <c r="M575">
        <v>0</v>
      </c>
    </row>
    <row r="576" spans="1:13" x14ac:dyDescent="0.15">
      <c r="A576">
        <v>252</v>
      </c>
      <c r="B576" t="s">
        <v>177</v>
      </c>
      <c r="C576" t="s">
        <v>464</v>
      </c>
      <c r="D576">
        <v>16</v>
      </c>
      <c r="E576">
        <v>6755618.2861328125</v>
      </c>
      <c r="F576">
        <v>6755981.4453125</v>
      </c>
      <c r="G576">
        <v>6755799.8657226563</v>
      </c>
      <c r="H576">
        <v>7378267.7703906987</v>
      </c>
      <c r="I576">
        <v>1.4928016087162191E-7</v>
      </c>
      <c r="J576">
        <v>2.3187558513769325E-5</v>
      </c>
      <c r="K576">
        <v>1.4437648879946203</v>
      </c>
      <c r="L576">
        <v>9.2138298505007317</v>
      </c>
      <c r="M576">
        <v>0</v>
      </c>
    </row>
    <row r="577" spans="1:15" x14ac:dyDescent="0.15">
      <c r="A577">
        <v>252</v>
      </c>
      <c r="B577" t="s">
        <v>177</v>
      </c>
      <c r="C577" t="s">
        <v>464</v>
      </c>
      <c r="D577">
        <v>17</v>
      </c>
      <c r="E577">
        <v>6755618.2861328125</v>
      </c>
      <c r="F577">
        <v>6755799.8657226563</v>
      </c>
      <c r="G577">
        <v>6755709.0759277344</v>
      </c>
      <c r="H577">
        <v>7010545.5670768199</v>
      </c>
      <c r="I577">
        <v>1.4192683787777867E-7</v>
      </c>
      <c r="J577">
        <v>2.3180205190775482E-5</v>
      </c>
      <c r="K577">
        <v>1.3718097323670164</v>
      </c>
      <c r="L577">
        <v>3.7721649686948648</v>
      </c>
      <c r="M577">
        <v>0</v>
      </c>
    </row>
    <row r="578" spans="1:15" x14ac:dyDescent="0.15">
      <c r="A578">
        <v>252</v>
      </c>
      <c r="B578" t="s">
        <v>177</v>
      </c>
      <c r="C578" t="s">
        <v>464</v>
      </c>
      <c r="D578">
        <v>18</v>
      </c>
      <c r="E578">
        <v>6755618.2861328125</v>
      </c>
      <c r="F578">
        <v>6755709.0759277344</v>
      </c>
      <c r="G578">
        <v>6755663.6810302734</v>
      </c>
      <c r="H578">
        <v>6826894.5639477381</v>
      </c>
      <c r="I578">
        <v>1.3825105951601209E-7</v>
      </c>
      <c r="J578">
        <v>2.3176529412413715E-5</v>
      </c>
      <c r="K578">
        <v>1.3358732662188491</v>
      </c>
      <c r="L578">
        <v>1.0543876409578996</v>
      </c>
      <c r="M578">
        <v>0</v>
      </c>
    </row>
    <row r="579" spans="1:15" x14ac:dyDescent="0.15">
      <c r="A579">
        <v>252</v>
      </c>
      <c r="B579" t="s">
        <v>177</v>
      </c>
      <c r="C579" t="s">
        <v>464</v>
      </c>
      <c r="D579">
        <v>19</v>
      </c>
      <c r="E579">
        <v>6755618.2861328125</v>
      </c>
      <c r="F579">
        <v>6755663.6810302734</v>
      </c>
      <c r="G579">
        <v>6755640.983581543</v>
      </c>
      <c r="H579">
        <v>6735189.5626483373</v>
      </c>
      <c r="I579">
        <v>1.3641475279665844E-7</v>
      </c>
      <c r="J579">
        <v>2.3174693105694361E-5</v>
      </c>
      <c r="K579">
        <v>1.3179286123990319</v>
      </c>
      <c r="L579">
        <v>-0.30273102112603967</v>
      </c>
      <c r="M579">
        <v>0</v>
      </c>
    </row>
    <row r="580" spans="1:15" x14ac:dyDescent="0.15">
      <c r="A580">
        <v>252</v>
      </c>
      <c r="B580" t="s">
        <v>177</v>
      </c>
      <c r="C580" t="s">
        <v>465</v>
      </c>
      <c r="D580">
        <v>19</v>
      </c>
      <c r="E580">
        <v>6755618.2861328125</v>
      </c>
      <c r="F580">
        <v>6755663.6810302734</v>
      </c>
      <c r="G580">
        <v>6755640.983581543</v>
      </c>
      <c r="H580">
        <v>6735189.5626483373</v>
      </c>
      <c r="I580">
        <v>1.3641475279665844E-7</v>
      </c>
      <c r="J580">
        <v>2.3174693105694361E-5</v>
      </c>
      <c r="K580">
        <v>1.3179286123990319</v>
      </c>
      <c r="L580">
        <v>-0.30273102112603967</v>
      </c>
      <c r="M580">
        <v>0</v>
      </c>
      <c r="N580" t="s">
        <v>466</v>
      </c>
      <c r="O580" t="s">
        <v>467</v>
      </c>
    </row>
    <row r="581" spans="1:15" x14ac:dyDescent="0.15">
      <c r="A581">
        <v>253</v>
      </c>
      <c r="B581" t="s">
        <v>178</v>
      </c>
      <c r="C581" t="s">
        <v>461</v>
      </c>
      <c r="D581">
        <v>0</v>
      </c>
      <c r="E581">
        <v>100000</v>
      </c>
      <c r="F581">
        <v>12000000</v>
      </c>
      <c r="G581">
        <v>100000</v>
      </c>
      <c r="H581">
        <v>-13307.407314008718</v>
      </c>
      <c r="I581">
        <v>-3.5456037415710172E-5</v>
      </c>
      <c r="J581">
        <v>-1.3150881798624546E-5</v>
      </c>
      <c r="K581">
        <v>-2.8893334930503137E-3</v>
      </c>
      <c r="L581">
        <v>-113.30740731400871</v>
      </c>
      <c r="M581">
        <v>0</v>
      </c>
      <c r="O581" t="s">
        <v>462</v>
      </c>
    </row>
    <row r="582" spans="1:15" x14ac:dyDescent="0.15">
      <c r="A582">
        <v>253</v>
      </c>
      <c r="B582" t="s">
        <v>178</v>
      </c>
      <c r="C582" t="s">
        <v>461</v>
      </c>
      <c r="D582">
        <v>0</v>
      </c>
      <c r="E582">
        <v>100000</v>
      </c>
      <c r="F582">
        <v>12000000</v>
      </c>
      <c r="G582">
        <v>12000000</v>
      </c>
      <c r="H582">
        <v>1.8300701235245161E+18</v>
      </c>
      <c r="I582">
        <v>536.87089969484441</v>
      </c>
      <c r="J582">
        <v>536.87092200000006</v>
      </c>
      <c r="K582">
        <v>397348843223.86084</v>
      </c>
      <c r="L582">
        <v>15250584362604.301</v>
      </c>
      <c r="M582">
        <v>5</v>
      </c>
      <c r="O582" t="s">
        <v>463</v>
      </c>
    </row>
    <row r="583" spans="1:15" x14ac:dyDescent="0.15">
      <c r="A583">
        <v>253</v>
      </c>
      <c r="B583" t="s">
        <v>178</v>
      </c>
      <c r="C583" t="s">
        <v>464</v>
      </c>
      <c r="D583">
        <v>1</v>
      </c>
      <c r="E583">
        <v>100000</v>
      </c>
      <c r="F583">
        <v>12000000</v>
      </c>
      <c r="G583">
        <v>6050000</v>
      </c>
      <c r="H583">
        <v>2220872886.8546028</v>
      </c>
      <c r="I583">
        <v>2.4297218359069482E-5</v>
      </c>
      <c r="J583">
        <v>4.660237397615511E-5</v>
      </c>
      <c r="K583">
        <v>482.20079722376335</v>
      </c>
      <c r="L583">
        <v>36608.642757927322</v>
      </c>
      <c r="M583">
        <v>0</v>
      </c>
    </row>
    <row r="584" spans="1:15" x14ac:dyDescent="0.15">
      <c r="A584">
        <v>253</v>
      </c>
      <c r="B584" t="s">
        <v>178</v>
      </c>
      <c r="C584" t="s">
        <v>464</v>
      </c>
      <c r="D584">
        <v>2</v>
      </c>
      <c r="E584">
        <v>100000</v>
      </c>
      <c r="F584">
        <v>6050000</v>
      </c>
      <c r="G584">
        <v>3075000</v>
      </c>
      <c r="H584">
        <v>-45098.299195620282</v>
      </c>
      <c r="I584">
        <v>-2.5522009230983078E-5</v>
      </c>
      <c r="J584">
        <v>-3.2168536138974503E-6</v>
      </c>
      <c r="K584">
        <v>-9.7918417367700572E-3</v>
      </c>
      <c r="L584">
        <v>-101.46661135595514</v>
      </c>
      <c r="M584">
        <v>0</v>
      </c>
    </row>
    <row r="585" spans="1:15" x14ac:dyDescent="0.15">
      <c r="A585">
        <v>253</v>
      </c>
      <c r="B585" t="s">
        <v>178</v>
      </c>
      <c r="C585" t="s">
        <v>464</v>
      </c>
      <c r="D585">
        <v>3</v>
      </c>
      <c r="E585">
        <v>3075000</v>
      </c>
      <c r="F585">
        <v>6050000</v>
      </c>
      <c r="G585">
        <v>4562500</v>
      </c>
      <c r="H585">
        <v>-130172.33501989397</v>
      </c>
      <c r="I585">
        <v>-2.0327198953121349E-5</v>
      </c>
      <c r="J585">
        <v>1.9779566639642788E-6</v>
      </c>
      <c r="K585">
        <v>-2.8263303178945553E-2</v>
      </c>
      <c r="L585">
        <v>-102.85309227440864</v>
      </c>
      <c r="M585">
        <v>0</v>
      </c>
    </row>
    <row r="586" spans="1:15" x14ac:dyDescent="0.15">
      <c r="A586">
        <v>253</v>
      </c>
      <c r="B586" t="s">
        <v>178</v>
      </c>
      <c r="C586" t="s">
        <v>464</v>
      </c>
      <c r="D586">
        <v>4</v>
      </c>
      <c r="E586">
        <v>4562500</v>
      </c>
      <c r="F586">
        <v>6050000</v>
      </c>
      <c r="G586">
        <v>5306250</v>
      </c>
      <c r="H586">
        <v>-714766.51154687838</v>
      </c>
      <c r="I586">
        <v>-1.5456146068902453E-5</v>
      </c>
      <c r="J586">
        <v>6.8490095481831763E-6</v>
      </c>
      <c r="K586">
        <v>-0.15519167429023481</v>
      </c>
      <c r="L586">
        <v>-113.47027583598357</v>
      </c>
      <c r="M586">
        <v>0</v>
      </c>
    </row>
    <row r="587" spans="1:15" x14ac:dyDescent="0.15">
      <c r="A587">
        <v>253</v>
      </c>
      <c r="B587" t="s">
        <v>178</v>
      </c>
      <c r="C587" t="s">
        <v>464</v>
      </c>
      <c r="D587">
        <v>5</v>
      </c>
      <c r="E587">
        <v>5306250</v>
      </c>
      <c r="F587">
        <v>6050000</v>
      </c>
      <c r="G587">
        <v>5678125</v>
      </c>
      <c r="H587">
        <v>-44318336.998553909</v>
      </c>
      <c r="I587">
        <v>-9.3736964587179606E-6</v>
      </c>
      <c r="J587">
        <v>1.2931459158367667E-5</v>
      </c>
      <c r="K587">
        <v>-9.6224946320996647</v>
      </c>
      <c r="L587">
        <v>-880.51006271531378</v>
      </c>
      <c r="M587">
        <v>0</v>
      </c>
    </row>
    <row r="588" spans="1:15" x14ac:dyDescent="0.15">
      <c r="A588">
        <v>253</v>
      </c>
      <c r="B588" t="s">
        <v>178</v>
      </c>
      <c r="C588" t="s">
        <v>464</v>
      </c>
      <c r="D588">
        <v>6</v>
      </c>
      <c r="E588">
        <v>5678125</v>
      </c>
      <c r="F588">
        <v>6050000</v>
      </c>
      <c r="G588">
        <v>5864062.5</v>
      </c>
      <c r="H588">
        <v>120555907.07294683</v>
      </c>
      <c r="I588">
        <v>2.0323237460508791E-6</v>
      </c>
      <c r="J588">
        <v>2.4337479363136507E-5</v>
      </c>
      <c r="K588">
        <v>26.175363229788811</v>
      </c>
      <c r="L588">
        <v>1955.8428064664527</v>
      </c>
      <c r="M588">
        <v>0</v>
      </c>
    </row>
    <row r="589" spans="1:15" x14ac:dyDescent="0.15">
      <c r="A589">
        <v>253</v>
      </c>
      <c r="B589" t="s">
        <v>178</v>
      </c>
      <c r="C589" t="s">
        <v>464</v>
      </c>
      <c r="D589">
        <v>7</v>
      </c>
      <c r="E589">
        <v>5678125</v>
      </c>
      <c r="F589">
        <v>5864062.5</v>
      </c>
      <c r="G589">
        <v>5771093.75</v>
      </c>
      <c r="H589">
        <v>-132259821.53869715</v>
      </c>
      <c r="I589">
        <v>-4.6884626849447092E-6</v>
      </c>
      <c r="J589">
        <v>1.7616692932140919E-5</v>
      </c>
      <c r="K589">
        <v>-28.716542835082006</v>
      </c>
      <c r="L589">
        <v>-2391.7635246992331</v>
      </c>
      <c r="M589">
        <v>0</v>
      </c>
    </row>
    <row r="590" spans="1:15" x14ac:dyDescent="0.15">
      <c r="A590">
        <v>253</v>
      </c>
      <c r="B590" t="s">
        <v>178</v>
      </c>
      <c r="C590" t="s">
        <v>464</v>
      </c>
      <c r="D590">
        <v>8</v>
      </c>
      <c r="E590">
        <v>5771093.75</v>
      </c>
      <c r="F590">
        <v>5864062.5</v>
      </c>
      <c r="G590">
        <v>5817578.125</v>
      </c>
      <c r="H590">
        <v>-68957195.077954605</v>
      </c>
      <c r="I590">
        <v>-1.6019477438425021E-6</v>
      </c>
      <c r="J590">
        <v>2.0703207873243126E-5</v>
      </c>
      <c r="K590">
        <v>-14.972137594059966</v>
      </c>
      <c r="L590">
        <v>-1285.3247794236472</v>
      </c>
      <c r="M590">
        <v>0</v>
      </c>
    </row>
    <row r="591" spans="1:15" x14ac:dyDescent="0.15">
      <c r="A591">
        <v>253</v>
      </c>
      <c r="B591" t="s">
        <v>178</v>
      </c>
      <c r="C591" t="s">
        <v>464</v>
      </c>
      <c r="D591">
        <v>9</v>
      </c>
      <c r="E591">
        <v>5817578.125</v>
      </c>
      <c r="F591">
        <v>5864062.5</v>
      </c>
      <c r="G591">
        <v>5840820.3125</v>
      </c>
      <c r="H591">
        <v>7172548.8806296373</v>
      </c>
      <c r="I591">
        <v>1.4096141096713925E-7</v>
      </c>
      <c r="J591">
        <v>2.2446117028052767E-5</v>
      </c>
      <c r="K591">
        <v>1.5573195606275383</v>
      </c>
      <c r="L591">
        <v>22.800368730392051</v>
      </c>
      <c r="M591">
        <v>0</v>
      </c>
    </row>
    <row r="592" spans="1:15" x14ac:dyDescent="0.15">
      <c r="A592">
        <v>253</v>
      </c>
      <c r="B592" t="s">
        <v>178</v>
      </c>
      <c r="C592" t="s">
        <v>464</v>
      </c>
      <c r="D592">
        <v>10</v>
      </c>
      <c r="E592">
        <v>5817578.125</v>
      </c>
      <c r="F592">
        <v>5840820.3125</v>
      </c>
      <c r="G592">
        <v>5829199.21875</v>
      </c>
      <c r="H592">
        <v>-35118436.516094424</v>
      </c>
      <c r="I592">
        <v>-7.4829528859813227E-7</v>
      </c>
      <c r="J592">
        <v>2.1556860328487496E-5</v>
      </c>
      <c r="K592">
        <v>-7.6249920405379363</v>
      </c>
      <c r="L592">
        <v>-702.45730499540446</v>
      </c>
      <c r="M592">
        <v>0</v>
      </c>
    </row>
    <row r="593" spans="1:15" x14ac:dyDescent="0.15">
      <c r="A593">
        <v>253</v>
      </c>
      <c r="B593" t="s">
        <v>178</v>
      </c>
      <c r="C593" t="s">
        <v>464</v>
      </c>
      <c r="D593">
        <v>11</v>
      </c>
      <c r="E593">
        <v>5829199.21875</v>
      </c>
      <c r="F593">
        <v>5840820.3125</v>
      </c>
      <c r="G593">
        <v>5835009.765625</v>
      </c>
      <c r="H593">
        <v>-15071124.810055293</v>
      </c>
      <c r="I593">
        <v>-3.082097013670882E-7</v>
      </c>
      <c r="J593">
        <v>2.199694591571854E-5</v>
      </c>
      <c r="K593">
        <v>-3.2722757081158789</v>
      </c>
      <c r="L593">
        <v>-358.28791065341079</v>
      </c>
      <c r="M593">
        <v>0</v>
      </c>
    </row>
    <row r="594" spans="1:15" x14ac:dyDescent="0.15">
      <c r="A594">
        <v>253</v>
      </c>
      <c r="B594" t="s">
        <v>178</v>
      </c>
      <c r="C594" t="s">
        <v>464</v>
      </c>
      <c r="D594">
        <v>12</v>
      </c>
      <c r="E594">
        <v>5835009.765625</v>
      </c>
      <c r="F594">
        <v>5840820.3125</v>
      </c>
      <c r="G594">
        <v>5837915.0390625</v>
      </c>
      <c r="H594">
        <v>-4229170.0424043396</v>
      </c>
      <c r="I594">
        <v>-8.4771682370396494E-8</v>
      </c>
      <c r="J594">
        <v>2.2220383934715232E-5</v>
      </c>
      <c r="K594">
        <v>-0.91824668494669237</v>
      </c>
      <c r="L594">
        <v>-172.44315845822064</v>
      </c>
      <c r="M594">
        <v>0</v>
      </c>
    </row>
    <row r="595" spans="1:15" x14ac:dyDescent="0.15">
      <c r="A595">
        <v>253</v>
      </c>
      <c r="B595" t="s">
        <v>178</v>
      </c>
      <c r="C595" t="s">
        <v>464</v>
      </c>
      <c r="D595">
        <v>13</v>
      </c>
      <c r="E595">
        <v>5837915.0390625</v>
      </c>
      <c r="F595">
        <v>5840820.3125</v>
      </c>
      <c r="G595">
        <v>5839367.67578125</v>
      </c>
      <c r="H595">
        <v>1401045.0649850063</v>
      </c>
      <c r="I595">
        <v>2.7806515587579125E-8</v>
      </c>
      <c r="J595">
        <v>2.2332962132673207E-5</v>
      </c>
      <c r="K595">
        <v>0.30419798056925845</v>
      </c>
      <c r="L595">
        <v>-76.006904466799824</v>
      </c>
      <c r="M595">
        <v>0</v>
      </c>
    </row>
    <row r="596" spans="1:15" x14ac:dyDescent="0.15">
      <c r="A596">
        <v>253</v>
      </c>
      <c r="B596" t="s">
        <v>178</v>
      </c>
      <c r="C596" t="s">
        <v>464</v>
      </c>
      <c r="D596">
        <v>14</v>
      </c>
      <c r="E596">
        <v>5839367.67578125</v>
      </c>
      <c r="F596">
        <v>5840820.3125</v>
      </c>
      <c r="G596">
        <v>5840093.994140625</v>
      </c>
      <c r="H596">
        <v>4269051.0215981957</v>
      </c>
      <c r="I596">
        <v>8.4311689823098897E-8</v>
      </c>
      <c r="J596">
        <v>2.2389467306908727E-5</v>
      </c>
      <c r="K596">
        <v>0.9269057307098103</v>
      </c>
      <c r="L596">
        <v>-26.900987794351582</v>
      </c>
      <c r="M596">
        <v>0</v>
      </c>
    </row>
    <row r="597" spans="1:15" x14ac:dyDescent="0.15">
      <c r="A597">
        <v>253</v>
      </c>
      <c r="B597" t="s">
        <v>178</v>
      </c>
      <c r="C597" t="s">
        <v>464</v>
      </c>
      <c r="D597">
        <v>15</v>
      </c>
      <c r="E597">
        <v>5840093.994140625</v>
      </c>
      <c r="F597">
        <v>5840820.3125</v>
      </c>
      <c r="G597">
        <v>5840457.1533203125</v>
      </c>
      <c r="H597">
        <v>5716420.0635086251</v>
      </c>
      <c r="I597">
        <v>1.1261977062324846E-7</v>
      </c>
      <c r="J597">
        <v>2.2417775387708876E-5</v>
      </c>
      <c r="K597">
        <v>1.2411616748555661</v>
      </c>
      <c r="L597">
        <v>-2.1237565237709517</v>
      </c>
      <c r="M597">
        <v>0</v>
      </c>
    </row>
    <row r="598" spans="1:15" x14ac:dyDescent="0.15">
      <c r="A598">
        <v>253</v>
      </c>
      <c r="B598" t="s">
        <v>178</v>
      </c>
      <c r="C598" t="s">
        <v>464</v>
      </c>
      <c r="D598">
        <v>16</v>
      </c>
      <c r="E598">
        <v>5840457.1533203125</v>
      </c>
      <c r="F598">
        <v>5840820.3125</v>
      </c>
      <c r="G598">
        <v>5840638.7329101563</v>
      </c>
      <c r="H598">
        <v>6443405.1911742007</v>
      </c>
      <c r="I598">
        <v>1.2678672188526442E-7</v>
      </c>
      <c r="J598">
        <v>2.2431942338970892E-5</v>
      </c>
      <c r="K598">
        <v>1.3990062819040334</v>
      </c>
      <c r="L598">
        <v>10.320214720140893</v>
      </c>
      <c r="M598">
        <v>0</v>
      </c>
    </row>
    <row r="599" spans="1:15" x14ac:dyDescent="0.15">
      <c r="A599">
        <v>253</v>
      </c>
      <c r="B599" t="s">
        <v>178</v>
      </c>
      <c r="C599" t="s">
        <v>464</v>
      </c>
      <c r="D599">
        <v>17</v>
      </c>
      <c r="E599">
        <v>5840457.1533203125</v>
      </c>
      <c r="F599">
        <v>5840638.7329101563</v>
      </c>
      <c r="G599">
        <v>5840547.9431152344</v>
      </c>
      <c r="H599">
        <v>6079567.1680833045</v>
      </c>
      <c r="I599">
        <v>1.1970080274361874E-7</v>
      </c>
      <c r="J599">
        <v>2.2424856419829247E-5</v>
      </c>
      <c r="K599">
        <v>1.3200089715072074</v>
      </c>
      <c r="L599">
        <v>4.0924109740392263</v>
      </c>
      <c r="M599">
        <v>0</v>
      </c>
    </row>
    <row r="600" spans="1:15" x14ac:dyDescent="0.15">
      <c r="A600">
        <v>253</v>
      </c>
      <c r="B600" t="s">
        <v>178</v>
      </c>
      <c r="C600" t="s">
        <v>464</v>
      </c>
      <c r="D600">
        <v>18</v>
      </c>
      <c r="E600">
        <v>5840457.1533203125</v>
      </c>
      <c r="F600">
        <v>5840547.9431152344</v>
      </c>
      <c r="G600">
        <v>5840502.5482177734</v>
      </c>
      <c r="H600">
        <v>5897890.4882478761</v>
      </c>
      <c r="I600">
        <v>1.1615934799140279E-7</v>
      </c>
      <c r="J600">
        <v>2.2421314965077031E-5</v>
      </c>
      <c r="K600">
        <v>1.2805629319017244</v>
      </c>
      <c r="L600">
        <v>0.98258565177091683</v>
      </c>
      <c r="M600">
        <v>0</v>
      </c>
    </row>
    <row r="601" spans="1:15" x14ac:dyDescent="0.15">
      <c r="A601">
        <v>253</v>
      </c>
      <c r="B601" t="s">
        <v>178</v>
      </c>
      <c r="C601" t="s">
        <v>465</v>
      </c>
      <c r="D601">
        <v>18</v>
      </c>
      <c r="E601">
        <v>5840457.1533203125</v>
      </c>
      <c r="F601">
        <v>5840547.9431152344</v>
      </c>
      <c r="G601">
        <v>5840502.5482177734</v>
      </c>
      <c r="H601">
        <v>5897890.4882478761</v>
      </c>
      <c r="I601">
        <v>1.1615934799140279E-7</v>
      </c>
      <c r="J601">
        <v>2.2421314965077031E-5</v>
      </c>
      <c r="K601">
        <v>1.2805629319017244</v>
      </c>
      <c r="L601">
        <v>0.98258565177091683</v>
      </c>
      <c r="M601">
        <v>0</v>
      </c>
      <c r="N601" t="s">
        <v>466</v>
      </c>
      <c r="O601" t="s">
        <v>467</v>
      </c>
    </row>
    <row r="602" spans="1:15" x14ac:dyDescent="0.15">
      <c r="A602">
        <v>254</v>
      </c>
      <c r="B602" t="s">
        <v>179</v>
      </c>
      <c r="C602" t="s">
        <v>461</v>
      </c>
      <c r="D602">
        <v>0</v>
      </c>
      <c r="E602">
        <v>100000</v>
      </c>
      <c r="F602">
        <v>12000000</v>
      </c>
      <c r="G602">
        <v>100000</v>
      </c>
      <c r="H602">
        <v>-16592.389461931445</v>
      </c>
      <c r="I602">
        <v>-3.2999121367146456E-5</v>
      </c>
      <c r="J602">
        <v>-1.087136176755692E-5</v>
      </c>
      <c r="K602">
        <v>-4.174413494313035E-3</v>
      </c>
      <c r="L602">
        <v>-116.59238946193145</v>
      </c>
      <c r="M602">
        <v>0</v>
      </c>
      <c r="O602" t="s">
        <v>462</v>
      </c>
    </row>
    <row r="603" spans="1:15" x14ac:dyDescent="0.15">
      <c r="A603">
        <v>254</v>
      </c>
      <c r="B603" t="s">
        <v>179</v>
      </c>
      <c r="C603" t="s">
        <v>461</v>
      </c>
      <c r="D603">
        <v>0</v>
      </c>
      <c r="E603">
        <v>100000</v>
      </c>
      <c r="F603">
        <v>12000000</v>
      </c>
      <c r="G603">
        <v>12000000</v>
      </c>
      <c r="H603">
        <v>1.8529701122770931E+18</v>
      </c>
      <c r="I603">
        <v>536.87089987224044</v>
      </c>
      <c r="J603">
        <v>536.87092200000006</v>
      </c>
      <c r="K603">
        <v>466181405577.24304</v>
      </c>
      <c r="L603">
        <v>15441417602209.109</v>
      </c>
      <c r="M603">
        <v>5</v>
      </c>
      <c r="O603" t="s">
        <v>463</v>
      </c>
    </row>
    <row r="604" spans="1:15" x14ac:dyDescent="0.15">
      <c r="A604">
        <v>254</v>
      </c>
      <c r="B604" t="s">
        <v>179</v>
      </c>
      <c r="C604" t="s">
        <v>464</v>
      </c>
      <c r="D604">
        <v>1</v>
      </c>
      <c r="E604">
        <v>100000</v>
      </c>
      <c r="F604">
        <v>12000000</v>
      </c>
      <c r="G604">
        <v>6050000</v>
      </c>
      <c r="H604">
        <v>131625298570.09604</v>
      </c>
      <c r="I604">
        <v>5.4045161365051881E-4</v>
      </c>
      <c r="J604">
        <v>5.6257937325010835E-4</v>
      </c>
      <c r="K604">
        <v>33115.08711898516</v>
      </c>
      <c r="L604">
        <v>2175524.7697536536</v>
      </c>
      <c r="M604">
        <v>0</v>
      </c>
    </row>
    <row r="605" spans="1:15" x14ac:dyDescent="0.15">
      <c r="A605">
        <v>254</v>
      </c>
      <c r="B605" t="s">
        <v>179</v>
      </c>
      <c r="C605" t="s">
        <v>464</v>
      </c>
      <c r="D605">
        <v>2</v>
      </c>
      <c r="E605">
        <v>100000</v>
      </c>
      <c r="F605">
        <v>6050000</v>
      </c>
      <c r="G605">
        <v>3075000</v>
      </c>
      <c r="H605">
        <v>-69072.0625421023</v>
      </c>
      <c r="I605">
        <v>-2.298263411819007E-5</v>
      </c>
      <c r="J605">
        <v>-8.5487451860053467E-7</v>
      </c>
      <c r="K605">
        <v>-1.7377566420877753E-2</v>
      </c>
      <c r="L605">
        <v>-102.24624593632853</v>
      </c>
      <c r="M605">
        <v>0</v>
      </c>
    </row>
    <row r="606" spans="1:15" x14ac:dyDescent="0.15">
      <c r="A606">
        <v>254</v>
      </c>
      <c r="B606" t="s">
        <v>179</v>
      </c>
      <c r="C606" t="s">
        <v>464</v>
      </c>
      <c r="D606">
        <v>3</v>
      </c>
      <c r="E606">
        <v>3075000</v>
      </c>
      <c r="F606">
        <v>6050000</v>
      </c>
      <c r="G606">
        <v>4562500</v>
      </c>
      <c r="H606">
        <v>-548077.45912000339</v>
      </c>
      <c r="I606">
        <v>-1.5913485830401945E-5</v>
      </c>
      <c r="J606">
        <v>6.2142737691875932E-6</v>
      </c>
      <c r="K606">
        <v>-0.13788863542099009</v>
      </c>
      <c r="L606">
        <v>-112.01265663824665</v>
      </c>
      <c r="M606">
        <v>0</v>
      </c>
    </row>
    <row r="607" spans="1:15" x14ac:dyDescent="0.15">
      <c r="A607">
        <v>254</v>
      </c>
      <c r="B607" t="s">
        <v>179</v>
      </c>
      <c r="C607" t="s">
        <v>464</v>
      </c>
      <c r="D607">
        <v>4</v>
      </c>
      <c r="E607">
        <v>4562500</v>
      </c>
      <c r="F607">
        <v>6050000</v>
      </c>
      <c r="G607">
        <v>5306250</v>
      </c>
      <c r="H607">
        <v>1417634597.7196448</v>
      </c>
      <c r="I607">
        <v>1.6897928690374095E-5</v>
      </c>
      <c r="J607">
        <v>3.9025688289963632E-5</v>
      </c>
      <c r="K607">
        <v>356.65706909202771</v>
      </c>
      <c r="L607">
        <v>26616.317507084001</v>
      </c>
      <c r="M607">
        <v>0</v>
      </c>
    </row>
    <row r="608" spans="1:15" x14ac:dyDescent="0.15">
      <c r="A608">
        <v>254</v>
      </c>
      <c r="B608" t="s">
        <v>179</v>
      </c>
      <c r="C608" t="s">
        <v>464</v>
      </c>
      <c r="D608">
        <v>5</v>
      </c>
      <c r="E608">
        <v>4562500</v>
      </c>
      <c r="F608">
        <v>5306250</v>
      </c>
      <c r="G608">
        <v>4934375</v>
      </c>
      <c r="H608">
        <v>-20533269.589882851</v>
      </c>
      <c r="I608">
        <v>-1.0360859305376218E-5</v>
      </c>
      <c r="J608">
        <v>1.1766900294213319E-5</v>
      </c>
      <c r="K608">
        <v>-5.1658839044871856</v>
      </c>
      <c r="L608">
        <v>-516.12705945297739</v>
      </c>
      <c r="M608">
        <v>0</v>
      </c>
    </row>
    <row r="609" spans="1:15" x14ac:dyDescent="0.15">
      <c r="A609">
        <v>254</v>
      </c>
      <c r="B609" t="s">
        <v>179</v>
      </c>
      <c r="C609" t="s">
        <v>464</v>
      </c>
      <c r="D609">
        <v>6</v>
      </c>
      <c r="E609">
        <v>4934375</v>
      </c>
      <c r="F609">
        <v>5306250</v>
      </c>
      <c r="G609">
        <v>5120312.5</v>
      </c>
      <c r="H609">
        <v>-77375335.683832511</v>
      </c>
      <c r="I609">
        <v>-1.8336380925280897E-6</v>
      </c>
      <c r="J609">
        <v>2.0294121507061448E-5</v>
      </c>
      <c r="K609">
        <v>-19.466553997340462</v>
      </c>
      <c r="L609">
        <v>-1611.1447921163506</v>
      </c>
      <c r="M609">
        <v>0</v>
      </c>
    </row>
    <row r="610" spans="1:15" x14ac:dyDescent="0.15">
      <c r="A610">
        <v>254</v>
      </c>
      <c r="B610" t="s">
        <v>179</v>
      </c>
      <c r="C610" t="s">
        <v>464</v>
      </c>
      <c r="D610">
        <v>7</v>
      </c>
      <c r="E610">
        <v>5120312.5</v>
      </c>
      <c r="F610">
        <v>5306250</v>
      </c>
      <c r="G610">
        <v>5213281.25</v>
      </c>
      <c r="H610">
        <v>405610494.32907081</v>
      </c>
      <c r="I610">
        <v>5.9972978407543014E-6</v>
      </c>
      <c r="J610">
        <v>2.8125057440343839E-5</v>
      </c>
      <c r="K610">
        <v>102.04593647268196</v>
      </c>
      <c r="L610">
        <v>7680.3301774495822</v>
      </c>
      <c r="M610">
        <v>0</v>
      </c>
    </row>
    <row r="611" spans="1:15" x14ac:dyDescent="0.15">
      <c r="A611">
        <v>254</v>
      </c>
      <c r="B611" t="s">
        <v>179</v>
      </c>
      <c r="C611" t="s">
        <v>464</v>
      </c>
      <c r="D611">
        <v>8</v>
      </c>
      <c r="E611">
        <v>5120312.5</v>
      </c>
      <c r="F611">
        <v>5213281.25</v>
      </c>
      <c r="G611">
        <v>5166796.875</v>
      </c>
      <c r="H611">
        <v>102628371.30585624</v>
      </c>
      <c r="I611">
        <v>1.7594346412867624E-6</v>
      </c>
      <c r="J611">
        <v>2.38871942408763E-5</v>
      </c>
      <c r="K611">
        <v>25.819865129218424</v>
      </c>
      <c r="L611">
        <v>1886.305515559023</v>
      </c>
      <c r="M611">
        <v>0</v>
      </c>
    </row>
    <row r="612" spans="1:15" x14ac:dyDescent="0.15">
      <c r="A612">
        <v>254</v>
      </c>
      <c r="B612" t="s">
        <v>179</v>
      </c>
      <c r="C612" t="s">
        <v>464</v>
      </c>
      <c r="D612">
        <v>9</v>
      </c>
      <c r="E612">
        <v>5120312.5</v>
      </c>
      <c r="F612">
        <v>5166796.875</v>
      </c>
      <c r="G612">
        <v>5143554.6875</v>
      </c>
      <c r="H612">
        <v>-5572379.5655688485</v>
      </c>
      <c r="I612">
        <v>-1.1116297739260797E-7</v>
      </c>
      <c r="J612">
        <v>2.2016596622196929E-5</v>
      </c>
      <c r="K612">
        <v>-1.4019328865992668</v>
      </c>
      <c r="L612">
        <v>-208.33713072228025</v>
      </c>
      <c r="M612">
        <v>0</v>
      </c>
    </row>
    <row r="613" spans="1:15" x14ac:dyDescent="0.15">
      <c r="A613">
        <v>254</v>
      </c>
      <c r="B613" t="s">
        <v>179</v>
      </c>
      <c r="C613" t="s">
        <v>464</v>
      </c>
      <c r="D613">
        <v>10</v>
      </c>
      <c r="E613">
        <v>5143554.6875</v>
      </c>
      <c r="F613">
        <v>5166796.875</v>
      </c>
      <c r="G613">
        <v>5155175.78125</v>
      </c>
      <c r="H613">
        <v>43618704.464554705</v>
      </c>
      <c r="I613">
        <v>8.0483915101454921E-7</v>
      </c>
      <c r="J613">
        <v>2.2932598750604086E-5</v>
      </c>
      <c r="K613">
        <v>10.973856956470811</v>
      </c>
      <c r="L613">
        <v>746.11478474121532</v>
      </c>
      <c r="M613">
        <v>0</v>
      </c>
    </row>
    <row r="614" spans="1:15" x14ac:dyDescent="0.15">
      <c r="A614">
        <v>254</v>
      </c>
      <c r="B614" t="s">
        <v>179</v>
      </c>
      <c r="C614" t="s">
        <v>464</v>
      </c>
      <c r="D614">
        <v>11</v>
      </c>
      <c r="E614">
        <v>5143554.6875</v>
      </c>
      <c r="F614">
        <v>5155175.78125</v>
      </c>
      <c r="G614">
        <v>5149365.234375</v>
      </c>
      <c r="H614">
        <v>17842406.946441144</v>
      </c>
      <c r="I614">
        <v>3.4211428915263293E-7</v>
      </c>
      <c r="J614">
        <v>2.246987388874217E-5</v>
      </c>
      <c r="K614">
        <v>4.4889004383084483</v>
      </c>
      <c r="L614">
        <v>246.49721148798551</v>
      </c>
      <c r="M614">
        <v>0</v>
      </c>
    </row>
    <row r="615" spans="1:15" x14ac:dyDescent="0.15">
      <c r="A615">
        <v>254</v>
      </c>
      <c r="B615" t="s">
        <v>179</v>
      </c>
      <c r="C615" t="s">
        <v>464</v>
      </c>
      <c r="D615">
        <v>12</v>
      </c>
      <c r="E615">
        <v>5143554.6875</v>
      </c>
      <c r="F615">
        <v>5149365.234375</v>
      </c>
      <c r="G615">
        <v>5146459.9609375</v>
      </c>
      <c r="H615">
        <v>5845491.8086271891</v>
      </c>
      <c r="I615">
        <v>1.1430690768280985E-7</v>
      </c>
      <c r="J615">
        <v>2.2242066507272347E-5</v>
      </c>
      <c r="K615">
        <v>1.4706441132433001</v>
      </c>
      <c r="L615">
        <v>13.582770545102049</v>
      </c>
      <c r="M615">
        <v>0</v>
      </c>
    </row>
    <row r="616" spans="1:15" x14ac:dyDescent="0.15">
      <c r="A616">
        <v>254</v>
      </c>
      <c r="B616" t="s">
        <v>179</v>
      </c>
      <c r="C616" t="s">
        <v>464</v>
      </c>
      <c r="D616">
        <v>13</v>
      </c>
      <c r="E616">
        <v>5143554.6875</v>
      </c>
      <c r="F616">
        <v>5146459.9609375</v>
      </c>
      <c r="G616">
        <v>5145007.32421875</v>
      </c>
      <c r="H616">
        <v>64872.689300641105</v>
      </c>
      <c r="I616">
        <v>1.2812393505764715E-9</v>
      </c>
      <c r="J616">
        <v>2.2129040838940114E-5</v>
      </c>
      <c r="K616">
        <v>1.6321062752914058E-2</v>
      </c>
      <c r="L616">
        <v>-98.739113761893591</v>
      </c>
      <c r="M616">
        <v>0</v>
      </c>
    </row>
    <row r="617" spans="1:15" x14ac:dyDescent="0.15">
      <c r="A617">
        <v>254</v>
      </c>
      <c r="B617" t="s">
        <v>179</v>
      </c>
      <c r="C617" t="s">
        <v>464</v>
      </c>
      <c r="D617">
        <v>14</v>
      </c>
      <c r="E617">
        <v>5145007.32421875</v>
      </c>
      <c r="F617">
        <v>5146459.9609375</v>
      </c>
      <c r="G617">
        <v>5145733.642578125</v>
      </c>
      <c r="H617">
        <v>2937175.2839047592</v>
      </c>
      <c r="I617">
        <v>5.7721222773702343E-8</v>
      </c>
      <c r="J617">
        <v>2.218548082236324E-5</v>
      </c>
      <c r="K617">
        <v>0.73895228703651106</v>
      </c>
      <c r="L617">
        <v>-42.92018421627494</v>
      </c>
      <c r="M617">
        <v>0</v>
      </c>
    </row>
    <row r="618" spans="1:15" x14ac:dyDescent="0.15">
      <c r="A618">
        <v>254</v>
      </c>
      <c r="B618" t="s">
        <v>179</v>
      </c>
      <c r="C618" t="s">
        <v>464</v>
      </c>
      <c r="D618">
        <v>15</v>
      </c>
      <c r="E618">
        <v>5145733.642578125</v>
      </c>
      <c r="F618">
        <v>5146459.9609375</v>
      </c>
      <c r="G618">
        <v>5146096.8017578125</v>
      </c>
      <c r="H618">
        <v>4386887.5770961065</v>
      </c>
      <c r="I618">
        <v>8.5997126450398394E-8</v>
      </c>
      <c r="J618">
        <v>2.2213756726039936E-5</v>
      </c>
      <c r="K618">
        <v>1.1036796563797933</v>
      </c>
      <c r="L618">
        <v>-14.753108111032308</v>
      </c>
      <c r="M618">
        <v>0</v>
      </c>
    </row>
    <row r="619" spans="1:15" x14ac:dyDescent="0.15">
      <c r="A619">
        <v>254</v>
      </c>
      <c r="B619" t="s">
        <v>179</v>
      </c>
      <c r="C619" t="s">
        <v>464</v>
      </c>
      <c r="D619">
        <v>16</v>
      </c>
      <c r="E619">
        <v>5146096.8017578125</v>
      </c>
      <c r="F619">
        <v>5146459.9609375</v>
      </c>
      <c r="G619">
        <v>5146278.3813476563</v>
      </c>
      <c r="H619">
        <v>5115026.8110073991</v>
      </c>
      <c r="I619">
        <v>1.0014680614361599E-7</v>
      </c>
      <c r="J619">
        <v>2.2227906405733153E-5</v>
      </c>
      <c r="K619">
        <v>1.2868693199753725</v>
      </c>
      <c r="L619">
        <v>-0.60726544552129902</v>
      </c>
      <c r="M619">
        <v>0</v>
      </c>
    </row>
    <row r="620" spans="1:15" x14ac:dyDescent="0.15">
      <c r="A620">
        <v>254</v>
      </c>
      <c r="B620" t="s">
        <v>179</v>
      </c>
      <c r="C620" t="s">
        <v>465</v>
      </c>
      <c r="D620">
        <v>16</v>
      </c>
      <c r="E620">
        <v>5146096.8017578125</v>
      </c>
      <c r="F620">
        <v>5146459.9609375</v>
      </c>
      <c r="G620">
        <v>5146278.3813476563</v>
      </c>
      <c r="H620">
        <v>5115026.8110073991</v>
      </c>
      <c r="I620">
        <v>1.0014680614361599E-7</v>
      </c>
      <c r="J620">
        <v>2.2227906405733153E-5</v>
      </c>
      <c r="K620">
        <v>1.2868693199753725</v>
      </c>
      <c r="L620">
        <v>-0.60726544552129902</v>
      </c>
      <c r="M620">
        <v>0</v>
      </c>
      <c r="N620" t="s">
        <v>466</v>
      </c>
      <c r="O620" t="s">
        <v>467</v>
      </c>
    </row>
    <row r="621" spans="1:15" x14ac:dyDescent="0.15">
      <c r="A621">
        <v>255</v>
      </c>
      <c r="B621" t="s">
        <v>180</v>
      </c>
      <c r="C621" t="s">
        <v>461</v>
      </c>
      <c r="D621">
        <v>0</v>
      </c>
      <c r="E621">
        <v>100000</v>
      </c>
      <c r="F621">
        <v>12000000</v>
      </c>
      <c r="G621">
        <v>100000</v>
      </c>
      <c r="H621">
        <v>-13287.079825896531</v>
      </c>
      <c r="I621">
        <v>-3.4994045582675151E-5</v>
      </c>
      <c r="J621">
        <v>-1.3041411805935651E-5</v>
      </c>
      <c r="K621">
        <v>-2.9249882767598016E-3</v>
      </c>
      <c r="L621">
        <v>-113.28707982589653</v>
      </c>
      <c r="M621">
        <v>0</v>
      </c>
      <c r="O621" t="s">
        <v>462</v>
      </c>
    </row>
    <row r="622" spans="1:15" x14ac:dyDescent="0.15">
      <c r="A622">
        <v>255</v>
      </c>
      <c r="B622" t="s">
        <v>180</v>
      </c>
      <c r="C622" t="s">
        <v>461</v>
      </c>
      <c r="D622">
        <v>0</v>
      </c>
      <c r="E622">
        <v>100000</v>
      </c>
      <c r="F622">
        <v>12000000</v>
      </c>
      <c r="G622">
        <v>12000000</v>
      </c>
      <c r="H622">
        <v>1.8760425269198418E+18</v>
      </c>
      <c r="I622">
        <v>536.87090004736615</v>
      </c>
      <c r="J622">
        <v>536.87092199999995</v>
      </c>
      <c r="K622">
        <v>412987840055.60193</v>
      </c>
      <c r="L622">
        <v>15633687724232.016</v>
      </c>
      <c r="M622">
        <v>5</v>
      </c>
      <c r="O622" t="s">
        <v>463</v>
      </c>
    </row>
    <row r="623" spans="1:15" x14ac:dyDescent="0.15">
      <c r="A623">
        <v>255</v>
      </c>
      <c r="B623" t="s">
        <v>180</v>
      </c>
      <c r="C623" t="s">
        <v>464</v>
      </c>
      <c r="D623">
        <v>1</v>
      </c>
      <c r="E623">
        <v>100000</v>
      </c>
      <c r="F623">
        <v>12000000</v>
      </c>
      <c r="G623">
        <v>6050000</v>
      </c>
      <c r="H623">
        <v>1274918135.4049387</v>
      </c>
      <c r="I623">
        <v>1.5381335456246545E-5</v>
      </c>
      <c r="J623">
        <v>3.7333969232986042E-5</v>
      </c>
      <c r="K623">
        <v>280.65765004435752</v>
      </c>
      <c r="L623">
        <v>20973.027031486588</v>
      </c>
      <c r="M623">
        <v>0</v>
      </c>
    </row>
    <row r="624" spans="1:15" x14ac:dyDescent="0.15">
      <c r="A624">
        <v>255</v>
      </c>
      <c r="B624" t="s">
        <v>180</v>
      </c>
      <c r="C624" t="s">
        <v>464</v>
      </c>
      <c r="D624">
        <v>2</v>
      </c>
      <c r="E624">
        <v>100000</v>
      </c>
      <c r="F624">
        <v>6050000</v>
      </c>
      <c r="G624">
        <v>3075000</v>
      </c>
      <c r="H624">
        <v>-44502.661609644994</v>
      </c>
      <c r="I624">
        <v>-2.5244992736574177E-5</v>
      </c>
      <c r="J624">
        <v>-3.2923589598346806E-6</v>
      </c>
      <c r="K624">
        <v>-9.7967172018579365E-3</v>
      </c>
      <c r="L624">
        <v>-101.44724102795594</v>
      </c>
      <c r="M624">
        <v>0</v>
      </c>
    </row>
    <row r="625" spans="1:15" x14ac:dyDescent="0.15">
      <c r="A625">
        <v>255</v>
      </c>
      <c r="B625" t="s">
        <v>180</v>
      </c>
      <c r="C625" t="s">
        <v>464</v>
      </c>
      <c r="D625">
        <v>3</v>
      </c>
      <c r="E625">
        <v>3075000</v>
      </c>
      <c r="F625">
        <v>6050000</v>
      </c>
      <c r="G625">
        <v>4562500</v>
      </c>
      <c r="H625">
        <v>-126296.86498978783</v>
      </c>
      <c r="I625">
        <v>-2.0150484801209575E-5</v>
      </c>
      <c r="J625">
        <v>1.8021489755299205E-6</v>
      </c>
      <c r="K625">
        <v>-2.7802711681362152E-2</v>
      </c>
      <c r="L625">
        <v>-102.7681504655296</v>
      </c>
      <c r="M625">
        <v>0</v>
      </c>
    </row>
    <row r="626" spans="1:15" x14ac:dyDescent="0.15">
      <c r="A626">
        <v>255</v>
      </c>
      <c r="B626" t="s">
        <v>180</v>
      </c>
      <c r="C626" t="s">
        <v>464</v>
      </c>
      <c r="D626">
        <v>4</v>
      </c>
      <c r="E626">
        <v>4562500</v>
      </c>
      <c r="F626">
        <v>6050000</v>
      </c>
      <c r="G626">
        <v>5306250</v>
      </c>
      <c r="H626">
        <v>-560645.23023823684</v>
      </c>
      <c r="I626">
        <v>-1.5743272171937699E-5</v>
      </c>
      <c r="J626">
        <v>6.2093616048017957E-6</v>
      </c>
      <c r="K626">
        <v>-0.1234191972469386</v>
      </c>
      <c r="L626">
        <v>-110.5657522777524</v>
      </c>
      <c r="M626">
        <v>0</v>
      </c>
    </row>
    <row r="627" spans="1:15" x14ac:dyDescent="0.15">
      <c r="A627">
        <v>255</v>
      </c>
      <c r="B627" t="s">
        <v>180</v>
      </c>
      <c r="C627" t="s">
        <v>464</v>
      </c>
      <c r="D627">
        <v>5</v>
      </c>
      <c r="E627">
        <v>5306250</v>
      </c>
      <c r="F627">
        <v>6050000</v>
      </c>
      <c r="G627">
        <v>5678125</v>
      </c>
      <c r="H627">
        <v>-19761315.894156557</v>
      </c>
      <c r="I627">
        <v>-1.0324665833746906E-5</v>
      </c>
      <c r="J627">
        <v>1.1627967942992591E-5</v>
      </c>
      <c r="K627">
        <v>-4.3502122423543854</v>
      </c>
      <c r="L627">
        <v>-448.02537623170599</v>
      </c>
      <c r="M627">
        <v>0</v>
      </c>
    </row>
    <row r="628" spans="1:15" x14ac:dyDescent="0.15">
      <c r="A628">
        <v>255</v>
      </c>
      <c r="B628" t="s">
        <v>180</v>
      </c>
      <c r="C628" t="s">
        <v>464</v>
      </c>
      <c r="D628">
        <v>6</v>
      </c>
      <c r="E628">
        <v>5678125</v>
      </c>
      <c r="F628">
        <v>6050000</v>
      </c>
      <c r="G628">
        <v>5864062.5</v>
      </c>
      <c r="H628">
        <v>-92201644.383481473</v>
      </c>
      <c r="I628">
        <v>-2.2936492897841864E-6</v>
      </c>
      <c r="J628">
        <v>1.965898448695531E-5</v>
      </c>
      <c r="K628">
        <v>-20.297065454068843</v>
      </c>
      <c r="L628">
        <v>-1672.3168773095695</v>
      </c>
      <c r="M628">
        <v>0</v>
      </c>
    </row>
    <row r="629" spans="1:15" x14ac:dyDescent="0.15">
      <c r="A629">
        <v>255</v>
      </c>
      <c r="B629" t="s">
        <v>180</v>
      </c>
      <c r="C629" t="s">
        <v>464</v>
      </c>
      <c r="D629">
        <v>7</v>
      </c>
      <c r="E629">
        <v>5864062.5</v>
      </c>
      <c r="F629">
        <v>6050000</v>
      </c>
      <c r="G629">
        <v>5957031.25</v>
      </c>
      <c r="H629">
        <v>342015839.31379998</v>
      </c>
      <c r="I629">
        <v>5.1241747367589134E-6</v>
      </c>
      <c r="J629">
        <v>2.707680851349841E-5</v>
      </c>
      <c r="K629">
        <v>75.290608137181763</v>
      </c>
      <c r="L629">
        <v>5641.380646841495</v>
      </c>
      <c r="M629">
        <v>0</v>
      </c>
    </row>
    <row r="630" spans="1:15" x14ac:dyDescent="0.15">
      <c r="A630">
        <v>255</v>
      </c>
      <c r="B630" t="s">
        <v>180</v>
      </c>
      <c r="C630" t="s">
        <v>464</v>
      </c>
      <c r="D630">
        <v>8</v>
      </c>
      <c r="E630">
        <v>5864062.5</v>
      </c>
      <c r="F630">
        <v>5957031.25</v>
      </c>
      <c r="G630">
        <v>5910546.875</v>
      </c>
      <c r="H630">
        <v>62504420.150752984</v>
      </c>
      <c r="I630">
        <v>1.1160964622881025E-6</v>
      </c>
      <c r="J630">
        <v>2.3068730239027599E-5</v>
      </c>
      <c r="K630">
        <v>13.759584391921548</v>
      </c>
      <c r="L630">
        <v>957.50654673139672</v>
      </c>
      <c r="M630">
        <v>0</v>
      </c>
    </row>
    <row r="631" spans="1:15" x14ac:dyDescent="0.15">
      <c r="A631">
        <v>255</v>
      </c>
      <c r="B631" t="s">
        <v>180</v>
      </c>
      <c r="C631" t="s">
        <v>464</v>
      </c>
      <c r="D631">
        <v>9</v>
      </c>
      <c r="E631">
        <v>5864062.5</v>
      </c>
      <c r="F631">
        <v>5910546.875</v>
      </c>
      <c r="G631">
        <v>5887304.6875</v>
      </c>
      <c r="H631">
        <v>-31546060.595178656</v>
      </c>
      <c r="I631">
        <v>-6.5766397802157229E-7</v>
      </c>
      <c r="J631">
        <v>2.1294969798717924E-5</v>
      </c>
      <c r="K631">
        <v>-6.9444797975108097</v>
      </c>
      <c r="L631">
        <v>-635.83196844147801</v>
      </c>
      <c r="M631">
        <v>0</v>
      </c>
    </row>
    <row r="632" spans="1:15" x14ac:dyDescent="0.15">
      <c r="A632">
        <v>255</v>
      </c>
      <c r="B632" t="s">
        <v>180</v>
      </c>
      <c r="C632" t="s">
        <v>464</v>
      </c>
      <c r="D632">
        <v>10</v>
      </c>
      <c r="E632">
        <v>5887304.6875</v>
      </c>
      <c r="F632">
        <v>5910546.875</v>
      </c>
      <c r="G632">
        <v>5898925.78125</v>
      </c>
      <c r="H632">
        <v>10976544.930435942</v>
      </c>
      <c r="I632">
        <v>2.1128309001432275E-7</v>
      </c>
      <c r="J632">
        <v>2.2163916866753819E-5</v>
      </c>
      <c r="K632">
        <v>2.4163522505733144</v>
      </c>
      <c r="L632">
        <v>86.077013637387722</v>
      </c>
      <c r="M632">
        <v>0</v>
      </c>
    </row>
    <row r="633" spans="1:15" x14ac:dyDescent="0.15">
      <c r="A633">
        <v>255</v>
      </c>
      <c r="B633" t="s">
        <v>180</v>
      </c>
      <c r="C633" t="s">
        <v>464</v>
      </c>
      <c r="D633">
        <v>11</v>
      </c>
      <c r="E633">
        <v>5887304.6875</v>
      </c>
      <c r="F633">
        <v>5898925.78125</v>
      </c>
      <c r="G633">
        <v>5893115.234375</v>
      </c>
      <c r="H633">
        <v>-11367984.395494903</v>
      </c>
      <c r="I633">
        <v>-2.2758245893594414E-7</v>
      </c>
      <c r="J633">
        <v>2.1725051317803552E-5</v>
      </c>
      <c r="K633">
        <v>-2.5025228660404593</v>
      </c>
      <c r="L633">
        <v>-292.90280171656178</v>
      </c>
      <c r="M633">
        <v>0</v>
      </c>
    </row>
    <row r="634" spans="1:15" x14ac:dyDescent="0.15">
      <c r="A634">
        <v>255</v>
      </c>
      <c r="B634" t="s">
        <v>180</v>
      </c>
      <c r="C634" t="s">
        <v>464</v>
      </c>
      <c r="D634">
        <v>12</v>
      </c>
      <c r="E634">
        <v>5893115.234375</v>
      </c>
      <c r="F634">
        <v>5898925.78125</v>
      </c>
      <c r="G634">
        <v>5896020.5078125</v>
      </c>
      <c r="H634">
        <v>-471731.14277291193</v>
      </c>
      <c r="I634">
        <v>-9.2588191540895559E-9</v>
      </c>
      <c r="J634">
        <v>2.1943374957585407E-5</v>
      </c>
      <c r="K634">
        <v>-0.10384584727970284</v>
      </c>
      <c r="L634">
        <v>-108.00083958574849</v>
      </c>
      <c r="M634">
        <v>0</v>
      </c>
    </row>
    <row r="635" spans="1:15" x14ac:dyDescent="0.15">
      <c r="A635">
        <v>255</v>
      </c>
      <c r="B635" t="s">
        <v>180</v>
      </c>
      <c r="C635" t="s">
        <v>464</v>
      </c>
      <c r="D635">
        <v>13</v>
      </c>
      <c r="E635">
        <v>5896020.5078125</v>
      </c>
      <c r="F635">
        <v>5898925.78125</v>
      </c>
      <c r="G635">
        <v>5897473.14453125</v>
      </c>
      <c r="H635">
        <v>5182816.7314593298</v>
      </c>
      <c r="I635">
        <v>1.0073481714019256E-7</v>
      </c>
      <c r="J635">
        <v>2.2053368593879689E-5</v>
      </c>
      <c r="K635">
        <v>1.140933777681298</v>
      </c>
      <c r="L635">
        <v>-12.11801046918923</v>
      </c>
      <c r="M635">
        <v>0</v>
      </c>
    </row>
    <row r="636" spans="1:15" x14ac:dyDescent="0.15">
      <c r="A636">
        <v>255</v>
      </c>
      <c r="B636" t="s">
        <v>180</v>
      </c>
      <c r="C636" t="s">
        <v>464</v>
      </c>
      <c r="D636">
        <v>14</v>
      </c>
      <c r="E636">
        <v>5897473.14453125</v>
      </c>
      <c r="F636">
        <v>5898925.78125</v>
      </c>
      <c r="G636">
        <v>5898199.462890625</v>
      </c>
      <c r="H636">
        <v>8062211.5661411751</v>
      </c>
      <c r="I636">
        <v>1.5593964915381589E-7</v>
      </c>
      <c r="J636">
        <v>2.2108573425893312E-5</v>
      </c>
      <c r="K636">
        <v>1.7747973689267014</v>
      </c>
      <c r="L636">
        <v>36.689367948061864</v>
      </c>
      <c r="M636">
        <v>0</v>
      </c>
    </row>
    <row r="637" spans="1:15" x14ac:dyDescent="0.15">
      <c r="A637">
        <v>255</v>
      </c>
      <c r="B637" t="s">
        <v>180</v>
      </c>
      <c r="C637" t="s">
        <v>464</v>
      </c>
      <c r="D637">
        <v>15</v>
      </c>
      <c r="E637">
        <v>5897473.14453125</v>
      </c>
      <c r="F637">
        <v>5898199.462890625</v>
      </c>
      <c r="G637">
        <v>5897836.3037109375</v>
      </c>
      <c r="H637">
        <v>6618077.7410209542</v>
      </c>
      <c r="I637">
        <v>1.2831840756576514E-7</v>
      </c>
      <c r="J637">
        <v>2.2080952184305262E-5</v>
      </c>
      <c r="K637">
        <v>1.4568889523372104</v>
      </c>
      <c r="L637">
        <v>12.211960458394522</v>
      </c>
      <c r="M637">
        <v>0</v>
      </c>
    </row>
    <row r="638" spans="1:15" x14ac:dyDescent="0.15">
      <c r="A638">
        <v>255</v>
      </c>
      <c r="B638" t="s">
        <v>180</v>
      </c>
      <c r="C638" t="s">
        <v>464</v>
      </c>
      <c r="D638">
        <v>16</v>
      </c>
      <c r="E638">
        <v>5897473.14453125</v>
      </c>
      <c r="F638">
        <v>5897836.3037109375</v>
      </c>
      <c r="G638">
        <v>5897654.7241210938</v>
      </c>
      <c r="H638">
        <v>5899386.3318671575</v>
      </c>
      <c r="I638">
        <v>1.145228076219176E-7</v>
      </c>
      <c r="J638">
        <v>2.2067156584361414E-5</v>
      </c>
      <c r="K638">
        <v>1.2986778198741</v>
      </c>
      <c r="L638">
        <v>2.936095493996195E-2</v>
      </c>
      <c r="M638">
        <v>0</v>
      </c>
    </row>
    <row r="639" spans="1:15" x14ac:dyDescent="0.15">
      <c r="A639">
        <v>255</v>
      </c>
      <c r="B639" t="s">
        <v>180</v>
      </c>
      <c r="C639" t="s">
        <v>465</v>
      </c>
      <c r="D639">
        <v>16</v>
      </c>
      <c r="E639">
        <v>5897473.14453125</v>
      </c>
      <c r="F639">
        <v>5897836.3037109375</v>
      </c>
      <c r="G639">
        <v>5897654.7241210938</v>
      </c>
      <c r="H639">
        <v>5899386.3318671575</v>
      </c>
      <c r="I639">
        <v>1.145228076219176E-7</v>
      </c>
      <c r="J639">
        <v>2.2067156584361414E-5</v>
      </c>
      <c r="K639">
        <v>1.2986778198741</v>
      </c>
      <c r="L639">
        <v>2.936095493996195E-2</v>
      </c>
      <c r="M639">
        <v>0</v>
      </c>
      <c r="N639" t="s">
        <v>466</v>
      </c>
      <c r="O639" t="s">
        <v>467</v>
      </c>
    </row>
    <row r="640" spans="1:15" x14ac:dyDescent="0.15">
      <c r="A640">
        <v>256</v>
      </c>
      <c r="B640" t="s">
        <v>294</v>
      </c>
      <c r="C640" t="s">
        <v>461</v>
      </c>
      <c r="D640">
        <v>0</v>
      </c>
      <c r="E640">
        <v>100000</v>
      </c>
      <c r="F640">
        <v>12000000</v>
      </c>
      <c r="G640">
        <v>100000</v>
      </c>
      <c r="H640">
        <v>-27076.828172176451</v>
      </c>
      <c r="I640">
        <v>-2.9392418993088562E-5</v>
      </c>
      <c r="J640">
        <v>-7.6036459318272549E-6</v>
      </c>
      <c r="K640">
        <v>-8.4150111338468746E-3</v>
      </c>
      <c r="L640">
        <v>-127.07682817217645</v>
      </c>
      <c r="M640">
        <v>0</v>
      </c>
      <c r="O640" t="s">
        <v>462</v>
      </c>
    </row>
    <row r="641" spans="1:15" x14ac:dyDescent="0.15">
      <c r="A641">
        <v>256</v>
      </c>
      <c r="B641" t="s">
        <v>294</v>
      </c>
      <c r="C641" t="s">
        <v>461</v>
      </c>
      <c r="D641">
        <v>0</v>
      </c>
      <c r="E641">
        <v>100000</v>
      </c>
      <c r="F641">
        <v>12000000</v>
      </c>
      <c r="G641">
        <v>12000000</v>
      </c>
      <c r="H641">
        <v>1.7641672358535767E+18</v>
      </c>
      <c r="I641">
        <v>536.87090021122697</v>
      </c>
      <c r="J641">
        <v>536.87092200000006</v>
      </c>
      <c r="K641">
        <v>548272745879.8371</v>
      </c>
      <c r="L641">
        <v>14701393632013.139</v>
      </c>
      <c r="M641">
        <v>5</v>
      </c>
      <c r="O641" t="s">
        <v>463</v>
      </c>
    </row>
    <row r="642" spans="1:15" x14ac:dyDescent="0.15">
      <c r="A642">
        <v>256</v>
      </c>
      <c r="B642" t="s">
        <v>294</v>
      </c>
      <c r="C642" t="s">
        <v>464</v>
      </c>
      <c r="D642">
        <v>1</v>
      </c>
      <c r="E642">
        <v>100000</v>
      </c>
      <c r="F642">
        <v>12000000</v>
      </c>
      <c r="G642">
        <v>6050000</v>
      </c>
      <c r="H642">
        <v>140249374737594.56</v>
      </c>
      <c r="I642">
        <v>0.15533790096121575</v>
      </c>
      <c r="J642">
        <v>0.155359689734277</v>
      </c>
      <c r="K642">
        <v>43587086.435207658</v>
      </c>
      <c r="L642">
        <v>2318171383.266026</v>
      </c>
      <c r="M642">
        <v>0</v>
      </c>
    </row>
    <row r="643" spans="1:15" x14ac:dyDescent="0.15">
      <c r="A643">
        <v>256</v>
      </c>
      <c r="B643" t="s">
        <v>294</v>
      </c>
      <c r="C643" t="s">
        <v>464</v>
      </c>
      <c r="D643">
        <v>2</v>
      </c>
      <c r="E643">
        <v>100000</v>
      </c>
      <c r="F643">
        <v>6050000</v>
      </c>
      <c r="G643">
        <v>3075000</v>
      </c>
      <c r="H643">
        <v>-250364.49394335478</v>
      </c>
      <c r="I643">
        <v>-1.8001104989730874E-5</v>
      </c>
      <c r="J643">
        <v>3.7876680715304358E-6</v>
      </c>
      <c r="K643">
        <v>-7.7808966052315923E-2</v>
      </c>
      <c r="L643">
        <v>-108.14193476238552</v>
      </c>
      <c r="M643">
        <v>0</v>
      </c>
    </row>
    <row r="644" spans="1:15" x14ac:dyDescent="0.15">
      <c r="A644">
        <v>256</v>
      </c>
      <c r="B644" t="s">
        <v>294</v>
      </c>
      <c r="C644" t="s">
        <v>464</v>
      </c>
      <c r="D644">
        <v>3</v>
      </c>
      <c r="E644">
        <v>3075000</v>
      </c>
      <c r="F644">
        <v>6050000</v>
      </c>
      <c r="G644">
        <v>4562500</v>
      </c>
      <c r="H644">
        <v>43821557096.380013</v>
      </c>
      <c r="I644">
        <v>2.466009607622673E-4</v>
      </c>
      <c r="J644">
        <v>2.6838973382352859E-4</v>
      </c>
      <c r="K644">
        <v>13618.984045091102</v>
      </c>
      <c r="L644">
        <v>960372.48430421948</v>
      </c>
      <c r="M644">
        <v>0</v>
      </c>
    </row>
    <row r="645" spans="1:15" x14ac:dyDescent="0.15">
      <c r="A645">
        <v>256</v>
      </c>
      <c r="B645" t="s">
        <v>294</v>
      </c>
      <c r="C645" t="s">
        <v>464</v>
      </c>
      <c r="D645">
        <v>4</v>
      </c>
      <c r="E645">
        <v>3075000</v>
      </c>
      <c r="F645">
        <v>4562500</v>
      </c>
      <c r="G645">
        <v>3818750</v>
      </c>
      <c r="H645">
        <v>-81058462.319688544</v>
      </c>
      <c r="I645">
        <v>-7.2979756544041739E-6</v>
      </c>
      <c r="J645">
        <v>1.4490797406857135E-5</v>
      </c>
      <c r="K645">
        <v>-25.191571870061406</v>
      </c>
      <c r="L645">
        <v>-2222.6438577987178</v>
      </c>
      <c r="M645">
        <v>0</v>
      </c>
    </row>
    <row r="646" spans="1:15" x14ac:dyDescent="0.15">
      <c r="A646">
        <v>256</v>
      </c>
      <c r="B646" t="s">
        <v>294</v>
      </c>
      <c r="C646" t="s">
        <v>464</v>
      </c>
      <c r="D646">
        <v>5</v>
      </c>
      <c r="E646">
        <v>3818750</v>
      </c>
      <c r="F646">
        <v>4562500</v>
      </c>
      <c r="G646">
        <v>4190625</v>
      </c>
      <c r="H646">
        <v>3874530353.3880291</v>
      </c>
      <c r="I646">
        <v>3.9507721271900895E-5</v>
      </c>
      <c r="J646">
        <v>6.1296494333162204E-5</v>
      </c>
      <c r="K646">
        <v>1204.1372000761633</v>
      </c>
      <c r="L646">
        <v>92357.100155419044</v>
      </c>
      <c r="M646">
        <v>0</v>
      </c>
    </row>
    <row r="647" spans="1:15" x14ac:dyDescent="0.15">
      <c r="A647">
        <v>256</v>
      </c>
      <c r="B647" t="s">
        <v>294</v>
      </c>
      <c r="C647" t="s">
        <v>464</v>
      </c>
      <c r="D647">
        <v>6</v>
      </c>
      <c r="E647">
        <v>3818750</v>
      </c>
      <c r="F647">
        <v>4190625</v>
      </c>
      <c r="G647">
        <v>4004687.5</v>
      </c>
      <c r="H647">
        <v>508586144.06827748</v>
      </c>
      <c r="I647">
        <v>7.8941376561930436E-6</v>
      </c>
      <c r="J647">
        <v>2.9682910717454353E-5</v>
      </c>
      <c r="K647">
        <v>158.05980071375532</v>
      </c>
      <c r="L647">
        <v>12599.771057498931</v>
      </c>
      <c r="M647">
        <v>0</v>
      </c>
    </row>
    <row r="648" spans="1:15" x14ac:dyDescent="0.15">
      <c r="A648">
        <v>256</v>
      </c>
      <c r="B648" t="s">
        <v>294</v>
      </c>
      <c r="C648" t="s">
        <v>464</v>
      </c>
      <c r="D648">
        <v>7</v>
      </c>
      <c r="E648">
        <v>3818750</v>
      </c>
      <c r="F648">
        <v>4004687.5</v>
      </c>
      <c r="G648">
        <v>3911718.75</v>
      </c>
      <c r="H648">
        <v>-41144478.854467712</v>
      </c>
      <c r="I648">
        <v>-1.0693678851514662E-6</v>
      </c>
      <c r="J648">
        <v>2.0719405176109843E-5</v>
      </c>
      <c r="K648">
        <v>-12.786994305797334</v>
      </c>
      <c r="L648">
        <v>-1151.8261021313895</v>
      </c>
      <c r="M648">
        <v>0</v>
      </c>
    </row>
    <row r="649" spans="1:15" x14ac:dyDescent="0.15">
      <c r="A649">
        <v>256</v>
      </c>
      <c r="B649" t="s">
        <v>294</v>
      </c>
      <c r="C649" t="s">
        <v>464</v>
      </c>
      <c r="D649">
        <v>8</v>
      </c>
      <c r="E649">
        <v>3911718.75</v>
      </c>
      <c r="F649">
        <v>4004687.5</v>
      </c>
      <c r="G649">
        <v>3958203.125</v>
      </c>
      <c r="H649">
        <v>163594566.06839854</v>
      </c>
      <c r="I649">
        <v>3.0040023747875178E-6</v>
      </c>
      <c r="J649">
        <v>2.4792775436048827E-5</v>
      </c>
      <c r="K649">
        <v>50.842369207669492</v>
      </c>
      <c r="L649">
        <v>4033.0513089420729</v>
      </c>
      <c r="M649">
        <v>0</v>
      </c>
    </row>
    <row r="650" spans="1:15" x14ac:dyDescent="0.15">
      <c r="A650">
        <v>256</v>
      </c>
      <c r="B650" t="s">
        <v>294</v>
      </c>
      <c r="C650" t="s">
        <v>464</v>
      </c>
      <c r="D650">
        <v>9</v>
      </c>
      <c r="E650">
        <v>3911718.75</v>
      </c>
      <c r="F650">
        <v>3958203.125</v>
      </c>
      <c r="G650">
        <v>3934960.9375</v>
      </c>
      <c r="H650">
        <v>40488851.203455865</v>
      </c>
      <c r="I650">
        <v>8.7447448432109159E-7</v>
      </c>
      <c r="J650">
        <v>2.26632475455824E-5</v>
      </c>
      <c r="K650">
        <v>12.583236541119717</v>
      </c>
      <c r="L650">
        <v>928.95179511437948</v>
      </c>
      <c r="M650">
        <v>0</v>
      </c>
    </row>
    <row r="651" spans="1:15" x14ac:dyDescent="0.15">
      <c r="A651">
        <v>256</v>
      </c>
      <c r="B651" t="s">
        <v>294</v>
      </c>
      <c r="C651" t="s">
        <v>464</v>
      </c>
      <c r="D651">
        <v>10</v>
      </c>
      <c r="E651">
        <v>3911718.75</v>
      </c>
      <c r="F651">
        <v>3934960.9375</v>
      </c>
      <c r="G651">
        <v>3923339.84375</v>
      </c>
      <c r="H651">
        <v>-5064181.9824106209</v>
      </c>
      <c r="I651">
        <v>-1.1959070058611824E-7</v>
      </c>
      <c r="J651">
        <v>2.1669182360675191E-5</v>
      </c>
      <c r="K651">
        <v>-1.5738604054666379</v>
      </c>
      <c r="L651">
        <v>-229.07834100780275</v>
      </c>
      <c r="M651">
        <v>0</v>
      </c>
    </row>
    <row r="652" spans="1:15" x14ac:dyDescent="0.15">
      <c r="A652">
        <v>256</v>
      </c>
      <c r="B652" t="s">
        <v>294</v>
      </c>
      <c r="C652" t="s">
        <v>464</v>
      </c>
      <c r="D652">
        <v>11</v>
      </c>
      <c r="E652">
        <v>3923339.84375</v>
      </c>
      <c r="F652">
        <v>3934960.9375</v>
      </c>
      <c r="G652">
        <v>3929150.390625</v>
      </c>
      <c r="H652">
        <v>16474369.631355088</v>
      </c>
      <c r="I652">
        <v>3.7177364572765084E-7</v>
      </c>
      <c r="J652">
        <v>2.216054670698896E-5</v>
      </c>
      <c r="K652">
        <v>5.1199499065927183</v>
      </c>
      <c r="L652">
        <v>319.2857995627536</v>
      </c>
      <c r="M652">
        <v>0</v>
      </c>
    </row>
    <row r="653" spans="1:15" x14ac:dyDescent="0.15">
      <c r="A653">
        <v>256</v>
      </c>
      <c r="B653" t="s">
        <v>294</v>
      </c>
      <c r="C653" t="s">
        <v>464</v>
      </c>
      <c r="D653">
        <v>12</v>
      </c>
      <c r="E653">
        <v>3923339.84375</v>
      </c>
      <c r="F653">
        <v>3929150.390625</v>
      </c>
      <c r="G653">
        <v>3926245.1171875</v>
      </c>
      <c r="H653">
        <v>5402515.199539776</v>
      </c>
      <c r="I653">
        <v>1.2469220833801649E-7</v>
      </c>
      <c r="J653">
        <v>2.1913465269599325E-5</v>
      </c>
      <c r="K653">
        <v>1.6790085332675768</v>
      </c>
      <c r="L653">
        <v>37.600048858125731</v>
      </c>
      <c r="M653">
        <v>0</v>
      </c>
    </row>
    <row r="654" spans="1:15" x14ac:dyDescent="0.15">
      <c r="A654">
        <v>256</v>
      </c>
      <c r="B654" t="s">
        <v>294</v>
      </c>
      <c r="C654" t="s">
        <v>464</v>
      </c>
      <c r="D654">
        <v>13</v>
      </c>
      <c r="E654">
        <v>3923339.84375</v>
      </c>
      <c r="F654">
        <v>3926245.1171875</v>
      </c>
      <c r="G654">
        <v>3924792.48046875</v>
      </c>
      <c r="H654">
        <v>94275.581464247342</v>
      </c>
      <c r="I654">
        <v>2.2008640195676429E-9</v>
      </c>
      <c r="J654">
        <v>2.1790973925280877E-5</v>
      </c>
      <c r="K654">
        <v>2.9299224511338363E-2</v>
      </c>
      <c r="L654">
        <v>-97.597947358149554</v>
      </c>
      <c r="M654">
        <v>0</v>
      </c>
    </row>
    <row r="655" spans="1:15" x14ac:dyDescent="0.15">
      <c r="A655">
        <v>256</v>
      </c>
      <c r="B655" t="s">
        <v>294</v>
      </c>
      <c r="C655" t="s">
        <v>464</v>
      </c>
      <c r="D655">
        <v>14</v>
      </c>
      <c r="E655">
        <v>3924792.48046875</v>
      </c>
      <c r="F655">
        <v>3926245.1171875</v>
      </c>
      <c r="G655">
        <v>3925518.798828125</v>
      </c>
      <c r="H655">
        <v>2729625.9354333179</v>
      </c>
      <c r="I655">
        <v>6.3360173189530767E-8</v>
      </c>
      <c r="J655">
        <v>2.185213323445084E-5</v>
      </c>
      <c r="K655">
        <v>0.84832065601804318</v>
      </c>
      <c r="L655">
        <v>-30.464581235779942</v>
      </c>
      <c r="M655">
        <v>0</v>
      </c>
    </row>
    <row r="656" spans="1:15" x14ac:dyDescent="0.15">
      <c r="A656">
        <v>256</v>
      </c>
      <c r="B656" t="s">
        <v>294</v>
      </c>
      <c r="C656" t="s">
        <v>464</v>
      </c>
      <c r="D656">
        <v>15</v>
      </c>
      <c r="E656">
        <v>3925518.798828125</v>
      </c>
      <c r="F656">
        <v>3926245.1171875</v>
      </c>
      <c r="G656">
        <v>3925881.9580078125</v>
      </c>
      <c r="H656">
        <v>4061276.6940333159</v>
      </c>
      <c r="I656">
        <v>9.4002537626782E-8</v>
      </c>
      <c r="J656">
        <v>2.1882775598888091E-5</v>
      </c>
      <c r="K656">
        <v>1.2621747414655222</v>
      </c>
      <c r="L656">
        <v>3.4487724662564583</v>
      </c>
      <c r="M656">
        <v>0</v>
      </c>
    </row>
    <row r="657" spans="1:15" x14ac:dyDescent="0.15">
      <c r="A657">
        <v>256</v>
      </c>
      <c r="B657" t="s">
        <v>294</v>
      </c>
      <c r="C657" t="s">
        <v>464</v>
      </c>
      <c r="D657">
        <v>16</v>
      </c>
      <c r="E657">
        <v>3925518.798828125</v>
      </c>
      <c r="F657">
        <v>3925881.9580078125</v>
      </c>
      <c r="G657">
        <v>3925700.3784179688</v>
      </c>
      <c r="H657">
        <v>3394235.1006590482</v>
      </c>
      <c r="I657">
        <v>7.8674995975758043E-8</v>
      </c>
      <c r="J657">
        <v>2.1867448057237067E-5</v>
      </c>
      <c r="K657">
        <v>1.0548697203865989</v>
      </c>
      <c r="L657">
        <v>-13.53810088718736</v>
      </c>
      <c r="M657">
        <v>0</v>
      </c>
    </row>
    <row r="658" spans="1:15" x14ac:dyDescent="0.15">
      <c r="A658">
        <v>256</v>
      </c>
      <c r="B658" t="s">
        <v>294</v>
      </c>
      <c r="C658" t="s">
        <v>464</v>
      </c>
      <c r="D658">
        <v>17</v>
      </c>
      <c r="E658">
        <v>3925700.3784179688</v>
      </c>
      <c r="F658">
        <v>3925881.9580078125</v>
      </c>
      <c r="G658">
        <v>3925791.1682128906</v>
      </c>
      <c r="H658">
        <v>3727461.4058876154</v>
      </c>
      <c r="I658">
        <v>8.6337401855297408E-8</v>
      </c>
      <c r="J658">
        <v>2.1875110463116606E-5</v>
      </c>
      <c r="K658">
        <v>1.158430708060572</v>
      </c>
      <c r="L658">
        <v>-5.0519692420511362</v>
      </c>
      <c r="M658">
        <v>0</v>
      </c>
    </row>
    <row r="659" spans="1:15" x14ac:dyDescent="0.15">
      <c r="A659">
        <v>256</v>
      </c>
      <c r="B659" t="s">
        <v>294</v>
      </c>
      <c r="C659" t="s">
        <v>464</v>
      </c>
      <c r="D659">
        <v>18</v>
      </c>
      <c r="E659">
        <v>3925791.1682128906</v>
      </c>
      <c r="F659">
        <v>3925881.9580078125</v>
      </c>
      <c r="G659">
        <v>3925836.5631103516</v>
      </c>
      <c r="H659">
        <v>3894374.0407326389</v>
      </c>
      <c r="I659">
        <v>9.0171434176524134E-8</v>
      </c>
      <c r="J659">
        <v>2.1878944495437833E-5</v>
      </c>
      <c r="K659">
        <v>1.2103042758089502</v>
      </c>
      <c r="L659">
        <v>-0.80142211403690244</v>
      </c>
      <c r="M659">
        <v>0</v>
      </c>
    </row>
    <row r="660" spans="1:15" x14ac:dyDescent="0.15">
      <c r="A660">
        <v>256</v>
      </c>
      <c r="B660" t="s">
        <v>294</v>
      </c>
      <c r="C660" t="s">
        <v>465</v>
      </c>
      <c r="D660">
        <v>18</v>
      </c>
      <c r="E660">
        <v>3925791.1682128906</v>
      </c>
      <c r="F660">
        <v>3925881.9580078125</v>
      </c>
      <c r="G660">
        <v>3925836.5631103516</v>
      </c>
      <c r="H660">
        <v>3894374.0407326389</v>
      </c>
      <c r="I660">
        <v>9.0171434176524134E-8</v>
      </c>
      <c r="J660">
        <v>2.1878944495437833E-5</v>
      </c>
      <c r="K660">
        <v>1.2103042758089502</v>
      </c>
      <c r="L660">
        <v>-0.80142211403690244</v>
      </c>
      <c r="M660">
        <v>0</v>
      </c>
      <c r="N660" t="s">
        <v>466</v>
      </c>
      <c r="O660" t="s">
        <v>467</v>
      </c>
    </row>
    <row r="661" spans="1:15" x14ac:dyDescent="0.15">
      <c r="A661">
        <v>257</v>
      </c>
      <c r="B661" t="s">
        <v>71</v>
      </c>
      <c r="C661" t="s">
        <v>461</v>
      </c>
      <c r="D661">
        <v>0</v>
      </c>
      <c r="E661">
        <v>100000</v>
      </c>
      <c r="F661">
        <v>12000000</v>
      </c>
      <c r="G661">
        <v>100000</v>
      </c>
      <c r="H661">
        <v>-17807.500004603546</v>
      </c>
      <c r="I661">
        <v>-2.8642236678367871E-5</v>
      </c>
      <c r="J661">
        <v>-1.0235631263888133E-5</v>
      </c>
      <c r="K661">
        <v>-4.4101164901291512E-3</v>
      </c>
      <c r="L661">
        <v>-117.80750000460354</v>
      </c>
      <c r="M661">
        <v>0</v>
      </c>
      <c r="O661" t="s">
        <v>462</v>
      </c>
    </row>
    <row r="662" spans="1:15" x14ac:dyDescent="0.15">
      <c r="A662">
        <v>257</v>
      </c>
      <c r="B662" t="s">
        <v>71</v>
      </c>
      <c r="C662" t="s">
        <v>461</v>
      </c>
      <c r="D662">
        <v>0</v>
      </c>
      <c r="E662">
        <v>100000</v>
      </c>
      <c r="F662">
        <v>12000000</v>
      </c>
      <c r="G662">
        <v>12000000</v>
      </c>
      <c r="H662">
        <v>2.2945284649254956E+18</v>
      </c>
      <c r="I662">
        <v>536.8709035933947</v>
      </c>
      <c r="J662">
        <v>536.87092200000006</v>
      </c>
      <c r="K662">
        <v>568251456836.87683</v>
      </c>
      <c r="L662">
        <v>19121070540945.797</v>
      </c>
      <c r="M662">
        <v>5</v>
      </c>
      <c r="O662" t="s">
        <v>463</v>
      </c>
    </row>
    <row r="663" spans="1:15" x14ac:dyDescent="0.15">
      <c r="A663">
        <v>257</v>
      </c>
      <c r="B663" t="s">
        <v>71</v>
      </c>
      <c r="C663" t="s">
        <v>464</v>
      </c>
      <c r="D663">
        <v>1</v>
      </c>
      <c r="E663">
        <v>100000</v>
      </c>
      <c r="F663">
        <v>12000000</v>
      </c>
      <c r="G663">
        <v>6050000</v>
      </c>
      <c r="H663">
        <v>12701792316.951321</v>
      </c>
      <c r="I663">
        <v>7.9148153222120615E-5</v>
      </c>
      <c r="J663">
        <v>9.7554758636600353E-5</v>
      </c>
      <c r="K663">
        <v>3145.6624308129485</v>
      </c>
      <c r="L663">
        <v>209846.98044547637</v>
      </c>
      <c r="M663">
        <v>0</v>
      </c>
    </row>
    <row r="664" spans="1:15" x14ac:dyDescent="0.15">
      <c r="A664">
        <v>257</v>
      </c>
      <c r="B664" t="s">
        <v>71</v>
      </c>
      <c r="C664" t="s">
        <v>464</v>
      </c>
      <c r="D664">
        <v>2</v>
      </c>
      <c r="E664">
        <v>100000</v>
      </c>
      <c r="F664">
        <v>6050000</v>
      </c>
      <c r="G664">
        <v>3075000</v>
      </c>
      <c r="H664">
        <v>-70126.174010431903</v>
      </c>
      <c r="I664">
        <v>-1.9949754793447052E-5</v>
      </c>
      <c r="J664">
        <v>-1.5431493789673147E-6</v>
      </c>
      <c r="K664">
        <v>-1.736709792576846E-2</v>
      </c>
      <c r="L664">
        <v>-102.28052598407909</v>
      </c>
      <c r="M664">
        <v>0</v>
      </c>
    </row>
    <row r="665" spans="1:15" x14ac:dyDescent="0.15">
      <c r="A665">
        <v>257</v>
      </c>
      <c r="B665" t="s">
        <v>71</v>
      </c>
      <c r="C665" t="s">
        <v>464</v>
      </c>
      <c r="D665">
        <v>3</v>
      </c>
      <c r="E665">
        <v>3075000</v>
      </c>
      <c r="F665">
        <v>6050000</v>
      </c>
      <c r="G665">
        <v>4562500</v>
      </c>
      <c r="H665">
        <v>-274008.88357943302</v>
      </c>
      <c r="I665">
        <v>-1.5151729257370124E-5</v>
      </c>
      <c r="J665">
        <v>3.2548761571096134E-6</v>
      </c>
      <c r="K665">
        <v>-6.7859671239822617E-2</v>
      </c>
      <c r="L665">
        <v>-106.00567416064511</v>
      </c>
      <c r="M665">
        <v>0</v>
      </c>
    </row>
    <row r="666" spans="1:15" x14ac:dyDescent="0.15">
      <c r="A666">
        <v>257</v>
      </c>
      <c r="B666" t="s">
        <v>71</v>
      </c>
      <c r="C666" t="s">
        <v>464</v>
      </c>
      <c r="D666">
        <v>4</v>
      </c>
      <c r="E666">
        <v>4562500</v>
      </c>
      <c r="F666">
        <v>6050000</v>
      </c>
      <c r="G666">
        <v>5306250</v>
      </c>
      <c r="H666">
        <v>-24728949.90707415</v>
      </c>
      <c r="I666">
        <v>-8.0460420860012783E-6</v>
      </c>
      <c r="J666">
        <v>1.036056332847846E-5</v>
      </c>
      <c r="K666">
        <v>-6.1242481954554089</v>
      </c>
      <c r="L666">
        <v>-566.03439165275199</v>
      </c>
      <c r="M666">
        <v>0</v>
      </c>
    </row>
    <row r="667" spans="1:15" x14ac:dyDescent="0.15">
      <c r="A667">
        <v>257</v>
      </c>
      <c r="B667" t="s">
        <v>71</v>
      </c>
      <c r="C667" t="s">
        <v>464</v>
      </c>
      <c r="D667">
        <v>5</v>
      </c>
      <c r="E667">
        <v>5306250</v>
      </c>
      <c r="F667">
        <v>6050000</v>
      </c>
      <c r="G667">
        <v>5678125</v>
      </c>
      <c r="H667">
        <v>774905515.71725118</v>
      </c>
      <c r="I667">
        <v>9.1991039744598143E-6</v>
      </c>
      <c r="J667">
        <v>2.7605709388939552E-5</v>
      </c>
      <c r="K667">
        <v>191.90922882342949</v>
      </c>
      <c r="L667">
        <v>13547.207761668706</v>
      </c>
      <c r="M667">
        <v>0</v>
      </c>
    </row>
    <row r="668" spans="1:15" x14ac:dyDescent="0.15">
      <c r="A668">
        <v>257</v>
      </c>
      <c r="B668" t="s">
        <v>71</v>
      </c>
      <c r="C668" t="s">
        <v>464</v>
      </c>
      <c r="D668">
        <v>6</v>
      </c>
      <c r="E668">
        <v>5306250</v>
      </c>
      <c r="F668">
        <v>5678125</v>
      </c>
      <c r="G668">
        <v>5492187.5</v>
      </c>
      <c r="H668">
        <v>-101177301.31943114</v>
      </c>
      <c r="I668">
        <v>-3.6057918214020376E-6</v>
      </c>
      <c r="J668">
        <v>1.48008135930777E-5</v>
      </c>
      <c r="K668">
        <v>-25.057064992853455</v>
      </c>
      <c r="L668">
        <v>-1942.2040638530848</v>
      </c>
      <c r="M668">
        <v>0</v>
      </c>
    </row>
    <row r="669" spans="1:15" x14ac:dyDescent="0.15">
      <c r="A669">
        <v>257</v>
      </c>
      <c r="B669" t="s">
        <v>71</v>
      </c>
      <c r="C669" t="s">
        <v>464</v>
      </c>
      <c r="D669">
        <v>7</v>
      </c>
      <c r="E669">
        <v>5492187.5</v>
      </c>
      <c r="F669">
        <v>5678125</v>
      </c>
      <c r="G669">
        <v>5585156.25</v>
      </c>
      <c r="H669">
        <v>106953843.94375153</v>
      </c>
      <c r="I669">
        <v>1.7942951705258355E-6</v>
      </c>
      <c r="J669">
        <v>2.0200900585005573E-5</v>
      </c>
      <c r="K669">
        <v>26.487654681291666</v>
      </c>
      <c r="L669">
        <v>1814.9660127011045</v>
      </c>
      <c r="M669">
        <v>0</v>
      </c>
    </row>
    <row r="670" spans="1:15" x14ac:dyDescent="0.15">
      <c r="A670">
        <v>257</v>
      </c>
      <c r="B670" t="s">
        <v>71</v>
      </c>
      <c r="C670" t="s">
        <v>464</v>
      </c>
      <c r="D670">
        <v>8</v>
      </c>
      <c r="E670">
        <v>5492187.5</v>
      </c>
      <c r="F670">
        <v>5585156.25</v>
      </c>
      <c r="G670">
        <v>5538671.875</v>
      </c>
      <c r="H670">
        <v>-48214777.512508512</v>
      </c>
      <c r="I670">
        <v>-1.1180322136035415E-6</v>
      </c>
      <c r="J670">
        <v>1.7288573200876196E-5</v>
      </c>
      <c r="K670">
        <v>-11.940630931958598</v>
      </c>
      <c r="L670">
        <v>-970.51153418451088</v>
      </c>
      <c r="M670">
        <v>0</v>
      </c>
    </row>
    <row r="671" spans="1:15" x14ac:dyDescent="0.15">
      <c r="A671">
        <v>257</v>
      </c>
      <c r="B671" t="s">
        <v>71</v>
      </c>
      <c r="C671" t="s">
        <v>464</v>
      </c>
      <c r="D671">
        <v>9</v>
      </c>
      <c r="E671">
        <v>5538671.875</v>
      </c>
      <c r="F671">
        <v>5585156.25</v>
      </c>
      <c r="G671">
        <v>5561914.0625</v>
      </c>
      <c r="H671">
        <v>14380085.329927815</v>
      </c>
      <c r="I671">
        <v>2.8086188142701073E-7</v>
      </c>
      <c r="J671">
        <v>1.8687467295906749E-5</v>
      </c>
      <c r="K671">
        <v>3.5613000941504618</v>
      </c>
      <c r="L671">
        <v>158.54562239431968</v>
      </c>
      <c r="M671">
        <v>0</v>
      </c>
    </row>
    <row r="672" spans="1:15" x14ac:dyDescent="0.15">
      <c r="A672">
        <v>257</v>
      </c>
      <c r="B672" t="s">
        <v>71</v>
      </c>
      <c r="C672" t="s">
        <v>464</v>
      </c>
      <c r="D672">
        <v>10</v>
      </c>
      <c r="E672">
        <v>5538671.875</v>
      </c>
      <c r="F672">
        <v>5561914.0625</v>
      </c>
      <c r="G672">
        <v>5550292.96875</v>
      </c>
      <c r="H672">
        <v>-20373394.369816869</v>
      </c>
      <c r="I672">
        <v>-4.3237610364879305E-7</v>
      </c>
      <c r="J672">
        <v>1.7974229310830945E-5</v>
      </c>
      <c r="K672">
        <v>-5.045573070167416</v>
      </c>
      <c r="L672">
        <v>-467.06881032273202</v>
      </c>
      <c r="M672">
        <v>0</v>
      </c>
    </row>
    <row r="673" spans="1:15" x14ac:dyDescent="0.15">
      <c r="A673">
        <v>257</v>
      </c>
      <c r="B673" t="s">
        <v>71</v>
      </c>
      <c r="C673" t="s">
        <v>464</v>
      </c>
      <c r="D673">
        <v>11</v>
      </c>
      <c r="E673">
        <v>5550292.96875</v>
      </c>
      <c r="F673">
        <v>5561914.0625</v>
      </c>
      <c r="G673">
        <v>5556103.515625</v>
      </c>
      <c r="H673">
        <v>-3896266.7539051189</v>
      </c>
      <c r="I673">
        <v>-7.9274280149753846E-8</v>
      </c>
      <c r="J673">
        <v>1.8327331134329984E-5</v>
      </c>
      <c r="K673">
        <v>-0.96492995967411743</v>
      </c>
      <c r="L673">
        <v>-170.12588485703964</v>
      </c>
      <c r="M673">
        <v>0</v>
      </c>
    </row>
    <row r="674" spans="1:15" x14ac:dyDescent="0.15">
      <c r="A674">
        <v>257</v>
      </c>
      <c r="B674" t="s">
        <v>71</v>
      </c>
      <c r="C674" t="s">
        <v>464</v>
      </c>
      <c r="D674">
        <v>12</v>
      </c>
      <c r="E674">
        <v>5556103.515625</v>
      </c>
      <c r="F674">
        <v>5561914.0625</v>
      </c>
      <c r="G674">
        <v>5559008.7890625</v>
      </c>
      <c r="H674">
        <v>5012463.3771008775</v>
      </c>
      <c r="I674">
        <v>9.9905794136924717E-8</v>
      </c>
      <c r="J674">
        <v>1.8506511208616663E-5</v>
      </c>
      <c r="K674">
        <v>1.241361639186094</v>
      </c>
      <c r="L674">
        <v>-9.8317062033966458</v>
      </c>
      <c r="M674">
        <v>0</v>
      </c>
    </row>
    <row r="675" spans="1:15" x14ac:dyDescent="0.15">
      <c r="A675">
        <v>257</v>
      </c>
      <c r="B675" t="s">
        <v>71</v>
      </c>
      <c r="C675" t="s">
        <v>464</v>
      </c>
      <c r="D675">
        <v>13</v>
      </c>
      <c r="E675">
        <v>5559008.7890625</v>
      </c>
      <c r="F675">
        <v>5561914.0625</v>
      </c>
      <c r="G675">
        <v>5560461.42578125</v>
      </c>
      <c r="H675">
        <v>9638264.0354891121</v>
      </c>
      <c r="I675">
        <v>1.9015929538590963E-7</v>
      </c>
      <c r="J675">
        <v>1.8596764709865648E-5</v>
      </c>
      <c r="K675">
        <v>2.3869643211085649</v>
      </c>
      <c r="L675">
        <v>73.33568740898022</v>
      </c>
      <c r="M675">
        <v>0</v>
      </c>
    </row>
    <row r="676" spans="1:15" x14ac:dyDescent="0.15">
      <c r="A676">
        <v>257</v>
      </c>
      <c r="B676" t="s">
        <v>71</v>
      </c>
      <c r="C676" t="s">
        <v>464</v>
      </c>
      <c r="D676">
        <v>14</v>
      </c>
      <c r="E676">
        <v>5559008.7890625</v>
      </c>
      <c r="F676">
        <v>5560461.42578125</v>
      </c>
      <c r="G676">
        <v>5559735.107421875</v>
      </c>
      <c r="H676">
        <v>7310990.5526479362</v>
      </c>
      <c r="I676">
        <v>1.4497765534243534E-7</v>
      </c>
      <c r="J676">
        <v>1.8551583069822173E-5</v>
      </c>
      <c r="K676">
        <v>1.81060339671913</v>
      </c>
      <c r="L676">
        <v>31.498900781950063</v>
      </c>
      <c r="M676">
        <v>0</v>
      </c>
    </row>
    <row r="677" spans="1:15" x14ac:dyDescent="0.15">
      <c r="A677">
        <v>257</v>
      </c>
      <c r="B677" t="s">
        <v>71</v>
      </c>
      <c r="C677" t="s">
        <v>464</v>
      </c>
      <c r="D677">
        <v>15</v>
      </c>
      <c r="E677">
        <v>5559008.7890625</v>
      </c>
      <c r="F677">
        <v>5559735.107421875</v>
      </c>
      <c r="G677">
        <v>5559371.9482421875</v>
      </c>
      <c r="H677">
        <v>6158056.2401592257</v>
      </c>
      <c r="I677">
        <v>1.2242632779632128E-7</v>
      </c>
      <c r="J677">
        <v>1.8529031742276059E-5</v>
      </c>
      <c r="K677">
        <v>1.5250734446075067</v>
      </c>
      <c r="L677">
        <v>10.768919537868582</v>
      </c>
      <c r="M677">
        <v>0</v>
      </c>
    </row>
    <row r="678" spans="1:15" x14ac:dyDescent="0.15">
      <c r="A678">
        <v>257</v>
      </c>
      <c r="B678" t="s">
        <v>71</v>
      </c>
      <c r="C678" t="s">
        <v>464</v>
      </c>
      <c r="D678">
        <v>16</v>
      </c>
      <c r="E678">
        <v>5559008.7890625</v>
      </c>
      <c r="F678">
        <v>5559371.9482421875</v>
      </c>
      <c r="G678">
        <v>5559190.3686523438</v>
      </c>
      <c r="H678">
        <v>5584324.3300260352</v>
      </c>
      <c r="I678">
        <v>1.1116183912509157E-7</v>
      </c>
      <c r="J678">
        <v>1.8517767253604829E-5</v>
      </c>
      <c r="K678">
        <v>1.3829858659391046</v>
      </c>
      <c r="L678">
        <v>0.45211550076462681</v>
      </c>
      <c r="M678">
        <v>0</v>
      </c>
    </row>
    <row r="679" spans="1:15" x14ac:dyDescent="0.15">
      <c r="A679">
        <v>257</v>
      </c>
      <c r="B679" t="s">
        <v>71</v>
      </c>
      <c r="C679" t="s">
        <v>465</v>
      </c>
      <c r="D679">
        <v>16</v>
      </c>
      <c r="E679">
        <v>5559008.7890625</v>
      </c>
      <c r="F679">
        <v>5559371.9482421875</v>
      </c>
      <c r="G679">
        <v>5559190.3686523438</v>
      </c>
      <c r="H679">
        <v>5584324.3300260352</v>
      </c>
      <c r="I679">
        <v>1.1116183912509157E-7</v>
      </c>
      <c r="J679">
        <v>1.8517767253604829E-5</v>
      </c>
      <c r="K679">
        <v>1.3829858659391046</v>
      </c>
      <c r="L679">
        <v>0.45211550076462681</v>
      </c>
      <c r="M679">
        <v>0</v>
      </c>
      <c r="N679" t="s">
        <v>466</v>
      </c>
      <c r="O679" t="s">
        <v>467</v>
      </c>
    </row>
    <row r="680" spans="1:15" x14ac:dyDescent="0.15">
      <c r="A680">
        <v>258</v>
      </c>
      <c r="B680" t="s">
        <v>72</v>
      </c>
      <c r="C680" t="s">
        <v>461</v>
      </c>
      <c r="D680">
        <v>0</v>
      </c>
      <c r="E680">
        <v>100000</v>
      </c>
      <c r="F680">
        <v>12000000</v>
      </c>
      <c r="G680">
        <v>100000</v>
      </c>
      <c r="H680">
        <v>-16060.894034270648</v>
      </c>
      <c r="I680">
        <v>-2.2368520734998846E-5</v>
      </c>
      <c r="J680">
        <v>-9.1034222241484011E-6</v>
      </c>
      <c r="K680">
        <v>-2.9773554384423763E-3</v>
      </c>
      <c r="L680">
        <v>-116.06089403427065</v>
      </c>
      <c r="M680">
        <v>0</v>
      </c>
      <c r="O680" t="s">
        <v>462</v>
      </c>
    </row>
    <row r="681" spans="1:15" x14ac:dyDescent="0.15">
      <c r="A681">
        <v>258</v>
      </c>
      <c r="B681" t="s">
        <v>72</v>
      </c>
      <c r="C681" t="s">
        <v>461</v>
      </c>
      <c r="D681">
        <v>0</v>
      </c>
      <c r="E681">
        <v>100000</v>
      </c>
      <c r="F681">
        <v>12000000</v>
      </c>
      <c r="G681">
        <v>12000000</v>
      </c>
      <c r="H681">
        <v>2.1051583753991056E+17</v>
      </c>
      <c r="I681">
        <v>41.778739420919955</v>
      </c>
      <c r="J681">
        <v>41.778752686018464</v>
      </c>
      <c r="K681">
        <v>39025254287.854942</v>
      </c>
      <c r="L681">
        <v>1754298646065.9214</v>
      </c>
      <c r="M681">
        <v>0</v>
      </c>
      <c r="O681" t="s">
        <v>463</v>
      </c>
    </row>
    <row r="682" spans="1:15" x14ac:dyDescent="0.15">
      <c r="A682">
        <v>258</v>
      </c>
      <c r="B682" t="s">
        <v>72</v>
      </c>
      <c r="C682" t="s">
        <v>464</v>
      </c>
      <c r="D682">
        <v>1</v>
      </c>
      <c r="E682">
        <v>100000</v>
      </c>
      <c r="F682">
        <v>12000000</v>
      </c>
      <c r="G682">
        <v>6050000</v>
      </c>
      <c r="H682">
        <v>-603902.2461755136</v>
      </c>
      <c r="I682">
        <v>-9.7671398660082946E-6</v>
      </c>
      <c r="J682">
        <v>3.4979586448421508E-6</v>
      </c>
      <c r="K682">
        <v>-0.11195090591480163</v>
      </c>
      <c r="L682">
        <v>-109.98185530868618</v>
      </c>
      <c r="M682">
        <v>0</v>
      </c>
    </row>
    <row r="683" spans="1:15" x14ac:dyDescent="0.15">
      <c r="A683">
        <v>258</v>
      </c>
      <c r="B683" t="s">
        <v>72</v>
      </c>
      <c r="C683" t="s">
        <v>464</v>
      </c>
      <c r="D683">
        <v>2</v>
      </c>
      <c r="E683">
        <v>6050000</v>
      </c>
      <c r="F683">
        <v>12000000</v>
      </c>
      <c r="G683">
        <v>9025000</v>
      </c>
      <c r="H683">
        <v>2855234115735.4253</v>
      </c>
      <c r="I683">
        <v>3.388664796197018E-3</v>
      </c>
      <c r="J683">
        <v>3.4019298947078683E-3</v>
      </c>
      <c r="K683">
        <v>529300.971936655</v>
      </c>
      <c r="L683">
        <v>31636843.11064183</v>
      </c>
      <c r="M683">
        <v>0</v>
      </c>
    </row>
    <row r="684" spans="1:15" x14ac:dyDescent="0.15">
      <c r="A684">
        <v>258</v>
      </c>
      <c r="B684" t="s">
        <v>72</v>
      </c>
      <c r="C684" t="s">
        <v>464</v>
      </c>
      <c r="D684">
        <v>3</v>
      </c>
      <c r="E684">
        <v>6050000</v>
      </c>
      <c r="F684">
        <v>9025000</v>
      </c>
      <c r="G684">
        <v>7537500</v>
      </c>
      <c r="H684">
        <v>8232561523.8163929</v>
      </c>
      <c r="I684">
        <v>3.8747824939916189E-5</v>
      </c>
      <c r="J684">
        <v>5.2012923450766636E-5</v>
      </c>
      <c r="K684">
        <v>1526.1455416457015</v>
      </c>
      <c r="L684">
        <v>109121.38008379958</v>
      </c>
      <c r="M684">
        <v>0</v>
      </c>
    </row>
    <row r="685" spans="1:15" x14ac:dyDescent="0.15">
      <c r="A685">
        <v>258</v>
      </c>
      <c r="B685" t="s">
        <v>72</v>
      </c>
      <c r="C685" t="s">
        <v>464</v>
      </c>
      <c r="D685">
        <v>4</v>
      </c>
      <c r="E685">
        <v>6050000</v>
      </c>
      <c r="F685">
        <v>7537500</v>
      </c>
      <c r="G685">
        <v>6793750</v>
      </c>
      <c r="H685">
        <v>-66297156.604173295</v>
      </c>
      <c r="I685">
        <v>-4.3177804795934935E-6</v>
      </c>
      <c r="J685">
        <v>8.9473180312569514E-6</v>
      </c>
      <c r="K685">
        <v>-12.290112826067535</v>
      </c>
      <c r="L685">
        <v>-1075.8551110089904</v>
      </c>
      <c r="M685">
        <v>0</v>
      </c>
    </row>
    <row r="686" spans="1:15" x14ac:dyDescent="0.15">
      <c r="A686">
        <v>258</v>
      </c>
      <c r="B686" t="s">
        <v>72</v>
      </c>
      <c r="C686" t="s">
        <v>464</v>
      </c>
      <c r="D686">
        <v>5</v>
      </c>
      <c r="E686">
        <v>6793750</v>
      </c>
      <c r="F686">
        <v>7537500</v>
      </c>
      <c r="G686">
        <v>7165625</v>
      </c>
      <c r="H686">
        <v>687838918.78742218</v>
      </c>
      <c r="I686">
        <v>5.7124574306610515E-6</v>
      </c>
      <c r="J686">
        <v>1.8977555941511496E-5</v>
      </c>
      <c r="K686">
        <v>127.51101783338899</v>
      </c>
      <c r="L686">
        <v>9499.1475801123033</v>
      </c>
      <c r="M686">
        <v>0</v>
      </c>
    </row>
    <row r="687" spans="1:15" x14ac:dyDescent="0.15">
      <c r="A687">
        <v>258</v>
      </c>
      <c r="B687" t="s">
        <v>72</v>
      </c>
      <c r="C687" t="s">
        <v>464</v>
      </c>
      <c r="D687">
        <v>6</v>
      </c>
      <c r="E687">
        <v>6793750</v>
      </c>
      <c r="F687">
        <v>7165625</v>
      </c>
      <c r="G687">
        <v>6979687.5</v>
      </c>
      <c r="H687">
        <v>-79154998.583102316</v>
      </c>
      <c r="I687">
        <v>-1.7471170511463452E-6</v>
      </c>
      <c r="J687">
        <v>1.15179814597041E-5</v>
      </c>
      <c r="K687">
        <v>-14.673689086573974</v>
      </c>
      <c r="L687">
        <v>-1234.0765411503353</v>
      </c>
      <c r="M687">
        <v>0</v>
      </c>
    </row>
    <row r="688" spans="1:15" x14ac:dyDescent="0.15">
      <c r="A688">
        <v>258</v>
      </c>
      <c r="B688" t="s">
        <v>72</v>
      </c>
      <c r="C688" t="s">
        <v>464</v>
      </c>
      <c r="D688">
        <v>7</v>
      </c>
      <c r="E688">
        <v>6979687.5</v>
      </c>
      <c r="F688">
        <v>7165625</v>
      </c>
      <c r="G688">
        <v>7072656.25</v>
      </c>
      <c r="H688">
        <v>124146638.57080339</v>
      </c>
      <c r="I688">
        <v>1.5136278041609039E-6</v>
      </c>
      <c r="J688">
        <v>1.4778726315011349E-5</v>
      </c>
      <c r="K688">
        <v>23.014202616891058</v>
      </c>
      <c r="L688">
        <v>1655.3042899660702</v>
      </c>
      <c r="M688">
        <v>0</v>
      </c>
    </row>
    <row r="689" spans="1:15" x14ac:dyDescent="0.15">
      <c r="A689">
        <v>258</v>
      </c>
      <c r="B689" t="s">
        <v>72</v>
      </c>
      <c r="C689" t="s">
        <v>464</v>
      </c>
      <c r="D689">
        <v>8</v>
      </c>
      <c r="E689">
        <v>6979687.5</v>
      </c>
      <c r="F689">
        <v>7072656.25</v>
      </c>
      <c r="G689">
        <v>7026171.875</v>
      </c>
      <c r="H689">
        <v>-13793426.930143209</v>
      </c>
      <c r="I689">
        <v>-2.1925403107985019E-7</v>
      </c>
      <c r="J689">
        <v>1.3045844479770595E-5</v>
      </c>
      <c r="K689">
        <v>-2.5570142357946501</v>
      </c>
      <c r="L689">
        <v>-296.31496603750827</v>
      </c>
      <c r="M689">
        <v>0</v>
      </c>
    </row>
    <row r="690" spans="1:15" x14ac:dyDescent="0.15">
      <c r="A690">
        <v>258</v>
      </c>
      <c r="B690" t="s">
        <v>72</v>
      </c>
      <c r="C690" t="s">
        <v>464</v>
      </c>
      <c r="D690">
        <v>9</v>
      </c>
      <c r="E690">
        <v>7026171.875</v>
      </c>
      <c r="F690">
        <v>7072656.25</v>
      </c>
      <c r="G690">
        <v>7049414.0625</v>
      </c>
      <c r="H690">
        <v>44802686.440657198</v>
      </c>
      <c r="I690">
        <v>6.1981450856148214E-7</v>
      </c>
      <c r="J690">
        <v>1.3884913019411927E-5</v>
      </c>
      <c r="K690">
        <v>8.305485475857374</v>
      </c>
      <c r="L690">
        <v>535.55192025092083</v>
      </c>
      <c r="M690">
        <v>0</v>
      </c>
    </row>
    <row r="691" spans="1:15" x14ac:dyDescent="0.15">
      <c r="A691">
        <v>258</v>
      </c>
      <c r="B691" t="s">
        <v>72</v>
      </c>
      <c r="C691" t="s">
        <v>464</v>
      </c>
      <c r="D691">
        <v>10</v>
      </c>
      <c r="E691">
        <v>7026171.875</v>
      </c>
      <c r="F691">
        <v>7049414.0625</v>
      </c>
      <c r="G691">
        <v>7037792.96875</v>
      </c>
      <c r="H691">
        <v>13081680.11694639</v>
      </c>
      <c r="I691">
        <v>1.9365522115714285E-7</v>
      </c>
      <c r="J691">
        <v>1.3458753732007588E-5</v>
      </c>
      <c r="K691">
        <v>2.4250711919924925</v>
      </c>
      <c r="L691">
        <v>85.877592237127999</v>
      </c>
      <c r="M691">
        <v>0</v>
      </c>
    </row>
    <row r="692" spans="1:15" x14ac:dyDescent="0.15">
      <c r="A692">
        <v>258</v>
      </c>
      <c r="B692" t="s">
        <v>72</v>
      </c>
      <c r="C692" t="s">
        <v>464</v>
      </c>
      <c r="D692">
        <v>11</v>
      </c>
      <c r="E692">
        <v>7026171.875</v>
      </c>
      <c r="F692">
        <v>7037792.96875</v>
      </c>
      <c r="G692">
        <v>7031982.421875</v>
      </c>
      <c r="H692">
        <v>-941143.5319898061</v>
      </c>
      <c r="I692">
        <v>-1.4430415346078314E-8</v>
      </c>
      <c r="J692">
        <v>1.3250668095504367E-5</v>
      </c>
      <c r="K692">
        <v>-0.17446842045938227</v>
      </c>
      <c r="L692">
        <v>-113.38375831347514</v>
      </c>
      <c r="M692">
        <v>0</v>
      </c>
    </row>
    <row r="693" spans="1:15" x14ac:dyDescent="0.15">
      <c r="A693">
        <v>258</v>
      </c>
      <c r="B693" t="s">
        <v>72</v>
      </c>
      <c r="C693" t="s">
        <v>464</v>
      </c>
      <c r="D693">
        <v>12</v>
      </c>
      <c r="E693">
        <v>7031982.421875</v>
      </c>
      <c r="F693">
        <v>7037792.96875</v>
      </c>
      <c r="G693">
        <v>7034887.6953125</v>
      </c>
      <c r="H693">
        <v>5921463.8993594348</v>
      </c>
      <c r="I693">
        <v>8.9202138054038854E-8</v>
      </c>
      <c r="J693">
        <v>1.3354300648904484E-5</v>
      </c>
      <c r="K693">
        <v>1.0977161487199012</v>
      </c>
      <c r="L693">
        <v>-15.827172290112944</v>
      </c>
      <c r="M693">
        <v>0</v>
      </c>
    </row>
    <row r="694" spans="1:15" x14ac:dyDescent="0.15">
      <c r="A694">
        <v>258</v>
      </c>
      <c r="B694" t="s">
        <v>72</v>
      </c>
      <c r="C694" t="s">
        <v>464</v>
      </c>
      <c r="D694">
        <v>13</v>
      </c>
      <c r="E694">
        <v>7034887.6953125</v>
      </c>
      <c r="F694">
        <v>7037792.96875</v>
      </c>
      <c r="G694">
        <v>7036340.33203125</v>
      </c>
      <c r="H694">
        <v>9463970.0652645584</v>
      </c>
      <c r="I694">
        <v>1.4132451259473974E-7</v>
      </c>
      <c r="J694">
        <v>1.3406423023445185E-5</v>
      </c>
      <c r="K694">
        <v>1.7544230528478719</v>
      </c>
      <c r="L694">
        <v>34.501312026965309</v>
      </c>
      <c r="M694">
        <v>0</v>
      </c>
    </row>
    <row r="695" spans="1:15" x14ac:dyDescent="0.15">
      <c r="A695">
        <v>258</v>
      </c>
      <c r="B695" t="s">
        <v>72</v>
      </c>
      <c r="C695" t="s">
        <v>464</v>
      </c>
      <c r="D695">
        <v>14</v>
      </c>
      <c r="E695">
        <v>7034887.6953125</v>
      </c>
      <c r="F695">
        <v>7036340.33203125</v>
      </c>
      <c r="G695">
        <v>7035614.013671875</v>
      </c>
      <c r="H695">
        <v>7683411.3115467001</v>
      </c>
      <c r="I695">
        <v>1.152381334207089E-7</v>
      </c>
      <c r="J695">
        <v>1.3380336644271154E-5</v>
      </c>
      <c r="K695">
        <v>1.424344523126174</v>
      </c>
      <c r="L695">
        <v>9.2074024614767165</v>
      </c>
      <c r="M695">
        <v>0</v>
      </c>
    </row>
    <row r="696" spans="1:15" x14ac:dyDescent="0.15">
      <c r="A696">
        <v>258</v>
      </c>
      <c r="B696" t="s">
        <v>72</v>
      </c>
      <c r="C696" t="s">
        <v>464</v>
      </c>
      <c r="D696">
        <v>15</v>
      </c>
      <c r="E696">
        <v>7034887.6953125</v>
      </c>
      <c r="F696">
        <v>7035614.013671875</v>
      </c>
      <c r="G696">
        <v>7035250.8544921875</v>
      </c>
      <c r="H696">
        <v>6800107.0675007403</v>
      </c>
      <c r="I696">
        <v>1.022137111338811E-7</v>
      </c>
      <c r="J696">
        <v>1.3367312221984326E-5</v>
      </c>
      <c r="K696">
        <v>1.2605983026979848</v>
      </c>
      <c r="L696">
        <v>-3.342365352065618</v>
      </c>
      <c r="M696">
        <v>0</v>
      </c>
    </row>
    <row r="697" spans="1:15" x14ac:dyDescent="0.15">
      <c r="A697">
        <v>258</v>
      </c>
      <c r="B697" t="s">
        <v>72</v>
      </c>
      <c r="C697" t="s">
        <v>464</v>
      </c>
      <c r="D697">
        <v>16</v>
      </c>
      <c r="E697">
        <v>7035250.8544921875</v>
      </c>
      <c r="F697">
        <v>7035614.013671875</v>
      </c>
      <c r="G697">
        <v>7035432.4340820313</v>
      </c>
      <c r="H697">
        <v>7241175.9305169852</v>
      </c>
      <c r="I697">
        <v>1.0872431532405418E-7</v>
      </c>
      <c r="J697">
        <v>1.3373822826174499E-5</v>
      </c>
      <c r="K697">
        <v>1.3423632888330574</v>
      </c>
      <c r="L697">
        <v>2.92439019722885</v>
      </c>
      <c r="M697">
        <v>0</v>
      </c>
    </row>
    <row r="698" spans="1:15" x14ac:dyDescent="0.15">
      <c r="A698">
        <v>258</v>
      </c>
      <c r="B698" t="s">
        <v>72</v>
      </c>
      <c r="C698" t="s">
        <v>464</v>
      </c>
      <c r="D698">
        <v>17</v>
      </c>
      <c r="E698">
        <v>7035250.8544921875</v>
      </c>
      <c r="F698">
        <v>7035432.4340820313</v>
      </c>
      <c r="G698">
        <v>7035341.6442871094</v>
      </c>
      <c r="H698">
        <v>7020495.7623283528</v>
      </c>
      <c r="I698">
        <v>1.0546861159063083E-7</v>
      </c>
      <c r="J698">
        <v>1.3370567122441076E-5</v>
      </c>
      <c r="K698">
        <v>1.3014537792185361</v>
      </c>
      <c r="L698">
        <v>-0.21101863575895932</v>
      </c>
      <c r="M698">
        <v>0</v>
      </c>
    </row>
    <row r="699" spans="1:15" x14ac:dyDescent="0.15">
      <c r="A699">
        <v>258</v>
      </c>
      <c r="B699" t="s">
        <v>72</v>
      </c>
      <c r="C699" t="s">
        <v>465</v>
      </c>
      <c r="D699">
        <v>17</v>
      </c>
      <c r="E699">
        <v>7035250.8544921875</v>
      </c>
      <c r="F699">
        <v>7035432.4340820313</v>
      </c>
      <c r="G699">
        <v>7035341.6442871094</v>
      </c>
      <c r="H699">
        <v>7020495.7623283528</v>
      </c>
      <c r="I699">
        <v>1.0546861159063083E-7</v>
      </c>
      <c r="J699">
        <v>1.3370567122441076E-5</v>
      </c>
      <c r="K699">
        <v>1.3014537792185361</v>
      </c>
      <c r="L699">
        <v>-0.21101863575895932</v>
      </c>
      <c r="M699">
        <v>0</v>
      </c>
      <c r="N699" t="s">
        <v>466</v>
      </c>
      <c r="O699" t="s">
        <v>467</v>
      </c>
    </row>
    <row r="700" spans="1:15" x14ac:dyDescent="0.15">
      <c r="A700">
        <v>259</v>
      </c>
      <c r="B700" t="s">
        <v>295</v>
      </c>
      <c r="C700" t="s">
        <v>461</v>
      </c>
      <c r="D700">
        <v>0</v>
      </c>
      <c r="E700">
        <v>100000</v>
      </c>
      <c r="F700">
        <v>12000000</v>
      </c>
      <c r="G700">
        <v>100000</v>
      </c>
      <c r="H700">
        <v>15140.331985412939</v>
      </c>
      <c r="I700">
        <v>-8.4175296713076878E-5</v>
      </c>
      <c r="J700">
        <v>-2.37026771076284E-5</v>
      </c>
      <c r="K700">
        <v>4.637160481243071E-3</v>
      </c>
      <c r="L700">
        <v>-84.859668014587058</v>
      </c>
      <c r="M700">
        <v>0</v>
      </c>
      <c r="O700" t="s">
        <v>462</v>
      </c>
    </row>
    <row r="701" spans="1:15" x14ac:dyDescent="0.15">
      <c r="A701">
        <v>259</v>
      </c>
      <c r="B701" t="s">
        <v>295</v>
      </c>
      <c r="C701" t="s">
        <v>461</v>
      </c>
      <c r="D701">
        <v>0</v>
      </c>
      <c r="E701">
        <v>100000</v>
      </c>
      <c r="F701">
        <v>12000000</v>
      </c>
      <c r="G701">
        <v>12000000</v>
      </c>
      <c r="H701">
        <v>3.602030688636519E+17</v>
      </c>
      <c r="I701">
        <v>536.8708615273805</v>
      </c>
      <c r="J701">
        <v>536.87092200000006</v>
      </c>
      <c r="K701">
        <v>110322510613.78867</v>
      </c>
      <c r="L701">
        <v>3001692240430.4326</v>
      </c>
      <c r="M701">
        <v>5</v>
      </c>
      <c r="O701" t="s">
        <v>463</v>
      </c>
    </row>
    <row r="702" spans="1:15" x14ac:dyDescent="0.15">
      <c r="A702">
        <v>259</v>
      </c>
      <c r="B702" t="s">
        <v>295</v>
      </c>
      <c r="C702" t="s">
        <v>464</v>
      </c>
      <c r="D702">
        <v>1</v>
      </c>
      <c r="E702">
        <v>100000</v>
      </c>
      <c r="F702">
        <v>12000000</v>
      </c>
      <c r="G702">
        <v>6050000</v>
      </c>
      <c r="H702">
        <v>31890025680927.441</v>
      </c>
      <c r="I702">
        <v>0.17322243328921363</v>
      </c>
      <c r="J702">
        <v>0.17328290590881909</v>
      </c>
      <c r="K702">
        <v>9767234.0986907445</v>
      </c>
      <c r="L702">
        <v>527107762.49466842</v>
      </c>
      <c r="M702">
        <v>0</v>
      </c>
    </row>
    <row r="703" spans="1:15" x14ac:dyDescent="0.15">
      <c r="A703">
        <v>259</v>
      </c>
      <c r="B703" t="s">
        <v>295</v>
      </c>
      <c r="C703" t="s">
        <v>464</v>
      </c>
      <c r="D703">
        <v>2</v>
      </c>
      <c r="E703">
        <v>100000</v>
      </c>
      <c r="F703">
        <v>6050000</v>
      </c>
      <c r="G703">
        <v>3075000</v>
      </c>
      <c r="H703">
        <v>63673.630563798724</v>
      </c>
      <c r="I703">
        <v>-6.0543221843712894E-5</v>
      </c>
      <c r="J703">
        <v>-7.0602238264412256E-8</v>
      </c>
      <c r="K703">
        <v>1.9501873778738368E-2</v>
      </c>
      <c r="L703">
        <v>-97.929312827193542</v>
      </c>
      <c r="M703">
        <v>0</v>
      </c>
    </row>
    <row r="704" spans="1:15" x14ac:dyDescent="0.15">
      <c r="A704">
        <v>259</v>
      </c>
      <c r="B704" t="s">
        <v>295</v>
      </c>
      <c r="C704" t="s">
        <v>464</v>
      </c>
      <c r="D704">
        <v>3</v>
      </c>
      <c r="E704">
        <v>3075000</v>
      </c>
      <c r="F704">
        <v>6050000</v>
      </c>
      <c r="G704">
        <v>4562500</v>
      </c>
      <c r="H704">
        <v>175437091.10543558</v>
      </c>
      <c r="I704">
        <v>1.0160742428697057E-5</v>
      </c>
      <c r="J704">
        <v>7.0633362034145541E-5</v>
      </c>
      <c r="K704">
        <v>53.732635889501459</v>
      </c>
      <c r="L704">
        <v>3745.1965173794101</v>
      </c>
      <c r="M704">
        <v>0</v>
      </c>
    </row>
    <row r="705" spans="1:13" x14ac:dyDescent="0.15">
      <c r="A705">
        <v>259</v>
      </c>
      <c r="B705" t="s">
        <v>295</v>
      </c>
      <c r="C705" t="s">
        <v>464</v>
      </c>
      <c r="D705">
        <v>4</v>
      </c>
      <c r="E705">
        <v>3075000</v>
      </c>
      <c r="F705">
        <v>4562500</v>
      </c>
      <c r="G705">
        <v>3818750</v>
      </c>
      <c r="H705">
        <v>-108982.18584059004</v>
      </c>
      <c r="I705">
        <v>-5.3456948758814674E-5</v>
      </c>
      <c r="J705">
        <v>7.0156708466338127E-6</v>
      </c>
      <c r="K705">
        <v>-3.3378917042662777E-2</v>
      </c>
      <c r="L705">
        <v>-102.85387066031005</v>
      </c>
      <c r="M705">
        <v>0</v>
      </c>
    </row>
    <row r="706" spans="1:13" x14ac:dyDescent="0.15">
      <c r="A706">
        <v>259</v>
      </c>
      <c r="B706" t="s">
        <v>295</v>
      </c>
      <c r="C706" t="s">
        <v>464</v>
      </c>
      <c r="D706">
        <v>5</v>
      </c>
      <c r="E706">
        <v>3818750</v>
      </c>
      <c r="F706">
        <v>4562500</v>
      </c>
      <c r="G706">
        <v>4190625</v>
      </c>
      <c r="H706">
        <v>-383624.47854387813</v>
      </c>
      <c r="I706">
        <v>-4.3859608216747862E-5</v>
      </c>
      <c r="J706">
        <v>1.6613011388700623E-5</v>
      </c>
      <c r="K706">
        <v>-0.11749598841393129</v>
      </c>
      <c r="L706">
        <v>-109.15434997270999</v>
      </c>
      <c r="M706">
        <v>0</v>
      </c>
    </row>
    <row r="707" spans="1:13" x14ac:dyDescent="0.15">
      <c r="A707">
        <v>259</v>
      </c>
      <c r="B707" t="s">
        <v>295</v>
      </c>
      <c r="C707" t="s">
        <v>464</v>
      </c>
      <c r="D707">
        <v>6</v>
      </c>
      <c r="E707">
        <v>4190625</v>
      </c>
      <c r="F707">
        <v>4562500</v>
      </c>
      <c r="G707">
        <v>4376562.5</v>
      </c>
      <c r="H707">
        <v>-6343738.4186556228</v>
      </c>
      <c r="I707">
        <v>-3.2427304832541059E-5</v>
      </c>
      <c r="J707">
        <v>2.8045314772907426E-5</v>
      </c>
      <c r="K707">
        <v>-1.9429516556621889</v>
      </c>
      <c r="L707">
        <v>-244.9479681520742</v>
      </c>
      <c r="M707">
        <v>0</v>
      </c>
    </row>
    <row r="708" spans="1:13" x14ac:dyDescent="0.15">
      <c r="A708">
        <v>259</v>
      </c>
      <c r="B708" t="s">
        <v>295</v>
      </c>
      <c r="C708" t="s">
        <v>464</v>
      </c>
      <c r="D708">
        <v>7</v>
      </c>
      <c r="E708">
        <v>4376562.5</v>
      </c>
      <c r="F708">
        <v>4562500</v>
      </c>
      <c r="G708">
        <v>4469531.25</v>
      </c>
      <c r="H708">
        <v>-134328747.88734943</v>
      </c>
      <c r="I708">
        <v>-1.6017578089702368E-5</v>
      </c>
      <c r="J708">
        <v>4.4455041515746116E-5</v>
      </c>
      <c r="K708">
        <v>-41.142027915782933</v>
      </c>
      <c r="L708">
        <v>-3105.4325694075733</v>
      </c>
      <c r="M708">
        <v>0</v>
      </c>
    </row>
    <row r="709" spans="1:13" x14ac:dyDescent="0.15">
      <c r="A709">
        <v>259</v>
      </c>
      <c r="B709" t="s">
        <v>295</v>
      </c>
      <c r="C709" t="s">
        <v>464</v>
      </c>
      <c r="D709">
        <v>8</v>
      </c>
      <c r="E709">
        <v>4469531.25</v>
      </c>
      <c r="F709">
        <v>4562500</v>
      </c>
      <c r="G709">
        <v>4516015.625</v>
      </c>
      <c r="H709">
        <v>-63602482.376449391</v>
      </c>
      <c r="I709">
        <v>-4.4541473282399483E-6</v>
      </c>
      <c r="J709">
        <v>5.6018472277208536E-5</v>
      </c>
      <c r="K709">
        <v>-19.480082607778161</v>
      </c>
      <c r="L709">
        <v>-1508.3760477788292</v>
      </c>
      <c r="M709">
        <v>0</v>
      </c>
    </row>
    <row r="710" spans="1:13" x14ac:dyDescent="0.15">
      <c r="A710">
        <v>259</v>
      </c>
      <c r="B710" t="s">
        <v>295</v>
      </c>
      <c r="C710" t="s">
        <v>464</v>
      </c>
      <c r="D710">
        <v>9</v>
      </c>
      <c r="E710">
        <v>4516015.625</v>
      </c>
      <c r="F710">
        <v>4562500</v>
      </c>
      <c r="G710">
        <v>4539257.8125</v>
      </c>
      <c r="H710">
        <v>38322194.31847173</v>
      </c>
      <c r="I710">
        <v>2.4252539092856982E-6</v>
      </c>
      <c r="J710">
        <v>6.2897873514734183E-5</v>
      </c>
      <c r="K710">
        <v>11.737270042648149</v>
      </c>
      <c r="L710">
        <v>744.23921049255739</v>
      </c>
      <c r="M710">
        <v>0</v>
      </c>
    </row>
    <row r="711" spans="1:13" x14ac:dyDescent="0.15">
      <c r="A711">
        <v>259</v>
      </c>
      <c r="B711" t="s">
        <v>295</v>
      </c>
      <c r="C711" t="s">
        <v>464</v>
      </c>
      <c r="D711">
        <v>10</v>
      </c>
      <c r="E711">
        <v>4516015.625</v>
      </c>
      <c r="F711">
        <v>4539257.8125</v>
      </c>
      <c r="G711">
        <v>4527636.71875</v>
      </c>
      <c r="H711">
        <v>-16782959.630289197</v>
      </c>
      <c r="I711">
        <v>-1.1152165332755208E-6</v>
      </c>
      <c r="J711">
        <v>5.9357403072172964E-5</v>
      </c>
      <c r="K711">
        <v>-5.1402622631297783</v>
      </c>
      <c r="L711">
        <v>-470.67814122071775</v>
      </c>
      <c r="M711">
        <v>0</v>
      </c>
    </row>
    <row r="712" spans="1:13" x14ac:dyDescent="0.15">
      <c r="A712">
        <v>259</v>
      </c>
      <c r="B712" t="s">
        <v>295</v>
      </c>
      <c r="C712" t="s">
        <v>464</v>
      </c>
      <c r="D712">
        <v>11</v>
      </c>
      <c r="E712">
        <v>4527636.71875</v>
      </c>
      <c r="F712">
        <v>4539257.8125</v>
      </c>
      <c r="G712">
        <v>4533447.265625</v>
      </c>
      <c r="H712">
        <v>9704858.7958474904</v>
      </c>
      <c r="I712">
        <v>6.290769423548484E-7</v>
      </c>
      <c r="J712">
        <v>6.1101696547803333E-5</v>
      </c>
      <c r="K712">
        <v>2.9723910762000894</v>
      </c>
      <c r="L712">
        <v>114.07238746185212</v>
      </c>
      <c r="M712">
        <v>0</v>
      </c>
    </row>
    <row r="713" spans="1:13" x14ac:dyDescent="0.15">
      <c r="A713">
        <v>259</v>
      </c>
      <c r="B713" t="s">
        <v>295</v>
      </c>
      <c r="C713" t="s">
        <v>464</v>
      </c>
      <c r="D713">
        <v>12</v>
      </c>
      <c r="E713">
        <v>4527636.71875</v>
      </c>
      <c r="F713">
        <v>4533447.265625</v>
      </c>
      <c r="G713">
        <v>4530541.9921875</v>
      </c>
      <c r="H713">
        <v>-3801475.9400922074</v>
      </c>
      <c r="I713">
        <v>-2.4946336251912763E-7</v>
      </c>
      <c r="J713">
        <v>6.0223156242929357E-5</v>
      </c>
      <c r="K713">
        <v>-1.1643109290321909</v>
      </c>
      <c r="L713">
        <v>-183.90775202277123</v>
      </c>
      <c r="M713">
        <v>0</v>
      </c>
    </row>
    <row r="714" spans="1:13" x14ac:dyDescent="0.15">
      <c r="A714">
        <v>259</v>
      </c>
      <c r="B714" t="s">
        <v>295</v>
      </c>
      <c r="C714" t="s">
        <v>464</v>
      </c>
      <c r="D714">
        <v>13</v>
      </c>
      <c r="E714">
        <v>4530541.9921875</v>
      </c>
      <c r="F714">
        <v>4533447.265625</v>
      </c>
      <c r="G714">
        <v>4531994.62890625</v>
      </c>
      <c r="H714">
        <v>2885590.6072141412</v>
      </c>
      <c r="I714">
        <v>1.8819475278793098E-7</v>
      </c>
      <c r="J714">
        <v>6.0660814358236415E-5</v>
      </c>
      <c r="K714">
        <v>0.88379480329173632</v>
      </c>
      <c r="L714">
        <v>-36.328463656839141</v>
      </c>
      <c r="M714">
        <v>0</v>
      </c>
    </row>
    <row r="715" spans="1:13" x14ac:dyDescent="0.15">
      <c r="A715">
        <v>259</v>
      </c>
      <c r="B715" t="s">
        <v>295</v>
      </c>
      <c r="C715" t="s">
        <v>464</v>
      </c>
      <c r="D715">
        <v>14</v>
      </c>
      <c r="E715">
        <v>4531994.62890625</v>
      </c>
      <c r="F715">
        <v>4533447.265625</v>
      </c>
      <c r="G715">
        <v>4532720.947265625</v>
      </c>
      <c r="H715">
        <v>6278691.1027322374</v>
      </c>
      <c r="I715">
        <v>4.0823465086559893E-7</v>
      </c>
      <c r="J715">
        <v>6.0880854256314083E-5</v>
      </c>
      <c r="K715">
        <v>1.9230290513823443</v>
      </c>
      <c r="L715">
        <v>38.519250926308914</v>
      </c>
      <c r="M715">
        <v>0</v>
      </c>
    </row>
    <row r="716" spans="1:13" x14ac:dyDescent="0.15">
      <c r="A716">
        <v>259</v>
      </c>
      <c r="B716" t="s">
        <v>295</v>
      </c>
      <c r="C716" t="s">
        <v>464</v>
      </c>
      <c r="D716">
        <v>15</v>
      </c>
      <c r="E716">
        <v>4531994.62890625</v>
      </c>
      <c r="F716">
        <v>4532720.947265625</v>
      </c>
      <c r="G716">
        <v>4532357.7880859375</v>
      </c>
      <c r="H716">
        <v>4578045.1613604417</v>
      </c>
      <c r="I716">
        <v>2.9811655706178891E-7</v>
      </c>
      <c r="J716">
        <v>6.0770736162510273E-5</v>
      </c>
      <c r="K716">
        <v>1.40215750381564</v>
      </c>
      <c r="L716">
        <v>1.00802662566934</v>
      </c>
      <c r="M716">
        <v>0</v>
      </c>
    </row>
    <row r="717" spans="1:13" x14ac:dyDescent="0.15">
      <c r="A717">
        <v>259</v>
      </c>
      <c r="B717" t="s">
        <v>295</v>
      </c>
      <c r="C717" t="s">
        <v>464</v>
      </c>
      <c r="D717">
        <v>16</v>
      </c>
      <c r="E717">
        <v>4531994.62890625</v>
      </c>
      <c r="F717">
        <v>4532357.7880859375</v>
      </c>
      <c r="G717">
        <v>4532176.2084960938</v>
      </c>
      <c r="H717">
        <v>3730825.1705062012</v>
      </c>
      <c r="I717">
        <v>2.4313311176994256E-7</v>
      </c>
      <c r="J717">
        <v>6.0715752717218427E-5</v>
      </c>
      <c r="K717">
        <v>1.1426721065143437</v>
      </c>
      <c r="L717">
        <v>-17.681374269775002</v>
      </c>
      <c r="M717">
        <v>0</v>
      </c>
    </row>
    <row r="718" spans="1:13" x14ac:dyDescent="0.15">
      <c r="A718">
        <v>259</v>
      </c>
      <c r="B718" t="s">
        <v>295</v>
      </c>
      <c r="C718" t="s">
        <v>464</v>
      </c>
      <c r="D718">
        <v>17</v>
      </c>
      <c r="E718">
        <v>4532176.2084960938</v>
      </c>
      <c r="F718">
        <v>4532357.7880859375</v>
      </c>
      <c r="G718">
        <v>4532266.9982910156</v>
      </c>
      <c r="H718">
        <v>4154095.7086439012</v>
      </c>
      <c r="I718">
        <v>2.7061327785633696E-7</v>
      </c>
      <c r="J718">
        <v>6.0743232883304821E-5</v>
      </c>
      <c r="K718">
        <v>1.2723108366437541</v>
      </c>
      <c r="L718">
        <v>-8.3439764204031164</v>
      </c>
      <c r="M718">
        <v>0</v>
      </c>
    </row>
    <row r="719" spans="1:13" x14ac:dyDescent="0.15">
      <c r="A719">
        <v>259</v>
      </c>
      <c r="B719" t="s">
        <v>295</v>
      </c>
      <c r="C719" t="s">
        <v>464</v>
      </c>
      <c r="D719">
        <v>18</v>
      </c>
      <c r="E719">
        <v>4532266.9982910156</v>
      </c>
      <c r="F719">
        <v>4532357.7880859375</v>
      </c>
      <c r="G719">
        <v>4532312.3931884766</v>
      </c>
      <c r="H719">
        <v>4366046.3574971287</v>
      </c>
      <c r="I719">
        <v>2.843659738796254E-7</v>
      </c>
      <c r="J719">
        <v>6.075698557932811E-5</v>
      </c>
      <c r="K719">
        <v>1.3372267958038933</v>
      </c>
      <c r="L719">
        <v>-3.6684593043768534</v>
      </c>
      <c r="M719">
        <v>0</v>
      </c>
    </row>
    <row r="720" spans="1:13" x14ac:dyDescent="0.15">
      <c r="A720">
        <v>259</v>
      </c>
      <c r="B720" t="s">
        <v>295</v>
      </c>
      <c r="C720" t="s">
        <v>464</v>
      </c>
      <c r="D720">
        <v>19</v>
      </c>
      <c r="E720">
        <v>4532312.3931884766</v>
      </c>
      <c r="F720">
        <v>4532357.7880859375</v>
      </c>
      <c r="G720">
        <v>4532335.090637207</v>
      </c>
      <c r="H720">
        <v>4472029.6047493527</v>
      </c>
      <c r="I720">
        <v>2.9124087188027009E-7</v>
      </c>
      <c r="J720">
        <v>6.0763860477328755E-5</v>
      </c>
      <c r="K720">
        <v>1.369687201976316</v>
      </c>
      <c r="L720">
        <v>-1.3305610613926591</v>
      </c>
      <c r="M720">
        <v>0</v>
      </c>
    </row>
    <row r="721" spans="1:15" x14ac:dyDescent="0.15">
      <c r="A721">
        <v>259</v>
      </c>
      <c r="B721" t="s">
        <v>295</v>
      </c>
      <c r="C721" t="s">
        <v>464</v>
      </c>
      <c r="D721">
        <v>20</v>
      </c>
      <c r="E721">
        <v>4532335.090637207</v>
      </c>
      <c r="F721">
        <v>4532357.7880859375</v>
      </c>
      <c r="G721">
        <v>4532346.4393615723</v>
      </c>
      <c r="H721">
        <v>4525033.3441837877</v>
      </c>
      <c r="I721">
        <v>2.9467861606937904E-7</v>
      </c>
      <c r="J721">
        <v>6.0767298221517864E-5</v>
      </c>
      <c r="K721">
        <v>1.3859211158759763</v>
      </c>
      <c r="L721">
        <v>-0.16135340216434751</v>
      </c>
      <c r="M721">
        <v>0</v>
      </c>
    </row>
    <row r="722" spans="1:15" x14ac:dyDescent="0.15">
      <c r="A722">
        <v>259</v>
      </c>
      <c r="B722" t="s">
        <v>295</v>
      </c>
      <c r="C722" t="s">
        <v>465</v>
      </c>
      <c r="D722">
        <v>20</v>
      </c>
      <c r="E722">
        <v>4532335.090637207</v>
      </c>
      <c r="F722">
        <v>4532357.7880859375</v>
      </c>
      <c r="G722">
        <v>4532346.4393615723</v>
      </c>
      <c r="H722">
        <v>4525033.3441837877</v>
      </c>
      <c r="I722">
        <v>2.9467861606937904E-7</v>
      </c>
      <c r="J722">
        <v>6.0767298221517864E-5</v>
      </c>
      <c r="K722">
        <v>1.3859211158759763</v>
      </c>
      <c r="L722">
        <v>-0.16135340216434751</v>
      </c>
      <c r="M722">
        <v>0</v>
      </c>
      <c r="N722" t="s">
        <v>466</v>
      </c>
      <c r="O722" t="s">
        <v>467</v>
      </c>
    </row>
    <row r="723" spans="1:15" x14ac:dyDescent="0.15">
      <c r="A723">
        <v>260</v>
      </c>
      <c r="B723" t="s">
        <v>73</v>
      </c>
      <c r="C723" t="s">
        <v>461</v>
      </c>
      <c r="D723">
        <v>0</v>
      </c>
      <c r="E723">
        <v>100000</v>
      </c>
      <c r="F723">
        <v>12000000</v>
      </c>
      <c r="G723">
        <v>100000</v>
      </c>
      <c r="H723">
        <v>-8834.459085073755</v>
      </c>
      <c r="I723">
        <v>-2.6272354155464397E-5</v>
      </c>
      <c r="J723">
        <v>-1.3539154785266258E-5</v>
      </c>
      <c r="K723">
        <v>-1.3209950204744717E-3</v>
      </c>
      <c r="L723">
        <v>-108.83445908507376</v>
      </c>
      <c r="M723">
        <v>0</v>
      </c>
      <c r="O723" t="s">
        <v>462</v>
      </c>
    </row>
    <row r="724" spans="1:15" x14ac:dyDescent="0.15">
      <c r="A724">
        <v>260</v>
      </c>
      <c r="B724" t="s">
        <v>73</v>
      </c>
      <c r="C724" t="s">
        <v>461</v>
      </c>
      <c r="D724">
        <v>0</v>
      </c>
      <c r="E724">
        <v>100000</v>
      </c>
      <c r="F724">
        <v>12000000</v>
      </c>
      <c r="G724">
        <v>12000000</v>
      </c>
      <c r="H724">
        <v>2562080670603.2617</v>
      </c>
      <c r="I724">
        <v>2.950831924934982E-3</v>
      </c>
      <c r="J724">
        <v>2.9635651243051803E-3</v>
      </c>
      <c r="K724">
        <v>383101.64497100597</v>
      </c>
      <c r="L724">
        <v>21350572.255027182</v>
      </c>
      <c r="M724">
        <v>0</v>
      </c>
      <c r="O724" t="s">
        <v>463</v>
      </c>
    </row>
    <row r="725" spans="1:15" x14ac:dyDescent="0.15">
      <c r="A725">
        <v>260</v>
      </c>
      <c r="B725" t="s">
        <v>73</v>
      </c>
      <c r="C725" t="s">
        <v>464</v>
      </c>
      <c r="D725">
        <v>1</v>
      </c>
      <c r="E725">
        <v>100000</v>
      </c>
      <c r="F725">
        <v>12000000</v>
      </c>
      <c r="G725">
        <v>6050000</v>
      </c>
      <c r="H725">
        <v>-54760.669555053188</v>
      </c>
      <c r="I725">
        <v>-1.5278326099670445E-5</v>
      </c>
      <c r="J725">
        <v>-2.5451267294723042E-6</v>
      </c>
      <c r="K725">
        <v>-8.1882287419603062E-3</v>
      </c>
      <c r="L725">
        <v>-100.90513503396782</v>
      </c>
      <c r="M725">
        <v>0</v>
      </c>
    </row>
    <row r="726" spans="1:15" x14ac:dyDescent="0.15">
      <c r="A726">
        <v>260</v>
      </c>
      <c r="B726" t="s">
        <v>73</v>
      </c>
      <c r="C726" t="s">
        <v>464</v>
      </c>
      <c r="D726">
        <v>2</v>
      </c>
      <c r="E726">
        <v>6050000</v>
      </c>
      <c r="F726">
        <v>12000000</v>
      </c>
      <c r="G726">
        <v>9025000</v>
      </c>
      <c r="H726">
        <v>-1088220.6202003122</v>
      </c>
      <c r="I726">
        <v>-8.5809966651304166E-6</v>
      </c>
      <c r="J726">
        <v>4.1522027050677235E-6</v>
      </c>
      <c r="K726">
        <v>-0.16271896294036123</v>
      </c>
      <c r="L726">
        <v>-112.05784620720567</v>
      </c>
      <c r="M726">
        <v>0</v>
      </c>
    </row>
    <row r="727" spans="1:15" x14ac:dyDescent="0.15">
      <c r="A727">
        <v>260</v>
      </c>
      <c r="B727" t="s">
        <v>73</v>
      </c>
      <c r="C727" t="s">
        <v>464</v>
      </c>
      <c r="D727">
        <v>3</v>
      </c>
      <c r="E727">
        <v>9025000</v>
      </c>
      <c r="F727">
        <v>12000000</v>
      </c>
      <c r="G727">
        <v>10512500</v>
      </c>
      <c r="H727">
        <v>11791044470.477207</v>
      </c>
      <c r="I727">
        <v>4.822086328745912E-5</v>
      </c>
      <c r="J727">
        <v>6.095406265765726E-5</v>
      </c>
      <c r="K727">
        <v>1763.0859888195869</v>
      </c>
      <c r="L727">
        <v>112062.13527207807</v>
      </c>
      <c r="M727">
        <v>0</v>
      </c>
    </row>
    <row r="728" spans="1:15" x14ac:dyDescent="0.15">
      <c r="A728">
        <v>260</v>
      </c>
      <c r="B728" t="s">
        <v>73</v>
      </c>
      <c r="C728" t="s">
        <v>464</v>
      </c>
      <c r="D728">
        <v>4</v>
      </c>
      <c r="E728">
        <v>9025000</v>
      </c>
      <c r="F728">
        <v>10512500</v>
      </c>
      <c r="G728">
        <v>9768750</v>
      </c>
      <c r="H728">
        <v>-90711795.741474822</v>
      </c>
      <c r="I728">
        <v>-2.5836718534258481E-6</v>
      </c>
      <c r="J728">
        <v>1.0149527516772293E-5</v>
      </c>
      <c r="K728">
        <v>-13.563912551844165</v>
      </c>
      <c r="L728">
        <v>-1028.5916390682003</v>
      </c>
      <c r="M728">
        <v>0</v>
      </c>
    </row>
    <row r="729" spans="1:15" x14ac:dyDescent="0.15">
      <c r="A729">
        <v>260</v>
      </c>
      <c r="B729" t="s">
        <v>73</v>
      </c>
      <c r="C729" t="s">
        <v>464</v>
      </c>
      <c r="D729">
        <v>5</v>
      </c>
      <c r="E729">
        <v>9768750</v>
      </c>
      <c r="F729">
        <v>10512500</v>
      </c>
      <c r="G729">
        <v>10140625</v>
      </c>
      <c r="H729">
        <v>1648905280.6978557</v>
      </c>
      <c r="I729">
        <v>1.0935104995418192E-5</v>
      </c>
      <c r="J729">
        <v>2.3668304365616333E-5</v>
      </c>
      <c r="K729">
        <v>246.55676641438015</v>
      </c>
      <c r="L729">
        <v>16160.391057729239</v>
      </c>
      <c r="M729">
        <v>0</v>
      </c>
    </row>
    <row r="730" spans="1:15" x14ac:dyDescent="0.15">
      <c r="A730">
        <v>260</v>
      </c>
      <c r="B730" t="s">
        <v>73</v>
      </c>
      <c r="C730" t="s">
        <v>464</v>
      </c>
      <c r="D730">
        <v>6</v>
      </c>
      <c r="E730">
        <v>9768750</v>
      </c>
      <c r="F730">
        <v>10140625</v>
      </c>
      <c r="G730">
        <v>9954687.5</v>
      </c>
      <c r="H730">
        <v>190118149.68892553</v>
      </c>
      <c r="I730">
        <v>2.0644940296611462E-6</v>
      </c>
      <c r="J730">
        <v>1.4797693399859287E-5</v>
      </c>
      <c r="K730">
        <v>28.427901088501578</v>
      </c>
      <c r="L730">
        <v>1809.8354387209597</v>
      </c>
      <c r="M730">
        <v>0</v>
      </c>
    </row>
    <row r="731" spans="1:15" x14ac:dyDescent="0.15">
      <c r="A731">
        <v>260</v>
      </c>
      <c r="B731" t="s">
        <v>73</v>
      </c>
      <c r="C731" t="s">
        <v>464</v>
      </c>
      <c r="D731">
        <v>7</v>
      </c>
      <c r="E731">
        <v>9768750</v>
      </c>
      <c r="F731">
        <v>9954687.5</v>
      </c>
      <c r="G731">
        <v>9861718.75</v>
      </c>
      <c r="H731">
        <v>-56210471.62047673</v>
      </c>
      <c r="I731">
        <v>-1.023063835199986E-6</v>
      </c>
      <c r="J731">
        <v>1.1710135534998155E-5</v>
      </c>
      <c r="K731">
        <v>-8.4050140924447394</v>
      </c>
      <c r="L731">
        <v>-669.98656162726934</v>
      </c>
      <c r="M731">
        <v>0</v>
      </c>
    </row>
    <row r="732" spans="1:15" x14ac:dyDescent="0.15">
      <c r="A732">
        <v>260</v>
      </c>
      <c r="B732" t="s">
        <v>73</v>
      </c>
      <c r="C732" t="s">
        <v>464</v>
      </c>
      <c r="D732">
        <v>8</v>
      </c>
      <c r="E732">
        <v>9861718.75</v>
      </c>
      <c r="F732">
        <v>9954687.5</v>
      </c>
      <c r="G732">
        <v>9908203.125</v>
      </c>
      <c r="H732">
        <v>31286057.355291184</v>
      </c>
      <c r="I732">
        <v>4.2956223600134075E-7</v>
      </c>
      <c r="J732">
        <v>1.3162761606199482E-5</v>
      </c>
      <c r="K732">
        <v>4.678127498088168</v>
      </c>
      <c r="L732">
        <v>215.75914381843262</v>
      </c>
      <c r="M732">
        <v>0</v>
      </c>
    </row>
    <row r="733" spans="1:15" x14ac:dyDescent="0.15">
      <c r="A733">
        <v>260</v>
      </c>
      <c r="B733" t="s">
        <v>73</v>
      </c>
      <c r="C733" t="s">
        <v>464</v>
      </c>
      <c r="D733">
        <v>9</v>
      </c>
      <c r="E733">
        <v>9861718.75</v>
      </c>
      <c r="F733">
        <v>9908203.125</v>
      </c>
      <c r="G733">
        <v>9884960.9375</v>
      </c>
      <c r="H733">
        <v>-20272704.927595671</v>
      </c>
      <c r="I733">
        <v>-3.182001788869716E-7</v>
      </c>
      <c r="J733">
        <v>1.2414999191311169E-5</v>
      </c>
      <c r="K733">
        <v>-3.0313278948960791</v>
      </c>
      <c r="L733">
        <v>-305.08634334292907</v>
      </c>
      <c r="M733">
        <v>0</v>
      </c>
    </row>
    <row r="734" spans="1:15" x14ac:dyDescent="0.15">
      <c r="A734">
        <v>260</v>
      </c>
      <c r="B734" t="s">
        <v>73</v>
      </c>
      <c r="C734" t="s">
        <v>464</v>
      </c>
      <c r="D734">
        <v>10</v>
      </c>
      <c r="E734">
        <v>9884960.9375</v>
      </c>
      <c r="F734">
        <v>9908203.125</v>
      </c>
      <c r="G734">
        <v>9896582.03125</v>
      </c>
      <c r="H734">
        <v>3422131.7723897798</v>
      </c>
      <c r="I734">
        <v>5.0157199162578046E-8</v>
      </c>
      <c r="J734">
        <v>1.2783356569360719E-5</v>
      </c>
      <c r="K734">
        <v>0.51170297889229932</v>
      </c>
      <c r="L734">
        <v>-65.421074047748348</v>
      </c>
      <c r="M734">
        <v>0</v>
      </c>
    </row>
    <row r="735" spans="1:15" x14ac:dyDescent="0.15">
      <c r="A735">
        <v>260</v>
      </c>
      <c r="B735" t="s">
        <v>73</v>
      </c>
      <c r="C735" t="s">
        <v>464</v>
      </c>
      <c r="D735">
        <v>11</v>
      </c>
      <c r="E735">
        <v>9896582.03125</v>
      </c>
      <c r="F735">
        <v>9908203.125</v>
      </c>
      <c r="G735">
        <v>9902392.578125</v>
      </c>
      <c r="H735">
        <v>16815999.55945174</v>
      </c>
      <c r="I735">
        <v>2.3845870087119459E-7</v>
      </c>
      <c r="J735">
        <v>1.2971658071069335E-5</v>
      </c>
      <c r="K735">
        <v>2.5144552109441576</v>
      </c>
      <c r="L735">
        <v>69.81754082946911</v>
      </c>
      <c r="M735">
        <v>0</v>
      </c>
    </row>
    <row r="736" spans="1:15" x14ac:dyDescent="0.15">
      <c r="A736">
        <v>260</v>
      </c>
      <c r="B736" t="s">
        <v>73</v>
      </c>
      <c r="C736" t="s">
        <v>464</v>
      </c>
      <c r="D736">
        <v>12</v>
      </c>
      <c r="E736">
        <v>9896582.03125</v>
      </c>
      <c r="F736">
        <v>9902392.578125</v>
      </c>
      <c r="G736">
        <v>9899487.3046875</v>
      </c>
      <c r="H736">
        <v>9986645.6126774382</v>
      </c>
      <c r="I736">
        <v>1.4395966761152998E-7</v>
      </c>
      <c r="J736">
        <v>1.2877159037809671E-5</v>
      </c>
      <c r="K736">
        <v>1.4932786488172398</v>
      </c>
      <c r="L736">
        <v>0.88043254471034993</v>
      </c>
      <c r="M736">
        <v>0</v>
      </c>
    </row>
    <row r="737" spans="1:15" x14ac:dyDescent="0.15">
      <c r="A737">
        <v>260</v>
      </c>
      <c r="B737" t="s">
        <v>73</v>
      </c>
      <c r="C737" t="s">
        <v>465</v>
      </c>
      <c r="D737">
        <v>12</v>
      </c>
      <c r="E737">
        <v>9896582.03125</v>
      </c>
      <c r="F737">
        <v>9902392.578125</v>
      </c>
      <c r="G737">
        <v>9899487.3046875</v>
      </c>
      <c r="H737">
        <v>9986645.6126774382</v>
      </c>
      <c r="I737">
        <v>1.4395966761152998E-7</v>
      </c>
      <c r="J737">
        <v>1.2877159037809671E-5</v>
      </c>
      <c r="K737">
        <v>1.4932786488172398</v>
      </c>
      <c r="L737">
        <v>0.88043254471034993</v>
      </c>
      <c r="M737">
        <v>0</v>
      </c>
      <c r="N737" t="s">
        <v>466</v>
      </c>
      <c r="O737" t="s">
        <v>467</v>
      </c>
    </row>
    <row r="738" spans="1:15" x14ac:dyDescent="0.15">
      <c r="A738">
        <v>261</v>
      </c>
      <c r="B738" t="s">
        <v>296</v>
      </c>
      <c r="C738" t="s">
        <v>461</v>
      </c>
      <c r="D738">
        <v>0</v>
      </c>
      <c r="E738">
        <v>100000</v>
      </c>
      <c r="F738">
        <v>12000000</v>
      </c>
      <c r="G738">
        <v>100000</v>
      </c>
      <c r="H738">
        <v>15669.93131657177</v>
      </c>
      <c r="I738">
        <v>-7.4957069787059941E-5</v>
      </c>
      <c r="J738">
        <v>-2.1517136305753855E-5</v>
      </c>
      <c r="K738">
        <v>4.6641720578560995E-3</v>
      </c>
      <c r="L738">
        <v>-84.330068683428223</v>
      </c>
      <c r="M738">
        <v>0</v>
      </c>
      <c r="O738" t="s">
        <v>462</v>
      </c>
    </row>
    <row r="739" spans="1:15" x14ac:dyDescent="0.15">
      <c r="A739">
        <v>261</v>
      </c>
      <c r="B739" t="s">
        <v>296</v>
      </c>
      <c r="C739" t="s">
        <v>461</v>
      </c>
      <c r="D739">
        <v>0</v>
      </c>
      <c r="E739">
        <v>100000</v>
      </c>
      <c r="F739">
        <v>12000000</v>
      </c>
      <c r="G739">
        <v>12000000</v>
      </c>
      <c r="H739">
        <v>4.3653571595167104E+17</v>
      </c>
      <c r="I739">
        <v>536.87086856006647</v>
      </c>
      <c r="J739">
        <v>536.87092199999995</v>
      </c>
      <c r="K739">
        <v>129935329483.20793</v>
      </c>
      <c r="L739">
        <v>3637797632830.5918</v>
      </c>
      <c r="M739">
        <v>5</v>
      </c>
      <c r="O739" t="s">
        <v>463</v>
      </c>
    </row>
    <row r="740" spans="1:15" x14ac:dyDescent="0.15">
      <c r="A740">
        <v>261</v>
      </c>
      <c r="B740" t="s">
        <v>296</v>
      </c>
      <c r="C740" t="s">
        <v>464</v>
      </c>
      <c r="D740">
        <v>1</v>
      </c>
      <c r="E740">
        <v>100000</v>
      </c>
      <c r="F740">
        <v>12000000</v>
      </c>
      <c r="G740">
        <v>6050000</v>
      </c>
      <c r="H740">
        <v>3402073757047.7432</v>
      </c>
      <c r="I740">
        <v>2.3332874617738152E-2</v>
      </c>
      <c r="J740">
        <v>2.3386314551219457E-2</v>
      </c>
      <c r="K740">
        <v>1012630.9449491024</v>
      </c>
      <c r="L740">
        <v>56232524.08343377</v>
      </c>
      <c r="M740">
        <v>0</v>
      </c>
    </row>
    <row r="741" spans="1:15" x14ac:dyDescent="0.15">
      <c r="A741">
        <v>261</v>
      </c>
      <c r="B741" t="s">
        <v>296</v>
      </c>
      <c r="C741" t="s">
        <v>464</v>
      </c>
      <c r="D741">
        <v>2</v>
      </c>
      <c r="E741">
        <v>100000</v>
      </c>
      <c r="F741">
        <v>6050000</v>
      </c>
      <c r="G741">
        <v>3075000</v>
      </c>
      <c r="H741">
        <v>-55836.171190855282</v>
      </c>
      <c r="I741">
        <v>-5.4491649614792457E-5</v>
      </c>
      <c r="J741">
        <v>-1.0517161334863667E-6</v>
      </c>
      <c r="K741">
        <v>-1.6619696935789317E-2</v>
      </c>
      <c r="L741">
        <v>-101.81581044523107</v>
      </c>
      <c r="M741">
        <v>0</v>
      </c>
    </row>
    <row r="742" spans="1:15" x14ac:dyDescent="0.15">
      <c r="A742">
        <v>261</v>
      </c>
      <c r="B742" t="s">
        <v>296</v>
      </c>
      <c r="C742" t="s">
        <v>464</v>
      </c>
      <c r="D742">
        <v>3</v>
      </c>
      <c r="E742">
        <v>3075000</v>
      </c>
      <c r="F742">
        <v>6050000</v>
      </c>
      <c r="G742">
        <v>4562500</v>
      </c>
      <c r="H742">
        <v>-1986319.9190427491</v>
      </c>
      <c r="I742">
        <v>-3.2094862734154795E-5</v>
      </c>
      <c r="J742">
        <v>2.1345070747151291E-5</v>
      </c>
      <c r="K742">
        <v>-0.59123027900986691</v>
      </c>
      <c r="L742">
        <v>-143.53577904751231</v>
      </c>
      <c r="M742">
        <v>0</v>
      </c>
    </row>
    <row r="743" spans="1:15" x14ac:dyDescent="0.15">
      <c r="A743">
        <v>261</v>
      </c>
      <c r="B743" t="s">
        <v>296</v>
      </c>
      <c r="C743" t="s">
        <v>464</v>
      </c>
      <c r="D743">
        <v>4</v>
      </c>
      <c r="E743">
        <v>4562500</v>
      </c>
      <c r="F743">
        <v>6050000</v>
      </c>
      <c r="G743">
        <v>5306250</v>
      </c>
      <c r="H743">
        <v>31964838132.327816</v>
      </c>
      <c r="I743">
        <v>5.7848457740613168E-4</v>
      </c>
      <c r="J743">
        <v>6.3192451088743779E-4</v>
      </c>
      <c r="K743">
        <v>9514.3687511269818</v>
      </c>
      <c r="L743">
        <v>602299.77634540049</v>
      </c>
      <c r="M743">
        <v>0</v>
      </c>
    </row>
    <row r="744" spans="1:15" x14ac:dyDescent="0.15">
      <c r="A744">
        <v>261</v>
      </c>
      <c r="B744" t="s">
        <v>296</v>
      </c>
      <c r="C744" t="s">
        <v>464</v>
      </c>
      <c r="D744">
        <v>5</v>
      </c>
      <c r="E744">
        <v>4562500</v>
      </c>
      <c r="F744">
        <v>5306250</v>
      </c>
      <c r="G744">
        <v>4934375</v>
      </c>
      <c r="H744">
        <v>1603087598.2232311</v>
      </c>
      <c r="I744">
        <v>5.7129315989722643E-5</v>
      </c>
      <c r="J744">
        <v>1.1056924947102873E-4</v>
      </c>
      <c r="K744">
        <v>477.16076292057778</v>
      </c>
      <c r="L744">
        <v>32388.159052022416</v>
      </c>
      <c r="M744">
        <v>0</v>
      </c>
    </row>
    <row r="745" spans="1:15" x14ac:dyDescent="0.15">
      <c r="A745">
        <v>261</v>
      </c>
      <c r="B745" t="s">
        <v>296</v>
      </c>
      <c r="C745" t="s">
        <v>464</v>
      </c>
      <c r="D745">
        <v>6</v>
      </c>
      <c r="E745">
        <v>4562500</v>
      </c>
      <c r="F745">
        <v>4934375</v>
      </c>
      <c r="G745">
        <v>4748437.5</v>
      </c>
      <c r="H745">
        <v>-96145586.014901102</v>
      </c>
      <c r="I745">
        <v>-6.5634059003377327E-6</v>
      </c>
      <c r="J745">
        <v>4.6876527580968357E-5</v>
      </c>
      <c r="K745">
        <v>-28.61783799286048</v>
      </c>
      <c r="L745">
        <v>-2124.7836475661961</v>
      </c>
      <c r="M745">
        <v>0</v>
      </c>
    </row>
    <row r="746" spans="1:15" x14ac:dyDescent="0.15">
      <c r="A746">
        <v>261</v>
      </c>
      <c r="B746" t="s">
        <v>296</v>
      </c>
      <c r="C746" t="s">
        <v>464</v>
      </c>
      <c r="D746">
        <v>7</v>
      </c>
      <c r="E746">
        <v>4748437.5</v>
      </c>
      <c r="F746">
        <v>4934375</v>
      </c>
      <c r="G746">
        <v>4841406.25</v>
      </c>
      <c r="H746">
        <v>406621077.75528318</v>
      </c>
      <c r="I746">
        <v>1.847725547266366E-5</v>
      </c>
      <c r="J746">
        <v>7.1917188953969749E-5</v>
      </c>
      <c r="K746">
        <v>121.03120496742847</v>
      </c>
      <c r="L746">
        <v>8298.8216802769475</v>
      </c>
      <c r="M746">
        <v>0</v>
      </c>
    </row>
    <row r="747" spans="1:15" x14ac:dyDescent="0.15">
      <c r="A747">
        <v>261</v>
      </c>
      <c r="B747" t="s">
        <v>296</v>
      </c>
      <c r="C747" t="s">
        <v>464</v>
      </c>
      <c r="D747">
        <v>8</v>
      </c>
      <c r="E747">
        <v>4748437.5</v>
      </c>
      <c r="F747">
        <v>4841406.25</v>
      </c>
      <c r="G747">
        <v>4794921.875</v>
      </c>
      <c r="H747">
        <v>87053056.449164957</v>
      </c>
      <c r="I747">
        <v>4.6076322320321133E-6</v>
      </c>
      <c r="J747">
        <v>5.8047565713338203E-5</v>
      </c>
      <c r="K747">
        <v>25.911436702454878</v>
      </c>
      <c r="L747">
        <v>1715.5260652534605</v>
      </c>
      <c r="M747">
        <v>0</v>
      </c>
    </row>
    <row r="748" spans="1:15" x14ac:dyDescent="0.15">
      <c r="A748">
        <v>261</v>
      </c>
      <c r="B748" t="s">
        <v>296</v>
      </c>
      <c r="C748" t="s">
        <v>464</v>
      </c>
      <c r="D748">
        <v>9</v>
      </c>
      <c r="E748">
        <v>4748437.5</v>
      </c>
      <c r="F748">
        <v>4794921.875</v>
      </c>
      <c r="G748">
        <v>4771679.6875</v>
      </c>
      <c r="H748">
        <v>-22104711.375699528</v>
      </c>
      <c r="I748">
        <v>-1.2796867712089048E-6</v>
      </c>
      <c r="J748">
        <v>5.2160246710097185E-5</v>
      </c>
      <c r="K748">
        <v>-6.5794913240288277</v>
      </c>
      <c r="L748">
        <v>-563.24801376767869</v>
      </c>
      <c r="M748">
        <v>0</v>
      </c>
    </row>
    <row r="749" spans="1:15" x14ac:dyDescent="0.15">
      <c r="A749">
        <v>261</v>
      </c>
      <c r="B749" t="s">
        <v>296</v>
      </c>
      <c r="C749" t="s">
        <v>464</v>
      </c>
      <c r="D749">
        <v>10</v>
      </c>
      <c r="E749">
        <v>4771679.6875</v>
      </c>
      <c r="F749">
        <v>4794921.875</v>
      </c>
      <c r="G749">
        <v>4783300.78125</v>
      </c>
      <c r="H749">
        <v>28661553.384992797</v>
      </c>
      <c r="I749">
        <v>1.5843422764778687E-6</v>
      </c>
      <c r="J749">
        <v>5.5024275757783958E-5</v>
      </c>
      <c r="K749">
        <v>8.5311424621024443</v>
      </c>
      <c r="L749">
        <v>499.20031575983796</v>
      </c>
      <c r="M749">
        <v>0</v>
      </c>
    </row>
    <row r="750" spans="1:15" x14ac:dyDescent="0.15">
      <c r="A750">
        <v>261</v>
      </c>
      <c r="B750" t="s">
        <v>296</v>
      </c>
      <c r="C750" t="s">
        <v>464</v>
      </c>
      <c r="D750">
        <v>11</v>
      </c>
      <c r="E750">
        <v>4771679.6875</v>
      </c>
      <c r="F750">
        <v>4783300.78125</v>
      </c>
      <c r="G750">
        <v>4777490.234375</v>
      </c>
      <c r="H750">
        <v>2351223.9326748364</v>
      </c>
      <c r="I750">
        <v>1.3295786012085579E-7</v>
      </c>
      <c r="J750">
        <v>5.3572891341426945E-5</v>
      </c>
      <c r="K750">
        <v>0.69984435457906835</v>
      </c>
      <c r="L750">
        <v>-50.785374384288453</v>
      </c>
      <c r="M750">
        <v>0</v>
      </c>
    </row>
    <row r="751" spans="1:15" x14ac:dyDescent="0.15">
      <c r="A751">
        <v>261</v>
      </c>
      <c r="B751" t="s">
        <v>296</v>
      </c>
      <c r="C751" t="s">
        <v>464</v>
      </c>
      <c r="D751">
        <v>12</v>
      </c>
      <c r="E751">
        <v>4777490.234375</v>
      </c>
      <c r="F751">
        <v>4783300.78125</v>
      </c>
      <c r="G751">
        <v>4780395.5078125</v>
      </c>
      <c r="H751">
        <v>15271450.184770936</v>
      </c>
      <c r="I751">
        <v>8.5373991136153019E-7</v>
      </c>
      <c r="J751">
        <v>5.4293673392667619E-5</v>
      </c>
      <c r="K751">
        <v>4.545563716633648</v>
      </c>
      <c r="L751">
        <v>219.45997271173746</v>
      </c>
      <c r="M751">
        <v>0</v>
      </c>
    </row>
    <row r="752" spans="1:15" x14ac:dyDescent="0.15">
      <c r="A752">
        <v>261</v>
      </c>
      <c r="B752" t="s">
        <v>296</v>
      </c>
      <c r="C752" t="s">
        <v>464</v>
      </c>
      <c r="D752">
        <v>13</v>
      </c>
      <c r="E752">
        <v>4777490.234375</v>
      </c>
      <c r="F752">
        <v>4780395.5078125</v>
      </c>
      <c r="G752">
        <v>4778942.87109375</v>
      </c>
      <c r="H752">
        <v>8753092.0177083984</v>
      </c>
      <c r="I752">
        <v>4.921348122555782E-7</v>
      </c>
      <c r="J752">
        <v>5.3932068293561667E-5</v>
      </c>
      <c r="K752">
        <v>2.6053673359540017</v>
      </c>
      <c r="L752">
        <v>83.15958683358545</v>
      </c>
      <c r="M752">
        <v>0</v>
      </c>
    </row>
    <row r="753" spans="1:15" x14ac:dyDescent="0.15">
      <c r="A753">
        <v>261</v>
      </c>
      <c r="B753" t="s">
        <v>296</v>
      </c>
      <c r="C753" t="s">
        <v>464</v>
      </c>
      <c r="D753">
        <v>14</v>
      </c>
      <c r="E753">
        <v>4777490.234375</v>
      </c>
      <c r="F753">
        <v>4778942.87109375</v>
      </c>
      <c r="G753">
        <v>4778216.552734375</v>
      </c>
      <c r="H753">
        <v>5537665.7646355126</v>
      </c>
      <c r="I753">
        <v>3.12245002509457E-7</v>
      </c>
      <c r="J753">
        <v>5.3752178483815546E-5</v>
      </c>
      <c r="K753">
        <v>1.6482922230708292</v>
      </c>
      <c r="L753">
        <v>15.893988970979901</v>
      </c>
      <c r="M753">
        <v>0</v>
      </c>
    </row>
    <row r="754" spans="1:15" x14ac:dyDescent="0.15">
      <c r="A754">
        <v>261</v>
      </c>
      <c r="B754" t="s">
        <v>296</v>
      </c>
      <c r="C754" t="s">
        <v>464</v>
      </c>
      <c r="D754">
        <v>15</v>
      </c>
      <c r="E754">
        <v>4777490.234375</v>
      </c>
      <c r="F754">
        <v>4778216.552734375</v>
      </c>
      <c r="G754">
        <v>4777853.3935546875</v>
      </c>
      <c r="H754">
        <v>3940858.5021902304</v>
      </c>
      <c r="I754">
        <v>2.2252795576107844E-7</v>
      </c>
      <c r="J754">
        <v>5.3662461437067168E-5</v>
      </c>
      <c r="K754">
        <v>1.1730008089085631</v>
      </c>
      <c r="L754">
        <v>-17.518220473101188</v>
      </c>
      <c r="M754">
        <v>0</v>
      </c>
    </row>
    <row r="755" spans="1:15" x14ac:dyDescent="0.15">
      <c r="A755">
        <v>261</v>
      </c>
      <c r="B755" t="s">
        <v>296</v>
      </c>
      <c r="C755" t="s">
        <v>464</v>
      </c>
      <c r="D755">
        <v>16</v>
      </c>
      <c r="E755">
        <v>4777853.3935546875</v>
      </c>
      <c r="F755">
        <v>4778216.552734375</v>
      </c>
      <c r="G755">
        <v>4778034.9731445313</v>
      </c>
      <c r="H755">
        <v>4738354.5803796099</v>
      </c>
      <c r="I755">
        <v>2.6736751801089993E-7</v>
      </c>
      <c r="J755">
        <v>5.3707300999316989E-5</v>
      </c>
      <c r="K755">
        <v>1.4103763818446737</v>
      </c>
      <c r="L755">
        <v>-0.83047514277206613</v>
      </c>
      <c r="M755">
        <v>0</v>
      </c>
    </row>
    <row r="756" spans="1:15" x14ac:dyDescent="0.15">
      <c r="A756">
        <v>261</v>
      </c>
      <c r="B756" t="s">
        <v>296</v>
      </c>
      <c r="C756" t="s">
        <v>465</v>
      </c>
      <c r="D756">
        <v>16</v>
      </c>
      <c r="E756">
        <v>4777853.3935546875</v>
      </c>
      <c r="F756">
        <v>4778216.552734375</v>
      </c>
      <c r="G756">
        <v>4778034.9731445313</v>
      </c>
      <c r="H756">
        <v>4738354.5803796099</v>
      </c>
      <c r="I756">
        <v>2.6736751801089993E-7</v>
      </c>
      <c r="J756">
        <v>5.3707300999316989E-5</v>
      </c>
      <c r="K756">
        <v>1.4103763818446737</v>
      </c>
      <c r="L756">
        <v>-0.83047514277206613</v>
      </c>
      <c r="M756">
        <v>0</v>
      </c>
      <c r="N756" t="s">
        <v>466</v>
      </c>
      <c r="O756" t="s">
        <v>467</v>
      </c>
    </row>
    <row r="757" spans="1:15" x14ac:dyDescent="0.15">
      <c r="A757">
        <v>262</v>
      </c>
      <c r="B757" t="s">
        <v>297</v>
      </c>
      <c r="C757" t="s">
        <v>461</v>
      </c>
      <c r="D757">
        <v>0</v>
      </c>
      <c r="E757">
        <v>100000</v>
      </c>
      <c r="F757">
        <v>12000000</v>
      </c>
      <c r="G757">
        <v>100000</v>
      </c>
      <c r="H757">
        <v>15585.748616300363</v>
      </c>
      <c r="I757">
        <v>-4.5298235304270818E-5</v>
      </c>
      <c r="J757">
        <v>-1.5614127334228499E-5</v>
      </c>
      <c r="K757">
        <v>3.7008670111312305E-3</v>
      </c>
      <c r="L757">
        <v>-84.414251383699636</v>
      </c>
      <c r="M757">
        <v>0</v>
      </c>
      <c r="O757" t="s">
        <v>462</v>
      </c>
    </row>
    <row r="758" spans="1:15" x14ac:dyDescent="0.15">
      <c r="A758">
        <v>262</v>
      </c>
      <c r="B758" t="s">
        <v>297</v>
      </c>
      <c r="C758" t="s">
        <v>461</v>
      </c>
      <c r="D758">
        <v>0</v>
      </c>
      <c r="E758">
        <v>100000</v>
      </c>
      <c r="F758">
        <v>12000000</v>
      </c>
      <c r="G758">
        <v>12000000</v>
      </c>
      <c r="H758">
        <v>1.0898459264982752E+18</v>
      </c>
      <c r="I758">
        <v>536.87089231589209</v>
      </c>
      <c r="J758">
        <v>536.87092200000006</v>
      </c>
      <c r="K758">
        <v>258786083099.97452</v>
      </c>
      <c r="L758">
        <v>9082049387385.627</v>
      </c>
      <c r="M758">
        <v>5</v>
      </c>
      <c r="O758" t="s">
        <v>463</v>
      </c>
    </row>
    <row r="759" spans="1:15" x14ac:dyDescent="0.15">
      <c r="A759">
        <v>262</v>
      </c>
      <c r="B759" t="s">
        <v>297</v>
      </c>
      <c r="C759" t="s">
        <v>464</v>
      </c>
      <c r="D759">
        <v>1</v>
      </c>
      <c r="E759">
        <v>100000</v>
      </c>
      <c r="F759">
        <v>12000000</v>
      </c>
      <c r="G759">
        <v>6050000</v>
      </c>
      <c r="H759">
        <v>-436754.75259431719</v>
      </c>
      <c r="I759">
        <v>-2.198239375721549E-5</v>
      </c>
      <c r="J759">
        <v>7.7017142128268327E-6</v>
      </c>
      <c r="K759">
        <v>-0.10370828476859995</v>
      </c>
      <c r="L759">
        <v>-107.21908681974078</v>
      </c>
      <c r="M759">
        <v>0</v>
      </c>
    </row>
    <row r="760" spans="1:15" x14ac:dyDescent="0.15">
      <c r="A760">
        <v>262</v>
      </c>
      <c r="B760" t="s">
        <v>297</v>
      </c>
      <c r="C760" t="s">
        <v>464</v>
      </c>
      <c r="D760">
        <v>2</v>
      </c>
      <c r="E760">
        <v>6050000</v>
      </c>
      <c r="F760">
        <v>12000000</v>
      </c>
      <c r="G760">
        <v>9025000</v>
      </c>
      <c r="H760">
        <v>20920173643966.883</v>
      </c>
      <c r="I760">
        <v>4.8144580590202643E-2</v>
      </c>
      <c r="J760">
        <v>4.8174264698172688E-2</v>
      </c>
      <c r="K760">
        <v>4967536.8448533425</v>
      </c>
      <c r="L760">
        <v>231802378.04949453</v>
      </c>
      <c r="M760">
        <v>0</v>
      </c>
    </row>
    <row r="761" spans="1:15" x14ac:dyDescent="0.15">
      <c r="A761">
        <v>262</v>
      </c>
      <c r="B761" t="s">
        <v>297</v>
      </c>
      <c r="C761" t="s">
        <v>464</v>
      </c>
      <c r="D761">
        <v>3</v>
      </c>
      <c r="E761">
        <v>6050000</v>
      </c>
      <c r="F761">
        <v>9025000</v>
      </c>
      <c r="G761">
        <v>7537500</v>
      </c>
      <c r="H761">
        <v>37272184438.179749</v>
      </c>
      <c r="I761">
        <v>3.1785557906722936E-4</v>
      </c>
      <c r="J761">
        <v>3.475396870372717E-4</v>
      </c>
      <c r="K761">
        <v>8850.3543343304191</v>
      </c>
      <c r="L761">
        <v>494390.00913007959</v>
      </c>
      <c r="M761">
        <v>0</v>
      </c>
    </row>
    <row r="762" spans="1:15" x14ac:dyDescent="0.15">
      <c r="A762">
        <v>262</v>
      </c>
      <c r="B762" t="s">
        <v>297</v>
      </c>
      <c r="C762" t="s">
        <v>464</v>
      </c>
      <c r="D762">
        <v>4</v>
      </c>
      <c r="E762">
        <v>6050000</v>
      </c>
      <c r="F762">
        <v>7537500</v>
      </c>
      <c r="G762">
        <v>6793750</v>
      </c>
      <c r="H762">
        <v>130708918.86215755</v>
      </c>
      <c r="I762">
        <v>3.4077124645269298E-6</v>
      </c>
      <c r="J762">
        <v>3.3091820434569253E-5</v>
      </c>
      <c r="K762">
        <v>31.037092781778327</v>
      </c>
      <c r="L762">
        <v>1823.9583273178664</v>
      </c>
      <c r="M762">
        <v>0</v>
      </c>
    </row>
    <row r="763" spans="1:15" x14ac:dyDescent="0.15">
      <c r="A763">
        <v>262</v>
      </c>
      <c r="B763" t="s">
        <v>297</v>
      </c>
      <c r="C763" t="s">
        <v>464</v>
      </c>
      <c r="D763">
        <v>5</v>
      </c>
      <c r="E763">
        <v>6050000</v>
      </c>
      <c r="F763">
        <v>6793750</v>
      </c>
      <c r="G763">
        <v>6421875</v>
      </c>
      <c r="H763">
        <v>-4824848.1776112365</v>
      </c>
      <c r="I763">
        <v>-1.6322884782424502E-5</v>
      </c>
      <c r="J763">
        <v>1.3361223187617819E-5</v>
      </c>
      <c r="K763">
        <v>-1.1456697970582708</v>
      </c>
      <c r="L763">
        <v>-175.13145580708496</v>
      </c>
      <c r="M763">
        <v>0</v>
      </c>
    </row>
    <row r="764" spans="1:15" x14ac:dyDescent="0.15">
      <c r="A764">
        <v>262</v>
      </c>
      <c r="B764" t="s">
        <v>297</v>
      </c>
      <c r="C764" t="s">
        <v>464</v>
      </c>
      <c r="D764">
        <v>6</v>
      </c>
      <c r="E764">
        <v>6421875</v>
      </c>
      <c r="F764">
        <v>6793750</v>
      </c>
      <c r="G764">
        <v>6607812.5</v>
      </c>
      <c r="H764">
        <v>-70923127.746733844</v>
      </c>
      <c r="I764">
        <v>-1.1120394708139351E-5</v>
      </c>
      <c r="J764">
        <v>1.8563713261902972E-5</v>
      </c>
      <c r="K764">
        <v>-16.84083775928617</v>
      </c>
      <c r="L764">
        <v>-1173.3223399836761</v>
      </c>
      <c r="M764">
        <v>0</v>
      </c>
    </row>
    <row r="765" spans="1:15" x14ac:dyDescent="0.15">
      <c r="A765">
        <v>262</v>
      </c>
      <c r="B765" t="s">
        <v>297</v>
      </c>
      <c r="C765" t="s">
        <v>464</v>
      </c>
      <c r="D765">
        <v>7</v>
      </c>
      <c r="E765">
        <v>6607812.5</v>
      </c>
      <c r="F765">
        <v>6793750</v>
      </c>
      <c r="G765">
        <v>6700781.25</v>
      </c>
      <c r="H765">
        <v>-106181849.23912542</v>
      </c>
      <c r="I765">
        <v>-4.9104432920852686E-6</v>
      </c>
      <c r="J765">
        <v>2.4773664677957054E-5</v>
      </c>
      <c r="K765">
        <v>-25.213091312085353</v>
      </c>
      <c r="L765">
        <v>-1684.6189463224966</v>
      </c>
      <c r="M765">
        <v>0</v>
      </c>
    </row>
    <row r="766" spans="1:15" x14ac:dyDescent="0.15">
      <c r="A766">
        <v>262</v>
      </c>
      <c r="B766" t="s">
        <v>297</v>
      </c>
      <c r="C766" t="s">
        <v>464</v>
      </c>
      <c r="D766">
        <v>8</v>
      </c>
      <c r="E766">
        <v>6700781.25</v>
      </c>
      <c r="F766">
        <v>6793750</v>
      </c>
      <c r="G766">
        <v>6747265.625</v>
      </c>
      <c r="H766">
        <v>-31923057.136096518</v>
      </c>
      <c r="I766">
        <v>-1.0554748827638624E-6</v>
      </c>
      <c r="J766">
        <v>2.862863308727846E-5</v>
      </c>
      <c r="K766">
        <v>-7.580193416303219</v>
      </c>
      <c r="L766">
        <v>-573.12583956699518</v>
      </c>
      <c r="M766">
        <v>0</v>
      </c>
    </row>
    <row r="767" spans="1:15" x14ac:dyDescent="0.15">
      <c r="A767">
        <v>262</v>
      </c>
      <c r="B767" t="s">
        <v>297</v>
      </c>
      <c r="C767" t="s">
        <v>464</v>
      </c>
      <c r="D767">
        <v>9</v>
      </c>
      <c r="E767">
        <v>6747265.625</v>
      </c>
      <c r="F767">
        <v>6793750</v>
      </c>
      <c r="G767">
        <v>6770507.8125</v>
      </c>
      <c r="H767">
        <v>38027916.618109711</v>
      </c>
      <c r="I767">
        <v>1.0943547920370818E-6</v>
      </c>
      <c r="J767">
        <v>3.0778462762079405E-5</v>
      </c>
      <c r="K767">
        <v>9.0298044437097005</v>
      </c>
      <c r="L767">
        <v>461.6700795751384</v>
      </c>
      <c r="M767">
        <v>0</v>
      </c>
    </row>
    <row r="768" spans="1:15" x14ac:dyDescent="0.15">
      <c r="A768">
        <v>262</v>
      </c>
      <c r="B768" t="s">
        <v>297</v>
      </c>
      <c r="C768" t="s">
        <v>464</v>
      </c>
      <c r="D768">
        <v>10</v>
      </c>
      <c r="E768">
        <v>6747265.625</v>
      </c>
      <c r="F768">
        <v>6770507.8125</v>
      </c>
      <c r="G768">
        <v>6758886.71875</v>
      </c>
      <c r="H768">
        <v>-8050.027507378838</v>
      </c>
      <c r="I768">
        <v>-2.4783426766844313E-10</v>
      </c>
      <c r="J768">
        <v>2.9683860135774654E-5</v>
      </c>
      <c r="K768">
        <v>-1.9114950442354272E-3</v>
      </c>
      <c r="L768">
        <v>-100.11910286179301</v>
      </c>
      <c r="M768">
        <v>0</v>
      </c>
    </row>
    <row r="769" spans="1:15" x14ac:dyDescent="0.15">
      <c r="A769">
        <v>262</v>
      </c>
      <c r="B769" t="s">
        <v>297</v>
      </c>
      <c r="C769" t="s">
        <v>464</v>
      </c>
      <c r="D769">
        <v>11</v>
      </c>
      <c r="E769">
        <v>6758886.71875</v>
      </c>
      <c r="F769">
        <v>6770507.8125</v>
      </c>
      <c r="G769">
        <v>6764697.265625</v>
      </c>
      <c r="H769">
        <v>18218668.146045752</v>
      </c>
      <c r="I769">
        <v>5.4203808328703515E-7</v>
      </c>
      <c r="J769">
        <v>3.0226146053329358E-5</v>
      </c>
      <c r="K769">
        <v>4.3260589907071747</v>
      </c>
      <c r="L769">
        <v>169.31978521233208</v>
      </c>
      <c r="M769">
        <v>0</v>
      </c>
    </row>
    <row r="770" spans="1:15" x14ac:dyDescent="0.15">
      <c r="A770">
        <v>262</v>
      </c>
      <c r="B770" t="s">
        <v>297</v>
      </c>
      <c r="C770" t="s">
        <v>464</v>
      </c>
      <c r="D770">
        <v>12</v>
      </c>
      <c r="E770">
        <v>6758886.71875</v>
      </c>
      <c r="F770">
        <v>6764697.265625</v>
      </c>
      <c r="G770">
        <v>6761791.9921875</v>
      </c>
      <c r="H770">
        <v>8910776.0499817021</v>
      </c>
      <c r="I770">
        <v>2.6965193274410728E-7</v>
      </c>
      <c r="J770">
        <v>2.995375990278643E-5</v>
      </c>
      <c r="K770">
        <v>2.1158814978233318</v>
      </c>
      <c r="L770">
        <v>31.781280173615436</v>
      </c>
      <c r="M770">
        <v>0</v>
      </c>
    </row>
    <row r="771" spans="1:15" x14ac:dyDescent="0.15">
      <c r="A771">
        <v>262</v>
      </c>
      <c r="B771" t="s">
        <v>297</v>
      </c>
      <c r="C771" t="s">
        <v>464</v>
      </c>
      <c r="D771">
        <v>13</v>
      </c>
      <c r="E771">
        <v>6758886.71875</v>
      </c>
      <c r="F771">
        <v>6761791.9921875</v>
      </c>
      <c r="G771">
        <v>6760339.35546875</v>
      </c>
      <c r="H771">
        <v>4403109.2192764906</v>
      </c>
      <c r="I771">
        <v>1.3439176354689849E-7</v>
      </c>
      <c r="J771">
        <v>2.9818499733589221E-5</v>
      </c>
      <c r="K771">
        <v>1.0455270425050793</v>
      </c>
      <c r="L771">
        <v>-34.868517869378664</v>
      </c>
      <c r="M771">
        <v>0</v>
      </c>
    </row>
    <row r="772" spans="1:15" x14ac:dyDescent="0.15">
      <c r="A772">
        <v>262</v>
      </c>
      <c r="B772" t="s">
        <v>297</v>
      </c>
      <c r="C772" t="s">
        <v>464</v>
      </c>
      <c r="D772">
        <v>14</v>
      </c>
      <c r="E772">
        <v>6760339.35546875</v>
      </c>
      <c r="F772">
        <v>6761791.9921875</v>
      </c>
      <c r="G772">
        <v>6761065.673828125</v>
      </c>
      <c r="H772">
        <v>6644838.2138214828</v>
      </c>
      <c r="I772">
        <v>2.0194440571535041E-7</v>
      </c>
      <c r="J772">
        <v>2.9886052375757673E-5</v>
      </c>
      <c r="K772">
        <v>1.5778300513660852</v>
      </c>
      <c r="L772">
        <v>-1.7190701231694145</v>
      </c>
      <c r="M772">
        <v>0</v>
      </c>
    </row>
    <row r="773" spans="1:15" x14ac:dyDescent="0.15">
      <c r="A773">
        <v>262</v>
      </c>
      <c r="B773" t="s">
        <v>297</v>
      </c>
      <c r="C773" t="s">
        <v>464</v>
      </c>
      <c r="D773">
        <v>15</v>
      </c>
      <c r="E773">
        <v>6761065.673828125</v>
      </c>
      <c r="F773">
        <v>6761791.9921875</v>
      </c>
      <c r="G773">
        <v>6761428.8330078125</v>
      </c>
      <c r="H773">
        <v>7774857.8410924682</v>
      </c>
      <c r="I773">
        <v>2.3578127240412891E-7</v>
      </c>
      <c r="J773">
        <v>2.9919889242446452E-5</v>
      </c>
      <c r="K773">
        <v>1.8461554596255383</v>
      </c>
      <c r="L773">
        <v>14.98838534153192</v>
      </c>
      <c r="M773">
        <v>0</v>
      </c>
    </row>
    <row r="774" spans="1:15" x14ac:dyDescent="0.15">
      <c r="A774">
        <v>262</v>
      </c>
      <c r="B774" t="s">
        <v>297</v>
      </c>
      <c r="C774" t="s">
        <v>464</v>
      </c>
      <c r="D774">
        <v>16</v>
      </c>
      <c r="E774">
        <v>6761065.673828125</v>
      </c>
      <c r="F774">
        <v>6761428.8330078125</v>
      </c>
      <c r="G774">
        <v>6761247.2534179688</v>
      </c>
      <c r="H774">
        <v>7209132.077799011</v>
      </c>
      <c r="I774">
        <v>2.1885923763370767E-7</v>
      </c>
      <c r="J774">
        <v>2.9902967207676031E-5</v>
      </c>
      <c r="K774">
        <v>1.7118227518254061</v>
      </c>
      <c r="L774">
        <v>6.6242929387714078</v>
      </c>
      <c r="M774">
        <v>0</v>
      </c>
    </row>
    <row r="775" spans="1:15" x14ac:dyDescent="0.15">
      <c r="A775">
        <v>262</v>
      </c>
      <c r="B775" t="s">
        <v>297</v>
      </c>
      <c r="C775" t="s">
        <v>464</v>
      </c>
      <c r="D775">
        <v>17</v>
      </c>
      <c r="E775">
        <v>6761065.673828125</v>
      </c>
      <c r="F775">
        <v>6761247.2534179688</v>
      </c>
      <c r="G775">
        <v>6761156.4636230469</v>
      </c>
      <c r="H775">
        <v>6926837.2893185569</v>
      </c>
      <c r="I775">
        <v>2.1040185281354727E-7</v>
      </c>
      <c r="J775">
        <v>2.989450982285587E-5</v>
      </c>
      <c r="K775">
        <v>1.6447912927776871</v>
      </c>
      <c r="L775">
        <v>2.4504805736551165</v>
      </c>
      <c r="M775">
        <v>0</v>
      </c>
    </row>
    <row r="776" spans="1:15" x14ac:dyDescent="0.15">
      <c r="A776">
        <v>262</v>
      </c>
      <c r="B776" t="s">
        <v>297</v>
      </c>
      <c r="C776" t="s">
        <v>464</v>
      </c>
      <c r="D776">
        <v>18</v>
      </c>
      <c r="E776">
        <v>6761065.673828125</v>
      </c>
      <c r="F776">
        <v>6761156.4636230469</v>
      </c>
      <c r="G776">
        <v>6761111.0687255859</v>
      </c>
      <c r="H776">
        <v>6785749.0246784575</v>
      </c>
      <c r="I776">
        <v>2.0617158479068162E-7</v>
      </c>
      <c r="J776">
        <v>2.9890279554833004E-5</v>
      </c>
      <c r="K776">
        <v>1.6112896036949949</v>
      </c>
      <c r="L776">
        <v>0.36440691037953388</v>
      </c>
      <c r="M776">
        <v>0</v>
      </c>
    </row>
    <row r="777" spans="1:15" x14ac:dyDescent="0.15">
      <c r="A777">
        <v>262</v>
      </c>
      <c r="B777" t="s">
        <v>297</v>
      </c>
      <c r="C777" t="s">
        <v>465</v>
      </c>
      <c r="D777">
        <v>18</v>
      </c>
      <c r="E777">
        <v>6761065.673828125</v>
      </c>
      <c r="F777">
        <v>6761156.4636230469</v>
      </c>
      <c r="G777">
        <v>6761111.0687255859</v>
      </c>
      <c r="H777">
        <v>6785749.0246784575</v>
      </c>
      <c r="I777">
        <v>2.0617158479068162E-7</v>
      </c>
      <c r="J777">
        <v>2.9890279554833004E-5</v>
      </c>
      <c r="K777">
        <v>1.6112896036949949</v>
      </c>
      <c r="L777">
        <v>0.36440691037953388</v>
      </c>
      <c r="M777">
        <v>0</v>
      </c>
      <c r="N777" t="s">
        <v>466</v>
      </c>
      <c r="O777" t="s">
        <v>467</v>
      </c>
    </row>
    <row r="778" spans="1:15" x14ac:dyDescent="0.15">
      <c r="A778">
        <v>263</v>
      </c>
      <c r="B778" t="s">
        <v>298</v>
      </c>
      <c r="C778" t="s">
        <v>461</v>
      </c>
      <c r="D778">
        <v>0</v>
      </c>
      <c r="E778">
        <v>100000</v>
      </c>
      <c r="F778">
        <v>12000000</v>
      </c>
      <c r="G778">
        <v>100000</v>
      </c>
      <c r="H778">
        <v>-38826.025792345543</v>
      </c>
      <c r="I778">
        <v>-3.3293406186890947E-5</v>
      </c>
      <c r="J778">
        <v>-5.3273623186286551E-6</v>
      </c>
      <c r="K778">
        <v>-1.1088097538737431E-2</v>
      </c>
      <c r="L778">
        <v>-138.82602579234555</v>
      </c>
      <c r="M778">
        <v>0</v>
      </c>
      <c r="O778" t="s">
        <v>462</v>
      </c>
    </row>
    <row r="779" spans="1:15" x14ac:dyDescent="0.15">
      <c r="A779">
        <v>263</v>
      </c>
      <c r="B779" t="s">
        <v>298</v>
      </c>
      <c r="C779" t="s">
        <v>461</v>
      </c>
      <c r="D779">
        <v>0</v>
      </c>
      <c r="E779">
        <v>100000</v>
      </c>
      <c r="F779">
        <v>12000000</v>
      </c>
      <c r="G779">
        <v>12000000</v>
      </c>
      <c r="H779">
        <v>1.1958795801142205E+18</v>
      </c>
      <c r="I779">
        <v>536.87089403395623</v>
      </c>
      <c r="J779">
        <v>536.87092200000006</v>
      </c>
      <c r="K779">
        <v>341524252309.77478</v>
      </c>
      <c r="L779">
        <v>9965663167518.5039</v>
      </c>
      <c r="M779">
        <v>5</v>
      </c>
      <c r="O779" t="s">
        <v>463</v>
      </c>
    </row>
    <row r="780" spans="1:15" x14ac:dyDescent="0.15">
      <c r="A780">
        <v>263</v>
      </c>
      <c r="B780" t="s">
        <v>298</v>
      </c>
      <c r="C780" t="s">
        <v>464</v>
      </c>
      <c r="D780">
        <v>1</v>
      </c>
      <c r="E780">
        <v>100000</v>
      </c>
      <c r="F780">
        <v>12000000</v>
      </c>
      <c r="G780">
        <v>6050000</v>
      </c>
      <c r="H780">
        <v>32206462955534.844</v>
      </c>
      <c r="I780">
        <v>6.356190007140658E-2</v>
      </c>
      <c r="J780">
        <v>6.358986611527484E-2</v>
      </c>
      <c r="K780">
        <v>9197655.3185906354</v>
      </c>
      <c r="L780">
        <v>532338130.66999739</v>
      </c>
      <c r="M780">
        <v>0</v>
      </c>
    </row>
    <row r="781" spans="1:15" x14ac:dyDescent="0.15">
      <c r="A781">
        <v>263</v>
      </c>
      <c r="B781" t="s">
        <v>298</v>
      </c>
      <c r="C781" t="s">
        <v>464</v>
      </c>
      <c r="D781">
        <v>2</v>
      </c>
      <c r="E781">
        <v>100000</v>
      </c>
      <c r="F781">
        <v>6050000</v>
      </c>
      <c r="G781">
        <v>3075000</v>
      </c>
      <c r="H781">
        <v>-415145.04109231604</v>
      </c>
      <c r="I781">
        <v>-2.0939256208052052E-5</v>
      </c>
      <c r="J781">
        <v>7.0267876602102437E-6</v>
      </c>
      <c r="K781">
        <v>-0.11855884331231921</v>
      </c>
      <c r="L781">
        <v>-113.50065174283955</v>
      </c>
      <c r="M781">
        <v>0</v>
      </c>
    </row>
    <row r="782" spans="1:15" x14ac:dyDescent="0.15">
      <c r="A782">
        <v>263</v>
      </c>
      <c r="B782" t="s">
        <v>298</v>
      </c>
      <c r="C782" t="s">
        <v>464</v>
      </c>
      <c r="D782">
        <v>3</v>
      </c>
      <c r="E782">
        <v>3075000</v>
      </c>
      <c r="F782">
        <v>6050000</v>
      </c>
      <c r="G782">
        <v>4562500</v>
      </c>
      <c r="H782">
        <v>39332770833.155876</v>
      </c>
      <c r="I782">
        <v>3.0794965408270647E-4</v>
      </c>
      <c r="J782">
        <v>3.3591569795096877E-4</v>
      </c>
      <c r="K782">
        <v>11232.815890026535</v>
      </c>
      <c r="L782">
        <v>861988.12784999178</v>
      </c>
      <c r="M782">
        <v>0</v>
      </c>
    </row>
    <row r="783" spans="1:15" x14ac:dyDescent="0.15">
      <c r="A783">
        <v>263</v>
      </c>
      <c r="B783" t="s">
        <v>298</v>
      </c>
      <c r="C783" t="s">
        <v>464</v>
      </c>
      <c r="D783">
        <v>4</v>
      </c>
      <c r="E783">
        <v>3075000</v>
      </c>
      <c r="F783">
        <v>4562500</v>
      </c>
      <c r="G783">
        <v>3818750</v>
      </c>
      <c r="H783">
        <v>60226015.929902978</v>
      </c>
      <c r="I783">
        <v>1.585386427794185E-6</v>
      </c>
      <c r="J783">
        <v>2.9551430296056479E-5</v>
      </c>
      <c r="K783">
        <v>17.199595512862718</v>
      </c>
      <c r="L783">
        <v>1477.1133467732368</v>
      </c>
      <c r="M783">
        <v>0</v>
      </c>
    </row>
    <row r="784" spans="1:15" x14ac:dyDescent="0.15">
      <c r="A784">
        <v>263</v>
      </c>
      <c r="B784" t="s">
        <v>298</v>
      </c>
      <c r="C784" t="s">
        <v>464</v>
      </c>
      <c r="D784">
        <v>5</v>
      </c>
      <c r="E784">
        <v>3075000</v>
      </c>
      <c r="F784">
        <v>3818750</v>
      </c>
      <c r="G784">
        <v>3446875</v>
      </c>
      <c r="H784">
        <v>-4068145.7324931617</v>
      </c>
      <c r="I784">
        <v>-1.5673968325964779E-5</v>
      </c>
      <c r="J784">
        <v>1.2292075542297517E-5</v>
      </c>
      <c r="K784">
        <v>-1.1617979374179355</v>
      </c>
      <c r="L784">
        <v>-218.02417356281157</v>
      </c>
      <c r="M784">
        <v>0</v>
      </c>
    </row>
    <row r="785" spans="1:15" x14ac:dyDescent="0.15">
      <c r="A785">
        <v>263</v>
      </c>
      <c r="B785" t="s">
        <v>298</v>
      </c>
      <c r="C785" t="s">
        <v>464</v>
      </c>
      <c r="D785">
        <v>6</v>
      </c>
      <c r="E785">
        <v>3446875</v>
      </c>
      <c r="F785">
        <v>3818750</v>
      </c>
      <c r="G785">
        <v>3632812.5</v>
      </c>
      <c r="H785">
        <v>-42800696.825303227</v>
      </c>
      <c r="I785">
        <v>-1.1590009464208337E-5</v>
      </c>
      <c r="J785">
        <v>1.6376034404053957E-5</v>
      </c>
      <c r="K785">
        <v>-12.223200583626401</v>
      </c>
      <c r="L785">
        <v>-1278.1697190621103</v>
      </c>
      <c r="M785">
        <v>0</v>
      </c>
    </row>
    <row r="786" spans="1:15" x14ac:dyDescent="0.15">
      <c r="A786">
        <v>263</v>
      </c>
      <c r="B786" t="s">
        <v>298</v>
      </c>
      <c r="C786" t="s">
        <v>464</v>
      </c>
      <c r="D786">
        <v>7</v>
      </c>
      <c r="E786">
        <v>3632812.5</v>
      </c>
      <c r="F786">
        <v>3818750</v>
      </c>
      <c r="G786">
        <v>3725781.25</v>
      </c>
      <c r="H786">
        <v>-114173652.94900632</v>
      </c>
      <c r="I786">
        <v>-6.0052118196750653E-6</v>
      </c>
      <c r="J786">
        <v>2.1960832048587229E-5</v>
      </c>
      <c r="K786">
        <v>-32.60618552677419</v>
      </c>
      <c r="L786">
        <v>-3164.421802783143</v>
      </c>
      <c r="M786">
        <v>0</v>
      </c>
    </row>
    <row r="787" spans="1:15" x14ac:dyDescent="0.15">
      <c r="A787">
        <v>263</v>
      </c>
      <c r="B787" t="s">
        <v>298</v>
      </c>
      <c r="C787" t="s">
        <v>464</v>
      </c>
      <c r="D787">
        <v>8</v>
      </c>
      <c r="E787">
        <v>3725781.25</v>
      </c>
      <c r="F787">
        <v>3818750</v>
      </c>
      <c r="G787">
        <v>3772265.625</v>
      </c>
      <c r="H787">
        <v>-70352652.671223491</v>
      </c>
      <c r="I787">
        <v>-2.4961558013288876E-6</v>
      </c>
      <c r="J787">
        <v>2.5469888066933406E-5</v>
      </c>
      <c r="K787">
        <v>-20.091602449850349</v>
      </c>
      <c r="L787">
        <v>-1964.9973163335626</v>
      </c>
      <c r="M787">
        <v>0</v>
      </c>
    </row>
    <row r="788" spans="1:15" x14ac:dyDescent="0.15">
      <c r="A788">
        <v>263</v>
      </c>
      <c r="B788" t="s">
        <v>298</v>
      </c>
      <c r="C788" t="s">
        <v>464</v>
      </c>
      <c r="D788">
        <v>9</v>
      </c>
      <c r="E788">
        <v>3772265.625</v>
      </c>
      <c r="F788">
        <v>3818750</v>
      </c>
      <c r="G788">
        <v>3795507.8125</v>
      </c>
      <c r="H788">
        <v>-17579937.073959712</v>
      </c>
      <c r="I788">
        <v>-5.3254841607275829E-7</v>
      </c>
      <c r="J788">
        <v>2.7433495452189536E-5</v>
      </c>
      <c r="K788">
        <v>-5.0205513704511375</v>
      </c>
      <c r="L788">
        <v>-563.17747037860204</v>
      </c>
      <c r="M788">
        <v>0</v>
      </c>
    </row>
    <row r="789" spans="1:15" x14ac:dyDescent="0.15">
      <c r="A789">
        <v>263</v>
      </c>
      <c r="B789" t="s">
        <v>298</v>
      </c>
      <c r="C789" t="s">
        <v>464</v>
      </c>
      <c r="D789">
        <v>10</v>
      </c>
      <c r="E789">
        <v>3795507.8125</v>
      </c>
      <c r="F789">
        <v>3818750</v>
      </c>
      <c r="G789">
        <v>3807128.90625</v>
      </c>
      <c r="H789">
        <v>17966780.882133745</v>
      </c>
      <c r="I789">
        <v>5.0637819786047148E-7</v>
      </c>
      <c r="J789">
        <v>2.8472422066122765E-5</v>
      </c>
      <c r="K789">
        <v>5.1310278302420835</v>
      </c>
      <c r="L789">
        <v>371.92467932037846</v>
      </c>
      <c r="M789">
        <v>0</v>
      </c>
    </row>
    <row r="790" spans="1:15" x14ac:dyDescent="0.15">
      <c r="A790">
        <v>263</v>
      </c>
      <c r="B790" t="s">
        <v>298</v>
      </c>
      <c r="C790" t="s">
        <v>464</v>
      </c>
      <c r="D790">
        <v>11</v>
      </c>
      <c r="E790">
        <v>3795507.8125</v>
      </c>
      <c r="F790">
        <v>3807128.90625</v>
      </c>
      <c r="G790">
        <v>3801318.359375</v>
      </c>
      <c r="H790">
        <v>-616403.29240568459</v>
      </c>
      <c r="I790">
        <v>-1.8001761678272232E-8</v>
      </c>
      <c r="J790">
        <v>2.7948042106584022E-5</v>
      </c>
      <c r="K790">
        <v>-0.17603500976246128</v>
      </c>
      <c r="L790">
        <v>-116.21551351744797</v>
      </c>
      <c r="M790">
        <v>0</v>
      </c>
    </row>
    <row r="791" spans="1:15" x14ac:dyDescent="0.15">
      <c r="A791">
        <v>263</v>
      </c>
      <c r="B791" t="s">
        <v>298</v>
      </c>
      <c r="C791" t="s">
        <v>464</v>
      </c>
      <c r="D791">
        <v>12</v>
      </c>
      <c r="E791">
        <v>3801318.359375</v>
      </c>
      <c r="F791">
        <v>3807128.90625</v>
      </c>
      <c r="G791">
        <v>3804223.6328125</v>
      </c>
      <c r="H791">
        <v>8469192.3807054702</v>
      </c>
      <c r="I791">
        <v>2.4294906396375878E-7</v>
      </c>
      <c r="J791">
        <v>2.8208992932226053E-5</v>
      </c>
      <c r="K791">
        <v>2.4186670995852406</v>
      </c>
      <c r="L791">
        <v>122.62603879688621</v>
      </c>
      <c r="M791">
        <v>0</v>
      </c>
    </row>
    <row r="792" spans="1:15" x14ac:dyDescent="0.15">
      <c r="A792">
        <v>263</v>
      </c>
      <c r="B792" t="s">
        <v>298</v>
      </c>
      <c r="C792" t="s">
        <v>464</v>
      </c>
      <c r="D792">
        <v>13</v>
      </c>
      <c r="E792">
        <v>3801318.359375</v>
      </c>
      <c r="F792">
        <v>3804223.6328125</v>
      </c>
      <c r="G792">
        <v>3802770.99609375</v>
      </c>
      <c r="H792">
        <v>3875297.2412272226</v>
      </c>
      <c r="I792">
        <v>1.1216386398906031E-7</v>
      </c>
      <c r="J792">
        <v>2.8078207732251354E-5</v>
      </c>
      <c r="K792">
        <v>1.106723465135051</v>
      </c>
      <c r="L792">
        <v>1.9071946537925213</v>
      </c>
      <c r="M792">
        <v>0</v>
      </c>
    </row>
    <row r="793" spans="1:15" x14ac:dyDescent="0.15">
      <c r="A793">
        <v>263</v>
      </c>
      <c r="B793" t="s">
        <v>298</v>
      </c>
      <c r="C793" t="s">
        <v>464</v>
      </c>
      <c r="D793">
        <v>14</v>
      </c>
      <c r="E793">
        <v>3801318.359375</v>
      </c>
      <c r="F793">
        <v>3802770.99609375</v>
      </c>
      <c r="G793">
        <v>3802044.677734375</v>
      </c>
      <c r="H793">
        <v>1616739.572931455</v>
      </c>
      <c r="I793">
        <v>4.700408562278863E-8</v>
      </c>
      <c r="J793">
        <v>2.8013047953885082E-5</v>
      </c>
      <c r="K793">
        <v>0.46171519524758703</v>
      </c>
      <c r="L793">
        <v>-57.477102191895746</v>
      </c>
      <c r="M793">
        <v>0</v>
      </c>
    </row>
    <row r="794" spans="1:15" x14ac:dyDescent="0.15">
      <c r="A794">
        <v>263</v>
      </c>
      <c r="B794" t="s">
        <v>298</v>
      </c>
      <c r="C794" t="s">
        <v>464</v>
      </c>
      <c r="D794">
        <v>15</v>
      </c>
      <c r="E794">
        <v>3802044.677734375</v>
      </c>
      <c r="F794">
        <v>3802770.99609375</v>
      </c>
      <c r="G794">
        <v>3802407.8369140625</v>
      </c>
      <c r="H794">
        <v>2742916.2337257508</v>
      </c>
      <c r="I794">
        <v>7.9567067848987177E-8</v>
      </c>
      <c r="J794">
        <v>2.8045610936111281E-5</v>
      </c>
      <c r="K794">
        <v>0.78333339865378226</v>
      </c>
      <c r="L794">
        <v>-27.863702386227146</v>
      </c>
      <c r="M794">
        <v>0</v>
      </c>
    </row>
    <row r="795" spans="1:15" x14ac:dyDescent="0.15">
      <c r="A795">
        <v>263</v>
      </c>
      <c r="B795" t="s">
        <v>298</v>
      </c>
      <c r="C795" t="s">
        <v>464</v>
      </c>
      <c r="D795">
        <v>16</v>
      </c>
      <c r="E795">
        <v>3802407.8369140625</v>
      </c>
      <c r="F795">
        <v>3802770.99609375</v>
      </c>
      <c r="G795">
        <v>3802589.4165039063</v>
      </c>
      <c r="H795">
        <v>3308350.9772181427</v>
      </c>
      <c r="I795">
        <v>9.5861827200684045E-8</v>
      </c>
      <c r="J795">
        <v>2.8061905695462978E-5</v>
      </c>
      <c r="K795">
        <v>0.94481259874411594</v>
      </c>
      <c r="L795">
        <v>-12.997417947377697</v>
      </c>
      <c r="M795">
        <v>0</v>
      </c>
    </row>
    <row r="796" spans="1:15" x14ac:dyDescent="0.15">
      <c r="A796">
        <v>263</v>
      </c>
      <c r="B796" t="s">
        <v>298</v>
      </c>
      <c r="C796" t="s">
        <v>464</v>
      </c>
      <c r="D796">
        <v>17</v>
      </c>
      <c r="E796">
        <v>3802589.4165039063</v>
      </c>
      <c r="F796">
        <v>3802770.99609375</v>
      </c>
      <c r="G796">
        <v>3802680.2062988281</v>
      </c>
      <c r="H796">
        <v>3591665.8785562711</v>
      </c>
      <c r="I796">
        <v>1.040128207617974E-7</v>
      </c>
      <c r="J796">
        <v>2.8070056689024091E-5</v>
      </c>
      <c r="K796">
        <v>1.0257228437693553</v>
      </c>
      <c r="L796">
        <v>-5.5490947514605384</v>
      </c>
      <c r="M796">
        <v>0</v>
      </c>
    </row>
    <row r="797" spans="1:15" x14ac:dyDescent="0.15">
      <c r="A797">
        <v>263</v>
      </c>
      <c r="B797" t="s">
        <v>298</v>
      </c>
      <c r="C797" t="s">
        <v>464</v>
      </c>
      <c r="D797">
        <v>18</v>
      </c>
      <c r="E797">
        <v>3802680.2062988281</v>
      </c>
      <c r="F797">
        <v>3802770.99609375</v>
      </c>
      <c r="G797">
        <v>3802725.6011962891</v>
      </c>
      <c r="H797">
        <v>3733390.6813770612</v>
      </c>
      <c r="I797">
        <v>1.0808686116009638E-7</v>
      </c>
      <c r="J797">
        <v>2.807413072942239E-5</v>
      </c>
      <c r="K797">
        <v>1.0661972009889154</v>
      </c>
      <c r="L797">
        <v>-1.8232953699687404</v>
      </c>
      <c r="M797">
        <v>0</v>
      </c>
    </row>
    <row r="798" spans="1:15" x14ac:dyDescent="0.15">
      <c r="A798">
        <v>263</v>
      </c>
      <c r="B798" t="s">
        <v>298</v>
      </c>
      <c r="C798" t="s">
        <v>464</v>
      </c>
      <c r="D798">
        <v>19</v>
      </c>
      <c r="E798">
        <v>3802725.6011962891</v>
      </c>
      <c r="F798">
        <v>3802770.99609375</v>
      </c>
      <c r="G798">
        <v>3802748.2986450195</v>
      </c>
      <c r="H798">
        <v>3804331.4984144149</v>
      </c>
      <c r="I798">
        <v>1.1012528723816189E-7</v>
      </c>
      <c r="J798">
        <v>2.8076169155500456E-5</v>
      </c>
      <c r="K798">
        <v>1.0864567738587965</v>
      </c>
      <c r="L798">
        <v>4.1633041291729012E-2</v>
      </c>
      <c r="M798">
        <v>0</v>
      </c>
    </row>
    <row r="799" spans="1:15" x14ac:dyDescent="0.15">
      <c r="A799">
        <v>263</v>
      </c>
      <c r="B799" t="s">
        <v>298</v>
      </c>
      <c r="C799" t="s">
        <v>465</v>
      </c>
      <c r="D799">
        <v>19</v>
      </c>
      <c r="E799">
        <v>3802725.6011962891</v>
      </c>
      <c r="F799">
        <v>3802770.99609375</v>
      </c>
      <c r="G799">
        <v>3802748.2986450195</v>
      </c>
      <c r="H799">
        <v>3804331.4984144149</v>
      </c>
      <c r="I799">
        <v>1.1012528723816189E-7</v>
      </c>
      <c r="J799">
        <v>2.8076169155500456E-5</v>
      </c>
      <c r="K799">
        <v>1.0864567738587965</v>
      </c>
      <c r="L799">
        <v>4.1633041291729012E-2</v>
      </c>
      <c r="M799">
        <v>0</v>
      </c>
      <c r="N799" t="s">
        <v>466</v>
      </c>
      <c r="O799" t="s">
        <v>467</v>
      </c>
    </row>
    <row r="800" spans="1:15" x14ac:dyDescent="0.15">
      <c r="A800">
        <v>264</v>
      </c>
      <c r="B800" t="s">
        <v>108</v>
      </c>
      <c r="C800" t="s">
        <v>461</v>
      </c>
      <c r="D800">
        <v>0</v>
      </c>
      <c r="E800">
        <v>100000</v>
      </c>
      <c r="F800">
        <v>12000000</v>
      </c>
      <c r="G800">
        <v>100000</v>
      </c>
      <c r="H800">
        <v>-14880.261768982025</v>
      </c>
      <c r="I800">
        <v>-3.1401517582643648E-5</v>
      </c>
      <c r="J800">
        <v>-1.215944949649886E-5</v>
      </c>
      <c r="K800">
        <v>-2.8762312525368629E-3</v>
      </c>
      <c r="L800">
        <v>-114.88026176898202</v>
      </c>
      <c r="M800">
        <v>0</v>
      </c>
      <c r="O800" t="s">
        <v>462</v>
      </c>
    </row>
    <row r="801" spans="1:15" x14ac:dyDescent="0.15">
      <c r="A801">
        <v>264</v>
      </c>
      <c r="B801" t="s">
        <v>108</v>
      </c>
      <c r="C801" t="s">
        <v>461</v>
      </c>
      <c r="D801">
        <v>0</v>
      </c>
      <c r="E801">
        <v>100000</v>
      </c>
      <c r="F801">
        <v>12000000</v>
      </c>
      <c r="G801">
        <v>12000000</v>
      </c>
      <c r="H801">
        <v>84996243335205.047</v>
      </c>
      <c r="I801">
        <v>8.6880916885035617E-2</v>
      </c>
      <c r="J801">
        <v>8.6900158953121767E-2</v>
      </c>
      <c r="K801">
        <v>16429069.274744967</v>
      </c>
      <c r="L801">
        <v>708301927.79337537</v>
      </c>
      <c r="M801">
        <v>0</v>
      </c>
      <c r="O801" t="s">
        <v>463</v>
      </c>
    </row>
    <row r="802" spans="1:15" x14ac:dyDescent="0.15">
      <c r="A802">
        <v>264</v>
      </c>
      <c r="B802" t="s">
        <v>108</v>
      </c>
      <c r="C802" t="s">
        <v>464</v>
      </c>
      <c r="D802">
        <v>1</v>
      </c>
      <c r="E802">
        <v>100000</v>
      </c>
      <c r="F802">
        <v>12000000</v>
      </c>
      <c r="G802">
        <v>6050000</v>
      </c>
      <c r="H802">
        <v>-113384.74144488321</v>
      </c>
      <c r="I802">
        <v>-1.8683167451228065E-5</v>
      </c>
      <c r="J802">
        <v>5.5890063491672251E-7</v>
      </c>
      <c r="K802">
        <v>-2.1916330637703225E-2</v>
      </c>
      <c r="L802">
        <v>-101.87412795776666</v>
      </c>
      <c r="M802">
        <v>0</v>
      </c>
    </row>
    <row r="803" spans="1:15" x14ac:dyDescent="0.15">
      <c r="A803">
        <v>264</v>
      </c>
      <c r="B803" t="s">
        <v>108</v>
      </c>
      <c r="C803" t="s">
        <v>464</v>
      </c>
      <c r="D803">
        <v>2</v>
      </c>
      <c r="E803">
        <v>6050000</v>
      </c>
      <c r="F803">
        <v>12000000</v>
      </c>
      <c r="G803">
        <v>9025000</v>
      </c>
      <c r="H803">
        <v>3645106192.0331874</v>
      </c>
      <c r="I803">
        <v>3.2578705132676924E-5</v>
      </c>
      <c r="J803">
        <v>5.1820773218821709E-5</v>
      </c>
      <c r="K803">
        <v>704.56881143017165</v>
      </c>
      <c r="L803">
        <v>40288.98827737604</v>
      </c>
      <c r="M803">
        <v>0</v>
      </c>
    </row>
    <row r="804" spans="1:15" x14ac:dyDescent="0.15">
      <c r="A804">
        <v>264</v>
      </c>
      <c r="B804" t="s">
        <v>108</v>
      </c>
      <c r="C804" t="s">
        <v>464</v>
      </c>
      <c r="D804">
        <v>3</v>
      </c>
      <c r="E804">
        <v>6050000</v>
      </c>
      <c r="F804">
        <v>9025000</v>
      </c>
      <c r="G804">
        <v>7537500</v>
      </c>
      <c r="H804">
        <v>-480952.05391269934</v>
      </c>
      <c r="I804">
        <v>-1.4389701159790134E-5</v>
      </c>
      <c r="J804">
        <v>4.8523669263546527E-6</v>
      </c>
      <c r="K804">
        <v>-9.2964045250807106E-2</v>
      </c>
      <c r="L804">
        <v>-106.38079010166102</v>
      </c>
      <c r="M804">
        <v>0</v>
      </c>
    </row>
    <row r="805" spans="1:15" x14ac:dyDescent="0.15">
      <c r="A805">
        <v>264</v>
      </c>
      <c r="B805" t="s">
        <v>108</v>
      </c>
      <c r="C805" t="s">
        <v>464</v>
      </c>
      <c r="D805">
        <v>4</v>
      </c>
      <c r="E805">
        <v>7537500</v>
      </c>
      <c r="F805">
        <v>9025000</v>
      </c>
      <c r="G805">
        <v>8281250</v>
      </c>
      <c r="H805">
        <v>-30797449.428099304</v>
      </c>
      <c r="I805">
        <v>-8.1320811922376486E-6</v>
      </c>
      <c r="J805">
        <v>1.1109986893907139E-5</v>
      </c>
      <c r="K805">
        <v>-5.952891684215488</v>
      </c>
      <c r="L805">
        <v>-471.89372894308593</v>
      </c>
      <c r="M805">
        <v>0</v>
      </c>
    </row>
    <row r="806" spans="1:15" x14ac:dyDescent="0.15">
      <c r="A806">
        <v>264</v>
      </c>
      <c r="B806" t="s">
        <v>108</v>
      </c>
      <c r="C806" t="s">
        <v>464</v>
      </c>
      <c r="D806">
        <v>5</v>
      </c>
      <c r="E806">
        <v>8281250</v>
      </c>
      <c r="F806">
        <v>9025000</v>
      </c>
      <c r="G806">
        <v>8653125</v>
      </c>
      <c r="H806">
        <v>132990280.77621676</v>
      </c>
      <c r="I806">
        <v>2.2497914708628934E-6</v>
      </c>
      <c r="J806">
        <v>2.1491859557007681E-5</v>
      </c>
      <c r="K806">
        <v>25.705918873655335</v>
      </c>
      <c r="L806">
        <v>1436.9046532462753</v>
      </c>
      <c r="M806">
        <v>0</v>
      </c>
    </row>
    <row r="807" spans="1:15" x14ac:dyDescent="0.15">
      <c r="A807">
        <v>264</v>
      </c>
      <c r="B807" t="s">
        <v>108</v>
      </c>
      <c r="C807" t="s">
        <v>464</v>
      </c>
      <c r="D807">
        <v>6</v>
      </c>
      <c r="E807">
        <v>8281250</v>
      </c>
      <c r="F807">
        <v>8653125</v>
      </c>
      <c r="G807">
        <v>8467187.5</v>
      </c>
      <c r="H807">
        <v>-96700931.24889712</v>
      </c>
      <c r="I807">
        <v>-5.3565039323994351E-6</v>
      </c>
      <c r="J807">
        <v>1.3885564153745353E-5</v>
      </c>
      <c r="K807">
        <v>-18.691488424435416</v>
      </c>
      <c r="L807">
        <v>-1242.0667281656054</v>
      </c>
      <c r="M807">
        <v>0</v>
      </c>
    </row>
    <row r="808" spans="1:15" x14ac:dyDescent="0.15">
      <c r="A808">
        <v>264</v>
      </c>
      <c r="B808" t="s">
        <v>108</v>
      </c>
      <c r="C808" t="s">
        <v>464</v>
      </c>
      <c r="D808">
        <v>7</v>
      </c>
      <c r="E808">
        <v>8467187.5</v>
      </c>
      <c r="F808">
        <v>8653125</v>
      </c>
      <c r="G808">
        <v>8560156.25</v>
      </c>
      <c r="H808">
        <v>-73355608.436961859</v>
      </c>
      <c r="I808">
        <v>-1.9714512246213222E-6</v>
      </c>
      <c r="J808">
        <v>1.7270616861523466E-5</v>
      </c>
      <c r="K808">
        <v>-14.179031041984173</v>
      </c>
      <c r="L808">
        <v>-956.94240028576417</v>
      </c>
      <c r="M808">
        <v>0</v>
      </c>
    </row>
    <row r="809" spans="1:15" x14ac:dyDescent="0.15">
      <c r="A809">
        <v>264</v>
      </c>
      <c r="B809" t="s">
        <v>108</v>
      </c>
      <c r="C809" t="s">
        <v>464</v>
      </c>
      <c r="D809">
        <v>8</v>
      </c>
      <c r="E809">
        <v>8560156.25</v>
      </c>
      <c r="F809">
        <v>8653125</v>
      </c>
      <c r="G809">
        <v>8606640.625</v>
      </c>
      <c r="H809">
        <v>1077038.0378887958</v>
      </c>
      <c r="I809">
        <v>2.2507377810813999E-8</v>
      </c>
      <c r="J809">
        <v>1.9264575463955602E-5</v>
      </c>
      <c r="K809">
        <v>0.20818252479967364</v>
      </c>
      <c r="L809">
        <v>-87.485964793739768</v>
      </c>
      <c r="M809">
        <v>0</v>
      </c>
    </row>
    <row r="810" spans="1:15" x14ac:dyDescent="0.15">
      <c r="A810">
        <v>264</v>
      </c>
      <c r="B810" t="s">
        <v>108</v>
      </c>
      <c r="C810" t="s">
        <v>464</v>
      </c>
      <c r="D810">
        <v>9</v>
      </c>
      <c r="E810">
        <v>8606640.625</v>
      </c>
      <c r="F810">
        <v>8653125</v>
      </c>
      <c r="G810">
        <v>8629882.8125</v>
      </c>
      <c r="H810">
        <v>59032706.617099389</v>
      </c>
      <c r="I810">
        <v>1.1053277594988768E-6</v>
      </c>
      <c r="J810">
        <v>2.0347395845643665E-5</v>
      </c>
      <c r="K810">
        <v>11.410532847471309</v>
      </c>
      <c r="L810">
        <v>584.049921646597</v>
      </c>
      <c r="M810">
        <v>0</v>
      </c>
    </row>
    <row r="811" spans="1:15" x14ac:dyDescent="0.15">
      <c r="A811">
        <v>264</v>
      </c>
      <c r="B811" t="s">
        <v>108</v>
      </c>
      <c r="C811" t="s">
        <v>464</v>
      </c>
      <c r="D811">
        <v>10</v>
      </c>
      <c r="E811">
        <v>8606640.625</v>
      </c>
      <c r="F811">
        <v>8629882.8125</v>
      </c>
      <c r="G811">
        <v>8618261.71875</v>
      </c>
      <c r="H811">
        <v>28161453.805632368</v>
      </c>
      <c r="I811">
        <v>5.5642819834466055E-7</v>
      </c>
      <c r="J811">
        <v>1.9798496284489449E-5</v>
      </c>
      <c r="K811">
        <v>5.4433755810314759</v>
      </c>
      <c r="L811">
        <v>226.76489441442641</v>
      </c>
      <c r="M811">
        <v>0</v>
      </c>
    </row>
    <row r="812" spans="1:15" x14ac:dyDescent="0.15">
      <c r="A812">
        <v>264</v>
      </c>
      <c r="B812" t="s">
        <v>108</v>
      </c>
      <c r="C812" t="s">
        <v>464</v>
      </c>
      <c r="D812">
        <v>11</v>
      </c>
      <c r="E812">
        <v>8606640.625</v>
      </c>
      <c r="F812">
        <v>8618261.71875</v>
      </c>
      <c r="G812">
        <v>8612451.171875</v>
      </c>
      <c r="H812">
        <v>14158730.3371509</v>
      </c>
      <c r="I812">
        <v>2.8762047811753383E-7</v>
      </c>
      <c r="J812">
        <v>1.9529688564262322E-5</v>
      </c>
      <c r="K812">
        <v>2.7367652077763931</v>
      </c>
      <c r="L812">
        <v>64.398381536117668</v>
      </c>
      <c r="M812">
        <v>0</v>
      </c>
    </row>
    <row r="813" spans="1:15" x14ac:dyDescent="0.15">
      <c r="A813">
        <v>264</v>
      </c>
      <c r="B813" t="s">
        <v>108</v>
      </c>
      <c r="C813" t="s">
        <v>464</v>
      </c>
      <c r="D813">
        <v>12</v>
      </c>
      <c r="E813">
        <v>8606640.625</v>
      </c>
      <c r="F813">
        <v>8612451.171875</v>
      </c>
      <c r="G813">
        <v>8609545.8984375</v>
      </c>
      <c r="H813">
        <v>7504351.0460332017</v>
      </c>
      <c r="I813">
        <v>1.5460550978078284E-7</v>
      </c>
      <c r="J813">
        <v>1.9396673595925571E-5</v>
      </c>
      <c r="K813">
        <v>1.4505288511523944</v>
      </c>
      <c r="L813">
        <v>-12.836854178393708</v>
      </c>
      <c r="M813">
        <v>0</v>
      </c>
    </row>
    <row r="814" spans="1:15" x14ac:dyDescent="0.15">
      <c r="A814">
        <v>264</v>
      </c>
      <c r="B814" t="s">
        <v>108</v>
      </c>
      <c r="C814" t="s">
        <v>464</v>
      </c>
      <c r="D814">
        <v>13</v>
      </c>
      <c r="E814">
        <v>8609545.8984375</v>
      </c>
      <c r="F814">
        <v>8612451.171875</v>
      </c>
      <c r="G814">
        <v>8610998.53515625</v>
      </c>
      <c r="H814">
        <v>10803039.222868595</v>
      </c>
      <c r="I814">
        <v>2.2099956542216725E-7</v>
      </c>
      <c r="J814">
        <v>1.9463067651566955E-5</v>
      </c>
      <c r="K814">
        <v>2.0881379318182431</v>
      </c>
      <c r="L814">
        <v>25.456289172073003</v>
      </c>
      <c r="M814">
        <v>0</v>
      </c>
    </row>
    <row r="815" spans="1:15" x14ac:dyDescent="0.15">
      <c r="A815">
        <v>264</v>
      </c>
      <c r="B815" t="s">
        <v>108</v>
      </c>
      <c r="C815" t="s">
        <v>464</v>
      </c>
      <c r="D815">
        <v>14</v>
      </c>
      <c r="E815">
        <v>8609545.8984375</v>
      </c>
      <c r="F815">
        <v>8610998.53515625</v>
      </c>
      <c r="G815">
        <v>8610272.216796875</v>
      </c>
      <c r="H815">
        <v>9146613.4757305942</v>
      </c>
      <c r="I815">
        <v>1.877746213626151E-7</v>
      </c>
      <c r="J815">
        <v>1.9429842707507403E-5</v>
      </c>
      <c r="K815">
        <v>1.7679645655568932</v>
      </c>
      <c r="L815">
        <v>6.2290859734658266</v>
      </c>
      <c r="M815">
        <v>0</v>
      </c>
    </row>
    <row r="816" spans="1:15" x14ac:dyDescent="0.15">
      <c r="A816">
        <v>264</v>
      </c>
      <c r="B816" t="s">
        <v>108</v>
      </c>
      <c r="C816" t="s">
        <v>464</v>
      </c>
      <c r="D816">
        <v>15</v>
      </c>
      <c r="E816">
        <v>8609545.8984375</v>
      </c>
      <c r="F816">
        <v>8610272.216796875</v>
      </c>
      <c r="G816">
        <v>8609909.0576171875</v>
      </c>
      <c r="H816">
        <v>8323666.1821789984</v>
      </c>
      <c r="I816">
        <v>1.7118211028736255E-7</v>
      </c>
      <c r="J816">
        <v>1.9413250196432151E-5</v>
      </c>
      <c r="K816">
        <v>1.6088956753954498</v>
      </c>
      <c r="L816">
        <v>-3.3245748999514695</v>
      </c>
      <c r="M816">
        <v>0</v>
      </c>
    </row>
    <row r="817" spans="1:15" x14ac:dyDescent="0.15">
      <c r="A817">
        <v>264</v>
      </c>
      <c r="B817" t="s">
        <v>108</v>
      </c>
      <c r="C817" t="s">
        <v>464</v>
      </c>
      <c r="D817">
        <v>16</v>
      </c>
      <c r="E817">
        <v>8609909.0576171875</v>
      </c>
      <c r="F817">
        <v>8610272.216796875</v>
      </c>
      <c r="G817">
        <v>8610090.6372070313</v>
      </c>
      <c r="H817">
        <v>8734734.083228739</v>
      </c>
      <c r="I817">
        <v>1.7947735831630324E-7</v>
      </c>
      <c r="J817">
        <v>1.9421545444461091E-5</v>
      </c>
      <c r="K817">
        <v>1.688351693190685</v>
      </c>
      <c r="L817">
        <v>1.4476438317975706</v>
      </c>
      <c r="M817">
        <v>0</v>
      </c>
    </row>
    <row r="818" spans="1:15" x14ac:dyDescent="0.15">
      <c r="A818">
        <v>264</v>
      </c>
      <c r="B818" t="s">
        <v>108</v>
      </c>
      <c r="C818" t="s">
        <v>464</v>
      </c>
      <c r="D818">
        <v>17</v>
      </c>
      <c r="E818">
        <v>8609909.0576171875</v>
      </c>
      <c r="F818">
        <v>8610090.6372070313</v>
      </c>
      <c r="G818">
        <v>8609999.8474121094</v>
      </c>
      <c r="H818">
        <v>8529050.0425068736</v>
      </c>
      <c r="I818">
        <v>1.7532850023998083E-7</v>
      </c>
      <c r="J818">
        <v>1.9417396586384769E-5</v>
      </c>
      <c r="K818">
        <v>1.6485946731021355</v>
      </c>
      <c r="L818">
        <v>-0.94018358118283463</v>
      </c>
      <c r="M818">
        <v>0</v>
      </c>
    </row>
    <row r="819" spans="1:15" x14ac:dyDescent="0.15">
      <c r="A819">
        <v>264</v>
      </c>
      <c r="B819" t="s">
        <v>108</v>
      </c>
      <c r="C819" t="s">
        <v>465</v>
      </c>
      <c r="D819">
        <v>17</v>
      </c>
      <c r="E819">
        <v>8609909.0576171875</v>
      </c>
      <c r="F819">
        <v>8610090.6372070313</v>
      </c>
      <c r="G819">
        <v>8609999.8474121094</v>
      </c>
      <c r="H819">
        <v>8529050.0425068736</v>
      </c>
      <c r="I819">
        <v>1.7532850023998083E-7</v>
      </c>
      <c r="J819">
        <v>1.9417396586384769E-5</v>
      </c>
      <c r="K819">
        <v>1.6485946731021355</v>
      </c>
      <c r="L819">
        <v>-0.94018358118283463</v>
      </c>
      <c r="M819">
        <v>0</v>
      </c>
      <c r="N819" t="s">
        <v>466</v>
      </c>
      <c r="O819" t="s">
        <v>467</v>
      </c>
    </row>
    <row r="820" spans="1:15" x14ac:dyDescent="0.15">
      <c r="A820">
        <v>265</v>
      </c>
      <c r="B820" t="s">
        <v>74</v>
      </c>
      <c r="C820" t="s">
        <v>461</v>
      </c>
      <c r="D820">
        <v>0</v>
      </c>
      <c r="E820">
        <v>100000</v>
      </c>
      <c r="F820">
        <v>12000000</v>
      </c>
      <c r="G820">
        <v>100000</v>
      </c>
      <c r="H820">
        <v>-14882.201755687136</v>
      </c>
      <c r="I820">
        <v>-2.2130710461824157E-5</v>
      </c>
      <c r="J820">
        <v>-9.3975110916260166E-6</v>
      </c>
      <c r="K820">
        <v>-2.620907903807034E-3</v>
      </c>
      <c r="L820">
        <v>-114.88220175568713</v>
      </c>
      <c r="M820">
        <v>0</v>
      </c>
      <c r="O820" t="s">
        <v>462</v>
      </c>
    </row>
    <row r="821" spans="1:15" x14ac:dyDescent="0.15">
      <c r="A821">
        <v>265</v>
      </c>
      <c r="B821" t="s">
        <v>74</v>
      </c>
      <c r="C821" t="s">
        <v>461</v>
      </c>
      <c r="D821">
        <v>0</v>
      </c>
      <c r="E821">
        <v>100000</v>
      </c>
      <c r="F821">
        <v>12000000</v>
      </c>
      <c r="G821">
        <v>12000000</v>
      </c>
      <c r="H821">
        <v>1.9608522719460808E+16</v>
      </c>
      <c r="I821">
        <v>5.0268073343119202</v>
      </c>
      <c r="J821">
        <v>5.0268200675112906</v>
      </c>
      <c r="K821">
        <v>3453261353.4671011</v>
      </c>
      <c r="L821">
        <v>163404355895.50674</v>
      </c>
      <c r="M821">
        <v>0</v>
      </c>
      <c r="O821" t="s">
        <v>463</v>
      </c>
    </row>
    <row r="822" spans="1:15" x14ac:dyDescent="0.15">
      <c r="A822">
        <v>265</v>
      </c>
      <c r="B822" t="s">
        <v>74</v>
      </c>
      <c r="C822" t="s">
        <v>464</v>
      </c>
      <c r="D822">
        <v>1</v>
      </c>
      <c r="E822">
        <v>100000</v>
      </c>
      <c r="F822">
        <v>12000000</v>
      </c>
      <c r="G822">
        <v>6050000</v>
      </c>
      <c r="H822">
        <v>-290616.7873538796</v>
      </c>
      <c r="I822">
        <v>-1.0651940160066233E-5</v>
      </c>
      <c r="J822">
        <v>2.0812592101319084E-6</v>
      </c>
      <c r="K822">
        <v>-5.1180587890076151E-2</v>
      </c>
      <c r="L822">
        <v>-104.8035832620476</v>
      </c>
      <c r="M822">
        <v>0</v>
      </c>
    </row>
    <row r="823" spans="1:15" x14ac:dyDescent="0.15">
      <c r="A823">
        <v>265</v>
      </c>
      <c r="B823" t="s">
        <v>74</v>
      </c>
      <c r="C823" t="s">
        <v>464</v>
      </c>
      <c r="D823">
        <v>2</v>
      </c>
      <c r="E823">
        <v>6050000</v>
      </c>
      <c r="F823">
        <v>12000000</v>
      </c>
      <c r="G823">
        <v>9025000</v>
      </c>
      <c r="H823">
        <v>452832805709.83655</v>
      </c>
      <c r="I823">
        <v>7.5841803780977459E-4</v>
      </c>
      <c r="J823">
        <v>7.7115123717997269E-4</v>
      </c>
      <c r="K823">
        <v>79748.487426229462</v>
      </c>
      <c r="L823">
        <v>5017438.013405391</v>
      </c>
      <c r="M823">
        <v>0</v>
      </c>
    </row>
    <row r="824" spans="1:15" x14ac:dyDescent="0.15">
      <c r="A824">
        <v>265</v>
      </c>
      <c r="B824" t="s">
        <v>74</v>
      </c>
      <c r="C824" t="s">
        <v>464</v>
      </c>
      <c r="D824">
        <v>3</v>
      </c>
      <c r="E824">
        <v>6050000</v>
      </c>
      <c r="F824">
        <v>9025000</v>
      </c>
      <c r="G824">
        <v>7537500</v>
      </c>
      <c r="H824">
        <v>158896546.24806869</v>
      </c>
      <c r="I824">
        <v>1.7874906274105131E-6</v>
      </c>
      <c r="J824">
        <v>1.4520689997608654E-5</v>
      </c>
      <c r="K824">
        <v>27.983306555433458</v>
      </c>
      <c r="L824">
        <v>2008.0802155631004</v>
      </c>
      <c r="M824">
        <v>0</v>
      </c>
    </row>
    <row r="825" spans="1:15" x14ac:dyDescent="0.15">
      <c r="A825">
        <v>265</v>
      </c>
      <c r="B825" t="s">
        <v>74</v>
      </c>
      <c r="C825" t="s">
        <v>464</v>
      </c>
      <c r="D825">
        <v>4</v>
      </c>
      <c r="E825">
        <v>6050000</v>
      </c>
      <c r="F825">
        <v>7537500</v>
      </c>
      <c r="G825">
        <v>6793750</v>
      </c>
      <c r="H825">
        <v>-2229267.0428163409</v>
      </c>
      <c r="I825">
        <v>-7.7468131970261712E-6</v>
      </c>
      <c r="J825">
        <v>4.9863861731719697E-6</v>
      </c>
      <c r="K825">
        <v>-0.39259672111225952</v>
      </c>
      <c r="L825">
        <v>-132.81349833032331</v>
      </c>
      <c r="M825">
        <v>0</v>
      </c>
    </row>
    <row r="826" spans="1:15" x14ac:dyDescent="0.15">
      <c r="A826">
        <v>265</v>
      </c>
      <c r="B826" t="s">
        <v>74</v>
      </c>
      <c r="C826" t="s">
        <v>464</v>
      </c>
      <c r="D826">
        <v>5</v>
      </c>
      <c r="E826">
        <v>6793750</v>
      </c>
      <c r="F826">
        <v>7537500</v>
      </c>
      <c r="G826">
        <v>7165625</v>
      </c>
      <c r="H826">
        <v>-39944339.51698757</v>
      </c>
      <c r="I826">
        <v>-4.8357601618848413E-6</v>
      </c>
      <c r="J826">
        <v>7.8974392083132996E-6</v>
      </c>
      <c r="K826">
        <v>-7.0346066308647908</v>
      </c>
      <c r="L826">
        <v>-657.4439008040132</v>
      </c>
      <c r="M826">
        <v>0</v>
      </c>
    </row>
    <row r="827" spans="1:15" x14ac:dyDescent="0.15">
      <c r="A827">
        <v>265</v>
      </c>
      <c r="B827" t="s">
        <v>74</v>
      </c>
      <c r="C827" t="s">
        <v>464</v>
      </c>
      <c r="D827">
        <v>6</v>
      </c>
      <c r="E827">
        <v>7165625</v>
      </c>
      <c r="F827">
        <v>7537500</v>
      </c>
      <c r="G827">
        <v>7351562.5</v>
      </c>
      <c r="H827">
        <v>-90702360.422929376</v>
      </c>
      <c r="I827">
        <v>-2.7512693366380784E-6</v>
      </c>
      <c r="J827">
        <v>9.9819300335600625E-6</v>
      </c>
      <c r="K827">
        <v>-15.973613127208532</v>
      </c>
      <c r="L827">
        <v>-1333.7834361461169</v>
      </c>
      <c r="M827">
        <v>0</v>
      </c>
    </row>
    <row r="828" spans="1:15" x14ac:dyDescent="0.15">
      <c r="A828">
        <v>265</v>
      </c>
      <c r="B828" t="s">
        <v>74</v>
      </c>
      <c r="C828" t="s">
        <v>464</v>
      </c>
      <c r="D828">
        <v>7</v>
      </c>
      <c r="E828">
        <v>7351562.5</v>
      </c>
      <c r="F828">
        <v>7537500</v>
      </c>
      <c r="G828">
        <v>7444531.25</v>
      </c>
      <c r="H828">
        <v>-67934029.221008778</v>
      </c>
      <c r="I828">
        <v>-1.3299364962040968E-6</v>
      </c>
      <c r="J828">
        <v>1.1403262873994044E-5</v>
      </c>
      <c r="K828">
        <v>-11.963877190064279</v>
      </c>
      <c r="L828">
        <v>-1012.5360205991315</v>
      </c>
      <c r="M828">
        <v>0</v>
      </c>
    </row>
    <row r="829" spans="1:15" x14ac:dyDescent="0.15">
      <c r="A829">
        <v>265</v>
      </c>
      <c r="B829" t="s">
        <v>74</v>
      </c>
      <c r="C829" t="s">
        <v>464</v>
      </c>
      <c r="D829">
        <v>8</v>
      </c>
      <c r="E829">
        <v>7444531.25</v>
      </c>
      <c r="F829">
        <v>7537500</v>
      </c>
      <c r="G829">
        <v>7491015.625</v>
      </c>
      <c r="H829">
        <v>9264406.2950891238</v>
      </c>
      <c r="I829">
        <v>1.337872017121412E-7</v>
      </c>
      <c r="J829">
        <v>1.2866986571910282E-5</v>
      </c>
      <c r="K829">
        <v>1.6315566796828191</v>
      </c>
      <c r="L829">
        <v>23.673567896063808</v>
      </c>
      <c r="M829">
        <v>0</v>
      </c>
    </row>
    <row r="830" spans="1:15" x14ac:dyDescent="0.15">
      <c r="A830">
        <v>265</v>
      </c>
      <c r="B830" t="s">
        <v>74</v>
      </c>
      <c r="C830" t="s">
        <v>464</v>
      </c>
      <c r="D830">
        <v>9</v>
      </c>
      <c r="E830">
        <v>7444531.25</v>
      </c>
      <c r="F830">
        <v>7491015.625</v>
      </c>
      <c r="G830">
        <v>7467773.4375</v>
      </c>
      <c r="H830">
        <v>-37207789.198601544</v>
      </c>
      <c r="I830">
        <v>-6.2043750309643323E-7</v>
      </c>
      <c r="J830">
        <v>1.2112761867101708E-5</v>
      </c>
      <c r="K830">
        <v>-6.5526721378128627</v>
      </c>
      <c r="L830">
        <v>-598.24475139751507</v>
      </c>
      <c r="M830">
        <v>0</v>
      </c>
    </row>
    <row r="831" spans="1:15" x14ac:dyDescent="0.15">
      <c r="A831">
        <v>265</v>
      </c>
      <c r="B831" t="s">
        <v>74</v>
      </c>
      <c r="C831" t="s">
        <v>464</v>
      </c>
      <c r="D831">
        <v>10</v>
      </c>
      <c r="E831">
        <v>7467773.4375</v>
      </c>
      <c r="F831">
        <v>7491015.625</v>
      </c>
      <c r="G831">
        <v>7479394.53125</v>
      </c>
      <c r="H831">
        <v>-16081118.886915378</v>
      </c>
      <c r="I831">
        <v>-2.4908138383104244E-7</v>
      </c>
      <c r="J831">
        <v>1.2484117986367098E-5</v>
      </c>
      <c r="K831">
        <v>-2.8320494698757082</v>
      </c>
      <c r="L831">
        <v>-315.00562404785734</v>
      </c>
      <c r="M831">
        <v>0</v>
      </c>
    </row>
    <row r="832" spans="1:15" x14ac:dyDescent="0.15">
      <c r="A832">
        <v>265</v>
      </c>
      <c r="B832" t="s">
        <v>74</v>
      </c>
      <c r="C832" t="s">
        <v>464</v>
      </c>
      <c r="D832">
        <v>11</v>
      </c>
      <c r="E832">
        <v>7479394.53125</v>
      </c>
      <c r="F832">
        <v>7491015.625</v>
      </c>
      <c r="G832">
        <v>7485205.078125</v>
      </c>
      <c r="H832">
        <v>-3953411.6637566844</v>
      </c>
      <c r="I832">
        <v>-5.9100550386023066E-8</v>
      </c>
      <c r="J832">
        <v>1.2674098819812118E-5</v>
      </c>
      <c r="K832">
        <v>-0.6962362187156359</v>
      </c>
      <c r="L832">
        <v>-152.81634400786507</v>
      </c>
      <c r="M832">
        <v>0</v>
      </c>
    </row>
    <row r="833" spans="1:15" x14ac:dyDescent="0.15">
      <c r="A833">
        <v>265</v>
      </c>
      <c r="B833" t="s">
        <v>74</v>
      </c>
      <c r="C833" t="s">
        <v>464</v>
      </c>
      <c r="D833">
        <v>12</v>
      </c>
      <c r="E833">
        <v>7485205.078125</v>
      </c>
      <c r="F833">
        <v>7491015.625</v>
      </c>
      <c r="G833">
        <v>7488110.3515625</v>
      </c>
      <c r="H833">
        <v>2517531.9713491579</v>
      </c>
      <c r="I833">
        <v>3.6985875870787491E-8</v>
      </c>
      <c r="J833">
        <v>1.2770185246068928E-5</v>
      </c>
      <c r="K833">
        <v>0.4433631226155394</v>
      </c>
      <c r="L833">
        <v>-66.37960909825749</v>
      </c>
      <c r="M833">
        <v>0</v>
      </c>
    </row>
    <row r="834" spans="1:15" x14ac:dyDescent="0.15">
      <c r="A834">
        <v>265</v>
      </c>
      <c r="B834" t="s">
        <v>74</v>
      </c>
      <c r="C834" t="s">
        <v>464</v>
      </c>
      <c r="D834">
        <v>13</v>
      </c>
      <c r="E834">
        <v>7488110.3515625</v>
      </c>
      <c r="F834">
        <v>7491015.625</v>
      </c>
      <c r="G834">
        <v>7489562.98828125</v>
      </c>
      <c r="H834">
        <v>5856599.1059990115</v>
      </c>
      <c r="I834">
        <v>8.5302610295427087E-8</v>
      </c>
      <c r="J834">
        <v>1.2818501980493568E-5</v>
      </c>
      <c r="K834">
        <v>1.0314069879126768</v>
      </c>
      <c r="L834">
        <v>-21.803193121378378</v>
      </c>
      <c r="M834">
        <v>0</v>
      </c>
    </row>
    <row r="835" spans="1:15" x14ac:dyDescent="0.15">
      <c r="A835">
        <v>265</v>
      </c>
      <c r="B835" t="s">
        <v>74</v>
      </c>
      <c r="C835" t="s">
        <v>464</v>
      </c>
      <c r="D835">
        <v>14</v>
      </c>
      <c r="E835">
        <v>7489562.98828125</v>
      </c>
      <c r="F835">
        <v>7491015.625</v>
      </c>
      <c r="G835">
        <v>7490289.306640625</v>
      </c>
      <c r="H835">
        <v>7551691.8449282963</v>
      </c>
      <c r="I835">
        <v>1.0952124027424845E-7</v>
      </c>
      <c r="J835">
        <v>1.2842720610472389E-5</v>
      </c>
      <c r="K835">
        <v>1.3299301520303741</v>
      </c>
      <c r="L835">
        <v>0.81976190470018251</v>
      </c>
      <c r="M835">
        <v>0</v>
      </c>
    </row>
    <row r="836" spans="1:15" x14ac:dyDescent="0.15">
      <c r="A836">
        <v>265</v>
      </c>
      <c r="B836" t="s">
        <v>74</v>
      </c>
      <c r="C836" t="s">
        <v>465</v>
      </c>
      <c r="D836">
        <v>14</v>
      </c>
      <c r="E836">
        <v>7489562.98828125</v>
      </c>
      <c r="F836">
        <v>7491015.625</v>
      </c>
      <c r="G836">
        <v>7490289.306640625</v>
      </c>
      <c r="H836">
        <v>7551691.8449282963</v>
      </c>
      <c r="I836">
        <v>1.0952124027424845E-7</v>
      </c>
      <c r="J836">
        <v>1.2842720610472389E-5</v>
      </c>
      <c r="K836">
        <v>1.3299301520303741</v>
      </c>
      <c r="L836">
        <v>0.81976190470018251</v>
      </c>
      <c r="M836">
        <v>0</v>
      </c>
      <c r="N836" t="s">
        <v>466</v>
      </c>
      <c r="O836" t="s">
        <v>467</v>
      </c>
    </row>
    <row r="837" spans="1:15" x14ac:dyDescent="0.15">
      <c r="A837">
        <v>266</v>
      </c>
      <c r="B837" t="s">
        <v>110</v>
      </c>
      <c r="C837" t="s">
        <v>461</v>
      </c>
      <c r="D837">
        <v>0</v>
      </c>
      <c r="E837">
        <v>100000</v>
      </c>
      <c r="F837">
        <v>12000000</v>
      </c>
      <c r="G837">
        <v>100000</v>
      </c>
      <c r="H837">
        <v>-41822.893961158421</v>
      </c>
      <c r="I837">
        <v>-2.328026843079824E-5</v>
      </c>
      <c r="J837">
        <v>-4.2607669249219604E-6</v>
      </c>
      <c r="K837">
        <v>-9.8938736559701524E-3</v>
      </c>
      <c r="L837">
        <v>-141.82289396115843</v>
      </c>
      <c r="M837">
        <v>0</v>
      </c>
      <c r="O837" t="s">
        <v>462</v>
      </c>
    </row>
    <row r="838" spans="1:15" x14ac:dyDescent="0.15">
      <c r="A838">
        <v>266</v>
      </c>
      <c r="B838" t="s">
        <v>110</v>
      </c>
      <c r="C838" t="s">
        <v>461</v>
      </c>
      <c r="D838">
        <v>0</v>
      </c>
      <c r="E838">
        <v>100000</v>
      </c>
      <c r="F838">
        <v>12000000</v>
      </c>
      <c r="G838">
        <v>12000000</v>
      </c>
      <c r="H838">
        <v>2.1803437624445386E+18</v>
      </c>
      <c r="I838">
        <v>536.87090298049861</v>
      </c>
      <c r="J838">
        <v>536.87092200000006</v>
      </c>
      <c r="K838">
        <v>515795146367.51733</v>
      </c>
      <c r="L838">
        <v>18169531353604.488</v>
      </c>
      <c r="M838">
        <v>5</v>
      </c>
      <c r="O838" t="s">
        <v>463</v>
      </c>
    </row>
    <row r="839" spans="1:15" x14ac:dyDescent="0.15">
      <c r="A839">
        <v>266</v>
      </c>
      <c r="B839" t="s">
        <v>110</v>
      </c>
      <c r="C839" t="s">
        <v>464</v>
      </c>
      <c r="D839">
        <v>1</v>
      </c>
      <c r="E839">
        <v>100000</v>
      </c>
      <c r="F839">
        <v>12000000</v>
      </c>
      <c r="G839">
        <v>6050000</v>
      </c>
      <c r="H839">
        <v>161768434549.83389</v>
      </c>
      <c r="I839">
        <v>5.6533460685072811E-4</v>
      </c>
      <c r="J839">
        <v>5.8435410835660443E-4</v>
      </c>
      <c r="K839">
        <v>38268.90732254344</v>
      </c>
      <c r="L839">
        <v>2673758.4223113041</v>
      </c>
      <c r="M839">
        <v>0</v>
      </c>
    </row>
    <row r="840" spans="1:15" x14ac:dyDescent="0.15">
      <c r="A840">
        <v>266</v>
      </c>
      <c r="B840" t="s">
        <v>110</v>
      </c>
      <c r="C840" t="s">
        <v>464</v>
      </c>
      <c r="D840">
        <v>2</v>
      </c>
      <c r="E840">
        <v>100000</v>
      </c>
      <c r="F840">
        <v>6050000</v>
      </c>
      <c r="G840">
        <v>3075000</v>
      </c>
      <c r="H840">
        <v>-197563.97222426606</v>
      </c>
      <c r="I840">
        <v>-1.6568767671852618E-5</v>
      </c>
      <c r="J840">
        <v>2.4507338340236591E-6</v>
      </c>
      <c r="K840">
        <v>-4.6736913566378754E-2</v>
      </c>
      <c r="L840">
        <v>-106.42484462517939</v>
      </c>
      <c r="M840">
        <v>0</v>
      </c>
    </row>
    <row r="841" spans="1:15" x14ac:dyDescent="0.15">
      <c r="A841">
        <v>266</v>
      </c>
      <c r="B841" t="s">
        <v>110</v>
      </c>
      <c r="C841" t="s">
        <v>464</v>
      </c>
      <c r="D841">
        <v>3</v>
      </c>
      <c r="E841">
        <v>3075000</v>
      </c>
      <c r="F841">
        <v>6050000</v>
      </c>
      <c r="G841">
        <v>4562500</v>
      </c>
      <c r="H841">
        <v>-90850111.931652725</v>
      </c>
      <c r="I841">
        <v>-5.6550263349683561E-6</v>
      </c>
      <c r="J841">
        <v>1.3364475170907922E-5</v>
      </c>
      <c r="K841">
        <v>-21.492045240037754</v>
      </c>
      <c r="L841">
        <v>-2091.2353300088266</v>
      </c>
      <c r="M841">
        <v>0</v>
      </c>
    </row>
    <row r="842" spans="1:15" x14ac:dyDescent="0.15">
      <c r="A842">
        <v>266</v>
      </c>
      <c r="B842" t="s">
        <v>110</v>
      </c>
      <c r="C842" t="s">
        <v>464</v>
      </c>
      <c r="D842">
        <v>4</v>
      </c>
      <c r="E842">
        <v>4562500</v>
      </c>
      <c r="F842">
        <v>6050000</v>
      </c>
      <c r="G842">
        <v>5306250</v>
      </c>
      <c r="H842">
        <v>9477463597.1942749</v>
      </c>
      <c r="I842">
        <v>6.607448620058159E-5</v>
      </c>
      <c r="J842">
        <v>8.5093987706457875E-5</v>
      </c>
      <c r="K842">
        <v>2242.0454093105354</v>
      </c>
      <c r="L842">
        <v>178509.44352780731</v>
      </c>
      <c r="M842">
        <v>0</v>
      </c>
    </row>
    <row r="843" spans="1:15" x14ac:dyDescent="0.15">
      <c r="A843">
        <v>266</v>
      </c>
      <c r="B843" t="s">
        <v>110</v>
      </c>
      <c r="C843" t="s">
        <v>464</v>
      </c>
      <c r="D843">
        <v>5</v>
      </c>
      <c r="E843">
        <v>4562500</v>
      </c>
      <c r="F843">
        <v>5306250</v>
      </c>
      <c r="G843">
        <v>4934375</v>
      </c>
      <c r="H843">
        <v>1274295339.45397</v>
      </c>
      <c r="I843">
        <v>1.4246787244054524E-5</v>
      </c>
      <c r="J843">
        <v>3.3266288749930802E-5</v>
      </c>
      <c r="K843">
        <v>301.45491846303514</v>
      </c>
      <c r="L843">
        <v>25724.858050998759</v>
      </c>
      <c r="M843">
        <v>0</v>
      </c>
    </row>
    <row r="844" spans="1:15" x14ac:dyDescent="0.15">
      <c r="A844">
        <v>266</v>
      </c>
      <c r="B844" t="s">
        <v>110</v>
      </c>
      <c r="C844" t="s">
        <v>464</v>
      </c>
      <c r="D844">
        <v>6</v>
      </c>
      <c r="E844">
        <v>4562500</v>
      </c>
      <c r="F844">
        <v>4934375</v>
      </c>
      <c r="G844">
        <v>4748437.5</v>
      </c>
      <c r="H844">
        <v>110020037.26128429</v>
      </c>
      <c r="I844">
        <v>1.8943911128320311E-6</v>
      </c>
      <c r="J844">
        <v>2.0913892618708309E-5</v>
      </c>
      <c r="K844">
        <v>26.026997301985006</v>
      </c>
      <c r="L844">
        <v>2216.9734730905543</v>
      </c>
      <c r="M844">
        <v>0</v>
      </c>
    </row>
    <row r="845" spans="1:15" x14ac:dyDescent="0.15">
      <c r="A845">
        <v>266</v>
      </c>
      <c r="B845" t="s">
        <v>110</v>
      </c>
      <c r="C845" t="s">
        <v>464</v>
      </c>
      <c r="D845">
        <v>7</v>
      </c>
      <c r="E845">
        <v>4562500</v>
      </c>
      <c r="F845">
        <v>4748437.5</v>
      </c>
      <c r="G845">
        <v>4655468.75</v>
      </c>
      <c r="H845">
        <v>-84383812.354071558</v>
      </c>
      <c r="I845">
        <v>-2.4160186382478549E-6</v>
      </c>
      <c r="J845">
        <v>1.6603482867628423E-5</v>
      </c>
      <c r="K845">
        <v>-19.962338780660325</v>
      </c>
      <c r="L845">
        <v>-1912.5739186644</v>
      </c>
      <c r="M845">
        <v>0</v>
      </c>
    </row>
    <row r="846" spans="1:15" x14ac:dyDescent="0.15">
      <c r="A846">
        <v>266</v>
      </c>
      <c r="B846" t="s">
        <v>110</v>
      </c>
      <c r="C846" t="s">
        <v>464</v>
      </c>
      <c r="D846">
        <v>8</v>
      </c>
      <c r="E846">
        <v>4655468.75</v>
      </c>
      <c r="F846">
        <v>4748437.5</v>
      </c>
      <c r="G846">
        <v>4701953.125</v>
      </c>
      <c r="H846">
        <v>-17860101.366510782</v>
      </c>
      <c r="I846">
        <v>-3.8704902793077479E-7</v>
      </c>
      <c r="J846">
        <v>1.8632452477945503E-5</v>
      </c>
      <c r="K846">
        <v>-4.2250922800126363</v>
      </c>
      <c r="L846">
        <v>-479.84430919886682</v>
      </c>
      <c r="M846">
        <v>0</v>
      </c>
    </row>
    <row r="847" spans="1:15" x14ac:dyDescent="0.15">
      <c r="A847">
        <v>266</v>
      </c>
      <c r="B847" t="s">
        <v>110</v>
      </c>
      <c r="C847" t="s">
        <v>464</v>
      </c>
      <c r="D847">
        <v>9</v>
      </c>
      <c r="E847">
        <v>4701953.125</v>
      </c>
      <c r="F847">
        <v>4748437.5</v>
      </c>
      <c r="G847">
        <v>4725195.3125</v>
      </c>
      <c r="H847">
        <v>37476593.59702684</v>
      </c>
      <c r="I847">
        <v>7.203613524729039E-7</v>
      </c>
      <c r="J847">
        <v>1.9739862858349182E-5</v>
      </c>
      <c r="K847">
        <v>8.8656868759364382</v>
      </c>
      <c r="L847">
        <v>693.12263554241895</v>
      </c>
      <c r="M847">
        <v>0</v>
      </c>
    </row>
    <row r="848" spans="1:15" x14ac:dyDescent="0.15">
      <c r="A848">
        <v>266</v>
      </c>
      <c r="B848" t="s">
        <v>110</v>
      </c>
      <c r="C848" t="s">
        <v>464</v>
      </c>
      <c r="D848">
        <v>10</v>
      </c>
      <c r="E848">
        <v>4701953.125</v>
      </c>
      <c r="F848">
        <v>4725195.3125</v>
      </c>
      <c r="G848">
        <v>4713574.21875</v>
      </c>
      <c r="H848">
        <v>7777500.2963796034</v>
      </c>
      <c r="I848">
        <v>1.5852220344142573E-7</v>
      </c>
      <c r="J848">
        <v>1.9178023709317704E-5</v>
      </c>
      <c r="K848">
        <v>1.8398919348602352</v>
      </c>
      <c r="L848">
        <v>65.002181687130218</v>
      </c>
      <c r="M848">
        <v>0</v>
      </c>
    </row>
    <row r="849" spans="1:15" x14ac:dyDescent="0.15">
      <c r="A849">
        <v>266</v>
      </c>
      <c r="B849" t="s">
        <v>110</v>
      </c>
      <c r="C849" t="s">
        <v>464</v>
      </c>
      <c r="D849">
        <v>11</v>
      </c>
      <c r="E849">
        <v>4701953.125</v>
      </c>
      <c r="F849">
        <v>4713574.21875</v>
      </c>
      <c r="G849">
        <v>4707763.671875</v>
      </c>
      <c r="H849">
        <v>-5534038.9667708706</v>
      </c>
      <c r="I849">
        <v>-1.1626650486414692E-7</v>
      </c>
      <c r="J849">
        <v>1.8903235001012131E-5</v>
      </c>
      <c r="K849">
        <v>-1.3091653197240882</v>
      </c>
      <c r="L849">
        <v>-217.5513333396955</v>
      </c>
      <c r="M849">
        <v>0</v>
      </c>
    </row>
    <row r="850" spans="1:15" x14ac:dyDescent="0.15">
      <c r="A850">
        <v>266</v>
      </c>
      <c r="B850" t="s">
        <v>110</v>
      </c>
      <c r="C850" t="s">
        <v>464</v>
      </c>
      <c r="D850">
        <v>12</v>
      </c>
      <c r="E850">
        <v>4707763.671875</v>
      </c>
      <c r="F850">
        <v>4713574.21875</v>
      </c>
      <c r="G850">
        <v>4710668.9453125</v>
      </c>
      <c r="H850">
        <v>996619.36329089163</v>
      </c>
      <c r="I850">
        <v>2.062163760427319E-8</v>
      </c>
      <c r="J850">
        <v>1.9040123143480551E-5</v>
      </c>
      <c r="K850">
        <v>0.23576623063557087</v>
      </c>
      <c r="L850">
        <v>-78.843358027046051</v>
      </c>
      <c r="M850">
        <v>0</v>
      </c>
    </row>
    <row r="851" spans="1:15" x14ac:dyDescent="0.15">
      <c r="A851">
        <v>266</v>
      </c>
      <c r="B851" t="s">
        <v>110</v>
      </c>
      <c r="C851" t="s">
        <v>464</v>
      </c>
      <c r="D851">
        <v>13</v>
      </c>
      <c r="E851">
        <v>4710668.9453125</v>
      </c>
      <c r="F851">
        <v>4713574.21875</v>
      </c>
      <c r="G851">
        <v>4712121.58203125</v>
      </c>
      <c r="H851">
        <v>4355530.0802128771</v>
      </c>
      <c r="I851">
        <v>8.9444521071341748E-8</v>
      </c>
      <c r="J851">
        <v>1.910894602694762E-5</v>
      </c>
      <c r="K851">
        <v>1.0303702168105573</v>
      </c>
      <c r="L851">
        <v>-7.5675361004725454</v>
      </c>
      <c r="M851">
        <v>0</v>
      </c>
    </row>
    <row r="852" spans="1:15" x14ac:dyDescent="0.15">
      <c r="A852">
        <v>266</v>
      </c>
      <c r="B852" t="s">
        <v>110</v>
      </c>
      <c r="C852" t="s">
        <v>464</v>
      </c>
      <c r="D852">
        <v>14</v>
      </c>
      <c r="E852">
        <v>4712121.58203125</v>
      </c>
      <c r="F852">
        <v>4713574.21875</v>
      </c>
      <c r="G852">
        <v>4712847.900390625</v>
      </c>
      <c r="H852">
        <v>6058651.9455494788</v>
      </c>
      <c r="I852">
        <v>1.2395243448685425E-7</v>
      </c>
      <c r="J852">
        <v>1.9143453940363132E-5</v>
      </c>
      <c r="K852">
        <v>1.4332709001542268</v>
      </c>
      <c r="L852">
        <v>28.55606787240697</v>
      </c>
      <c r="M852">
        <v>0</v>
      </c>
    </row>
    <row r="853" spans="1:15" x14ac:dyDescent="0.15">
      <c r="A853">
        <v>266</v>
      </c>
      <c r="B853" t="s">
        <v>110</v>
      </c>
      <c r="C853" t="s">
        <v>464</v>
      </c>
      <c r="D853">
        <v>15</v>
      </c>
      <c r="E853">
        <v>4712121.58203125</v>
      </c>
      <c r="F853">
        <v>4712847.900390625</v>
      </c>
      <c r="G853">
        <v>4712484.7412109375</v>
      </c>
      <c r="H853">
        <v>5205157.7811493967</v>
      </c>
      <c r="I853">
        <v>1.0669134146334058E-7</v>
      </c>
      <c r="J853">
        <v>1.9126192847339619E-5</v>
      </c>
      <c r="K853">
        <v>1.2313632216343078</v>
      </c>
      <c r="L853">
        <v>10.454634168467569</v>
      </c>
      <c r="M853">
        <v>0</v>
      </c>
    </row>
    <row r="854" spans="1:15" x14ac:dyDescent="0.15">
      <c r="A854">
        <v>266</v>
      </c>
      <c r="B854" t="s">
        <v>110</v>
      </c>
      <c r="C854" t="s">
        <v>464</v>
      </c>
      <c r="D854">
        <v>16</v>
      </c>
      <c r="E854">
        <v>4712121.58203125</v>
      </c>
      <c r="F854">
        <v>4712484.7412109375</v>
      </c>
      <c r="G854">
        <v>4712303.1616210938</v>
      </c>
      <c r="H854">
        <v>4779890.0032757586</v>
      </c>
      <c r="I854">
        <v>9.8066736345323046E-8</v>
      </c>
      <c r="J854">
        <v>1.9117568242221601E-5</v>
      </c>
      <c r="K854">
        <v>1.1307593354435395</v>
      </c>
      <c r="L854">
        <v>1.4342634447868181</v>
      </c>
      <c r="M854">
        <v>0</v>
      </c>
    </row>
    <row r="855" spans="1:15" x14ac:dyDescent="0.15">
      <c r="A855">
        <v>266</v>
      </c>
      <c r="B855" t="s">
        <v>110</v>
      </c>
      <c r="C855" t="s">
        <v>464</v>
      </c>
      <c r="D855">
        <v>17</v>
      </c>
      <c r="E855">
        <v>4712121.58203125</v>
      </c>
      <c r="F855">
        <v>4712303.1616210938</v>
      </c>
      <c r="G855">
        <v>4712212.3718261719</v>
      </c>
      <c r="H855">
        <v>4567625.541048713</v>
      </c>
      <c r="I855">
        <v>9.375591832619517E-8</v>
      </c>
      <c r="J855">
        <v>1.9113257424202473E-5</v>
      </c>
      <c r="K855">
        <v>1.0805447861376676</v>
      </c>
      <c r="L855">
        <v>-3.0683428370488666</v>
      </c>
      <c r="M855">
        <v>0</v>
      </c>
    </row>
    <row r="856" spans="1:15" x14ac:dyDescent="0.15">
      <c r="A856">
        <v>266</v>
      </c>
      <c r="B856" t="s">
        <v>110</v>
      </c>
      <c r="C856" t="s">
        <v>464</v>
      </c>
      <c r="D856">
        <v>18</v>
      </c>
      <c r="E856">
        <v>4712212.3718261719</v>
      </c>
      <c r="F856">
        <v>4712303.1616210938</v>
      </c>
      <c r="G856">
        <v>4712257.7667236328</v>
      </c>
      <c r="H856">
        <v>4673649.7302740617</v>
      </c>
      <c r="I856">
        <v>9.5909634429982947E-8</v>
      </c>
      <c r="J856">
        <v>1.9115411140306261E-5</v>
      </c>
      <c r="K856">
        <v>1.1056265017560676</v>
      </c>
      <c r="L856">
        <v>-0.81931079242328397</v>
      </c>
      <c r="M856">
        <v>0</v>
      </c>
    </row>
    <row r="857" spans="1:15" x14ac:dyDescent="0.15">
      <c r="A857">
        <v>266</v>
      </c>
      <c r="B857" t="s">
        <v>110</v>
      </c>
      <c r="C857" t="s">
        <v>465</v>
      </c>
      <c r="D857">
        <v>18</v>
      </c>
      <c r="E857">
        <v>4712212.3718261719</v>
      </c>
      <c r="F857">
        <v>4712303.1616210938</v>
      </c>
      <c r="G857">
        <v>4712257.7667236328</v>
      </c>
      <c r="H857">
        <v>4673649.7302740617</v>
      </c>
      <c r="I857">
        <v>9.5909634429982947E-8</v>
      </c>
      <c r="J857">
        <v>1.9115411140306261E-5</v>
      </c>
      <c r="K857">
        <v>1.1056265017560676</v>
      </c>
      <c r="L857">
        <v>-0.81931079242328397</v>
      </c>
      <c r="M857">
        <v>0</v>
      </c>
      <c r="N857" t="s">
        <v>466</v>
      </c>
      <c r="O857" t="s">
        <v>467</v>
      </c>
    </row>
    <row r="858" spans="1:15" x14ac:dyDescent="0.15">
      <c r="A858">
        <v>267</v>
      </c>
      <c r="B858" t="s">
        <v>111</v>
      </c>
      <c r="C858" t="s">
        <v>461</v>
      </c>
      <c r="D858">
        <v>0</v>
      </c>
      <c r="E858">
        <v>100000</v>
      </c>
      <c r="F858">
        <v>12000000</v>
      </c>
      <c r="G858">
        <v>100000</v>
      </c>
      <c r="H858">
        <v>-41167.018973280166</v>
      </c>
      <c r="I858">
        <v>-2.3374252996471249E-5</v>
      </c>
      <c r="J858">
        <v>-4.3547514905949731E-6</v>
      </c>
      <c r="K858">
        <v>-9.8119393786741099E-3</v>
      </c>
      <c r="L858">
        <v>-141.16701897328016</v>
      </c>
      <c r="M858">
        <v>0</v>
      </c>
      <c r="O858" t="s">
        <v>462</v>
      </c>
    </row>
    <row r="859" spans="1:15" x14ac:dyDescent="0.15">
      <c r="A859">
        <v>267</v>
      </c>
      <c r="B859" t="s">
        <v>111</v>
      </c>
      <c r="C859" t="s">
        <v>461</v>
      </c>
      <c r="D859">
        <v>0</v>
      </c>
      <c r="E859">
        <v>100000</v>
      </c>
      <c r="F859">
        <v>12000000</v>
      </c>
      <c r="G859">
        <v>12000000</v>
      </c>
      <c r="H859">
        <v>2.1803437624445386E+18</v>
      </c>
      <c r="I859">
        <v>536.87090298049861</v>
      </c>
      <c r="J859">
        <v>536.87092200000006</v>
      </c>
      <c r="K859">
        <v>519673305362.7619</v>
      </c>
      <c r="L859">
        <v>18169531353604.488</v>
      </c>
      <c r="M859">
        <v>5</v>
      </c>
      <c r="O859" t="s">
        <v>463</v>
      </c>
    </row>
    <row r="860" spans="1:15" x14ac:dyDescent="0.15">
      <c r="A860">
        <v>267</v>
      </c>
      <c r="B860" t="s">
        <v>111</v>
      </c>
      <c r="C860" t="s">
        <v>464</v>
      </c>
      <c r="D860">
        <v>1</v>
      </c>
      <c r="E860">
        <v>100000</v>
      </c>
      <c r="F860">
        <v>12000000</v>
      </c>
      <c r="G860">
        <v>6050000</v>
      </c>
      <c r="H860">
        <v>136824782987.63983</v>
      </c>
      <c r="I860">
        <v>4.9712021069228251E-4</v>
      </c>
      <c r="J860">
        <v>5.1613971219815883E-4</v>
      </c>
      <c r="K860">
        <v>32611.457172702627</v>
      </c>
      <c r="L860">
        <v>2261466.6609527245</v>
      </c>
      <c r="M860">
        <v>0</v>
      </c>
    </row>
    <row r="861" spans="1:15" x14ac:dyDescent="0.15">
      <c r="A861">
        <v>267</v>
      </c>
      <c r="B861" t="s">
        <v>111</v>
      </c>
      <c r="C861" t="s">
        <v>464</v>
      </c>
      <c r="D861">
        <v>2</v>
      </c>
      <c r="E861">
        <v>100000</v>
      </c>
      <c r="F861">
        <v>6050000</v>
      </c>
      <c r="G861">
        <v>3075000</v>
      </c>
      <c r="H861">
        <v>-190604.02196337807</v>
      </c>
      <c r="I861">
        <v>-1.6680282606651019E-5</v>
      </c>
      <c r="J861">
        <v>2.3392188992252583E-6</v>
      </c>
      <c r="K861">
        <v>-4.5429451912707149E-2</v>
      </c>
      <c r="L861">
        <v>-106.19850477929685</v>
      </c>
      <c r="M861">
        <v>0</v>
      </c>
    </row>
    <row r="862" spans="1:15" x14ac:dyDescent="0.15">
      <c r="A862">
        <v>267</v>
      </c>
      <c r="B862" t="s">
        <v>111</v>
      </c>
      <c r="C862" t="s">
        <v>464</v>
      </c>
      <c r="D862">
        <v>3</v>
      </c>
      <c r="E862">
        <v>3075000</v>
      </c>
      <c r="F862">
        <v>6050000</v>
      </c>
      <c r="G862">
        <v>4562500</v>
      </c>
      <c r="H862">
        <v>-75847584.8174932</v>
      </c>
      <c r="I862">
        <v>-6.3720867065536099E-6</v>
      </c>
      <c r="J862">
        <v>1.2647414799322668E-5</v>
      </c>
      <c r="K862">
        <v>-18.077867254151283</v>
      </c>
      <c r="L862">
        <v>-1762.4128179176591</v>
      </c>
      <c r="M862">
        <v>0</v>
      </c>
    </row>
    <row r="863" spans="1:15" x14ac:dyDescent="0.15">
      <c r="A863">
        <v>267</v>
      </c>
      <c r="B863" t="s">
        <v>111</v>
      </c>
      <c r="C863" t="s">
        <v>464</v>
      </c>
      <c r="D863">
        <v>4</v>
      </c>
      <c r="E863">
        <v>4562500</v>
      </c>
      <c r="F863">
        <v>6050000</v>
      </c>
      <c r="G863">
        <v>5306250</v>
      </c>
      <c r="H863">
        <v>7716678764.8447838</v>
      </c>
      <c r="I863">
        <v>5.6622344359519382E-5</v>
      </c>
      <c r="J863">
        <v>7.564184586539566E-5</v>
      </c>
      <c r="K863">
        <v>1839.229221200173</v>
      </c>
      <c r="L863">
        <v>145326.21936103245</v>
      </c>
      <c r="M863">
        <v>0</v>
      </c>
    </row>
    <row r="864" spans="1:15" x14ac:dyDescent="0.15">
      <c r="A864">
        <v>267</v>
      </c>
      <c r="B864" t="s">
        <v>111</v>
      </c>
      <c r="C864" t="s">
        <v>464</v>
      </c>
      <c r="D864">
        <v>5</v>
      </c>
      <c r="E864">
        <v>4562500</v>
      </c>
      <c r="F864">
        <v>5306250</v>
      </c>
      <c r="G864">
        <v>4934375</v>
      </c>
      <c r="H864">
        <v>883858720.55820429</v>
      </c>
      <c r="I864">
        <v>1.0632271291409706E-5</v>
      </c>
      <c r="J864">
        <v>2.9651772797285984E-5</v>
      </c>
      <c r="K864">
        <v>210.66301135524145</v>
      </c>
      <c r="L864">
        <v>17812.272994213134</v>
      </c>
      <c r="M864">
        <v>0</v>
      </c>
    </row>
    <row r="865" spans="1:15" x14ac:dyDescent="0.15">
      <c r="A865">
        <v>267</v>
      </c>
      <c r="B865" t="s">
        <v>111</v>
      </c>
      <c r="C865" t="s">
        <v>464</v>
      </c>
      <c r="D865">
        <v>6</v>
      </c>
      <c r="E865">
        <v>4562500</v>
      </c>
      <c r="F865">
        <v>4934375</v>
      </c>
      <c r="G865">
        <v>4748437.5</v>
      </c>
      <c r="H865">
        <v>-16415872.319091003</v>
      </c>
      <c r="I865">
        <v>-3.5440069836317908E-7</v>
      </c>
      <c r="J865">
        <v>1.8665100807513099E-5</v>
      </c>
      <c r="K865">
        <v>-3.9126356015119836</v>
      </c>
      <c r="L865">
        <v>-445.71103271530905</v>
      </c>
      <c r="M865">
        <v>0</v>
      </c>
    </row>
    <row r="866" spans="1:15" x14ac:dyDescent="0.15">
      <c r="A866">
        <v>267</v>
      </c>
      <c r="B866" t="s">
        <v>111</v>
      </c>
      <c r="C866" t="s">
        <v>464</v>
      </c>
      <c r="D866">
        <v>7</v>
      </c>
      <c r="E866">
        <v>4748437.5</v>
      </c>
      <c r="F866">
        <v>4934375</v>
      </c>
      <c r="G866">
        <v>4841406.25</v>
      </c>
      <c r="H866">
        <v>316304519.90879923</v>
      </c>
      <c r="I866">
        <v>4.4965937419916743E-6</v>
      </c>
      <c r="J866">
        <v>2.3516095247867952E-5</v>
      </c>
      <c r="K866">
        <v>75.389495084891891</v>
      </c>
      <c r="L866">
        <v>6433.3191138173797</v>
      </c>
      <c r="M866">
        <v>0</v>
      </c>
    </row>
    <row r="867" spans="1:15" x14ac:dyDescent="0.15">
      <c r="A867">
        <v>267</v>
      </c>
      <c r="B867" t="s">
        <v>111</v>
      </c>
      <c r="C867" t="s">
        <v>464</v>
      </c>
      <c r="D867">
        <v>8</v>
      </c>
      <c r="E867">
        <v>4748437.5</v>
      </c>
      <c r="F867">
        <v>4841406.25</v>
      </c>
      <c r="G867">
        <v>4794921.875</v>
      </c>
      <c r="H867">
        <v>112358659.69174539</v>
      </c>
      <c r="I867">
        <v>1.9288507189473805E-6</v>
      </c>
      <c r="J867">
        <v>2.0948352224823659E-5</v>
      </c>
      <c r="K867">
        <v>26.780087192615024</v>
      </c>
      <c r="L867">
        <v>2243.2844709643027</v>
      </c>
      <c r="M867">
        <v>0</v>
      </c>
    </row>
    <row r="868" spans="1:15" x14ac:dyDescent="0.15">
      <c r="A868">
        <v>267</v>
      </c>
      <c r="B868" t="s">
        <v>111</v>
      </c>
      <c r="C868" t="s">
        <v>464</v>
      </c>
      <c r="D868">
        <v>9</v>
      </c>
      <c r="E868">
        <v>4748437.5</v>
      </c>
      <c r="F868">
        <v>4794921.875</v>
      </c>
      <c r="G868">
        <v>4771679.6875</v>
      </c>
      <c r="H868">
        <v>39343009.835678883</v>
      </c>
      <c r="I868">
        <v>7.5370941457350032E-7</v>
      </c>
      <c r="J868">
        <v>1.9773210920449778E-5</v>
      </c>
      <c r="K868">
        <v>9.3771965303783009</v>
      </c>
      <c r="L868">
        <v>724.51070508237842</v>
      </c>
      <c r="M868">
        <v>0</v>
      </c>
    </row>
    <row r="869" spans="1:15" x14ac:dyDescent="0.15">
      <c r="A869">
        <v>267</v>
      </c>
      <c r="B869" t="s">
        <v>111</v>
      </c>
      <c r="C869" t="s">
        <v>464</v>
      </c>
      <c r="D869">
        <v>10</v>
      </c>
      <c r="E869">
        <v>4748437.5</v>
      </c>
      <c r="F869">
        <v>4771679.6875</v>
      </c>
      <c r="G869">
        <v>4760058.59375</v>
      </c>
      <c r="H869">
        <v>9430276.9401243124</v>
      </c>
      <c r="I869">
        <v>1.915254012785162E-7</v>
      </c>
      <c r="J869">
        <v>1.9211026907154794E-5</v>
      </c>
      <c r="K869">
        <v>2.2476562055820737</v>
      </c>
      <c r="L869">
        <v>98.112623077924951</v>
      </c>
      <c r="M869">
        <v>0</v>
      </c>
    </row>
    <row r="870" spans="1:15" x14ac:dyDescent="0.15">
      <c r="A870">
        <v>267</v>
      </c>
      <c r="B870" t="s">
        <v>111</v>
      </c>
      <c r="C870" t="s">
        <v>464</v>
      </c>
      <c r="D870">
        <v>11</v>
      </c>
      <c r="E870">
        <v>4748437.5</v>
      </c>
      <c r="F870">
        <v>4760058.59375</v>
      </c>
      <c r="G870">
        <v>4754248.046875</v>
      </c>
      <c r="H870">
        <v>-3986177.1291827578</v>
      </c>
      <c r="I870">
        <v>-8.3439253862147299E-8</v>
      </c>
      <c r="J870">
        <v>1.8936062252014131E-5</v>
      </c>
      <c r="K870">
        <v>-0.950084055626775</v>
      </c>
      <c r="L870">
        <v>-183.84453419090954</v>
      </c>
      <c r="M870">
        <v>0</v>
      </c>
    </row>
    <row r="871" spans="1:15" x14ac:dyDescent="0.15">
      <c r="A871">
        <v>267</v>
      </c>
      <c r="B871" t="s">
        <v>111</v>
      </c>
      <c r="C871" t="s">
        <v>464</v>
      </c>
      <c r="D871">
        <v>12</v>
      </c>
      <c r="E871">
        <v>4754248.046875</v>
      </c>
      <c r="F871">
        <v>4760058.59375</v>
      </c>
      <c r="G871">
        <v>4757153.3203125</v>
      </c>
      <c r="H871">
        <v>2596850.1708931504</v>
      </c>
      <c r="I871">
        <v>5.3538671205627186E-8</v>
      </c>
      <c r="J871">
        <v>1.9073040177081905E-5</v>
      </c>
      <c r="K871">
        <v>0.61894538608300032</v>
      </c>
      <c r="L871">
        <v>-45.411678034321547</v>
      </c>
      <c r="M871">
        <v>0</v>
      </c>
    </row>
    <row r="872" spans="1:15" x14ac:dyDescent="0.15">
      <c r="A872">
        <v>267</v>
      </c>
      <c r="B872" t="s">
        <v>111</v>
      </c>
      <c r="C872" t="s">
        <v>464</v>
      </c>
      <c r="D872">
        <v>13</v>
      </c>
      <c r="E872">
        <v>4757153.3203125</v>
      </c>
      <c r="F872">
        <v>4760058.59375</v>
      </c>
      <c r="G872">
        <v>4758605.95703125</v>
      </c>
      <c r="H872">
        <v>5981954.0230862759</v>
      </c>
      <c r="I872">
        <v>1.2240390548218702E-7</v>
      </c>
      <c r="J872">
        <v>1.9141905411358465E-5</v>
      </c>
      <c r="K872">
        <v>1.4257668323915924</v>
      </c>
      <c r="L872">
        <v>25.708118661252541</v>
      </c>
      <c r="M872">
        <v>0</v>
      </c>
    </row>
    <row r="873" spans="1:15" x14ac:dyDescent="0.15">
      <c r="A873">
        <v>267</v>
      </c>
      <c r="B873" t="s">
        <v>111</v>
      </c>
      <c r="C873" t="s">
        <v>464</v>
      </c>
      <c r="D873">
        <v>14</v>
      </c>
      <c r="E873">
        <v>4757153.3203125</v>
      </c>
      <c r="F873">
        <v>4758605.95703125</v>
      </c>
      <c r="G873">
        <v>4757879.638671875</v>
      </c>
      <c r="H873">
        <v>4281587.2038551653</v>
      </c>
      <c r="I873">
        <v>8.7940493069461645E-8</v>
      </c>
      <c r="J873">
        <v>1.910744199894574E-5</v>
      </c>
      <c r="K873">
        <v>1.0204934711449738</v>
      </c>
      <c r="L873">
        <v>-10.010602852275243</v>
      </c>
      <c r="M873">
        <v>0</v>
      </c>
    </row>
    <row r="874" spans="1:15" x14ac:dyDescent="0.15">
      <c r="A874">
        <v>267</v>
      </c>
      <c r="B874" t="s">
        <v>111</v>
      </c>
      <c r="C874" t="s">
        <v>464</v>
      </c>
      <c r="D874">
        <v>15</v>
      </c>
      <c r="E874">
        <v>4757879.638671875</v>
      </c>
      <c r="F874">
        <v>4758605.95703125</v>
      </c>
      <c r="G874">
        <v>4758242.7978515625</v>
      </c>
      <c r="H874">
        <v>5129842.4341780329</v>
      </c>
      <c r="I874">
        <v>1.0516508233366368E-7</v>
      </c>
      <c r="J874">
        <v>1.9124666588209942E-5</v>
      </c>
      <c r="K874">
        <v>1.222670580519188</v>
      </c>
      <c r="L874">
        <v>7.8095980409880461</v>
      </c>
      <c r="M874">
        <v>0</v>
      </c>
    </row>
    <row r="875" spans="1:15" x14ac:dyDescent="0.15">
      <c r="A875">
        <v>267</v>
      </c>
      <c r="B875" t="s">
        <v>111</v>
      </c>
      <c r="C875" t="s">
        <v>464</v>
      </c>
      <c r="D875">
        <v>16</v>
      </c>
      <c r="E875">
        <v>4757879.638671875</v>
      </c>
      <c r="F875">
        <v>4758242.7978515625</v>
      </c>
      <c r="G875">
        <v>4758061.2182617188</v>
      </c>
      <c r="H875">
        <v>4705146.238536668</v>
      </c>
      <c r="I875">
        <v>9.6549244060589284E-8</v>
      </c>
      <c r="J875">
        <v>1.9116050749936867E-5</v>
      </c>
      <c r="K875">
        <v>1.1214465077076181</v>
      </c>
      <c r="L875">
        <v>-1.1121122091065145</v>
      </c>
      <c r="M875">
        <v>0</v>
      </c>
    </row>
    <row r="876" spans="1:15" x14ac:dyDescent="0.15">
      <c r="A876">
        <v>267</v>
      </c>
      <c r="B876" t="s">
        <v>111</v>
      </c>
      <c r="C876" t="s">
        <v>464</v>
      </c>
      <c r="D876">
        <v>17</v>
      </c>
      <c r="E876">
        <v>4758061.2182617188</v>
      </c>
      <c r="F876">
        <v>4758242.7978515625</v>
      </c>
      <c r="G876">
        <v>4758152.0080566406</v>
      </c>
      <c r="H876">
        <v>4917410.0822563516</v>
      </c>
      <c r="I876">
        <v>1.0085745385589957E-7</v>
      </c>
      <c r="J876">
        <v>1.9120358959732178E-5</v>
      </c>
      <c r="K876">
        <v>1.1720384625978593</v>
      </c>
      <c r="L876">
        <v>3.3470573014491887</v>
      </c>
      <c r="M876">
        <v>0</v>
      </c>
    </row>
    <row r="877" spans="1:15" x14ac:dyDescent="0.15">
      <c r="A877">
        <v>267</v>
      </c>
      <c r="B877" t="s">
        <v>111</v>
      </c>
      <c r="C877" t="s">
        <v>464</v>
      </c>
      <c r="D877">
        <v>18</v>
      </c>
      <c r="E877">
        <v>4758061.2182617188</v>
      </c>
      <c r="F877">
        <v>4758152.0080566406</v>
      </c>
      <c r="G877">
        <v>4758106.6131591797</v>
      </c>
      <c r="H877">
        <v>4811208.7684068354</v>
      </c>
      <c r="I877">
        <v>9.8702440868362045E-8</v>
      </c>
      <c r="J877">
        <v>1.911820394674464E-5</v>
      </c>
      <c r="K877">
        <v>1.1467259459421513</v>
      </c>
      <c r="L877">
        <v>1.1160354225942435</v>
      </c>
      <c r="M877">
        <v>0</v>
      </c>
    </row>
    <row r="878" spans="1:15" x14ac:dyDescent="0.15">
      <c r="A878">
        <v>267</v>
      </c>
      <c r="B878" t="s">
        <v>111</v>
      </c>
      <c r="C878" t="s">
        <v>464</v>
      </c>
      <c r="D878">
        <v>19</v>
      </c>
      <c r="E878">
        <v>4758061.2182617188</v>
      </c>
      <c r="F878">
        <v>4758106.6131591797</v>
      </c>
      <c r="G878">
        <v>4758083.9157104492</v>
      </c>
      <c r="H878">
        <v>4758247.1124920007</v>
      </c>
      <c r="I878">
        <v>9.7627380620767928E-8</v>
      </c>
      <c r="J878">
        <v>1.9117128886497046E-5</v>
      </c>
      <c r="K878">
        <v>1.1341028177635519</v>
      </c>
      <c r="L878">
        <v>3.4298844754001739E-3</v>
      </c>
      <c r="M878">
        <v>0</v>
      </c>
    </row>
    <row r="879" spans="1:15" x14ac:dyDescent="0.15">
      <c r="A879">
        <v>267</v>
      </c>
      <c r="B879" t="s">
        <v>111</v>
      </c>
      <c r="C879" t="s">
        <v>465</v>
      </c>
      <c r="D879">
        <v>19</v>
      </c>
      <c r="E879">
        <v>4758061.2182617188</v>
      </c>
      <c r="F879">
        <v>4758106.6131591797</v>
      </c>
      <c r="G879">
        <v>4758083.9157104492</v>
      </c>
      <c r="H879">
        <v>4758247.1124920007</v>
      </c>
      <c r="I879">
        <v>9.7627380620767928E-8</v>
      </c>
      <c r="J879">
        <v>1.9117128886497046E-5</v>
      </c>
      <c r="K879">
        <v>1.1341028177635519</v>
      </c>
      <c r="L879">
        <v>3.4298844754001739E-3</v>
      </c>
      <c r="M879">
        <v>0</v>
      </c>
      <c r="N879" t="s">
        <v>466</v>
      </c>
      <c r="O879" t="s">
        <v>467</v>
      </c>
    </row>
    <row r="880" spans="1:15" x14ac:dyDescent="0.15">
      <c r="A880">
        <v>268</v>
      </c>
      <c r="B880" t="s">
        <v>112</v>
      </c>
      <c r="C880" t="s">
        <v>461</v>
      </c>
      <c r="D880">
        <v>0</v>
      </c>
      <c r="E880">
        <v>100000</v>
      </c>
      <c r="F880">
        <v>12000000</v>
      </c>
      <c r="G880">
        <v>100000</v>
      </c>
      <c r="H880">
        <v>-41852.052014044173</v>
      </c>
      <c r="I880">
        <v>-2.3197379044147295E-5</v>
      </c>
      <c r="J880">
        <v>-4.251151099407869E-6</v>
      </c>
      <c r="K880">
        <v>-9.9081656126006092E-3</v>
      </c>
      <c r="L880">
        <v>-141.85205201404418</v>
      </c>
      <c r="M880">
        <v>0</v>
      </c>
      <c r="O880" t="s">
        <v>462</v>
      </c>
    </row>
    <row r="881" spans="1:15" x14ac:dyDescent="0.15">
      <c r="A881">
        <v>268</v>
      </c>
      <c r="B881" t="s">
        <v>112</v>
      </c>
      <c r="C881" t="s">
        <v>461</v>
      </c>
      <c r="D881">
        <v>0</v>
      </c>
      <c r="E881">
        <v>100000</v>
      </c>
      <c r="F881">
        <v>12000000</v>
      </c>
      <c r="G881">
        <v>12000000</v>
      </c>
      <c r="H881">
        <v>2.1934984301954424E+18</v>
      </c>
      <c r="I881">
        <v>536.87090305377217</v>
      </c>
      <c r="J881">
        <v>536.87092200000006</v>
      </c>
      <c r="K881">
        <v>519294626463.30542</v>
      </c>
      <c r="L881">
        <v>18279153584862.02</v>
      </c>
      <c r="M881">
        <v>5</v>
      </c>
      <c r="O881" t="s">
        <v>463</v>
      </c>
    </row>
    <row r="882" spans="1:15" x14ac:dyDescent="0.15">
      <c r="A882">
        <v>268</v>
      </c>
      <c r="B882" t="s">
        <v>112</v>
      </c>
      <c r="C882" t="s">
        <v>464</v>
      </c>
      <c r="D882">
        <v>1</v>
      </c>
      <c r="E882">
        <v>100000</v>
      </c>
      <c r="F882">
        <v>12000000</v>
      </c>
      <c r="G882">
        <v>6050000</v>
      </c>
      <c r="H882">
        <v>154462664158.36325</v>
      </c>
      <c r="I882">
        <v>5.4300580966094359E-4</v>
      </c>
      <c r="J882">
        <v>5.61952037605683E-4</v>
      </c>
      <c r="K882">
        <v>36567.900109915885</v>
      </c>
      <c r="L882">
        <v>2553001.8869150952</v>
      </c>
      <c r="M882">
        <v>0</v>
      </c>
    </row>
    <row r="883" spans="1:15" x14ac:dyDescent="0.15">
      <c r="A883">
        <v>268</v>
      </c>
      <c r="B883" t="s">
        <v>112</v>
      </c>
      <c r="C883" t="s">
        <v>464</v>
      </c>
      <c r="D883">
        <v>2</v>
      </c>
      <c r="E883">
        <v>100000</v>
      </c>
      <c r="F883">
        <v>6050000</v>
      </c>
      <c r="G883">
        <v>3075000</v>
      </c>
      <c r="H883">
        <v>-197092.53098421905</v>
      </c>
      <c r="I883">
        <v>-1.6517377872984518E-5</v>
      </c>
      <c r="J883">
        <v>2.4288500717549092E-6</v>
      </c>
      <c r="K883">
        <v>-4.6660207660617334E-2</v>
      </c>
      <c r="L883">
        <v>-106.40951320273884</v>
      </c>
      <c r="M883">
        <v>0</v>
      </c>
    </row>
    <row r="884" spans="1:15" x14ac:dyDescent="0.15">
      <c r="A884">
        <v>268</v>
      </c>
      <c r="B884" t="s">
        <v>112</v>
      </c>
      <c r="C884" t="s">
        <v>464</v>
      </c>
      <c r="D884">
        <v>3</v>
      </c>
      <c r="E884">
        <v>3075000</v>
      </c>
      <c r="F884">
        <v>6050000</v>
      </c>
      <c r="G884">
        <v>4562500</v>
      </c>
      <c r="H884">
        <v>-88171938.260031864</v>
      </c>
      <c r="I884">
        <v>-5.774335675272005E-6</v>
      </c>
      <c r="J884">
        <v>1.3171892269467421E-5</v>
      </c>
      <c r="K884">
        <v>-20.874058131516055</v>
      </c>
      <c r="L884">
        <v>-2032.5356330965888</v>
      </c>
      <c r="M884">
        <v>0</v>
      </c>
    </row>
    <row r="885" spans="1:15" x14ac:dyDescent="0.15">
      <c r="A885">
        <v>268</v>
      </c>
      <c r="B885" t="s">
        <v>112</v>
      </c>
      <c r="C885" t="s">
        <v>464</v>
      </c>
      <c r="D885">
        <v>4</v>
      </c>
      <c r="E885">
        <v>4562500</v>
      </c>
      <c r="F885">
        <v>6050000</v>
      </c>
      <c r="G885">
        <v>5306250</v>
      </c>
      <c r="H885">
        <v>9020873283.2495823</v>
      </c>
      <c r="I885">
        <v>6.3377929342397308E-5</v>
      </c>
      <c r="J885">
        <v>8.2324157287136732E-5</v>
      </c>
      <c r="K885">
        <v>2135.6254271768553</v>
      </c>
      <c r="L885">
        <v>169904.67907184135</v>
      </c>
      <c r="M885">
        <v>0</v>
      </c>
    </row>
    <row r="886" spans="1:15" x14ac:dyDescent="0.15">
      <c r="A886">
        <v>268</v>
      </c>
      <c r="B886" t="s">
        <v>112</v>
      </c>
      <c r="C886" t="s">
        <v>464</v>
      </c>
      <c r="D886">
        <v>5</v>
      </c>
      <c r="E886">
        <v>4562500</v>
      </c>
      <c r="F886">
        <v>5306250</v>
      </c>
      <c r="G886">
        <v>4934375</v>
      </c>
      <c r="H886">
        <v>1178225946.284385</v>
      </c>
      <c r="I886">
        <v>1.3327857672469585E-5</v>
      </c>
      <c r="J886">
        <v>3.2274085617209011E-5</v>
      </c>
      <c r="K886">
        <v>278.93633031258122</v>
      </c>
      <c r="L886">
        <v>23777.916580810841</v>
      </c>
      <c r="M886">
        <v>0</v>
      </c>
    </row>
    <row r="887" spans="1:15" x14ac:dyDescent="0.15">
      <c r="A887">
        <v>268</v>
      </c>
      <c r="B887" t="s">
        <v>112</v>
      </c>
      <c r="C887" t="s">
        <v>464</v>
      </c>
      <c r="D887">
        <v>6</v>
      </c>
      <c r="E887">
        <v>4562500</v>
      </c>
      <c r="F887">
        <v>4934375</v>
      </c>
      <c r="G887">
        <v>4748437.5</v>
      </c>
      <c r="H887">
        <v>76291454.120730445</v>
      </c>
      <c r="I887">
        <v>1.3715711920636531E-6</v>
      </c>
      <c r="J887">
        <v>2.0317799136803079E-5</v>
      </c>
      <c r="K887">
        <v>18.061440858399497</v>
      </c>
      <c r="L887">
        <v>1506.664384247038</v>
      </c>
      <c r="M887">
        <v>0</v>
      </c>
    </row>
    <row r="888" spans="1:15" x14ac:dyDescent="0.15">
      <c r="A888">
        <v>268</v>
      </c>
      <c r="B888" t="s">
        <v>112</v>
      </c>
      <c r="C888" t="s">
        <v>464</v>
      </c>
      <c r="D888">
        <v>7</v>
      </c>
      <c r="E888">
        <v>4562500</v>
      </c>
      <c r="F888">
        <v>4748437.5</v>
      </c>
      <c r="G888">
        <v>4655468.75</v>
      </c>
      <c r="H888">
        <v>-91863609.403586149</v>
      </c>
      <c r="I888">
        <v>-2.8052958478182736E-6</v>
      </c>
      <c r="J888">
        <v>1.6140932096921153E-5</v>
      </c>
      <c r="K888">
        <v>-21.748034133106614</v>
      </c>
      <c r="L888">
        <v>-2073.2408128308484</v>
      </c>
      <c r="M888">
        <v>0</v>
      </c>
    </row>
    <row r="889" spans="1:15" x14ac:dyDescent="0.15">
      <c r="A889">
        <v>268</v>
      </c>
      <c r="B889" t="s">
        <v>112</v>
      </c>
      <c r="C889" t="s">
        <v>464</v>
      </c>
      <c r="D889">
        <v>8</v>
      </c>
      <c r="E889">
        <v>4655468.75</v>
      </c>
      <c r="F889">
        <v>4748437.5</v>
      </c>
      <c r="G889">
        <v>4701953.125</v>
      </c>
      <c r="H889">
        <v>-36766064.602689981</v>
      </c>
      <c r="I889">
        <v>-8.3902749396920181E-7</v>
      </c>
      <c r="J889">
        <v>1.8107200450770225E-5</v>
      </c>
      <c r="K889">
        <v>-8.704095485802787</v>
      </c>
      <c r="L889">
        <v>-881.93175527861058</v>
      </c>
      <c r="M889">
        <v>0</v>
      </c>
    </row>
    <row r="890" spans="1:15" x14ac:dyDescent="0.15">
      <c r="A890">
        <v>268</v>
      </c>
      <c r="B890" t="s">
        <v>112</v>
      </c>
      <c r="C890" t="s">
        <v>464</v>
      </c>
      <c r="D890">
        <v>9</v>
      </c>
      <c r="E890">
        <v>4701953.125</v>
      </c>
      <c r="F890">
        <v>4748437.5</v>
      </c>
      <c r="G890">
        <v>4725195.3125</v>
      </c>
      <c r="H890">
        <v>11608585.815753398</v>
      </c>
      <c r="I890">
        <v>2.3388513026143296E-7</v>
      </c>
      <c r="J890">
        <v>1.9180113075000859E-5</v>
      </c>
      <c r="K890">
        <v>2.7482473440483668</v>
      </c>
      <c r="L890">
        <v>145.6742007053999</v>
      </c>
      <c r="M890">
        <v>0</v>
      </c>
    </row>
    <row r="891" spans="1:15" x14ac:dyDescent="0.15">
      <c r="A891">
        <v>268</v>
      </c>
      <c r="B891" t="s">
        <v>112</v>
      </c>
      <c r="C891" t="s">
        <v>464</v>
      </c>
      <c r="D891">
        <v>10</v>
      </c>
      <c r="E891">
        <v>4701953.125</v>
      </c>
      <c r="F891">
        <v>4725195.3125</v>
      </c>
      <c r="G891">
        <v>4713574.21875</v>
      </c>
      <c r="H891">
        <v>-14498413.541067764</v>
      </c>
      <c r="I891">
        <v>-3.1042865056235363E-7</v>
      </c>
      <c r="J891">
        <v>1.8635799294177073E-5</v>
      </c>
      <c r="K891">
        <v>-3.4323928116276239</v>
      </c>
      <c r="L891">
        <v>-407.58852769083205</v>
      </c>
      <c r="M891">
        <v>0</v>
      </c>
    </row>
    <row r="892" spans="1:15" x14ac:dyDescent="0.15">
      <c r="A892">
        <v>268</v>
      </c>
      <c r="B892" t="s">
        <v>112</v>
      </c>
      <c r="C892" t="s">
        <v>464</v>
      </c>
      <c r="D892">
        <v>11</v>
      </c>
      <c r="E892">
        <v>4713574.21875</v>
      </c>
      <c r="F892">
        <v>4725195.3125</v>
      </c>
      <c r="G892">
        <v>4719384.765625</v>
      </c>
      <c r="H892">
        <v>-1939330.4095159513</v>
      </c>
      <c r="I892">
        <v>-4.0265501091983928E-8</v>
      </c>
      <c r="J892">
        <v>1.8905962443647442E-5</v>
      </c>
      <c r="K892">
        <v>-0.4591222162437486</v>
      </c>
      <c r="L892">
        <v>-141.09286497768997</v>
      </c>
      <c r="M892">
        <v>0</v>
      </c>
    </row>
    <row r="893" spans="1:15" x14ac:dyDescent="0.15">
      <c r="A893">
        <v>268</v>
      </c>
      <c r="B893" t="s">
        <v>112</v>
      </c>
      <c r="C893" t="s">
        <v>464</v>
      </c>
      <c r="D893">
        <v>12</v>
      </c>
      <c r="E893">
        <v>4719384.765625</v>
      </c>
      <c r="F893">
        <v>4725195.3125</v>
      </c>
      <c r="G893">
        <v>4722290.0390625</v>
      </c>
      <c r="H893">
        <v>4709180.4290750874</v>
      </c>
      <c r="I893">
        <v>9.6307649486846098E-8</v>
      </c>
      <c r="J893">
        <v>1.9042535594226273E-5</v>
      </c>
      <c r="K893">
        <v>1.1148638440771368</v>
      </c>
      <c r="L893">
        <v>-0.2776112834868395</v>
      </c>
      <c r="M893">
        <v>0</v>
      </c>
    </row>
    <row r="894" spans="1:15" x14ac:dyDescent="0.15">
      <c r="A894">
        <v>268</v>
      </c>
      <c r="B894" t="s">
        <v>112</v>
      </c>
      <c r="C894" t="s">
        <v>465</v>
      </c>
      <c r="D894">
        <v>12</v>
      </c>
      <c r="E894">
        <v>4719384.765625</v>
      </c>
      <c r="F894">
        <v>4725195.3125</v>
      </c>
      <c r="G894">
        <v>4722290.0390625</v>
      </c>
      <c r="H894">
        <v>4709180.4290750874</v>
      </c>
      <c r="I894">
        <v>9.6307649486846098E-8</v>
      </c>
      <c r="J894">
        <v>1.9042535594226273E-5</v>
      </c>
      <c r="K894">
        <v>1.1148638440771368</v>
      </c>
      <c r="L894">
        <v>-0.2776112834868395</v>
      </c>
      <c r="M894">
        <v>0</v>
      </c>
      <c r="N894" t="s">
        <v>466</v>
      </c>
      <c r="O894" t="s">
        <v>467</v>
      </c>
    </row>
    <row r="895" spans="1:15" x14ac:dyDescent="0.15">
      <c r="A895">
        <v>269</v>
      </c>
      <c r="B895" t="s">
        <v>113</v>
      </c>
      <c r="C895" t="s">
        <v>461</v>
      </c>
      <c r="D895">
        <v>0</v>
      </c>
      <c r="E895">
        <v>100000</v>
      </c>
      <c r="F895">
        <v>12000000</v>
      </c>
      <c r="G895">
        <v>100000</v>
      </c>
      <c r="H895">
        <v>-41910.109601963122</v>
      </c>
      <c r="I895">
        <v>-2.3033075846550142E-5</v>
      </c>
      <c r="J895">
        <v>-4.232045364668526E-6</v>
      </c>
      <c r="K895">
        <v>-9.996567282219402E-3</v>
      </c>
      <c r="L895">
        <v>-141.91010960196311</v>
      </c>
      <c r="M895">
        <v>0</v>
      </c>
      <c r="O895" t="s">
        <v>462</v>
      </c>
    </row>
    <row r="896" spans="1:15" x14ac:dyDescent="0.15">
      <c r="A896">
        <v>269</v>
      </c>
      <c r="B896" t="s">
        <v>113</v>
      </c>
      <c r="C896" t="s">
        <v>461</v>
      </c>
      <c r="D896">
        <v>0</v>
      </c>
      <c r="E896">
        <v>100000</v>
      </c>
      <c r="F896">
        <v>12000000</v>
      </c>
      <c r="G896">
        <v>12000000</v>
      </c>
      <c r="H896">
        <v>2.219953835638783E+18</v>
      </c>
      <c r="I896">
        <v>536.87090319896959</v>
      </c>
      <c r="J896">
        <v>536.87092200000006</v>
      </c>
      <c r="K896">
        <v>529512284557.3429</v>
      </c>
      <c r="L896">
        <v>18499615296889.859</v>
      </c>
      <c r="M896">
        <v>5</v>
      </c>
      <c r="O896" t="s">
        <v>463</v>
      </c>
    </row>
    <row r="897" spans="1:13" x14ac:dyDescent="0.15">
      <c r="A897">
        <v>269</v>
      </c>
      <c r="B897" t="s">
        <v>113</v>
      </c>
      <c r="C897" t="s">
        <v>464</v>
      </c>
      <c r="D897">
        <v>1</v>
      </c>
      <c r="E897">
        <v>100000</v>
      </c>
      <c r="F897">
        <v>12000000</v>
      </c>
      <c r="G897">
        <v>6050000</v>
      </c>
      <c r="H897">
        <v>140904571013.36203</v>
      </c>
      <c r="I897">
        <v>5.0123335532204427E-4</v>
      </c>
      <c r="J897">
        <v>5.2003438580392586E-4</v>
      </c>
      <c r="K897">
        <v>33609.12290339981</v>
      </c>
      <c r="L897">
        <v>2328901.1737745791</v>
      </c>
      <c r="M897">
        <v>0</v>
      </c>
    </row>
    <row r="898" spans="1:13" x14ac:dyDescent="0.15">
      <c r="A898">
        <v>269</v>
      </c>
      <c r="B898" t="s">
        <v>113</v>
      </c>
      <c r="C898" t="s">
        <v>464</v>
      </c>
      <c r="D898">
        <v>2</v>
      </c>
      <c r="E898">
        <v>100000</v>
      </c>
      <c r="F898">
        <v>6050000</v>
      </c>
      <c r="G898">
        <v>3075000</v>
      </c>
      <c r="H898">
        <v>-196185.63810659215</v>
      </c>
      <c r="I898">
        <v>-1.641501222493805E-5</v>
      </c>
      <c r="J898">
        <v>2.3860182569435657E-6</v>
      </c>
      <c r="K898">
        <v>-4.6794984545824966E-2</v>
      </c>
      <c r="L898">
        <v>-106.38002075143389</v>
      </c>
      <c r="M898">
        <v>0</v>
      </c>
    </row>
    <row r="899" spans="1:13" x14ac:dyDescent="0.15">
      <c r="A899">
        <v>269</v>
      </c>
      <c r="B899" t="s">
        <v>113</v>
      </c>
      <c r="C899" t="s">
        <v>464</v>
      </c>
      <c r="D899">
        <v>3</v>
      </c>
      <c r="E899">
        <v>3075000</v>
      </c>
      <c r="F899">
        <v>6050000</v>
      </c>
      <c r="G899">
        <v>4562500</v>
      </c>
      <c r="H899">
        <v>-82317216.666933894</v>
      </c>
      <c r="I899">
        <v>-6.0030272259180108E-6</v>
      </c>
      <c r="J899">
        <v>1.2798003255963604E-5</v>
      </c>
      <c r="K899">
        <v>-19.634632376563669</v>
      </c>
      <c r="L899">
        <v>-1904.2129680423868</v>
      </c>
      <c r="M899">
        <v>0</v>
      </c>
    </row>
    <row r="900" spans="1:13" x14ac:dyDescent="0.15">
      <c r="A900">
        <v>269</v>
      </c>
      <c r="B900" t="s">
        <v>113</v>
      </c>
      <c r="C900" t="s">
        <v>464</v>
      </c>
      <c r="D900">
        <v>4</v>
      </c>
      <c r="E900">
        <v>4562500</v>
      </c>
      <c r="F900">
        <v>6050000</v>
      </c>
      <c r="G900">
        <v>5306250</v>
      </c>
      <c r="H900">
        <v>8169132317.9268284</v>
      </c>
      <c r="I900">
        <v>5.829301104868045E-5</v>
      </c>
      <c r="J900">
        <v>7.7094041530562061E-5</v>
      </c>
      <c r="K900">
        <v>1948.5341753838618</v>
      </c>
      <c r="L900">
        <v>153853.0236593984</v>
      </c>
      <c r="M900">
        <v>0</v>
      </c>
    </row>
    <row r="901" spans="1:13" x14ac:dyDescent="0.15">
      <c r="A901">
        <v>269</v>
      </c>
      <c r="B901" t="s">
        <v>113</v>
      </c>
      <c r="C901" t="s">
        <v>464</v>
      </c>
      <c r="D901">
        <v>5</v>
      </c>
      <c r="E901">
        <v>4562500</v>
      </c>
      <c r="F901">
        <v>5306250</v>
      </c>
      <c r="G901">
        <v>4934375</v>
      </c>
      <c r="H901">
        <v>1000415114.3893926</v>
      </c>
      <c r="I901">
        <v>1.1591344038076901E-5</v>
      </c>
      <c r="J901">
        <v>3.0392374519958516E-5</v>
      </c>
      <c r="K901">
        <v>238.62302189432444</v>
      </c>
      <c r="L901">
        <v>20174.403838163751</v>
      </c>
      <c r="M901">
        <v>0</v>
      </c>
    </row>
    <row r="902" spans="1:13" x14ac:dyDescent="0.15">
      <c r="A902">
        <v>269</v>
      </c>
      <c r="B902" t="s">
        <v>113</v>
      </c>
      <c r="C902" t="s">
        <v>464</v>
      </c>
      <c r="D902">
        <v>6</v>
      </c>
      <c r="E902">
        <v>4562500</v>
      </c>
      <c r="F902">
        <v>4934375</v>
      </c>
      <c r="G902">
        <v>4748437.5</v>
      </c>
      <c r="H902">
        <v>19462749.797527015</v>
      </c>
      <c r="I902">
        <v>3.8323023805331288E-7</v>
      </c>
      <c r="J902">
        <v>1.9184260719934928E-5</v>
      </c>
      <c r="K902">
        <v>4.6423330718005893</v>
      </c>
      <c r="L902">
        <v>309.8769289377193</v>
      </c>
      <c r="M902">
        <v>0</v>
      </c>
    </row>
    <row r="903" spans="1:13" x14ac:dyDescent="0.15">
      <c r="A903">
        <v>269</v>
      </c>
      <c r="B903" t="s">
        <v>113</v>
      </c>
      <c r="C903" t="s">
        <v>464</v>
      </c>
      <c r="D903">
        <v>7</v>
      </c>
      <c r="E903">
        <v>4562500</v>
      </c>
      <c r="F903">
        <v>4748437.5</v>
      </c>
      <c r="G903">
        <v>4655468.75</v>
      </c>
      <c r="H903">
        <v>-100821649.30882974</v>
      </c>
      <c r="I903">
        <v>-3.5399442191550131E-6</v>
      </c>
      <c r="J903">
        <v>1.5261086262726602E-5</v>
      </c>
      <c r="K903">
        <v>-24.048383800285645</v>
      </c>
      <c r="L903">
        <v>-2265.6605322252403</v>
      </c>
      <c r="M903">
        <v>0</v>
      </c>
    </row>
    <row r="904" spans="1:13" x14ac:dyDescent="0.15">
      <c r="A904">
        <v>269</v>
      </c>
      <c r="B904" t="s">
        <v>113</v>
      </c>
      <c r="C904" t="s">
        <v>464</v>
      </c>
      <c r="D904">
        <v>8</v>
      </c>
      <c r="E904">
        <v>4655468.75</v>
      </c>
      <c r="F904">
        <v>4748437.5</v>
      </c>
      <c r="G904">
        <v>4701953.125</v>
      </c>
      <c r="H904">
        <v>-66430684.918724336</v>
      </c>
      <c r="I904">
        <v>-1.6924335026730793E-6</v>
      </c>
      <c r="J904">
        <v>1.7108596979208535E-5</v>
      </c>
      <c r="K904">
        <v>-15.845313164316785</v>
      </c>
      <c r="L904">
        <v>-1512.831713815189</v>
      </c>
      <c r="M904">
        <v>0</v>
      </c>
    </row>
    <row r="905" spans="1:13" x14ac:dyDescent="0.15">
      <c r="A905">
        <v>269</v>
      </c>
      <c r="B905" t="s">
        <v>113</v>
      </c>
      <c r="C905" t="s">
        <v>464</v>
      </c>
      <c r="D905">
        <v>9</v>
      </c>
      <c r="E905">
        <v>4701953.125</v>
      </c>
      <c r="F905">
        <v>4748437.5</v>
      </c>
      <c r="G905">
        <v>4725195.3125</v>
      </c>
      <c r="H905">
        <v>-30768289.534171999</v>
      </c>
      <c r="I905">
        <v>-6.8483277761280164E-7</v>
      </c>
      <c r="J905">
        <v>1.8116197704268813E-5</v>
      </c>
      <c r="K905">
        <v>-7.3389757127418758</v>
      </c>
      <c r="L905">
        <v>-751.15381480163944</v>
      </c>
      <c r="M905">
        <v>0</v>
      </c>
    </row>
    <row r="906" spans="1:13" x14ac:dyDescent="0.15">
      <c r="A906">
        <v>269</v>
      </c>
      <c r="B906" t="s">
        <v>113</v>
      </c>
      <c r="C906" t="s">
        <v>464</v>
      </c>
      <c r="D906">
        <v>10</v>
      </c>
      <c r="E906">
        <v>4725195.3125</v>
      </c>
      <c r="F906">
        <v>4748437.5</v>
      </c>
      <c r="G906">
        <v>4736816.40625</v>
      </c>
      <c r="H906">
        <v>-7585932.5427875314</v>
      </c>
      <c r="I906">
        <v>-1.5858587875025633E-7</v>
      </c>
      <c r="J906">
        <v>1.8642444603131358E-5</v>
      </c>
      <c r="K906">
        <v>-1.8094270280505576</v>
      </c>
      <c r="L906">
        <v>-260.14833365249837</v>
      </c>
      <c r="M906">
        <v>0</v>
      </c>
    </row>
    <row r="907" spans="1:13" x14ac:dyDescent="0.15">
      <c r="A907">
        <v>269</v>
      </c>
      <c r="B907" t="s">
        <v>113</v>
      </c>
      <c r="C907" t="s">
        <v>464</v>
      </c>
      <c r="D907">
        <v>11</v>
      </c>
      <c r="E907">
        <v>4736816.40625</v>
      </c>
      <c r="F907">
        <v>4748437.5</v>
      </c>
      <c r="G907">
        <v>4742626.953125</v>
      </c>
      <c r="H907">
        <v>5440664.5210246257</v>
      </c>
      <c r="I907">
        <v>1.1034727221227576E-7</v>
      </c>
      <c r="J907">
        <v>1.8911377754093891E-5</v>
      </c>
      <c r="K907">
        <v>1.2977291030959048</v>
      </c>
      <c r="L907">
        <v>14.718373905408617</v>
      </c>
      <c r="M907">
        <v>0</v>
      </c>
    </row>
    <row r="908" spans="1:13" x14ac:dyDescent="0.15">
      <c r="A908">
        <v>269</v>
      </c>
      <c r="B908" t="s">
        <v>113</v>
      </c>
      <c r="C908" t="s">
        <v>464</v>
      </c>
      <c r="D908">
        <v>12</v>
      </c>
      <c r="E908">
        <v>4736816.40625</v>
      </c>
      <c r="F908">
        <v>4742626.953125</v>
      </c>
      <c r="G908">
        <v>4739721.6796875</v>
      </c>
      <c r="H908">
        <v>-1195166.5834901955</v>
      </c>
      <c r="I908">
        <v>-2.460784667726682E-8</v>
      </c>
      <c r="J908">
        <v>1.8776422635204348E-5</v>
      </c>
      <c r="K908">
        <v>-0.28507592270196286</v>
      </c>
      <c r="L908">
        <v>-125.21596549882219</v>
      </c>
      <c r="M908">
        <v>0</v>
      </c>
    </row>
    <row r="909" spans="1:13" x14ac:dyDescent="0.15">
      <c r="A909">
        <v>269</v>
      </c>
      <c r="B909" t="s">
        <v>113</v>
      </c>
      <c r="C909" t="s">
        <v>464</v>
      </c>
      <c r="D909">
        <v>13</v>
      </c>
      <c r="E909">
        <v>4739721.6796875</v>
      </c>
      <c r="F909">
        <v>4742626.953125</v>
      </c>
      <c r="G909">
        <v>4741174.31640625</v>
      </c>
      <c r="H909">
        <v>2091913.4248468932</v>
      </c>
      <c r="I909">
        <v>4.2747611296736445E-8</v>
      </c>
      <c r="J909">
        <v>1.8843778093178351E-5</v>
      </c>
      <c r="K909">
        <v>0.49897157269854636</v>
      </c>
      <c r="L909">
        <v>-55.877736500679077</v>
      </c>
      <c r="M909">
        <v>0</v>
      </c>
    </row>
    <row r="910" spans="1:13" x14ac:dyDescent="0.15">
      <c r="A910">
        <v>269</v>
      </c>
      <c r="B910" t="s">
        <v>113</v>
      </c>
      <c r="C910" t="s">
        <v>464</v>
      </c>
      <c r="D910">
        <v>14</v>
      </c>
      <c r="E910">
        <v>4741174.31640625</v>
      </c>
      <c r="F910">
        <v>4742626.953125</v>
      </c>
      <c r="G910">
        <v>4741900.634765625</v>
      </c>
      <c r="H910">
        <v>3758578.4997166325</v>
      </c>
      <c r="I910">
        <v>7.6517398419685169E-8</v>
      </c>
      <c r="J910">
        <v>1.88775478803013E-5</v>
      </c>
      <c r="K910">
        <v>0.89651120492800174</v>
      </c>
      <c r="L910">
        <v>-20.73687769498347</v>
      </c>
      <c r="M910">
        <v>0</v>
      </c>
    </row>
    <row r="911" spans="1:13" x14ac:dyDescent="0.15">
      <c r="A911">
        <v>269</v>
      </c>
      <c r="B911" t="s">
        <v>113</v>
      </c>
      <c r="C911" t="s">
        <v>464</v>
      </c>
      <c r="D911">
        <v>15</v>
      </c>
      <c r="E911">
        <v>4741900.634765625</v>
      </c>
      <c r="F911">
        <v>4742626.953125</v>
      </c>
      <c r="G911">
        <v>4742263.7939453125</v>
      </c>
      <c r="H911">
        <v>4597718.2328970982</v>
      </c>
      <c r="I911">
        <v>9.3425376659854301E-8</v>
      </c>
      <c r="J911">
        <v>1.8894455858541469E-5</v>
      </c>
      <c r="K911">
        <v>1.0966661766422545</v>
      </c>
      <c r="L911">
        <v>-3.0480286911234868</v>
      </c>
      <c r="M911">
        <v>0</v>
      </c>
    </row>
    <row r="912" spans="1:13" x14ac:dyDescent="0.15">
      <c r="A912">
        <v>269</v>
      </c>
      <c r="B912" t="s">
        <v>113</v>
      </c>
      <c r="C912" t="s">
        <v>464</v>
      </c>
      <c r="D912">
        <v>16</v>
      </c>
      <c r="E912">
        <v>4742263.7939453125</v>
      </c>
      <c r="F912">
        <v>4742626.953125</v>
      </c>
      <c r="G912">
        <v>4742445.3735351563</v>
      </c>
      <c r="H912">
        <v>5018673.9655139837</v>
      </c>
      <c r="I912">
        <v>1.018837568700881E-7</v>
      </c>
      <c r="J912">
        <v>1.8902914238751703E-5</v>
      </c>
      <c r="K912">
        <v>1.1970742248174266</v>
      </c>
      <c r="L912">
        <v>5.8246025040224909</v>
      </c>
      <c r="M912">
        <v>0</v>
      </c>
    </row>
    <row r="913" spans="1:15" x14ac:dyDescent="0.15">
      <c r="A913">
        <v>269</v>
      </c>
      <c r="B913" t="s">
        <v>113</v>
      </c>
      <c r="C913" t="s">
        <v>464</v>
      </c>
      <c r="D913">
        <v>17</v>
      </c>
      <c r="E913">
        <v>4742263.7939453125</v>
      </c>
      <c r="F913">
        <v>4742445.3735351563</v>
      </c>
      <c r="G913">
        <v>4742354.5837402344</v>
      </c>
      <c r="H913">
        <v>4808035.5316124503</v>
      </c>
      <c r="I913">
        <v>9.765329621122537E-8</v>
      </c>
      <c r="J913">
        <v>1.889868377809284E-5</v>
      </c>
      <c r="K913">
        <v>1.1468319015041186</v>
      </c>
      <c r="L913">
        <v>1.3849860172288964</v>
      </c>
      <c r="M913">
        <v>0</v>
      </c>
    </row>
    <row r="914" spans="1:15" x14ac:dyDescent="0.15">
      <c r="A914">
        <v>269</v>
      </c>
      <c r="B914" t="s">
        <v>113</v>
      </c>
      <c r="C914" t="s">
        <v>464</v>
      </c>
      <c r="D914">
        <v>18</v>
      </c>
      <c r="E914">
        <v>4742263.7939453125</v>
      </c>
      <c r="F914">
        <v>4742354.5837402344</v>
      </c>
      <c r="G914">
        <v>4742309.1888427734</v>
      </c>
      <c r="H914">
        <v>4702883.4332476696</v>
      </c>
      <c r="I914">
        <v>9.5539957044277982E-8</v>
      </c>
      <c r="J914">
        <v>1.8896570438925893E-5</v>
      </c>
      <c r="K914">
        <v>1.1217506016422627</v>
      </c>
      <c r="L914">
        <v>-0.83136198052756194</v>
      </c>
      <c r="M914">
        <v>0</v>
      </c>
    </row>
    <row r="915" spans="1:15" x14ac:dyDescent="0.15">
      <c r="A915">
        <v>269</v>
      </c>
      <c r="B915" t="s">
        <v>113</v>
      </c>
      <c r="C915" t="s">
        <v>465</v>
      </c>
      <c r="D915">
        <v>18</v>
      </c>
      <c r="E915">
        <v>4742263.7939453125</v>
      </c>
      <c r="F915">
        <v>4742354.5837402344</v>
      </c>
      <c r="G915">
        <v>4742309.1888427734</v>
      </c>
      <c r="H915">
        <v>4702883.4332476696</v>
      </c>
      <c r="I915">
        <v>9.5539957044277982E-8</v>
      </c>
      <c r="J915">
        <v>1.8896570438925893E-5</v>
      </c>
      <c r="K915">
        <v>1.1217506016422627</v>
      </c>
      <c r="L915">
        <v>-0.83136198052756194</v>
      </c>
      <c r="M915">
        <v>0</v>
      </c>
      <c r="N915" t="s">
        <v>466</v>
      </c>
      <c r="O915" t="s">
        <v>467</v>
      </c>
    </row>
    <row r="916" spans="1:15" x14ac:dyDescent="0.15">
      <c r="A916">
        <v>270</v>
      </c>
      <c r="B916" t="s">
        <v>114</v>
      </c>
      <c r="C916" t="s">
        <v>461</v>
      </c>
      <c r="D916">
        <v>0</v>
      </c>
      <c r="E916">
        <v>100000</v>
      </c>
      <c r="F916">
        <v>12000000</v>
      </c>
      <c r="G916">
        <v>100000</v>
      </c>
      <c r="H916">
        <v>-43989.305589215473</v>
      </c>
      <c r="I916">
        <v>-2.2599339265064316E-5</v>
      </c>
      <c r="J916">
        <v>-3.9417320182800441E-6</v>
      </c>
      <c r="K916">
        <v>-1.0660963096900965E-2</v>
      </c>
      <c r="L916">
        <v>-143.98930558921546</v>
      </c>
      <c r="M916">
        <v>0</v>
      </c>
      <c r="O916" t="s">
        <v>462</v>
      </c>
    </row>
    <row r="917" spans="1:15" x14ac:dyDescent="0.15">
      <c r="A917">
        <v>270</v>
      </c>
      <c r="B917" t="s">
        <v>114</v>
      </c>
      <c r="C917" t="s">
        <v>461</v>
      </c>
      <c r="D917">
        <v>0</v>
      </c>
      <c r="E917">
        <v>100000</v>
      </c>
      <c r="F917">
        <v>12000000</v>
      </c>
      <c r="G917">
        <v>12000000</v>
      </c>
      <c r="H917">
        <v>2.246604466298645E+18</v>
      </c>
      <c r="I917">
        <v>536.87090334239269</v>
      </c>
      <c r="J917">
        <v>536.87092199999995</v>
      </c>
      <c r="K917">
        <v>544472502753.36517</v>
      </c>
      <c r="L917">
        <v>18721703885722.043</v>
      </c>
      <c r="M917">
        <v>5</v>
      </c>
      <c r="O917" t="s">
        <v>463</v>
      </c>
    </row>
    <row r="918" spans="1:15" x14ac:dyDescent="0.15">
      <c r="A918">
        <v>270</v>
      </c>
      <c r="B918" t="s">
        <v>114</v>
      </c>
      <c r="C918" t="s">
        <v>464</v>
      </c>
      <c r="D918">
        <v>1</v>
      </c>
      <c r="E918">
        <v>100000</v>
      </c>
      <c r="F918">
        <v>12000000</v>
      </c>
      <c r="G918">
        <v>6050000</v>
      </c>
      <c r="H918">
        <v>209431346325.09808</v>
      </c>
      <c r="I918">
        <v>6.7343680483860366E-4</v>
      </c>
      <c r="J918">
        <v>6.9209441208538793E-4</v>
      </c>
      <c r="K918">
        <v>50756.424194464678</v>
      </c>
      <c r="L918">
        <v>3461575.1458693896</v>
      </c>
      <c r="M918">
        <v>0</v>
      </c>
    </row>
    <row r="919" spans="1:15" x14ac:dyDescent="0.15">
      <c r="A919">
        <v>270</v>
      </c>
      <c r="B919" t="s">
        <v>114</v>
      </c>
      <c r="C919" t="s">
        <v>464</v>
      </c>
      <c r="D919">
        <v>2</v>
      </c>
      <c r="E919">
        <v>100000</v>
      </c>
      <c r="F919">
        <v>6050000</v>
      </c>
      <c r="G919">
        <v>3075000</v>
      </c>
      <c r="H919">
        <v>-219120.65913170823</v>
      </c>
      <c r="I919">
        <v>-1.5969695449617587E-5</v>
      </c>
      <c r="J919">
        <v>2.6879117971666826E-6</v>
      </c>
      <c r="K919">
        <v>-5.3104663269439419E-2</v>
      </c>
      <c r="L919">
        <v>-107.12587509371409</v>
      </c>
      <c r="M919">
        <v>0</v>
      </c>
    </row>
    <row r="920" spans="1:15" x14ac:dyDescent="0.15">
      <c r="A920">
        <v>270</v>
      </c>
      <c r="B920" t="s">
        <v>114</v>
      </c>
      <c r="C920" t="s">
        <v>464</v>
      </c>
      <c r="D920">
        <v>3</v>
      </c>
      <c r="E920">
        <v>3075000</v>
      </c>
      <c r="F920">
        <v>6050000</v>
      </c>
      <c r="G920">
        <v>4562500</v>
      </c>
      <c r="H920">
        <v>-90012285.884626374</v>
      </c>
      <c r="I920">
        <v>-2.6737219702796346E-6</v>
      </c>
      <c r="J920">
        <v>1.5983885276504636E-5</v>
      </c>
      <c r="K920">
        <v>-21.814794419463709</v>
      </c>
      <c r="L920">
        <v>-2072.8720193890713</v>
      </c>
      <c r="M920">
        <v>0</v>
      </c>
    </row>
    <row r="921" spans="1:15" x14ac:dyDescent="0.15">
      <c r="A921">
        <v>270</v>
      </c>
      <c r="B921" t="s">
        <v>114</v>
      </c>
      <c r="C921" t="s">
        <v>464</v>
      </c>
      <c r="D921">
        <v>4</v>
      </c>
      <c r="E921">
        <v>4562500</v>
      </c>
      <c r="F921">
        <v>6050000</v>
      </c>
      <c r="G921">
        <v>5306250</v>
      </c>
      <c r="H921">
        <v>13293244419.933159</v>
      </c>
      <c r="I921">
        <v>8.3234066068413093E-5</v>
      </c>
      <c r="J921">
        <v>1.0189167331519737E-4</v>
      </c>
      <c r="K921">
        <v>3221.6645909895024</v>
      </c>
      <c r="L921">
        <v>250420.50732500653</v>
      </c>
      <c r="M921">
        <v>0</v>
      </c>
    </row>
    <row r="922" spans="1:15" x14ac:dyDescent="0.15">
      <c r="A922">
        <v>270</v>
      </c>
      <c r="B922" t="s">
        <v>114</v>
      </c>
      <c r="C922" t="s">
        <v>464</v>
      </c>
      <c r="D922">
        <v>5</v>
      </c>
      <c r="E922">
        <v>4562500</v>
      </c>
      <c r="F922">
        <v>5306250</v>
      </c>
      <c r="G922">
        <v>4934375</v>
      </c>
      <c r="H922">
        <v>2208257044.6226392</v>
      </c>
      <c r="I922">
        <v>2.1405674707097378E-5</v>
      </c>
      <c r="J922">
        <v>4.0063281953881648E-5</v>
      </c>
      <c r="K922">
        <v>535.17887008803336</v>
      </c>
      <c r="L922">
        <v>44652.517687095919</v>
      </c>
      <c r="M922">
        <v>0</v>
      </c>
    </row>
    <row r="923" spans="1:15" x14ac:dyDescent="0.15">
      <c r="A923">
        <v>270</v>
      </c>
      <c r="B923" t="s">
        <v>114</v>
      </c>
      <c r="C923" t="s">
        <v>464</v>
      </c>
      <c r="D923">
        <v>6</v>
      </c>
      <c r="E923">
        <v>4562500</v>
      </c>
      <c r="F923">
        <v>4934375</v>
      </c>
      <c r="G923">
        <v>4748437.5</v>
      </c>
      <c r="H923">
        <v>509219233.13786942</v>
      </c>
      <c r="I923">
        <v>6.6036644385070669E-6</v>
      </c>
      <c r="J923">
        <v>2.5261271685291337E-5</v>
      </c>
      <c r="K923">
        <v>123.41107412356983</v>
      </c>
      <c r="L923">
        <v>10623.932517546444</v>
      </c>
      <c r="M923">
        <v>0</v>
      </c>
    </row>
    <row r="924" spans="1:15" x14ac:dyDescent="0.15">
      <c r="A924">
        <v>270</v>
      </c>
      <c r="B924" t="s">
        <v>114</v>
      </c>
      <c r="C924" t="s">
        <v>464</v>
      </c>
      <c r="D924">
        <v>7</v>
      </c>
      <c r="E924">
        <v>4562500</v>
      </c>
      <c r="F924">
        <v>4748437.5</v>
      </c>
      <c r="G924">
        <v>4655468.75</v>
      </c>
      <c r="H924">
        <v>81130352.371873662</v>
      </c>
      <c r="I924">
        <v>1.4281830840323374E-6</v>
      </c>
      <c r="J924">
        <v>2.0085790330816608E-5</v>
      </c>
      <c r="K924">
        <v>19.662226559156338</v>
      </c>
      <c r="L924">
        <v>1642.6892269843647</v>
      </c>
      <c r="M924">
        <v>0</v>
      </c>
    </row>
    <row r="925" spans="1:15" x14ac:dyDescent="0.15">
      <c r="A925">
        <v>270</v>
      </c>
      <c r="B925" t="s">
        <v>114</v>
      </c>
      <c r="C925" t="s">
        <v>464</v>
      </c>
      <c r="D925">
        <v>8</v>
      </c>
      <c r="E925">
        <v>4562500</v>
      </c>
      <c r="F925">
        <v>4655468.75</v>
      </c>
      <c r="G925">
        <v>4608984.375</v>
      </c>
      <c r="H925">
        <v>-33287400.453721609</v>
      </c>
      <c r="I925">
        <v>-7.4189753017573878E-7</v>
      </c>
      <c r="J925">
        <v>1.7915709716608532E-5</v>
      </c>
      <c r="K925">
        <v>-8.0673187056604228</v>
      </c>
      <c r="L925">
        <v>-822.22853768562857</v>
      </c>
      <c r="M925">
        <v>0</v>
      </c>
    </row>
    <row r="926" spans="1:15" x14ac:dyDescent="0.15">
      <c r="A926">
        <v>270</v>
      </c>
      <c r="B926" t="s">
        <v>114</v>
      </c>
      <c r="C926" t="s">
        <v>464</v>
      </c>
      <c r="D926">
        <v>9</v>
      </c>
      <c r="E926">
        <v>4608984.375</v>
      </c>
      <c r="F926">
        <v>4655468.75</v>
      </c>
      <c r="G926">
        <v>4632226.5625</v>
      </c>
      <c r="H926">
        <v>15811851.97991351</v>
      </c>
      <c r="I926">
        <v>3.1157262032902646E-7</v>
      </c>
      <c r="J926">
        <v>1.8969179867113297E-5</v>
      </c>
      <c r="K926">
        <v>3.8320580012257648</v>
      </c>
      <c r="L926">
        <v>241.34452981893651</v>
      </c>
      <c r="M926">
        <v>0</v>
      </c>
    </row>
    <row r="927" spans="1:15" x14ac:dyDescent="0.15">
      <c r="A927">
        <v>270</v>
      </c>
      <c r="B927" t="s">
        <v>114</v>
      </c>
      <c r="C927" t="s">
        <v>464</v>
      </c>
      <c r="D927">
        <v>10</v>
      </c>
      <c r="E927">
        <v>4608984.375</v>
      </c>
      <c r="F927">
        <v>4632226.5625</v>
      </c>
      <c r="G927">
        <v>4620605.46875</v>
      </c>
      <c r="H927">
        <v>-10647683.650968516</v>
      </c>
      <c r="I927">
        <v>-2.2282134786020033E-7</v>
      </c>
      <c r="J927">
        <v>1.843478589892407E-5</v>
      </c>
      <c r="K927">
        <v>-2.5805036235507344</v>
      </c>
      <c r="L927">
        <v>-330.43914315950036</v>
      </c>
      <c r="M927">
        <v>0</v>
      </c>
    </row>
    <row r="928" spans="1:15" x14ac:dyDescent="0.15">
      <c r="A928">
        <v>270</v>
      </c>
      <c r="B928" t="s">
        <v>114</v>
      </c>
      <c r="C928" t="s">
        <v>464</v>
      </c>
      <c r="D928">
        <v>11</v>
      </c>
      <c r="E928">
        <v>4620605.46875</v>
      </c>
      <c r="F928">
        <v>4632226.5625</v>
      </c>
      <c r="G928">
        <v>4626416.015625</v>
      </c>
      <c r="H928">
        <v>2090231.5747065686</v>
      </c>
      <c r="I928">
        <v>4.2431298050531061E-8</v>
      </c>
      <c r="J928">
        <v>1.8700038544834802E-5</v>
      </c>
      <c r="K928">
        <v>0.50657498188348515</v>
      </c>
      <c r="L928">
        <v>-54.81963646055312</v>
      </c>
      <c r="M928">
        <v>0</v>
      </c>
    </row>
    <row r="929" spans="1:15" x14ac:dyDescent="0.15">
      <c r="A929">
        <v>270</v>
      </c>
      <c r="B929" t="s">
        <v>114</v>
      </c>
      <c r="C929" t="s">
        <v>464</v>
      </c>
      <c r="D929">
        <v>12</v>
      </c>
      <c r="E929">
        <v>4626416.015625</v>
      </c>
      <c r="F929">
        <v>4632226.5625</v>
      </c>
      <c r="G929">
        <v>4629321.2890625</v>
      </c>
      <c r="H929">
        <v>8826273.800820183</v>
      </c>
      <c r="I929">
        <v>1.7651258877246297E-7</v>
      </c>
      <c r="J929">
        <v>1.8834119835556733E-5</v>
      </c>
      <c r="K929">
        <v>2.1390785331413995</v>
      </c>
      <c r="L929">
        <v>90.6602123657661</v>
      </c>
      <c r="M929">
        <v>0</v>
      </c>
    </row>
    <row r="930" spans="1:15" x14ac:dyDescent="0.15">
      <c r="A930">
        <v>270</v>
      </c>
      <c r="B930" t="s">
        <v>114</v>
      </c>
      <c r="C930" t="s">
        <v>464</v>
      </c>
      <c r="D930">
        <v>13</v>
      </c>
      <c r="E930">
        <v>4626416.015625</v>
      </c>
      <c r="F930">
        <v>4629321.2890625</v>
      </c>
      <c r="G930">
        <v>4627868.65234375</v>
      </c>
      <c r="H930">
        <v>5427362.3722620495</v>
      </c>
      <c r="I930">
        <v>1.0935150348035335E-7</v>
      </c>
      <c r="J930">
        <v>1.8766958750264624E-5</v>
      </c>
      <c r="K930">
        <v>1.315340380785186</v>
      </c>
      <c r="L930">
        <v>17.275635502606622</v>
      </c>
      <c r="M930">
        <v>0</v>
      </c>
    </row>
    <row r="931" spans="1:15" x14ac:dyDescent="0.15">
      <c r="A931">
        <v>270</v>
      </c>
      <c r="B931" t="s">
        <v>114</v>
      </c>
      <c r="C931" t="s">
        <v>464</v>
      </c>
      <c r="D931">
        <v>14</v>
      </c>
      <c r="E931">
        <v>4626416.015625</v>
      </c>
      <c r="F931">
        <v>4627868.65234375</v>
      </c>
      <c r="G931">
        <v>4627142.333984375</v>
      </c>
      <c r="H931">
        <v>3751045.6341019832</v>
      </c>
      <c r="I931">
        <v>7.586020734337673E-8</v>
      </c>
      <c r="J931">
        <v>1.8733467454127647E-5</v>
      </c>
      <c r="K931">
        <v>0.90907911694238508</v>
      </c>
      <c r="L931">
        <v>-18.933861045246815</v>
      </c>
      <c r="M931">
        <v>0</v>
      </c>
    </row>
    <row r="932" spans="1:15" x14ac:dyDescent="0.15">
      <c r="A932">
        <v>270</v>
      </c>
      <c r="B932" t="s">
        <v>114</v>
      </c>
      <c r="C932" t="s">
        <v>464</v>
      </c>
      <c r="D932">
        <v>15</v>
      </c>
      <c r="E932">
        <v>4627142.333984375</v>
      </c>
      <c r="F932">
        <v>4627868.65234375</v>
      </c>
      <c r="G932">
        <v>4627505.4931640625</v>
      </c>
      <c r="H932">
        <v>4587233.6015200578</v>
      </c>
      <c r="I932">
        <v>9.2597472540560238E-8</v>
      </c>
      <c r="J932">
        <v>1.8750204719324831E-5</v>
      </c>
      <c r="K932">
        <v>1.1117322150831803</v>
      </c>
      <c r="L932">
        <v>-0.87027215210216369</v>
      </c>
      <c r="M932">
        <v>0</v>
      </c>
    </row>
    <row r="933" spans="1:15" x14ac:dyDescent="0.15">
      <c r="A933">
        <v>270</v>
      </c>
      <c r="B933" t="s">
        <v>114</v>
      </c>
      <c r="C933" t="s">
        <v>465</v>
      </c>
      <c r="D933">
        <v>15</v>
      </c>
      <c r="E933">
        <v>4627142.333984375</v>
      </c>
      <c r="F933">
        <v>4627868.65234375</v>
      </c>
      <c r="G933">
        <v>4627505.4931640625</v>
      </c>
      <c r="H933">
        <v>4587233.6015200578</v>
      </c>
      <c r="I933">
        <v>9.2597472540560238E-8</v>
      </c>
      <c r="J933">
        <v>1.8750204719324831E-5</v>
      </c>
      <c r="K933">
        <v>1.1117322150831803</v>
      </c>
      <c r="L933">
        <v>-0.87027215210216369</v>
      </c>
      <c r="M933">
        <v>0</v>
      </c>
      <c r="N933" t="s">
        <v>466</v>
      </c>
      <c r="O933" t="s">
        <v>467</v>
      </c>
    </row>
    <row r="934" spans="1:15" x14ac:dyDescent="0.15">
      <c r="A934">
        <v>271</v>
      </c>
      <c r="B934" t="s">
        <v>115</v>
      </c>
      <c r="C934" t="s">
        <v>461</v>
      </c>
      <c r="D934">
        <v>0</v>
      </c>
      <c r="E934">
        <v>100000</v>
      </c>
      <c r="F934">
        <v>12000000</v>
      </c>
      <c r="G934">
        <v>100000</v>
      </c>
      <c r="H934">
        <v>-41967.822077648147</v>
      </c>
      <c r="I934">
        <v>-2.2870713242323173E-5</v>
      </c>
      <c r="J934">
        <v>-4.213105995538902E-6</v>
      </c>
      <c r="K934">
        <v>-1.001787099460774E-2</v>
      </c>
      <c r="L934">
        <v>-141.96782207764815</v>
      </c>
      <c r="M934">
        <v>0</v>
      </c>
      <c r="O934" t="s">
        <v>462</v>
      </c>
    </row>
    <row r="935" spans="1:15" x14ac:dyDescent="0.15">
      <c r="A935">
        <v>271</v>
      </c>
      <c r="B935" t="s">
        <v>115</v>
      </c>
      <c r="C935" t="s">
        <v>461</v>
      </c>
      <c r="D935">
        <v>0</v>
      </c>
      <c r="E935">
        <v>100000</v>
      </c>
      <c r="F935">
        <v>12000000</v>
      </c>
      <c r="G935">
        <v>12000000</v>
      </c>
      <c r="H935">
        <v>2.246604466298645E+18</v>
      </c>
      <c r="I935">
        <v>536.87090334239269</v>
      </c>
      <c r="J935">
        <v>536.87092199999995</v>
      </c>
      <c r="K935">
        <v>536272615663.70593</v>
      </c>
      <c r="L935">
        <v>18721703885722.043</v>
      </c>
      <c r="M935">
        <v>5</v>
      </c>
      <c r="O935" t="s">
        <v>463</v>
      </c>
    </row>
    <row r="936" spans="1:15" x14ac:dyDescent="0.15">
      <c r="A936">
        <v>271</v>
      </c>
      <c r="B936" t="s">
        <v>115</v>
      </c>
      <c r="C936" t="s">
        <v>464</v>
      </c>
      <c r="D936">
        <v>1</v>
      </c>
      <c r="E936">
        <v>100000</v>
      </c>
      <c r="F936">
        <v>12000000</v>
      </c>
      <c r="G936">
        <v>6050000</v>
      </c>
      <c r="H936">
        <v>128629514550.35738</v>
      </c>
      <c r="I936">
        <v>4.6300356225859995E-4</v>
      </c>
      <c r="J936">
        <v>4.8166116950538421E-4</v>
      </c>
      <c r="K936">
        <v>30704.33058166242</v>
      </c>
      <c r="L936">
        <v>2126007.6785183037</v>
      </c>
      <c r="M936">
        <v>0</v>
      </c>
    </row>
    <row r="937" spans="1:15" x14ac:dyDescent="0.15">
      <c r="A937">
        <v>271</v>
      </c>
      <c r="B937" t="s">
        <v>115</v>
      </c>
      <c r="C937" t="s">
        <v>464</v>
      </c>
      <c r="D937">
        <v>2</v>
      </c>
      <c r="E937">
        <v>100000</v>
      </c>
      <c r="F937">
        <v>6050000</v>
      </c>
      <c r="G937">
        <v>3075000</v>
      </c>
      <c r="H937">
        <v>-195324.74545330464</v>
      </c>
      <c r="I937">
        <v>-1.6313211713355632E-5</v>
      </c>
      <c r="J937">
        <v>2.3443955334286391E-6</v>
      </c>
      <c r="K937">
        <v>-4.6624723541418875E-2</v>
      </c>
      <c r="L937">
        <v>-106.35202424238389</v>
      </c>
      <c r="M937">
        <v>0</v>
      </c>
    </row>
    <row r="938" spans="1:15" x14ac:dyDescent="0.15">
      <c r="A938">
        <v>271</v>
      </c>
      <c r="B938" t="s">
        <v>115</v>
      </c>
      <c r="C938" t="s">
        <v>464</v>
      </c>
      <c r="D938">
        <v>3</v>
      </c>
      <c r="E938">
        <v>3075000</v>
      </c>
      <c r="F938">
        <v>6050000</v>
      </c>
      <c r="G938">
        <v>4562500</v>
      </c>
      <c r="H938">
        <v>-75904800.292966887</v>
      </c>
      <c r="I938">
        <v>-6.2190538149882162E-6</v>
      </c>
      <c r="J938">
        <v>1.2438553431796054E-5</v>
      </c>
      <c r="K938">
        <v>-18.118750498882658</v>
      </c>
      <c r="L938">
        <v>-1763.6668557362605</v>
      </c>
      <c r="M938">
        <v>0</v>
      </c>
    </row>
    <row r="939" spans="1:15" x14ac:dyDescent="0.15">
      <c r="A939">
        <v>271</v>
      </c>
      <c r="B939" t="s">
        <v>115</v>
      </c>
      <c r="C939" t="s">
        <v>464</v>
      </c>
      <c r="D939">
        <v>4</v>
      </c>
      <c r="E939">
        <v>4562500</v>
      </c>
      <c r="F939">
        <v>6050000</v>
      </c>
      <c r="G939">
        <v>5306250</v>
      </c>
      <c r="H939">
        <v>7392929651.2872772</v>
      </c>
      <c r="I939">
        <v>5.359038649026621E-5</v>
      </c>
      <c r="J939">
        <v>7.224799373705048E-5</v>
      </c>
      <c r="K939">
        <v>1764.719059802035</v>
      </c>
      <c r="L939">
        <v>139224.9404247308</v>
      </c>
      <c r="M939">
        <v>0</v>
      </c>
    </row>
    <row r="940" spans="1:15" x14ac:dyDescent="0.15">
      <c r="A940">
        <v>271</v>
      </c>
      <c r="B940" t="s">
        <v>115</v>
      </c>
      <c r="C940" t="s">
        <v>464</v>
      </c>
      <c r="D940">
        <v>5</v>
      </c>
      <c r="E940">
        <v>4562500</v>
      </c>
      <c r="F940">
        <v>5306250</v>
      </c>
      <c r="G940">
        <v>4934375</v>
      </c>
      <c r="H940">
        <v>840225585.36188209</v>
      </c>
      <c r="I940">
        <v>9.9802701080495738E-6</v>
      </c>
      <c r="J940">
        <v>2.8637877354833844E-5</v>
      </c>
      <c r="K940">
        <v>200.56488766442575</v>
      </c>
      <c r="L940">
        <v>16928.004263192037</v>
      </c>
      <c r="M940">
        <v>0</v>
      </c>
    </row>
    <row r="941" spans="1:15" x14ac:dyDescent="0.15">
      <c r="A941">
        <v>271</v>
      </c>
      <c r="B941" t="s">
        <v>115</v>
      </c>
      <c r="C941" t="s">
        <v>464</v>
      </c>
      <c r="D941">
        <v>6</v>
      </c>
      <c r="E941">
        <v>4562500</v>
      </c>
      <c r="F941">
        <v>4934375</v>
      </c>
      <c r="G941">
        <v>4748437.5</v>
      </c>
      <c r="H941">
        <v>-24521256.680540551</v>
      </c>
      <c r="I941">
        <v>-5.3249468485654531E-7</v>
      </c>
      <c r="J941">
        <v>1.8125112561927725E-5</v>
      </c>
      <c r="K941">
        <v>-5.8533127022131275</v>
      </c>
      <c r="L941">
        <v>-616.40685342369045</v>
      </c>
      <c r="M941">
        <v>0</v>
      </c>
    </row>
    <row r="942" spans="1:15" x14ac:dyDescent="0.15">
      <c r="A942">
        <v>271</v>
      </c>
      <c r="B942" t="s">
        <v>115</v>
      </c>
      <c r="C942" t="s">
        <v>464</v>
      </c>
      <c r="D942">
        <v>7</v>
      </c>
      <c r="E942">
        <v>4748437.5</v>
      </c>
      <c r="F942">
        <v>4934375</v>
      </c>
      <c r="G942">
        <v>4841406.25</v>
      </c>
      <c r="H942">
        <v>293104505.51166666</v>
      </c>
      <c r="I942">
        <v>4.1156256876107486E-6</v>
      </c>
      <c r="J942">
        <v>2.2773232934395019E-5</v>
      </c>
      <c r="K942">
        <v>69.965106092984968</v>
      </c>
      <c r="L942">
        <v>5954.1192037265337</v>
      </c>
      <c r="M942">
        <v>0</v>
      </c>
    </row>
    <row r="943" spans="1:15" x14ac:dyDescent="0.15">
      <c r="A943">
        <v>271</v>
      </c>
      <c r="B943" t="s">
        <v>115</v>
      </c>
      <c r="C943" t="s">
        <v>464</v>
      </c>
      <c r="D943">
        <v>8</v>
      </c>
      <c r="E943">
        <v>4748437.5</v>
      </c>
      <c r="F943">
        <v>4841406.25</v>
      </c>
      <c r="G943">
        <v>4794921.875</v>
      </c>
      <c r="H943">
        <v>96188255.146970421</v>
      </c>
      <c r="I943">
        <v>1.6575751271215366E-6</v>
      </c>
      <c r="J943">
        <v>2.0315182373905807E-5</v>
      </c>
      <c r="K943">
        <v>22.960484570200581</v>
      </c>
      <c r="L943">
        <v>1906.044262128263</v>
      </c>
      <c r="M943">
        <v>0</v>
      </c>
    </row>
    <row r="944" spans="1:15" x14ac:dyDescent="0.15">
      <c r="A944">
        <v>271</v>
      </c>
      <c r="B944" t="s">
        <v>115</v>
      </c>
      <c r="C944" t="s">
        <v>464</v>
      </c>
      <c r="D944">
        <v>9</v>
      </c>
      <c r="E944">
        <v>4748437.5</v>
      </c>
      <c r="F944">
        <v>4794921.875</v>
      </c>
      <c r="G944">
        <v>4771679.6875</v>
      </c>
      <c r="H944">
        <v>27574130.218727913</v>
      </c>
      <c r="I944">
        <v>5.3076381024535482E-7</v>
      </c>
      <c r="J944">
        <v>1.9188371057029625E-5</v>
      </c>
      <c r="K944">
        <v>6.5820446629002465</v>
      </c>
      <c r="L944">
        <v>477.87051991276212</v>
      </c>
      <c r="M944">
        <v>0</v>
      </c>
    </row>
    <row r="945" spans="1:15" x14ac:dyDescent="0.15">
      <c r="A945">
        <v>271</v>
      </c>
      <c r="B945" t="s">
        <v>115</v>
      </c>
      <c r="C945" t="s">
        <v>464</v>
      </c>
      <c r="D945">
        <v>10</v>
      </c>
      <c r="E945">
        <v>4748437.5</v>
      </c>
      <c r="F945">
        <v>4771679.6875</v>
      </c>
      <c r="G945">
        <v>4760058.59375</v>
      </c>
      <c r="H945">
        <v>-420037.71848171751</v>
      </c>
      <c r="I945">
        <v>-8.57595159668126E-9</v>
      </c>
      <c r="J945">
        <v>1.8649031295187589E-5</v>
      </c>
      <c r="K945">
        <v>-0.10026452334919488</v>
      </c>
      <c r="L945">
        <v>-108.82421319420796</v>
      </c>
      <c r="M945">
        <v>0</v>
      </c>
    </row>
    <row r="946" spans="1:15" x14ac:dyDescent="0.15">
      <c r="A946">
        <v>271</v>
      </c>
      <c r="B946" t="s">
        <v>115</v>
      </c>
      <c r="C946" t="s">
        <v>464</v>
      </c>
      <c r="D946">
        <v>11</v>
      </c>
      <c r="E946">
        <v>4760058.59375</v>
      </c>
      <c r="F946">
        <v>4771679.6875</v>
      </c>
      <c r="G946">
        <v>4765869.140625</v>
      </c>
      <c r="H946">
        <v>13075953.664415019</v>
      </c>
      <c r="I946">
        <v>2.591368261415004E-7</v>
      </c>
      <c r="J946">
        <v>1.8916744072925771E-5</v>
      </c>
      <c r="K946">
        <v>3.1212774563144254</v>
      </c>
      <c r="L946">
        <v>174.36661139001032</v>
      </c>
      <c r="M946">
        <v>0</v>
      </c>
    </row>
    <row r="947" spans="1:15" x14ac:dyDescent="0.15">
      <c r="A947">
        <v>271</v>
      </c>
      <c r="B947" t="s">
        <v>115</v>
      </c>
      <c r="C947" t="s">
        <v>464</v>
      </c>
      <c r="D947">
        <v>12</v>
      </c>
      <c r="E947">
        <v>4760058.59375</v>
      </c>
      <c r="F947">
        <v>4765869.140625</v>
      </c>
      <c r="G947">
        <v>4762963.8671875</v>
      </c>
      <c r="H947">
        <v>6204558.5624519354</v>
      </c>
      <c r="I947">
        <v>1.2479571050623767E-7</v>
      </c>
      <c r="J947">
        <v>1.8782402957290508E-5</v>
      </c>
      <c r="K947">
        <v>1.4810505806599041</v>
      </c>
      <c r="L947">
        <v>30.266756907305449</v>
      </c>
      <c r="M947">
        <v>0</v>
      </c>
    </row>
    <row r="948" spans="1:15" x14ac:dyDescent="0.15">
      <c r="A948">
        <v>271</v>
      </c>
      <c r="B948" t="s">
        <v>115</v>
      </c>
      <c r="C948" t="s">
        <v>464</v>
      </c>
      <c r="D948">
        <v>13</v>
      </c>
      <c r="E948">
        <v>4760058.59375</v>
      </c>
      <c r="F948">
        <v>4762963.8671875</v>
      </c>
      <c r="G948">
        <v>4761511.23046875</v>
      </c>
      <c r="H948">
        <v>2861550.766577079</v>
      </c>
      <c r="I948">
        <v>5.7987421846574828E-8</v>
      </c>
      <c r="J948">
        <v>1.8715594668630845E-5</v>
      </c>
      <c r="K948">
        <v>0.68306252278356316</v>
      </c>
      <c r="L948">
        <v>-39.90246734553282</v>
      </c>
      <c r="M948">
        <v>0</v>
      </c>
    </row>
    <row r="949" spans="1:15" x14ac:dyDescent="0.15">
      <c r="A949">
        <v>271</v>
      </c>
      <c r="B949" t="s">
        <v>115</v>
      </c>
      <c r="C949" t="s">
        <v>464</v>
      </c>
      <c r="D949">
        <v>14</v>
      </c>
      <c r="E949">
        <v>4761511.23046875</v>
      </c>
      <c r="F949">
        <v>4762963.8671875</v>
      </c>
      <c r="G949">
        <v>4762237.548828125</v>
      </c>
      <c r="H949">
        <v>4525329.2929001395</v>
      </c>
      <c r="I949">
        <v>9.1360509448400911E-8</v>
      </c>
      <c r="J949">
        <v>1.8748967756232671E-5</v>
      </c>
      <c r="K949">
        <v>1.0802124775623705</v>
      </c>
      <c r="L949">
        <v>-4.9747257145180228</v>
      </c>
      <c r="M949">
        <v>0</v>
      </c>
    </row>
    <row r="950" spans="1:15" x14ac:dyDescent="0.15">
      <c r="A950">
        <v>271</v>
      </c>
      <c r="B950" t="s">
        <v>115</v>
      </c>
      <c r="C950" t="s">
        <v>464</v>
      </c>
      <c r="D950">
        <v>15</v>
      </c>
      <c r="E950">
        <v>4762237.548828125</v>
      </c>
      <c r="F950">
        <v>4762963.8671875</v>
      </c>
      <c r="G950">
        <v>4762600.7080078125</v>
      </c>
      <c r="H950">
        <v>5362979.9371498916</v>
      </c>
      <c r="I950">
        <v>1.0806976119867896E-7</v>
      </c>
      <c r="J950">
        <v>1.8765677007982949E-5</v>
      </c>
      <c r="K950">
        <v>1.2801627174656545</v>
      </c>
      <c r="L950">
        <v>12.606121443954025</v>
      </c>
      <c r="M950">
        <v>0</v>
      </c>
    </row>
    <row r="951" spans="1:15" x14ac:dyDescent="0.15">
      <c r="A951">
        <v>271</v>
      </c>
      <c r="B951" t="s">
        <v>115</v>
      </c>
      <c r="C951" t="s">
        <v>464</v>
      </c>
      <c r="D951">
        <v>16</v>
      </c>
      <c r="E951">
        <v>4762237.548828125</v>
      </c>
      <c r="F951">
        <v>4762600.7080078125</v>
      </c>
      <c r="G951">
        <v>4762419.1284179688</v>
      </c>
      <c r="H951">
        <v>4943673.7647361048</v>
      </c>
      <c r="I951">
        <v>9.9713241542816129E-8</v>
      </c>
      <c r="J951">
        <v>1.8757320488327087E-5</v>
      </c>
      <c r="K951">
        <v>1.1800728168100456</v>
      </c>
      <c r="L951">
        <v>3.8059362569868376</v>
      </c>
      <c r="M951">
        <v>0</v>
      </c>
    </row>
    <row r="952" spans="1:15" x14ac:dyDescent="0.15">
      <c r="A952">
        <v>271</v>
      </c>
      <c r="B952" t="s">
        <v>115</v>
      </c>
      <c r="C952" t="s">
        <v>464</v>
      </c>
      <c r="D952">
        <v>17</v>
      </c>
      <c r="E952">
        <v>4762237.548828125</v>
      </c>
      <c r="F952">
        <v>4762419.1284179688</v>
      </c>
      <c r="G952">
        <v>4762328.3386230469</v>
      </c>
      <c r="H952">
        <v>4734381.3714386141</v>
      </c>
      <c r="I952">
        <v>9.5536402159667291E-8</v>
      </c>
      <c r="J952">
        <v>1.8753143648943938E-5</v>
      </c>
      <c r="K952">
        <v>1.1301139651849184</v>
      </c>
      <c r="L952">
        <v>-0.58683411132700714</v>
      </c>
      <c r="M952">
        <v>0</v>
      </c>
    </row>
    <row r="953" spans="1:15" x14ac:dyDescent="0.15">
      <c r="A953">
        <v>271</v>
      </c>
      <c r="B953" t="s">
        <v>115</v>
      </c>
      <c r="C953" t="s">
        <v>465</v>
      </c>
      <c r="D953">
        <v>17</v>
      </c>
      <c r="E953">
        <v>4762237.548828125</v>
      </c>
      <c r="F953">
        <v>4762419.1284179688</v>
      </c>
      <c r="G953">
        <v>4762328.3386230469</v>
      </c>
      <c r="H953">
        <v>4734381.3714386141</v>
      </c>
      <c r="I953">
        <v>9.5536402159667291E-8</v>
      </c>
      <c r="J953">
        <v>1.8753143648943938E-5</v>
      </c>
      <c r="K953">
        <v>1.1301139651849184</v>
      </c>
      <c r="L953">
        <v>-0.58683411132700714</v>
      </c>
      <c r="M953">
        <v>0</v>
      </c>
      <c r="N953" t="s">
        <v>466</v>
      </c>
      <c r="O953" t="s">
        <v>467</v>
      </c>
    </row>
    <row r="954" spans="1:15" x14ac:dyDescent="0.15">
      <c r="A954">
        <v>272</v>
      </c>
      <c r="B954" t="s">
        <v>116</v>
      </c>
      <c r="C954" t="s">
        <v>461</v>
      </c>
      <c r="D954">
        <v>0</v>
      </c>
      <c r="E954">
        <v>100000</v>
      </c>
      <c r="F954">
        <v>12000000</v>
      </c>
      <c r="G954">
        <v>100000</v>
      </c>
      <c r="H954">
        <v>-40144.109653154803</v>
      </c>
      <c r="I954">
        <v>-2.3085862604794597E-5</v>
      </c>
      <c r="J954">
        <v>-4.4709408276427216E-6</v>
      </c>
      <c r="K954">
        <v>-9.3091578274965333E-3</v>
      </c>
      <c r="L954">
        <v>-140.1441096531548</v>
      </c>
      <c r="M954">
        <v>0</v>
      </c>
      <c r="O954" t="s">
        <v>462</v>
      </c>
    </row>
    <row r="955" spans="1:15" x14ac:dyDescent="0.15">
      <c r="A955">
        <v>272</v>
      </c>
      <c r="B955" t="s">
        <v>116</v>
      </c>
      <c r="C955" t="s">
        <v>461</v>
      </c>
      <c r="D955">
        <v>0</v>
      </c>
      <c r="E955">
        <v>100000</v>
      </c>
      <c r="F955">
        <v>12000000</v>
      </c>
      <c r="G955">
        <v>12000000</v>
      </c>
      <c r="H955">
        <v>2.2546378078130737E+18</v>
      </c>
      <c r="I955">
        <v>536.87090338507812</v>
      </c>
      <c r="J955">
        <v>536.87092199999995</v>
      </c>
      <c r="K955">
        <v>522835837638.84161</v>
      </c>
      <c r="L955">
        <v>18788648398342.281</v>
      </c>
      <c r="M955">
        <v>5</v>
      </c>
      <c r="O955" t="s">
        <v>463</v>
      </c>
    </row>
    <row r="956" spans="1:15" x14ac:dyDescent="0.15">
      <c r="A956">
        <v>272</v>
      </c>
      <c r="B956" t="s">
        <v>116</v>
      </c>
      <c r="C956" t="s">
        <v>464</v>
      </c>
      <c r="D956">
        <v>1</v>
      </c>
      <c r="E956">
        <v>100000</v>
      </c>
      <c r="F956">
        <v>12000000</v>
      </c>
      <c r="G956">
        <v>6050000</v>
      </c>
      <c r="H956">
        <v>77514368686.400284</v>
      </c>
      <c r="I956">
        <v>3.1365941085301192E-4</v>
      </c>
      <c r="J956">
        <v>3.3227433263016378E-4</v>
      </c>
      <c r="K956">
        <v>17975.077744531507</v>
      </c>
      <c r="L956">
        <v>1281129.2344859552</v>
      </c>
      <c r="M956">
        <v>0</v>
      </c>
    </row>
    <row r="957" spans="1:15" x14ac:dyDescent="0.15">
      <c r="A957">
        <v>272</v>
      </c>
      <c r="B957" t="s">
        <v>116</v>
      </c>
      <c r="C957" t="s">
        <v>464</v>
      </c>
      <c r="D957">
        <v>2</v>
      </c>
      <c r="E957">
        <v>100000</v>
      </c>
      <c r="F957">
        <v>6050000</v>
      </c>
      <c r="G957">
        <v>3075000</v>
      </c>
      <c r="H957">
        <v>-177483.46689458602</v>
      </c>
      <c r="I957">
        <v>-1.6576566904901456E-5</v>
      </c>
      <c r="J957">
        <v>2.0383548722504215E-6</v>
      </c>
      <c r="K957">
        <v>-4.1157261161554104E-2</v>
      </c>
      <c r="L957">
        <v>-105.77182006161256</v>
      </c>
      <c r="M957">
        <v>0</v>
      </c>
    </row>
    <row r="958" spans="1:15" x14ac:dyDescent="0.15">
      <c r="A958">
        <v>272</v>
      </c>
      <c r="B958" t="s">
        <v>116</v>
      </c>
      <c r="C958" t="s">
        <v>464</v>
      </c>
      <c r="D958">
        <v>3</v>
      </c>
      <c r="E958">
        <v>3075000</v>
      </c>
      <c r="F958">
        <v>6050000</v>
      </c>
      <c r="G958">
        <v>4562500</v>
      </c>
      <c r="H958">
        <v>-26470017.4325478</v>
      </c>
      <c r="I958">
        <v>-8.0520413744953234E-6</v>
      </c>
      <c r="J958">
        <v>1.0562880402656553E-5</v>
      </c>
      <c r="K958">
        <v>-6.1382248131839479</v>
      </c>
      <c r="L958">
        <v>-680.16476564488335</v>
      </c>
      <c r="M958">
        <v>0</v>
      </c>
    </row>
    <row r="959" spans="1:15" x14ac:dyDescent="0.15">
      <c r="A959">
        <v>272</v>
      </c>
      <c r="B959" t="s">
        <v>116</v>
      </c>
      <c r="C959" t="s">
        <v>464</v>
      </c>
      <c r="D959">
        <v>4</v>
      </c>
      <c r="E959">
        <v>4562500</v>
      </c>
      <c r="F959">
        <v>6050000</v>
      </c>
      <c r="G959">
        <v>5306250</v>
      </c>
      <c r="H959">
        <v>3788100228.4558601</v>
      </c>
      <c r="I959">
        <v>3.2262503080918622E-5</v>
      </c>
      <c r="J959">
        <v>5.0877424858070499E-5</v>
      </c>
      <c r="K959">
        <v>878.43579538200038</v>
      </c>
      <c r="L959">
        <v>71289.403598697012</v>
      </c>
      <c r="M959">
        <v>0</v>
      </c>
    </row>
    <row r="960" spans="1:15" x14ac:dyDescent="0.15">
      <c r="A960">
        <v>272</v>
      </c>
      <c r="B960" t="s">
        <v>116</v>
      </c>
      <c r="C960" t="s">
        <v>464</v>
      </c>
      <c r="D960">
        <v>5</v>
      </c>
      <c r="E960">
        <v>4562500</v>
      </c>
      <c r="F960">
        <v>5306250</v>
      </c>
      <c r="G960">
        <v>4934375</v>
      </c>
      <c r="H960">
        <v>101731473.82788904</v>
      </c>
      <c r="I960">
        <v>1.7363420775678287E-6</v>
      </c>
      <c r="J960">
        <v>2.0351263854719705E-5</v>
      </c>
      <c r="K960">
        <v>23.59086685618465</v>
      </c>
      <c r="L960">
        <v>1961.6891466069976</v>
      </c>
      <c r="M960">
        <v>0</v>
      </c>
    </row>
    <row r="961" spans="1:15" x14ac:dyDescent="0.15">
      <c r="A961">
        <v>272</v>
      </c>
      <c r="B961" t="s">
        <v>116</v>
      </c>
      <c r="C961" t="s">
        <v>464</v>
      </c>
      <c r="D961">
        <v>6</v>
      </c>
      <c r="E961">
        <v>4562500</v>
      </c>
      <c r="F961">
        <v>4934375</v>
      </c>
      <c r="G961">
        <v>4748437.5</v>
      </c>
      <c r="H961">
        <v>-91462790.447061852</v>
      </c>
      <c r="I961">
        <v>-5.4513074133032864E-6</v>
      </c>
      <c r="J961">
        <v>1.316361436384859E-5</v>
      </c>
      <c r="K961">
        <v>-21.209625994234219</v>
      </c>
      <c r="L961">
        <v>-2026.166037713708</v>
      </c>
      <c r="M961">
        <v>0</v>
      </c>
    </row>
    <row r="962" spans="1:15" x14ac:dyDescent="0.15">
      <c r="A962">
        <v>272</v>
      </c>
      <c r="B962" t="s">
        <v>116</v>
      </c>
      <c r="C962" t="s">
        <v>464</v>
      </c>
      <c r="D962">
        <v>7</v>
      </c>
      <c r="E962">
        <v>4748437.5</v>
      </c>
      <c r="F962">
        <v>4934375</v>
      </c>
      <c r="G962">
        <v>4841406.25</v>
      </c>
      <c r="H962">
        <v>-84684224.547388941</v>
      </c>
      <c r="I962">
        <v>-2.3964952738363527E-6</v>
      </c>
      <c r="J962">
        <v>1.6218426503315524E-5</v>
      </c>
      <c r="K962">
        <v>-19.637720667416687</v>
      </c>
      <c r="L962">
        <v>-1849.1658450969476</v>
      </c>
      <c r="M962">
        <v>0</v>
      </c>
    </row>
    <row r="963" spans="1:15" x14ac:dyDescent="0.15">
      <c r="A963">
        <v>272</v>
      </c>
      <c r="B963" t="s">
        <v>116</v>
      </c>
      <c r="C963" t="s">
        <v>464</v>
      </c>
      <c r="D963">
        <v>8</v>
      </c>
      <c r="E963">
        <v>4841406.25</v>
      </c>
      <c r="F963">
        <v>4934375</v>
      </c>
      <c r="G963">
        <v>4887890.625</v>
      </c>
      <c r="H963">
        <v>-20918077.391117636</v>
      </c>
      <c r="I963">
        <v>-4.4883604038505707E-7</v>
      </c>
      <c r="J963">
        <v>1.8166085736766819E-5</v>
      </c>
      <c r="K963">
        <v>-4.8507660417472431</v>
      </c>
      <c r="L963">
        <v>-527.9571495345732</v>
      </c>
      <c r="M963">
        <v>0</v>
      </c>
    </row>
    <row r="964" spans="1:15" x14ac:dyDescent="0.15">
      <c r="A964">
        <v>272</v>
      </c>
      <c r="B964" t="s">
        <v>116</v>
      </c>
      <c r="C964" t="s">
        <v>464</v>
      </c>
      <c r="D964">
        <v>9</v>
      </c>
      <c r="E964">
        <v>4887890.625</v>
      </c>
      <c r="F964">
        <v>4934375</v>
      </c>
      <c r="G964">
        <v>4911132.8125</v>
      </c>
      <c r="H964">
        <v>32166748.905464765</v>
      </c>
      <c r="I964">
        <v>6.1255829920038544E-7</v>
      </c>
      <c r="J964">
        <v>1.9227480076352262E-5</v>
      </c>
      <c r="K964">
        <v>7.4592597754846546</v>
      </c>
      <c r="L964">
        <v>554.97615587981545</v>
      </c>
      <c r="M964">
        <v>0</v>
      </c>
    </row>
    <row r="965" spans="1:15" x14ac:dyDescent="0.15">
      <c r="A965">
        <v>272</v>
      </c>
      <c r="B965" t="s">
        <v>116</v>
      </c>
      <c r="C965" t="s">
        <v>464</v>
      </c>
      <c r="D965">
        <v>10</v>
      </c>
      <c r="E965">
        <v>4887890.625</v>
      </c>
      <c r="F965">
        <v>4911132.8125</v>
      </c>
      <c r="G965">
        <v>4899511.71875</v>
      </c>
      <c r="H965">
        <v>3677768.7551635657</v>
      </c>
      <c r="I965">
        <v>7.4243101115202868E-8</v>
      </c>
      <c r="J965">
        <v>1.8689164878267079E-5</v>
      </c>
      <c r="K965">
        <v>0.85285064460664939</v>
      </c>
      <c r="L965">
        <v>-24.936014723894456</v>
      </c>
      <c r="M965">
        <v>0</v>
      </c>
    </row>
    <row r="966" spans="1:15" x14ac:dyDescent="0.15">
      <c r="A966">
        <v>272</v>
      </c>
      <c r="B966" t="s">
        <v>116</v>
      </c>
      <c r="C966" t="s">
        <v>464</v>
      </c>
      <c r="D966">
        <v>11</v>
      </c>
      <c r="E966">
        <v>4899511.71875</v>
      </c>
      <c r="F966">
        <v>4911132.8125</v>
      </c>
      <c r="G966">
        <v>4905322.265625</v>
      </c>
      <c r="H966">
        <v>17423272.285100963</v>
      </c>
      <c r="I966">
        <v>3.4150373457012117E-7</v>
      </c>
      <c r="J966">
        <v>1.8956425511721998E-5</v>
      </c>
      <c r="K966">
        <v>4.040343476909185</v>
      </c>
      <c r="L966">
        <v>255.19118503585244</v>
      </c>
      <c r="M966">
        <v>0</v>
      </c>
    </row>
    <row r="967" spans="1:15" x14ac:dyDescent="0.15">
      <c r="A967">
        <v>272</v>
      </c>
      <c r="B967" t="s">
        <v>116</v>
      </c>
      <c r="C967" t="s">
        <v>464</v>
      </c>
      <c r="D967">
        <v>12</v>
      </c>
      <c r="E967">
        <v>4899511.71875</v>
      </c>
      <c r="F967">
        <v>4905322.265625</v>
      </c>
      <c r="G967">
        <v>4902416.9921875</v>
      </c>
      <c r="H967">
        <v>10426922.457851157</v>
      </c>
      <c r="I967">
        <v>2.0739081934854618E-7</v>
      </c>
      <c r="J967">
        <v>1.8822312596500423E-5</v>
      </c>
      <c r="K967">
        <v>2.417935474316252</v>
      </c>
      <c r="L967">
        <v>112.68942389983386</v>
      </c>
      <c r="M967">
        <v>0</v>
      </c>
    </row>
    <row r="968" spans="1:15" x14ac:dyDescent="0.15">
      <c r="A968">
        <v>272</v>
      </c>
      <c r="B968" t="s">
        <v>116</v>
      </c>
      <c r="C968" t="s">
        <v>464</v>
      </c>
      <c r="D968">
        <v>13</v>
      </c>
      <c r="E968">
        <v>4899511.71875</v>
      </c>
      <c r="F968">
        <v>4902416.9921875</v>
      </c>
      <c r="G968">
        <v>4900964.35546875</v>
      </c>
      <c r="H968">
        <v>7021666.8467779625</v>
      </c>
      <c r="I968">
        <v>1.4069667133555176E-7</v>
      </c>
      <c r="J968">
        <v>1.8755618448487428E-5</v>
      </c>
      <c r="K968">
        <v>1.6282788546941673</v>
      </c>
      <c r="L968">
        <v>43.271126608844291</v>
      </c>
      <c r="M968">
        <v>0</v>
      </c>
    </row>
    <row r="969" spans="1:15" x14ac:dyDescent="0.15">
      <c r="A969">
        <v>272</v>
      </c>
      <c r="B969" t="s">
        <v>116</v>
      </c>
      <c r="C969" t="s">
        <v>464</v>
      </c>
      <c r="D969">
        <v>14</v>
      </c>
      <c r="E969">
        <v>4899511.71875</v>
      </c>
      <c r="F969">
        <v>4900964.35546875</v>
      </c>
      <c r="G969">
        <v>4900238.037109375</v>
      </c>
      <c r="H969">
        <v>5341999.793140579</v>
      </c>
      <c r="I969">
        <v>1.0743835212344681E-7</v>
      </c>
      <c r="J969">
        <v>1.8722360129275323E-5</v>
      </c>
      <c r="K969">
        <v>1.2387749938524639</v>
      </c>
      <c r="L969">
        <v>9.0151080964996755</v>
      </c>
      <c r="M969">
        <v>0</v>
      </c>
    </row>
    <row r="970" spans="1:15" x14ac:dyDescent="0.15">
      <c r="A970">
        <v>272</v>
      </c>
      <c r="B970" t="s">
        <v>116</v>
      </c>
      <c r="C970" t="s">
        <v>464</v>
      </c>
      <c r="D970">
        <v>15</v>
      </c>
      <c r="E970">
        <v>4899511.71875</v>
      </c>
      <c r="F970">
        <v>4900238.037109375</v>
      </c>
      <c r="G970">
        <v>4899874.8779296875</v>
      </c>
      <c r="H970">
        <v>4508016.1564641381</v>
      </c>
      <c r="I970">
        <v>9.0834000470833989E-8</v>
      </c>
      <c r="J970">
        <v>1.870575577762271E-5</v>
      </c>
      <c r="K970">
        <v>1.0453796148927916</v>
      </c>
      <c r="L970">
        <v>-7.9973209771250113</v>
      </c>
      <c r="M970">
        <v>0</v>
      </c>
    </row>
    <row r="971" spans="1:15" x14ac:dyDescent="0.15">
      <c r="A971">
        <v>272</v>
      </c>
      <c r="B971" t="s">
        <v>116</v>
      </c>
      <c r="C971" t="s">
        <v>464</v>
      </c>
      <c r="D971">
        <v>16</v>
      </c>
      <c r="E971">
        <v>4899874.8779296875</v>
      </c>
      <c r="F971">
        <v>4900238.037109375</v>
      </c>
      <c r="G971">
        <v>4900056.4575195313</v>
      </c>
      <c r="H971">
        <v>4924569.4552677311</v>
      </c>
      <c r="I971">
        <v>9.9135069151877752E-8</v>
      </c>
      <c r="J971">
        <v>1.8714056846303754E-5</v>
      </c>
      <c r="K971">
        <v>1.1419756145458124</v>
      </c>
      <c r="L971">
        <v>0.50025949620606269</v>
      </c>
      <c r="M971">
        <v>0</v>
      </c>
    </row>
    <row r="972" spans="1:15" x14ac:dyDescent="0.15">
      <c r="A972">
        <v>272</v>
      </c>
      <c r="B972" t="s">
        <v>116</v>
      </c>
      <c r="C972" t="s">
        <v>465</v>
      </c>
      <c r="D972">
        <v>16</v>
      </c>
      <c r="E972">
        <v>4899874.8779296875</v>
      </c>
      <c r="F972">
        <v>4900238.037109375</v>
      </c>
      <c r="G972">
        <v>4900056.4575195313</v>
      </c>
      <c r="H972">
        <v>4924569.4552677311</v>
      </c>
      <c r="I972">
        <v>9.9135069151877752E-8</v>
      </c>
      <c r="J972">
        <v>1.8714056846303754E-5</v>
      </c>
      <c r="K972">
        <v>1.1419756145458124</v>
      </c>
      <c r="L972">
        <v>0.50025949620606269</v>
      </c>
      <c r="M972">
        <v>0</v>
      </c>
      <c r="N972" t="s">
        <v>466</v>
      </c>
      <c r="O972" t="s">
        <v>467</v>
      </c>
    </row>
    <row r="973" spans="1:15" x14ac:dyDescent="0.15">
      <c r="A973">
        <v>273</v>
      </c>
      <c r="B973" t="s">
        <v>117</v>
      </c>
      <c r="C973" t="s">
        <v>461</v>
      </c>
      <c r="D973">
        <v>0</v>
      </c>
      <c r="E973">
        <v>100000</v>
      </c>
      <c r="F973">
        <v>12000000</v>
      </c>
      <c r="G973">
        <v>100000</v>
      </c>
      <c r="H973">
        <v>-41985.069012956774</v>
      </c>
      <c r="I973">
        <v>-2.2822378137751643E-5</v>
      </c>
      <c r="J973">
        <v>-4.2074563605997663E-6</v>
      </c>
      <c r="K973">
        <v>-9.8586666161715845E-3</v>
      </c>
      <c r="L973">
        <v>-141.98506901295679</v>
      </c>
      <c r="M973">
        <v>0</v>
      </c>
      <c r="O973" t="s">
        <v>462</v>
      </c>
    </row>
    <row r="974" spans="1:15" x14ac:dyDescent="0.15">
      <c r="A974">
        <v>273</v>
      </c>
      <c r="B974" t="s">
        <v>117</v>
      </c>
      <c r="C974" t="s">
        <v>461</v>
      </c>
      <c r="D974">
        <v>0</v>
      </c>
      <c r="E974">
        <v>100000</v>
      </c>
      <c r="F974">
        <v>12000000</v>
      </c>
      <c r="G974">
        <v>12000000</v>
      </c>
      <c r="H974">
        <v>2.2546378078130742E+18</v>
      </c>
      <c r="I974">
        <v>536.87090338507824</v>
      </c>
      <c r="J974">
        <v>536.87092200000006</v>
      </c>
      <c r="K974">
        <v>529419696335.03448</v>
      </c>
      <c r="L974">
        <v>18788648398342.285</v>
      </c>
      <c r="M974">
        <v>5</v>
      </c>
      <c r="O974" t="s">
        <v>463</v>
      </c>
    </row>
    <row r="975" spans="1:15" x14ac:dyDescent="0.15">
      <c r="A975">
        <v>273</v>
      </c>
      <c r="B975" t="s">
        <v>117</v>
      </c>
      <c r="C975" t="s">
        <v>464</v>
      </c>
      <c r="D975">
        <v>1</v>
      </c>
      <c r="E975">
        <v>100000</v>
      </c>
      <c r="F975">
        <v>12000000</v>
      </c>
      <c r="G975">
        <v>6050000</v>
      </c>
      <c r="H975">
        <v>125177098267.97452</v>
      </c>
      <c r="I975">
        <v>4.5217483296636961E-4</v>
      </c>
      <c r="J975">
        <v>4.7078975474352147E-4</v>
      </c>
      <c r="K975">
        <v>29393.289300605131</v>
      </c>
      <c r="L975">
        <v>2068942.9465780912</v>
      </c>
      <c r="M975">
        <v>0</v>
      </c>
    </row>
    <row r="976" spans="1:15" x14ac:dyDescent="0.15">
      <c r="A976">
        <v>273</v>
      </c>
      <c r="B976" t="s">
        <v>117</v>
      </c>
      <c r="C976" t="s">
        <v>464</v>
      </c>
      <c r="D976">
        <v>2</v>
      </c>
      <c r="E976">
        <v>100000</v>
      </c>
      <c r="F976">
        <v>6050000</v>
      </c>
      <c r="G976">
        <v>3075000</v>
      </c>
      <c r="H976">
        <v>-195075.1117384368</v>
      </c>
      <c r="I976">
        <v>-1.628278391194449E-5</v>
      </c>
      <c r="J976">
        <v>2.3321378652073851E-6</v>
      </c>
      <c r="K976">
        <v>-4.5806295832172307E-2</v>
      </c>
      <c r="L976">
        <v>-106.3439060727947</v>
      </c>
      <c r="M976">
        <v>0</v>
      </c>
    </row>
    <row r="977" spans="1:13" x14ac:dyDescent="0.15">
      <c r="A977">
        <v>273</v>
      </c>
      <c r="B977" t="s">
        <v>117</v>
      </c>
      <c r="C977" t="s">
        <v>464</v>
      </c>
      <c r="D977">
        <v>3</v>
      </c>
      <c r="E977">
        <v>3075000</v>
      </c>
      <c r="F977">
        <v>6050000</v>
      </c>
      <c r="G977">
        <v>4562500</v>
      </c>
      <c r="H977">
        <v>-73891415.926478282</v>
      </c>
      <c r="I977">
        <v>-6.2814897137972471E-6</v>
      </c>
      <c r="J977">
        <v>1.2333432063354629E-5</v>
      </c>
      <c r="K977">
        <v>-17.350711873099733</v>
      </c>
      <c r="L977">
        <v>-1719.5378833200718</v>
      </c>
      <c r="M977">
        <v>0</v>
      </c>
    </row>
    <row r="978" spans="1:13" x14ac:dyDescent="0.15">
      <c r="A978">
        <v>273</v>
      </c>
      <c r="B978" t="s">
        <v>117</v>
      </c>
      <c r="C978" t="s">
        <v>464</v>
      </c>
      <c r="D978">
        <v>4</v>
      </c>
      <c r="E978">
        <v>4562500</v>
      </c>
      <c r="F978">
        <v>6050000</v>
      </c>
      <c r="G978">
        <v>5306250</v>
      </c>
      <c r="H978">
        <v>7173734323.9254513</v>
      </c>
      <c r="I978">
        <v>5.2249335019258057E-5</v>
      </c>
      <c r="J978">
        <v>7.0864256796409933E-5</v>
      </c>
      <c r="K978">
        <v>1684.4906238153978</v>
      </c>
      <c r="L978">
        <v>135094.0508631416</v>
      </c>
      <c r="M978">
        <v>0</v>
      </c>
    </row>
    <row r="979" spans="1:13" x14ac:dyDescent="0.15">
      <c r="A979">
        <v>273</v>
      </c>
      <c r="B979" t="s">
        <v>117</v>
      </c>
      <c r="C979" t="s">
        <v>464</v>
      </c>
      <c r="D979">
        <v>5</v>
      </c>
      <c r="E979">
        <v>4562500</v>
      </c>
      <c r="F979">
        <v>5306250</v>
      </c>
      <c r="G979">
        <v>4934375</v>
      </c>
      <c r="H979">
        <v>795396384.34319341</v>
      </c>
      <c r="I979">
        <v>9.5201421825742947E-6</v>
      </c>
      <c r="J979">
        <v>2.8135063959726171E-5</v>
      </c>
      <c r="K979">
        <v>186.76991524124657</v>
      </c>
      <c r="L979">
        <v>16019.496072819626</v>
      </c>
      <c r="M979">
        <v>0</v>
      </c>
    </row>
    <row r="980" spans="1:13" x14ac:dyDescent="0.15">
      <c r="A980">
        <v>273</v>
      </c>
      <c r="B980" t="s">
        <v>117</v>
      </c>
      <c r="C980" t="s">
        <v>464</v>
      </c>
      <c r="D980">
        <v>6</v>
      </c>
      <c r="E980">
        <v>4562500</v>
      </c>
      <c r="F980">
        <v>4934375</v>
      </c>
      <c r="G980">
        <v>4748437.5</v>
      </c>
      <c r="H980">
        <v>-35446524.135444343</v>
      </c>
      <c r="I980">
        <v>-7.9388930240250464E-7</v>
      </c>
      <c r="J980">
        <v>1.7821032474749372E-5</v>
      </c>
      <c r="K980">
        <v>-8.3233271343577417</v>
      </c>
      <c r="L980">
        <v>-846.48816869642576</v>
      </c>
      <c r="M980">
        <v>0</v>
      </c>
    </row>
    <row r="981" spans="1:13" x14ac:dyDescent="0.15">
      <c r="A981">
        <v>273</v>
      </c>
      <c r="B981" t="s">
        <v>117</v>
      </c>
      <c r="C981" t="s">
        <v>464</v>
      </c>
      <c r="D981">
        <v>7</v>
      </c>
      <c r="E981">
        <v>4748437.5</v>
      </c>
      <c r="F981">
        <v>4934375</v>
      </c>
      <c r="G981">
        <v>4841406.25</v>
      </c>
      <c r="H981">
        <v>260476493.75542155</v>
      </c>
      <c r="I981">
        <v>3.7675469926129708E-6</v>
      </c>
      <c r="J981">
        <v>2.2382468769764847E-5</v>
      </c>
      <c r="K981">
        <v>61.163431992728654</v>
      </c>
      <c r="L981">
        <v>5280.1825400506632</v>
      </c>
      <c r="M981">
        <v>0</v>
      </c>
    </row>
    <row r="982" spans="1:13" x14ac:dyDescent="0.15">
      <c r="A982">
        <v>273</v>
      </c>
      <c r="B982" t="s">
        <v>117</v>
      </c>
      <c r="C982" t="s">
        <v>464</v>
      </c>
      <c r="D982">
        <v>8</v>
      </c>
      <c r="E982">
        <v>4748437.5</v>
      </c>
      <c r="F982">
        <v>4841406.25</v>
      </c>
      <c r="G982">
        <v>4794921.875</v>
      </c>
      <c r="H982">
        <v>76649372.678828463</v>
      </c>
      <c r="I982">
        <v>1.3554364873526906E-6</v>
      </c>
      <c r="J982">
        <v>1.9970358264504567E-5</v>
      </c>
      <c r="K982">
        <v>17.998317719712702</v>
      </c>
      <c r="L982">
        <v>1498.5531084138563</v>
      </c>
      <c r="M982">
        <v>0</v>
      </c>
    </row>
    <row r="983" spans="1:13" x14ac:dyDescent="0.15">
      <c r="A983">
        <v>273</v>
      </c>
      <c r="B983" t="s">
        <v>117</v>
      </c>
      <c r="C983" t="s">
        <v>464</v>
      </c>
      <c r="D983">
        <v>9</v>
      </c>
      <c r="E983">
        <v>4748437.5</v>
      </c>
      <c r="F983">
        <v>4794921.875</v>
      </c>
      <c r="G983">
        <v>4771679.6875</v>
      </c>
      <c r="H983">
        <v>12609726.893305287</v>
      </c>
      <c r="I983">
        <v>2.4964357367648847E-7</v>
      </c>
      <c r="J983">
        <v>1.8864565350828365E-5</v>
      </c>
      <c r="K983">
        <v>2.9609357918098382</v>
      </c>
      <c r="L983">
        <v>164.26180546732868</v>
      </c>
      <c r="M983">
        <v>0</v>
      </c>
    </row>
    <row r="984" spans="1:13" x14ac:dyDescent="0.15">
      <c r="A984">
        <v>273</v>
      </c>
      <c r="B984" t="s">
        <v>117</v>
      </c>
      <c r="C984" t="s">
        <v>464</v>
      </c>
      <c r="D984">
        <v>10</v>
      </c>
      <c r="E984">
        <v>4748437.5</v>
      </c>
      <c r="F984">
        <v>4771679.6875</v>
      </c>
      <c r="G984">
        <v>4760058.59375</v>
      </c>
      <c r="H984">
        <v>-13300885.807654001</v>
      </c>
      <c r="I984">
        <v>-2.7967932391260484E-7</v>
      </c>
      <c r="J984">
        <v>1.8335242453239272E-5</v>
      </c>
      <c r="K984">
        <v>-3.1232293279537533</v>
      </c>
      <c r="L984">
        <v>-379.4269344734156</v>
      </c>
      <c r="M984">
        <v>0</v>
      </c>
    </row>
    <row r="985" spans="1:13" x14ac:dyDescent="0.15">
      <c r="A985">
        <v>273</v>
      </c>
      <c r="B985" t="s">
        <v>117</v>
      </c>
      <c r="C985" t="s">
        <v>464</v>
      </c>
      <c r="D985">
        <v>11</v>
      </c>
      <c r="E985">
        <v>4760058.59375</v>
      </c>
      <c r="F985">
        <v>4771679.6875</v>
      </c>
      <c r="G985">
        <v>4765869.140625</v>
      </c>
      <c r="H985">
        <v>-830310.5265638656</v>
      </c>
      <c r="I985">
        <v>-1.6935190144096147E-8</v>
      </c>
      <c r="J985">
        <v>1.859798658700778E-5</v>
      </c>
      <c r="K985">
        <v>-0.19496823184367931</v>
      </c>
      <c r="L985">
        <v>-117.42201688850773</v>
      </c>
      <c r="M985">
        <v>0</v>
      </c>
    </row>
    <row r="986" spans="1:13" x14ac:dyDescent="0.15">
      <c r="A986">
        <v>273</v>
      </c>
      <c r="B986" t="s">
        <v>117</v>
      </c>
      <c r="C986" t="s">
        <v>464</v>
      </c>
      <c r="D986">
        <v>12</v>
      </c>
      <c r="E986">
        <v>4765869.140625</v>
      </c>
      <c r="F986">
        <v>4771679.6875</v>
      </c>
      <c r="G986">
        <v>4768774.4140625</v>
      </c>
      <c r="H986">
        <v>5766697.6497610481</v>
      </c>
      <c r="I986">
        <v>1.1587060729871445E-7</v>
      </c>
      <c r="J986">
        <v>1.8730792384450591E-5</v>
      </c>
      <c r="K986">
        <v>1.3540992296025434</v>
      </c>
      <c r="L986">
        <v>20.926199250604125</v>
      </c>
      <c r="M986">
        <v>0</v>
      </c>
    </row>
    <row r="987" spans="1:13" x14ac:dyDescent="0.15">
      <c r="A987">
        <v>273</v>
      </c>
      <c r="B987" t="s">
        <v>117</v>
      </c>
      <c r="C987" t="s">
        <v>464</v>
      </c>
      <c r="D987">
        <v>13</v>
      </c>
      <c r="E987">
        <v>4765869.140625</v>
      </c>
      <c r="F987">
        <v>4768774.4140625</v>
      </c>
      <c r="G987">
        <v>4767321.77734375</v>
      </c>
      <c r="H987">
        <v>2437749.707410608</v>
      </c>
      <c r="I987">
        <v>4.9348929539754416E-8</v>
      </c>
      <c r="J987">
        <v>1.8664270706691631E-5</v>
      </c>
      <c r="K987">
        <v>0.57241686685365067</v>
      </c>
      <c r="L987">
        <v>-48.865425468115347</v>
      </c>
      <c r="M987">
        <v>0</v>
      </c>
    </row>
    <row r="988" spans="1:13" x14ac:dyDescent="0.15">
      <c r="A988">
        <v>273</v>
      </c>
      <c r="B988" t="s">
        <v>117</v>
      </c>
      <c r="C988" t="s">
        <v>464</v>
      </c>
      <c r="D988">
        <v>14</v>
      </c>
      <c r="E988">
        <v>4767321.77734375</v>
      </c>
      <c r="F988">
        <v>4768774.4140625</v>
      </c>
      <c r="G988">
        <v>4768048.095703125</v>
      </c>
      <c r="H988">
        <v>4094605.3313756334</v>
      </c>
      <c r="I988">
        <v>8.2580423475745043E-8</v>
      </c>
      <c r="J988">
        <v>1.8697502200627621E-5</v>
      </c>
      <c r="K988">
        <v>0.96146915643686592</v>
      </c>
      <c r="L988">
        <v>-14.124076578304349</v>
      </c>
      <c r="M988">
        <v>0</v>
      </c>
    </row>
    <row r="989" spans="1:13" x14ac:dyDescent="0.15">
      <c r="A989">
        <v>273</v>
      </c>
      <c r="B989" t="s">
        <v>117</v>
      </c>
      <c r="C989" t="s">
        <v>464</v>
      </c>
      <c r="D989">
        <v>15</v>
      </c>
      <c r="E989">
        <v>4768048.095703125</v>
      </c>
      <c r="F989">
        <v>4768774.4140625</v>
      </c>
      <c r="G989">
        <v>4768411.2548828125</v>
      </c>
      <c r="H989">
        <v>4928772.4226784911</v>
      </c>
      <c r="I989">
        <v>9.9218748147478252E-8</v>
      </c>
      <c r="J989">
        <v>1.8714140525299355E-5</v>
      </c>
      <c r="K989">
        <v>1.1573429622605158</v>
      </c>
      <c r="L989">
        <v>3.3629894575781427</v>
      </c>
      <c r="M989">
        <v>0</v>
      </c>
    </row>
    <row r="990" spans="1:13" x14ac:dyDescent="0.15">
      <c r="A990">
        <v>273</v>
      </c>
      <c r="B990" t="s">
        <v>117</v>
      </c>
      <c r="C990" t="s">
        <v>464</v>
      </c>
      <c r="D990">
        <v>16</v>
      </c>
      <c r="E990">
        <v>4768048.095703125</v>
      </c>
      <c r="F990">
        <v>4768411.2548828125</v>
      </c>
      <c r="G990">
        <v>4768229.6752929688</v>
      </c>
      <c r="H990">
        <v>4511132.9899451025</v>
      </c>
      <c r="I990">
        <v>9.0896169404795589E-8</v>
      </c>
      <c r="J990">
        <v>1.8705817946556672E-5</v>
      </c>
      <c r="K990">
        <v>1.0592755294830478</v>
      </c>
      <c r="L990">
        <v>-5.3918687407202084</v>
      </c>
      <c r="M990">
        <v>0</v>
      </c>
    </row>
    <row r="991" spans="1:13" x14ac:dyDescent="0.15">
      <c r="A991">
        <v>273</v>
      </c>
      <c r="B991" t="s">
        <v>117</v>
      </c>
      <c r="C991" t="s">
        <v>464</v>
      </c>
      <c r="D991">
        <v>17</v>
      </c>
      <c r="E991">
        <v>4768229.6752929688</v>
      </c>
      <c r="F991">
        <v>4768411.2548828125</v>
      </c>
      <c r="G991">
        <v>4768320.4650878906</v>
      </c>
      <c r="H991">
        <v>4719794.3689871244</v>
      </c>
      <c r="I991">
        <v>9.505622081032355E-8</v>
      </c>
      <c r="J991">
        <v>1.87099779979622E-5</v>
      </c>
      <c r="K991">
        <v>1.1082720661092249</v>
      </c>
      <c r="L991">
        <v>-1.0176769043955558</v>
      </c>
      <c r="M991">
        <v>0</v>
      </c>
    </row>
    <row r="992" spans="1:13" x14ac:dyDescent="0.15">
      <c r="A992">
        <v>273</v>
      </c>
      <c r="B992" t="s">
        <v>117</v>
      </c>
      <c r="C992" t="s">
        <v>464</v>
      </c>
      <c r="D992">
        <v>18</v>
      </c>
      <c r="E992">
        <v>4768320.4650878906</v>
      </c>
      <c r="F992">
        <v>4768411.2548828125</v>
      </c>
      <c r="G992">
        <v>4768365.8599853516</v>
      </c>
      <c r="H992">
        <v>4824214.9062711997</v>
      </c>
      <c r="I992">
        <v>9.7136599627109928E-8</v>
      </c>
      <c r="J992">
        <v>1.8712058376778986E-5</v>
      </c>
      <c r="K992">
        <v>1.1327914319020385</v>
      </c>
      <c r="L992">
        <v>1.1712407966535459</v>
      </c>
      <c r="M992">
        <v>0</v>
      </c>
    </row>
    <row r="993" spans="1:15" x14ac:dyDescent="0.15">
      <c r="A993">
        <v>273</v>
      </c>
      <c r="B993" t="s">
        <v>117</v>
      </c>
      <c r="C993" t="s">
        <v>464</v>
      </c>
      <c r="D993">
        <v>19</v>
      </c>
      <c r="E993">
        <v>4768320.4650878906</v>
      </c>
      <c r="F993">
        <v>4768365.8599853516</v>
      </c>
      <c r="G993">
        <v>4768343.1625366211</v>
      </c>
      <c r="H993">
        <v>4772074.1434577424</v>
      </c>
      <c r="I993">
        <v>9.6097914758590502E-8</v>
      </c>
      <c r="J993">
        <v>1.8711019691910467E-5</v>
      </c>
      <c r="K993">
        <v>1.120548069921804</v>
      </c>
      <c r="L993">
        <v>7.8244807345965839E-2</v>
      </c>
      <c r="M993">
        <v>0</v>
      </c>
    </row>
    <row r="994" spans="1:15" x14ac:dyDescent="0.15">
      <c r="A994">
        <v>273</v>
      </c>
      <c r="B994" t="s">
        <v>117</v>
      </c>
      <c r="C994" t="s">
        <v>465</v>
      </c>
      <c r="D994">
        <v>19</v>
      </c>
      <c r="E994">
        <v>4768320.4650878906</v>
      </c>
      <c r="F994">
        <v>4768365.8599853516</v>
      </c>
      <c r="G994">
        <v>4768343.1625366211</v>
      </c>
      <c r="H994">
        <v>4772074.1434577424</v>
      </c>
      <c r="I994">
        <v>9.6097914758590502E-8</v>
      </c>
      <c r="J994">
        <v>1.8711019691910467E-5</v>
      </c>
      <c r="K994">
        <v>1.120548069921804</v>
      </c>
      <c r="L994">
        <v>7.8244807345965839E-2</v>
      </c>
      <c r="M994">
        <v>0</v>
      </c>
      <c r="N994" t="s">
        <v>466</v>
      </c>
      <c r="O994" t="s">
        <v>467</v>
      </c>
    </row>
    <row r="995" spans="1:15" x14ac:dyDescent="0.15">
      <c r="A995">
        <v>274</v>
      </c>
      <c r="B995" t="s">
        <v>118</v>
      </c>
      <c r="C995" t="s">
        <v>461</v>
      </c>
      <c r="D995">
        <v>0</v>
      </c>
      <c r="E995">
        <v>100000</v>
      </c>
      <c r="F995">
        <v>12000000</v>
      </c>
      <c r="G995">
        <v>100000</v>
      </c>
      <c r="H995">
        <v>-40815.381129888519</v>
      </c>
      <c r="I995">
        <v>-2.2728775844490476E-5</v>
      </c>
      <c r="J995">
        <v>-4.3528109898763572E-6</v>
      </c>
      <c r="K995">
        <v>-9.5275484079297857E-3</v>
      </c>
      <c r="L995">
        <v>-140.81538112988852</v>
      </c>
      <c r="M995">
        <v>0</v>
      </c>
      <c r="O995" t="s">
        <v>462</v>
      </c>
    </row>
    <row r="996" spans="1:15" x14ac:dyDescent="0.15">
      <c r="A996">
        <v>274</v>
      </c>
      <c r="B996" t="s">
        <v>118</v>
      </c>
      <c r="C996" t="s">
        <v>461</v>
      </c>
      <c r="D996">
        <v>0</v>
      </c>
      <c r="E996">
        <v>100000</v>
      </c>
      <c r="F996">
        <v>12000000</v>
      </c>
      <c r="G996">
        <v>12000000</v>
      </c>
      <c r="H996">
        <v>2.3004936335054382E+18</v>
      </c>
      <c r="I996">
        <v>536.87090362403524</v>
      </c>
      <c r="J996">
        <v>536.87092200000006</v>
      </c>
      <c r="K996">
        <v>537005017437.09216</v>
      </c>
      <c r="L996">
        <v>19170780279111.984</v>
      </c>
      <c r="M996">
        <v>5</v>
      </c>
      <c r="O996" t="s">
        <v>463</v>
      </c>
    </row>
    <row r="997" spans="1:15" x14ac:dyDescent="0.15">
      <c r="A997">
        <v>274</v>
      </c>
      <c r="B997" t="s">
        <v>118</v>
      </c>
      <c r="C997" t="s">
        <v>464</v>
      </c>
      <c r="D997">
        <v>1</v>
      </c>
      <c r="E997">
        <v>100000</v>
      </c>
      <c r="F997">
        <v>12000000</v>
      </c>
      <c r="G997">
        <v>6050000</v>
      </c>
      <c r="H997">
        <v>77621370758.007202</v>
      </c>
      <c r="I997">
        <v>3.0904794720963062E-4</v>
      </c>
      <c r="J997">
        <v>3.2742391206424474E-4</v>
      </c>
      <c r="K997">
        <v>18119.183183254012</v>
      </c>
      <c r="L997">
        <v>1282897.863768714</v>
      </c>
      <c r="M997">
        <v>0</v>
      </c>
    </row>
    <row r="998" spans="1:15" x14ac:dyDescent="0.15">
      <c r="A998">
        <v>274</v>
      </c>
      <c r="B998" t="s">
        <v>118</v>
      </c>
      <c r="C998" t="s">
        <v>464</v>
      </c>
      <c r="D998">
        <v>2</v>
      </c>
      <c r="E998">
        <v>100000</v>
      </c>
      <c r="F998">
        <v>6050000</v>
      </c>
      <c r="G998">
        <v>3075000</v>
      </c>
      <c r="H998">
        <v>-181724.6719741319</v>
      </c>
      <c r="I998">
        <v>-1.6307617829558589E-5</v>
      </c>
      <c r="J998">
        <v>2.0683470250555289E-6</v>
      </c>
      <c r="K998">
        <v>-4.2420052470876733E-2</v>
      </c>
      <c r="L998">
        <v>-105.90974543005306</v>
      </c>
      <c r="M998">
        <v>0</v>
      </c>
    </row>
    <row r="999" spans="1:15" x14ac:dyDescent="0.15">
      <c r="A999">
        <v>274</v>
      </c>
      <c r="B999" t="s">
        <v>118</v>
      </c>
      <c r="C999" t="s">
        <v>464</v>
      </c>
      <c r="D999">
        <v>3</v>
      </c>
      <c r="E999">
        <v>3075000</v>
      </c>
      <c r="F999">
        <v>6050000</v>
      </c>
      <c r="G999">
        <v>4562500</v>
      </c>
      <c r="H999">
        <v>-29630634.195111297</v>
      </c>
      <c r="I999">
        <v>-7.7844489913473131E-6</v>
      </c>
      <c r="J999">
        <v>1.0591515863266806E-5</v>
      </c>
      <c r="K999">
        <v>-6.9166890970142854</v>
      </c>
      <c r="L999">
        <v>-749.4385577010695</v>
      </c>
      <c r="M999">
        <v>0</v>
      </c>
    </row>
    <row r="1000" spans="1:15" x14ac:dyDescent="0.15">
      <c r="A1000">
        <v>274</v>
      </c>
      <c r="B1000" t="s">
        <v>118</v>
      </c>
      <c r="C1000" t="s">
        <v>464</v>
      </c>
      <c r="D1000">
        <v>4</v>
      </c>
      <c r="E1000">
        <v>4562500</v>
      </c>
      <c r="F1000">
        <v>6050000</v>
      </c>
      <c r="G1000">
        <v>5306250</v>
      </c>
      <c r="H1000">
        <v>3895359446.0835681</v>
      </c>
      <c r="I1000">
        <v>3.2456181186326714E-5</v>
      </c>
      <c r="J1000">
        <v>5.0832146040940833E-5</v>
      </c>
      <c r="K1000">
        <v>909.29509075857356</v>
      </c>
      <c r="L1000">
        <v>73310.778724778662</v>
      </c>
      <c r="M1000">
        <v>0</v>
      </c>
    </row>
    <row r="1001" spans="1:15" x14ac:dyDescent="0.15">
      <c r="A1001">
        <v>274</v>
      </c>
      <c r="B1001" t="s">
        <v>118</v>
      </c>
      <c r="C1001" t="s">
        <v>464</v>
      </c>
      <c r="D1001">
        <v>5</v>
      </c>
      <c r="E1001">
        <v>4562500</v>
      </c>
      <c r="F1001">
        <v>5306250</v>
      </c>
      <c r="G1001">
        <v>4934375</v>
      </c>
      <c r="H1001">
        <v>128393157.29324234</v>
      </c>
      <c r="I1001">
        <v>2.0931315435970923E-6</v>
      </c>
      <c r="J1001">
        <v>2.0469096398211211E-5</v>
      </c>
      <c r="K1001">
        <v>29.970858717830886</v>
      </c>
      <c r="L1001">
        <v>2502.0145873234674</v>
      </c>
      <c r="M1001">
        <v>0</v>
      </c>
    </row>
    <row r="1002" spans="1:15" x14ac:dyDescent="0.15">
      <c r="A1002">
        <v>274</v>
      </c>
      <c r="B1002" t="s">
        <v>118</v>
      </c>
      <c r="C1002" t="s">
        <v>464</v>
      </c>
      <c r="D1002">
        <v>6</v>
      </c>
      <c r="E1002">
        <v>4562500</v>
      </c>
      <c r="F1002">
        <v>4934375</v>
      </c>
      <c r="G1002">
        <v>4748437.5</v>
      </c>
      <c r="H1002">
        <v>-93868568.273525298</v>
      </c>
      <c r="I1002">
        <v>-5.1972528475418096E-6</v>
      </c>
      <c r="J1002">
        <v>1.3178712007072309E-5</v>
      </c>
      <c r="K1002">
        <v>-21.91177206854903</v>
      </c>
      <c r="L1002">
        <v>-2076.830657948542</v>
      </c>
      <c r="M1002">
        <v>0</v>
      </c>
    </row>
    <row r="1003" spans="1:15" x14ac:dyDescent="0.15">
      <c r="A1003">
        <v>274</v>
      </c>
      <c r="B1003" t="s">
        <v>118</v>
      </c>
      <c r="C1003" t="s">
        <v>464</v>
      </c>
      <c r="D1003">
        <v>7</v>
      </c>
      <c r="E1003">
        <v>4748437.5</v>
      </c>
      <c r="F1003">
        <v>4934375</v>
      </c>
      <c r="G1003">
        <v>4841406.25</v>
      </c>
      <c r="H1003">
        <v>-76748677.777908966</v>
      </c>
      <c r="I1003">
        <v>-2.0360263840303421E-6</v>
      </c>
      <c r="J1003">
        <v>1.6339938470583777E-5</v>
      </c>
      <c r="K1003">
        <v>-17.915470161766194</v>
      </c>
      <c r="L1003">
        <v>-1685.2558908459494</v>
      </c>
      <c r="M1003">
        <v>0</v>
      </c>
    </row>
    <row r="1004" spans="1:15" x14ac:dyDescent="0.15">
      <c r="A1004">
        <v>274</v>
      </c>
      <c r="B1004" t="s">
        <v>118</v>
      </c>
      <c r="C1004" t="s">
        <v>464</v>
      </c>
      <c r="D1004">
        <v>8</v>
      </c>
      <c r="E1004">
        <v>4841406.25</v>
      </c>
      <c r="F1004">
        <v>4934375</v>
      </c>
      <c r="G1004">
        <v>4887890.625</v>
      </c>
      <c r="H1004">
        <v>-4393215.6313230945</v>
      </c>
      <c r="I1004">
        <v>-8.9363934273839165E-8</v>
      </c>
      <c r="J1004">
        <v>1.828660092034028E-5</v>
      </c>
      <c r="K1004">
        <v>-1.0255098307351986</v>
      </c>
      <c r="L1004">
        <v>-189.87958136487751</v>
      </c>
      <c r="M1004">
        <v>0</v>
      </c>
    </row>
    <row r="1005" spans="1:15" x14ac:dyDescent="0.15">
      <c r="A1005">
        <v>274</v>
      </c>
      <c r="B1005" t="s">
        <v>118</v>
      </c>
      <c r="C1005" t="s">
        <v>464</v>
      </c>
      <c r="D1005">
        <v>9</v>
      </c>
      <c r="E1005">
        <v>4887890.625</v>
      </c>
      <c r="F1005">
        <v>4934375</v>
      </c>
      <c r="G1005">
        <v>4911132.8125</v>
      </c>
      <c r="H1005">
        <v>53540584.698225595</v>
      </c>
      <c r="I1005">
        <v>9.7058209842612421E-7</v>
      </c>
      <c r="J1005">
        <v>1.9346546953040243E-5</v>
      </c>
      <c r="K1005">
        <v>12.497997038858042</v>
      </c>
      <c r="L1005">
        <v>990.18808373400293</v>
      </c>
      <c r="M1005">
        <v>0</v>
      </c>
    </row>
    <row r="1006" spans="1:15" x14ac:dyDescent="0.15">
      <c r="A1006">
        <v>274</v>
      </c>
      <c r="B1006" t="s">
        <v>118</v>
      </c>
      <c r="C1006" t="s">
        <v>464</v>
      </c>
      <c r="D1006">
        <v>10</v>
      </c>
      <c r="E1006">
        <v>4887890.625</v>
      </c>
      <c r="F1006">
        <v>4911132.8125</v>
      </c>
      <c r="G1006">
        <v>4899511.71875</v>
      </c>
      <c r="H1006">
        <v>22577189.688885145</v>
      </c>
      <c r="I1006">
        <v>4.3300977948044209E-7</v>
      </c>
      <c r="J1006">
        <v>1.8808974634094561E-5</v>
      </c>
      <c r="K1006">
        <v>5.2702011281317658</v>
      </c>
      <c r="L1006">
        <v>360.80489209739466</v>
      </c>
      <c r="M1006">
        <v>0</v>
      </c>
    </row>
    <row r="1007" spans="1:15" x14ac:dyDescent="0.15">
      <c r="A1007">
        <v>274</v>
      </c>
      <c r="B1007" t="s">
        <v>118</v>
      </c>
      <c r="C1007" t="s">
        <v>464</v>
      </c>
      <c r="D1007">
        <v>11</v>
      </c>
      <c r="E1007">
        <v>4887890.625</v>
      </c>
      <c r="F1007">
        <v>4899511.71875</v>
      </c>
      <c r="G1007">
        <v>4893701.171875</v>
      </c>
      <c r="H1007">
        <v>8607204.1810904369</v>
      </c>
      <c r="I1007">
        <v>1.6995167815578324E-7</v>
      </c>
      <c r="J1007">
        <v>1.8545916532769902E-5</v>
      </c>
      <c r="K1007">
        <v>2.0091826223870122</v>
      </c>
      <c r="L1007">
        <v>75.883321821071164</v>
      </c>
      <c r="M1007">
        <v>0</v>
      </c>
    </row>
    <row r="1008" spans="1:15" x14ac:dyDescent="0.15">
      <c r="A1008">
        <v>274</v>
      </c>
      <c r="B1008" t="s">
        <v>118</v>
      </c>
      <c r="C1008" t="s">
        <v>464</v>
      </c>
      <c r="D1008">
        <v>12</v>
      </c>
      <c r="E1008">
        <v>4887890.625</v>
      </c>
      <c r="F1008">
        <v>4893701.171875</v>
      </c>
      <c r="G1008">
        <v>4890795.8984375</v>
      </c>
      <c r="H1008">
        <v>1987467.2093032429</v>
      </c>
      <c r="I1008">
        <v>3.9827741388632869E-8</v>
      </c>
      <c r="J1008">
        <v>1.8415792596002752E-5</v>
      </c>
      <c r="K1008">
        <v>0.46393515193573509</v>
      </c>
      <c r="L1008">
        <v>-59.363112863937047</v>
      </c>
      <c r="M1008">
        <v>0</v>
      </c>
    </row>
    <row r="1009" spans="1:15" x14ac:dyDescent="0.15">
      <c r="A1009">
        <v>274</v>
      </c>
      <c r="B1009" t="s">
        <v>118</v>
      </c>
      <c r="C1009" t="s">
        <v>464</v>
      </c>
      <c r="D1009">
        <v>13</v>
      </c>
      <c r="E1009">
        <v>4890795.8984375</v>
      </c>
      <c r="F1009">
        <v>4893701.171875</v>
      </c>
      <c r="G1009">
        <v>4892248.53515625</v>
      </c>
      <c r="H1009">
        <v>5267292.4637585161</v>
      </c>
      <c r="I1009">
        <v>1.0477388520619012E-7</v>
      </c>
      <c r="J1009">
        <v>1.8480738739820309E-5</v>
      </c>
      <c r="K1009">
        <v>1.2295458853484453</v>
      </c>
      <c r="L1009">
        <v>7.6660849486112195</v>
      </c>
      <c r="M1009">
        <v>0</v>
      </c>
    </row>
    <row r="1010" spans="1:15" x14ac:dyDescent="0.15">
      <c r="A1010">
        <v>274</v>
      </c>
      <c r="B1010" t="s">
        <v>118</v>
      </c>
      <c r="C1010" t="s">
        <v>464</v>
      </c>
      <c r="D1010">
        <v>14</v>
      </c>
      <c r="E1010">
        <v>4890795.8984375</v>
      </c>
      <c r="F1010">
        <v>4892248.53515625</v>
      </c>
      <c r="G1010">
        <v>4891522.216796875</v>
      </c>
      <c r="H1010">
        <v>3619924.7069823798</v>
      </c>
      <c r="I1010">
        <v>7.2272475231524098E-8</v>
      </c>
      <c r="J1010">
        <v>1.8448237329845643E-5</v>
      </c>
      <c r="K1010">
        <v>0.84500026519609939</v>
      </c>
      <c r="L1010">
        <v>-25.995946731019405</v>
      </c>
      <c r="M1010">
        <v>0</v>
      </c>
    </row>
    <row r="1011" spans="1:15" x14ac:dyDescent="0.15">
      <c r="A1011">
        <v>274</v>
      </c>
      <c r="B1011" t="s">
        <v>118</v>
      </c>
      <c r="C1011" t="s">
        <v>464</v>
      </c>
      <c r="D1011">
        <v>15</v>
      </c>
      <c r="E1011">
        <v>4891522.216796875</v>
      </c>
      <c r="F1011">
        <v>4892248.53515625</v>
      </c>
      <c r="G1011">
        <v>4891885.3759765625</v>
      </c>
      <c r="H1011">
        <v>4441731.9447907684</v>
      </c>
      <c r="I1011">
        <v>8.8515900686550437E-8</v>
      </c>
      <c r="J1011">
        <v>1.8464480755300669E-5</v>
      </c>
      <c r="K1011">
        <v>1.0368350104184791</v>
      </c>
      <c r="L1011">
        <v>-9.2020437231919061</v>
      </c>
      <c r="M1011">
        <v>0</v>
      </c>
    </row>
    <row r="1012" spans="1:15" x14ac:dyDescent="0.15">
      <c r="A1012">
        <v>274</v>
      </c>
      <c r="B1012" t="s">
        <v>118</v>
      </c>
      <c r="C1012" t="s">
        <v>464</v>
      </c>
      <c r="D1012">
        <v>16</v>
      </c>
      <c r="E1012">
        <v>4891885.3759765625</v>
      </c>
      <c r="F1012">
        <v>4892248.53515625</v>
      </c>
      <c r="G1012">
        <v>4892066.9555664063</v>
      </c>
      <c r="H1012">
        <v>4854042.6170459427</v>
      </c>
      <c r="I1012">
        <v>9.664307223727301E-8</v>
      </c>
      <c r="J1012">
        <v>1.8472607926851392E-5</v>
      </c>
      <c r="K1012">
        <v>1.1330808319757009</v>
      </c>
      <c r="L1012">
        <v>-0.77726529227482899</v>
      </c>
      <c r="M1012">
        <v>0</v>
      </c>
    </row>
    <row r="1013" spans="1:15" x14ac:dyDescent="0.15">
      <c r="A1013">
        <v>274</v>
      </c>
      <c r="B1013" t="s">
        <v>118</v>
      </c>
      <c r="C1013" t="s">
        <v>465</v>
      </c>
      <c r="D1013">
        <v>16</v>
      </c>
      <c r="E1013">
        <v>4891885.3759765625</v>
      </c>
      <c r="F1013">
        <v>4892248.53515625</v>
      </c>
      <c r="G1013">
        <v>4892066.9555664063</v>
      </c>
      <c r="H1013">
        <v>4854042.6170459427</v>
      </c>
      <c r="I1013">
        <v>9.664307223727301E-8</v>
      </c>
      <c r="J1013">
        <v>1.8472607926851392E-5</v>
      </c>
      <c r="K1013">
        <v>1.1330808319757009</v>
      </c>
      <c r="L1013">
        <v>-0.77726529227482899</v>
      </c>
      <c r="M1013">
        <v>0</v>
      </c>
      <c r="N1013" t="s">
        <v>466</v>
      </c>
      <c r="O1013" t="s">
        <v>467</v>
      </c>
    </row>
    <row r="1014" spans="1:15" x14ac:dyDescent="0.15">
      <c r="A1014">
        <v>275</v>
      </c>
      <c r="B1014" t="s">
        <v>75</v>
      </c>
      <c r="C1014" t="s">
        <v>461</v>
      </c>
      <c r="D1014">
        <v>0</v>
      </c>
      <c r="E1014">
        <v>100000</v>
      </c>
      <c r="F1014">
        <v>12000000</v>
      </c>
      <c r="G1014">
        <v>100000</v>
      </c>
      <c r="H1014">
        <v>-15036.423836146336</v>
      </c>
      <c r="I1014">
        <v>-2.2058703167383611E-5</v>
      </c>
      <c r="J1014">
        <v>-9.3255037971854706E-6</v>
      </c>
      <c r="K1014">
        <v>-2.7237270745433229E-3</v>
      </c>
      <c r="L1014">
        <v>-115.03642383614634</v>
      </c>
      <c r="M1014">
        <v>0</v>
      </c>
      <c r="O1014" t="s">
        <v>462</v>
      </c>
    </row>
    <row r="1015" spans="1:15" x14ac:dyDescent="0.15">
      <c r="A1015">
        <v>275</v>
      </c>
      <c r="B1015" t="s">
        <v>75</v>
      </c>
      <c r="C1015" t="s">
        <v>461</v>
      </c>
      <c r="D1015">
        <v>0</v>
      </c>
      <c r="E1015">
        <v>100000</v>
      </c>
      <c r="F1015">
        <v>12000000</v>
      </c>
      <c r="G1015">
        <v>12000000</v>
      </c>
      <c r="H1015">
        <v>2.32989106448235E+16</v>
      </c>
      <c r="I1015">
        <v>5.8333797439605357</v>
      </c>
      <c r="J1015">
        <v>5.8333924771599062</v>
      </c>
      <c r="K1015">
        <v>4220410013.8570871</v>
      </c>
      <c r="L1015">
        <v>194157588606.86249</v>
      </c>
      <c r="M1015">
        <v>0</v>
      </c>
      <c r="O1015" t="s">
        <v>463</v>
      </c>
    </row>
    <row r="1016" spans="1:15" x14ac:dyDescent="0.15">
      <c r="A1016">
        <v>275</v>
      </c>
      <c r="B1016" t="s">
        <v>75</v>
      </c>
      <c r="C1016" t="s">
        <v>464</v>
      </c>
      <c r="D1016">
        <v>1</v>
      </c>
      <c r="E1016">
        <v>100000</v>
      </c>
      <c r="F1016">
        <v>12000000</v>
      </c>
      <c r="G1016">
        <v>6050000</v>
      </c>
      <c r="H1016">
        <v>-305654.45286929799</v>
      </c>
      <c r="I1016">
        <v>-1.0554445881794007E-5</v>
      </c>
      <c r="J1016">
        <v>2.1787534884041334E-6</v>
      </c>
      <c r="K1016">
        <v>-5.5366842395964157E-2</v>
      </c>
      <c r="L1016">
        <v>-105.0521397168479</v>
      </c>
      <c r="M1016">
        <v>0</v>
      </c>
    </row>
    <row r="1017" spans="1:15" x14ac:dyDescent="0.15">
      <c r="A1017">
        <v>275</v>
      </c>
      <c r="B1017" t="s">
        <v>75</v>
      </c>
      <c r="C1017" t="s">
        <v>464</v>
      </c>
      <c r="D1017">
        <v>2</v>
      </c>
      <c r="E1017">
        <v>6050000</v>
      </c>
      <c r="F1017">
        <v>12000000</v>
      </c>
      <c r="G1017">
        <v>9025000</v>
      </c>
      <c r="H1017">
        <v>527959002177.60059</v>
      </c>
      <c r="I1017">
        <v>8.5422165390233132E-4</v>
      </c>
      <c r="J1017">
        <v>8.6695485327252942E-4</v>
      </c>
      <c r="K1017">
        <v>95635.521062071566</v>
      </c>
      <c r="L1017">
        <v>5849861.2429651031</v>
      </c>
      <c r="M1017">
        <v>0</v>
      </c>
    </row>
    <row r="1018" spans="1:15" x14ac:dyDescent="0.15">
      <c r="A1018">
        <v>275</v>
      </c>
      <c r="B1018" t="s">
        <v>75</v>
      </c>
      <c r="C1018" t="s">
        <v>464</v>
      </c>
      <c r="D1018">
        <v>3</v>
      </c>
      <c r="E1018">
        <v>6050000</v>
      </c>
      <c r="F1018">
        <v>9025000</v>
      </c>
      <c r="G1018">
        <v>7537500</v>
      </c>
      <c r="H1018">
        <v>370911295.47204536</v>
      </c>
      <c r="I1018">
        <v>3.4460977741050767E-6</v>
      </c>
      <c r="J1018">
        <v>1.6179297144303218E-5</v>
      </c>
      <c r="K1018">
        <v>67.187593854767698</v>
      </c>
      <c r="L1018">
        <v>4820.8795419176831</v>
      </c>
      <c r="M1018">
        <v>0</v>
      </c>
    </row>
    <row r="1019" spans="1:15" x14ac:dyDescent="0.15">
      <c r="A1019">
        <v>275</v>
      </c>
      <c r="B1019" t="s">
        <v>75</v>
      </c>
      <c r="C1019" t="s">
        <v>464</v>
      </c>
      <c r="D1019">
        <v>4</v>
      </c>
      <c r="E1019">
        <v>6050000</v>
      </c>
      <c r="F1019">
        <v>7537500</v>
      </c>
      <c r="G1019">
        <v>6793750</v>
      </c>
      <c r="H1019">
        <v>-2845955.4963390334</v>
      </c>
      <c r="I1019">
        <v>-7.4902894245008123E-6</v>
      </c>
      <c r="J1019">
        <v>5.2429099456973285E-6</v>
      </c>
      <c r="K1019">
        <v>-0.51552191683302895</v>
      </c>
      <c r="L1019">
        <v>-141.8907892745396</v>
      </c>
      <c r="M1019">
        <v>0</v>
      </c>
    </row>
    <row r="1020" spans="1:15" x14ac:dyDescent="0.15">
      <c r="A1020">
        <v>275</v>
      </c>
      <c r="B1020" t="s">
        <v>75</v>
      </c>
      <c r="C1020" t="s">
        <v>464</v>
      </c>
      <c r="D1020">
        <v>5</v>
      </c>
      <c r="E1020">
        <v>6793750</v>
      </c>
      <c r="F1020">
        <v>7537500</v>
      </c>
      <c r="G1020">
        <v>7165625</v>
      </c>
      <c r="H1020">
        <v>-55126095.943340257</v>
      </c>
      <c r="I1020">
        <v>-4.4161219506841766E-6</v>
      </c>
      <c r="J1020">
        <v>8.3170774195139642E-6</v>
      </c>
      <c r="K1020">
        <v>-9.9856482944969986</v>
      </c>
      <c r="L1020">
        <v>-869.31315751717761</v>
      </c>
      <c r="M1020">
        <v>0</v>
      </c>
    </row>
    <row r="1021" spans="1:15" x14ac:dyDescent="0.15">
      <c r="A1021">
        <v>275</v>
      </c>
      <c r="B1021" t="s">
        <v>75</v>
      </c>
      <c r="C1021" t="s">
        <v>464</v>
      </c>
      <c r="D1021">
        <v>6</v>
      </c>
      <c r="E1021">
        <v>7165625</v>
      </c>
      <c r="F1021">
        <v>7537500</v>
      </c>
      <c r="G1021">
        <v>7351562.5</v>
      </c>
      <c r="H1021">
        <v>-88191368.394297197</v>
      </c>
      <c r="I1021">
        <v>-2.2132380267577149E-6</v>
      </c>
      <c r="J1021">
        <v>1.0519961343440426E-5</v>
      </c>
      <c r="K1021">
        <v>-15.975156091246125</v>
      </c>
      <c r="L1021">
        <v>-1299.627540326253</v>
      </c>
      <c r="M1021">
        <v>0</v>
      </c>
    </row>
    <row r="1022" spans="1:15" x14ac:dyDescent="0.15">
      <c r="A1022">
        <v>275</v>
      </c>
      <c r="B1022" t="s">
        <v>75</v>
      </c>
      <c r="C1022" t="s">
        <v>464</v>
      </c>
      <c r="D1022">
        <v>7</v>
      </c>
      <c r="E1022">
        <v>7351562.5</v>
      </c>
      <c r="F1022">
        <v>7537500</v>
      </c>
      <c r="G1022">
        <v>7444531.25</v>
      </c>
      <c r="H1022">
        <v>-2249325.7170330514</v>
      </c>
      <c r="I1022">
        <v>-3.3468838144781239E-8</v>
      </c>
      <c r="J1022">
        <v>1.269973053205336E-5</v>
      </c>
      <c r="K1022">
        <v>-0.4074472375686678</v>
      </c>
      <c r="L1022">
        <v>-130.21447075036525</v>
      </c>
      <c r="M1022">
        <v>0</v>
      </c>
    </row>
    <row r="1023" spans="1:15" x14ac:dyDescent="0.15">
      <c r="A1023">
        <v>275</v>
      </c>
      <c r="B1023" t="s">
        <v>75</v>
      </c>
      <c r="C1023" t="s">
        <v>464</v>
      </c>
      <c r="D1023">
        <v>8</v>
      </c>
      <c r="E1023">
        <v>7444531.25</v>
      </c>
      <c r="F1023">
        <v>7537500</v>
      </c>
      <c r="G1023">
        <v>7491015.625</v>
      </c>
      <c r="H1023">
        <v>138717456.68033075</v>
      </c>
      <c r="I1023">
        <v>1.5997460540068971E-6</v>
      </c>
      <c r="J1023">
        <v>1.4332945424205038E-5</v>
      </c>
      <c r="K1023">
        <v>25.127550047088892</v>
      </c>
      <c r="L1023">
        <v>1751.7843724338882</v>
      </c>
      <c r="M1023">
        <v>0</v>
      </c>
    </row>
    <row r="1024" spans="1:15" x14ac:dyDescent="0.15">
      <c r="A1024">
        <v>275</v>
      </c>
      <c r="B1024" t="s">
        <v>75</v>
      </c>
      <c r="C1024" t="s">
        <v>464</v>
      </c>
      <c r="D1024">
        <v>9</v>
      </c>
      <c r="E1024">
        <v>7444531.25</v>
      </c>
      <c r="F1024">
        <v>7491015.625</v>
      </c>
      <c r="G1024">
        <v>7467773.4375</v>
      </c>
      <c r="H1024">
        <v>58207880.595287591</v>
      </c>
      <c r="I1024">
        <v>7.581243991354936E-7</v>
      </c>
      <c r="J1024">
        <v>1.3491323769333634E-5</v>
      </c>
      <c r="K1024">
        <v>10.543888763500187</v>
      </c>
      <c r="L1024">
        <v>679.45429226591466</v>
      </c>
      <c r="M1024">
        <v>0</v>
      </c>
    </row>
    <row r="1025" spans="1:15" x14ac:dyDescent="0.15">
      <c r="A1025">
        <v>275</v>
      </c>
      <c r="B1025" t="s">
        <v>75</v>
      </c>
      <c r="C1025" t="s">
        <v>464</v>
      </c>
      <c r="D1025">
        <v>10</v>
      </c>
      <c r="E1025">
        <v>7444531.25</v>
      </c>
      <c r="F1025">
        <v>7467773.4375</v>
      </c>
      <c r="G1025">
        <v>7456152.34375</v>
      </c>
      <c r="H1025">
        <v>25632193.696128115</v>
      </c>
      <c r="I1025">
        <v>3.5626569734238073E-7</v>
      </c>
      <c r="J1025">
        <v>1.3089465067540522E-5</v>
      </c>
      <c r="K1025">
        <v>4.6430654463365837</v>
      </c>
      <c r="L1025">
        <v>243.77239780533574</v>
      </c>
      <c r="M1025">
        <v>0</v>
      </c>
    </row>
    <row r="1026" spans="1:15" x14ac:dyDescent="0.15">
      <c r="A1026">
        <v>275</v>
      </c>
      <c r="B1026" t="s">
        <v>75</v>
      </c>
      <c r="C1026" t="s">
        <v>464</v>
      </c>
      <c r="D1026">
        <v>11</v>
      </c>
      <c r="E1026">
        <v>7444531.25</v>
      </c>
      <c r="F1026">
        <v>7456152.34375</v>
      </c>
      <c r="G1026">
        <v>7450341.796875</v>
      </c>
      <c r="H1026">
        <v>11123888.046524746</v>
      </c>
      <c r="I1026">
        <v>1.5990605990198506E-7</v>
      </c>
      <c r="J1026">
        <v>1.2893105430100126E-5</v>
      </c>
      <c r="K1026">
        <v>2.0150027278210474</v>
      </c>
      <c r="L1026">
        <v>49.307083484285144</v>
      </c>
      <c r="M1026">
        <v>0</v>
      </c>
    </row>
    <row r="1027" spans="1:15" x14ac:dyDescent="0.15">
      <c r="A1027">
        <v>275</v>
      </c>
      <c r="B1027" t="s">
        <v>75</v>
      </c>
      <c r="C1027" t="s">
        <v>464</v>
      </c>
      <c r="D1027">
        <v>12</v>
      </c>
      <c r="E1027">
        <v>7444531.25</v>
      </c>
      <c r="F1027">
        <v>7450341.796875</v>
      </c>
      <c r="G1027">
        <v>7447436.5234375</v>
      </c>
      <c r="H1027">
        <v>4297734.1637930088</v>
      </c>
      <c r="I1027">
        <v>6.2848040251830777E-8</v>
      </c>
      <c r="J1027">
        <v>1.2796047410449972E-5</v>
      </c>
      <c r="K1027">
        <v>0.7784999298152866</v>
      </c>
      <c r="L1027">
        <v>-42.292436460951379</v>
      </c>
      <c r="M1027">
        <v>0</v>
      </c>
    </row>
    <row r="1028" spans="1:15" x14ac:dyDescent="0.15">
      <c r="A1028">
        <v>275</v>
      </c>
      <c r="B1028" t="s">
        <v>75</v>
      </c>
      <c r="C1028" t="s">
        <v>464</v>
      </c>
      <c r="D1028">
        <v>13</v>
      </c>
      <c r="E1028">
        <v>7447436.5234375</v>
      </c>
      <c r="F1028">
        <v>7450341.796875</v>
      </c>
      <c r="G1028">
        <v>7448889.16015625</v>
      </c>
      <c r="H1028">
        <v>7675712.3091191938</v>
      </c>
      <c r="I1028">
        <v>1.1128521544604283E-7</v>
      </c>
      <c r="J1028">
        <v>1.2844484585644184E-5</v>
      </c>
      <c r="K1028">
        <v>1.3903934646013214</v>
      </c>
      <c r="L1028">
        <v>3.0450600631327678</v>
      </c>
      <c r="M1028">
        <v>0</v>
      </c>
    </row>
    <row r="1029" spans="1:15" x14ac:dyDescent="0.15">
      <c r="A1029">
        <v>275</v>
      </c>
      <c r="B1029" t="s">
        <v>75</v>
      </c>
      <c r="C1029" t="s">
        <v>464</v>
      </c>
      <c r="D1029">
        <v>14</v>
      </c>
      <c r="E1029">
        <v>7447436.5234375</v>
      </c>
      <c r="F1029">
        <v>7448889.16015625</v>
      </c>
      <c r="G1029">
        <v>7448162.841796875</v>
      </c>
      <c r="H1029">
        <v>5978001.9081092216</v>
      </c>
      <c r="I1029">
        <v>8.7043958108504684E-8</v>
      </c>
      <c r="J1029">
        <v>1.2820243328306646E-5</v>
      </c>
      <c r="K1029">
        <v>1.0828668988198551</v>
      </c>
      <c r="L1029">
        <v>-19.738571308317098</v>
      </c>
      <c r="M1029">
        <v>0</v>
      </c>
    </row>
    <row r="1030" spans="1:15" x14ac:dyDescent="0.15">
      <c r="A1030">
        <v>275</v>
      </c>
      <c r="B1030" t="s">
        <v>75</v>
      </c>
      <c r="C1030" t="s">
        <v>464</v>
      </c>
      <c r="D1030">
        <v>15</v>
      </c>
      <c r="E1030">
        <v>7448162.841796875</v>
      </c>
      <c r="F1030">
        <v>7448889.16015625</v>
      </c>
      <c r="G1030">
        <v>7448526.0009765625</v>
      </c>
      <c r="H1030">
        <v>6824663.4359820727</v>
      </c>
      <c r="I1030">
        <v>9.9158787265932283E-8</v>
      </c>
      <c r="J1030">
        <v>1.2832358157464073E-5</v>
      </c>
      <c r="K1030">
        <v>1.2362328155811189</v>
      </c>
      <c r="L1030">
        <v>-8.3756513021864496</v>
      </c>
      <c r="M1030">
        <v>0</v>
      </c>
    </row>
    <row r="1031" spans="1:15" x14ac:dyDescent="0.15">
      <c r="A1031">
        <v>275</v>
      </c>
      <c r="B1031" t="s">
        <v>75</v>
      </c>
      <c r="C1031" t="s">
        <v>464</v>
      </c>
      <c r="D1031">
        <v>16</v>
      </c>
      <c r="E1031">
        <v>7448526.0009765625</v>
      </c>
      <c r="F1031">
        <v>7448889.16015625</v>
      </c>
      <c r="G1031">
        <v>7448707.5805664063</v>
      </c>
      <c r="H1031">
        <v>7249638.8792615095</v>
      </c>
      <c r="I1031">
        <v>1.0522055077496111E-7</v>
      </c>
      <c r="J1031">
        <v>1.2838419920973102E-5</v>
      </c>
      <c r="K1031">
        <v>1.3132136943784878</v>
      </c>
      <c r="L1031">
        <v>-2.6725267323456854</v>
      </c>
      <c r="M1031">
        <v>0</v>
      </c>
    </row>
    <row r="1032" spans="1:15" x14ac:dyDescent="0.15">
      <c r="A1032">
        <v>275</v>
      </c>
      <c r="B1032" t="s">
        <v>75</v>
      </c>
      <c r="C1032" t="s">
        <v>464</v>
      </c>
      <c r="D1032">
        <v>17</v>
      </c>
      <c r="E1032">
        <v>7448707.5805664063</v>
      </c>
      <c r="F1032">
        <v>7448889.16015625</v>
      </c>
      <c r="G1032">
        <v>7448798.3703613281</v>
      </c>
      <c r="H1032">
        <v>7462466.916566452</v>
      </c>
      <c r="I1032">
        <v>1.0825150468699511E-7</v>
      </c>
      <c r="J1032">
        <v>1.2841450874885136E-5</v>
      </c>
      <c r="K1032">
        <v>1.351765779219025</v>
      </c>
      <c r="L1032">
        <v>0.18350001604971419</v>
      </c>
      <c r="M1032">
        <v>0</v>
      </c>
    </row>
    <row r="1033" spans="1:15" x14ac:dyDescent="0.15">
      <c r="A1033">
        <v>275</v>
      </c>
      <c r="B1033" t="s">
        <v>75</v>
      </c>
      <c r="C1033" t="s">
        <v>465</v>
      </c>
      <c r="D1033">
        <v>17</v>
      </c>
      <c r="E1033">
        <v>7448707.5805664063</v>
      </c>
      <c r="F1033">
        <v>7448889.16015625</v>
      </c>
      <c r="G1033">
        <v>7448798.3703613281</v>
      </c>
      <c r="H1033">
        <v>7462466.916566452</v>
      </c>
      <c r="I1033">
        <v>1.0825150468699511E-7</v>
      </c>
      <c r="J1033">
        <v>1.2841450874885136E-5</v>
      </c>
      <c r="K1033">
        <v>1.351765779219025</v>
      </c>
      <c r="L1033">
        <v>0.18350001604971419</v>
      </c>
      <c r="M1033">
        <v>0</v>
      </c>
      <c r="N1033" t="s">
        <v>466</v>
      </c>
      <c r="O1033" t="s">
        <v>467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468</v>
      </c>
      <c r="B1" s="34" t="s">
        <v>469</v>
      </c>
    </row>
    <row r="2" spans="1:2" x14ac:dyDescent="0.15">
      <c r="A2" t="s">
        <v>470</v>
      </c>
      <c r="B2" s="33">
        <v>46185.767939814818</v>
      </c>
    </row>
    <row r="3" spans="1:2" x14ac:dyDescent="0.15">
      <c r="A3" t="s">
        <v>471</v>
      </c>
      <c r="B3" t="s">
        <v>472</v>
      </c>
    </row>
    <row r="4" spans="1:2" x14ac:dyDescent="0.15">
      <c r="A4" t="s">
        <v>473</v>
      </c>
      <c r="B4" t="s">
        <v>474</v>
      </c>
    </row>
    <row r="5" spans="1:2" x14ac:dyDescent="0.15">
      <c r="A5" t="s">
        <v>475</v>
      </c>
      <c r="B5" t="s">
        <v>476</v>
      </c>
    </row>
    <row r="6" spans="1:2" x14ac:dyDescent="0.15">
      <c r="A6" t="s">
        <v>477</v>
      </c>
      <c r="B6">
        <v>88</v>
      </c>
    </row>
    <row r="7" spans="1:2" x14ac:dyDescent="0.15">
      <c r="A7" t="s">
        <v>478</v>
      </c>
      <c r="B7">
        <v>225</v>
      </c>
    </row>
    <row r="8" spans="1:2" x14ac:dyDescent="0.15">
      <c r="A8" t="s">
        <v>479</v>
      </c>
      <c r="B8">
        <v>138</v>
      </c>
    </row>
    <row r="9" spans="1:2" x14ac:dyDescent="0.15">
      <c r="A9" t="s">
        <v>480</v>
      </c>
      <c r="B9">
        <v>16</v>
      </c>
    </row>
    <row r="10" spans="1:2" x14ac:dyDescent="0.15">
      <c r="A10" t="s">
        <v>481</v>
      </c>
      <c r="B10">
        <v>30</v>
      </c>
    </row>
    <row r="11" spans="1:2" x14ac:dyDescent="0.15">
      <c r="A11" t="s">
        <v>482</v>
      </c>
      <c r="B11">
        <v>30</v>
      </c>
    </row>
    <row r="12" spans="1:2" x14ac:dyDescent="0.15">
      <c r="A12" t="s">
        <v>483</v>
      </c>
      <c r="B12">
        <v>30</v>
      </c>
    </row>
    <row r="13" spans="1:2" x14ac:dyDescent="0.15">
      <c r="A13" t="s">
        <v>484</v>
      </c>
      <c r="B13">
        <v>2</v>
      </c>
    </row>
    <row r="14" spans="1:2" x14ac:dyDescent="0.15">
      <c r="A14" t="s">
        <v>485</v>
      </c>
      <c r="B14">
        <v>30</v>
      </c>
    </row>
    <row r="15" spans="1:2" x14ac:dyDescent="0.15">
      <c r="A15" t="s">
        <v>486</v>
      </c>
      <c r="B15">
        <v>0</v>
      </c>
    </row>
    <row r="16" spans="1:2" x14ac:dyDescent="0.15">
      <c r="A16" t="s">
        <v>487</v>
      </c>
      <c r="B16" t="s">
        <v>488</v>
      </c>
    </row>
    <row r="17" spans="1:2" x14ac:dyDescent="0.15">
      <c r="A17" t="s">
        <v>489</v>
      </c>
      <c r="B17" t="s">
        <v>490</v>
      </c>
    </row>
    <row r="18" spans="1:2" x14ac:dyDescent="0.15">
      <c r="A18" t="s">
        <v>491</v>
      </c>
      <c r="B18" t="s">
        <v>492</v>
      </c>
    </row>
    <row r="19" spans="1:2" x14ac:dyDescent="0.15">
      <c r="A19" t="s">
        <v>493</v>
      </c>
      <c r="B19" t="s">
        <v>494</v>
      </c>
    </row>
    <row r="20" spans="1:2" x14ac:dyDescent="0.15">
      <c r="A20" t="s">
        <v>495</v>
      </c>
      <c r="B20" t="s">
        <v>496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2026-06-26T05:40:36Z</dcterms:modified>
</cp:coreProperties>
</file>