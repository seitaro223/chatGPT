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C:\chatGPT\20260615_MATLAB\"/>
    </mc:Choice>
  </mc:AlternateContent>
  <xr:revisionPtr revIDLastSave="0" documentId="13_ncr:1_{C3841357-EFBD-4AEE-BDE1-599E38472A87}" xr6:coauthVersionLast="47" xr6:coauthVersionMax="47" xr10:uidLastSave="{00000000-0000-0000-0000-000000000000}"/>
  <bookViews>
    <workbookView minimized="1" xWindow="1950" yWindow="1950" windowWidth="21600" windowHeight="11295" tabRatio="497" activeTab="4" xr2:uid="{00000000-000D-0000-FFFF-FFFF00000000}"/>
  </bookViews>
  <sheets>
    <sheet name="SatProp" sheetId="1" r:id="rId1"/>
    <sheet name="Cp_T_low" sheetId="2" r:id="rId2"/>
    <sheet name="Cp_T_mid" sheetId="3" r:id="rId3"/>
    <sheet name="Cp_T_high" sheetId="4" r:id="rId4"/>
    <sheet name="tm" sheetId="5" r:id="rId5"/>
    <sheet name="Log" sheetId="6" r:id="rId6"/>
    <sheet name="TM_import_log" sheetId="7" r:id="rId7"/>
  </sheets>
  <functionGroups builtInGroupCount="19"/>
  <definedNames>
    <definedName name="L_tot">#REF!</definedName>
    <definedName name="solver_adj" localSheetId="4" hidden="1">tm!#REF!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tm!#REF!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25" i="5" l="1"/>
  <c r="P225" i="5"/>
  <c r="Y225" i="5"/>
  <c r="BO225" i="5"/>
  <c r="H225" i="5" a="1"/>
  <c r="J225" i="5" a="1"/>
  <c r="G225" i="5" a="1"/>
  <c r="I225" i="5" a="1"/>
  <c r="F225" i="5" a="1"/>
  <c r="L225" i="5" a="1"/>
  <c r="C225" i="5" a="1"/>
  <c r="K225" i="5" a="1"/>
  <c r="E225" i="5" a="1"/>
  <c r="D225" i="5" a="1"/>
  <c r="H225" i="5" l="1"/>
  <c r="J225" i="5"/>
  <c r="F225" i="5"/>
  <c r="D225" i="5"/>
  <c r="G225" i="5"/>
  <c r="L225" i="5"/>
  <c r="E225" i="5"/>
  <c r="I225" i="5"/>
  <c r="W225" i="5" s="1"/>
  <c r="C225" i="5"/>
  <c r="K225" i="5"/>
  <c r="U225" i="5" s="1"/>
  <c r="AL225" i="5" l="1"/>
  <c r="AZ225" i="5"/>
  <c r="AQ225" i="5"/>
  <c r="BA225" i="5" s="1"/>
  <c r="Z225" i="5"/>
  <c r="AA225" i="5" s="1"/>
  <c r="AB225" i="5"/>
  <c r="BL225" i="5"/>
  <c r="AH225" i="5"/>
  <c r="AI225" i="5" s="1"/>
  <c r="AK225" i="5" a="1"/>
  <c r="AK225" i="5" l="1"/>
  <c r="AD225" i="5"/>
  <c r="AJ225" i="5"/>
  <c r="BN225" i="5"/>
  <c r="BP225" i="5"/>
  <c r="AO225" i="5"/>
  <c r="AW225" i="5"/>
  <c r="AX225" i="5" s="1"/>
  <c r="BO224" i="5"/>
  <c r="Y224" i="5"/>
  <c r="P224" i="5"/>
  <c r="O224" i="5"/>
  <c r="BO223" i="5"/>
  <c r="Y223" i="5"/>
  <c r="P223" i="5"/>
  <c r="O223" i="5"/>
  <c r="BO222" i="5"/>
  <c r="Y222" i="5"/>
  <c r="P222" i="5"/>
  <c r="O222" i="5"/>
  <c r="BO221" i="5"/>
  <c r="Y221" i="5"/>
  <c r="P221" i="5"/>
  <c r="O221" i="5"/>
  <c r="BO220" i="5"/>
  <c r="Y220" i="5"/>
  <c r="P220" i="5"/>
  <c r="O220" i="5"/>
  <c r="BO219" i="5"/>
  <c r="Y219" i="5"/>
  <c r="P219" i="5"/>
  <c r="O219" i="5"/>
  <c r="BO218" i="5"/>
  <c r="Y218" i="5"/>
  <c r="P218" i="5"/>
  <c r="O218" i="5"/>
  <c r="BO217" i="5"/>
  <c r="Y217" i="5"/>
  <c r="P217" i="5"/>
  <c r="O217" i="5"/>
  <c r="BO216" i="5"/>
  <c r="Y216" i="5"/>
  <c r="P216" i="5"/>
  <c r="O216" i="5"/>
  <c r="BO215" i="5"/>
  <c r="Y215" i="5"/>
  <c r="P215" i="5"/>
  <c r="O215" i="5"/>
  <c r="BO214" i="5"/>
  <c r="Y214" i="5"/>
  <c r="P214" i="5"/>
  <c r="O214" i="5"/>
  <c r="BO213" i="5"/>
  <c r="Y213" i="5"/>
  <c r="P213" i="5"/>
  <c r="O213" i="5"/>
  <c r="BO212" i="5"/>
  <c r="Y212" i="5"/>
  <c r="P212" i="5"/>
  <c r="O212" i="5"/>
  <c r="BO211" i="5"/>
  <c r="Y211" i="5"/>
  <c r="P211" i="5"/>
  <c r="O211" i="5"/>
  <c r="BO210" i="5"/>
  <c r="Y210" i="5"/>
  <c r="P210" i="5"/>
  <c r="O210" i="5"/>
  <c r="BO209" i="5"/>
  <c r="Y209" i="5"/>
  <c r="P209" i="5"/>
  <c r="O209" i="5"/>
  <c r="BO208" i="5"/>
  <c r="Y208" i="5"/>
  <c r="P208" i="5"/>
  <c r="O208" i="5"/>
  <c r="BO207" i="5"/>
  <c r="Y207" i="5"/>
  <c r="P207" i="5"/>
  <c r="O207" i="5"/>
  <c r="BO206" i="5"/>
  <c r="Y206" i="5"/>
  <c r="P206" i="5"/>
  <c r="O206" i="5"/>
  <c r="BO205" i="5"/>
  <c r="Y205" i="5"/>
  <c r="P205" i="5"/>
  <c r="O205" i="5"/>
  <c r="BO204" i="5"/>
  <c r="Y204" i="5"/>
  <c r="P204" i="5"/>
  <c r="O204" i="5"/>
  <c r="BO203" i="5"/>
  <c r="Y203" i="5"/>
  <c r="P203" i="5"/>
  <c r="O203" i="5"/>
  <c r="BO202" i="5"/>
  <c r="Y202" i="5"/>
  <c r="P202" i="5"/>
  <c r="O202" i="5"/>
  <c r="BO201" i="5"/>
  <c r="Y201" i="5"/>
  <c r="P201" i="5"/>
  <c r="O201" i="5"/>
  <c r="BO200" i="5"/>
  <c r="Y200" i="5"/>
  <c r="P200" i="5"/>
  <c r="O200" i="5"/>
  <c r="BO199" i="5"/>
  <c r="Y199" i="5"/>
  <c r="P199" i="5"/>
  <c r="O199" i="5"/>
  <c r="BO198" i="5"/>
  <c r="Y198" i="5"/>
  <c r="P198" i="5"/>
  <c r="O198" i="5"/>
  <c r="BO197" i="5"/>
  <c r="Y197" i="5"/>
  <c r="P197" i="5"/>
  <c r="O197" i="5"/>
  <c r="BO196" i="5"/>
  <c r="Y196" i="5"/>
  <c r="P196" i="5"/>
  <c r="O196" i="5"/>
  <c r="BO195" i="5"/>
  <c r="Y195" i="5"/>
  <c r="P195" i="5"/>
  <c r="O195" i="5"/>
  <c r="BO194" i="5"/>
  <c r="Y194" i="5"/>
  <c r="P194" i="5"/>
  <c r="O194" i="5"/>
  <c r="BO193" i="5"/>
  <c r="Y193" i="5"/>
  <c r="P193" i="5"/>
  <c r="O193" i="5"/>
  <c r="BO192" i="5"/>
  <c r="Y192" i="5"/>
  <c r="P192" i="5"/>
  <c r="O192" i="5"/>
  <c r="BO191" i="5"/>
  <c r="Y191" i="5"/>
  <c r="P191" i="5"/>
  <c r="O191" i="5"/>
  <c r="BO190" i="5"/>
  <c r="Y190" i="5"/>
  <c r="P190" i="5"/>
  <c r="O190" i="5"/>
  <c r="BO189" i="5"/>
  <c r="Y189" i="5"/>
  <c r="P189" i="5"/>
  <c r="O189" i="5"/>
  <c r="BO188" i="5"/>
  <c r="Y188" i="5"/>
  <c r="P188" i="5"/>
  <c r="O188" i="5"/>
  <c r="BO187" i="5"/>
  <c r="Y187" i="5"/>
  <c r="P187" i="5"/>
  <c r="O187" i="5"/>
  <c r="BO186" i="5"/>
  <c r="Y186" i="5"/>
  <c r="P186" i="5"/>
  <c r="O186" i="5"/>
  <c r="BO185" i="5"/>
  <c r="Y185" i="5"/>
  <c r="P185" i="5"/>
  <c r="O185" i="5"/>
  <c r="BO184" i="5"/>
  <c r="Y184" i="5"/>
  <c r="P184" i="5"/>
  <c r="O184" i="5"/>
  <c r="BO183" i="5"/>
  <c r="Y183" i="5"/>
  <c r="P183" i="5"/>
  <c r="O183" i="5"/>
  <c r="BO182" i="5"/>
  <c r="Y182" i="5"/>
  <c r="P182" i="5"/>
  <c r="O182" i="5"/>
  <c r="BO181" i="5"/>
  <c r="Y181" i="5"/>
  <c r="P181" i="5"/>
  <c r="O181" i="5"/>
  <c r="BO180" i="5"/>
  <c r="Y180" i="5"/>
  <c r="P180" i="5"/>
  <c r="O180" i="5"/>
  <c r="BO179" i="5"/>
  <c r="Y179" i="5"/>
  <c r="P179" i="5"/>
  <c r="O179" i="5"/>
  <c r="BO178" i="5"/>
  <c r="Y178" i="5"/>
  <c r="P178" i="5"/>
  <c r="O178" i="5"/>
  <c r="BO177" i="5"/>
  <c r="Y177" i="5"/>
  <c r="P177" i="5"/>
  <c r="O177" i="5"/>
  <c r="BO176" i="5"/>
  <c r="Y176" i="5"/>
  <c r="P176" i="5"/>
  <c r="O176" i="5"/>
  <c r="BO175" i="5"/>
  <c r="Y175" i="5"/>
  <c r="P175" i="5"/>
  <c r="O175" i="5"/>
  <c r="BO174" i="5"/>
  <c r="Y174" i="5"/>
  <c r="P174" i="5"/>
  <c r="O174" i="5"/>
  <c r="BO173" i="5"/>
  <c r="Y173" i="5"/>
  <c r="P173" i="5"/>
  <c r="O173" i="5"/>
  <c r="BO172" i="5"/>
  <c r="Y172" i="5"/>
  <c r="P172" i="5"/>
  <c r="O172" i="5"/>
  <c r="BO171" i="5"/>
  <c r="Y171" i="5"/>
  <c r="P171" i="5"/>
  <c r="O171" i="5"/>
  <c r="BO170" i="5"/>
  <c r="Y170" i="5"/>
  <c r="P170" i="5"/>
  <c r="O170" i="5"/>
  <c r="BO169" i="5"/>
  <c r="Y169" i="5"/>
  <c r="P169" i="5"/>
  <c r="O169" i="5"/>
  <c r="BO168" i="5"/>
  <c r="Y168" i="5"/>
  <c r="P168" i="5"/>
  <c r="O168" i="5"/>
  <c r="BO167" i="5"/>
  <c r="Y167" i="5"/>
  <c r="P167" i="5"/>
  <c r="O167" i="5"/>
  <c r="BO166" i="5"/>
  <c r="Y166" i="5"/>
  <c r="P166" i="5"/>
  <c r="O166" i="5"/>
  <c r="BO165" i="5"/>
  <c r="Y165" i="5"/>
  <c r="P165" i="5"/>
  <c r="O165" i="5"/>
  <c r="BO164" i="5"/>
  <c r="Y164" i="5"/>
  <c r="P164" i="5"/>
  <c r="O164" i="5"/>
  <c r="BO163" i="5"/>
  <c r="Y163" i="5"/>
  <c r="P163" i="5"/>
  <c r="O163" i="5"/>
  <c r="BO162" i="5"/>
  <c r="Y162" i="5"/>
  <c r="P162" i="5"/>
  <c r="O162" i="5"/>
  <c r="BO161" i="5"/>
  <c r="Y161" i="5"/>
  <c r="P161" i="5"/>
  <c r="O161" i="5"/>
  <c r="BO160" i="5"/>
  <c r="Y160" i="5"/>
  <c r="P160" i="5"/>
  <c r="O160" i="5"/>
  <c r="BO159" i="5"/>
  <c r="Y159" i="5"/>
  <c r="P159" i="5"/>
  <c r="O159" i="5"/>
  <c r="BO158" i="5"/>
  <c r="Y158" i="5"/>
  <c r="P158" i="5"/>
  <c r="O158" i="5"/>
  <c r="BO157" i="5"/>
  <c r="Y157" i="5"/>
  <c r="P157" i="5"/>
  <c r="O157" i="5"/>
  <c r="BO156" i="5"/>
  <c r="Y156" i="5"/>
  <c r="P156" i="5"/>
  <c r="O156" i="5"/>
  <c r="BO155" i="5"/>
  <c r="Y155" i="5"/>
  <c r="P155" i="5"/>
  <c r="O155" i="5"/>
  <c r="BO154" i="5"/>
  <c r="Y154" i="5"/>
  <c r="P154" i="5"/>
  <c r="O154" i="5"/>
  <c r="BO153" i="5"/>
  <c r="Y153" i="5"/>
  <c r="P153" i="5"/>
  <c r="O153" i="5"/>
  <c r="BO152" i="5"/>
  <c r="Y152" i="5"/>
  <c r="P152" i="5"/>
  <c r="O152" i="5"/>
  <c r="BO151" i="5"/>
  <c r="Y151" i="5"/>
  <c r="P151" i="5"/>
  <c r="O151" i="5"/>
  <c r="BO150" i="5"/>
  <c r="Y150" i="5"/>
  <c r="P150" i="5"/>
  <c r="O150" i="5"/>
  <c r="BO149" i="5"/>
  <c r="Y149" i="5"/>
  <c r="P149" i="5"/>
  <c r="O149" i="5"/>
  <c r="BO148" i="5"/>
  <c r="Y148" i="5"/>
  <c r="P148" i="5"/>
  <c r="O148" i="5"/>
  <c r="BO147" i="5"/>
  <c r="Y147" i="5"/>
  <c r="P147" i="5"/>
  <c r="O147" i="5"/>
  <c r="BO146" i="5"/>
  <c r="Y146" i="5"/>
  <c r="P146" i="5"/>
  <c r="O146" i="5"/>
  <c r="BO145" i="5"/>
  <c r="Y145" i="5"/>
  <c r="P145" i="5"/>
  <c r="O145" i="5"/>
  <c r="BO144" i="5"/>
  <c r="Y144" i="5"/>
  <c r="P144" i="5"/>
  <c r="O144" i="5"/>
  <c r="BO143" i="5"/>
  <c r="Y143" i="5"/>
  <c r="P143" i="5"/>
  <c r="O143" i="5"/>
  <c r="BO142" i="5"/>
  <c r="Y142" i="5"/>
  <c r="P142" i="5"/>
  <c r="O142" i="5"/>
  <c r="BO141" i="5"/>
  <c r="Y141" i="5"/>
  <c r="P141" i="5"/>
  <c r="O141" i="5"/>
  <c r="BO140" i="5"/>
  <c r="Y140" i="5"/>
  <c r="P140" i="5"/>
  <c r="O140" i="5"/>
  <c r="BO139" i="5"/>
  <c r="Y139" i="5"/>
  <c r="P139" i="5"/>
  <c r="O139" i="5"/>
  <c r="BO138" i="5"/>
  <c r="Y138" i="5"/>
  <c r="P138" i="5"/>
  <c r="O138" i="5"/>
  <c r="BO137" i="5"/>
  <c r="Y137" i="5"/>
  <c r="P137" i="5"/>
  <c r="O137" i="5"/>
  <c r="BO136" i="5"/>
  <c r="Y136" i="5"/>
  <c r="P136" i="5"/>
  <c r="O136" i="5"/>
  <c r="BO135" i="5"/>
  <c r="Y135" i="5"/>
  <c r="P135" i="5"/>
  <c r="O135" i="5"/>
  <c r="BO134" i="5"/>
  <c r="Y134" i="5"/>
  <c r="P134" i="5"/>
  <c r="O134" i="5"/>
  <c r="BO133" i="5"/>
  <c r="Y133" i="5"/>
  <c r="P133" i="5"/>
  <c r="O133" i="5"/>
  <c r="BO132" i="5"/>
  <c r="Y132" i="5"/>
  <c r="P132" i="5"/>
  <c r="O132" i="5"/>
  <c r="BO131" i="5"/>
  <c r="Y131" i="5"/>
  <c r="P131" i="5"/>
  <c r="O131" i="5"/>
  <c r="BO130" i="5"/>
  <c r="Y130" i="5"/>
  <c r="P130" i="5"/>
  <c r="O130" i="5"/>
  <c r="BO129" i="5"/>
  <c r="Y129" i="5"/>
  <c r="P129" i="5"/>
  <c r="O129" i="5"/>
  <c r="BO128" i="5"/>
  <c r="Y128" i="5"/>
  <c r="P128" i="5"/>
  <c r="O128" i="5"/>
  <c r="BO127" i="5"/>
  <c r="Y127" i="5"/>
  <c r="P127" i="5"/>
  <c r="O127" i="5"/>
  <c r="BO126" i="5"/>
  <c r="Y126" i="5"/>
  <c r="P126" i="5"/>
  <c r="O126" i="5"/>
  <c r="BO125" i="5"/>
  <c r="Y125" i="5"/>
  <c r="P125" i="5"/>
  <c r="O125" i="5"/>
  <c r="BO124" i="5"/>
  <c r="Y124" i="5"/>
  <c r="P124" i="5"/>
  <c r="O124" i="5"/>
  <c r="BO123" i="5"/>
  <c r="Y123" i="5"/>
  <c r="P123" i="5"/>
  <c r="O123" i="5"/>
  <c r="BO122" i="5"/>
  <c r="Y122" i="5"/>
  <c r="P122" i="5"/>
  <c r="O122" i="5"/>
  <c r="BO121" i="5"/>
  <c r="Y121" i="5"/>
  <c r="P121" i="5"/>
  <c r="O121" i="5"/>
  <c r="BO120" i="5"/>
  <c r="Y120" i="5"/>
  <c r="P120" i="5"/>
  <c r="O120" i="5"/>
  <c r="BO119" i="5"/>
  <c r="Y119" i="5"/>
  <c r="P119" i="5"/>
  <c r="O119" i="5"/>
  <c r="BO118" i="5"/>
  <c r="Y118" i="5"/>
  <c r="P118" i="5"/>
  <c r="O118" i="5"/>
  <c r="BO117" i="5"/>
  <c r="Y117" i="5"/>
  <c r="P117" i="5"/>
  <c r="O117" i="5"/>
  <c r="BO116" i="5"/>
  <c r="Y116" i="5"/>
  <c r="P116" i="5"/>
  <c r="O116" i="5"/>
  <c r="BO115" i="5"/>
  <c r="Y115" i="5"/>
  <c r="P115" i="5"/>
  <c r="O115" i="5"/>
  <c r="BO114" i="5"/>
  <c r="Y114" i="5"/>
  <c r="P114" i="5"/>
  <c r="O114" i="5"/>
  <c r="BO113" i="5"/>
  <c r="Y113" i="5"/>
  <c r="P113" i="5"/>
  <c r="O113" i="5"/>
  <c r="BO112" i="5"/>
  <c r="Y112" i="5"/>
  <c r="P112" i="5"/>
  <c r="O112" i="5"/>
  <c r="BO111" i="5"/>
  <c r="Y111" i="5"/>
  <c r="P111" i="5"/>
  <c r="O111" i="5"/>
  <c r="BO110" i="5"/>
  <c r="Y110" i="5"/>
  <c r="P110" i="5"/>
  <c r="O110" i="5"/>
  <c r="BO109" i="5"/>
  <c r="Y109" i="5"/>
  <c r="P109" i="5"/>
  <c r="O109" i="5"/>
  <c r="BO108" i="5"/>
  <c r="Y108" i="5"/>
  <c r="P108" i="5"/>
  <c r="O108" i="5"/>
  <c r="BO107" i="5"/>
  <c r="Y107" i="5"/>
  <c r="P107" i="5"/>
  <c r="O107" i="5"/>
  <c r="BO106" i="5"/>
  <c r="Y106" i="5"/>
  <c r="P106" i="5"/>
  <c r="O106" i="5"/>
  <c r="BO105" i="5"/>
  <c r="Y105" i="5"/>
  <c r="P105" i="5"/>
  <c r="O105" i="5"/>
  <c r="BO104" i="5"/>
  <c r="Y104" i="5"/>
  <c r="P104" i="5"/>
  <c r="O104" i="5"/>
  <c r="BO103" i="5"/>
  <c r="Y103" i="5"/>
  <c r="P103" i="5"/>
  <c r="O103" i="5"/>
  <c r="BO102" i="5"/>
  <c r="Y102" i="5"/>
  <c r="P102" i="5"/>
  <c r="O102" i="5"/>
  <c r="BO101" i="5"/>
  <c r="Y101" i="5"/>
  <c r="P101" i="5"/>
  <c r="O101" i="5"/>
  <c r="BO100" i="5"/>
  <c r="Y100" i="5"/>
  <c r="P100" i="5"/>
  <c r="O100" i="5"/>
  <c r="BO99" i="5"/>
  <c r="Y99" i="5"/>
  <c r="P99" i="5"/>
  <c r="O99" i="5"/>
  <c r="BO98" i="5"/>
  <c r="Y98" i="5"/>
  <c r="P98" i="5"/>
  <c r="O98" i="5"/>
  <c r="BO97" i="5"/>
  <c r="Y97" i="5"/>
  <c r="P97" i="5"/>
  <c r="O97" i="5"/>
  <c r="BO96" i="5"/>
  <c r="Y96" i="5"/>
  <c r="P96" i="5"/>
  <c r="O96" i="5"/>
  <c r="BO95" i="5"/>
  <c r="Y95" i="5"/>
  <c r="P95" i="5"/>
  <c r="O95" i="5"/>
  <c r="BO94" i="5"/>
  <c r="Y94" i="5"/>
  <c r="P94" i="5"/>
  <c r="O94" i="5"/>
  <c r="BO93" i="5"/>
  <c r="Y93" i="5"/>
  <c r="P93" i="5"/>
  <c r="O93" i="5"/>
  <c r="BO92" i="5"/>
  <c r="Y92" i="5"/>
  <c r="P92" i="5"/>
  <c r="O92" i="5"/>
  <c r="BO91" i="5"/>
  <c r="Y91" i="5"/>
  <c r="P91" i="5"/>
  <c r="O91" i="5"/>
  <c r="BO90" i="5"/>
  <c r="Y90" i="5"/>
  <c r="P90" i="5"/>
  <c r="O90" i="5"/>
  <c r="BO89" i="5"/>
  <c r="Y89" i="5"/>
  <c r="P89" i="5"/>
  <c r="O89" i="5"/>
  <c r="BO88" i="5"/>
  <c r="Y88" i="5"/>
  <c r="P88" i="5"/>
  <c r="O88" i="5"/>
  <c r="BO87" i="5"/>
  <c r="Y87" i="5"/>
  <c r="BO86" i="5"/>
  <c r="Y86" i="5"/>
  <c r="BO85" i="5"/>
  <c r="Y85" i="5"/>
  <c r="BO84" i="5"/>
  <c r="Y84" i="5"/>
  <c r="BO83" i="5"/>
  <c r="Y83" i="5"/>
  <c r="BO82" i="5"/>
  <c r="Y82" i="5"/>
  <c r="BO81" i="5"/>
  <c r="Y81" i="5"/>
  <c r="BO80" i="5"/>
  <c r="Y80" i="5"/>
  <c r="BO79" i="5"/>
  <c r="Y79" i="5"/>
  <c r="BO78" i="5"/>
  <c r="Y78" i="5"/>
  <c r="BO77" i="5"/>
  <c r="Y77" i="5"/>
  <c r="BO76" i="5"/>
  <c r="Y76" i="5"/>
  <c r="BO75" i="5"/>
  <c r="Y75" i="5"/>
  <c r="BO74" i="5"/>
  <c r="Y74" i="5"/>
  <c r="BO73" i="5"/>
  <c r="Y73" i="5"/>
  <c r="BO72" i="5"/>
  <c r="Y72" i="5"/>
  <c r="BO71" i="5"/>
  <c r="Y71" i="5"/>
  <c r="BO70" i="5"/>
  <c r="Y70" i="5"/>
  <c r="BO69" i="5"/>
  <c r="Y69" i="5"/>
  <c r="BO68" i="5"/>
  <c r="Y68" i="5"/>
  <c r="BO67" i="5"/>
  <c r="Y67" i="5"/>
  <c r="BO66" i="5"/>
  <c r="Y66" i="5"/>
  <c r="BO65" i="5"/>
  <c r="Y65" i="5"/>
  <c r="BO64" i="5"/>
  <c r="Y64" i="5"/>
  <c r="BO63" i="5"/>
  <c r="Y63" i="5"/>
  <c r="BO62" i="5"/>
  <c r="Y62" i="5"/>
  <c r="BO61" i="5"/>
  <c r="Y61" i="5"/>
  <c r="BO60" i="5"/>
  <c r="Y60" i="5"/>
  <c r="BO59" i="5"/>
  <c r="Y59" i="5"/>
  <c r="BO58" i="5"/>
  <c r="Y58" i="5"/>
  <c r="BO57" i="5"/>
  <c r="Y57" i="5"/>
  <c r="BO56" i="5"/>
  <c r="Y56" i="5"/>
  <c r="BO55" i="5"/>
  <c r="Y55" i="5"/>
  <c r="BO54" i="5"/>
  <c r="Y54" i="5"/>
  <c r="BO53" i="5"/>
  <c r="Y53" i="5"/>
  <c r="BO52" i="5"/>
  <c r="Y52" i="5"/>
  <c r="BO51" i="5"/>
  <c r="Y51" i="5"/>
  <c r="BO50" i="5"/>
  <c r="Y50" i="5"/>
  <c r="BO49" i="5"/>
  <c r="Y49" i="5"/>
  <c r="BO48" i="5"/>
  <c r="Y48" i="5"/>
  <c r="BO47" i="5"/>
  <c r="Y47" i="5"/>
  <c r="BO46" i="5"/>
  <c r="Y46" i="5"/>
  <c r="BO45" i="5"/>
  <c r="Y45" i="5"/>
  <c r="BO44" i="5"/>
  <c r="Y44" i="5"/>
  <c r="BO43" i="5"/>
  <c r="Y43" i="5"/>
  <c r="BO42" i="5"/>
  <c r="Y42" i="5"/>
  <c r="BO41" i="5"/>
  <c r="Y41" i="5"/>
  <c r="BO40" i="5"/>
  <c r="Y40" i="5"/>
  <c r="BO39" i="5"/>
  <c r="Y39" i="5"/>
  <c r="BO38" i="5"/>
  <c r="Y38" i="5"/>
  <c r="BO37" i="5"/>
  <c r="Y37" i="5"/>
  <c r="BO36" i="5"/>
  <c r="Y36" i="5"/>
  <c r="BO35" i="5"/>
  <c r="Y35" i="5"/>
  <c r="BO34" i="5"/>
  <c r="Y34" i="5"/>
  <c r="BO33" i="5"/>
  <c r="Y33" i="5"/>
  <c r="BO32" i="5"/>
  <c r="Y32" i="5"/>
  <c r="BO31" i="5"/>
  <c r="Y31" i="5"/>
  <c r="BO30" i="5"/>
  <c r="Y30" i="5"/>
  <c r="BO29" i="5"/>
  <c r="Y29" i="5"/>
  <c r="BO28" i="5"/>
  <c r="Y28" i="5"/>
  <c r="BO27" i="5"/>
  <c r="Y27" i="5"/>
  <c r="BO26" i="5"/>
  <c r="Y26" i="5"/>
  <c r="BO25" i="5"/>
  <c r="Y25" i="5"/>
  <c r="BO24" i="5"/>
  <c r="Y24" i="5"/>
  <c r="BO23" i="5"/>
  <c r="Y23" i="5"/>
  <c r="BO22" i="5"/>
  <c r="Y22" i="5"/>
  <c r="BO21" i="5"/>
  <c r="Y21" i="5"/>
  <c r="BO20" i="5"/>
  <c r="Y20" i="5"/>
  <c r="BO19" i="5"/>
  <c r="Y19" i="5"/>
  <c r="BO18" i="5"/>
  <c r="Y18" i="5"/>
  <c r="BO17" i="5"/>
  <c r="Y17" i="5"/>
  <c r="BO16" i="5"/>
  <c r="Y16" i="5"/>
  <c r="BO15" i="5"/>
  <c r="Y15" i="5"/>
  <c r="BO14" i="5"/>
  <c r="Y14" i="5"/>
  <c r="BO13" i="5"/>
  <c r="Y13" i="5"/>
  <c r="BO12" i="5"/>
  <c r="Y12" i="5"/>
  <c r="BO11" i="5"/>
  <c r="Y11" i="5"/>
  <c r="BO10" i="5"/>
  <c r="Y10" i="5"/>
  <c r="BO9" i="5"/>
  <c r="Y9" i="5"/>
  <c r="BO8" i="5"/>
  <c r="Y8" i="5"/>
  <c r="BO7" i="5"/>
  <c r="Y7" i="5"/>
  <c r="BO6" i="5"/>
  <c r="Y6" i="5"/>
  <c r="BO5" i="5"/>
  <c r="Y5" i="5"/>
  <c r="BO4" i="5"/>
  <c r="Y4" i="5"/>
  <c r="BO3" i="5"/>
  <c r="Y3" i="5"/>
  <c r="BO2" i="5"/>
  <c r="Y2" i="5"/>
  <c r="AR225" i="5" l="1"/>
  <c r="AS225" i="5" s="1"/>
  <c r="BB225" i="5"/>
  <c r="BM225" i="5" l="1"/>
  <c r="BD225" i="5"/>
  <c r="BF225" i="5"/>
  <c r="BC225" i="5"/>
  <c r="J217" i="5" a="1"/>
  <c r="D130" i="5" a="1"/>
  <c r="J80" i="5" a="1"/>
  <c r="H21" i="5" a="1"/>
  <c r="H58" i="5" a="1"/>
  <c r="D99" i="5" a="1"/>
  <c r="I31" i="5" a="1"/>
  <c r="H153" i="5" a="1"/>
  <c r="C148" i="5" a="1"/>
  <c r="F25" i="5" a="1"/>
  <c r="H197" i="5" a="1"/>
  <c r="K69" i="5" a="1"/>
  <c r="E122" i="5" a="1"/>
  <c r="K125" i="5" a="1"/>
  <c r="L146" i="5" a="1"/>
  <c r="F210" i="5" a="1"/>
  <c r="K110" i="5" a="1"/>
  <c r="C123" i="5" a="1"/>
  <c r="D133" i="5" a="1"/>
  <c r="L31" i="5" a="1"/>
  <c r="D143" i="5" a="1"/>
  <c r="I46" i="5" a="1"/>
  <c r="H50" i="5" a="1"/>
  <c r="D195" i="5" a="1"/>
  <c r="J212" i="5" a="1"/>
  <c r="F96" i="5" a="1"/>
  <c r="F194" i="5" a="1"/>
  <c r="J14" i="5" a="1"/>
  <c r="F221" i="5" a="1"/>
  <c r="E120" i="5" a="1"/>
  <c r="E77" i="5" a="1"/>
  <c r="F183" i="5" a="1"/>
  <c r="C132" i="5" a="1"/>
  <c r="K95" i="5" a="1"/>
  <c r="I166" i="5" a="1"/>
  <c r="K52" i="5" a="1"/>
  <c r="C103" i="5" a="1"/>
  <c r="K107" i="5" a="1"/>
  <c r="J173" i="5" a="1"/>
  <c r="K103" i="5" a="1"/>
  <c r="H25" i="5" a="1"/>
  <c r="D193" i="5" a="1"/>
  <c r="F21" i="5" a="1"/>
  <c r="I17" i="5" a="1"/>
  <c r="I133" i="5" a="1"/>
  <c r="E151" i="5" a="1"/>
  <c r="F123" i="5" a="1"/>
  <c r="E98" i="5" a="1"/>
  <c r="J78" i="5" a="1"/>
  <c r="H224" i="5" a="1"/>
  <c r="J27" i="5" a="1"/>
  <c r="I30" i="5" a="1"/>
  <c r="G154" i="5" a="1"/>
  <c r="I72" i="5" a="1"/>
  <c r="I173" i="5" a="1"/>
  <c r="F95" i="5" a="1"/>
  <c r="J180" i="5" a="1"/>
  <c r="J100" i="5" a="1"/>
  <c r="L117" i="5" a="1"/>
  <c r="K138" i="5" a="1"/>
  <c r="F75" i="5" a="1"/>
  <c r="L51" i="5" a="1"/>
  <c r="I129" i="5" a="1"/>
  <c r="E68" i="5" a="1"/>
  <c r="G22" i="5" a="1"/>
  <c r="E146" i="5" a="1"/>
  <c r="K172" i="5" a="1"/>
  <c r="L114" i="5" a="1"/>
  <c r="L65" i="5" a="1"/>
  <c r="L84" i="5" a="1"/>
  <c r="H220" i="5" a="1"/>
  <c r="E45" i="5" a="1"/>
  <c r="I215" i="5" a="1"/>
  <c r="C139" i="5" a="1"/>
  <c r="G129" i="5" a="1"/>
  <c r="H96" i="5" a="1"/>
  <c r="L215" i="5" a="1"/>
  <c r="H128" i="5" a="1"/>
  <c r="F207" i="5" a="1"/>
  <c r="F107" i="5" a="1"/>
  <c r="D49" i="5" a="1"/>
  <c r="E103" i="5" a="1"/>
  <c r="K61" i="5" a="1"/>
  <c r="L30" i="5" a="1"/>
  <c r="I87" i="5" a="1"/>
  <c r="D131" i="5" a="1"/>
  <c r="L205" i="5" a="1"/>
  <c r="J147" i="5" a="1"/>
  <c r="I102" i="5" a="1"/>
  <c r="F50" i="5" a="1"/>
  <c r="L150" i="5" a="1"/>
  <c r="D124" i="5" a="1"/>
  <c r="F120" i="5" a="1"/>
  <c r="K79" i="5" a="1"/>
  <c r="C190" i="5" a="1"/>
  <c r="K104" i="5" a="1"/>
  <c r="G181" i="5" a="1"/>
  <c r="L131" i="5" a="1"/>
  <c r="I156" i="5" a="1"/>
  <c r="G218" i="5" a="1"/>
  <c r="C127" i="5" a="1"/>
  <c r="C124" i="5" a="1"/>
  <c r="K112" i="5" a="1"/>
  <c r="D208" i="5" a="1"/>
  <c r="H129" i="5" a="1"/>
  <c r="J133" i="5" a="1"/>
  <c r="L129" i="5" a="1"/>
  <c r="L124" i="5" a="1"/>
  <c r="E207" i="5" a="1"/>
  <c r="D61" i="5" a="1"/>
  <c r="L60" i="5" a="1"/>
  <c r="C27" i="5" a="1"/>
  <c r="J102" i="5" a="1"/>
  <c r="E127" i="5" a="1"/>
  <c r="K130" i="5" a="1"/>
  <c r="C208" i="5" a="1"/>
  <c r="C206" i="5" a="1"/>
  <c r="E128" i="5" a="1"/>
  <c r="K60" i="5" a="1"/>
  <c r="E25" i="5" a="1"/>
  <c r="C34" i="5" a="1"/>
  <c r="I140" i="5" a="1"/>
  <c r="J43" i="5" a="1"/>
  <c r="I113" i="5" a="1"/>
  <c r="G88" i="5" a="1"/>
  <c r="H52" i="5" a="1"/>
  <c r="G217" i="5" a="1"/>
  <c r="H32" i="5" a="1"/>
  <c r="L128" i="5" a="1"/>
  <c r="G148" i="5" a="1"/>
  <c r="D66" i="5" a="1"/>
  <c r="C23" i="5" a="1"/>
  <c r="J87" i="5" a="1"/>
  <c r="H98" i="5" a="1"/>
  <c r="F132" i="5" a="1"/>
  <c r="J190" i="5" a="1"/>
  <c r="G207" i="5" a="1"/>
  <c r="L134" i="5" a="1"/>
  <c r="D57" i="5" a="1"/>
  <c r="I211" i="5" a="1"/>
  <c r="G32" i="5" a="1"/>
  <c r="J129" i="5" a="1"/>
  <c r="G37" i="5" a="1"/>
  <c r="I177" i="5" a="1"/>
  <c r="G63" i="5" a="1"/>
  <c r="J7" i="5" a="1"/>
  <c r="J118" i="5" a="1"/>
  <c r="J29" i="5" a="1"/>
  <c r="K135" i="5" a="1"/>
  <c r="D174" i="5" a="1"/>
  <c r="E224" i="5" a="1"/>
  <c r="I61" i="5" a="1"/>
  <c r="J99" i="5" a="1"/>
  <c r="E5" i="5" a="1"/>
  <c r="H28" i="5" a="1"/>
  <c r="C15" i="5" a="1"/>
  <c r="C187" i="5" a="1"/>
  <c r="I222" i="5" a="1"/>
  <c r="G70" i="5" a="1"/>
  <c r="K39" i="5" a="1"/>
  <c r="I128" i="5" a="1"/>
  <c r="F213" i="5" a="1"/>
  <c r="I116" i="5" a="1"/>
  <c r="E52" i="5" a="1"/>
  <c r="C16" i="5" a="1"/>
  <c r="D216" i="5" a="1"/>
  <c r="K175" i="5" a="1"/>
  <c r="E3" i="5" a="1"/>
  <c r="D16" i="5" a="1"/>
  <c r="L200" i="5" a="1"/>
  <c r="C117" i="5" a="1"/>
  <c r="L181" i="5" a="1"/>
  <c r="F104" i="5" a="1"/>
  <c r="K209" i="5" a="1"/>
  <c r="K98" i="5" a="1"/>
  <c r="D197" i="5" a="1"/>
  <c r="I82" i="5" a="1"/>
  <c r="J10" i="5" a="1"/>
  <c r="F195" i="5" a="1"/>
  <c r="E191" i="5" a="1"/>
  <c r="D121" i="5" a="1"/>
  <c r="H105" i="5" a="1"/>
  <c r="D64" i="5" a="1"/>
  <c r="E92" i="5" a="1"/>
  <c r="K150" i="5" a="1"/>
  <c r="I90" i="5" a="1"/>
  <c r="K213" i="5" a="1"/>
  <c r="E72" i="5" a="1"/>
  <c r="D25" i="5" a="1"/>
  <c r="D201" i="5" a="1"/>
  <c r="C58" i="5" a="1"/>
  <c r="C162" i="5" a="1"/>
  <c r="L209" i="5" a="1"/>
  <c r="C210" i="5" a="1"/>
  <c r="D38" i="5" a="1"/>
  <c r="L13" i="5" a="1"/>
  <c r="D186" i="5" a="1"/>
  <c r="C120" i="5" a="1"/>
  <c r="C205" i="5" a="1"/>
  <c r="D142" i="5" a="1"/>
  <c r="L49" i="5" a="1"/>
  <c r="D155" i="5" a="1"/>
  <c r="I193" i="5" a="1"/>
  <c r="I220" i="5" a="1"/>
  <c r="J20" i="5" a="1"/>
  <c r="E86" i="5" a="1"/>
  <c r="D220" i="5" a="1"/>
  <c r="C5" i="5" a="1"/>
  <c r="K116" i="5" a="1"/>
  <c r="F46" i="5" a="1"/>
  <c r="L193" i="5" a="1"/>
  <c r="I117" i="5" a="1"/>
  <c r="H219" i="5" a="1"/>
  <c r="L4" i="5" a="1"/>
  <c r="J175" i="5" a="1"/>
  <c r="J115" i="5" a="1"/>
  <c r="K23" i="5" a="1"/>
  <c r="H71" i="5" a="1"/>
  <c r="F224" i="5" a="1"/>
  <c r="L164" i="5" a="1"/>
  <c r="C95" i="5" a="1"/>
  <c r="D179" i="5" a="1"/>
  <c r="D132" i="5" a="1"/>
  <c r="D135" i="5" a="1"/>
  <c r="G27" i="5" a="1"/>
  <c r="E58" i="5" a="1"/>
  <c r="H41" i="5" a="1"/>
  <c r="F178" i="5" a="1"/>
  <c r="E53" i="5" a="1"/>
  <c r="H75" i="5" a="1"/>
  <c r="E161" i="5" a="1"/>
  <c r="K41" i="5" a="1"/>
  <c r="J12" i="5" a="1"/>
  <c r="K224" i="5" a="1"/>
  <c r="F187" i="5" a="1"/>
  <c r="G220" i="5" a="1"/>
  <c r="F175" i="5" a="1"/>
  <c r="I50" i="5" a="1"/>
  <c r="I206" i="5" a="1"/>
  <c r="E196" i="5" a="1"/>
  <c r="E153" i="5" a="1"/>
  <c r="E14" i="5" a="1"/>
  <c r="D81" i="5" a="1"/>
  <c r="E4" i="5" a="1"/>
  <c r="K8" i="5" a="1"/>
  <c r="D15" i="5" a="1"/>
  <c r="G193" i="5" a="1"/>
  <c r="I210" i="5" a="1"/>
  <c r="F208" i="5" a="1"/>
  <c r="K154" i="5" a="1"/>
  <c r="K75" i="5" a="1"/>
  <c r="K46" i="5" a="1"/>
  <c r="D191" i="5" a="1"/>
  <c r="C86" i="5" a="1"/>
  <c r="D152" i="5" a="1"/>
  <c r="J165" i="5" a="1"/>
  <c r="H121" i="5" a="1"/>
  <c r="L92" i="5" a="1"/>
  <c r="H114" i="5" a="1"/>
  <c r="D78" i="5" a="1"/>
  <c r="K91" i="5" a="1"/>
  <c r="I99" i="5" a="1"/>
  <c r="E76" i="5" a="1"/>
  <c r="E115" i="5" a="1"/>
  <c r="G145" i="5" a="1"/>
  <c r="F84" i="5" a="1"/>
  <c r="K5" i="5" a="1"/>
  <c r="F100" i="5" a="1"/>
  <c r="F137" i="5" a="1"/>
  <c r="K85" i="5" a="1"/>
  <c r="L59" i="5" a="1"/>
  <c r="D170" i="5" a="1"/>
  <c r="E61" i="5" a="1"/>
  <c r="H113" i="5" a="1"/>
  <c r="H172" i="5" a="1"/>
  <c r="I223" i="5" a="1"/>
  <c r="H16" i="5" a="1"/>
  <c r="C102" i="5" a="1"/>
  <c r="K166" i="5" a="1"/>
  <c r="C63" i="5" a="1"/>
  <c r="H101" i="5" a="1"/>
  <c r="I77" i="5" a="1"/>
  <c r="I105" i="5" a="1"/>
  <c r="D34" i="5" a="1"/>
  <c r="K183" i="5" a="1"/>
  <c r="L213" i="5" a="1"/>
  <c r="C161" i="5" a="1"/>
  <c r="I62" i="5" a="1"/>
  <c r="C85" i="5" a="1"/>
  <c r="H214" i="5" a="1"/>
  <c r="D182" i="5" a="1"/>
  <c r="L192" i="5" a="1"/>
  <c r="F188" i="5" a="1"/>
  <c r="H184" i="5" a="1"/>
  <c r="I91" i="5" a="1"/>
  <c r="L194" i="5" a="1"/>
  <c r="K140" i="5" a="1"/>
  <c r="C213" i="5" a="1"/>
  <c r="D157" i="5" a="1"/>
  <c r="F124" i="5" a="1"/>
  <c r="L58" i="5" a="1"/>
  <c r="G83" i="5" a="1"/>
  <c r="L55" i="5" a="1"/>
  <c r="J138" i="5" a="1"/>
  <c r="H12" i="5" a="1"/>
  <c r="G202" i="5" a="1"/>
  <c r="D140" i="5" a="1"/>
  <c r="H38" i="5" a="1"/>
  <c r="K38" i="5" a="1"/>
  <c r="F63" i="5" a="1"/>
  <c r="F219" i="5" a="1"/>
  <c r="F209" i="5" a="1"/>
  <c r="K223" i="5" a="1"/>
  <c r="F201" i="5" a="1"/>
  <c r="I70" i="5" a="1"/>
  <c r="F163" i="5" a="1"/>
  <c r="G150" i="5" a="1"/>
  <c r="E67" i="5" a="1"/>
  <c r="D199" i="5" a="1"/>
  <c r="H118" i="5" a="1"/>
  <c r="I159" i="5" a="1"/>
  <c r="K84" i="5" a="1"/>
  <c r="C87" i="5" a="1"/>
  <c r="H223" i="5" a="1"/>
  <c r="G176" i="5" a="1"/>
  <c r="G8" i="5" a="1"/>
  <c r="L148" i="5" a="1"/>
  <c r="D167" i="5" a="1"/>
  <c r="F179" i="5" a="1"/>
  <c r="G54" i="5" a="1"/>
  <c r="K93" i="5" a="1"/>
  <c r="H91" i="5" a="1"/>
  <c r="L70" i="5" a="1"/>
  <c r="J215" i="5" a="1"/>
  <c r="H206" i="5" a="1"/>
  <c r="C217" i="5" a="1"/>
  <c r="L162" i="5" a="1"/>
  <c r="K90" i="5" a="1"/>
  <c r="I125" i="5" a="1"/>
  <c r="C10" i="5" a="1"/>
  <c r="I35" i="5" a="1"/>
  <c r="J16" i="5" a="1"/>
  <c r="L2" i="5" a="1"/>
  <c r="E94" i="5" a="1"/>
  <c r="G201" i="5" a="1"/>
  <c r="C195" i="5" a="1"/>
  <c r="J52" i="5" a="1"/>
  <c r="D165" i="5" a="1"/>
  <c r="L63" i="5" a="1"/>
  <c r="G126" i="5" a="1"/>
  <c r="I38" i="5" a="1"/>
  <c r="K96" i="5" a="1"/>
  <c r="J131" i="5" a="1"/>
  <c r="J222" i="5" a="1"/>
  <c r="E69" i="5" a="1"/>
  <c r="E200" i="5" a="1"/>
  <c r="C56" i="5" a="1"/>
  <c r="G39" i="5" a="1"/>
  <c r="J96" i="5" a="1"/>
  <c r="F185" i="5" a="1"/>
  <c r="H201" i="5" a="1"/>
  <c r="H183" i="5" a="1"/>
  <c r="F20" i="5" a="1"/>
  <c r="D151" i="5" a="1"/>
  <c r="E39" i="5" a="1"/>
  <c r="J140" i="5" a="1"/>
  <c r="D90" i="5" a="1"/>
  <c r="K143" i="5" a="1"/>
  <c r="I200" i="5" a="1"/>
  <c r="K94" i="5" a="1"/>
  <c r="H194" i="5" a="1"/>
  <c r="H130" i="5" a="1"/>
  <c r="K50" i="5" a="1"/>
  <c r="E48" i="5" a="1"/>
  <c r="J49" i="5" a="1"/>
  <c r="L90" i="5" a="1"/>
  <c r="L40" i="5" a="1"/>
  <c r="E129" i="5" a="1"/>
  <c r="H166" i="5" a="1"/>
  <c r="H80" i="5" a="1"/>
  <c r="E104" i="5" a="1"/>
  <c r="D116" i="5" a="1"/>
  <c r="E179" i="5" a="1"/>
  <c r="I60" i="5" a="1"/>
  <c r="K111" i="5" a="1"/>
  <c r="J9" i="5" a="1"/>
  <c r="E135" i="5" a="1"/>
  <c r="K205" i="5" a="1"/>
  <c r="D13" i="5" a="1"/>
  <c r="G96" i="5" a="1"/>
  <c r="G14" i="5" a="1"/>
  <c r="C143" i="5" a="1"/>
  <c r="L87" i="5" a="1"/>
  <c r="I135" i="5" a="1"/>
  <c r="D98" i="5" a="1"/>
  <c r="F167" i="5" a="1"/>
  <c r="E33" i="5" a="1"/>
  <c r="G18" i="5" a="1"/>
  <c r="J196" i="5" a="1"/>
  <c r="K163" i="5" a="1"/>
  <c r="L10" i="5" a="1"/>
  <c r="I101" i="5" a="1"/>
  <c r="F141" i="5" a="1"/>
  <c r="H154" i="5" a="1"/>
  <c r="D141" i="5" a="1"/>
  <c r="E111" i="5" a="1"/>
  <c r="I202" i="5" a="1"/>
  <c r="E42" i="5" a="1"/>
  <c r="G48" i="5" a="1"/>
  <c r="D59" i="5" a="1"/>
  <c r="E133" i="5" a="1"/>
  <c r="C24" i="5" a="1"/>
  <c r="D69" i="5" a="1"/>
  <c r="G215" i="5" a="1"/>
  <c r="L202" i="5" a="1"/>
  <c r="K76" i="5" a="1"/>
  <c r="K151" i="5" a="1"/>
  <c r="G174" i="5" a="1"/>
  <c r="D76" i="5" a="1"/>
  <c r="K181" i="5" a="1"/>
  <c r="I96" i="5" a="1"/>
  <c r="G199" i="5" a="1"/>
  <c r="D120" i="5" a="1"/>
  <c r="F71" i="5" a="1"/>
  <c r="E163" i="5" a="1"/>
  <c r="G113" i="5" a="1"/>
  <c r="E12" i="5" a="1"/>
  <c r="H221" i="5" a="1"/>
  <c r="D40" i="5" a="1"/>
  <c r="G153" i="5" a="1"/>
  <c r="E195" i="5" a="1"/>
  <c r="G30" i="5" a="1"/>
  <c r="I144" i="5" a="1"/>
  <c r="I75" i="5" a="1"/>
  <c r="K189" i="5" a="1"/>
  <c r="H217" i="5" a="1"/>
  <c r="D102" i="5" a="1"/>
  <c r="K137" i="5" a="1"/>
  <c r="G203" i="5" a="1"/>
  <c r="H45" i="5" a="1"/>
  <c r="H196" i="5" a="1"/>
  <c r="I138" i="5" a="1"/>
  <c r="J21" i="5" a="1"/>
  <c r="F57" i="5" a="1"/>
  <c r="J205" i="5" a="1"/>
  <c r="G200" i="5" a="1"/>
  <c r="K18" i="5" a="1"/>
  <c r="E147" i="5" a="1"/>
  <c r="J2" i="5" a="1"/>
  <c r="L48" i="5" a="1"/>
  <c r="H46" i="5" a="1"/>
  <c r="H134" i="5" a="1"/>
  <c r="F77" i="5" a="1"/>
  <c r="H49" i="5" a="1"/>
  <c r="E131" i="5" a="1"/>
  <c r="K200" i="5" a="1"/>
  <c r="K83" i="5" a="1"/>
  <c r="D41" i="5" a="1"/>
  <c r="C154" i="5" a="1"/>
  <c r="K168" i="5" a="1"/>
  <c r="D105" i="5" a="1"/>
  <c r="C188" i="5" a="1"/>
  <c r="I175" i="5" a="1"/>
  <c r="C185" i="5" a="1"/>
  <c r="F125" i="5" a="1"/>
  <c r="F171" i="5" a="1"/>
  <c r="E218" i="5" a="1"/>
  <c r="F148" i="5" a="1"/>
  <c r="G82" i="5" a="1"/>
  <c r="L45" i="5" a="1"/>
  <c r="C204" i="5" a="1"/>
  <c r="J60" i="5" a="1"/>
  <c r="H120" i="5" a="1"/>
  <c r="L186" i="5" a="1"/>
  <c r="L11" i="5" a="1"/>
  <c r="C105" i="5" a="1"/>
  <c r="C79" i="5" a="1"/>
  <c r="D221" i="5" a="1"/>
  <c r="C99" i="5" a="1"/>
  <c r="F64" i="5" a="1"/>
  <c r="D50" i="5" a="1"/>
  <c r="K65" i="5" a="1"/>
  <c r="I98" i="5" a="1"/>
  <c r="E24" i="5" a="1"/>
  <c r="H207" i="5" a="1"/>
  <c r="D101" i="5" a="1"/>
  <c r="I13" i="5" a="1"/>
  <c r="J160" i="5" a="1"/>
  <c r="C201" i="5" a="1"/>
  <c r="J62" i="5" a="1"/>
  <c r="E123" i="5" a="1"/>
  <c r="G159" i="5" a="1"/>
  <c r="F47" i="5" a="1"/>
  <c r="F28" i="5" a="1"/>
  <c r="I178" i="5" a="1"/>
  <c r="E212" i="5" a="1"/>
  <c r="F223" i="5" a="1"/>
  <c r="L138" i="5" a="1"/>
  <c r="K71" i="5" a="1"/>
  <c r="K14" i="5" a="1"/>
  <c r="H215" i="5" a="1"/>
  <c r="F78" i="5" a="1"/>
  <c r="F149" i="5" a="1"/>
  <c r="I139" i="5" a="1"/>
  <c r="E119" i="5" a="1"/>
  <c r="K100" i="5" a="1"/>
  <c r="D54" i="5" a="1"/>
  <c r="G86" i="5" a="1"/>
  <c r="E203" i="5" a="1"/>
  <c r="K170" i="5" a="1"/>
  <c r="F33" i="5" a="1"/>
  <c r="G45" i="5" a="1"/>
  <c r="I76" i="5" a="1"/>
  <c r="E137" i="5" a="1"/>
  <c r="G106" i="5" a="1"/>
  <c r="E217" i="5" a="1"/>
  <c r="I122" i="5" a="1"/>
  <c r="D215" i="5" a="1"/>
  <c r="D139" i="5" a="1"/>
  <c r="E205" i="5" a="1"/>
  <c r="I189" i="5" a="1"/>
  <c r="F103" i="5" a="1"/>
  <c r="H210" i="5" a="1"/>
  <c r="H104" i="5" a="1"/>
  <c r="G52" i="5" a="1"/>
  <c r="E169" i="5" a="1"/>
  <c r="L132" i="5" a="1"/>
  <c r="L61" i="5" a="1"/>
  <c r="F193" i="5" a="1"/>
  <c r="L82" i="5" a="1"/>
  <c r="K192" i="5" a="1"/>
  <c r="I42" i="5" a="1"/>
  <c r="I93" i="5" a="1"/>
  <c r="D18" i="5" a="1"/>
  <c r="I36" i="5" a="1"/>
  <c r="I182" i="5" a="1"/>
  <c r="J208" i="5" a="1"/>
  <c r="E199" i="5" a="1"/>
  <c r="J41" i="5" a="1"/>
  <c r="G38" i="5" a="1"/>
  <c r="L118" i="5" a="1"/>
  <c r="E34" i="5" a="1"/>
  <c r="J72" i="5" a="1"/>
  <c r="D178" i="5" a="1"/>
  <c r="K167" i="5" a="1"/>
  <c r="J50" i="5" a="1"/>
  <c r="L127" i="5" a="1"/>
  <c r="G25" i="5" a="1"/>
  <c r="G187" i="5" a="1"/>
  <c r="D51" i="5" a="1"/>
  <c r="H188" i="5" a="1"/>
  <c r="H203" i="5" a="1"/>
  <c r="G49" i="5" a="1"/>
  <c r="H6" i="5" a="1"/>
  <c r="L191" i="5" a="1"/>
  <c r="J188" i="5" a="1"/>
  <c r="C129" i="5" a="1"/>
  <c r="I120" i="5" a="1"/>
  <c r="I148" i="5" a="1"/>
  <c r="G188" i="5" a="1"/>
  <c r="C75" i="5" a="1"/>
  <c r="H218" i="5" a="1"/>
  <c r="H176" i="5" a="1"/>
  <c r="H61" i="5" a="1"/>
  <c r="J83" i="5" a="1"/>
  <c r="G35" i="5" a="1"/>
  <c r="F98" i="5" a="1"/>
  <c r="L102" i="5" a="1"/>
  <c r="G173" i="5" a="1"/>
  <c r="D20" i="5" a="1"/>
  <c r="J85" i="5" a="1"/>
  <c r="J82" i="5" a="1"/>
  <c r="F136" i="5" a="1"/>
  <c r="H149" i="5" a="1"/>
  <c r="I114" i="5" a="1"/>
  <c r="L188" i="5" a="1"/>
  <c r="K32" i="5" a="1"/>
  <c r="C2" i="5" a="1"/>
  <c r="I151" i="5" a="1"/>
  <c r="K34" i="5" a="1"/>
  <c r="K19" i="5" a="1"/>
  <c r="F146" i="5" a="1"/>
  <c r="G157" i="5" a="1"/>
  <c r="K58" i="5" a="1"/>
  <c r="K80" i="5" a="1"/>
  <c r="J142" i="5" a="1"/>
  <c r="D163" i="5" a="1"/>
  <c r="E8" i="5" a="1"/>
  <c r="K216" i="5" a="1"/>
  <c r="D30" i="5" a="1"/>
  <c r="F43" i="5" a="1"/>
  <c r="D5" i="5" a="1"/>
  <c r="F112" i="5" a="1"/>
  <c r="L72" i="5" a="1"/>
  <c r="I131" i="5" a="1"/>
  <c r="G171" i="5" a="1"/>
  <c r="F15" i="5" a="1"/>
  <c r="F17" i="5" a="1"/>
  <c r="H27" i="5" a="1"/>
  <c r="E70" i="5" a="1"/>
  <c r="L140" i="5" a="1"/>
  <c r="K7" i="5" a="1"/>
  <c r="I14" i="5" a="1"/>
  <c r="K171" i="5" a="1"/>
  <c r="I33" i="5" a="1"/>
  <c r="I204" i="5" a="1"/>
  <c r="D21" i="5" a="1"/>
  <c r="H13" i="5" a="1"/>
  <c r="G223" i="5" a="1"/>
  <c r="L81" i="5" a="1"/>
  <c r="J143" i="5" a="1"/>
  <c r="C172" i="5" a="1"/>
  <c r="L142" i="5" a="1"/>
  <c r="G158" i="5" a="1"/>
  <c r="J207" i="5" a="1"/>
  <c r="E107" i="5" a="1"/>
  <c r="G162" i="5" a="1"/>
  <c r="L25" i="5" a="1"/>
  <c r="J26" i="5" a="1"/>
  <c r="D100" i="5" a="1"/>
  <c r="H15" i="5" a="1"/>
  <c r="F4" i="5" a="1"/>
  <c r="F88" i="5" a="1"/>
  <c r="F56" i="5" a="1"/>
  <c r="G156" i="5" a="1"/>
  <c r="J58" i="5" a="1"/>
  <c r="I109" i="5" a="1"/>
  <c r="G2" i="5" a="1"/>
  <c r="J40" i="5" a="1"/>
  <c r="F89" i="5" a="1"/>
  <c r="G141" i="5" a="1"/>
  <c r="I21" i="5" a="1"/>
  <c r="C199" i="5" a="1"/>
  <c r="G170" i="5" a="1"/>
  <c r="H186" i="5" a="1"/>
  <c r="J224" i="5" a="1"/>
  <c r="G104" i="5" a="1"/>
  <c r="F9" i="5" a="1"/>
  <c r="L46" i="5" a="1"/>
  <c r="J148" i="5" a="1"/>
  <c r="K197" i="5" a="1"/>
  <c r="D14" i="5" a="1"/>
  <c r="I111" i="5" a="1"/>
  <c r="H190" i="5" a="1"/>
  <c r="E6" i="5" a="1"/>
  <c r="D203" i="5" a="1"/>
  <c r="D134" i="5" a="1"/>
  <c r="F111" i="5" a="1"/>
  <c r="G167" i="5" a="1"/>
  <c r="G128" i="5" a="1"/>
  <c r="D169" i="5" a="1"/>
  <c r="I57" i="5" a="1"/>
  <c r="C35" i="5" a="1"/>
  <c r="H56" i="5" a="1"/>
  <c r="K196" i="5" a="1"/>
  <c r="H137" i="5" a="1"/>
  <c r="H94" i="5" a="1"/>
  <c r="H200" i="5" a="1"/>
  <c r="I169" i="5" a="1"/>
  <c r="D108" i="5" a="1"/>
  <c r="G151" i="5" a="1"/>
  <c r="I201" i="5" a="1"/>
  <c r="K198" i="5" a="1"/>
  <c r="L222" i="5" a="1"/>
  <c r="K146" i="5" a="1"/>
  <c r="E85" i="5" a="1"/>
  <c r="K120" i="5" a="1"/>
  <c r="C214" i="5" a="1"/>
  <c r="L218" i="5" a="1"/>
  <c r="F151" i="5" a="1"/>
  <c r="K102" i="5" a="1"/>
  <c r="G117" i="5" a="1"/>
  <c r="C202" i="5" a="1"/>
  <c r="K2" i="5" a="1"/>
  <c r="J125" i="5" a="1"/>
  <c r="J156" i="5" a="1"/>
  <c r="E185" i="5" a="1"/>
  <c r="D82" i="5" a="1"/>
  <c r="H34" i="5" a="1"/>
  <c r="K211" i="5" a="1"/>
  <c r="K67" i="5" a="1"/>
  <c r="I24" i="5" a="1"/>
  <c r="G189" i="5" a="1"/>
  <c r="C168" i="5" a="1"/>
  <c r="K118" i="5" a="1"/>
  <c r="K21" i="5" a="1"/>
  <c r="D58" i="5" a="1"/>
  <c r="E213" i="5" a="1"/>
  <c r="K127" i="5" a="1"/>
  <c r="G144" i="5" a="1"/>
  <c r="C107" i="5" a="1"/>
  <c r="J157" i="5" a="1"/>
  <c r="J98" i="5" a="1"/>
  <c r="G165" i="5" a="1"/>
  <c r="H124" i="5" a="1"/>
  <c r="L160" i="5" a="1"/>
  <c r="D27" i="5" a="1"/>
  <c r="H191" i="5" a="1"/>
  <c r="I126" i="5" a="1"/>
  <c r="L29" i="5" a="1"/>
  <c r="C175" i="5" a="1"/>
  <c r="E80" i="5" a="1"/>
  <c r="G163" i="5" a="1"/>
  <c r="D184" i="5" a="1"/>
  <c r="D92" i="5" a="1"/>
  <c r="J70" i="5" a="1"/>
  <c r="E57" i="5" a="1"/>
  <c r="F206" i="5" a="1"/>
  <c r="L119" i="5" a="1"/>
  <c r="E46" i="5" a="1"/>
  <c r="G107" i="5" a="1"/>
  <c r="E37" i="5" a="1"/>
  <c r="K161" i="5" a="1"/>
  <c r="G76" i="5" a="1"/>
  <c r="H119" i="5" a="1"/>
  <c r="J54" i="5" a="1"/>
  <c r="C193" i="5" a="1"/>
  <c r="D222" i="5" a="1"/>
  <c r="L221" i="5" a="1"/>
  <c r="D113" i="5" a="1"/>
  <c r="L203" i="5" a="1"/>
  <c r="D204" i="5" a="1"/>
  <c r="D127" i="5" a="1"/>
  <c r="F150" i="5" a="1"/>
  <c r="C112" i="5" a="1"/>
  <c r="E26" i="5" a="1"/>
  <c r="H116" i="5" a="1"/>
  <c r="L76" i="5" a="1"/>
  <c r="I196" i="5" a="1"/>
  <c r="D202" i="5" a="1"/>
  <c r="E56" i="5" a="1"/>
  <c r="C12" i="5" a="1"/>
  <c r="J22" i="5" a="1"/>
  <c r="G166" i="5" a="1"/>
  <c r="H211" i="5" a="1"/>
  <c r="F142" i="5" a="1"/>
  <c r="H17" i="5" a="1"/>
  <c r="C100" i="5" a="1"/>
  <c r="E214" i="5" a="1"/>
  <c r="F144" i="5" a="1"/>
  <c r="D60" i="5" a="1"/>
  <c r="K49" i="5" a="1"/>
  <c r="J13" i="5" a="1"/>
  <c r="C209" i="5" a="1"/>
  <c r="L27" i="5" a="1"/>
  <c r="I147" i="5" a="1"/>
  <c r="F127" i="5" a="1"/>
  <c r="I207" i="5" a="1"/>
  <c r="G164" i="5" a="1"/>
  <c r="E208" i="5" a="1"/>
  <c r="G149" i="5" a="1"/>
  <c r="L130" i="5" a="1"/>
  <c r="L207" i="5" a="1"/>
  <c r="I26" i="5" a="1"/>
  <c r="C212" i="5" a="1"/>
  <c r="D158" i="5" a="1"/>
  <c r="D180" i="5" a="1"/>
  <c r="D176" i="5" a="1"/>
  <c r="F79" i="5" a="1"/>
  <c r="F122" i="5" a="1"/>
  <c r="L168" i="5" a="1"/>
  <c r="D218" i="5" a="1"/>
  <c r="D96" i="5" a="1"/>
  <c r="L43" i="5" a="1"/>
  <c r="I71" i="5" a="1"/>
  <c r="L62" i="5" a="1"/>
  <c r="J46" i="5" a="1"/>
  <c r="C47" i="5" a="1"/>
  <c r="G61" i="5" a="1"/>
  <c r="C76" i="5" a="1"/>
  <c r="F108" i="5" a="1"/>
  <c r="G192" i="5" a="1"/>
  <c r="F67" i="5" a="1"/>
  <c r="E167" i="5" a="1"/>
  <c r="F182" i="5" a="1"/>
  <c r="C223" i="5" a="1"/>
  <c r="J120" i="5" a="1"/>
  <c r="F102" i="5" a="1"/>
  <c r="I28" i="5" a="1"/>
  <c r="H8" i="5" a="1"/>
  <c r="C19" i="5" a="1"/>
  <c r="D129" i="5" a="1"/>
  <c r="C211" i="5" a="1"/>
  <c r="J114" i="5" a="1"/>
  <c r="E182" i="5" a="1"/>
  <c r="K74" i="5" a="1"/>
  <c r="F126" i="5" a="1"/>
  <c r="C30" i="5" a="1"/>
  <c r="J66" i="5" a="1"/>
  <c r="I184" i="5" a="1"/>
  <c r="F160" i="5" a="1"/>
  <c r="D112" i="5" a="1"/>
  <c r="C184" i="5" a="1"/>
  <c r="C125" i="5" a="1"/>
  <c r="G115" i="5" a="1"/>
  <c r="C83" i="5" a="1"/>
  <c r="G94" i="5" a="1"/>
  <c r="J200" i="5" a="1"/>
  <c r="K57" i="5" a="1"/>
  <c r="L116" i="5" a="1"/>
  <c r="E126" i="5" a="1"/>
  <c r="K55" i="5" a="1"/>
  <c r="H132" i="5" a="1"/>
  <c r="F198" i="5" a="1"/>
  <c r="G212" i="5" a="1"/>
  <c r="H87" i="5" a="1"/>
  <c r="D48" i="5" a="1"/>
  <c r="G87" i="5" a="1"/>
  <c r="D106" i="5" a="1"/>
  <c r="J92" i="5" a="1"/>
  <c r="G140" i="5" a="1"/>
  <c r="H48" i="5" a="1"/>
  <c r="J155" i="5" a="1"/>
  <c r="K139" i="5" a="1"/>
  <c r="E11" i="5" a="1"/>
  <c r="L106" i="5" a="1"/>
  <c r="G90" i="5" a="1"/>
  <c r="K207" i="5" a="1"/>
  <c r="K169" i="5" a="1"/>
  <c r="E71" i="5" a="1"/>
  <c r="L53" i="5" a="1"/>
  <c r="H9" i="5" a="1"/>
  <c r="D97" i="5" a="1"/>
  <c r="I164" i="5" a="1"/>
  <c r="L155" i="5" a="1"/>
  <c r="J103" i="5" a="1"/>
  <c r="H147" i="5" a="1"/>
  <c r="K30" i="5" a="1"/>
  <c r="D173" i="5" a="1"/>
  <c r="C25" i="5" a="1"/>
  <c r="L78" i="5" a="1"/>
  <c r="C33" i="5" a="1"/>
  <c r="L165" i="5" a="1"/>
  <c r="I80" i="5" a="1"/>
  <c r="L177" i="5" a="1"/>
  <c r="E219" i="5" a="1"/>
  <c r="C222" i="5" a="1"/>
  <c r="G5" i="5" a="1"/>
  <c r="H179" i="5" a="1"/>
  <c r="I73" i="5" a="1"/>
  <c r="K56" i="5" a="1"/>
  <c r="F216" i="5" a="1"/>
  <c r="L152" i="5" a="1"/>
  <c r="E216" i="5" a="1"/>
  <c r="F114" i="5" a="1"/>
  <c r="L52" i="5" a="1"/>
  <c r="G68" i="5" a="1"/>
  <c r="G10" i="5" a="1"/>
  <c r="J109" i="5" a="1"/>
  <c r="D153" i="5" a="1"/>
  <c r="J176" i="5" a="1"/>
  <c r="J198" i="5" a="1"/>
  <c r="K25" i="5" a="1"/>
  <c r="F177" i="5" a="1"/>
  <c r="L189" i="5" a="1"/>
  <c r="I11" i="5" a="1"/>
  <c r="E64" i="5" a="1"/>
  <c r="D194" i="5" a="1"/>
  <c r="K156" i="5" a="1"/>
  <c r="L219" i="5" a="1"/>
  <c r="L75" i="5" a="1"/>
  <c r="E188" i="5" a="1"/>
  <c r="G198" i="5" a="1"/>
  <c r="K119" i="5" a="1"/>
  <c r="G65" i="5" a="1"/>
  <c r="C108" i="5" a="1"/>
  <c r="G6" i="5" a="1"/>
  <c r="I154" i="5" a="1"/>
  <c r="K133" i="5" a="1"/>
  <c r="K188" i="5" a="1"/>
  <c r="D80" i="5" a="1"/>
  <c r="E17" i="5" a="1"/>
  <c r="L176" i="5" a="1"/>
  <c r="K180" i="5" a="1"/>
  <c r="D9" i="5" a="1"/>
  <c r="K63" i="5" a="1"/>
  <c r="D2" i="5" a="1"/>
  <c r="J104" i="5" a="1"/>
  <c r="I224" i="5" a="1"/>
  <c r="L95" i="5" a="1"/>
  <c r="C60" i="5" a="1"/>
  <c r="H103" i="5" a="1"/>
  <c r="L126" i="5" a="1"/>
  <c r="E22" i="5" a="1"/>
  <c r="J130" i="5" a="1"/>
  <c r="K215" i="5" a="1"/>
  <c r="F116" i="5" a="1"/>
  <c r="H83" i="5" a="1"/>
  <c r="K214" i="5" a="1"/>
  <c r="G58" i="5" a="1"/>
  <c r="H33" i="5" a="1"/>
  <c r="E63" i="5" a="1"/>
  <c r="H85" i="5" a="1"/>
  <c r="F55" i="5" a="1"/>
  <c r="H204" i="5" a="1"/>
  <c r="I195" i="5" a="1"/>
  <c r="G69" i="5" a="1"/>
  <c r="K97" i="5" a="1"/>
  <c r="J164" i="5" a="1"/>
  <c r="L83" i="5" a="1"/>
  <c r="E168" i="5" a="1"/>
  <c r="H43" i="5" a="1"/>
  <c r="I52" i="5" a="1"/>
  <c r="F211" i="5" a="1"/>
  <c r="J192" i="5" a="1"/>
  <c r="J216" i="5" a="1"/>
  <c r="E150" i="5" a="1"/>
  <c r="E21" i="5" a="1"/>
  <c r="G221" i="5" a="1"/>
  <c r="G147" i="5" a="1"/>
  <c r="H106" i="5" a="1"/>
  <c r="D68" i="5" a="1"/>
  <c r="L68" i="5" a="1"/>
  <c r="K35" i="5" a="1"/>
  <c r="D45" i="5" a="1"/>
  <c r="J110" i="5" a="1"/>
  <c r="L223" i="5" a="1"/>
  <c r="J86" i="5" a="1"/>
  <c r="I39" i="5" a="1"/>
  <c r="I108" i="5" a="1"/>
  <c r="D213" i="5" a="1"/>
  <c r="D17" i="5" a="1"/>
  <c r="I143" i="5" a="1"/>
  <c r="L97" i="5" a="1"/>
  <c r="G139" i="5" a="1"/>
  <c r="E125" i="5" a="1"/>
  <c r="D19" i="5" a="1"/>
  <c r="F35" i="5" a="1"/>
  <c r="L20" i="5" a="1"/>
  <c r="F128" i="5" a="1"/>
  <c r="I150" i="5" a="1"/>
  <c r="C81" i="5" a="1"/>
  <c r="C42" i="5" a="1"/>
  <c r="F29" i="5" a="1"/>
  <c r="D164" i="5" a="1"/>
  <c r="L190" i="5" a="1"/>
  <c r="J67" i="5" a="1"/>
  <c r="D156" i="5" a="1"/>
  <c r="G183" i="5" a="1"/>
  <c r="L22" i="5" a="1"/>
  <c r="K72" i="5" a="1"/>
  <c r="C82" i="5" a="1"/>
  <c r="F61" i="5" a="1"/>
  <c r="L210" i="5" a="1"/>
  <c r="H175" i="5" a="1"/>
  <c r="G210" i="5" a="1"/>
  <c r="J34" i="5" a="1"/>
  <c r="I155" i="5" a="1"/>
  <c r="G84" i="5" a="1"/>
  <c r="J23" i="5" a="1"/>
  <c r="G99" i="5" a="1"/>
  <c r="H182" i="5" a="1"/>
  <c r="F99" i="5" a="1"/>
  <c r="D190" i="5" a="1"/>
  <c r="E186" i="5" a="1"/>
  <c r="H171" i="5" a="1"/>
  <c r="I103" i="5" a="1"/>
  <c r="G89" i="5" a="1"/>
  <c r="G155" i="5" a="1"/>
  <c r="E112" i="5" a="1"/>
  <c r="G219" i="5" a="1"/>
  <c r="D95" i="5" a="1"/>
  <c r="L9" i="5" a="1"/>
  <c r="D210" i="5" a="1"/>
  <c r="J135" i="5" a="1"/>
  <c r="J203" i="5" a="1"/>
  <c r="H133" i="5" a="1"/>
  <c r="C192" i="5" a="1"/>
  <c r="I124" i="5" a="1"/>
  <c r="J170" i="5" a="1"/>
  <c r="D35" i="5" a="1"/>
  <c r="J137" i="5" a="1"/>
  <c r="G40" i="5" a="1"/>
  <c r="F200" i="5" a="1"/>
  <c r="D11" i="5" a="1"/>
  <c r="L217" i="5" a="1"/>
  <c r="G34" i="5" a="1"/>
  <c r="K37" i="5" a="1"/>
  <c r="C20" i="5" a="1"/>
  <c r="I208" i="5" a="1"/>
  <c r="K131" i="5" a="1"/>
  <c r="H181" i="5" a="1"/>
  <c r="E96" i="5" a="1"/>
  <c r="F180" i="5" a="1"/>
  <c r="F204" i="5" a="1"/>
  <c r="F36" i="5" a="1"/>
  <c r="K42" i="5" a="1"/>
  <c r="L172" i="5" a="1"/>
  <c r="K64" i="5" a="1"/>
  <c r="E118" i="5" a="1"/>
  <c r="L178" i="5" a="1"/>
  <c r="C91" i="5" a="1"/>
  <c r="J111" i="5" a="1"/>
  <c r="L79" i="5" a="1"/>
  <c r="G101" i="5" a="1"/>
  <c r="I59" i="5" a="1"/>
  <c r="D86" i="5" a="1"/>
  <c r="J79" i="5" a="1"/>
  <c r="J145" i="5" a="1"/>
  <c r="G85" i="5" a="1"/>
  <c r="E23" i="5" a="1"/>
  <c r="G109" i="5" a="1"/>
  <c r="F191" i="5" a="1"/>
  <c r="L185" i="5" a="1"/>
  <c r="J88" i="5" a="1"/>
  <c r="D206" i="5" a="1"/>
  <c r="C57" i="5" a="1"/>
  <c r="F10" i="5" a="1"/>
  <c r="J169" i="5" a="1"/>
  <c r="F97" i="5" a="1"/>
  <c r="D7" i="5" a="1"/>
  <c r="F93" i="5" a="1"/>
  <c r="D150" i="5" a="1"/>
  <c r="C166" i="5" a="1"/>
  <c r="C41" i="5" a="1"/>
  <c r="K124" i="5" a="1"/>
  <c r="H79" i="5" a="1"/>
  <c r="E148" i="5" a="1"/>
  <c r="I167" i="5" a="1"/>
  <c r="G190" i="5" a="1"/>
  <c r="AE225" i="5"/>
  <c r="D29" i="5" a="1"/>
  <c r="F12" i="5" a="1"/>
  <c r="G130" i="5" a="1"/>
  <c r="C215" i="5" a="1"/>
  <c r="G120" i="5" a="1"/>
  <c r="C101" i="5" a="1"/>
  <c r="G191" i="5" a="1"/>
  <c r="C9" i="5" a="1"/>
  <c r="J47" i="5" a="1"/>
  <c r="D160" i="5" a="1"/>
  <c r="E222" i="5" a="1"/>
  <c r="H187" i="5" a="1"/>
  <c r="L86" i="5" a="1"/>
  <c r="H131" i="5" a="1"/>
  <c r="H5" i="5" a="1"/>
  <c r="C50" i="5" a="1"/>
  <c r="E194" i="5" a="1"/>
  <c r="K24" i="5" a="1"/>
  <c r="J84" i="5" a="1"/>
  <c r="E165" i="5" a="1"/>
  <c r="C104" i="5" a="1"/>
  <c r="J36" i="5" a="1"/>
  <c r="J5" i="5" a="1"/>
  <c r="I191" i="5" a="1"/>
  <c r="L93" i="5" a="1"/>
  <c r="L149" i="5" a="1"/>
  <c r="H195" i="5" a="1"/>
  <c r="L214" i="5" a="1"/>
  <c r="G184" i="5" a="1"/>
  <c r="J123" i="5" a="1"/>
  <c r="F26" i="5" a="1"/>
  <c r="D224" i="5" a="1"/>
  <c r="I64" i="5" a="1"/>
  <c r="F155" i="5" a="1"/>
  <c r="C163" i="5" a="1"/>
  <c r="J194" i="5" a="1"/>
  <c r="F48" i="5" a="1"/>
  <c r="G132" i="5" a="1"/>
  <c r="L38" i="5" a="1"/>
  <c r="C14" i="5" a="1"/>
  <c r="E177" i="5" a="1"/>
  <c r="K16" i="5" a="1"/>
  <c r="G102" i="5" a="1"/>
  <c r="E44" i="5" a="1"/>
  <c r="I19" i="5" a="1"/>
  <c r="E109" i="5" a="1"/>
  <c r="E173" i="5" a="1"/>
  <c r="E91" i="5" a="1"/>
  <c r="J168" i="5" a="1"/>
  <c r="I29" i="5" a="1"/>
  <c r="F154" i="5" a="1"/>
  <c r="D149" i="5" a="1"/>
  <c r="G23" i="5" a="1"/>
  <c r="J101" i="5" a="1"/>
  <c r="L33" i="5" a="1"/>
  <c r="I219" i="5" a="1"/>
  <c r="C147" i="5" a="1"/>
  <c r="D172" i="5" a="1"/>
  <c r="I95" i="5" a="1"/>
  <c r="H178" i="5" a="1"/>
  <c r="C122" i="5" a="1"/>
  <c r="G160" i="5" a="1"/>
  <c r="F69" i="5" a="1"/>
  <c r="D181" i="5" a="1"/>
  <c r="I100" i="5" a="1"/>
  <c r="K202" i="5" a="1"/>
  <c r="F52" i="5" a="1"/>
  <c r="J73" i="5" a="1"/>
  <c r="I194" i="5" a="1"/>
  <c r="E187" i="5" a="1"/>
  <c r="I25" i="5" a="1"/>
  <c r="K164" i="5" a="1"/>
  <c r="E164" i="5" a="1"/>
  <c r="J126" i="5" a="1"/>
  <c r="E89" i="5" a="1"/>
  <c r="J25" i="5" a="1"/>
  <c r="D111" i="5" a="1"/>
  <c r="J124" i="5" a="1"/>
  <c r="L24" i="5" a="1"/>
  <c r="E141" i="5" a="1"/>
  <c r="G13" i="5" a="1"/>
  <c r="D31" i="5" a="1"/>
  <c r="I47" i="5" a="1"/>
  <c r="J105" i="5" a="1"/>
  <c r="C182" i="5" a="1"/>
  <c r="L196" i="5" a="1"/>
  <c r="K87" i="5" a="1"/>
  <c r="C26" i="5" a="1"/>
  <c r="H185" i="5" a="1"/>
  <c r="I51" i="5" a="1"/>
  <c r="E82" i="5" a="1"/>
  <c r="H177" i="5" a="1"/>
  <c r="D125" i="5" a="1"/>
  <c r="K206" i="5" a="1"/>
  <c r="I48" i="5" a="1"/>
  <c r="C43" i="5" a="1"/>
  <c r="E15" i="5" a="1"/>
  <c r="F27" i="5" a="1"/>
  <c r="F42" i="5" a="1"/>
  <c r="K121" i="5" a="1"/>
  <c r="F86" i="5" a="1"/>
  <c r="E32" i="5" a="1"/>
  <c r="J89" i="5" a="1"/>
  <c r="H65" i="5" a="1"/>
  <c r="C171" i="5" a="1"/>
  <c r="J90" i="5" a="1"/>
  <c r="I190" i="5" a="1"/>
  <c r="G186" i="5" a="1"/>
  <c r="C13" i="5" a="1"/>
  <c r="G50" i="5" a="1"/>
  <c r="E88" i="5" a="1"/>
  <c r="J119" i="5" a="1"/>
  <c r="I161" i="5" a="1"/>
  <c r="D119" i="5" a="1"/>
  <c r="H69" i="5" a="1"/>
  <c r="F22" i="5" a="1"/>
  <c r="F121" i="5" a="1"/>
  <c r="G123" i="5" a="1"/>
  <c r="G79" i="5" a="1"/>
  <c r="E59" i="5" a="1"/>
  <c r="E113" i="5" a="1"/>
  <c r="K62" i="5" a="1"/>
  <c r="L94" i="5" a="1"/>
  <c r="K47" i="5" a="1"/>
  <c r="C219" i="5" a="1"/>
  <c r="E160" i="5" a="1"/>
  <c r="F162" i="5" a="1"/>
  <c r="G108" i="5" a="1"/>
  <c r="F214" i="5" a="1"/>
  <c r="D162" i="5" a="1"/>
  <c r="K141" i="5" a="1"/>
  <c r="D171" i="5" a="1"/>
  <c r="J172" i="5" a="1"/>
  <c r="H97" i="5" a="1"/>
  <c r="E13" i="5" a="1"/>
  <c r="C109" i="5" a="1"/>
  <c r="L105" i="5" a="1"/>
  <c r="L154" i="5" a="1"/>
  <c r="E121" i="5" a="1"/>
  <c r="H31" i="5" a="1"/>
  <c r="D44" i="5" a="1"/>
  <c r="G175" i="5" a="1"/>
  <c r="E83" i="5" a="1"/>
  <c r="H198" i="5" a="1"/>
  <c r="H141" i="5" a="1"/>
  <c r="K201" i="5" a="1"/>
  <c r="H72" i="5" a="1"/>
  <c r="F105" i="5" a="1"/>
  <c r="H74" i="5" a="1"/>
  <c r="G7" i="5" a="1"/>
  <c r="C136" i="5" a="1"/>
  <c r="E155" i="5" a="1"/>
  <c r="E158" i="5" a="1"/>
  <c r="K13" i="5" a="1"/>
  <c r="G46" i="5" a="1"/>
  <c r="I53" i="5" a="1"/>
  <c r="G44" i="5" a="1"/>
  <c r="C152" i="5" a="1"/>
  <c r="G143" i="5" a="1"/>
  <c r="D63" i="5" a="1"/>
  <c r="F110" i="5" a="1"/>
  <c r="J19" i="5" a="1"/>
  <c r="L167" i="5" a="1"/>
  <c r="C69" i="5" a="1"/>
  <c r="F196" i="5" a="1"/>
  <c r="K158" i="5" a="1"/>
  <c r="J187" i="5" a="1"/>
  <c r="J127" i="5" a="1"/>
  <c r="C4" i="5" a="1"/>
  <c r="L69" i="5" a="1"/>
  <c r="C46" i="5" a="1"/>
  <c r="D117" i="5" a="1"/>
  <c r="H86" i="5" a="1"/>
  <c r="L137" i="5" a="1"/>
  <c r="D217" i="5" a="1"/>
  <c r="D159" i="5" a="1"/>
  <c r="K20" i="5" a="1"/>
  <c r="G222" i="5" a="1"/>
  <c r="D71" i="5" a="1"/>
  <c r="J151" i="5" a="1"/>
  <c r="F92" i="5" a="1"/>
  <c r="J59" i="5" a="1"/>
  <c r="K33" i="5" a="1"/>
  <c r="C218" i="5" a="1"/>
  <c r="L182" i="5" a="1"/>
  <c r="G152" i="5" a="1"/>
  <c r="D187" i="5" a="1"/>
  <c r="I54" i="5" a="1"/>
  <c r="G17" i="5" a="1"/>
  <c r="K15" i="5" a="1"/>
  <c r="G105" i="5" a="1"/>
  <c r="H42" i="5" a="1"/>
  <c r="G110" i="5" a="1"/>
  <c r="L139" i="5" a="1"/>
  <c r="D209" i="5" a="1"/>
  <c r="G80" i="5" a="1"/>
  <c r="H125" i="5" a="1"/>
  <c r="L204" i="5" a="1"/>
  <c r="E49" i="5" a="1"/>
  <c r="E116" i="5" a="1"/>
  <c r="H169" i="5" a="1"/>
  <c r="J63" i="5" a="1"/>
  <c r="I214" i="5" a="1"/>
  <c r="G116" i="5" a="1"/>
  <c r="C191" i="5" a="1"/>
  <c r="G55" i="5" a="1"/>
  <c r="H212" i="5" a="1"/>
  <c r="E154" i="5" a="1"/>
  <c r="C165" i="5" a="1"/>
  <c r="G197" i="5" a="1"/>
  <c r="J17" i="5" a="1"/>
  <c r="C180" i="5" a="1"/>
  <c r="J223" i="5" a="1"/>
  <c r="D192" i="5" a="1"/>
  <c r="J195" i="5" a="1"/>
  <c r="G36" i="5" a="1"/>
  <c r="C22" i="5" a="1"/>
  <c r="E95" i="5" a="1"/>
  <c r="E202" i="5" a="1"/>
  <c r="H20" i="5" a="1"/>
  <c r="D12" i="5" a="1"/>
  <c r="K186" i="5" a="1"/>
  <c r="G74" i="5" a="1"/>
  <c r="I107" i="5" a="1"/>
  <c r="J219" i="5" a="1"/>
  <c r="E19" i="5" a="1"/>
  <c r="L153" i="5" a="1"/>
  <c r="F217" i="5" a="1"/>
  <c r="I186" i="5" a="1"/>
  <c r="D85" i="5" a="1"/>
  <c r="H152" i="5" a="1"/>
  <c r="I65" i="5" a="1"/>
  <c r="D46" i="5" a="1"/>
  <c r="J24" i="5" a="1"/>
  <c r="I69" i="5" a="1"/>
  <c r="K78" i="5" a="1"/>
  <c r="G29" i="5" a="1"/>
  <c r="C216" i="5" a="1"/>
  <c r="C77" i="5" a="1"/>
  <c r="E143" i="5" a="1"/>
  <c r="H29" i="5" a="1"/>
  <c r="H117" i="5" a="1"/>
  <c r="J28" i="5" a="1"/>
  <c r="K179" i="5" a="1"/>
  <c r="J65" i="5" a="1"/>
  <c r="I88" i="5" a="1"/>
  <c r="I136" i="5" a="1"/>
  <c r="D6" i="5" a="1"/>
  <c r="J74" i="5" a="1"/>
  <c r="D74" i="5" a="1"/>
  <c r="L91" i="5" a="1"/>
  <c r="J218" i="5" a="1"/>
  <c r="J184" i="5" a="1"/>
  <c r="D23" i="5" a="1"/>
  <c r="H157" i="5" a="1"/>
  <c r="G182" i="5" a="1"/>
  <c r="K128" i="5" a="1"/>
  <c r="F72" i="5" a="1"/>
  <c r="C40" i="5" a="1"/>
  <c r="K174" i="5" a="1"/>
  <c r="J134" i="5" a="1"/>
  <c r="F90" i="5" a="1"/>
  <c r="I112" i="5" a="1"/>
  <c r="L104" i="5" a="1"/>
  <c r="I8" i="5" a="1"/>
  <c r="I163" i="5" a="1"/>
  <c r="H35" i="5" a="1"/>
  <c r="D122" i="5" a="1"/>
  <c r="E114" i="5" a="1"/>
  <c r="F139" i="5" a="1"/>
  <c r="C134" i="5" a="1"/>
  <c r="E90" i="5" a="1"/>
  <c r="D223" i="5" a="1"/>
  <c r="K40" i="5" a="1"/>
  <c r="L35" i="5" a="1"/>
  <c r="F140" i="5" a="1"/>
  <c r="L183" i="5" a="1"/>
  <c r="I187" i="5" a="1"/>
  <c r="J75" i="5" a="1"/>
  <c r="G78" i="5" a="1"/>
  <c r="D53" i="5" a="1"/>
  <c r="H22" i="5" a="1"/>
  <c r="C59" i="5" a="1"/>
  <c r="C142" i="5" a="1"/>
  <c r="J161" i="5" a="1"/>
  <c r="G114" i="5" a="1"/>
  <c r="I7" i="5" a="1"/>
  <c r="G179" i="5" a="1"/>
  <c r="H150" i="5" a="1"/>
  <c r="H102" i="5" a="1"/>
  <c r="J136" i="5" a="1"/>
  <c r="F101" i="5" a="1"/>
  <c r="J91" i="5" a="1"/>
  <c r="E35" i="5" a="1"/>
  <c r="J8" i="5" a="1"/>
  <c r="E183" i="5" a="1"/>
  <c r="I79" i="5" a="1"/>
  <c r="H88" i="5" a="1"/>
  <c r="G112" i="5" a="1"/>
  <c r="K212" i="5" a="1"/>
  <c r="I27" i="5" a="1"/>
  <c r="H143" i="5" a="1"/>
  <c r="L224" i="5" a="1"/>
  <c r="I153" i="5" a="1"/>
  <c r="H168" i="5" a="1"/>
  <c r="J117" i="5" a="1"/>
  <c r="K86" i="5" a="1"/>
  <c r="D4" i="5" a="1"/>
  <c r="G168" i="5" a="1"/>
  <c r="K194" i="5" a="1"/>
  <c r="J30" i="5" a="1"/>
  <c r="I84" i="5" a="1"/>
  <c r="E140" i="5" a="1"/>
  <c r="L173" i="5" a="1"/>
  <c r="H53" i="5" a="1"/>
  <c r="F82" i="5" a="1"/>
  <c r="C37" i="5" a="1"/>
  <c r="H84" i="5" a="1"/>
  <c r="L17" i="5" a="1"/>
  <c r="J113" i="5" a="1"/>
  <c r="E30" i="5" a="1"/>
  <c r="G194" i="5" a="1"/>
  <c r="C52" i="5" a="1"/>
  <c r="C197" i="5" a="1"/>
  <c r="L14" i="5" a="1"/>
  <c r="L195" i="5" a="1"/>
  <c r="D118" i="5" a="1"/>
  <c r="J199" i="5" a="1"/>
  <c r="F189" i="5" a="1"/>
  <c r="G100" i="5" a="1"/>
  <c r="E144" i="5" a="1"/>
  <c r="E66" i="5" a="1"/>
  <c r="L7" i="5" a="1"/>
  <c r="E75" i="5" a="1"/>
  <c r="F153" i="5" a="1"/>
  <c r="F49" i="5" a="1"/>
  <c r="F220" i="5" a="1"/>
  <c r="J209" i="5" a="1"/>
  <c r="J141" i="5" a="1"/>
  <c r="E181" i="5" a="1"/>
  <c r="C170" i="5" a="1"/>
  <c r="H167" i="5" a="1"/>
  <c r="C116" i="5" a="1"/>
  <c r="K89" i="5" a="1"/>
  <c r="G53" i="5" a="1"/>
  <c r="I94" i="5" a="1"/>
  <c r="C17" i="5" a="1"/>
  <c r="E102" i="5" a="1"/>
  <c r="C36" i="5" a="1"/>
  <c r="F106" i="5" a="1"/>
  <c r="H7" i="5" a="1"/>
  <c r="G56" i="5" a="1"/>
  <c r="C119" i="5" a="1"/>
  <c r="I34" i="5" a="1"/>
  <c r="L99" i="5" a="1"/>
  <c r="C55" i="5" a="1"/>
  <c r="C113" i="5" a="1"/>
  <c r="K117" i="5" a="1"/>
  <c r="F32" i="5" a="1"/>
  <c r="D70" i="5" a="1"/>
  <c r="G177" i="5" a="1"/>
  <c r="J193" i="5" a="1"/>
  <c r="C126" i="5" a="1"/>
  <c r="K159" i="5" a="1"/>
  <c r="G98" i="5" a="1"/>
  <c r="J221" i="5" a="1"/>
  <c r="E180" i="5" a="1"/>
  <c r="L47" i="5" a="1"/>
  <c r="L174" i="5" a="1"/>
  <c r="I132" i="5" a="1"/>
  <c r="K29" i="5" a="1"/>
  <c r="G43" i="5" a="1"/>
  <c r="H192" i="5" a="1"/>
  <c r="E101" i="5" a="1"/>
  <c r="C51" i="5" a="1"/>
  <c r="L23" i="5" a="1"/>
  <c r="I123" i="5" a="1"/>
  <c r="H110" i="5" a="1"/>
  <c r="D84" i="5" a="1"/>
  <c r="C8" i="5" a="1"/>
  <c r="G133" i="5" a="1"/>
  <c r="G95" i="5" a="1"/>
  <c r="D56" i="5" a="1"/>
  <c r="E130" i="5" a="1"/>
  <c r="L158" i="5" a="1"/>
  <c r="C111" i="5" a="1"/>
  <c r="J45" i="5" a="1"/>
  <c r="K26" i="5" a="1"/>
  <c r="C110" i="5" a="1"/>
  <c r="I89" i="5" a="1"/>
  <c r="C157" i="5" a="1"/>
  <c r="E197" i="5" a="1"/>
  <c r="G64" i="5" a="1"/>
  <c r="J202" i="5" a="1"/>
  <c r="G224" i="5" a="1"/>
  <c r="L57" i="5" a="1"/>
  <c r="J15" i="5" a="1"/>
  <c r="D75" i="5" a="1"/>
  <c r="D138" i="5" a="1"/>
  <c r="H144" i="5" a="1"/>
  <c r="F135" i="5" a="1"/>
  <c r="J178" i="5" a="1"/>
  <c r="C54" i="5" a="1"/>
  <c r="G21" i="5" a="1"/>
  <c r="L163" i="5" a="1"/>
  <c r="D126" i="5" a="1"/>
  <c r="K70" i="5" a="1"/>
  <c r="D154" i="5" a="1"/>
  <c r="K106" i="5" a="1"/>
  <c r="H77" i="5" a="1"/>
  <c r="D168" i="5" a="1"/>
  <c r="F168" i="5" a="1"/>
  <c r="K218" i="5" a="1"/>
  <c r="I213" i="5" a="1"/>
  <c r="C64" i="5" a="1"/>
  <c r="I4" i="5" a="1"/>
  <c r="H92" i="5" a="1"/>
  <c r="F113" i="5" a="1"/>
  <c r="L143" i="5" a="1"/>
  <c r="H146" i="5" a="1"/>
  <c r="F6" i="5" a="1"/>
  <c r="J122" i="5" a="1"/>
  <c r="K66" i="5" a="1"/>
  <c r="L64" i="5" a="1"/>
  <c r="K199" i="5" a="1"/>
  <c r="L123" i="5" a="1"/>
  <c r="I56" i="5" a="1"/>
  <c r="C133" i="5" a="1"/>
  <c r="L187" i="5" a="1"/>
  <c r="H213" i="5" a="1"/>
  <c r="K115" i="5" a="1"/>
  <c r="C169" i="5" a="1"/>
  <c r="E93" i="5" a="1"/>
  <c r="L133" i="5" a="1"/>
  <c r="C80" i="5" a="1"/>
  <c r="G214" i="5" a="1"/>
  <c r="H155" i="5" a="1"/>
  <c r="D62" i="5" a="1"/>
  <c r="D8" i="5" a="1"/>
  <c r="H2" i="5" a="1"/>
  <c r="J53" i="5" a="1"/>
  <c r="C183" i="5" a="1"/>
  <c r="D200" i="5" a="1"/>
  <c r="K142" i="5" a="1"/>
  <c r="H3" i="5" a="1"/>
  <c r="K17" i="5" a="1"/>
  <c r="H55" i="5" a="1"/>
  <c r="J44" i="5" a="1"/>
  <c r="L120" i="5" a="1"/>
  <c r="D3" i="5" a="1"/>
  <c r="L175" i="5" a="1"/>
  <c r="H62" i="5" a="1"/>
  <c r="L89" i="5" a="1"/>
  <c r="H126" i="5" a="1"/>
  <c r="H10" i="5" a="1"/>
  <c r="H163" i="5" a="1"/>
  <c r="L50" i="5" a="1"/>
  <c r="D10" i="5" a="1"/>
  <c r="G124" i="5" a="1"/>
  <c r="E2" i="5" a="1"/>
  <c r="E190" i="5" a="1"/>
  <c r="K152" i="5" a="1"/>
  <c r="C45" i="5" a="1"/>
  <c r="L179" i="5" a="1"/>
  <c r="F131" i="5" a="1"/>
  <c r="C203" i="5" a="1"/>
  <c r="K165" i="5" a="1"/>
  <c r="E221" i="5" a="1"/>
  <c r="K68" i="5" a="1"/>
  <c r="K144" i="5" a="1"/>
  <c r="C200" i="5" a="1"/>
  <c r="C114" i="5" a="1"/>
  <c r="G119" i="5" a="1"/>
  <c r="D24" i="5" a="1"/>
  <c r="I22" i="5" a="1"/>
  <c r="C97" i="5" a="1"/>
  <c r="I6" i="5" a="1"/>
  <c r="H44" i="5" a="1"/>
  <c r="G41" i="5" a="1"/>
  <c r="D219" i="5" a="1"/>
  <c r="C72" i="5" a="1"/>
  <c r="I40" i="5" a="1"/>
  <c r="E29" i="5" a="1"/>
  <c r="L151" i="5" a="1"/>
  <c r="E65" i="5" a="1"/>
  <c r="H89" i="5" a="1"/>
  <c r="L211" i="5" a="1"/>
  <c r="I137" i="5" a="1"/>
  <c r="L161" i="5" a="1"/>
  <c r="J35" i="5" a="1"/>
  <c r="J38" i="5" a="1"/>
  <c r="C49" i="5" a="1"/>
  <c r="E193" i="5" a="1"/>
  <c r="E134" i="5" a="1"/>
  <c r="K203" i="5" a="1"/>
  <c r="G185" i="5" a="1"/>
  <c r="F85" i="5" a="1"/>
  <c r="H208" i="5" a="1"/>
  <c r="I44" i="5" a="1"/>
  <c r="F91" i="5" a="1"/>
  <c r="J11" i="5" a="1"/>
  <c r="H193" i="5" a="1"/>
  <c r="K81" i="5" a="1"/>
  <c r="H107" i="5" a="1"/>
  <c r="G211" i="5" a="1"/>
  <c r="K185" i="5" a="1"/>
  <c r="I92" i="5" a="1"/>
  <c r="F117" i="5" a="1"/>
  <c r="I83" i="5" a="1"/>
  <c r="H40" i="5" a="1"/>
  <c r="H170" i="5" a="1"/>
  <c r="F73" i="5" a="1"/>
  <c r="E220" i="5" a="1"/>
  <c r="I149" i="5" a="1"/>
  <c r="J76" i="5" a="1"/>
  <c r="J4" i="5" a="1"/>
  <c r="C61" i="5" a="1"/>
  <c r="H82" i="5" a="1"/>
  <c r="J153" i="5" a="1"/>
  <c r="F130" i="5" a="1"/>
  <c r="C181" i="5" a="1"/>
  <c r="G91" i="5" a="1"/>
  <c r="F31" i="5" a="1"/>
  <c r="I37" i="5" a="1"/>
  <c r="J116" i="5" a="1"/>
  <c r="E178" i="5" a="1"/>
  <c r="J206" i="5" a="1"/>
  <c r="E149" i="5" a="1"/>
  <c r="E20" i="5" a="1"/>
  <c r="I185" i="5" a="1"/>
  <c r="J31" i="5" a="1"/>
  <c r="I197" i="5" a="1"/>
  <c r="H18" i="5" a="1"/>
  <c r="L74" i="5" a="1"/>
  <c r="C141" i="5" a="1"/>
  <c r="L197" i="5" a="1"/>
  <c r="E204" i="5" a="1"/>
  <c r="E198" i="5" a="1"/>
  <c r="E87" i="5" a="1"/>
  <c r="I41" i="5" a="1"/>
  <c r="H151" i="5" a="1"/>
  <c r="J106" i="5" a="1"/>
  <c r="F134" i="5" a="1"/>
  <c r="D104" i="5" a="1"/>
  <c r="G131" i="5" a="1"/>
  <c r="C70" i="5" a="1"/>
  <c r="C151" i="5" a="1"/>
  <c r="K114" i="5" a="1"/>
  <c r="F74" i="5" a="1"/>
  <c r="E211" i="5" a="1"/>
  <c r="G9" i="5" a="1"/>
  <c r="K108" i="5" a="1"/>
  <c r="J139" i="5" a="1"/>
  <c r="K28" i="5" a="1"/>
  <c r="L111" i="5" a="1"/>
  <c r="J108" i="5" a="1"/>
  <c r="F184" i="5" a="1"/>
  <c r="C7" i="5" a="1"/>
  <c r="G172" i="5" a="1"/>
  <c r="I145" i="5" a="1"/>
  <c r="K208" i="5" a="1"/>
  <c r="G103" i="5" a="1"/>
  <c r="D65" i="5" a="1"/>
  <c r="D175" i="5" a="1"/>
  <c r="G33" i="5" a="1"/>
  <c r="D32" i="5" a="1"/>
  <c r="H26" i="5" a="1"/>
  <c r="J64" i="5" a="1"/>
  <c r="J107" i="5" a="1"/>
  <c r="F181" i="5" a="1"/>
  <c r="C140" i="5" a="1"/>
  <c r="I67" i="5" a="1"/>
  <c r="E206" i="5" a="1"/>
  <c r="G180" i="5" a="1"/>
  <c r="E117" i="5" a="1"/>
  <c r="G204" i="5" a="1"/>
  <c r="C67" i="5" a="1"/>
  <c r="K155" i="5" a="1"/>
  <c r="J159" i="5" a="1"/>
  <c r="L180" i="5" a="1"/>
  <c r="G138" i="5" a="1"/>
  <c r="J93" i="5" a="1"/>
  <c r="C71" i="5" a="1"/>
  <c r="L67" i="5" a="1"/>
  <c r="K221" i="5" a="1"/>
  <c r="J189" i="5" a="1"/>
  <c r="E145" i="5" a="1"/>
  <c r="C145" i="5" a="1"/>
  <c r="D77" i="5" a="1"/>
  <c r="K222" i="5" a="1"/>
  <c r="K101" i="5" a="1"/>
  <c r="F202" i="5" a="1"/>
  <c r="L80" i="5" a="1"/>
  <c r="J112" i="5" a="1"/>
  <c r="E106" i="5" a="1"/>
  <c r="C121" i="5" a="1"/>
  <c r="D188" i="5" a="1"/>
  <c r="G31" i="5" a="1"/>
  <c r="F13" i="5" a="1"/>
  <c r="G51" i="5" a="1"/>
  <c r="G73" i="5" a="1"/>
  <c r="J210" i="5" a="1"/>
  <c r="C53" i="5" a="1"/>
  <c r="F118" i="5" a="1"/>
  <c r="I146" i="5" a="1"/>
  <c r="K145" i="5" a="1"/>
  <c r="K113" i="5" a="1"/>
  <c r="C78" i="5" a="1"/>
  <c r="E124" i="5" a="1"/>
  <c r="J6" i="5" a="1"/>
  <c r="F159" i="5" a="1"/>
  <c r="J68" i="5" a="1"/>
  <c r="L39" i="5" a="1"/>
  <c r="E215" i="5" a="1"/>
  <c r="E192" i="5" a="1"/>
  <c r="J163" i="5" a="1"/>
  <c r="J81" i="5" a="1"/>
  <c r="G12" i="5" a="1"/>
  <c r="D107" i="5" a="1"/>
  <c r="F186" i="5" a="1"/>
  <c r="F68" i="5" a="1"/>
  <c r="C115" i="5" a="1"/>
  <c r="G136" i="5" a="1"/>
  <c r="D110" i="5" a="1"/>
  <c r="C29" i="5" a="1"/>
  <c r="L216" i="5" a="1"/>
  <c r="L71" i="5" a="1"/>
  <c r="D87" i="5" a="1"/>
  <c r="L16" i="5" a="1"/>
  <c r="G92" i="5" a="1"/>
  <c r="C196" i="5" a="1"/>
  <c r="E156" i="5" a="1"/>
  <c r="H159" i="5" a="1"/>
  <c r="F66" i="5" a="1"/>
  <c r="C62" i="5" a="1"/>
  <c r="J191" i="5" a="1"/>
  <c r="K217" i="5" a="1"/>
  <c r="F172" i="5" a="1"/>
  <c r="K187" i="5" a="1"/>
  <c r="G127" i="5" a="1"/>
  <c r="C98" i="5" a="1"/>
  <c r="D22" i="5" a="1"/>
  <c r="H59" i="5" a="1"/>
  <c r="F170" i="5" a="1"/>
  <c r="D212" i="5" a="1"/>
  <c r="H138" i="5" a="1"/>
  <c r="J42" i="5" a="1"/>
  <c r="L100" i="5" a="1"/>
  <c r="G59" i="5" a="1"/>
  <c r="C146" i="5" a="1"/>
  <c r="J57" i="5" a="1"/>
  <c r="K177" i="5" a="1"/>
  <c r="F18" i="5" a="1"/>
  <c r="H142" i="5" a="1"/>
  <c r="E152" i="5" a="1"/>
  <c r="D146" i="5" a="1"/>
  <c r="G11" i="5" a="1"/>
  <c r="F59" i="5" a="1"/>
  <c r="F80" i="5" a="1"/>
  <c r="I121" i="5" a="1"/>
  <c r="H60" i="5" a="1"/>
  <c r="C179" i="5" a="1"/>
  <c r="F158" i="5" a="1"/>
  <c r="E74" i="5" a="1"/>
  <c r="C28" i="5" a="1"/>
  <c r="E51" i="5" a="1"/>
  <c r="L115" i="5" a="1"/>
  <c r="C224" i="5" a="1"/>
  <c r="J3" i="5" a="1"/>
  <c r="I18" i="5" a="1"/>
  <c r="L144" i="5" a="1"/>
  <c r="K43" i="5" a="1"/>
  <c r="K191" i="5" a="1"/>
  <c r="L220" i="5" a="1"/>
  <c r="L8" i="5" a="1"/>
  <c r="C164" i="5" a="1"/>
  <c r="K122" i="5" a="1"/>
  <c r="C96" i="5" a="1"/>
  <c r="H145" i="5" a="1"/>
  <c r="J69" i="5" a="1"/>
  <c r="L110" i="5" a="1"/>
  <c r="C178" i="5" a="1"/>
  <c r="C65" i="5" a="1"/>
  <c r="K173" i="5" a="1"/>
  <c r="J55" i="5" a="1"/>
  <c r="I130" i="5" a="1"/>
  <c r="L77" i="5" a="1"/>
  <c r="H14" i="5" a="1"/>
  <c r="F143" i="5" a="1"/>
  <c r="F45" i="5" a="1"/>
  <c r="L41" i="5" a="1"/>
  <c r="K31" i="5" a="1"/>
  <c r="L3" i="5" a="1"/>
  <c r="H156" i="5" a="1"/>
  <c r="F166" i="5" a="1"/>
  <c r="I165" i="5" a="1"/>
  <c r="C38" i="5" a="1"/>
  <c r="K105" i="5" a="1"/>
  <c r="H95" i="5" a="1"/>
  <c r="E138" i="5" a="1"/>
  <c r="C89" i="5" a="1"/>
  <c r="F34" i="5" a="1"/>
  <c r="F70" i="5" a="1"/>
  <c r="F37" i="5" a="1"/>
  <c r="H24" i="5" a="1"/>
  <c r="C156" i="5" a="1"/>
  <c r="H30" i="5" a="1"/>
  <c r="F83" i="5" a="1"/>
  <c r="D26" i="5" a="1"/>
  <c r="C11" i="5" a="1"/>
  <c r="E142" i="5" a="1"/>
  <c r="D55" i="5" a="1"/>
  <c r="F81" i="5" a="1"/>
  <c r="F176" i="5" a="1"/>
  <c r="C66" i="5" a="1"/>
  <c r="F30" i="5" a="1"/>
  <c r="E60" i="5" a="1"/>
  <c r="C130" i="5" a="1"/>
  <c r="H90" i="5" a="1"/>
  <c r="L96" i="5" a="1"/>
  <c r="D103" i="5" a="1"/>
  <c r="J179" i="5" a="1"/>
  <c r="H70" i="5" a="1"/>
  <c r="K184" i="5" a="1"/>
  <c r="D47" i="5" a="1"/>
  <c r="K3" i="5" a="1"/>
  <c r="G71" i="5" a="1"/>
  <c r="E47" i="5" a="1"/>
  <c r="C167" i="5" a="1"/>
  <c r="F53" i="5" a="1"/>
  <c r="K44" i="5" a="1"/>
  <c r="D89" i="5" a="1"/>
  <c r="G24" i="5" a="1"/>
  <c r="H140" i="5" a="1"/>
  <c r="AM225" i="5"/>
  <c r="E157" i="5" a="1"/>
  <c r="G93" i="5" a="1"/>
  <c r="E170" i="5" a="1"/>
  <c r="I180" i="5" a="1"/>
  <c r="H205" i="5" a="1"/>
  <c r="L103" i="5" a="1"/>
  <c r="C177" i="5" a="1"/>
  <c r="H99" i="5" a="1"/>
  <c r="H39" i="5" a="1"/>
  <c r="I171" i="5" a="1"/>
  <c r="F40" i="5" a="1"/>
  <c r="G125" i="5" a="1"/>
  <c r="E108" i="5" a="1"/>
  <c r="H100" i="5" a="1"/>
  <c r="F51" i="5" a="1"/>
  <c r="L42" i="5" a="1"/>
  <c r="C3" i="5" a="1"/>
  <c r="D42" i="5" a="1"/>
  <c r="K157" i="5" a="1"/>
  <c r="F152" i="5" a="1"/>
  <c r="I205" i="5" a="1"/>
  <c r="E184" i="5" a="1"/>
  <c r="E105" i="5" a="1"/>
  <c r="J95" i="5" a="1"/>
  <c r="G20" i="5" a="1"/>
  <c r="L6" i="5" a="1"/>
  <c r="H19" i="5" a="1"/>
  <c r="H73" i="5" a="1"/>
  <c r="G47" i="5" a="1"/>
  <c r="L169" i="5" a="1"/>
  <c r="I168" i="5" a="1"/>
  <c r="F164" i="5" a="1"/>
  <c r="J149" i="5" a="1"/>
  <c r="C68" i="5" a="1"/>
  <c r="D144" i="5" a="1"/>
  <c r="C138" i="5" a="1"/>
  <c r="C93" i="5" a="1"/>
  <c r="H123" i="5" a="1"/>
  <c r="D52" i="5" a="1"/>
  <c r="C137" i="5" a="1"/>
  <c r="E43" i="5" a="1"/>
  <c r="F76" i="5" a="1"/>
  <c r="H78" i="5" a="1"/>
  <c r="F129" i="5" a="1"/>
  <c r="G72" i="5" a="1"/>
  <c r="L198" i="5" a="1"/>
  <c r="E201" i="5" a="1"/>
  <c r="I216" i="5" a="1"/>
  <c r="F133" i="5" a="1"/>
  <c r="H54" i="5" a="1"/>
  <c r="K153" i="5" a="1"/>
  <c r="C221" i="5" a="1"/>
  <c r="H180" i="5" a="1"/>
  <c r="L21" i="5" a="1"/>
  <c r="D166" i="5" a="1"/>
  <c r="J154" i="5" a="1"/>
  <c r="J185" i="5" a="1"/>
  <c r="F119" i="5" a="1"/>
  <c r="I115" i="5" a="1"/>
  <c r="D207" i="5" a="1"/>
  <c r="I172" i="5" a="1"/>
  <c r="I5" i="5" a="1"/>
  <c r="D128" i="5" a="1"/>
  <c r="K54" i="5" a="1"/>
  <c r="J167" i="5" a="1"/>
  <c r="J211" i="5" a="1"/>
  <c r="I74" i="5" a="1"/>
  <c r="C31" i="5" a="1"/>
  <c r="J177" i="5" a="1"/>
  <c r="I198" i="5" a="1"/>
  <c r="J132" i="5" a="1"/>
  <c r="E139" i="5" a="1"/>
  <c r="L201" i="5" a="1"/>
  <c r="L199" i="5" a="1"/>
  <c r="K82" i="5" a="1"/>
  <c r="C150" i="5" a="1"/>
  <c r="C194" i="5" a="1"/>
  <c r="H11" i="5" a="1"/>
  <c r="F169" i="5" a="1"/>
  <c r="E132" i="5" a="1"/>
  <c r="G26" i="5" a="1"/>
  <c r="G57" i="5" a="1"/>
  <c r="H189" i="5" a="1"/>
  <c r="I15" i="5" a="1"/>
  <c r="K132" i="5" a="1"/>
  <c r="L171" i="5" a="1"/>
  <c r="I188" i="5" a="1"/>
  <c r="H37" i="5" a="1"/>
  <c r="L98" i="5" a="1"/>
  <c r="F115" i="5" a="1"/>
  <c r="I10" i="5" a="1"/>
  <c r="D88" i="5" a="1"/>
  <c r="F161" i="5" a="1"/>
  <c r="F11" i="5" a="1"/>
  <c r="G77" i="5" a="1"/>
  <c r="I23" i="5" a="1"/>
  <c r="G16" i="5" a="1"/>
  <c r="F8" i="5" a="1"/>
  <c r="L32" i="5" a="1"/>
  <c r="J220" i="5" a="1"/>
  <c r="C186" i="5" a="1"/>
  <c r="I170" i="5" a="1"/>
  <c r="G111" i="5" a="1"/>
  <c r="K4" i="5" a="1"/>
  <c r="E28" i="5" a="1"/>
  <c r="I63" i="5" a="1"/>
  <c r="K193" i="5" a="1"/>
  <c r="I212" i="5" a="1"/>
  <c r="I134" i="5" a="1"/>
  <c r="H4" i="5" a="1"/>
  <c r="K22" i="5" a="1"/>
  <c r="G135" i="5" a="1"/>
  <c r="F94" i="5" a="1"/>
  <c r="C73" i="5" a="1"/>
  <c r="E162" i="5" a="1"/>
  <c r="I81" i="5" a="1"/>
  <c r="H63" i="5" a="1"/>
  <c r="H47" i="5" a="1"/>
  <c r="G122" i="5" a="1"/>
  <c r="C160" i="5" a="1"/>
  <c r="C18" i="5" a="1"/>
  <c r="C158" i="5" a="1"/>
  <c r="K10" i="5" a="1"/>
  <c r="D91" i="5" a="1"/>
  <c r="D67" i="5" a="1"/>
  <c r="L54" i="5" a="1"/>
  <c r="L112" i="5" a="1"/>
  <c r="E38" i="5" a="1"/>
  <c r="E36" i="5" a="1"/>
  <c r="H108" i="5" a="1"/>
  <c r="I221" i="5" a="1"/>
  <c r="K182" i="5" a="1"/>
  <c r="I97" i="5" a="1"/>
  <c r="K51" i="5" a="1"/>
  <c r="F205" i="5" a="1"/>
  <c r="L147" i="5" a="1"/>
  <c r="J214" i="5" a="1"/>
  <c r="C90" i="5" a="1"/>
  <c r="I199" i="5" a="1"/>
  <c r="K190" i="5" a="1"/>
  <c r="C144" i="5" a="1"/>
  <c r="K219" i="5" a="1"/>
  <c r="H67" i="5" a="1"/>
  <c r="C131" i="5" a="1"/>
  <c r="E210" i="5" a="1"/>
  <c r="L166" i="5" a="1"/>
  <c r="I104" i="5" a="1"/>
  <c r="J94" i="5" a="1"/>
  <c r="F65" i="5" a="1"/>
  <c r="D214" i="5" a="1"/>
  <c r="C74" i="5" a="1"/>
  <c r="D196" i="5" a="1"/>
  <c r="E171" i="5" a="1"/>
  <c r="F16" i="5" a="1"/>
  <c r="K123" i="5" a="1"/>
  <c r="I141" i="5" a="1"/>
  <c r="J158" i="5" a="1"/>
  <c r="K210" i="5" a="1"/>
  <c r="J162" i="5" a="1"/>
  <c r="L113" i="5" a="1"/>
  <c r="I16" i="5" a="1"/>
  <c r="G66" i="5" a="1"/>
  <c r="K134" i="5" a="1"/>
  <c r="I192" i="5" a="1"/>
  <c r="H160" i="5" a="1"/>
  <c r="F199" i="5" a="1"/>
  <c r="F173" i="5" a="1"/>
  <c r="K149" i="5" a="1"/>
  <c r="E7" i="5" a="1"/>
  <c r="E40" i="5" a="1"/>
  <c r="I3" i="5" a="1"/>
  <c r="E54" i="5" a="1"/>
  <c r="K204" i="5" a="1"/>
  <c r="F218" i="5" a="1"/>
  <c r="C92" i="5" a="1"/>
  <c r="I176" i="5" a="1"/>
  <c r="H115" i="5" a="1"/>
  <c r="C207" i="5" a="1"/>
  <c r="J152" i="5" a="1"/>
  <c r="K147" i="5" a="1"/>
  <c r="J32" i="5" a="1"/>
  <c r="H51" i="5" a="1"/>
  <c r="E78" i="5" a="1"/>
  <c r="E62" i="5" a="1"/>
  <c r="J33" i="5" a="1"/>
  <c r="E79" i="5" a="1"/>
  <c r="D177" i="5" a="1"/>
  <c r="E99" i="5" a="1"/>
  <c r="D39" i="5" a="1"/>
  <c r="I142" i="5" a="1"/>
  <c r="F2" i="5" a="1"/>
  <c r="F157" i="5" a="1"/>
  <c r="K176" i="5" a="1"/>
  <c r="D205" i="5" a="1"/>
  <c r="K6" i="5" a="1"/>
  <c r="D114" i="5" a="1"/>
  <c r="H139" i="5" a="1"/>
  <c r="H174" i="5" a="1"/>
  <c r="E209" i="5" a="1"/>
  <c r="E16" i="5" a="1"/>
  <c r="G196" i="5" a="1"/>
  <c r="J150" i="5" a="1"/>
  <c r="I217" i="5" a="1"/>
  <c r="C159" i="5" a="1"/>
  <c r="E223" i="5" a="1"/>
  <c r="C6" i="5" a="1"/>
  <c r="F165" i="5" a="1"/>
  <c r="J128" i="5" a="1"/>
  <c r="G169" i="5" a="1"/>
  <c r="D145" i="5" a="1"/>
  <c r="G97" i="5" a="1"/>
  <c r="C155" i="5" a="1"/>
  <c r="I179" i="5" a="1"/>
  <c r="H202" i="5" a="1"/>
  <c r="E50" i="5" a="1"/>
  <c r="H135" i="5" a="1"/>
  <c r="H209" i="5" a="1"/>
  <c r="F41" i="5" a="1"/>
  <c r="L136" i="5" a="1"/>
  <c r="G121" i="5" a="1"/>
  <c r="I209" i="5" a="1"/>
  <c r="K178" i="5" a="1"/>
  <c r="I68" i="5" a="1"/>
  <c r="D115" i="5" a="1"/>
  <c r="F190" i="5" a="1"/>
  <c r="L101" i="5" a="1"/>
  <c r="J213" i="5" a="1"/>
  <c r="F58" i="5" a="1"/>
  <c r="K12" i="5" a="1"/>
  <c r="L145" i="5" a="1"/>
  <c r="I58" i="5" a="1"/>
  <c r="C128" i="5" a="1"/>
  <c r="C32" i="5" a="1"/>
  <c r="L107" i="5" a="1"/>
  <c r="I85" i="5" a="1"/>
  <c r="K11" i="5" a="1"/>
  <c r="K92" i="5" a="1"/>
  <c r="E18" i="5" a="1"/>
  <c r="D183" i="5" a="1"/>
  <c r="E174" i="5" a="1"/>
  <c r="I49" i="5" a="1"/>
  <c r="J97" i="5" a="1"/>
  <c r="L109" i="5" a="1"/>
  <c r="L125" i="5" a="1"/>
  <c r="F54" i="5" a="1"/>
  <c r="D137" i="5" a="1"/>
  <c r="G142" i="5" a="1"/>
  <c r="I174" i="5" a="1"/>
  <c r="D28" i="5" a="1"/>
  <c r="I32" i="5" a="1"/>
  <c r="I152" i="5" a="1"/>
  <c r="G134" i="5" a="1"/>
  <c r="D147" i="5" a="1"/>
  <c r="E110" i="5" a="1"/>
  <c r="F44" i="5" a="1"/>
  <c r="K73" i="5" a="1"/>
  <c r="D43" i="5" a="1"/>
  <c r="L44" i="5" a="1"/>
  <c r="E136" i="5" a="1"/>
  <c r="I106" i="5" a="1"/>
  <c r="H112" i="5" a="1"/>
  <c r="J61" i="5" a="1"/>
  <c r="G15" i="5" a="1"/>
  <c r="H66" i="5" a="1"/>
  <c r="F192" i="5" a="1"/>
  <c r="I66" i="5" a="1"/>
  <c r="H122" i="5" a="1"/>
  <c r="I55" i="5" a="1"/>
  <c r="E100" i="5" a="1"/>
  <c r="C189" i="5" a="1"/>
  <c r="D198" i="5" a="1"/>
  <c r="E84" i="5" a="1"/>
  <c r="H111" i="5" a="1"/>
  <c r="D37" i="5" a="1"/>
  <c r="D123" i="5" a="1"/>
  <c r="F60" i="5" a="1"/>
  <c r="C220" i="5" a="1"/>
  <c r="C153" i="5" a="1"/>
  <c r="L212" i="5" a="1"/>
  <c r="H76" i="5" a="1"/>
  <c r="G161" i="5" a="1"/>
  <c r="L121" i="5" a="1"/>
  <c r="J18" i="5" a="1"/>
  <c r="I43" i="5" a="1"/>
  <c r="J146" i="5" a="1"/>
  <c r="D93" i="5" a="1"/>
  <c r="G195" i="5" a="1"/>
  <c r="G146" i="5" a="1"/>
  <c r="L34" i="5" a="1"/>
  <c r="L156" i="5" a="1"/>
  <c r="D36" i="5" a="1"/>
  <c r="K45" i="5" a="1"/>
  <c r="H164" i="5" a="1"/>
  <c r="F156" i="5" a="1"/>
  <c r="G62" i="5" a="1"/>
  <c r="C44" i="5" a="1"/>
  <c r="F3" i="5" a="1"/>
  <c r="F197" i="5" a="1"/>
  <c r="D161" i="5" a="1"/>
  <c r="D94" i="5" a="1"/>
  <c r="F212" i="5" a="1"/>
  <c r="I78" i="5" a="1"/>
  <c r="J144" i="5" a="1"/>
  <c r="I218" i="5" a="1"/>
  <c r="J77" i="5" a="1"/>
  <c r="D83" i="5" a="1"/>
  <c r="C39" i="5" a="1"/>
  <c r="E166" i="5" a="1"/>
  <c r="K27" i="5" a="1"/>
  <c r="F222" i="5" a="1"/>
  <c r="H127" i="5" a="1"/>
  <c r="F215" i="5" a="1"/>
  <c r="L135" i="5" a="1"/>
  <c r="L36" i="5" a="1"/>
  <c r="G60" i="5" a="1"/>
  <c r="H165" i="5" a="1"/>
  <c r="F23" i="5" a="1"/>
  <c r="H36" i="5" a="1"/>
  <c r="J56" i="5" a="1"/>
  <c r="L18" i="5" a="1"/>
  <c r="F7" i="5" a="1"/>
  <c r="L141" i="5" a="1"/>
  <c r="K53" i="5" a="1"/>
  <c r="C94" i="5" a="1"/>
  <c r="L12" i="5" a="1"/>
  <c r="L28" i="5" a="1"/>
  <c r="G67" i="5" a="1"/>
  <c r="K88" i="5" a="1"/>
  <c r="K195" i="5" a="1"/>
  <c r="L208" i="5" a="1"/>
  <c r="F174" i="5" a="1"/>
  <c r="D185" i="5" a="1"/>
  <c r="I20" i="5" a="1"/>
  <c r="J204" i="5" a="1"/>
  <c r="L184" i="5" a="1"/>
  <c r="I203" i="5" a="1"/>
  <c r="J174" i="5" a="1"/>
  <c r="D211" i="5" a="1"/>
  <c r="I127" i="5" a="1"/>
  <c r="D109" i="5" a="1"/>
  <c r="H23" i="5" a="1"/>
  <c r="J183" i="5" a="1"/>
  <c r="F203" i="5" a="1"/>
  <c r="J39" i="5" a="1"/>
  <c r="G118" i="5" a="1"/>
  <c r="J71" i="5" a="1"/>
  <c r="H216" i="5" a="1"/>
  <c r="H162" i="5" a="1"/>
  <c r="E176" i="5" a="1"/>
  <c r="K48" i="5" a="1"/>
  <c r="J121" i="5" a="1"/>
  <c r="F145" i="5" a="1"/>
  <c r="H57" i="5" a="1"/>
  <c r="H148" i="5" a="1"/>
  <c r="E73" i="5" a="1"/>
  <c r="G206" i="5" a="1"/>
  <c r="C21" i="5" a="1"/>
  <c r="E189" i="5" a="1"/>
  <c r="AT225" i="5"/>
  <c r="C88" i="5" a="1"/>
  <c r="K160" i="5" a="1"/>
  <c r="I86" i="5" a="1"/>
  <c r="I2" i="5" a="1"/>
  <c r="E31" i="5" a="1"/>
  <c r="F147" i="5" a="1"/>
  <c r="H64" i="5" a="1"/>
  <c r="H161" i="5" a="1"/>
  <c r="I118" i="5" a="1"/>
  <c r="J182" i="5" a="1"/>
  <c r="L5" i="5" a="1"/>
  <c r="F62" i="5" a="1"/>
  <c r="F87" i="5" a="1"/>
  <c r="L170" i="5" a="1"/>
  <c r="G213" i="5" a="1"/>
  <c r="K136" i="5" a="1"/>
  <c r="D73" i="5" a="1"/>
  <c r="K148" i="5" a="1"/>
  <c r="G3" i="5" a="1"/>
  <c r="L19" i="5" a="1"/>
  <c r="J37" i="5" a="1"/>
  <c r="G42" i="5" a="1"/>
  <c r="L159" i="5" a="1"/>
  <c r="C173" i="5" a="1"/>
  <c r="L88" i="5" a="1"/>
  <c r="C198" i="5" a="1"/>
  <c r="K9" i="5" a="1"/>
  <c r="J166" i="5" a="1"/>
  <c r="E27" i="5" a="1"/>
  <c r="K129" i="5" a="1"/>
  <c r="I12" i="5" a="1"/>
  <c r="E81" i="5" a="1"/>
  <c r="G81" i="5" a="1"/>
  <c r="K162" i="5" a="1"/>
  <c r="L122" i="5" a="1"/>
  <c r="C135" i="5" a="1"/>
  <c r="F109" i="5" a="1"/>
  <c r="I160" i="5" a="1"/>
  <c r="J197" i="5" a="1"/>
  <c r="H222" i="5" a="1"/>
  <c r="D33" i="5" a="1"/>
  <c r="G216" i="5" a="1"/>
  <c r="G75" i="5" a="1"/>
  <c r="E97" i="5" a="1"/>
  <c r="C84" i="5" a="1"/>
  <c r="I157" i="5" a="1"/>
  <c r="C149" i="5" a="1"/>
  <c r="D72" i="5" a="1"/>
  <c r="L26" i="5" a="1"/>
  <c r="F39" i="5" a="1"/>
  <c r="G4" i="5" a="1"/>
  <c r="E9" i="5" a="1"/>
  <c r="L206" i="5" a="1"/>
  <c r="G178" i="5" a="1"/>
  <c r="J186" i="5" a="1"/>
  <c r="J181" i="5" a="1"/>
  <c r="K126" i="5" a="1"/>
  <c r="I110" i="5" a="1"/>
  <c r="E172" i="5" a="1"/>
  <c r="I9" i="5" a="1"/>
  <c r="I45" i="5" a="1"/>
  <c r="H158" i="5" a="1"/>
  <c r="C48" i="5" a="1"/>
  <c r="I119" i="5" a="1"/>
  <c r="J48" i="5" a="1"/>
  <c r="L37" i="5" a="1"/>
  <c r="D136" i="5" a="1"/>
  <c r="H199" i="5" a="1"/>
  <c r="I181" i="5" a="1"/>
  <c r="H173" i="5" a="1"/>
  <c r="H136" i="5" a="1"/>
  <c r="C174" i="5" a="1"/>
  <c r="K36" i="5" a="1"/>
  <c r="E41" i="5" a="1"/>
  <c r="G137" i="5" a="1"/>
  <c r="L66" i="5" a="1"/>
  <c r="D79" i="5" a="1"/>
  <c r="F138" i="5" a="1"/>
  <c r="C118" i="5" a="1"/>
  <c r="C176" i="5" a="1"/>
  <c r="E175" i="5" a="1"/>
  <c r="L56" i="5" a="1"/>
  <c r="J51" i="5" a="1"/>
  <c r="C106" i="5" a="1"/>
  <c r="K109" i="5" a="1"/>
  <c r="H93" i="5" a="1"/>
  <c r="H109" i="5" a="1"/>
  <c r="G209" i="5" a="1"/>
  <c r="K220" i="5" a="1"/>
  <c r="L73" i="5" a="1"/>
  <c r="H81" i="5" a="1"/>
  <c r="H68" i="5" a="1"/>
  <c r="F5" i="5" a="1"/>
  <c r="I158" i="5" a="1"/>
  <c r="F38" i="5" a="1"/>
  <c r="K99" i="5" a="1"/>
  <c r="K59" i="5" a="1"/>
  <c r="G208" i="5" a="1"/>
  <c r="G28" i="5" a="1"/>
  <c r="F19" i="5" a="1"/>
  <c r="L15" i="5" a="1"/>
  <c r="D189" i="5" a="1"/>
  <c r="E159" i="5" a="1"/>
  <c r="L157" i="5" a="1"/>
  <c r="J171" i="5" a="1"/>
  <c r="L108" i="5" a="1"/>
  <c r="G205" i="5" a="1"/>
  <c r="F24" i="5" a="1"/>
  <c r="L85" i="5" a="1"/>
  <c r="D148" i="5" a="1"/>
  <c r="I162" i="5" a="1"/>
  <c r="F14" i="5" a="1"/>
  <c r="E10" i="5" a="1"/>
  <c r="G19" i="5" a="1"/>
  <c r="J201" i="5" a="1"/>
  <c r="I183" i="5" a="1"/>
  <c r="E55" i="5" a="1"/>
  <c r="K77" i="5" a="1"/>
  <c r="K77" i="5" l="1"/>
  <c r="E55" i="5"/>
  <c r="I183" i="5"/>
  <c r="W183" i="5" s="1"/>
  <c r="J201" i="5"/>
  <c r="G19" i="5"/>
  <c r="E10" i="5"/>
  <c r="F14" i="5"/>
  <c r="I162" i="5"/>
  <c r="D148" i="5"/>
  <c r="L85" i="5"/>
  <c r="F24" i="5"/>
  <c r="G205" i="5"/>
  <c r="L108" i="5"/>
  <c r="J171" i="5"/>
  <c r="L157" i="5"/>
  <c r="E159" i="5"/>
  <c r="D189" i="5"/>
  <c r="L15" i="5"/>
  <c r="F19" i="5"/>
  <c r="G28" i="5"/>
  <c r="G208" i="5"/>
  <c r="AZ208" i="5" s="1"/>
  <c r="K59" i="5"/>
  <c r="K99" i="5"/>
  <c r="AL99" i="5" s="1"/>
  <c r="F38" i="5"/>
  <c r="AZ38" i="5" s="1"/>
  <c r="I158" i="5"/>
  <c r="F5" i="5"/>
  <c r="H68" i="5"/>
  <c r="H81" i="5"/>
  <c r="L73" i="5"/>
  <c r="K220" i="5"/>
  <c r="U220" i="5" s="1"/>
  <c r="G209" i="5"/>
  <c r="H109" i="5"/>
  <c r="H93" i="5"/>
  <c r="K109" i="5"/>
  <c r="U109" i="5" s="1"/>
  <c r="C106" i="5"/>
  <c r="BL106" i="5" s="1"/>
  <c r="BN106" i="5" s="1"/>
  <c r="J51" i="5"/>
  <c r="AL51" i="5" s="1"/>
  <c r="L56" i="5"/>
  <c r="E175" i="5"/>
  <c r="C176" i="5"/>
  <c r="BL176" i="5" s="1"/>
  <c r="BN176" i="5" s="1"/>
  <c r="C118" i="5"/>
  <c r="BL118" i="5" s="1"/>
  <c r="BN118" i="5" s="1"/>
  <c r="F138" i="5"/>
  <c r="D79" i="5"/>
  <c r="L66" i="5"/>
  <c r="AB66" i="5" s="1"/>
  <c r="AO66" i="5" s="1"/>
  <c r="AR66" i="5" s="1"/>
  <c r="G137" i="5"/>
  <c r="E41" i="5"/>
  <c r="K36" i="5"/>
  <c r="U36" i="5" s="1"/>
  <c r="C174" i="5"/>
  <c r="BL174" i="5" s="1"/>
  <c r="BN174" i="5" s="1"/>
  <c r="H136" i="5"/>
  <c r="H173" i="5"/>
  <c r="I181" i="5"/>
  <c r="H199" i="5"/>
  <c r="D136" i="5"/>
  <c r="L37" i="5"/>
  <c r="J48" i="5"/>
  <c r="I119" i="5"/>
  <c r="C48" i="5"/>
  <c r="BL48" i="5" s="1"/>
  <c r="BP48" i="5" s="1"/>
  <c r="H158" i="5"/>
  <c r="I45" i="5"/>
  <c r="I9" i="5"/>
  <c r="W9" i="5" s="1"/>
  <c r="E172" i="5"/>
  <c r="Z172" i="5" s="1"/>
  <c r="AA172" i="5" s="1"/>
  <c r="I110" i="5"/>
  <c r="W110" i="5" s="1"/>
  <c r="K126" i="5"/>
  <c r="J181" i="5"/>
  <c r="J186" i="5"/>
  <c r="G178" i="5"/>
  <c r="L206" i="5"/>
  <c r="E9" i="5"/>
  <c r="G4" i="5"/>
  <c r="F39" i="5"/>
  <c r="AZ39" i="5" s="1"/>
  <c r="L26" i="5"/>
  <c r="D72" i="5"/>
  <c r="AQ72" i="5" s="1"/>
  <c r="BA72" i="5" s="1"/>
  <c r="C149" i="5"/>
  <c r="BL149" i="5" s="1"/>
  <c r="I157" i="5"/>
  <c r="W157" i="5" s="1"/>
  <c r="C84" i="5"/>
  <c r="BL84" i="5" s="1"/>
  <c r="BP84" i="5" s="1"/>
  <c r="E97" i="5"/>
  <c r="AH97" i="5" s="1"/>
  <c r="AI97" i="5" s="1"/>
  <c r="G75" i="5"/>
  <c r="AZ75" i="5" s="1"/>
  <c r="G216" i="5"/>
  <c r="D33" i="5"/>
  <c r="H222" i="5"/>
  <c r="J197" i="5"/>
  <c r="I160" i="5"/>
  <c r="W160" i="5" s="1"/>
  <c r="Z160" i="5" s="1"/>
  <c r="AA160" i="5" s="1"/>
  <c r="F109" i="5"/>
  <c r="C135" i="5"/>
  <c r="BL135" i="5" s="1"/>
  <c r="BN135" i="5" s="1"/>
  <c r="L122" i="5"/>
  <c r="Z122" i="5" s="1"/>
  <c r="AA122" i="5" s="1"/>
  <c r="K162" i="5"/>
  <c r="U162" i="5" s="1"/>
  <c r="G81" i="5"/>
  <c r="E81" i="5"/>
  <c r="AH81" i="5" s="1"/>
  <c r="AI81" i="5" s="1"/>
  <c r="I12" i="5"/>
  <c r="W12" i="5" s="1"/>
  <c r="K129" i="5"/>
  <c r="E27" i="5"/>
  <c r="J166" i="5"/>
  <c r="K9" i="5"/>
  <c r="U9" i="5" s="1"/>
  <c r="C198" i="5"/>
  <c r="BL198" i="5" s="1"/>
  <c r="L88" i="5"/>
  <c r="C173" i="5"/>
  <c r="BL173" i="5" s="1"/>
  <c r="L159" i="5"/>
  <c r="G42" i="5"/>
  <c r="J37" i="5"/>
  <c r="L19" i="5"/>
  <c r="G3" i="5"/>
  <c r="AZ3" i="5" s="1"/>
  <c r="K148" i="5"/>
  <c r="D73" i="5"/>
  <c r="K136" i="5"/>
  <c r="G213" i="5"/>
  <c r="L170" i="5"/>
  <c r="Z170" i="5" s="1"/>
  <c r="AA170" i="5" s="1"/>
  <c r="F87" i="5"/>
  <c r="F62" i="5"/>
  <c r="AZ62" i="5" s="1"/>
  <c r="L5" i="5"/>
  <c r="AB5" i="5" s="1"/>
  <c r="AO5" i="5" s="1"/>
  <c r="AR5" i="5" s="1"/>
  <c r="J182" i="5"/>
  <c r="I118" i="5"/>
  <c r="H161" i="5"/>
  <c r="H64" i="5"/>
  <c r="F147" i="5"/>
  <c r="E31" i="5"/>
  <c r="I2" i="5"/>
  <c r="W2" i="5" s="1"/>
  <c r="I86" i="5"/>
  <c r="W86" i="5" s="1"/>
  <c r="K160" i="5"/>
  <c r="C88" i="5"/>
  <c r="BL88" i="5" s="1"/>
  <c r="BP88" i="5" s="1"/>
  <c r="AU225" i="5"/>
  <c r="AV225" i="5" s="1"/>
  <c r="AY225" i="5" s="1"/>
  <c r="E189" i="5"/>
  <c r="C21" i="5"/>
  <c r="BL21" i="5" s="1"/>
  <c r="BP21" i="5" s="1"/>
  <c r="G206" i="5"/>
  <c r="E73" i="5"/>
  <c r="H148" i="5"/>
  <c r="H57" i="5"/>
  <c r="F145" i="5"/>
  <c r="J121" i="5"/>
  <c r="K48" i="5"/>
  <c r="U48" i="5" s="1"/>
  <c r="E176" i="5"/>
  <c r="H162" i="5"/>
  <c r="H216" i="5"/>
  <c r="J71" i="5"/>
  <c r="G118" i="5"/>
  <c r="J39" i="5"/>
  <c r="F203" i="5"/>
  <c r="J183" i="5"/>
  <c r="AL183" i="5" s="1"/>
  <c r="H23" i="5"/>
  <c r="D109" i="5"/>
  <c r="I127" i="5"/>
  <c r="W127" i="5" s="1"/>
  <c r="D211" i="5"/>
  <c r="J174" i="5"/>
  <c r="AL174" i="5" s="1"/>
  <c r="I203" i="5"/>
  <c r="W203" i="5" s="1"/>
  <c r="L184" i="5"/>
  <c r="J204" i="5"/>
  <c r="AL204" i="5" s="1"/>
  <c r="I20" i="5"/>
  <c r="D185" i="5"/>
  <c r="F174" i="5"/>
  <c r="L208" i="5"/>
  <c r="K195" i="5"/>
  <c r="U195" i="5" s="1"/>
  <c r="K88" i="5"/>
  <c r="U88" i="5" s="1"/>
  <c r="G67" i="5"/>
  <c r="L28" i="5"/>
  <c r="L12" i="5"/>
  <c r="C94" i="5"/>
  <c r="BL94" i="5" s="1"/>
  <c r="BN94" i="5" s="1"/>
  <c r="K53" i="5"/>
  <c r="L141" i="5"/>
  <c r="F7" i="5"/>
  <c r="L18" i="5"/>
  <c r="J56" i="5"/>
  <c r="H36" i="5"/>
  <c r="F23" i="5"/>
  <c r="H165" i="5"/>
  <c r="G60" i="5"/>
  <c r="AZ60" i="5" s="1"/>
  <c r="L36" i="5"/>
  <c r="L135" i="5"/>
  <c r="Z135" i="5" s="1"/>
  <c r="AA135" i="5" s="1"/>
  <c r="F215" i="5"/>
  <c r="H127" i="5"/>
  <c r="F222" i="5"/>
  <c r="AZ222" i="5" s="1"/>
  <c r="K27" i="5"/>
  <c r="U27" i="5" s="1"/>
  <c r="E166" i="5"/>
  <c r="AH166" i="5" s="1"/>
  <c r="AI166" i="5" s="1"/>
  <c r="C39" i="5"/>
  <c r="BL39" i="5" s="1"/>
  <c r="BP39" i="5" s="1"/>
  <c r="D83" i="5"/>
  <c r="J77" i="5"/>
  <c r="I218" i="5"/>
  <c r="W218" i="5" s="1"/>
  <c r="J144" i="5"/>
  <c r="I78" i="5"/>
  <c r="W78" i="5" s="1"/>
  <c r="F212" i="5"/>
  <c r="AZ212" i="5" s="1"/>
  <c r="D94" i="5"/>
  <c r="D161" i="5"/>
  <c r="F197" i="5"/>
  <c r="AZ197" i="5" s="1"/>
  <c r="F3" i="5"/>
  <c r="C44" i="5"/>
  <c r="BL44" i="5" s="1"/>
  <c r="BP44" i="5" s="1"/>
  <c r="G62" i="5"/>
  <c r="F156" i="5"/>
  <c r="AZ156" i="5" s="1"/>
  <c r="H164" i="5"/>
  <c r="K45" i="5"/>
  <c r="D36" i="5"/>
  <c r="AQ36" i="5" s="1"/>
  <c r="BA36" i="5" s="1"/>
  <c r="L156" i="5"/>
  <c r="L34" i="5"/>
  <c r="G146" i="5"/>
  <c r="G195" i="5"/>
  <c r="AZ195" i="5" s="1"/>
  <c r="D93" i="5"/>
  <c r="J146" i="5"/>
  <c r="I43" i="5"/>
  <c r="W43" i="5" s="1"/>
  <c r="J18" i="5"/>
  <c r="L121" i="5"/>
  <c r="AQ121" i="5" s="1"/>
  <c r="BA121" i="5" s="1"/>
  <c r="G161" i="5"/>
  <c r="H76" i="5"/>
  <c r="L212" i="5"/>
  <c r="AQ212" i="5" s="1"/>
  <c r="BA212" i="5" s="1"/>
  <c r="C153" i="5"/>
  <c r="BL153" i="5" s="1"/>
  <c r="BN153" i="5" s="1"/>
  <c r="C220" i="5"/>
  <c r="BL220" i="5" s="1"/>
  <c r="BN220" i="5" s="1"/>
  <c r="F60" i="5"/>
  <c r="D123" i="5"/>
  <c r="D37" i="5"/>
  <c r="AQ37" i="5" s="1"/>
  <c r="BA37" i="5" s="1"/>
  <c r="H111" i="5"/>
  <c r="E84" i="5"/>
  <c r="D198" i="5"/>
  <c r="C189" i="5"/>
  <c r="BL189" i="5" s="1"/>
  <c r="E100" i="5"/>
  <c r="AH100" i="5" s="1"/>
  <c r="AI100" i="5" s="1"/>
  <c r="I55" i="5"/>
  <c r="W55" i="5" s="1"/>
  <c r="H122" i="5"/>
  <c r="I66" i="5"/>
  <c r="W66" i="5" s="1"/>
  <c r="F192" i="5"/>
  <c r="AZ192" i="5" s="1"/>
  <c r="H66" i="5"/>
  <c r="G15" i="5"/>
  <c r="J61" i="5"/>
  <c r="AL61" i="5" s="1"/>
  <c r="H112" i="5"/>
  <c r="I106" i="5"/>
  <c r="W106" i="5" s="1"/>
  <c r="E136" i="5"/>
  <c r="L44" i="5"/>
  <c r="D43" i="5"/>
  <c r="K73" i="5"/>
  <c r="U73" i="5" s="1"/>
  <c r="F44" i="5"/>
  <c r="E110" i="5"/>
  <c r="D147" i="5"/>
  <c r="AQ147" i="5" s="1"/>
  <c r="BA147" i="5" s="1"/>
  <c r="G134" i="5"/>
  <c r="I152" i="5"/>
  <c r="W152" i="5" s="1"/>
  <c r="I32" i="5"/>
  <c r="W32" i="5" s="1"/>
  <c r="Z32" i="5" s="1"/>
  <c r="AA32" i="5" s="1"/>
  <c r="D28" i="5"/>
  <c r="I174" i="5"/>
  <c r="W174" i="5" s="1"/>
  <c r="G142" i="5"/>
  <c r="D137" i="5"/>
  <c r="F54" i="5"/>
  <c r="L125" i="5"/>
  <c r="L109" i="5"/>
  <c r="J97" i="5"/>
  <c r="I49" i="5"/>
  <c r="E174" i="5"/>
  <c r="D183" i="5"/>
  <c r="E18" i="5"/>
  <c r="K92" i="5"/>
  <c r="U92" i="5" s="1"/>
  <c r="K11" i="5"/>
  <c r="U11" i="5" s="1"/>
  <c r="I85" i="5"/>
  <c r="W85" i="5" s="1"/>
  <c r="L107" i="5"/>
  <c r="C32" i="5"/>
  <c r="BL32" i="5" s="1"/>
  <c r="BN32" i="5" s="1"/>
  <c r="C128" i="5"/>
  <c r="BL128" i="5" s="1"/>
  <c r="BP128" i="5" s="1"/>
  <c r="I58" i="5"/>
  <c r="L145" i="5"/>
  <c r="K12" i="5"/>
  <c r="F58" i="5"/>
  <c r="J213" i="5"/>
  <c r="L101" i="5"/>
  <c r="AQ101" i="5" s="1"/>
  <c r="BA101" i="5" s="1"/>
  <c r="F190" i="5"/>
  <c r="D115" i="5"/>
  <c r="I68" i="5"/>
  <c r="W68" i="5" s="1"/>
  <c r="K178" i="5"/>
  <c r="I209" i="5"/>
  <c r="W209" i="5" s="1"/>
  <c r="G121" i="5"/>
  <c r="L136" i="5"/>
  <c r="F41" i="5"/>
  <c r="H209" i="5"/>
  <c r="H135" i="5"/>
  <c r="E50" i="5"/>
  <c r="H202" i="5"/>
  <c r="I179" i="5"/>
  <c r="C155" i="5"/>
  <c r="BL155" i="5" s="1"/>
  <c r="BP155" i="5" s="1"/>
  <c r="G97" i="5"/>
  <c r="D145" i="5"/>
  <c r="G169" i="5"/>
  <c r="J128" i="5"/>
  <c r="F165" i="5"/>
  <c r="AZ165" i="5" s="1"/>
  <c r="C6" i="5"/>
  <c r="BL6" i="5" s="1"/>
  <c r="E223" i="5"/>
  <c r="AH223" i="5" s="1"/>
  <c r="AI223" i="5" s="1"/>
  <c r="AJ223" i="5" s="1"/>
  <c r="C159" i="5"/>
  <c r="BL159" i="5" s="1"/>
  <c r="BN159" i="5" s="1"/>
  <c r="I217" i="5"/>
  <c r="W217" i="5" s="1"/>
  <c r="Z217" i="5" s="1"/>
  <c r="AA217" i="5" s="1"/>
  <c r="J150" i="5"/>
  <c r="AL150" i="5" s="1"/>
  <c r="G196" i="5"/>
  <c r="E16" i="5"/>
  <c r="E209" i="5"/>
  <c r="H174" i="5"/>
  <c r="H139" i="5"/>
  <c r="D114" i="5"/>
  <c r="K6" i="5"/>
  <c r="D205" i="5"/>
  <c r="K176" i="5"/>
  <c r="U176" i="5" s="1"/>
  <c r="F157" i="5"/>
  <c r="F2" i="5"/>
  <c r="AZ2" i="5" s="1"/>
  <c r="I142" i="5"/>
  <c r="D39" i="5"/>
  <c r="E99" i="5"/>
  <c r="AH99" i="5" s="1"/>
  <c r="AI99" i="5" s="1"/>
  <c r="D177" i="5"/>
  <c r="E79" i="5"/>
  <c r="J33" i="5"/>
  <c r="E62" i="5"/>
  <c r="AH62" i="5" s="1"/>
  <c r="AI62" i="5" s="1"/>
  <c r="E78" i="5"/>
  <c r="AH78" i="5" s="1"/>
  <c r="AI78" i="5" s="1"/>
  <c r="AD78" i="5" s="1"/>
  <c r="H51" i="5"/>
  <c r="J32" i="5"/>
  <c r="K147" i="5"/>
  <c r="U147" i="5" s="1"/>
  <c r="J152" i="5"/>
  <c r="C207" i="5"/>
  <c r="BL207" i="5" s="1"/>
  <c r="BN207" i="5" s="1"/>
  <c r="H115" i="5"/>
  <c r="I176" i="5"/>
  <c r="W176" i="5" s="1"/>
  <c r="C92" i="5"/>
  <c r="BL92" i="5" s="1"/>
  <c r="BN92" i="5" s="1"/>
  <c r="F218" i="5"/>
  <c r="AZ218" i="5" s="1"/>
  <c r="K204" i="5"/>
  <c r="U204" i="5" s="1"/>
  <c r="E54" i="5"/>
  <c r="I3" i="5"/>
  <c r="E40" i="5"/>
  <c r="AH40" i="5" s="1"/>
  <c r="AI40" i="5" s="1"/>
  <c r="E7" i="5"/>
  <c r="K149" i="5"/>
  <c r="F173" i="5"/>
  <c r="F199" i="5"/>
  <c r="H160" i="5"/>
  <c r="I192" i="5"/>
  <c r="W192" i="5" s="1"/>
  <c r="K134" i="5"/>
  <c r="G66" i="5"/>
  <c r="AZ66" i="5" s="1"/>
  <c r="I16" i="5"/>
  <c r="L113" i="5"/>
  <c r="J162" i="5"/>
  <c r="K210" i="5"/>
  <c r="U210" i="5" s="1"/>
  <c r="J158" i="5"/>
  <c r="AL158" i="5" s="1"/>
  <c r="I141" i="5"/>
  <c r="W141" i="5" s="1"/>
  <c r="K123" i="5"/>
  <c r="F16" i="5"/>
  <c r="AZ16" i="5" s="1"/>
  <c r="E171" i="5"/>
  <c r="D196" i="5"/>
  <c r="C74" i="5"/>
  <c r="BL74" i="5" s="1"/>
  <c r="BP74" i="5" s="1"/>
  <c r="D214" i="5"/>
  <c r="F65" i="5"/>
  <c r="J94" i="5"/>
  <c r="I104" i="5"/>
  <c r="L166" i="5"/>
  <c r="E210" i="5"/>
  <c r="C131" i="5"/>
  <c r="BL131" i="5" s="1"/>
  <c r="BN131" i="5" s="1"/>
  <c r="H67" i="5"/>
  <c r="K219" i="5"/>
  <c r="C144" i="5"/>
  <c r="BL144" i="5" s="1"/>
  <c r="K190" i="5"/>
  <c r="U190" i="5" s="1"/>
  <c r="I199" i="5"/>
  <c r="W199" i="5" s="1"/>
  <c r="C90" i="5"/>
  <c r="BL90" i="5" s="1"/>
  <c r="BP90" i="5" s="1"/>
  <c r="J214" i="5"/>
  <c r="L147" i="5"/>
  <c r="F205" i="5"/>
  <c r="K51" i="5"/>
  <c r="I97" i="5"/>
  <c r="AD97" i="5" s="1"/>
  <c r="K182" i="5"/>
  <c r="U182" i="5" s="1"/>
  <c r="I221" i="5"/>
  <c r="W221" i="5" s="1"/>
  <c r="Z221" i="5" s="1"/>
  <c r="AA221" i="5" s="1"/>
  <c r="H108" i="5"/>
  <c r="E36" i="5"/>
  <c r="E38" i="5"/>
  <c r="AH38" i="5" s="1"/>
  <c r="AI38" i="5" s="1"/>
  <c r="L112" i="5"/>
  <c r="L54" i="5"/>
  <c r="AB54" i="5" s="1"/>
  <c r="AO54" i="5" s="1"/>
  <c r="AR54" i="5" s="1"/>
  <c r="D67" i="5"/>
  <c r="D91" i="5"/>
  <c r="K10" i="5"/>
  <c r="C158" i="5"/>
  <c r="BL158" i="5" s="1"/>
  <c r="BN158" i="5" s="1"/>
  <c r="C18" i="5"/>
  <c r="BL18" i="5" s="1"/>
  <c r="C160" i="5"/>
  <c r="BL160" i="5" s="1"/>
  <c r="BN160" i="5" s="1"/>
  <c r="G122" i="5"/>
  <c r="H47" i="5"/>
  <c r="H63" i="5"/>
  <c r="I81" i="5"/>
  <c r="W81" i="5" s="1"/>
  <c r="E162" i="5"/>
  <c r="C73" i="5"/>
  <c r="BL73" i="5" s="1"/>
  <c r="BN73" i="5" s="1"/>
  <c r="F94" i="5"/>
  <c r="G135" i="5"/>
  <c r="K22" i="5"/>
  <c r="H4" i="5"/>
  <c r="I134" i="5"/>
  <c r="W134" i="5" s="1"/>
  <c r="I212" i="5"/>
  <c r="W212" i="5" s="1"/>
  <c r="K193" i="5"/>
  <c r="I63" i="5"/>
  <c r="W63" i="5" s="1"/>
  <c r="Z63" i="5" s="1"/>
  <c r="AA63" i="5" s="1"/>
  <c r="E28" i="5"/>
  <c r="K4" i="5"/>
  <c r="G111" i="5"/>
  <c r="I170" i="5"/>
  <c r="W170" i="5" s="1"/>
  <c r="C186" i="5"/>
  <c r="BL186" i="5" s="1"/>
  <c r="BN186" i="5" s="1"/>
  <c r="J220" i="5"/>
  <c r="L32" i="5"/>
  <c r="F8" i="5"/>
  <c r="G16" i="5"/>
  <c r="I23" i="5"/>
  <c r="W23" i="5" s="1"/>
  <c r="G77" i="5"/>
  <c r="AZ77" i="5" s="1"/>
  <c r="F11" i="5"/>
  <c r="AZ11" i="5" s="1"/>
  <c r="F161" i="5"/>
  <c r="D88" i="5"/>
  <c r="I10" i="5"/>
  <c r="W10" i="5" s="1"/>
  <c r="F115" i="5"/>
  <c r="L98" i="5"/>
  <c r="H37" i="5"/>
  <c r="I188" i="5"/>
  <c r="W188" i="5" s="1"/>
  <c r="L171" i="5"/>
  <c r="K132" i="5"/>
  <c r="U132" i="5" s="1"/>
  <c r="I15" i="5"/>
  <c r="W15" i="5" s="1"/>
  <c r="H189" i="5"/>
  <c r="G57" i="5"/>
  <c r="AZ57" i="5" s="1"/>
  <c r="G26" i="5"/>
  <c r="E132" i="5"/>
  <c r="F169" i="5"/>
  <c r="H11" i="5"/>
  <c r="C194" i="5"/>
  <c r="BL194" i="5" s="1"/>
  <c r="BN194" i="5" s="1"/>
  <c r="C150" i="5"/>
  <c r="BL150" i="5" s="1"/>
  <c r="BP150" i="5" s="1"/>
  <c r="K82" i="5"/>
  <c r="AL82" i="5" s="1"/>
  <c r="L199" i="5"/>
  <c r="L201" i="5"/>
  <c r="E139" i="5"/>
  <c r="AH139" i="5" s="1"/>
  <c r="AI139" i="5" s="1"/>
  <c r="J132" i="5"/>
  <c r="I198" i="5"/>
  <c r="W198" i="5" s="1"/>
  <c r="J177" i="5"/>
  <c r="C31" i="5"/>
  <c r="BL31" i="5" s="1"/>
  <c r="BN31" i="5" s="1"/>
  <c r="I74" i="5"/>
  <c r="W74" i="5" s="1"/>
  <c r="J211" i="5"/>
  <c r="J167" i="5"/>
  <c r="K54" i="5"/>
  <c r="U54" i="5" s="1"/>
  <c r="D128" i="5"/>
  <c r="AQ128" i="5" s="1"/>
  <c r="BA128" i="5" s="1"/>
  <c r="I5" i="5"/>
  <c r="W5" i="5" s="1"/>
  <c r="I172" i="5"/>
  <c r="W172" i="5" s="1"/>
  <c r="D207" i="5"/>
  <c r="I115" i="5"/>
  <c r="W115" i="5" s="1"/>
  <c r="Z115" i="5" s="1"/>
  <c r="AA115" i="5" s="1"/>
  <c r="F119" i="5"/>
  <c r="AZ119" i="5" s="1"/>
  <c r="J185" i="5"/>
  <c r="J154" i="5"/>
  <c r="D166" i="5"/>
  <c r="L21" i="5"/>
  <c r="H180" i="5"/>
  <c r="C221" i="5"/>
  <c r="BL221" i="5" s="1"/>
  <c r="BP221" i="5" s="1"/>
  <c r="K153" i="5"/>
  <c r="H54" i="5"/>
  <c r="F133" i="5"/>
  <c r="AZ133" i="5" s="1"/>
  <c r="I216" i="5"/>
  <c r="W216" i="5" s="1"/>
  <c r="E201" i="5"/>
  <c r="AH201" i="5" s="1"/>
  <c r="AI201" i="5" s="1"/>
  <c r="L198" i="5"/>
  <c r="G72" i="5"/>
  <c r="F129" i="5"/>
  <c r="H78" i="5"/>
  <c r="F76" i="5"/>
  <c r="AZ76" i="5" s="1"/>
  <c r="E43" i="5"/>
  <c r="AH43" i="5" s="1"/>
  <c r="AI43" i="5" s="1"/>
  <c r="C137" i="5"/>
  <c r="BL137" i="5" s="1"/>
  <c r="BN137" i="5" s="1"/>
  <c r="D52" i="5"/>
  <c r="AQ52" i="5" s="1"/>
  <c r="BA52" i="5" s="1"/>
  <c r="H123" i="5"/>
  <c r="C93" i="5"/>
  <c r="BL93" i="5" s="1"/>
  <c r="C138" i="5"/>
  <c r="BL138" i="5" s="1"/>
  <c r="BN138" i="5" s="1"/>
  <c r="D144" i="5"/>
  <c r="C68" i="5"/>
  <c r="BL68" i="5" s="1"/>
  <c r="J149" i="5"/>
  <c r="F164" i="5"/>
  <c r="I168" i="5"/>
  <c r="L169" i="5"/>
  <c r="G47" i="5"/>
  <c r="H73" i="5"/>
  <c r="H19" i="5"/>
  <c r="L6" i="5"/>
  <c r="G20" i="5"/>
  <c r="J95" i="5"/>
  <c r="E105" i="5"/>
  <c r="E184" i="5"/>
  <c r="I205" i="5"/>
  <c r="W205" i="5" s="1"/>
  <c r="F152" i="5"/>
  <c r="K157" i="5"/>
  <c r="D42" i="5"/>
  <c r="C3" i="5"/>
  <c r="BL3" i="5" s="1"/>
  <c r="BN3" i="5" s="1"/>
  <c r="L42" i="5"/>
  <c r="F51" i="5"/>
  <c r="AZ51" i="5" s="1"/>
  <c r="H100" i="5"/>
  <c r="E108" i="5"/>
  <c r="AB108" i="5" s="1"/>
  <c r="AW108" i="5" s="1"/>
  <c r="G125" i="5"/>
  <c r="F40" i="5"/>
  <c r="AZ40" i="5" s="1"/>
  <c r="I171" i="5"/>
  <c r="W171" i="5" s="1"/>
  <c r="Z171" i="5" s="1"/>
  <c r="AA171" i="5" s="1"/>
  <c r="H39" i="5"/>
  <c r="H99" i="5"/>
  <c r="C177" i="5"/>
  <c r="BL177" i="5" s="1"/>
  <c r="L103" i="5"/>
  <c r="H205" i="5"/>
  <c r="I180" i="5"/>
  <c r="E170" i="5"/>
  <c r="G93" i="5"/>
  <c r="E157" i="5"/>
  <c r="AN225" i="5"/>
  <c r="H140" i="5"/>
  <c r="G24" i="5"/>
  <c r="AZ24" i="5" s="1"/>
  <c r="D89" i="5"/>
  <c r="K44" i="5"/>
  <c r="U44" i="5" s="1"/>
  <c r="F53" i="5"/>
  <c r="C167" i="5"/>
  <c r="BL167" i="5" s="1"/>
  <c r="BN167" i="5" s="1"/>
  <c r="E47" i="5"/>
  <c r="AH47" i="5" s="1"/>
  <c r="AI47" i="5" s="1"/>
  <c r="G71" i="5"/>
  <c r="K3" i="5"/>
  <c r="D47" i="5"/>
  <c r="K184" i="5"/>
  <c r="H70" i="5"/>
  <c r="J179" i="5"/>
  <c r="D103" i="5"/>
  <c r="AQ103" i="5" s="1"/>
  <c r="BA103" i="5" s="1"/>
  <c r="L96" i="5"/>
  <c r="H90" i="5"/>
  <c r="C130" i="5"/>
  <c r="BL130" i="5" s="1"/>
  <c r="BN130" i="5" s="1"/>
  <c r="E60" i="5"/>
  <c r="AH60" i="5" s="1"/>
  <c r="AI60" i="5" s="1"/>
  <c r="AD60" i="5" s="1"/>
  <c r="F30" i="5"/>
  <c r="C66" i="5"/>
  <c r="BL66" i="5" s="1"/>
  <c r="BP66" i="5" s="1"/>
  <c r="F176" i="5"/>
  <c r="AZ176" i="5" s="1"/>
  <c r="F81" i="5"/>
  <c r="D55" i="5"/>
  <c r="E142" i="5"/>
  <c r="AH142" i="5" s="1"/>
  <c r="AI142" i="5" s="1"/>
  <c r="C11" i="5"/>
  <c r="BL11" i="5" s="1"/>
  <c r="BP11" i="5" s="1"/>
  <c r="D26" i="5"/>
  <c r="AQ26" i="5" s="1"/>
  <c r="BA26" i="5" s="1"/>
  <c r="F83" i="5"/>
  <c r="H30" i="5"/>
  <c r="C156" i="5"/>
  <c r="BL156" i="5" s="1"/>
  <c r="BP156" i="5" s="1"/>
  <c r="H24" i="5"/>
  <c r="F37" i="5"/>
  <c r="F70" i="5"/>
  <c r="F34" i="5"/>
  <c r="C89" i="5"/>
  <c r="BL89" i="5" s="1"/>
  <c r="BP89" i="5" s="1"/>
  <c r="E138" i="5"/>
  <c r="H95" i="5"/>
  <c r="K105" i="5"/>
  <c r="U105" i="5" s="1"/>
  <c r="C38" i="5"/>
  <c r="BL38" i="5" s="1"/>
  <c r="BP38" i="5" s="1"/>
  <c r="I165" i="5"/>
  <c r="W165" i="5" s="1"/>
  <c r="F166" i="5"/>
  <c r="H156" i="5"/>
  <c r="L3" i="5"/>
  <c r="K31" i="5"/>
  <c r="U31" i="5" s="1"/>
  <c r="L41" i="5"/>
  <c r="F45" i="5"/>
  <c r="F143" i="5"/>
  <c r="H14" i="5"/>
  <c r="L77" i="5"/>
  <c r="I130" i="5"/>
  <c r="W130" i="5" s="1"/>
  <c r="Z130" i="5" s="1"/>
  <c r="AA130" i="5" s="1"/>
  <c r="J55" i="5"/>
  <c r="AL55" i="5" s="1"/>
  <c r="K173" i="5"/>
  <c r="C65" i="5"/>
  <c r="BL65" i="5" s="1"/>
  <c r="C178" i="5"/>
  <c r="BL178" i="5" s="1"/>
  <c r="BN178" i="5" s="1"/>
  <c r="L110" i="5"/>
  <c r="J69" i="5"/>
  <c r="H145" i="5"/>
  <c r="C96" i="5"/>
  <c r="BL96" i="5" s="1"/>
  <c r="BP96" i="5" s="1"/>
  <c r="K122" i="5"/>
  <c r="C164" i="5"/>
  <c r="BL164" i="5" s="1"/>
  <c r="L8" i="5"/>
  <c r="L220" i="5"/>
  <c r="Z220" i="5" s="1"/>
  <c r="AA220" i="5" s="1"/>
  <c r="K191" i="5"/>
  <c r="K43" i="5"/>
  <c r="L144" i="5"/>
  <c r="I18" i="5"/>
  <c r="W18" i="5" s="1"/>
  <c r="J3" i="5"/>
  <c r="C224" i="5"/>
  <c r="BL224" i="5" s="1"/>
  <c r="BN224" i="5" s="1"/>
  <c r="L115" i="5"/>
  <c r="E51" i="5"/>
  <c r="C28" i="5"/>
  <c r="BL28" i="5" s="1"/>
  <c r="BN28" i="5" s="1"/>
  <c r="E74" i="5"/>
  <c r="Z74" i="5" s="1"/>
  <c r="AA74" i="5" s="1"/>
  <c r="F158" i="5"/>
  <c r="C179" i="5"/>
  <c r="BL179" i="5" s="1"/>
  <c r="BP179" i="5" s="1"/>
  <c r="H60" i="5"/>
  <c r="I121" i="5"/>
  <c r="W121" i="5" s="1"/>
  <c r="F80" i="5"/>
  <c r="F59" i="5"/>
  <c r="G11" i="5"/>
  <c r="D146" i="5"/>
  <c r="E152" i="5"/>
  <c r="H142" i="5"/>
  <c r="F18" i="5"/>
  <c r="K177" i="5"/>
  <c r="AL177" i="5" s="1"/>
  <c r="J57" i="5"/>
  <c r="C146" i="5"/>
  <c r="BL146" i="5" s="1"/>
  <c r="BP146" i="5" s="1"/>
  <c r="G59" i="5"/>
  <c r="L100" i="5"/>
  <c r="J42" i="5"/>
  <c r="H138" i="5"/>
  <c r="D212" i="5"/>
  <c r="F170" i="5"/>
  <c r="H59" i="5"/>
  <c r="D22" i="5"/>
  <c r="C98" i="5"/>
  <c r="BL98" i="5" s="1"/>
  <c r="BN98" i="5" s="1"/>
  <c r="G127" i="5"/>
  <c r="K187" i="5"/>
  <c r="U187" i="5" s="1"/>
  <c r="F172" i="5"/>
  <c r="AZ172" i="5" s="1"/>
  <c r="K217" i="5"/>
  <c r="J191" i="5"/>
  <c r="C62" i="5"/>
  <c r="BL62" i="5" s="1"/>
  <c r="F66" i="5"/>
  <c r="H159" i="5"/>
  <c r="E156" i="5"/>
  <c r="AH156" i="5" s="1"/>
  <c r="AI156" i="5" s="1"/>
  <c r="C196" i="5"/>
  <c r="BL196" i="5" s="1"/>
  <c r="BN196" i="5" s="1"/>
  <c r="G92" i="5"/>
  <c r="L16" i="5"/>
  <c r="D87" i="5"/>
  <c r="AQ87" i="5" s="1"/>
  <c r="BA87" i="5" s="1"/>
  <c r="L71" i="5"/>
  <c r="L216" i="5"/>
  <c r="C29" i="5"/>
  <c r="BL29" i="5" s="1"/>
  <c r="BN29" i="5" s="1"/>
  <c r="D110" i="5"/>
  <c r="G136" i="5"/>
  <c r="C115" i="5"/>
  <c r="BL115" i="5" s="1"/>
  <c r="BN115" i="5" s="1"/>
  <c r="F68" i="5"/>
  <c r="F186" i="5"/>
  <c r="D107" i="5"/>
  <c r="G12" i="5"/>
  <c r="J81" i="5"/>
  <c r="J163" i="5"/>
  <c r="E192" i="5"/>
  <c r="E215" i="5"/>
  <c r="L39" i="5"/>
  <c r="J68" i="5"/>
  <c r="F159" i="5"/>
  <c r="J6" i="5"/>
  <c r="E124" i="5"/>
  <c r="C78" i="5"/>
  <c r="BL78" i="5" s="1"/>
  <c r="K113" i="5"/>
  <c r="K145" i="5"/>
  <c r="I146" i="5"/>
  <c r="F118" i="5"/>
  <c r="AZ118" i="5" s="1"/>
  <c r="C53" i="5"/>
  <c r="BL53" i="5" s="1"/>
  <c r="BN53" i="5" s="1"/>
  <c r="J210" i="5"/>
  <c r="AL210" i="5" s="1"/>
  <c r="G73" i="5"/>
  <c r="AZ73" i="5" s="1"/>
  <c r="G51" i="5"/>
  <c r="F13" i="5"/>
  <c r="G31" i="5"/>
  <c r="D188" i="5"/>
  <c r="C121" i="5"/>
  <c r="BL121" i="5" s="1"/>
  <c r="BN121" i="5" s="1"/>
  <c r="E106" i="5"/>
  <c r="J112" i="5"/>
  <c r="L80" i="5"/>
  <c r="F202" i="5"/>
  <c r="AZ202" i="5" s="1"/>
  <c r="K101" i="5"/>
  <c r="K222" i="5"/>
  <c r="D77" i="5"/>
  <c r="AQ77" i="5" s="1"/>
  <c r="BA77" i="5" s="1"/>
  <c r="C145" i="5"/>
  <c r="BL145" i="5" s="1"/>
  <c r="BP145" i="5" s="1"/>
  <c r="E145" i="5"/>
  <c r="J189" i="5"/>
  <c r="K221" i="5"/>
  <c r="L67" i="5"/>
  <c r="C71" i="5"/>
  <c r="BL71" i="5" s="1"/>
  <c r="BP71" i="5" s="1"/>
  <c r="J93" i="5"/>
  <c r="G138" i="5"/>
  <c r="L180" i="5"/>
  <c r="J159" i="5"/>
  <c r="K155" i="5"/>
  <c r="U155" i="5" s="1"/>
  <c r="C67" i="5"/>
  <c r="BL67" i="5" s="1"/>
  <c r="G204" i="5"/>
  <c r="E117" i="5"/>
  <c r="G180" i="5"/>
  <c r="E206" i="5"/>
  <c r="I67" i="5"/>
  <c r="W67" i="5" s="1"/>
  <c r="C140" i="5"/>
  <c r="BL140" i="5" s="1"/>
  <c r="BP140" i="5" s="1"/>
  <c r="F181" i="5"/>
  <c r="J107" i="5"/>
  <c r="J64" i="5"/>
  <c r="H26" i="5"/>
  <c r="D32" i="5"/>
  <c r="G33" i="5"/>
  <c r="D175" i="5"/>
  <c r="D65" i="5"/>
  <c r="G103" i="5"/>
  <c r="K208" i="5"/>
  <c r="U208" i="5" s="1"/>
  <c r="I145" i="5"/>
  <c r="W145" i="5" s="1"/>
  <c r="G172" i="5"/>
  <c r="C7" i="5"/>
  <c r="BL7" i="5" s="1"/>
  <c r="F184" i="5"/>
  <c r="J108" i="5"/>
  <c r="AL108" i="5" s="1"/>
  <c r="L111" i="5"/>
  <c r="K28" i="5"/>
  <c r="J139" i="5"/>
  <c r="AL139" i="5" s="1"/>
  <c r="K108" i="5"/>
  <c r="U108" i="5" s="1"/>
  <c r="G9" i="5"/>
  <c r="E211" i="5"/>
  <c r="F74" i="5"/>
  <c r="K114" i="5"/>
  <c r="U114" i="5" s="1"/>
  <c r="C151" i="5"/>
  <c r="BL151" i="5" s="1"/>
  <c r="BN151" i="5" s="1"/>
  <c r="C70" i="5"/>
  <c r="BL70" i="5" s="1"/>
  <c r="BN70" i="5" s="1"/>
  <c r="G131" i="5"/>
  <c r="D104" i="5"/>
  <c r="F134" i="5"/>
  <c r="J106" i="5"/>
  <c r="H151" i="5"/>
  <c r="I41" i="5"/>
  <c r="W41" i="5" s="1"/>
  <c r="E87" i="5"/>
  <c r="E198" i="5"/>
  <c r="E204" i="5"/>
  <c r="AH204" i="5" s="1"/>
  <c r="AI204" i="5" s="1"/>
  <c r="AD204" i="5" s="1"/>
  <c r="L197" i="5"/>
  <c r="C141" i="5"/>
  <c r="BL141" i="5" s="1"/>
  <c r="BP141" i="5" s="1"/>
  <c r="L74" i="5"/>
  <c r="H18" i="5"/>
  <c r="I197" i="5"/>
  <c r="W197" i="5" s="1"/>
  <c r="Z197" i="5" s="1"/>
  <c r="AA197" i="5" s="1"/>
  <c r="J31" i="5"/>
  <c r="I185" i="5"/>
  <c r="W185" i="5" s="1"/>
  <c r="E20" i="5"/>
  <c r="E149" i="5"/>
  <c r="J206" i="5"/>
  <c r="E178" i="5"/>
  <c r="AH178" i="5" s="1"/>
  <c r="AI178" i="5" s="1"/>
  <c r="J116" i="5"/>
  <c r="I37" i="5"/>
  <c r="F31" i="5"/>
  <c r="G91" i="5"/>
  <c r="C181" i="5"/>
  <c r="BL181" i="5" s="1"/>
  <c r="BP181" i="5" s="1"/>
  <c r="F130" i="5"/>
  <c r="AZ130" i="5" s="1"/>
  <c r="J153" i="5"/>
  <c r="H82" i="5"/>
  <c r="C61" i="5"/>
  <c r="BL61" i="5" s="1"/>
  <c r="J4" i="5"/>
  <c r="J76" i="5"/>
  <c r="I149" i="5"/>
  <c r="W149" i="5" s="1"/>
  <c r="E220" i="5"/>
  <c r="F73" i="5"/>
  <c r="H170" i="5"/>
  <c r="H40" i="5"/>
  <c r="I83" i="5"/>
  <c r="F117" i="5"/>
  <c r="AZ117" i="5" s="1"/>
  <c r="I92" i="5"/>
  <c r="W92" i="5" s="1"/>
  <c r="K185" i="5"/>
  <c r="U185" i="5" s="1"/>
  <c r="G211" i="5"/>
  <c r="AZ211" i="5" s="1"/>
  <c r="H107" i="5"/>
  <c r="K81" i="5"/>
  <c r="H193" i="5"/>
  <c r="J11" i="5"/>
  <c r="F91" i="5"/>
  <c r="I44" i="5"/>
  <c r="H208" i="5"/>
  <c r="F85" i="5"/>
  <c r="G185" i="5"/>
  <c r="AZ185" i="5" s="1"/>
  <c r="K203" i="5"/>
  <c r="E134" i="5"/>
  <c r="E193" i="5"/>
  <c r="AH193" i="5" s="1"/>
  <c r="AI193" i="5" s="1"/>
  <c r="AJ193" i="5" s="1"/>
  <c r="C49" i="5"/>
  <c r="BL49" i="5" s="1"/>
  <c r="BN49" i="5" s="1"/>
  <c r="J38" i="5"/>
  <c r="J35" i="5"/>
  <c r="L161" i="5"/>
  <c r="I137" i="5"/>
  <c r="W137" i="5" s="1"/>
  <c r="L211" i="5"/>
  <c r="H89" i="5"/>
  <c r="E65" i="5"/>
  <c r="L151" i="5"/>
  <c r="AB151" i="5" s="1"/>
  <c r="AW151" i="5" s="1"/>
  <c r="E29" i="5"/>
  <c r="AH29" i="5" s="1"/>
  <c r="AI29" i="5" s="1"/>
  <c r="I40" i="5"/>
  <c r="W40" i="5" s="1"/>
  <c r="C72" i="5"/>
  <c r="BL72" i="5" s="1"/>
  <c r="D219" i="5"/>
  <c r="G41" i="5"/>
  <c r="H44" i="5"/>
  <c r="I6" i="5"/>
  <c r="W6" i="5" s="1"/>
  <c r="Z6" i="5" s="1"/>
  <c r="AA6" i="5" s="1"/>
  <c r="C97" i="5"/>
  <c r="BL97" i="5" s="1"/>
  <c r="BP97" i="5" s="1"/>
  <c r="I22" i="5"/>
  <c r="W22" i="5" s="1"/>
  <c r="D24" i="5"/>
  <c r="G119" i="5"/>
  <c r="C114" i="5"/>
  <c r="BL114" i="5" s="1"/>
  <c r="BP114" i="5" s="1"/>
  <c r="C200" i="5"/>
  <c r="BL200" i="5" s="1"/>
  <c r="BP200" i="5" s="1"/>
  <c r="K144" i="5"/>
  <c r="U144" i="5" s="1"/>
  <c r="K68" i="5"/>
  <c r="U68" i="5" s="1"/>
  <c r="E221" i="5"/>
  <c r="K165" i="5"/>
  <c r="U165" i="5" s="1"/>
  <c r="C203" i="5"/>
  <c r="BL203" i="5" s="1"/>
  <c r="BP203" i="5" s="1"/>
  <c r="F131" i="5"/>
  <c r="AZ131" i="5" s="1"/>
  <c r="L179" i="5"/>
  <c r="C45" i="5"/>
  <c r="BL45" i="5" s="1"/>
  <c r="BN45" i="5" s="1"/>
  <c r="K152" i="5"/>
  <c r="U152" i="5" s="1"/>
  <c r="E190" i="5"/>
  <c r="E2" i="5"/>
  <c r="AQ2" i="5" s="1"/>
  <c r="BA2" i="5" s="1"/>
  <c r="G124" i="5"/>
  <c r="D10" i="5"/>
  <c r="L50" i="5"/>
  <c r="H163" i="5"/>
  <c r="H10" i="5"/>
  <c r="H126" i="5"/>
  <c r="L89" i="5"/>
  <c r="AQ89" i="5" s="1"/>
  <c r="BA89" i="5" s="1"/>
  <c r="H62" i="5"/>
  <c r="L175" i="5"/>
  <c r="D3" i="5"/>
  <c r="L120" i="5"/>
  <c r="J44" i="5"/>
  <c r="AL44" i="5" s="1"/>
  <c r="H55" i="5"/>
  <c r="K17" i="5"/>
  <c r="U17" i="5" s="1"/>
  <c r="H3" i="5"/>
  <c r="K142" i="5"/>
  <c r="D200" i="5"/>
  <c r="C183" i="5"/>
  <c r="BL183" i="5" s="1"/>
  <c r="BP183" i="5" s="1"/>
  <c r="J53" i="5"/>
  <c r="H2" i="5"/>
  <c r="D8" i="5"/>
  <c r="D62" i="5"/>
  <c r="H155" i="5"/>
  <c r="G214" i="5"/>
  <c r="C80" i="5"/>
  <c r="BL80" i="5" s="1"/>
  <c r="BN80" i="5" s="1"/>
  <c r="L133" i="5"/>
  <c r="E93" i="5"/>
  <c r="AH93" i="5" s="1"/>
  <c r="AI93" i="5" s="1"/>
  <c r="AD93" i="5" s="1"/>
  <c r="C169" i="5"/>
  <c r="BL169" i="5" s="1"/>
  <c r="K115" i="5"/>
  <c r="U115" i="5" s="1"/>
  <c r="H213" i="5"/>
  <c r="L187" i="5"/>
  <c r="C133" i="5"/>
  <c r="BL133" i="5" s="1"/>
  <c r="I56" i="5"/>
  <c r="W56" i="5" s="1"/>
  <c r="L123" i="5"/>
  <c r="K199" i="5"/>
  <c r="U199" i="5" s="1"/>
  <c r="L64" i="5"/>
  <c r="AB64" i="5" s="1"/>
  <c r="AW64" i="5" s="1"/>
  <c r="K66" i="5"/>
  <c r="U66" i="5" s="1"/>
  <c r="J122" i="5"/>
  <c r="AL122" i="5" s="1"/>
  <c r="F6" i="5"/>
  <c r="AZ6" i="5" s="1"/>
  <c r="H146" i="5"/>
  <c r="L143" i="5"/>
  <c r="F113" i="5"/>
  <c r="H92" i="5"/>
  <c r="I4" i="5"/>
  <c r="C64" i="5"/>
  <c r="BL64" i="5" s="1"/>
  <c r="I213" i="5"/>
  <c r="W213" i="5" s="1"/>
  <c r="Z213" i="5" s="1"/>
  <c r="AA213" i="5" s="1"/>
  <c r="K218" i="5"/>
  <c r="U218" i="5" s="1"/>
  <c r="F168" i="5"/>
  <c r="AZ168" i="5" s="1"/>
  <c r="D168" i="5"/>
  <c r="H77" i="5"/>
  <c r="K106" i="5"/>
  <c r="D154" i="5"/>
  <c r="K70" i="5"/>
  <c r="U70" i="5" s="1"/>
  <c r="D126" i="5"/>
  <c r="L163" i="5"/>
  <c r="G21" i="5"/>
  <c r="C54" i="5"/>
  <c r="BL54" i="5" s="1"/>
  <c r="BN54" i="5" s="1"/>
  <c r="J178" i="5"/>
  <c r="F135" i="5"/>
  <c r="H144" i="5"/>
  <c r="D138" i="5"/>
  <c r="D75" i="5"/>
  <c r="AQ75" i="5" s="1"/>
  <c r="BA75" i="5" s="1"/>
  <c r="J15" i="5"/>
  <c r="AL15" i="5" s="1"/>
  <c r="L57" i="5"/>
  <c r="G224" i="5"/>
  <c r="J202" i="5"/>
  <c r="G64" i="5"/>
  <c r="AZ64" i="5" s="1"/>
  <c r="E197" i="5"/>
  <c r="C157" i="5"/>
  <c r="BL157" i="5" s="1"/>
  <c r="BN157" i="5" s="1"/>
  <c r="I89" i="5"/>
  <c r="W89" i="5" s="1"/>
  <c r="Z89" i="5" s="1"/>
  <c r="AA89" i="5" s="1"/>
  <c r="C110" i="5"/>
  <c r="BL110" i="5" s="1"/>
  <c r="K26" i="5"/>
  <c r="J45" i="5"/>
  <c r="C111" i="5"/>
  <c r="BL111" i="5" s="1"/>
  <c r="BP111" i="5" s="1"/>
  <c r="L158" i="5"/>
  <c r="E130" i="5"/>
  <c r="D56" i="5"/>
  <c r="G95" i="5"/>
  <c r="G133" i="5"/>
  <c r="C8" i="5"/>
  <c r="BL8" i="5" s="1"/>
  <c r="BP8" i="5" s="1"/>
  <c r="D84" i="5"/>
  <c r="H110" i="5"/>
  <c r="I123" i="5"/>
  <c r="W123" i="5" s="1"/>
  <c r="L23" i="5"/>
  <c r="C51" i="5"/>
  <c r="BL51" i="5" s="1"/>
  <c r="BN51" i="5" s="1"/>
  <c r="E101" i="5"/>
  <c r="AH101" i="5" s="1"/>
  <c r="AI101" i="5" s="1"/>
  <c r="AD101" i="5" s="1"/>
  <c r="H192" i="5"/>
  <c r="G43" i="5"/>
  <c r="K29" i="5"/>
  <c r="I132" i="5"/>
  <c r="W132" i="5" s="1"/>
  <c r="L174" i="5"/>
  <c r="L47" i="5"/>
  <c r="E180" i="5"/>
  <c r="AH180" i="5" s="1"/>
  <c r="AI180" i="5" s="1"/>
  <c r="J221" i="5"/>
  <c r="G98" i="5"/>
  <c r="K159" i="5"/>
  <c r="U159" i="5" s="1"/>
  <c r="C126" i="5"/>
  <c r="BL126" i="5" s="1"/>
  <c r="J193" i="5"/>
  <c r="G177" i="5"/>
  <c r="D70" i="5"/>
  <c r="F32" i="5"/>
  <c r="K117" i="5"/>
  <c r="C113" i="5"/>
  <c r="BL113" i="5" s="1"/>
  <c r="C55" i="5"/>
  <c r="BL55" i="5" s="1"/>
  <c r="BP55" i="5" s="1"/>
  <c r="L99" i="5"/>
  <c r="I34" i="5"/>
  <c r="W34" i="5" s="1"/>
  <c r="C119" i="5"/>
  <c r="BL119" i="5" s="1"/>
  <c r="G56" i="5"/>
  <c r="AZ56" i="5" s="1"/>
  <c r="H7" i="5"/>
  <c r="F106" i="5"/>
  <c r="AZ106" i="5" s="1"/>
  <c r="C36" i="5"/>
  <c r="BL36" i="5" s="1"/>
  <c r="E102" i="5"/>
  <c r="C17" i="5"/>
  <c r="BL17" i="5" s="1"/>
  <c r="BP17" i="5" s="1"/>
  <c r="I94" i="5"/>
  <c r="W94" i="5" s="1"/>
  <c r="G53" i="5"/>
  <c r="AZ53" i="5" s="1"/>
  <c r="K89" i="5"/>
  <c r="U89" i="5" s="1"/>
  <c r="C116" i="5"/>
  <c r="BL116" i="5" s="1"/>
  <c r="BN116" i="5" s="1"/>
  <c r="H167" i="5"/>
  <c r="C170" i="5"/>
  <c r="BL170" i="5" s="1"/>
  <c r="E181" i="5"/>
  <c r="J141" i="5"/>
  <c r="J209" i="5"/>
  <c r="AL209" i="5" s="1"/>
  <c r="F220" i="5"/>
  <c r="F49" i="5"/>
  <c r="F153" i="5"/>
  <c r="E75" i="5"/>
  <c r="L7" i="5"/>
  <c r="E66" i="5"/>
  <c r="E144" i="5"/>
  <c r="G100" i="5"/>
  <c r="F189" i="5"/>
  <c r="J199" i="5"/>
  <c r="AL199" i="5" s="1"/>
  <c r="D118" i="5"/>
  <c r="L195" i="5"/>
  <c r="L14" i="5"/>
  <c r="C197" i="5"/>
  <c r="BL197" i="5" s="1"/>
  <c r="BN197" i="5" s="1"/>
  <c r="C52" i="5"/>
  <c r="BL52" i="5" s="1"/>
  <c r="BP52" i="5" s="1"/>
  <c r="G194" i="5"/>
  <c r="E30" i="5"/>
  <c r="J113" i="5"/>
  <c r="L17" i="5"/>
  <c r="H84" i="5"/>
  <c r="C37" i="5"/>
  <c r="BL37" i="5" s="1"/>
  <c r="BN37" i="5" s="1"/>
  <c r="F82" i="5"/>
  <c r="H53" i="5"/>
  <c r="L173" i="5"/>
  <c r="E140" i="5"/>
  <c r="I84" i="5"/>
  <c r="W84" i="5" s="1"/>
  <c r="J30" i="5"/>
  <c r="K194" i="5"/>
  <c r="U194" i="5" s="1"/>
  <c r="G168" i="5"/>
  <c r="D4" i="5"/>
  <c r="K86" i="5"/>
  <c r="U86" i="5" s="1"/>
  <c r="J117" i="5"/>
  <c r="AL117" i="5" s="1"/>
  <c r="H168" i="5"/>
  <c r="I153" i="5"/>
  <c r="W153" i="5" s="1"/>
  <c r="Z153" i="5" s="1"/>
  <c r="AA153" i="5" s="1"/>
  <c r="L224" i="5"/>
  <c r="H143" i="5"/>
  <c r="I27" i="5"/>
  <c r="K212" i="5"/>
  <c r="U212" i="5" s="1"/>
  <c r="G112" i="5"/>
  <c r="H88" i="5"/>
  <c r="I79" i="5"/>
  <c r="W79" i="5" s="1"/>
  <c r="E183" i="5"/>
  <c r="AH183" i="5" s="1"/>
  <c r="AI183" i="5" s="1"/>
  <c r="J8" i="5"/>
  <c r="E35" i="5"/>
  <c r="J91" i="5"/>
  <c r="F101" i="5"/>
  <c r="AZ101" i="5" s="1"/>
  <c r="J136" i="5"/>
  <c r="H102" i="5"/>
  <c r="H150" i="5"/>
  <c r="G179" i="5"/>
  <c r="I7" i="5"/>
  <c r="G114" i="5"/>
  <c r="J161" i="5"/>
  <c r="C142" i="5"/>
  <c r="BL142" i="5" s="1"/>
  <c r="C59" i="5"/>
  <c r="BL59" i="5" s="1"/>
  <c r="BP59" i="5" s="1"/>
  <c r="H22" i="5"/>
  <c r="D53" i="5"/>
  <c r="G78" i="5"/>
  <c r="J75" i="5"/>
  <c r="I187" i="5"/>
  <c r="L183" i="5"/>
  <c r="F140" i="5"/>
  <c r="L35" i="5"/>
  <c r="K40" i="5"/>
  <c r="U40" i="5" s="1"/>
  <c r="D223" i="5"/>
  <c r="E90" i="5"/>
  <c r="AH90" i="5" s="1"/>
  <c r="AI90" i="5" s="1"/>
  <c r="C134" i="5"/>
  <c r="BL134" i="5" s="1"/>
  <c r="F139" i="5"/>
  <c r="AZ139" i="5" s="1"/>
  <c r="E114" i="5"/>
  <c r="D122" i="5"/>
  <c r="H35" i="5"/>
  <c r="I163" i="5"/>
  <c r="I8" i="5"/>
  <c r="W8" i="5" s="1"/>
  <c r="Z8" i="5" s="1"/>
  <c r="AA8" i="5" s="1"/>
  <c r="L104" i="5"/>
  <c r="I112" i="5"/>
  <c r="F90" i="5"/>
  <c r="J134" i="5"/>
  <c r="K174" i="5"/>
  <c r="U174" i="5" s="1"/>
  <c r="C40" i="5"/>
  <c r="BL40" i="5" s="1"/>
  <c r="BN40" i="5" s="1"/>
  <c r="F72" i="5"/>
  <c r="AZ72" i="5" s="1"/>
  <c r="K128" i="5"/>
  <c r="U128" i="5" s="1"/>
  <c r="G182" i="5"/>
  <c r="H157" i="5"/>
  <c r="D23" i="5"/>
  <c r="J184" i="5"/>
  <c r="J218" i="5"/>
  <c r="L91" i="5"/>
  <c r="D74" i="5"/>
  <c r="J74" i="5"/>
  <c r="D6" i="5"/>
  <c r="I136" i="5"/>
  <c r="I88" i="5"/>
  <c r="W88" i="5" s="1"/>
  <c r="J65" i="5"/>
  <c r="K179" i="5"/>
  <c r="U179" i="5" s="1"/>
  <c r="J28" i="5"/>
  <c r="H117" i="5"/>
  <c r="H29" i="5"/>
  <c r="E143" i="5"/>
  <c r="C77" i="5"/>
  <c r="BL77" i="5" s="1"/>
  <c r="BN77" i="5" s="1"/>
  <c r="C216" i="5"/>
  <c r="BL216" i="5" s="1"/>
  <c r="BN216" i="5" s="1"/>
  <c r="G29" i="5"/>
  <c r="K78" i="5"/>
  <c r="I69" i="5"/>
  <c r="J24" i="5"/>
  <c r="D46" i="5"/>
  <c r="I65" i="5"/>
  <c r="W65" i="5" s="1"/>
  <c r="Z65" i="5" s="1"/>
  <c r="AA65" i="5" s="1"/>
  <c r="H152" i="5"/>
  <c r="D85" i="5"/>
  <c r="I186" i="5"/>
  <c r="W186" i="5" s="1"/>
  <c r="Z186" i="5" s="1"/>
  <c r="AA186" i="5" s="1"/>
  <c r="F217" i="5"/>
  <c r="L153" i="5"/>
  <c r="E19" i="5"/>
  <c r="AH19" i="5" s="1"/>
  <c r="AI19" i="5" s="1"/>
  <c r="J219" i="5"/>
  <c r="I107" i="5"/>
  <c r="W107" i="5" s="1"/>
  <c r="G74" i="5"/>
  <c r="K186" i="5"/>
  <c r="D12" i="5"/>
  <c r="H20" i="5"/>
  <c r="E202" i="5"/>
  <c r="E95" i="5"/>
  <c r="C22" i="5"/>
  <c r="BL22" i="5" s="1"/>
  <c r="G36" i="5"/>
  <c r="J195" i="5"/>
  <c r="D192" i="5"/>
  <c r="J223" i="5"/>
  <c r="C180" i="5"/>
  <c r="BL180" i="5" s="1"/>
  <c r="BN180" i="5" s="1"/>
  <c r="J17" i="5"/>
  <c r="G197" i="5"/>
  <c r="C165" i="5"/>
  <c r="BL165" i="5" s="1"/>
  <c r="BP165" i="5" s="1"/>
  <c r="E154" i="5"/>
  <c r="H212" i="5"/>
  <c r="G55" i="5"/>
  <c r="AZ55" i="5" s="1"/>
  <c r="C191" i="5"/>
  <c r="BL191" i="5" s="1"/>
  <c r="BP191" i="5" s="1"/>
  <c r="G116" i="5"/>
  <c r="I214" i="5"/>
  <c r="W214" i="5" s="1"/>
  <c r="J63" i="5"/>
  <c r="H169" i="5"/>
  <c r="E116" i="5"/>
  <c r="E49" i="5"/>
  <c r="L204" i="5"/>
  <c r="H125" i="5"/>
  <c r="G80" i="5"/>
  <c r="AZ80" i="5" s="1"/>
  <c r="D209" i="5"/>
  <c r="L139" i="5"/>
  <c r="G110" i="5"/>
  <c r="H42" i="5"/>
  <c r="G105" i="5"/>
  <c r="K15" i="5"/>
  <c r="U15" i="5" s="1"/>
  <c r="G17" i="5"/>
  <c r="I54" i="5"/>
  <c r="W54" i="5" s="1"/>
  <c r="D187" i="5"/>
  <c r="G152" i="5"/>
  <c r="AZ152" i="5" s="1"/>
  <c r="L182" i="5"/>
  <c r="C218" i="5"/>
  <c r="BL218" i="5" s="1"/>
  <c r="K33" i="5"/>
  <c r="U33" i="5" s="1"/>
  <c r="J59" i="5"/>
  <c r="AL59" i="5" s="1"/>
  <c r="F92" i="5"/>
  <c r="AZ92" i="5" s="1"/>
  <c r="J151" i="5"/>
  <c r="D71" i="5"/>
  <c r="G222" i="5"/>
  <c r="K20" i="5"/>
  <c r="U20" i="5" s="1"/>
  <c r="D159" i="5"/>
  <c r="D217" i="5"/>
  <c r="L137" i="5"/>
  <c r="H86" i="5"/>
  <c r="D117" i="5"/>
  <c r="AQ117" i="5" s="1"/>
  <c r="BA117" i="5" s="1"/>
  <c r="C46" i="5"/>
  <c r="BL46" i="5" s="1"/>
  <c r="BP46" i="5" s="1"/>
  <c r="L69" i="5"/>
  <c r="AQ69" i="5" s="1"/>
  <c r="BA69" i="5" s="1"/>
  <c r="C4" i="5"/>
  <c r="BL4" i="5" s="1"/>
  <c r="J127" i="5"/>
  <c r="J187" i="5"/>
  <c r="K158" i="5"/>
  <c r="U158" i="5" s="1"/>
  <c r="F196" i="5"/>
  <c r="AZ196" i="5" s="1"/>
  <c r="C69" i="5"/>
  <c r="BL69" i="5" s="1"/>
  <c r="BN69" i="5" s="1"/>
  <c r="L167" i="5"/>
  <c r="J19" i="5"/>
  <c r="F110" i="5"/>
  <c r="D63" i="5"/>
  <c r="AQ63" i="5" s="1"/>
  <c r="BA63" i="5" s="1"/>
  <c r="G143" i="5"/>
  <c r="C152" i="5"/>
  <c r="BL152" i="5" s="1"/>
  <c r="G44" i="5"/>
  <c r="I53" i="5"/>
  <c r="W53" i="5" s="1"/>
  <c r="G46" i="5"/>
  <c r="K13" i="5"/>
  <c r="U13" i="5" s="1"/>
  <c r="E158" i="5"/>
  <c r="E155" i="5"/>
  <c r="C136" i="5"/>
  <c r="BL136" i="5" s="1"/>
  <c r="BN136" i="5" s="1"/>
  <c r="G7" i="5"/>
  <c r="H74" i="5"/>
  <c r="F105" i="5"/>
  <c r="AZ105" i="5" s="1"/>
  <c r="H72" i="5"/>
  <c r="K201" i="5"/>
  <c r="H141" i="5"/>
  <c r="H198" i="5"/>
  <c r="E83" i="5"/>
  <c r="G175" i="5"/>
  <c r="D44" i="5"/>
  <c r="H31" i="5"/>
  <c r="E121" i="5"/>
  <c r="L154" i="5"/>
  <c r="L105" i="5"/>
  <c r="C109" i="5"/>
  <c r="BL109" i="5" s="1"/>
  <c r="E13" i="5"/>
  <c r="H97" i="5"/>
  <c r="J172" i="5"/>
  <c r="D171" i="5"/>
  <c r="K141" i="5"/>
  <c r="U141" i="5" s="1"/>
  <c r="D162" i="5"/>
  <c r="F214" i="5"/>
  <c r="G108" i="5"/>
  <c r="F162" i="5"/>
  <c r="E160" i="5"/>
  <c r="C219" i="5"/>
  <c r="BL219" i="5" s="1"/>
  <c r="BN219" i="5" s="1"/>
  <c r="K47" i="5"/>
  <c r="AL47" i="5" s="1"/>
  <c r="L94" i="5"/>
  <c r="K62" i="5"/>
  <c r="E113" i="5"/>
  <c r="E59" i="5"/>
  <c r="AH59" i="5" s="1"/>
  <c r="AI59" i="5" s="1"/>
  <c r="G79" i="5"/>
  <c r="G123" i="5"/>
  <c r="F121" i="5"/>
  <c r="AZ121" i="5" s="1"/>
  <c r="F22" i="5"/>
  <c r="H69" i="5"/>
  <c r="D119" i="5"/>
  <c r="AQ119" i="5" s="1"/>
  <c r="BA119" i="5" s="1"/>
  <c r="I161" i="5"/>
  <c r="J119" i="5"/>
  <c r="E88" i="5"/>
  <c r="G50" i="5"/>
  <c r="AZ50" i="5" s="1"/>
  <c r="C13" i="5"/>
  <c r="BL13" i="5" s="1"/>
  <c r="BP13" i="5" s="1"/>
  <c r="G186" i="5"/>
  <c r="I190" i="5"/>
  <c r="W190" i="5" s="1"/>
  <c r="J90" i="5"/>
  <c r="C171" i="5"/>
  <c r="BL171" i="5" s="1"/>
  <c r="BP171" i="5" s="1"/>
  <c r="H65" i="5"/>
  <c r="J89" i="5"/>
  <c r="E32" i="5"/>
  <c r="F86" i="5"/>
  <c r="K121" i="5"/>
  <c r="F42" i="5"/>
  <c r="AZ42" i="5" s="1"/>
  <c r="F27" i="5"/>
  <c r="AZ27" i="5" s="1"/>
  <c r="E15" i="5"/>
  <c r="C43" i="5"/>
  <c r="BL43" i="5" s="1"/>
  <c r="BN43" i="5" s="1"/>
  <c r="I48" i="5"/>
  <c r="W48" i="5" s="1"/>
  <c r="K206" i="5"/>
  <c r="U206" i="5" s="1"/>
  <c r="D125" i="5"/>
  <c r="H177" i="5"/>
  <c r="E82" i="5"/>
  <c r="AH82" i="5" s="1"/>
  <c r="AI82" i="5" s="1"/>
  <c r="I51" i="5"/>
  <c r="W51" i="5" s="1"/>
  <c r="H185" i="5"/>
  <c r="C26" i="5"/>
  <c r="BL26" i="5" s="1"/>
  <c r="K87" i="5"/>
  <c r="U87" i="5" s="1"/>
  <c r="L196" i="5"/>
  <c r="C182" i="5"/>
  <c r="BL182" i="5" s="1"/>
  <c r="J105" i="5"/>
  <c r="I47" i="5"/>
  <c r="W47" i="5" s="1"/>
  <c r="D31" i="5"/>
  <c r="G13" i="5"/>
  <c r="AZ13" i="5" s="1"/>
  <c r="E141" i="5"/>
  <c r="L24" i="5"/>
  <c r="J124" i="5"/>
  <c r="AL124" i="5" s="1"/>
  <c r="D111" i="5"/>
  <c r="J25" i="5"/>
  <c r="AL25" i="5" s="1"/>
  <c r="E89" i="5"/>
  <c r="J126" i="5"/>
  <c r="E164" i="5"/>
  <c r="K164" i="5"/>
  <c r="U164" i="5" s="1"/>
  <c r="I25" i="5"/>
  <c r="W25" i="5" s="1"/>
  <c r="E187" i="5"/>
  <c r="I194" i="5"/>
  <c r="J73" i="5"/>
  <c r="F52" i="5"/>
  <c r="K202" i="5"/>
  <c r="I100" i="5"/>
  <c r="W100" i="5" s="1"/>
  <c r="D181" i="5"/>
  <c r="AQ181" i="5" s="1"/>
  <c r="BA181" i="5" s="1"/>
  <c r="F69" i="5"/>
  <c r="G160" i="5"/>
  <c r="AZ160" i="5" s="1"/>
  <c r="C122" i="5"/>
  <c r="BL122" i="5" s="1"/>
  <c r="BN122" i="5" s="1"/>
  <c r="H178" i="5"/>
  <c r="I95" i="5"/>
  <c r="W95" i="5" s="1"/>
  <c r="D172" i="5"/>
  <c r="C147" i="5"/>
  <c r="BL147" i="5" s="1"/>
  <c r="I219" i="5"/>
  <c r="W219" i="5" s="1"/>
  <c r="L33" i="5"/>
  <c r="J101" i="5"/>
  <c r="AL101" i="5" s="1"/>
  <c r="G23" i="5"/>
  <c r="D149" i="5"/>
  <c r="F154" i="5"/>
  <c r="I29" i="5"/>
  <c r="J168" i="5"/>
  <c r="AL168" i="5" s="1"/>
  <c r="E91" i="5"/>
  <c r="AH91" i="5" s="1"/>
  <c r="AI91" i="5" s="1"/>
  <c r="E173" i="5"/>
  <c r="AH173" i="5" s="1"/>
  <c r="AI173" i="5" s="1"/>
  <c r="E109" i="5"/>
  <c r="I19" i="5"/>
  <c r="E44" i="5"/>
  <c r="G102" i="5"/>
  <c r="K16" i="5"/>
  <c r="E177" i="5"/>
  <c r="AH177" i="5" s="1"/>
  <c r="AI177" i="5" s="1"/>
  <c r="C14" i="5"/>
  <c r="BL14" i="5" s="1"/>
  <c r="L38" i="5"/>
  <c r="G132" i="5"/>
  <c r="F48" i="5"/>
  <c r="AZ48" i="5" s="1"/>
  <c r="J194" i="5"/>
  <c r="C163" i="5"/>
  <c r="BL163" i="5" s="1"/>
  <c r="BN163" i="5" s="1"/>
  <c r="F155" i="5"/>
  <c r="I64" i="5"/>
  <c r="W64" i="5" s="1"/>
  <c r="D224" i="5"/>
  <c r="F26" i="5"/>
  <c r="J123" i="5"/>
  <c r="G184" i="5"/>
  <c r="L214" i="5"/>
  <c r="H195" i="5"/>
  <c r="L149" i="5"/>
  <c r="L93" i="5"/>
  <c r="I191" i="5"/>
  <c r="W191" i="5" s="1"/>
  <c r="J5" i="5"/>
  <c r="J36" i="5"/>
  <c r="C104" i="5"/>
  <c r="BL104" i="5" s="1"/>
  <c r="E165" i="5"/>
  <c r="J84" i="5"/>
  <c r="K24" i="5"/>
  <c r="E194" i="5"/>
  <c r="C50" i="5"/>
  <c r="BL50" i="5" s="1"/>
  <c r="H5" i="5"/>
  <c r="H131" i="5"/>
  <c r="L86" i="5"/>
  <c r="H187" i="5"/>
  <c r="E222" i="5"/>
  <c r="D160" i="5"/>
  <c r="J47" i="5"/>
  <c r="C9" i="5"/>
  <c r="BL9" i="5" s="1"/>
  <c r="G191" i="5"/>
  <c r="C101" i="5"/>
  <c r="BL101" i="5" s="1"/>
  <c r="G120" i="5"/>
  <c r="C215" i="5"/>
  <c r="BL215" i="5" s="1"/>
  <c r="G130" i="5"/>
  <c r="F12" i="5"/>
  <c r="AZ12" i="5" s="1"/>
  <c r="D29" i="5"/>
  <c r="AQ29" i="5" s="1"/>
  <c r="BA29" i="5" s="1"/>
  <c r="AF225" i="5"/>
  <c r="G190" i="5"/>
  <c r="I167" i="5"/>
  <c r="W167" i="5" s="1"/>
  <c r="E148" i="5"/>
  <c r="AH148" i="5" s="1"/>
  <c r="AI148" i="5" s="1"/>
  <c r="H79" i="5"/>
  <c r="K124" i="5"/>
  <c r="U124" i="5" s="1"/>
  <c r="C41" i="5"/>
  <c r="BL41" i="5" s="1"/>
  <c r="C166" i="5"/>
  <c r="BL166" i="5" s="1"/>
  <c r="BN166" i="5" s="1"/>
  <c r="D150" i="5"/>
  <c r="F93" i="5"/>
  <c r="D7" i="5"/>
  <c r="AQ7" i="5" s="1"/>
  <c r="BA7" i="5" s="1"/>
  <c r="F97" i="5"/>
  <c r="AZ97" i="5" s="1"/>
  <c r="J169" i="5"/>
  <c r="F10" i="5"/>
  <c r="C57" i="5"/>
  <c r="BL57" i="5" s="1"/>
  <c r="D206" i="5"/>
  <c r="J88" i="5"/>
  <c r="L185" i="5"/>
  <c r="F191" i="5"/>
  <c r="G109" i="5"/>
  <c r="E23" i="5"/>
  <c r="G85" i="5"/>
  <c r="J145" i="5"/>
  <c r="J79" i="5"/>
  <c r="D86" i="5"/>
  <c r="I59" i="5"/>
  <c r="W59" i="5" s="1"/>
  <c r="G101" i="5"/>
  <c r="L79" i="5"/>
  <c r="J111" i="5"/>
  <c r="C91" i="5"/>
  <c r="BL91" i="5" s="1"/>
  <c r="L178" i="5"/>
  <c r="AB178" i="5" s="1"/>
  <c r="AW178" i="5" s="1"/>
  <c r="E118" i="5"/>
  <c r="K64" i="5"/>
  <c r="U64" i="5" s="1"/>
  <c r="L172" i="5"/>
  <c r="K42" i="5"/>
  <c r="U42" i="5" s="1"/>
  <c r="F36" i="5"/>
  <c r="AZ36" i="5" s="1"/>
  <c r="F204" i="5"/>
  <c r="F180" i="5"/>
  <c r="E96" i="5"/>
  <c r="H181" i="5"/>
  <c r="K131" i="5"/>
  <c r="I208" i="5"/>
  <c r="C20" i="5"/>
  <c r="BL20" i="5" s="1"/>
  <c r="K37" i="5"/>
  <c r="G34" i="5"/>
  <c r="L217" i="5"/>
  <c r="D11" i="5"/>
  <c r="F200" i="5"/>
  <c r="G40" i="5"/>
  <c r="J137" i="5"/>
  <c r="D35" i="5"/>
  <c r="J170" i="5"/>
  <c r="I124" i="5"/>
  <c r="W124" i="5" s="1"/>
  <c r="C192" i="5"/>
  <c r="BL192" i="5" s="1"/>
  <c r="BP192" i="5" s="1"/>
  <c r="H133" i="5"/>
  <c r="J203" i="5"/>
  <c r="J135" i="5"/>
  <c r="D210" i="5"/>
  <c r="L9" i="5"/>
  <c r="D95" i="5"/>
  <c r="AQ95" i="5" s="1"/>
  <c r="BA95" i="5" s="1"/>
  <c r="G219" i="5"/>
  <c r="E112" i="5"/>
  <c r="G155" i="5"/>
  <c r="G89" i="5"/>
  <c r="I103" i="5"/>
  <c r="H171" i="5"/>
  <c r="E186" i="5"/>
  <c r="AB186" i="5" s="1"/>
  <c r="AW186" i="5" s="1"/>
  <c r="D190" i="5"/>
  <c r="F99" i="5"/>
  <c r="H182" i="5"/>
  <c r="G99" i="5"/>
  <c r="J23" i="5"/>
  <c r="AL23" i="5" s="1"/>
  <c r="G84" i="5"/>
  <c r="I155" i="5"/>
  <c r="J34" i="5"/>
  <c r="G210" i="5"/>
  <c r="H175" i="5"/>
  <c r="L210" i="5"/>
  <c r="F61" i="5"/>
  <c r="C82" i="5"/>
  <c r="BL82" i="5" s="1"/>
  <c r="K72" i="5"/>
  <c r="L22" i="5"/>
  <c r="G183" i="5"/>
  <c r="AZ183" i="5" s="1"/>
  <c r="D156" i="5"/>
  <c r="AQ156" i="5" s="1"/>
  <c r="BA156" i="5" s="1"/>
  <c r="J67" i="5"/>
  <c r="L190" i="5"/>
  <c r="D164" i="5"/>
  <c r="F29" i="5"/>
  <c r="AZ29" i="5" s="1"/>
  <c r="C42" i="5"/>
  <c r="BL42" i="5" s="1"/>
  <c r="BP42" i="5" s="1"/>
  <c r="C81" i="5"/>
  <c r="BL81" i="5" s="1"/>
  <c r="BN81" i="5" s="1"/>
  <c r="I150" i="5"/>
  <c r="W150" i="5" s="1"/>
  <c r="F128" i="5"/>
  <c r="L20" i="5"/>
  <c r="F35" i="5"/>
  <c r="D19" i="5"/>
  <c r="E125" i="5"/>
  <c r="G139" i="5"/>
  <c r="L97" i="5"/>
  <c r="AB97" i="5" s="1"/>
  <c r="AO97" i="5" s="1"/>
  <c r="I143" i="5"/>
  <c r="W143" i="5" s="1"/>
  <c r="D17" i="5"/>
  <c r="D213" i="5"/>
  <c r="I108" i="5"/>
  <c r="I39" i="5"/>
  <c r="J86" i="5"/>
  <c r="L223" i="5"/>
  <c r="AQ223" i="5" s="1"/>
  <c r="BA223" i="5" s="1"/>
  <c r="J110" i="5"/>
  <c r="D45" i="5"/>
  <c r="K35" i="5"/>
  <c r="L68" i="5"/>
  <c r="D68" i="5"/>
  <c r="H106" i="5"/>
  <c r="G147" i="5"/>
  <c r="G221" i="5"/>
  <c r="E21" i="5"/>
  <c r="E150" i="5"/>
  <c r="AH150" i="5" s="1"/>
  <c r="AI150" i="5" s="1"/>
  <c r="J216" i="5"/>
  <c r="J192" i="5"/>
  <c r="F211" i="5"/>
  <c r="I52" i="5"/>
  <c r="H43" i="5"/>
  <c r="E168" i="5"/>
  <c r="AH168" i="5" s="1"/>
  <c r="AI168" i="5" s="1"/>
  <c r="L83" i="5"/>
  <c r="J164" i="5"/>
  <c r="K97" i="5"/>
  <c r="U97" i="5" s="1"/>
  <c r="G69" i="5"/>
  <c r="I195" i="5"/>
  <c r="W195" i="5" s="1"/>
  <c r="H204" i="5"/>
  <c r="F55" i="5"/>
  <c r="H85" i="5"/>
  <c r="E63" i="5"/>
  <c r="H33" i="5"/>
  <c r="G58" i="5"/>
  <c r="AZ58" i="5" s="1"/>
  <c r="K214" i="5"/>
  <c r="H83" i="5"/>
  <c r="F116" i="5"/>
  <c r="K215" i="5"/>
  <c r="J130" i="5"/>
  <c r="E22" i="5"/>
  <c r="AH22" i="5" s="1"/>
  <c r="AI22" i="5" s="1"/>
  <c r="L126" i="5"/>
  <c r="H103" i="5"/>
  <c r="C60" i="5"/>
  <c r="BL60" i="5" s="1"/>
  <c r="L95" i="5"/>
  <c r="I224" i="5"/>
  <c r="W224" i="5" s="1"/>
  <c r="Z224" i="5" s="1"/>
  <c r="AA224" i="5" s="1"/>
  <c r="J104" i="5"/>
  <c r="D2" i="5"/>
  <c r="K63" i="5"/>
  <c r="U63" i="5" s="1"/>
  <c r="D9" i="5"/>
  <c r="K180" i="5"/>
  <c r="L176" i="5"/>
  <c r="E17" i="5"/>
  <c r="AH17" i="5" s="1"/>
  <c r="AI17" i="5" s="1"/>
  <c r="D80" i="5"/>
  <c r="K188" i="5"/>
  <c r="K133" i="5"/>
  <c r="U133" i="5" s="1"/>
  <c r="I154" i="5"/>
  <c r="G6" i="5"/>
  <c r="C108" i="5"/>
  <c r="BL108" i="5" s="1"/>
  <c r="BP108" i="5" s="1"/>
  <c r="G65" i="5"/>
  <c r="K119" i="5"/>
  <c r="U119" i="5" s="1"/>
  <c r="G198" i="5"/>
  <c r="E188" i="5"/>
  <c r="L75" i="5"/>
  <c r="L219" i="5"/>
  <c r="K156" i="5"/>
  <c r="D194" i="5"/>
  <c r="E64" i="5"/>
  <c r="AH64" i="5" s="1"/>
  <c r="AI64" i="5" s="1"/>
  <c r="I11" i="5"/>
  <c r="W11" i="5" s="1"/>
  <c r="L189" i="5"/>
  <c r="F177" i="5"/>
  <c r="AZ177" i="5" s="1"/>
  <c r="K25" i="5"/>
  <c r="U25" i="5" s="1"/>
  <c r="J198" i="5"/>
  <c r="J176" i="5"/>
  <c r="D153" i="5"/>
  <c r="AQ153" i="5" s="1"/>
  <c r="BA153" i="5" s="1"/>
  <c r="J109" i="5"/>
  <c r="G10" i="5"/>
  <c r="G68" i="5"/>
  <c r="L52" i="5"/>
  <c r="F114" i="5"/>
  <c r="AZ114" i="5" s="1"/>
  <c r="E216" i="5"/>
  <c r="AH216" i="5" s="1"/>
  <c r="AI216" i="5" s="1"/>
  <c r="L152" i="5"/>
  <c r="F216" i="5"/>
  <c r="AZ216" i="5" s="1"/>
  <c r="K56" i="5"/>
  <c r="I73" i="5"/>
  <c r="H179" i="5"/>
  <c r="G5" i="5"/>
  <c r="AZ5" i="5" s="1"/>
  <c r="C222" i="5"/>
  <c r="BL222" i="5" s="1"/>
  <c r="BN222" i="5" s="1"/>
  <c r="E219" i="5"/>
  <c r="AH219" i="5" s="1"/>
  <c r="AI219" i="5" s="1"/>
  <c r="L177" i="5"/>
  <c r="I80" i="5"/>
  <c r="W80" i="5" s="1"/>
  <c r="L165" i="5"/>
  <c r="AB165" i="5" s="1"/>
  <c r="AW165" i="5" s="1"/>
  <c r="C33" i="5"/>
  <c r="BL33" i="5" s="1"/>
  <c r="BN33" i="5" s="1"/>
  <c r="L78" i="5"/>
  <c r="AB78" i="5" s="1"/>
  <c r="AO78" i="5" s="1"/>
  <c r="AR78" i="5" s="1"/>
  <c r="AS78" i="5" s="1"/>
  <c r="C25" i="5"/>
  <c r="BL25" i="5" s="1"/>
  <c r="D173" i="5"/>
  <c r="K30" i="5"/>
  <c r="H147" i="5"/>
  <c r="J103" i="5"/>
  <c r="L155" i="5"/>
  <c r="I164" i="5"/>
  <c r="D97" i="5"/>
  <c r="AQ97" i="5" s="1"/>
  <c r="BA97" i="5" s="1"/>
  <c r="H9" i="5"/>
  <c r="L53" i="5"/>
  <c r="E71" i="5"/>
  <c r="AH71" i="5" s="1"/>
  <c r="AI71" i="5" s="1"/>
  <c r="K169" i="5"/>
  <c r="K207" i="5"/>
  <c r="U207" i="5" s="1"/>
  <c r="G90" i="5"/>
  <c r="L106" i="5"/>
  <c r="E11" i="5"/>
  <c r="K139" i="5"/>
  <c r="J155" i="5"/>
  <c r="H48" i="5"/>
  <c r="G140" i="5"/>
  <c r="J92" i="5"/>
  <c r="D106" i="5"/>
  <c r="AQ106" i="5" s="1"/>
  <c r="BA106" i="5" s="1"/>
  <c r="G87" i="5"/>
  <c r="D48" i="5"/>
  <c r="H87" i="5"/>
  <c r="G212" i="5"/>
  <c r="F198" i="5"/>
  <c r="H132" i="5"/>
  <c r="K55" i="5"/>
  <c r="U55" i="5" s="1"/>
  <c r="E126" i="5"/>
  <c r="AH126" i="5" s="1"/>
  <c r="AI126" i="5" s="1"/>
  <c r="L116" i="5"/>
  <c r="K57" i="5"/>
  <c r="J200" i="5"/>
  <c r="G94" i="5"/>
  <c r="AZ94" i="5" s="1"/>
  <c r="C83" i="5"/>
  <c r="BL83" i="5" s="1"/>
  <c r="G115" i="5"/>
  <c r="AZ115" i="5" s="1"/>
  <c r="C125" i="5"/>
  <c r="BL125" i="5" s="1"/>
  <c r="BN125" i="5" s="1"/>
  <c r="C184" i="5"/>
  <c r="BL184" i="5" s="1"/>
  <c r="BN184" i="5" s="1"/>
  <c r="D112" i="5"/>
  <c r="F160" i="5"/>
  <c r="I184" i="5"/>
  <c r="J66" i="5"/>
  <c r="C30" i="5"/>
  <c r="BL30" i="5" s="1"/>
  <c r="BP30" i="5" s="1"/>
  <c r="F126" i="5"/>
  <c r="K74" i="5"/>
  <c r="E182" i="5"/>
  <c r="J114" i="5"/>
  <c r="C211" i="5"/>
  <c r="BL211" i="5" s="1"/>
  <c r="BP211" i="5" s="1"/>
  <c r="D129" i="5"/>
  <c r="AQ129" i="5" s="1"/>
  <c r="BA129" i="5" s="1"/>
  <c r="C19" i="5"/>
  <c r="BL19" i="5" s="1"/>
  <c r="BN19" i="5" s="1"/>
  <c r="H8" i="5"/>
  <c r="I28" i="5"/>
  <c r="F102" i="5"/>
  <c r="J120" i="5"/>
  <c r="C223" i="5"/>
  <c r="BL223" i="5" s="1"/>
  <c r="BP223" i="5" s="1"/>
  <c r="F182" i="5"/>
  <c r="AZ182" i="5" s="1"/>
  <c r="E167" i="5"/>
  <c r="F67" i="5"/>
  <c r="AZ67" i="5" s="1"/>
  <c r="G192" i="5"/>
  <c r="F108" i="5"/>
  <c r="AZ108" i="5" s="1"/>
  <c r="C76" i="5"/>
  <c r="BL76" i="5" s="1"/>
  <c r="G61" i="5"/>
  <c r="C47" i="5"/>
  <c r="BL47" i="5" s="1"/>
  <c r="J46" i="5"/>
  <c r="L62" i="5"/>
  <c r="I71" i="5"/>
  <c r="L43" i="5"/>
  <c r="D96" i="5"/>
  <c r="AQ96" i="5" s="1"/>
  <c r="BA96" i="5" s="1"/>
  <c r="D218" i="5"/>
  <c r="L168" i="5"/>
  <c r="AQ168" i="5" s="1"/>
  <c r="BA168" i="5" s="1"/>
  <c r="F122" i="5"/>
  <c r="F79" i="5"/>
  <c r="AZ79" i="5" s="1"/>
  <c r="D176" i="5"/>
  <c r="AQ176" i="5" s="1"/>
  <c r="BA176" i="5" s="1"/>
  <c r="D180" i="5"/>
  <c r="D158" i="5"/>
  <c r="C212" i="5"/>
  <c r="BL212" i="5" s="1"/>
  <c r="I26" i="5"/>
  <c r="W26" i="5" s="1"/>
  <c r="L207" i="5"/>
  <c r="L130" i="5"/>
  <c r="G149" i="5"/>
  <c r="AZ149" i="5" s="1"/>
  <c r="E208" i="5"/>
  <c r="G164" i="5"/>
  <c r="AZ164" i="5" s="1"/>
  <c r="I207" i="5"/>
  <c r="F127" i="5"/>
  <c r="I147" i="5"/>
  <c r="L27" i="5"/>
  <c r="C209" i="5"/>
  <c r="BL209" i="5" s="1"/>
  <c r="BP209" i="5" s="1"/>
  <c r="J13" i="5"/>
  <c r="K49" i="5"/>
  <c r="U49" i="5" s="1"/>
  <c r="D60" i="5"/>
  <c r="F144" i="5"/>
  <c r="E214" i="5"/>
  <c r="AH214" i="5" s="1"/>
  <c r="AI214" i="5" s="1"/>
  <c r="AD214" i="5" s="1"/>
  <c r="C100" i="5"/>
  <c r="BL100" i="5" s="1"/>
  <c r="BN100" i="5" s="1"/>
  <c r="H17" i="5"/>
  <c r="F142" i="5"/>
  <c r="H211" i="5"/>
  <c r="G166" i="5"/>
  <c r="AZ166" i="5" s="1"/>
  <c r="J22" i="5"/>
  <c r="C12" i="5"/>
  <c r="BL12" i="5" s="1"/>
  <c r="BP12" i="5" s="1"/>
  <c r="E56" i="5"/>
  <c r="D202" i="5"/>
  <c r="I196" i="5"/>
  <c r="W196" i="5" s="1"/>
  <c r="L76" i="5"/>
  <c r="H116" i="5"/>
  <c r="E26" i="5"/>
  <c r="C112" i="5"/>
  <c r="BL112" i="5" s="1"/>
  <c r="F150" i="5"/>
  <c r="D127" i="5"/>
  <c r="D204" i="5"/>
  <c r="L203" i="5"/>
  <c r="D113" i="5"/>
  <c r="L221" i="5"/>
  <c r="D222" i="5"/>
  <c r="AQ222" i="5" s="1"/>
  <c r="BA222" i="5" s="1"/>
  <c r="C193" i="5"/>
  <c r="BL193" i="5" s="1"/>
  <c r="BN193" i="5" s="1"/>
  <c r="J54" i="5"/>
  <c r="H119" i="5"/>
  <c r="G76" i="5"/>
  <c r="K161" i="5"/>
  <c r="E37" i="5"/>
  <c r="AH37" i="5" s="1"/>
  <c r="AI37" i="5" s="1"/>
  <c r="G107" i="5"/>
  <c r="AZ107" i="5" s="1"/>
  <c r="E46" i="5"/>
  <c r="L119" i="5"/>
  <c r="F206" i="5"/>
  <c r="E57" i="5"/>
  <c r="AH57" i="5" s="1"/>
  <c r="AI57" i="5" s="1"/>
  <c r="J70" i="5"/>
  <c r="D92" i="5"/>
  <c r="D184" i="5"/>
  <c r="G163" i="5"/>
  <c r="E80" i="5"/>
  <c r="C175" i="5"/>
  <c r="BL175" i="5" s="1"/>
  <c r="L29" i="5"/>
  <c r="I126" i="5"/>
  <c r="H191" i="5"/>
  <c r="D27" i="5"/>
  <c r="L160" i="5"/>
  <c r="H124" i="5"/>
  <c r="G165" i="5"/>
  <c r="J98" i="5"/>
  <c r="J157" i="5"/>
  <c r="C107" i="5"/>
  <c r="BL107" i="5" s="1"/>
  <c r="G144" i="5"/>
  <c r="K127" i="5"/>
  <c r="E213" i="5"/>
  <c r="D58" i="5"/>
  <c r="AQ58" i="5" s="1"/>
  <c r="BA58" i="5" s="1"/>
  <c r="K21" i="5"/>
  <c r="K118" i="5"/>
  <c r="U118" i="5" s="1"/>
  <c r="C168" i="5"/>
  <c r="BL168" i="5" s="1"/>
  <c r="BP168" i="5" s="1"/>
  <c r="G189" i="5"/>
  <c r="I24" i="5"/>
  <c r="W24" i="5" s="1"/>
  <c r="K67" i="5"/>
  <c r="U67" i="5" s="1"/>
  <c r="K211" i="5"/>
  <c r="U211" i="5" s="1"/>
  <c r="H34" i="5"/>
  <c r="D82" i="5"/>
  <c r="E185" i="5"/>
  <c r="J156" i="5"/>
  <c r="J125" i="5"/>
  <c r="K2" i="5"/>
  <c r="C202" i="5"/>
  <c r="BL202" i="5" s="1"/>
  <c r="BN202" i="5" s="1"/>
  <c r="G117" i="5"/>
  <c r="K102" i="5"/>
  <c r="U102" i="5" s="1"/>
  <c r="F151" i="5"/>
  <c r="AZ151" i="5" s="1"/>
  <c r="L218" i="5"/>
  <c r="C214" i="5"/>
  <c r="BL214" i="5" s="1"/>
  <c r="BN214" i="5" s="1"/>
  <c r="K120" i="5"/>
  <c r="U120" i="5" s="1"/>
  <c r="E85" i="5"/>
  <c r="K146" i="5"/>
  <c r="L222" i="5"/>
  <c r="K198" i="5"/>
  <c r="I201" i="5"/>
  <c r="W201" i="5" s="1"/>
  <c r="G151" i="5"/>
  <c r="D108" i="5"/>
  <c r="I169" i="5"/>
  <c r="W169" i="5" s="1"/>
  <c r="H200" i="5"/>
  <c r="H94" i="5"/>
  <c r="H137" i="5"/>
  <c r="K196" i="5"/>
  <c r="U196" i="5" s="1"/>
  <c r="H56" i="5"/>
  <c r="C35" i="5"/>
  <c r="BL35" i="5" s="1"/>
  <c r="I57" i="5"/>
  <c r="W57" i="5" s="1"/>
  <c r="D169" i="5"/>
  <c r="AQ169" i="5" s="1"/>
  <c r="BA169" i="5" s="1"/>
  <c r="G128" i="5"/>
  <c r="AZ128" i="5" s="1"/>
  <c r="G167" i="5"/>
  <c r="F111" i="5"/>
  <c r="D134" i="5"/>
  <c r="D203" i="5"/>
  <c r="E6" i="5"/>
  <c r="H190" i="5"/>
  <c r="I111" i="5"/>
  <c r="D14" i="5"/>
  <c r="K197" i="5"/>
  <c r="J148" i="5"/>
  <c r="L46" i="5"/>
  <c r="F9" i="5"/>
  <c r="AZ9" i="5" s="1"/>
  <c r="G104" i="5"/>
  <c r="J224" i="5"/>
  <c r="H186" i="5"/>
  <c r="G170" i="5"/>
  <c r="AZ170" i="5" s="1"/>
  <c r="C199" i="5"/>
  <c r="BL199" i="5" s="1"/>
  <c r="I21" i="5"/>
  <c r="W21" i="5" s="1"/>
  <c r="G141" i="5"/>
  <c r="F89" i="5"/>
  <c r="J40" i="5"/>
  <c r="AL40" i="5" s="1"/>
  <c r="G2" i="5"/>
  <c r="I109" i="5"/>
  <c r="J58" i="5"/>
  <c r="G156" i="5"/>
  <c r="F56" i="5"/>
  <c r="F88" i="5"/>
  <c r="F4" i="5"/>
  <c r="AZ4" i="5" s="1"/>
  <c r="H15" i="5"/>
  <c r="D100" i="5"/>
  <c r="J26" i="5"/>
  <c r="L25" i="5"/>
  <c r="G162" i="5"/>
  <c r="AZ162" i="5" s="1"/>
  <c r="E107" i="5"/>
  <c r="J207" i="5"/>
  <c r="G158" i="5"/>
  <c r="AZ158" i="5" s="1"/>
  <c r="L142" i="5"/>
  <c r="C172" i="5"/>
  <c r="BL172" i="5" s="1"/>
  <c r="J143" i="5"/>
  <c r="L81" i="5"/>
  <c r="G223" i="5"/>
  <c r="H13" i="5"/>
  <c r="D21" i="5"/>
  <c r="I204" i="5"/>
  <c r="W204" i="5" s="1"/>
  <c r="I33" i="5"/>
  <c r="K171" i="5"/>
  <c r="U171" i="5" s="1"/>
  <c r="I14" i="5"/>
  <c r="W14" i="5" s="1"/>
  <c r="K7" i="5"/>
  <c r="U7" i="5" s="1"/>
  <c r="L140" i="5"/>
  <c r="E70" i="5"/>
  <c r="H27" i="5"/>
  <c r="F17" i="5"/>
  <c r="AZ17" i="5" s="1"/>
  <c r="F15" i="5"/>
  <c r="G171" i="5"/>
  <c r="I131" i="5"/>
  <c r="W131" i="5" s="1"/>
  <c r="L72" i="5"/>
  <c r="AB72" i="5" s="1"/>
  <c r="AO72" i="5" s="1"/>
  <c r="AR72" i="5" s="1"/>
  <c r="F112" i="5"/>
  <c r="AZ112" i="5" s="1"/>
  <c r="D5" i="5"/>
  <c r="F43" i="5"/>
  <c r="AZ43" i="5" s="1"/>
  <c r="D30" i="5"/>
  <c r="AQ30" i="5" s="1"/>
  <c r="BA30" i="5" s="1"/>
  <c r="K216" i="5"/>
  <c r="U216" i="5" s="1"/>
  <c r="E8" i="5"/>
  <c r="D163" i="5"/>
  <c r="J142" i="5"/>
  <c r="K80" i="5"/>
  <c r="U80" i="5" s="1"/>
  <c r="K58" i="5"/>
  <c r="U58" i="5" s="1"/>
  <c r="G157" i="5"/>
  <c r="F146" i="5"/>
  <c r="AZ146" i="5" s="1"/>
  <c r="K19" i="5"/>
  <c r="K34" i="5"/>
  <c r="U34" i="5" s="1"/>
  <c r="I151" i="5"/>
  <c r="C2" i="5"/>
  <c r="BL2" i="5" s="1"/>
  <c r="K32" i="5"/>
  <c r="U32" i="5" s="1"/>
  <c r="L188" i="5"/>
  <c r="I114" i="5"/>
  <c r="W114" i="5" s="1"/>
  <c r="H149" i="5"/>
  <c r="F136" i="5"/>
  <c r="J82" i="5"/>
  <c r="J85" i="5"/>
  <c r="AL85" i="5" s="1"/>
  <c r="D20" i="5"/>
  <c r="G173" i="5"/>
  <c r="L102" i="5"/>
  <c r="F98" i="5"/>
  <c r="AZ98" i="5" s="1"/>
  <c r="G35" i="5"/>
  <c r="AZ35" i="5" s="1"/>
  <c r="J83" i="5"/>
  <c r="H61" i="5"/>
  <c r="H176" i="5"/>
  <c r="H218" i="5"/>
  <c r="C75" i="5"/>
  <c r="BL75" i="5" s="1"/>
  <c r="BP75" i="5" s="1"/>
  <c r="G188" i="5"/>
  <c r="I148" i="5"/>
  <c r="I120" i="5"/>
  <c r="W120" i="5" s="1"/>
  <c r="C129" i="5"/>
  <c r="BL129" i="5" s="1"/>
  <c r="J188" i="5"/>
  <c r="L191" i="5"/>
  <c r="H6" i="5"/>
  <c r="G49" i="5"/>
  <c r="H203" i="5"/>
  <c r="H188" i="5"/>
  <c r="D51" i="5"/>
  <c r="G187" i="5"/>
  <c r="G25" i="5"/>
  <c r="L127" i="5"/>
  <c r="J50" i="5"/>
  <c r="K167" i="5"/>
  <c r="D178" i="5"/>
  <c r="J72" i="5"/>
  <c r="E34" i="5"/>
  <c r="AH34" i="5" s="1"/>
  <c r="AI34" i="5" s="1"/>
  <c r="AD34" i="5" s="1"/>
  <c r="L118" i="5"/>
  <c r="G38" i="5"/>
  <c r="J41" i="5"/>
  <c r="E199" i="5"/>
  <c r="J208" i="5"/>
  <c r="I182" i="5"/>
  <c r="W182" i="5" s="1"/>
  <c r="I36" i="5"/>
  <c r="W36" i="5" s="1"/>
  <c r="Z36" i="5" s="1"/>
  <c r="AA36" i="5" s="1"/>
  <c r="D18" i="5"/>
  <c r="I93" i="5"/>
  <c r="W93" i="5" s="1"/>
  <c r="I42" i="5"/>
  <c r="W42" i="5" s="1"/>
  <c r="K192" i="5"/>
  <c r="L82" i="5"/>
  <c r="F193" i="5"/>
  <c r="L61" i="5"/>
  <c r="L132" i="5"/>
  <c r="E169" i="5"/>
  <c r="G52" i="5"/>
  <c r="H104" i="5"/>
  <c r="H210" i="5"/>
  <c r="F103" i="5"/>
  <c r="I189" i="5"/>
  <c r="W189" i="5" s="1"/>
  <c r="E205" i="5"/>
  <c r="D139" i="5"/>
  <c r="D215" i="5"/>
  <c r="I122" i="5"/>
  <c r="W122" i="5" s="1"/>
  <c r="E217" i="5"/>
  <c r="G106" i="5"/>
  <c r="E137" i="5"/>
  <c r="I76" i="5"/>
  <c r="W76" i="5" s="1"/>
  <c r="G45" i="5"/>
  <c r="F33" i="5"/>
  <c r="K170" i="5"/>
  <c r="U170" i="5" s="1"/>
  <c r="E203" i="5"/>
  <c r="G86" i="5"/>
  <c r="D54" i="5"/>
  <c r="AQ54" i="5" s="1"/>
  <c r="BA54" i="5" s="1"/>
  <c r="K100" i="5"/>
  <c r="E119" i="5"/>
  <c r="I139" i="5"/>
  <c r="W139" i="5" s="1"/>
  <c r="F149" i="5"/>
  <c r="F78" i="5"/>
  <c r="H215" i="5"/>
  <c r="K14" i="5"/>
  <c r="K71" i="5"/>
  <c r="L138" i="5"/>
  <c r="F223" i="5"/>
  <c r="AZ223" i="5" s="1"/>
  <c r="E212" i="5"/>
  <c r="I178" i="5"/>
  <c r="F28" i="5"/>
  <c r="AZ28" i="5" s="1"/>
  <c r="F47" i="5"/>
  <c r="G159" i="5"/>
  <c r="E123" i="5"/>
  <c r="AH123" i="5" s="1"/>
  <c r="AI123" i="5" s="1"/>
  <c r="J62" i="5"/>
  <c r="C201" i="5"/>
  <c r="BL201" i="5" s="1"/>
  <c r="BP201" i="5" s="1"/>
  <c r="J160" i="5"/>
  <c r="I13" i="5"/>
  <c r="D101" i="5"/>
  <c r="H207" i="5"/>
  <c r="E24" i="5"/>
  <c r="AB24" i="5" s="1"/>
  <c r="AO24" i="5" s="1"/>
  <c r="AR24" i="5" s="1"/>
  <c r="I98" i="5"/>
  <c r="W98" i="5" s="1"/>
  <c r="Z98" i="5" s="1"/>
  <c r="AA98" i="5" s="1"/>
  <c r="K65" i="5"/>
  <c r="D50" i="5"/>
  <c r="F64" i="5"/>
  <c r="C99" i="5"/>
  <c r="BL99" i="5" s="1"/>
  <c r="BN99" i="5" s="1"/>
  <c r="D221" i="5"/>
  <c r="AQ221" i="5" s="1"/>
  <c r="BA221" i="5" s="1"/>
  <c r="C79" i="5"/>
  <c r="BL79" i="5" s="1"/>
  <c r="BP79" i="5" s="1"/>
  <c r="C105" i="5"/>
  <c r="BL105" i="5" s="1"/>
  <c r="BP105" i="5" s="1"/>
  <c r="L11" i="5"/>
  <c r="L186" i="5"/>
  <c r="H120" i="5"/>
  <c r="J60" i="5"/>
  <c r="C204" i="5"/>
  <c r="BL204" i="5" s="1"/>
  <c r="L45" i="5"/>
  <c r="G82" i="5"/>
  <c r="F148" i="5"/>
  <c r="E218" i="5"/>
  <c r="F171" i="5"/>
  <c r="AZ171" i="5" s="1"/>
  <c r="F125" i="5"/>
  <c r="C185" i="5"/>
  <c r="BL185" i="5" s="1"/>
  <c r="BP185" i="5" s="1"/>
  <c r="I175" i="5"/>
  <c r="W175" i="5" s="1"/>
  <c r="Z175" i="5" s="1"/>
  <c r="AA175" i="5" s="1"/>
  <c r="C188" i="5"/>
  <c r="BL188" i="5" s="1"/>
  <c r="D105" i="5"/>
  <c r="AQ105" i="5" s="1"/>
  <c r="BA105" i="5" s="1"/>
  <c r="K168" i="5"/>
  <c r="U168" i="5" s="1"/>
  <c r="C154" i="5"/>
  <c r="BL154" i="5" s="1"/>
  <c r="D41" i="5"/>
  <c r="K83" i="5"/>
  <c r="U83" i="5" s="1"/>
  <c r="K200" i="5"/>
  <c r="U200" i="5" s="1"/>
  <c r="E131" i="5"/>
  <c r="H49" i="5"/>
  <c r="F77" i="5"/>
  <c r="H134" i="5"/>
  <c r="H46" i="5"/>
  <c r="L48" i="5"/>
  <c r="J2" i="5"/>
  <c r="E147" i="5"/>
  <c r="K18" i="5"/>
  <c r="U18" i="5" s="1"/>
  <c r="G200" i="5"/>
  <c r="J205" i="5"/>
  <c r="F57" i="5"/>
  <c r="J21" i="5"/>
  <c r="I138" i="5"/>
  <c r="W138" i="5" s="1"/>
  <c r="H196" i="5"/>
  <c r="H45" i="5"/>
  <c r="G203" i="5"/>
  <c r="AZ203" i="5" s="1"/>
  <c r="K137" i="5"/>
  <c r="U137" i="5" s="1"/>
  <c r="D102" i="5"/>
  <c r="AQ102" i="5" s="1"/>
  <c r="BA102" i="5" s="1"/>
  <c r="H217" i="5"/>
  <c r="K189" i="5"/>
  <c r="I75" i="5"/>
  <c r="I144" i="5"/>
  <c r="W144" i="5" s="1"/>
  <c r="G30" i="5"/>
  <c r="E195" i="5"/>
  <c r="G153" i="5"/>
  <c r="AZ153" i="5" s="1"/>
  <c r="D40" i="5"/>
  <c r="H221" i="5"/>
  <c r="E12" i="5"/>
  <c r="G113" i="5"/>
  <c r="AZ113" i="5" s="1"/>
  <c r="E163" i="5"/>
  <c r="F71" i="5"/>
  <c r="AZ71" i="5" s="1"/>
  <c r="D120" i="5"/>
  <c r="G199" i="5"/>
  <c r="I96" i="5"/>
  <c r="W96" i="5" s="1"/>
  <c r="K181" i="5"/>
  <c r="U181" i="5" s="1"/>
  <c r="D76" i="5"/>
  <c r="G174" i="5"/>
  <c r="AZ174" i="5" s="1"/>
  <c r="K151" i="5"/>
  <c r="K76" i="5"/>
  <c r="U76" i="5" s="1"/>
  <c r="L202" i="5"/>
  <c r="G215" i="5"/>
  <c r="D69" i="5"/>
  <c r="C24" i="5"/>
  <c r="BL24" i="5" s="1"/>
  <c r="BP24" i="5" s="1"/>
  <c r="E133" i="5"/>
  <c r="D59" i="5"/>
  <c r="G48" i="5"/>
  <c r="E42" i="5"/>
  <c r="I202" i="5"/>
  <c r="E111" i="5"/>
  <c r="D141" i="5"/>
  <c r="H154" i="5"/>
  <c r="F141" i="5"/>
  <c r="AZ141" i="5" s="1"/>
  <c r="I101" i="5"/>
  <c r="L10" i="5"/>
  <c r="K163" i="5"/>
  <c r="U163" i="5" s="1"/>
  <c r="J196" i="5"/>
  <c r="AL196" i="5" s="1"/>
  <c r="G18" i="5"/>
  <c r="AZ18" i="5" s="1"/>
  <c r="E33" i="5"/>
  <c r="F167" i="5"/>
  <c r="D98" i="5"/>
  <c r="I135" i="5"/>
  <c r="W135" i="5" s="1"/>
  <c r="L87" i="5"/>
  <c r="C143" i="5"/>
  <c r="BL143" i="5" s="1"/>
  <c r="BP143" i="5" s="1"/>
  <c r="G14" i="5"/>
  <c r="AZ14" i="5" s="1"/>
  <c r="G96" i="5"/>
  <c r="D13" i="5"/>
  <c r="AQ13" i="5" s="1"/>
  <c r="BA13" i="5" s="1"/>
  <c r="K205" i="5"/>
  <c r="U205" i="5" s="1"/>
  <c r="E135" i="5"/>
  <c r="J9" i="5"/>
  <c r="K111" i="5"/>
  <c r="U111" i="5" s="1"/>
  <c r="I60" i="5"/>
  <c r="E179" i="5"/>
  <c r="AH179" i="5" s="1"/>
  <c r="AI179" i="5" s="1"/>
  <c r="D116" i="5"/>
  <c r="E104" i="5"/>
  <c r="H80" i="5"/>
  <c r="H166" i="5"/>
  <c r="E129" i="5"/>
  <c r="L40" i="5"/>
  <c r="Z40" i="5" s="1"/>
  <c r="AA40" i="5" s="1"/>
  <c r="L90" i="5"/>
  <c r="J49" i="5"/>
  <c r="E48" i="5"/>
  <c r="K50" i="5"/>
  <c r="U50" i="5" s="1"/>
  <c r="H130" i="5"/>
  <c r="H194" i="5"/>
  <c r="K94" i="5"/>
  <c r="AL94" i="5" s="1"/>
  <c r="I200" i="5"/>
  <c r="W200" i="5" s="1"/>
  <c r="K143" i="5"/>
  <c r="U143" i="5" s="1"/>
  <c r="D90" i="5"/>
  <c r="AQ90" i="5" s="1"/>
  <c r="BA90" i="5" s="1"/>
  <c r="J140" i="5"/>
  <c r="E39" i="5"/>
  <c r="D151" i="5"/>
  <c r="F20" i="5"/>
  <c r="AZ20" i="5" s="1"/>
  <c r="H183" i="5"/>
  <c r="H201" i="5"/>
  <c r="F185" i="5"/>
  <c r="J96" i="5"/>
  <c r="G39" i="5"/>
  <c r="C56" i="5"/>
  <c r="BL56" i="5" s="1"/>
  <c r="BN56" i="5" s="1"/>
  <c r="E200" i="5"/>
  <c r="E69" i="5"/>
  <c r="AH69" i="5" s="1"/>
  <c r="AI69" i="5" s="1"/>
  <c r="J222" i="5"/>
  <c r="J131" i="5"/>
  <c r="K96" i="5"/>
  <c r="U96" i="5" s="1"/>
  <c r="I38" i="5"/>
  <c r="AL38" i="5" s="1"/>
  <c r="G126" i="5"/>
  <c r="AZ126" i="5" s="1"/>
  <c r="L63" i="5"/>
  <c r="D165" i="5"/>
  <c r="J52" i="5"/>
  <c r="C195" i="5"/>
  <c r="BL195" i="5" s="1"/>
  <c r="G201" i="5"/>
  <c r="E94" i="5"/>
  <c r="L2" i="5"/>
  <c r="J16" i="5"/>
  <c r="I35" i="5"/>
  <c r="W35" i="5" s="1"/>
  <c r="Z35" i="5" s="1"/>
  <c r="AA35" i="5" s="1"/>
  <c r="C10" i="5"/>
  <c r="BL10" i="5" s="1"/>
  <c r="I125" i="5"/>
  <c r="W125" i="5" s="1"/>
  <c r="Z125" i="5" s="1"/>
  <c r="AA125" i="5" s="1"/>
  <c r="K90" i="5"/>
  <c r="AL90" i="5" s="1"/>
  <c r="L162" i="5"/>
  <c r="C217" i="5"/>
  <c r="BL217" i="5" s="1"/>
  <c r="BN217" i="5" s="1"/>
  <c r="H206" i="5"/>
  <c r="J215" i="5"/>
  <c r="L70" i="5"/>
  <c r="H91" i="5"/>
  <c r="K93" i="5"/>
  <c r="G54" i="5"/>
  <c r="AZ54" i="5" s="1"/>
  <c r="F179" i="5"/>
  <c r="AZ179" i="5" s="1"/>
  <c r="D167" i="5"/>
  <c r="L148" i="5"/>
  <c r="G8" i="5"/>
  <c r="AZ8" i="5" s="1"/>
  <c r="G176" i="5"/>
  <c r="H223" i="5"/>
  <c r="C87" i="5"/>
  <c r="BL87" i="5" s="1"/>
  <c r="K84" i="5"/>
  <c r="U84" i="5" s="1"/>
  <c r="I159" i="5"/>
  <c r="W159" i="5" s="1"/>
  <c r="H118" i="5"/>
  <c r="D199" i="5"/>
  <c r="AQ199" i="5" s="1"/>
  <c r="BA199" i="5" s="1"/>
  <c r="E67" i="5"/>
  <c r="G150" i="5"/>
  <c r="AZ150" i="5" s="1"/>
  <c r="F163" i="5"/>
  <c r="I70" i="5"/>
  <c r="F201" i="5"/>
  <c r="AZ201" i="5" s="1"/>
  <c r="K223" i="5"/>
  <c r="F209" i="5"/>
  <c r="F219" i="5"/>
  <c r="F63" i="5"/>
  <c r="AZ63" i="5" s="1"/>
  <c r="K38" i="5"/>
  <c r="H38" i="5"/>
  <c r="D140" i="5"/>
  <c r="G202" i="5"/>
  <c r="H12" i="5"/>
  <c r="J138" i="5"/>
  <c r="L55" i="5"/>
  <c r="G83" i="5"/>
  <c r="AZ83" i="5" s="1"/>
  <c r="L58" i="5"/>
  <c r="F124" i="5"/>
  <c r="D157" i="5"/>
  <c r="C213" i="5"/>
  <c r="BL213" i="5" s="1"/>
  <c r="K140" i="5"/>
  <c r="L194" i="5"/>
  <c r="I91" i="5"/>
  <c r="H184" i="5"/>
  <c r="F188" i="5"/>
  <c r="AZ188" i="5" s="1"/>
  <c r="L192" i="5"/>
  <c r="D182" i="5"/>
  <c r="H214" i="5"/>
  <c r="C85" i="5"/>
  <c r="BL85" i="5" s="1"/>
  <c r="I62" i="5"/>
  <c r="C161" i="5"/>
  <c r="BL161" i="5" s="1"/>
  <c r="BP161" i="5" s="1"/>
  <c r="L213" i="5"/>
  <c r="K183" i="5"/>
  <c r="D34" i="5"/>
  <c r="I105" i="5"/>
  <c r="W105" i="5" s="1"/>
  <c r="Z105" i="5" s="1"/>
  <c r="AA105" i="5" s="1"/>
  <c r="I77" i="5"/>
  <c r="W77" i="5" s="1"/>
  <c r="H101" i="5"/>
  <c r="C63" i="5"/>
  <c r="BL63" i="5" s="1"/>
  <c r="K166" i="5"/>
  <c r="AL166" i="5" s="1"/>
  <c r="C102" i="5"/>
  <c r="BL102" i="5" s="1"/>
  <c r="BN102" i="5" s="1"/>
  <c r="H16" i="5"/>
  <c r="I223" i="5"/>
  <c r="W223" i="5" s="1"/>
  <c r="H172" i="5"/>
  <c r="H113" i="5"/>
  <c r="E61" i="5"/>
  <c r="D170" i="5"/>
  <c r="L59" i="5"/>
  <c r="K85" i="5"/>
  <c r="F137" i="5"/>
  <c r="AZ137" i="5" s="1"/>
  <c r="F100" i="5"/>
  <c r="K5" i="5"/>
  <c r="U5" i="5" s="1"/>
  <c r="F84" i="5"/>
  <c r="AZ84" i="5" s="1"/>
  <c r="G145" i="5"/>
  <c r="E115" i="5"/>
  <c r="E76" i="5"/>
  <c r="I99" i="5"/>
  <c r="K91" i="5"/>
  <c r="D78" i="5"/>
  <c r="H114" i="5"/>
  <c r="L92" i="5"/>
  <c r="H121" i="5"/>
  <c r="J165" i="5"/>
  <c r="AL165" i="5" s="1"/>
  <c r="D152" i="5"/>
  <c r="C86" i="5"/>
  <c r="BL86" i="5" s="1"/>
  <c r="D191" i="5"/>
  <c r="K46" i="5"/>
  <c r="U46" i="5" s="1"/>
  <c r="K75" i="5"/>
  <c r="U75" i="5" s="1"/>
  <c r="K154" i="5"/>
  <c r="U154" i="5" s="1"/>
  <c r="F208" i="5"/>
  <c r="I210" i="5"/>
  <c r="W210" i="5" s="1"/>
  <c r="G193" i="5"/>
  <c r="AZ193" i="5" s="1"/>
  <c r="D15" i="5"/>
  <c r="K8" i="5"/>
  <c r="U8" i="5" s="1"/>
  <c r="E4" i="5"/>
  <c r="AH4" i="5" s="1"/>
  <c r="AI4" i="5" s="1"/>
  <c r="D81" i="5"/>
  <c r="E14" i="5"/>
  <c r="AH14" i="5" s="1"/>
  <c r="AI14" i="5" s="1"/>
  <c r="E153" i="5"/>
  <c r="E196" i="5"/>
  <c r="I206" i="5"/>
  <c r="W206" i="5" s="1"/>
  <c r="I50" i="5"/>
  <c r="W50" i="5" s="1"/>
  <c r="F175" i="5"/>
  <c r="G220" i="5"/>
  <c r="F187" i="5"/>
  <c r="AZ187" i="5" s="1"/>
  <c r="K224" i="5"/>
  <c r="U224" i="5" s="1"/>
  <c r="J12" i="5"/>
  <c r="K41" i="5"/>
  <c r="U41" i="5" s="1"/>
  <c r="E161" i="5"/>
  <c r="H75" i="5"/>
  <c r="E53" i="5"/>
  <c r="F178" i="5"/>
  <c r="H41" i="5"/>
  <c r="E58" i="5"/>
  <c r="AB58" i="5" s="1"/>
  <c r="AO58" i="5" s="1"/>
  <c r="AR58" i="5" s="1"/>
  <c r="G27" i="5"/>
  <c r="D135" i="5"/>
  <c r="D132" i="5"/>
  <c r="AQ132" i="5" s="1"/>
  <c r="BA132" i="5" s="1"/>
  <c r="D179" i="5"/>
  <c r="C95" i="5"/>
  <c r="BL95" i="5" s="1"/>
  <c r="L164" i="5"/>
  <c r="F224" i="5"/>
  <c r="AZ224" i="5" s="1"/>
  <c r="H71" i="5"/>
  <c r="K23" i="5"/>
  <c r="U23" i="5" s="1"/>
  <c r="J115" i="5"/>
  <c r="J175" i="5"/>
  <c r="L4" i="5"/>
  <c r="AB4" i="5" s="1"/>
  <c r="H219" i="5"/>
  <c r="I117" i="5"/>
  <c r="W117" i="5" s="1"/>
  <c r="L193" i="5"/>
  <c r="F46" i="5"/>
  <c r="K116" i="5"/>
  <c r="C5" i="5"/>
  <c r="BL5" i="5" s="1"/>
  <c r="BP5" i="5" s="1"/>
  <c r="D220" i="5"/>
  <c r="E86" i="5"/>
  <c r="J20" i="5"/>
  <c r="I220" i="5"/>
  <c r="W220" i="5" s="1"/>
  <c r="I193" i="5"/>
  <c r="W193" i="5" s="1"/>
  <c r="D155" i="5"/>
  <c r="AQ155" i="5" s="1"/>
  <c r="BA155" i="5" s="1"/>
  <c r="L49" i="5"/>
  <c r="D142" i="5"/>
  <c r="C205" i="5"/>
  <c r="BL205" i="5" s="1"/>
  <c r="BP205" i="5" s="1"/>
  <c r="C120" i="5"/>
  <c r="BL120" i="5" s="1"/>
  <c r="BN120" i="5" s="1"/>
  <c r="D186" i="5"/>
  <c r="AQ186" i="5" s="1"/>
  <c r="BA186" i="5" s="1"/>
  <c r="L13" i="5"/>
  <c r="D38" i="5"/>
  <c r="AQ38" i="5" s="1"/>
  <c r="BA38" i="5" s="1"/>
  <c r="C210" i="5"/>
  <c r="BL210" i="5" s="1"/>
  <c r="BN210" i="5" s="1"/>
  <c r="L209" i="5"/>
  <c r="C162" i="5"/>
  <c r="BL162" i="5" s="1"/>
  <c r="BP162" i="5" s="1"/>
  <c r="C58" i="5"/>
  <c r="BL58" i="5" s="1"/>
  <c r="BN58" i="5" s="1"/>
  <c r="D201" i="5"/>
  <c r="D25" i="5"/>
  <c r="E72" i="5"/>
  <c r="K213" i="5"/>
  <c r="I90" i="5"/>
  <c r="W90" i="5" s="1"/>
  <c r="K150" i="5"/>
  <c r="U150" i="5" s="1"/>
  <c r="E92" i="5"/>
  <c r="D64" i="5"/>
  <c r="H105" i="5"/>
  <c r="D121" i="5"/>
  <c r="E191" i="5"/>
  <c r="AH191" i="5" s="1"/>
  <c r="AI191" i="5" s="1"/>
  <c r="F195" i="5"/>
  <c r="J10" i="5"/>
  <c r="I82" i="5"/>
  <c r="W82" i="5" s="1"/>
  <c r="D197" i="5"/>
  <c r="K98" i="5"/>
  <c r="K209" i="5"/>
  <c r="U209" i="5" s="1"/>
  <c r="F104" i="5"/>
  <c r="AZ104" i="5" s="1"/>
  <c r="L181" i="5"/>
  <c r="C117" i="5"/>
  <c r="BL117" i="5" s="1"/>
  <c r="L200" i="5"/>
  <c r="D16" i="5"/>
  <c r="E3" i="5"/>
  <c r="AH3" i="5" s="1"/>
  <c r="AI3" i="5" s="1"/>
  <c r="K175" i="5"/>
  <c r="U175" i="5" s="1"/>
  <c r="D216" i="5"/>
  <c r="C16" i="5"/>
  <c r="BL16" i="5" s="1"/>
  <c r="BN16" i="5" s="1"/>
  <c r="E52" i="5"/>
  <c r="I116" i="5"/>
  <c r="F213" i="5"/>
  <c r="AZ213" i="5" s="1"/>
  <c r="I128" i="5"/>
  <c r="W128" i="5" s="1"/>
  <c r="K39" i="5"/>
  <c r="U39" i="5" s="1"/>
  <c r="G70" i="5"/>
  <c r="AZ70" i="5" s="1"/>
  <c r="I222" i="5"/>
  <c r="W222" i="5" s="1"/>
  <c r="Z222" i="5" s="1"/>
  <c r="AA222" i="5" s="1"/>
  <c r="C187" i="5"/>
  <c r="BL187" i="5" s="1"/>
  <c r="BP187" i="5" s="1"/>
  <c r="C15" i="5"/>
  <c r="BL15" i="5" s="1"/>
  <c r="BN15" i="5" s="1"/>
  <c r="H28" i="5"/>
  <c r="E5" i="5"/>
  <c r="J99" i="5"/>
  <c r="I61" i="5"/>
  <c r="W61" i="5" s="1"/>
  <c r="E224" i="5"/>
  <c r="D174" i="5"/>
  <c r="K135" i="5"/>
  <c r="J29" i="5"/>
  <c r="J118" i="5"/>
  <c r="AL118" i="5" s="1"/>
  <c r="J7" i="5"/>
  <c r="G63" i="5"/>
  <c r="I177" i="5"/>
  <c r="W177" i="5" s="1"/>
  <c r="G37" i="5"/>
  <c r="J129" i="5"/>
  <c r="G32" i="5"/>
  <c r="AZ32" i="5" s="1"/>
  <c r="I211" i="5"/>
  <c r="W211" i="5" s="1"/>
  <c r="D57" i="5"/>
  <c r="AQ57" i="5" s="1"/>
  <c r="BA57" i="5" s="1"/>
  <c r="L134" i="5"/>
  <c r="G207" i="5"/>
  <c r="J190" i="5"/>
  <c r="F132" i="5"/>
  <c r="AZ132" i="5" s="1"/>
  <c r="H98" i="5"/>
  <c r="J87" i="5"/>
  <c r="C23" i="5"/>
  <c r="BL23" i="5" s="1"/>
  <c r="BP23" i="5" s="1"/>
  <c r="D66" i="5"/>
  <c r="G148" i="5"/>
  <c r="L128" i="5"/>
  <c r="H32" i="5"/>
  <c r="G217" i="5"/>
  <c r="AZ217" i="5" s="1"/>
  <c r="H52" i="5"/>
  <c r="G88" i="5"/>
  <c r="AZ88" i="5" s="1"/>
  <c r="I113" i="5"/>
  <c r="W113" i="5" s="1"/>
  <c r="J43" i="5"/>
  <c r="I140" i="5"/>
  <c r="C34" i="5"/>
  <c r="BL34" i="5" s="1"/>
  <c r="BP34" i="5" s="1"/>
  <c r="E25" i="5"/>
  <c r="K60" i="5"/>
  <c r="U60" i="5" s="1"/>
  <c r="E128" i="5"/>
  <c r="C206" i="5"/>
  <c r="BL206" i="5" s="1"/>
  <c r="BP206" i="5" s="1"/>
  <c r="C208" i="5"/>
  <c r="BL208" i="5" s="1"/>
  <c r="BN208" i="5" s="1"/>
  <c r="K130" i="5"/>
  <c r="E127" i="5"/>
  <c r="J102" i="5"/>
  <c r="C27" i="5"/>
  <c r="BL27" i="5" s="1"/>
  <c r="BP27" i="5" s="1"/>
  <c r="L60" i="5"/>
  <c r="D61" i="5"/>
  <c r="AQ61" i="5" s="1"/>
  <c r="BA61" i="5" s="1"/>
  <c r="E207" i="5"/>
  <c r="AH207" i="5" s="1"/>
  <c r="AI207" i="5" s="1"/>
  <c r="L124" i="5"/>
  <c r="L129" i="5"/>
  <c r="J133" i="5"/>
  <c r="H129" i="5"/>
  <c r="D208" i="5"/>
  <c r="K112" i="5"/>
  <c r="U112" i="5" s="1"/>
  <c r="C124" i="5"/>
  <c r="BL124" i="5" s="1"/>
  <c r="BP124" i="5" s="1"/>
  <c r="C127" i="5"/>
  <c r="BL127" i="5" s="1"/>
  <c r="BN127" i="5" s="1"/>
  <c r="G218" i="5"/>
  <c r="I156" i="5"/>
  <c r="L131" i="5"/>
  <c r="G181" i="5"/>
  <c r="K104" i="5"/>
  <c r="U104" i="5" s="1"/>
  <c r="C190" i="5"/>
  <c r="BL190" i="5" s="1"/>
  <c r="K79" i="5"/>
  <c r="F120" i="5"/>
  <c r="D124" i="5"/>
  <c r="L150" i="5"/>
  <c r="AB150" i="5" s="1"/>
  <c r="AO150" i="5" s="1"/>
  <c r="AR150" i="5" s="1"/>
  <c r="F50" i="5"/>
  <c r="I102" i="5"/>
  <c r="W102" i="5" s="1"/>
  <c r="Z102" i="5" s="1"/>
  <c r="AA102" i="5" s="1"/>
  <c r="J147" i="5"/>
  <c r="L205" i="5"/>
  <c r="D131" i="5"/>
  <c r="I87" i="5"/>
  <c r="W87" i="5" s="1"/>
  <c r="L30" i="5"/>
  <c r="K61" i="5"/>
  <c r="U61" i="5" s="1"/>
  <c r="E103" i="5"/>
  <c r="D49" i="5"/>
  <c r="F107" i="5"/>
  <c r="F207" i="5"/>
  <c r="H128" i="5"/>
  <c r="L215" i="5"/>
  <c r="H96" i="5"/>
  <c r="G129" i="5"/>
  <c r="AZ129" i="5" s="1"/>
  <c r="C139" i="5"/>
  <c r="BL139" i="5" s="1"/>
  <c r="I215" i="5"/>
  <c r="W215" i="5" s="1"/>
  <c r="E45" i="5"/>
  <c r="AH45" i="5" s="1"/>
  <c r="AI45" i="5" s="1"/>
  <c r="H220" i="5"/>
  <c r="L84" i="5"/>
  <c r="L65" i="5"/>
  <c r="L114" i="5"/>
  <c r="K172" i="5"/>
  <c r="E146" i="5"/>
  <c r="G22" i="5"/>
  <c r="AZ22" i="5" s="1"/>
  <c r="E68" i="5"/>
  <c r="AH68" i="5" s="1"/>
  <c r="AI68" i="5" s="1"/>
  <c r="I129" i="5"/>
  <c r="L51" i="5"/>
  <c r="F75" i="5"/>
  <c r="K138" i="5"/>
  <c r="U138" i="5" s="1"/>
  <c r="L117" i="5"/>
  <c r="J100" i="5"/>
  <c r="J180" i="5"/>
  <c r="F95" i="5"/>
  <c r="I173" i="5"/>
  <c r="I72" i="5"/>
  <c r="W72" i="5" s="1"/>
  <c r="G154" i="5"/>
  <c r="AZ154" i="5" s="1"/>
  <c r="I30" i="5"/>
  <c r="W30" i="5" s="1"/>
  <c r="J27" i="5"/>
  <c r="H224" i="5"/>
  <c r="J78" i="5"/>
  <c r="E98" i="5"/>
  <c r="F123" i="5"/>
  <c r="E151" i="5"/>
  <c r="AH151" i="5" s="1"/>
  <c r="AI151" i="5" s="1"/>
  <c r="I133" i="5"/>
  <c r="W133" i="5" s="1"/>
  <c r="I17" i="5"/>
  <c r="W17" i="5" s="1"/>
  <c r="F21" i="5"/>
  <c r="AZ21" i="5" s="1"/>
  <c r="D193" i="5"/>
  <c r="H25" i="5"/>
  <c r="K103" i="5"/>
  <c r="U103" i="5" s="1"/>
  <c r="J173" i="5"/>
  <c r="K107" i="5"/>
  <c r="C103" i="5"/>
  <c r="BL103" i="5" s="1"/>
  <c r="BP103" i="5" s="1"/>
  <c r="K52" i="5"/>
  <c r="U52" i="5" s="1"/>
  <c r="I166" i="5"/>
  <c r="W166" i="5" s="1"/>
  <c r="K95" i="5"/>
  <c r="U95" i="5" s="1"/>
  <c r="C132" i="5"/>
  <c r="BL132" i="5" s="1"/>
  <c r="BN132" i="5" s="1"/>
  <c r="F183" i="5"/>
  <c r="E77" i="5"/>
  <c r="E120" i="5"/>
  <c r="F221" i="5"/>
  <c r="AZ221" i="5" s="1"/>
  <c r="J14" i="5"/>
  <c r="F194" i="5"/>
  <c r="AZ194" i="5" s="1"/>
  <c r="F96" i="5"/>
  <c r="AZ96" i="5" s="1"/>
  <c r="J212" i="5"/>
  <c r="D195" i="5"/>
  <c r="H50" i="5"/>
  <c r="I46" i="5"/>
  <c r="D143" i="5"/>
  <c r="L31" i="5"/>
  <c r="D133" i="5"/>
  <c r="C123" i="5"/>
  <c r="BL123" i="5" s="1"/>
  <c r="BN123" i="5" s="1"/>
  <c r="K110" i="5"/>
  <c r="F210" i="5"/>
  <c r="L146" i="5"/>
  <c r="K125" i="5"/>
  <c r="U125" i="5" s="1"/>
  <c r="E122" i="5"/>
  <c r="AH122" i="5" s="1"/>
  <c r="AI122" i="5" s="1"/>
  <c r="K69" i="5"/>
  <c r="U69" i="5" s="1"/>
  <c r="H197" i="5"/>
  <c r="F25" i="5"/>
  <c r="C148" i="5"/>
  <c r="BL148" i="5" s="1"/>
  <c r="BN148" i="5" s="1"/>
  <c r="H153" i="5"/>
  <c r="I31" i="5"/>
  <c r="D99" i="5"/>
  <c r="H58" i="5"/>
  <c r="H21" i="5"/>
  <c r="J80" i="5"/>
  <c r="AL80" i="5" s="1"/>
  <c r="D130" i="5"/>
  <c r="J217" i="5"/>
  <c r="AQ92" i="5"/>
  <c r="AZ145" i="5"/>
  <c r="AD62" i="5"/>
  <c r="AZ124" i="5"/>
  <c r="AL138" i="5"/>
  <c r="AZ163" i="5"/>
  <c r="AZ41" i="5"/>
  <c r="AZ123" i="5"/>
  <c r="Z87" i="5"/>
  <c r="AA87" i="5" s="1"/>
  <c r="AZ52" i="5"/>
  <c r="BP16" i="5"/>
  <c r="AZ198" i="5"/>
  <c r="AB49" i="5"/>
  <c r="AW49" i="5" s="1"/>
  <c r="AZ189" i="5"/>
  <c r="BN165" i="5"/>
  <c r="AZ103" i="5"/>
  <c r="AZ49" i="5"/>
  <c r="BN205" i="5"/>
  <c r="BN5" i="5"/>
  <c r="AZ74" i="5"/>
  <c r="BN23" i="5"/>
  <c r="BN27" i="5"/>
  <c r="BP43" i="5"/>
  <c r="AZ181" i="5"/>
  <c r="AZ184" i="5"/>
  <c r="AD47" i="5"/>
  <c r="BN8" i="5"/>
  <c r="AZ209" i="5"/>
  <c r="AZ30" i="5"/>
  <c r="BN34" i="5"/>
  <c r="BN46" i="5"/>
  <c r="BN162" i="5"/>
  <c r="AJ177" i="5"/>
  <c r="W116" i="5"/>
  <c r="Z116" i="5" s="1"/>
  <c r="AA116" i="5" s="1"/>
  <c r="BP58" i="5"/>
  <c r="BN52" i="5"/>
  <c r="BN124" i="5"/>
  <c r="AQ4" i="5"/>
  <c r="BA4" i="5" s="1"/>
  <c r="AJ207" i="5"/>
  <c r="AB116" i="5"/>
  <c r="AO116" i="5" s="1"/>
  <c r="AR116" i="5" s="1"/>
  <c r="BP69" i="5"/>
  <c r="BP208" i="5"/>
  <c r="AZ219" i="5"/>
  <c r="AZ45" i="5"/>
  <c r="AZ25" i="5"/>
  <c r="AZ157" i="5"/>
  <c r="AQ5" i="5"/>
  <c r="BA5" i="5" s="1"/>
  <c r="AB25" i="5"/>
  <c r="AO25" i="5" s="1"/>
  <c r="AD81" i="5"/>
  <c r="AB19" i="5"/>
  <c r="AO19" i="5" s="1"/>
  <c r="AR19" i="5" s="1"/>
  <c r="AZ15" i="5"/>
  <c r="AZ161" i="5"/>
  <c r="AZ159" i="5"/>
  <c r="BN141" i="5"/>
  <c r="AB209" i="5"/>
  <c r="AW209" i="5" s="1"/>
  <c r="AZ175" i="5"/>
  <c r="BP151" i="5"/>
  <c r="BP178" i="5"/>
  <c r="AL87" i="5"/>
  <c r="AD19" i="5"/>
  <c r="BN171" i="5"/>
  <c r="BP92" i="5"/>
  <c r="BP51" i="5"/>
  <c r="BP197" i="5"/>
  <c r="BP15" i="5"/>
  <c r="BN181" i="5"/>
  <c r="BP116" i="5"/>
  <c r="AQ207" i="5"/>
  <c r="BA207" i="5" s="1"/>
  <c r="AZ102" i="5"/>
  <c r="AD219" i="5"/>
  <c r="AB75" i="5"/>
  <c r="AO75" i="5" s="1"/>
  <c r="BN88" i="5"/>
  <c r="AL206" i="5"/>
  <c r="AB153" i="5"/>
  <c r="AO153" i="5" s="1"/>
  <c r="AR153" i="5" s="1"/>
  <c r="AZ95" i="5"/>
  <c r="AZ81" i="5"/>
  <c r="AJ47" i="5"/>
  <c r="BP28" i="5"/>
  <c r="BP167" i="5"/>
  <c r="BP159" i="5"/>
  <c r="AZ148" i="5"/>
  <c r="AD123" i="5"/>
  <c r="AB211" i="5"/>
  <c r="AW211" i="5" s="1"/>
  <c r="AB161" i="5"/>
  <c r="AO161" i="5" s="1"/>
  <c r="AR161" i="5" s="1"/>
  <c r="AB52" i="5"/>
  <c r="AZ186" i="5"/>
  <c r="AQ44" i="5"/>
  <c r="BA44" i="5" s="1"/>
  <c r="AZ46" i="5"/>
  <c r="AZ143" i="5"/>
  <c r="AD177" i="5"/>
  <c r="AZ120" i="5"/>
  <c r="AJ68" i="5"/>
  <c r="BN17" i="5"/>
  <c r="AJ214" i="5"/>
  <c r="AJ166" i="5"/>
  <c r="AZ116" i="5"/>
  <c r="AB197" i="5"/>
  <c r="AO197" i="5" s="1"/>
  <c r="AR197" i="5" s="1"/>
  <c r="AJ90" i="5"/>
  <c r="BP136" i="5"/>
  <c r="BN74" i="5"/>
  <c r="AB70" i="5"/>
  <c r="AO70" i="5" s="1"/>
  <c r="AR70" i="5" s="1"/>
  <c r="AQ6" i="5"/>
  <c r="BA6" i="5" s="1"/>
  <c r="AZ167" i="5"/>
  <c r="AB218" i="5"/>
  <c r="AO218" i="5" s="1"/>
  <c r="AR218" i="5" s="1"/>
  <c r="AZ47" i="5"/>
  <c r="Z120" i="5"/>
  <c r="AA120" i="5" s="1"/>
  <c r="AZ109" i="5"/>
  <c r="AZ26" i="5"/>
  <c r="AZ37" i="5"/>
  <c r="W146" i="5"/>
  <c r="AB6" i="5"/>
  <c r="AO6" i="5" s="1"/>
  <c r="AR6" i="5" s="1"/>
  <c r="AZ144" i="5"/>
  <c r="BN44" i="5"/>
  <c r="BN90" i="5"/>
  <c r="BP166" i="5"/>
  <c r="AQ56" i="5"/>
  <c r="BA56" i="5" s="1"/>
  <c r="AZ65" i="5"/>
  <c r="AZ93" i="5"/>
  <c r="AB28" i="5"/>
  <c r="AO28" i="5" s="1"/>
  <c r="AR28" i="5" s="1"/>
  <c r="BP224" i="5"/>
  <c r="BP94" i="5"/>
  <c r="BP123" i="5"/>
  <c r="BP158" i="5"/>
  <c r="BN187" i="5"/>
  <c r="BN12" i="5"/>
  <c r="BN209" i="5"/>
  <c r="AZ135" i="5"/>
  <c r="AL218" i="5"/>
  <c r="BN168" i="5"/>
  <c r="AB37" i="5"/>
  <c r="AO37" i="5" s="1"/>
  <c r="AR37" i="5" s="1"/>
  <c r="AS37" i="5" s="1"/>
  <c r="AL212" i="5"/>
  <c r="AZ207" i="5"/>
  <c r="AQ49" i="5"/>
  <c r="BA49" i="5" s="1"/>
  <c r="AL102" i="5"/>
  <c r="BP214" i="5"/>
  <c r="AZ190" i="5"/>
  <c r="BN39" i="5"/>
  <c r="BN89" i="5"/>
  <c r="AQ171" i="5"/>
  <c r="BA171" i="5" s="1"/>
  <c r="BN24" i="5"/>
  <c r="AB222" i="5"/>
  <c r="AW222" i="5" s="1"/>
  <c r="Z85" i="5"/>
  <c r="AA85" i="5" s="1"/>
  <c r="AD57" i="5"/>
  <c r="AB119" i="5"/>
  <c r="AW119" i="5" s="1"/>
  <c r="AZ142" i="5"/>
  <c r="AD166" i="5"/>
  <c r="AB36" i="5"/>
  <c r="AB47" i="5"/>
  <c r="AW47" i="5" s="1"/>
  <c r="AL120" i="5"/>
  <c r="AL114" i="5"/>
  <c r="AL66" i="5"/>
  <c r="AZ87" i="5"/>
  <c r="AB155" i="5"/>
  <c r="AD17" i="5"/>
  <c r="AZ178" i="5"/>
  <c r="AD45" i="5"/>
  <c r="BP174" i="5"/>
  <c r="BN75" i="5"/>
  <c r="BN96" i="5"/>
  <c r="BN150" i="5"/>
  <c r="AJ81" i="5"/>
  <c r="AD100" i="5"/>
  <c r="BP98" i="5"/>
  <c r="AH218" i="5"/>
  <c r="AI218" i="5" s="1"/>
  <c r="AD218" i="5" s="1"/>
  <c r="BN11" i="5"/>
  <c r="Z47" i="5"/>
  <c r="AA47" i="5" s="1"/>
  <c r="AD82" i="5"/>
  <c r="BP130" i="5"/>
  <c r="AB56" i="5"/>
  <c r="AO56" i="5" s="1"/>
  <c r="AR56" i="5" s="1"/>
  <c r="BP49" i="5"/>
  <c r="BP80" i="5"/>
  <c r="BN71" i="5"/>
  <c r="BN103" i="5"/>
  <c r="AQ24" i="5"/>
  <c r="BA24" i="5" s="1"/>
  <c r="Z81" i="5"/>
  <c r="AA81" i="5" s="1"/>
  <c r="AQ179" i="5"/>
  <c r="BA179" i="5" s="1"/>
  <c r="BN199" i="5"/>
  <c r="BP199" i="5"/>
  <c r="AL113" i="5"/>
  <c r="U113" i="5"/>
  <c r="AQ124" i="5"/>
  <c r="BA124" i="5" s="1"/>
  <c r="AJ71" i="5"/>
  <c r="AQ85" i="5"/>
  <c r="BA85" i="5" s="1"/>
  <c r="U129" i="5"/>
  <c r="Z56" i="5"/>
  <c r="AA56" i="5" s="1"/>
  <c r="AB8" i="5"/>
  <c r="AO8" i="5" s="1"/>
  <c r="BP118" i="5"/>
  <c r="U59" i="5"/>
  <c r="AJ37" i="5"/>
  <c r="AB38" i="5"/>
  <c r="BN144" i="5"/>
  <c r="BP144" i="5"/>
  <c r="BP64" i="5"/>
  <c r="BN64" i="5"/>
  <c r="BP100" i="5"/>
  <c r="BP73" i="5"/>
  <c r="AJ57" i="5"/>
  <c r="BP202" i="5"/>
  <c r="BP193" i="5"/>
  <c r="AL190" i="5"/>
  <c r="U29" i="5"/>
  <c r="AL29" i="5"/>
  <c r="BP186" i="5"/>
  <c r="BN59" i="5"/>
  <c r="W4" i="5"/>
  <c r="AJ4" i="5"/>
  <c r="BP163" i="5"/>
  <c r="BN221" i="5"/>
  <c r="BP54" i="5"/>
  <c r="AQ25" i="5"/>
  <c r="BA25" i="5" s="1"/>
  <c r="AB91" i="5"/>
  <c r="AO91" i="5" s="1"/>
  <c r="AR91" i="5" s="1"/>
  <c r="AQ91" i="5"/>
  <c r="BA91" i="5" s="1"/>
  <c r="BP70" i="5"/>
  <c r="W181" i="5"/>
  <c r="BP176" i="5"/>
  <c r="BN48" i="5"/>
  <c r="BP160" i="5"/>
  <c r="AJ191" i="5"/>
  <c r="Z80" i="5"/>
  <c r="AA80" i="5" s="1"/>
  <c r="AJ216" i="5"/>
  <c r="AL128" i="5"/>
  <c r="AZ23" i="5"/>
  <c r="AZ69" i="5"/>
  <c r="AL86" i="5"/>
  <c r="AQ190" i="5"/>
  <c r="BA190" i="5" s="1"/>
  <c r="AL67" i="5"/>
  <c r="AZ210" i="5"/>
  <c r="AZ89" i="5"/>
  <c r="AZ155" i="5"/>
  <c r="Z124" i="5"/>
  <c r="AA124" i="5" s="1"/>
  <c r="AZ180" i="5"/>
  <c r="AZ204" i="5"/>
  <c r="AL220" i="5"/>
  <c r="AZ191" i="5"/>
  <c r="AL141" i="5"/>
  <c r="AQ47" i="5"/>
  <c r="BA47" i="5" s="1"/>
  <c r="AB80" i="5"/>
  <c r="AO80" i="5" s="1"/>
  <c r="AR80" i="5" s="1"/>
  <c r="AB44" i="5"/>
  <c r="AO44" i="5" s="1"/>
  <c r="AR44" i="5" s="1"/>
  <c r="AB85" i="5"/>
  <c r="AO85" i="5" s="1"/>
  <c r="AR85" i="5" s="1"/>
  <c r="AQ8" i="5"/>
  <c r="BA8" i="5" s="1"/>
  <c r="AQ41" i="5"/>
  <c r="BA41" i="5" s="1"/>
  <c r="AL48" i="5"/>
  <c r="AH131" i="5"/>
  <c r="AI131" i="5" s="1"/>
  <c r="AH24" i="5"/>
  <c r="AI24" i="5" s="1"/>
  <c r="Z24" i="5"/>
  <c r="AA24" i="5" s="1"/>
  <c r="AH212" i="5"/>
  <c r="AI212" i="5" s="1"/>
  <c r="AB212" i="5"/>
  <c r="AO212" i="5" s="1"/>
  <c r="U14" i="5"/>
  <c r="BP169" i="5"/>
  <c r="BN169" i="5"/>
  <c r="U142" i="5"/>
  <c r="AL17" i="5"/>
  <c r="AB175" i="5"/>
  <c r="AW175" i="5" s="1"/>
  <c r="AL88" i="5"/>
  <c r="Z212" i="5"/>
  <c r="AA212" i="5" s="1"/>
  <c r="AB87" i="5"/>
  <c r="AO87" i="5" s="1"/>
  <c r="AR87" i="5" s="1"/>
  <c r="AB179" i="5"/>
  <c r="AW179" i="5" s="1"/>
  <c r="AB89" i="5"/>
  <c r="AO89" i="5" s="1"/>
  <c r="AR89" i="5" s="1"/>
  <c r="AH137" i="5"/>
  <c r="AI137" i="5" s="1"/>
  <c r="Z82" i="5"/>
  <c r="AA82" i="5" s="1"/>
  <c r="AB102" i="5"/>
  <c r="AB142" i="5"/>
  <c r="AW142" i="5" s="1"/>
  <c r="AQ142" i="5"/>
  <c r="BA142" i="5" s="1"/>
  <c r="AH31" i="5"/>
  <c r="AI31" i="5" s="1"/>
  <c r="AQ31" i="5"/>
  <c r="BA31" i="5" s="1"/>
  <c r="AQ98" i="5"/>
  <c r="BA98" i="5" s="1"/>
  <c r="BN203" i="5"/>
  <c r="Z54" i="5"/>
  <c r="AA54" i="5" s="1"/>
  <c r="Z25" i="5"/>
  <c r="AA25" i="5" s="1"/>
  <c r="AB31" i="5"/>
  <c r="AW31" i="5" s="1"/>
  <c r="BN200" i="5"/>
  <c r="AL96" i="5"/>
  <c r="AQ99" i="5"/>
  <c r="BA99" i="5" s="1"/>
  <c r="W101" i="5"/>
  <c r="W202" i="5"/>
  <c r="AL175" i="5"/>
  <c r="BN114" i="5"/>
  <c r="AL216" i="5"/>
  <c r="AQ19" i="5"/>
  <c r="BA19" i="5" s="1"/>
  <c r="AQ33" i="5"/>
  <c r="BA33" i="5" s="1"/>
  <c r="BN143" i="5"/>
  <c r="BN183" i="5"/>
  <c r="AH205" i="5"/>
  <c r="AI205" i="5" s="1"/>
  <c r="BP126" i="5"/>
  <c r="BN126" i="5"/>
  <c r="AB57" i="5"/>
  <c r="BP9" i="5"/>
  <c r="BN9" i="5"/>
  <c r="AH222" i="5"/>
  <c r="AI222" i="5" s="1"/>
  <c r="AJ139" i="5"/>
  <c r="AH84" i="5"/>
  <c r="AI84" i="5" s="1"/>
  <c r="AD84" i="5" s="1"/>
  <c r="BN133" i="5"/>
  <c r="BP133" i="5"/>
  <c r="BN179" i="5"/>
  <c r="AZ138" i="5"/>
  <c r="BP106" i="5"/>
  <c r="AB73" i="5"/>
  <c r="AO73" i="5" s="1"/>
  <c r="AJ123" i="5"/>
  <c r="AZ61" i="5"/>
  <c r="BN185" i="5"/>
  <c r="AB171" i="5"/>
  <c r="AO171" i="5" s="1"/>
  <c r="AR171" i="5" s="1"/>
  <c r="AH209" i="5"/>
  <c r="AI209" i="5" s="1"/>
  <c r="Z209" i="5"/>
  <c r="AA209" i="5" s="1"/>
  <c r="AH13" i="5"/>
  <c r="AI13" i="5" s="1"/>
  <c r="AB51" i="5"/>
  <c r="AO51" i="5" s="1"/>
  <c r="AR51" i="5" s="1"/>
  <c r="BN55" i="5"/>
  <c r="BP45" i="5"/>
  <c r="BP33" i="5"/>
  <c r="AJ122" i="5"/>
  <c r="BP138" i="5"/>
  <c r="AB27" i="5"/>
  <c r="AO27" i="5" s="1"/>
  <c r="U151" i="5"/>
  <c r="AH65" i="5"/>
  <c r="AI65" i="5" s="1"/>
  <c r="AB65" i="5"/>
  <c r="AW65" i="5" s="1"/>
  <c r="BN97" i="5"/>
  <c r="BP32" i="5"/>
  <c r="Z143" i="5"/>
  <c r="AA143" i="5" s="1"/>
  <c r="AQ73" i="5"/>
  <c r="BA73" i="5" s="1"/>
  <c r="BP99" i="5"/>
  <c r="AJ219" i="5"/>
  <c r="BN21" i="5"/>
  <c r="U101" i="5"/>
  <c r="U43" i="5"/>
  <c r="AL43" i="5"/>
  <c r="U173" i="5"/>
  <c r="BN79" i="5"/>
  <c r="BP53" i="5"/>
  <c r="BN140" i="5"/>
  <c r="BP121" i="5"/>
  <c r="BP137" i="5"/>
  <c r="BN145" i="5"/>
  <c r="AD122" i="5"/>
  <c r="AB99" i="5"/>
  <c r="AO99" i="5" s="1"/>
  <c r="U178" i="5"/>
  <c r="Z218" i="5"/>
  <c r="AA218" i="5" s="1"/>
  <c r="AQ209" i="5"/>
  <c r="BA209" i="5" s="1"/>
  <c r="AD191" i="5"/>
  <c r="BN87" i="5"/>
  <c r="BP87" i="5"/>
  <c r="W60" i="5"/>
  <c r="AL60" i="5"/>
  <c r="AH33" i="5"/>
  <c r="AI33" i="5" s="1"/>
  <c r="AB33" i="5"/>
  <c r="AW33" i="5" s="1"/>
  <c r="BN188" i="5"/>
  <c r="BP188" i="5"/>
  <c r="AQ175" i="5"/>
  <c r="BA175" i="5" s="1"/>
  <c r="AB98" i="5"/>
  <c r="AO98" i="5" s="1"/>
  <c r="AR98" i="5" s="1"/>
  <c r="AB68" i="5"/>
  <c r="AW68" i="5" s="1"/>
  <c r="Z68" i="5"/>
  <c r="AA68" i="5" s="1"/>
  <c r="AL137" i="5"/>
  <c r="AQ217" i="5"/>
  <c r="BA217" i="5" s="1"/>
  <c r="AB217" i="5"/>
  <c r="AO217" i="5" s="1"/>
  <c r="AB42" i="5"/>
  <c r="AW42" i="5" s="1"/>
  <c r="AB29" i="5"/>
  <c r="Z72" i="5"/>
  <c r="AA72" i="5" s="1"/>
  <c r="AH117" i="5"/>
  <c r="AI117" i="5" s="1"/>
  <c r="AB117" i="5"/>
  <c r="AO117" i="5" s="1"/>
  <c r="AR117" i="5" s="1"/>
  <c r="U134" i="5"/>
  <c r="AH121" i="5"/>
  <c r="AI121" i="5" s="1"/>
  <c r="Z121" i="5"/>
  <c r="AA121" i="5" s="1"/>
  <c r="BN161" i="5"/>
  <c r="BN66" i="5"/>
  <c r="Z117" i="5"/>
  <c r="AA117" i="5" s="1"/>
  <c r="AB221" i="5"/>
  <c r="BP31" i="5"/>
  <c r="AL205" i="5"/>
  <c r="AQ218" i="5"/>
  <c r="BA218" i="5" s="1"/>
  <c r="AB190" i="5"/>
  <c r="AO190" i="5" s="1"/>
  <c r="Z144" i="5"/>
  <c r="AA144" i="5" s="1"/>
  <c r="AB144" i="5"/>
  <c r="AO144" i="5" s="1"/>
  <c r="AR144" i="5" s="1"/>
  <c r="U122" i="5"/>
  <c r="AD4" i="5"/>
  <c r="BN192" i="5"/>
  <c r="BN156" i="5"/>
  <c r="AQ65" i="5"/>
  <c r="BA65" i="5" s="1"/>
  <c r="AQ144" i="5"/>
  <c r="BA144" i="5" s="1"/>
  <c r="AL54" i="5"/>
  <c r="Z211" i="5"/>
  <c r="AA211" i="5" s="1"/>
  <c r="BP115" i="5"/>
  <c r="AZ111" i="5"/>
  <c r="Z57" i="5"/>
  <c r="AA57" i="5" s="1"/>
  <c r="AL211" i="5"/>
  <c r="AQ27" i="5"/>
  <c r="BA27" i="5" s="1"/>
  <c r="AZ68" i="5"/>
  <c r="AZ10" i="5"/>
  <c r="AQ80" i="5"/>
  <c r="BA80" i="5" s="1"/>
  <c r="AQ28" i="5"/>
  <c r="BA28" i="5" s="1"/>
  <c r="AQ211" i="5"/>
  <c r="BA211" i="5" s="1"/>
  <c r="AZ169" i="5"/>
  <c r="AD179" i="5"/>
  <c r="AZ136" i="5"/>
  <c r="AZ85" i="5"/>
  <c r="AQ16" i="5"/>
  <c r="BA16" i="5" s="1"/>
  <c r="AL76" i="5"/>
  <c r="AZ31" i="5"/>
  <c r="AJ178" i="5"/>
  <c r="AZ59" i="5"/>
  <c r="AD40" i="5"/>
  <c r="AZ125" i="5"/>
  <c r="Z42" i="5"/>
  <c r="AA42" i="5" s="1"/>
  <c r="AZ134" i="5"/>
  <c r="AZ215" i="5"/>
  <c r="AL181" i="5"/>
  <c r="AL95" i="5"/>
  <c r="AZ206" i="5"/>
  <c r="AZ19" i="5"/>
  <c r="BP196" i="5"/>
  <c r="BP157" i="5"/>
  <c r="BN223" i="5"/>
  <c r="Z92" i="5"/>
  <c r="AA92" i="5" s="1"/>
  <c r="AB92" i="5"/>
  <c r="AO92" i="5" s="1"/>
  <c r="AR92" i="5" s="1"/>
  <c r="U91" i="5"/>
  <c r="AH76" i="5"/>
  <c r="AI76" i="5" s="1"/>
  <c r="AB76" i="5"/>
  <c r="AW76" i="5" s="1"/>
  <c r="Z76" i="5"/>
  <c r="AA76" i="5" s="1"/>
  <c r="AH115" i="5"/>
  <c r="AI115" i="5" s="1"/>
  <c r="AQ115" i="5"/>
  <c r="BA115" i="5" s="1"/>
  <c r="AB115" i="5"/>
  <c r="AO115" i="5" s="1"/>
  <c r="AR115" i="5" s="1"/>
  <c r="U166" i="5"/>
  <c r="BN63" i="5"/>
  <c r="BP63" i="5"/>
  <c r="U183" i="5"/>
  <c r="BP85" i="5"/>
  <c r="BN85" i="5"/>
  <c r="AB192" i="5"/>
  <c r="AW192" i="5" s="1"/>
  <c r="AQ192" i="5"/>
  <c r="BA192" i="5" s="1"/>
  <c r="AQ194" i="5"/>
  <c r="BA194" i="5" s="1"/>
  <c r="U140" i="5"/>
  <c r="AB55" i="5"/>
  <c r="AO55" i="5" s="1"/>
  <c r="AR55" i="5" s="1"/>
  <c r="U38" i="5"/>
  <c r="U223" i="5"/>
  <c r="AL223" i="5"/>
  <c r="AH67" i="5"/>
  <c r="AI67" i="5" s="1"/>
  <c r="Z67" i="5"/>
  <c r="AA67" i="5" s="1"/>
  <c r="AQ67" i="5"/>
  <c r="BA67" i="5" s="1"/>
  <c r="AQ167" i="5"/>
  <c r="BA167" i="5" s="1"/>
  <c r="U93" i="5"/>
  <c r="AL93" i="5"/>
  <c r="AQ70" i="5"/>
  <c r="BA70" i="5" s="1"/>
  <c r="AQ162" i="5"/>
  <c r="BA162" i="5" s="1"/>
  <c r="AB162" i="5"/>
  <c r="AW162" i="5" s="1"/>
  <c r="BN10" i="5"/>
  <c r="BP10" i="5"/>
  <c r="AH94" i="5"/>
  <c r="AI94" i="5" s="1"/>
  <c r="AB63" i="5"/>
  <c r="AO63" i="5" s="1"/>
  <c r="AR63" i="5" s="1"/>
  <c r="AB69" i="5"/>
  <c r="AW69" i="5" s="1"/>
  <c r="AH200" i="5"/>
  <c r="AI200" i="5" s="1"/>
  <c r="AH39" i="5"/>
  <c r="AI39" i="5" s="1"/>
  <c r="Z90" i="5"/>
  <c r="AA90" i="5" s="1"/>
  <c r="AB90" i="5"/>
  <c r="AO90" i="5" s="1"/>
  <c r="AR90" i="5" s="1"/>
  <c r="AS90" i="5" s="1"/>
  <c r="AH129" i="5"/>
  <c r="AI129" i="5" s="1"/>
  <c r="AB129" i="5"/>
  <c r="W69" i="5"/>
  <c r="AL69" i="5"/>
  <c r="U78" i="5"/>
  <c r="AL78" i="5"/>
  <c r="AH88" i="5"/>
  <c r="AI88" i="5" s="1"/>
  <c r="AB88" i="5"/>
  <c r="AO88" i="5" s="1"/>
  <c r="AR88" i="5" s="1"/>
  <c r="BP119" i="5"/>
  <c r="BN119" i="5"/>
  <c r="W161" i="5"/>
  <c r="AH143" i="5"/>
  <c r="AI143" i="5" s="1"/>
  <c r="AQ143" i="5"/>
  <c r="BA143" i="5" s="1"/>
  <c r="AB143" i="5"/>
  <c r="AW143" i="5" s="1"/>
  <c r="U117" i="5"/>
  <c r="W136" i="5"/>
  <c r="Z94" i="5"/>
  <c r="AA94" i="5" s="1"/>
  <c r="AQ94" i="5"/>
  <c r="BA94" i="5" s="1"/>
  <c r="AB94" i="5"/>
  <c r="AW94" i="5" s="1"/>
  <c r="BP110" i="5"/>
  <c r="BN110" i="5"/>
  <c r="BP184" i="5"/>
  <c r="AL84" i="5"/>
  <c r="AB67" i="5"/>
  <c r="AW67" i="5" s="1"/>
  <c r="AQ76" i="5"/>
  <c r="BA76" i="5" s="1"/>
  <c r="AQ88" i="5"/>
  <c r="BA88" i="5" s="1"/>
  <c r="AQ216" i="5"/>
  <c r="BA216" i="5" s="1"/>
  <c r="AB132" i="5"/>
  <c r="AO132" i="5" s="1"/>
  <c r="AR132" i="5" s="1"/>
  <c r="U85" i="5"/>
  <c r="BP81" i="5"/>
  <c r="AB71" i="5"/>
  <c r="AW71" i="5" s="1"/>
  <c r="AQ116" i="5"/>
  <c r="BA116" i="5" s="1"/>
  <c r="AL11" i="5"/>
  <c r="Z192" i="5"/>
  <c r="AA192" i="5" s="1"/>
  <c r="AB194" i="5"/>
  <c r="AO194" i="5" s="1"/>
  <c r="AR194" i="5" s="1"/>
  <c r="Z169" i="5"/>
  <c r="AA169" i="5" s="1"/>
  <c r="AB130" i="5"/>
  <c r="W184" i="5"/>
  <c r="AB106" i="5"/>
  <c r="AO106" i="5" s="1"/>
  <c r="AR106" i="5" s="1"/>
  <c r="Z106" i="5"/>
  <c r="AA106" i="5" s="1"/>
  <c r="W164" i="5"/>
  <c r="AL164" i="5"/>
  <c r="Z177" i="5"/>
  <c r="AA177" i="5" s="1"/>
  <c r="AL180" i="5"/>
  <c r="U180" i="5"/>
  <c r="U45" i="5"/>
  <c r="AL45" i="5"/>
  <c r="W168" i="5"/>
  <c r="W16" i="5"/>
  <c r="Z16" i="5" s="1"/>
  <c r="AA16" i="5" s="1"/>
  <c r="AQ17" i="5"/>
  <c r="BA17" i="5" s="1"/>
  <c r="AB17" i="5"/>
  <c r="AO17" i="5" s="1"/>
  <c r="AR17" i="5" s="1"/>
  <c r="AS17" i="5" s="1"/>
  <c r="Z95" i="5"/>
  <c r="AA95" i="5" s="1"/>
  <c r="U215" i="5"/>
  <c r="AL215" i="5"/>
  <c r="AJ168" i="5"/>
  <c r="BN82" i="5"/>
  <c r="BP82" i="5"/>
  <c r="W155" i="5"/>
  <c r="Z155" i="5" s="1"/>
  <c r="AA155" i="5" s="1"/>
  <c r="AZ99" i="5"/>
  <c r="AH186" i="5"/>
  <c r="AI186" i="5" s="1"/>
  <c r="W103" i="5"/>
  <c r="Z103" i="5" s="1"/>
  <c r="AA103" i="5" s="1"/>
  <c r="AL103" i="5"/>
  <c r="U37" i="5"/>
  <c r="AL37" i="5"/>
  <c r="W208" i="5"/>
  <c r="Z208" i="5" s="1"/>
  <c r="AA208" i="5" s="1"/>
  <c r="AL208" i="5"/>
  <c r="AL64" i="5"/>
  <c r="AH118" i="5"/>
  <c r="AI118" i="5" s="1"/>
  <c r="AQ118" i="5"/>
  <c r="BA118" i="5" s="1"/>
  <c r="AQ178" i="5"/>
  <c r="BA178" i="5" s="1"/>
  <c r="AB156" i="5"/>
  <c r="W20" i="5"/>
  <c r="AL20" i="5"/>
  <c r="U148" i="5"/>
  <c r="Z166" i="5"/>
  <c r="AA166" i="5" s="1"/>
  <c r="AQ166" i="5"/>
  <c r="BA166" i="5" s="1"/>
  <c r="AJ43" i="5"/>
  <c r="AD43" i="5"/>
  <c r="AB145" i="5"/>
  <c r="AW145" i="5" s="1"/>
  <c r="Z145" i="5"/>
  <c r="AA145" i="5" s="1"/>
  <c r="AQ145" i="5"/>
  <c r="BA145" i="5" s="1"/>
  <c r="Z26" i="5"/>
  <c r="AA26" i="5" s="1"/>
  <c r="AB26" i="5"/>
  <c r="AO26" i="5" s="1"/>
  <c r="AR26" i="5" s="1"/>
  <c r="AB206" i="5"/>
  <c r="AW206" i="5" s="1"/>
  <c r="AQ206" i="5"/>
  <c r="BA206" i="5" s="1"/>
  <c r="Z206" i="5"/>
  <c r="AA206" i="5" s="1"/>
  <c r="W118" i="5"/>
  <c r="Z118" i="5" s="1"/>
  <c r="AA118" i="5" s="1"/>
  <c r="AQ135" i="5"/>
  <c r="BA135" i="5" s="1"/>
  <c r="AB135" i="5"/>
  <c r="AW135" i="5" s="1"/>
  <c r="U126" i="5"/>
  <c r="AL143" i="5"/>
  <c r="AD168" i="5"/>
  <c r="BN84" i="5"/>
  <c r="AL162" i="5"/>
  <c r="AB16" i="5"/>
  <c r="AO16" i="5" s="1"/>
  <c r="AR16" i="5" s="1"/>
  <c r="W71" i="5"/>
  <c r="Z71" i="5" s="1"/>
  <c r="AA71" i="5" s="1"/>
  <c r="W73" i="5"/>
  <c r="Z73" i="5" s="1"/>
  <c r="AA73" i="5" s="1"/>
  <c r="AL73" i="5"/>
  <c r="W179" i="5"/>
  <c r="Z179" i="5" s="1"/>
  <c r="AA179" i="5" s="1"/>
  <c r="AJ179" i="5"/>
  <c r="BN155" i="5"/>
  <c r="AD22" i="5"/>
  <c r="AJ22" i="5"/>
  <c r="U214" i="5"/>
  <c r="AL214" i="5"/>
  <c r="AB83" i="5"/>
  <c r="AW83" i="5" s="1"/>
  <c r="AH21" i="5"/>
  <c r="AI21" i="5" s="1"/>
  <c r="Z21" i="5"/>
  <c r="AA21" i="5" s="1"/>
  <c r="AQ21" i="5"/>
  <c r="BA21" i="5" s="1"/>
  <c r="AB21" i="5"/>
  <c r="AW21" i="5" s="1"/>
  <c r="W39" i="5"/>
  <c r="AL39" i="5"/>
  <c r="W108" i="5"/>
  <c r="Z22" i="5"/>
  <c r="AA22" i="5" s="1"/>
  <c r="AB22" i="5"/>
  <c r="AO22" i="5" s="1"/>
  <c r="U131" i="5"/>
  <c r="AH96" i="5"/>
  <c r="AI96" i="5" s="1"/>
  <c r="Z96" i="5"/>
  <c r="AA96" i="5" s="1"/>
  <c r="AB96" i="5"/>
  <c r="AW96" i="5" s="1"/>
  <c r="BP91" i="5"/>
  <c r="BN91" i="5"/>
  <c r="AQ79" i="5"/>
  <c r="BA79" i="5" s="1"/>
  <c r="Z79" i="5"/>
  <c r="AA79" i="5" s="1"/>
  <c r="AB79" i="5"/>
  <c r="AW79" i="5" s="1"/>
  <c r="W158" i="5"/>
  <c r="BN30" i="5"/>
  <c r="BP131" i="5"/>
  <c r="U139" i="5"/>
  <c r="AQ130" i="5"/>
  <c r="BA130" i="5" s="1"/>
  <c r="Z17" i="5"/>
  <c r="AA17" i="5" s="1"/>
  <c r="AD216" i="5"/>
  <c r="BP40" i="5"/>
  <c r="BN212" i="5"/>
  <c r="BP212" i="5"/>
  <c r="AB168" i="5"/>
  <c r="AW168" i="5" s="1"/>
  <c r="BN83" i="5"/>
  <c r="BP83" i="5"/>
  <c r="Z219" i="5"/>
  <c r="AA219" i="5" s="1"/>
  <c r="AB219" i="5"/>
  <c r="AO219" i="5" s="1"/>
  <c r="AR219" i="5" s="1"/>
  <c r="AS219" i="5" s="1"/>
  <c r="AH188" i="5"/>
  <c r="AI188" i="5" s="1"/>
  <c r="Z188" i="5"/>
  <c r="AA188" i="5" s="1"/>
  <c r="AB188" i="5"/>
  <c r="AO188" i="5" s="1"/>
  <c r="W154" i="5"/>
  <c r="U188" i="5"/>
  <c r="AH132" i="5"/>
  <c r="AI132" i="5" s="1"/>
  <c r="AJ132" i="5" s="1"/>
  <c r="Z132" i="5"/>
  <c r="AA132" i="5" s="1"/>
  <c r="AL50" i="5"/>
  <c r="BP56" i="5"/>
  <c r="U203" i="5"/>
  <c r="AL203" i="5"/>
  <c r="Z216" i="5"/>
  <c r="AA216" i="5" s="1"/>
  <c r="AB216" i="5"/>
  <c r="AO216" i="5" s="1"/>
  <c r="AR216" i="5" s="1"/>
  <c r="AS216" i="5" s="1"/>
  <c r="AQ71" i="5"/>
  <c r="BA71" i="5" s="1"/>
  <c r="W44" i="5"/>
  <c r="Z44" i="5" s="1"/>
  <c r="AA44" i="5" s="1"/>
  <c r="U81" i="5"/>
  <c r="AL81" i="5"/>
  <c r="BP62" i="5"/>
  <c r="BN62" i="5"/>
  <c r="W83" i="5"/>
  <c r="Z83" i="5" s="1"/>
  <c r="AA83" i="5" s="1"/>
  <c r="AL83" i="5"/>
  <c r="AH220" i="5"/>
  <c r="AI220" i="5" s="1"/>
  <c r="AB100" i="5"/>
  <c r="AW100" i="5" s="1"/>
  <c r="Z100" i="5"/>
  <c r="AA100" i="5" s="1"/>
  <c r="W37" i="5"/>
  <c r="Z37" i="5" s="1"/>
  <c r="AA37" i="5" s="1"/>
  <c r="AD37" i="5"/>
  <c r="AH152" i="5"/>
  <c r="AI152" i="5" s="1"/>
  <c r="BP142" i="5"/>
  <c r="BN142" i="5"/>
  <c r="AB112" i="5"/>
  <c r="AO112" i="5" s="1"/>
  <c r="AR112" i="5" s="1"/>
  <c r="AB157" i="5"/>
  <c r="AO157" i="5" s="1"/>
  <c r="AR157" i="5" s="1"/>
  <c r="BN6" i="5"/>
  <c r="BP6" i="5"/>
  <c r="W180" i="5"/>
  <c r="AJ180" i="5"/>
  <c r="W162" i="5"/>
  <c r="Z162" i="5" s="1"/>
  <c r="AA162" i="5" s="1"/>
  <c r="AH10" i="5"/>
  <c r="AI10" i="5" s="1"/>
  <c r="AQ32" i="5"/>
  <c r="BA32" i="5" s="1"/>
  <c r="U77" i="5"/>
  <c r="AL77" i="5"/>
  <c r="AJ17" i="5"/>
  <c r="BN42" i="5"/>
  <c r="BP77" i="5"/>
  <c r="BP153" i="5"/>
  <c r="BP222" i="5"/>
  <c r="BP3" i="5"/>
  <c r="W7" i="5"/>
  <c r="Z7" i="5" s="1"/>
  <c r="AA7" i="5" s="1"/>
  <c r="AL92" i="5"/>
  <c r="AL34" i="5"/>
  <c r="AL200" i="5"/>
  <c r="Z190" i="5"/>
  <c r="AA190" i="5" s="1"/>
  <c r="AQ83" i="5"/>
  <c r="BA83" i="5" s="1"/>
  <c r="AB118" i="5"/>
  <c r="AO118" i="5" s="1"/>
  <c r="AR118" i="5" s="1"/>
  <c r="W207" i="5"/>
  <c r="Z207" i="5" s="1"/>
  <c r="AA207" i="5" s="1"/>
  <c r="AD207" i="5"/>
  <c r="AH208" i="5"/>
  <c r="AI208" i="5" s="1"/>
  <c r="AQ208" i="5"/>
  <c r="BA208" i="5" s="1"/>
  <c r="AB208" i="5"/>
  <c r="AO208" i="5" s="1"/>
  <c r="AB43" i="5"/>
  <c r="AW43" i="5" s="1"/>
  <c r="Z43" i="5"/>
  <c r="AA43" i="5" s="1"/>
  <c r="BN47" i="5"/>
  <c r="BP47" i="5"/>
  <c r="AH167" i="5"/>
  <c r="AI167" i="5" s="1"/>
  <c r="AB167" i="5"/>
  <c r="AO167" i="5" s="1"/>
  <c r="AR167" i="5" s="1"/>
  <c r="Z167" i="5"/>
  <c r="AA167" i="5" s="1"/>
  <c r="W28" i="5"/>
  <c r="Z28" i="5" s="1"/>
  <c r="AA28" i="5" s="1"/>
  <c r="BN211" i="5"/>
  <c r="U74" i="5"/>
  <c r="AL74" i="5"/>
  <c r="AH11" i="5"/>
  <c r="AI11" i="5" s="1"/>
  <c r="U30" i="5"/>
  <c r="AL30" i="5"/>
  <c r="U56" i="5"/>
  <c r="AL56" i="5"/>
  <c r="AH110" i="5"/>
  <c r="AI110" i="5" s="1"/>
  <c r="Z110" i="5"/>
  <c r="AA110" i="5" s="1"/>
  <c r="AB110" i="5"/>
  <c r="AW110" i="5" s="1"/>
  <c r="U51" i="5"/>
  <c r="W45" i="5"/>
  <c r="AJ45" i="5"/>
  <c r="BP217" i="5"/>
  <c r="AL195" i="5"/>
  <c r="AH197" i="5"/>
  <c r="AI197" i="5" s="1"/>
  <c r="AQ110" i="5"/>
  <c r="BA110" i="5" s="1"/>
  <c r="AZ90" i="5"/>
  <c r="W112" i="5"/>
  <c r="Z112" i="5" s="1"/>
  <c r="AA112" i="5" s="1"/>
  <c r="AL112" i="5"/>
  <c r="AB104" i="5"/>
  <c r="AO104" i="5" s="1"/>
  <c r="AQ104" i="5"/>
  <c r="BA104" i="5" s="1"/>
  <c r="AH114" i="5"/>
  <c r="AI114" i="5" s="1"/>
  <c r="AB114" i="5"/>
  <c r="AW114" i="5" s="1"/>
  <c r="AQ114" i="5"/>
  <c r="BA114" i="5" s="1"/>
  <c r="Z114" i="5"/>
  <c r="AA114" i="5" s="1"/>
  <c r="BN134" i="5"/>
  <c r="BP134" i="5"/>
  <c r="AB35" i="5"/>
  <c r="AW35" i="5" s="1"/>
  <c r="AZ140" i="5"/>
  <c r="U177" i="5"/>
  <c r="AH149" i="5"/>
  <c r="AI149" i="5" s="1"/>
  <c r="Z149" i="5"/>
  <c r="AA149" i="5" s="1"/>
  <c r="AB103" i="5"/>
  <c r="AZ147" i="5"/>
  <c r="U157" i="5"/>
  <c r="AL157" i="5"/>
  <c r="U149" i="5"/>
  <c r="AL149" i="5"/>
  <c r="AJ40" i="5"/>
  <c r="AD99" i="5"/>
  <c r="BN128" i="5"/>
  <c r="AB147" i="5"/>
  <c r="AQ22" i="5"/>
  <c r="BA22" i="5" s="1"/>
  <c r="BP219" i="5"/>
  <c r="Z88" i="5"/>
  <c r="AA88" i="5" s="1"/>
  <c r="AB207" i="5"/>
  <c r="AW207" i="5" s="1"/>
  <c r="AQ100" i="5"/>
  <c r="BA100" i="5" s="1"/>
  <c r="AB166" i="5"/>
  <c r="AO166" i="5" s="1"/>
  <c r="AR166" i="5" s="1"/>
  <c r="AS166" i="5" s="1"/>
  <c r="AJ62" i="5"/>
  <c r="AQ43" i="5"/>
  <c r="BA43" i="5" s="1"/>
  <c r="U99" i="5"/>
  <c r="AD180" i="5"/>
  <c r="AB174" i="5"/>
  <c r="AW174" i="5" s="1"/>
  <c r="AD71" i="5"/>
  <c r="Z78" i="5"/>
  <c r="AA78" i="5" s="1"/>
  <c r="U4" i="5"/>
  <c r="AL4" i="5"/>
  <c r="BP19" i="5"/>
  <c r="AQ197" i="5"/>
  <c r="BA197" i="5" s="1"/>
  <c r="AQ68" i="5"/>
  <c r="BA68" i="5" s="1"/>
  <c r="AL154" i="5"/>
  <c r="AL182" i="5"/>
  <c r="W62" i="5"/>
  <c r="Z62" i="5" s="1"/>
  <c r="AA62" i="5" s="1"/>
  <c r="AB61" i="5"/>
  <c r="AO61" i="5" s="1"/>
  <c r="AQ112" i="5"/>
  <c r="BA112" i="5" s="1"/>
  <c r="AL115" i="5"/>
  <c r="Z150" i="5"/>
  <c r="AA150" i="5" s="1"/>
  <c r="BP216" i="5"/>
  <c r="AQ219" i="5"/>
  <c r="BA219" i="5" s="1"/>
  <c r="AB210" i="5"/>
  <c r="AO210" i="5" s="1"/>
  <c r="AR210" i="5" s="1"/>
  <c r="AH104" i="5"/>
  <c r="AI104" i="5" s="1"/>
  <c r="AH42" i="5"/>
  <c r="AI42" i="5" s="1"/>
  <c r="AH119" i="5"/>
  <c r="AI119" i="5" s="1"/>
  <c r="AH107" i="5"/>
  <c r="AI107" i="5" s="1"/>
  <c r="AH85" i="5"/>
  <c r="AI85" i="5" s="1"/>
  <c r="AH26" i="5"/>
  <c r="AI26" i="5" s="1"/>
  <c r="AH56" i="5"/>
  <c r="AI56" i="5" s="1"/>
  <c r="AB195" i="5"/>
  <c r="AW195" i="5" s="1"/>
  <c r="AH215" i="5"/>
  <c r="AI215" i="5" s="1"/>
  <c r="AH159" i="5"/>
  <c r="AI159" i="5" s="1"/>
  <c r="AH155" i="5"/>
  <c r="AI155" i="5" s="1"/>
  <c r="Z61" i="5"/>
  <c r="AA61" i="5" s="1"/>
  <c r="AB111" i="5"/>
  <c r="AO111" i="5" s="1"/>
  <c r="AB121" i="5"/>
  <c r="AO121" i="5" s="1"/>
  <c r="AR121" i="5" s="1"/>
  <c r="BN105" i="5"/>
  <c r="AH102" i="5"/>
  <c r="AI102" i="5" s="1"/>
  <c r="AH89" i="5"/>
  <c r="AI89" i="5" s="1"/>
  <c r="AD139" i="5"/>
  <c r="AB13" i="5"/>
  <c r="BN201" i="5"/>
  <c r="AH49" i="5"/>
  <c r="AI49" i="5" s="1"/>
  <c r="AL170" i="5"/>
  <c r="AQ111" i="5"/>
  <c r="BA111" i="5" s="1"/>
  <c r="BP194" i="5"/>
  <c r="AH72" i="5"/>
  <c r="AI72" i="5" s="1"/>
  <c r="AH58" i="5"/>
  <c r="AI58" i="5" s="1"/>
  <c r="AH196" i="5"/>
  <c r="AI196" i="5" s="1"/>
  <c r="AW97" i="5"/>
  <c r="AD68" i="5"/>
  <c r="AD90" i="5"/>
  <c r="BA92" i="5"/>
  <c r="AD59" i="5"/>
  <c r="AW24" i="5"/>
  <c r="AJ59" i="5"/>
  <c r="AJ183" i="5"/>
  <c r="AD183" i="5"/>
  <c r="AO4" i="5"/>
  <c r="AW4" i="5"/>
  <c r="AD151" i="5"/>
  <c r="BN177" i="5"/>
  <c r="BP177" i="5"/>
  <c r="BP57" i="5"/>
  <c r="BN57" i="5"/>
  <c r="BN111" i="5"/>
  <c r="BN113" i="5"/>
  <c r="BP113" i="5"/>
  <c r="BN190" i="5"/>
  <c r="BP190" i="5"/>
  <c r="BP172" i="5"/>
  <c r="BN172" i="5"/>
  <c r="BN78" i="5"/>
  <c r="BP78" i="5"/>
  <c r="BP65" i="5"/>
  <c r="BN65" i="5"/>
  <c r="AR97" i="5"/>
  <c r="AS97" i="5" s="1"/>
  <c r="AK212" i="5" a="1"/>
  <c r="AK76" i="5" a="1"/>
  <c r="AK81" i="5" a="1"/>
  <c r="AK29" i="5" a="1"/>
  <c r="AK60" i="5" a="1"/>
  <c r="AT166" i="5"/>
  <c r="AK143" i="5" a="1"/>
  <c r="AK180" i="5" a="1"/>
  <c r="AK114" i="5" a="1"/>
  <c r="AT90" i="5"/>
  <c r="AK139" i="5" a="1"/>
  <c r="AK122" i="5" a="1"/>
  <c r="AK200" i="5" a="1"/>
  <c r="AK131" i="5" a="1"/>
  <c r="AK88" i="5" a="1"/>
  <c r="AK178" i="5" a="1"/>
  <c r="AK96" i="5" a="1"/>
  <c r="AK89" i="5" a="1"/>
  <c r="AK85" i="5" a="1"/>
  <c r="AK204" i="5" a="1"/>
  <c r="AK33" i="5" a="1"/>
  <c r="AK216" i="5" a="1"/>
  <c r="AK97" i="5" a="1"/>
  <c r="AK17" i="5" a="1"/>
  <c r="AK137" i="5" a="1"/>
  <c r="AK183" i="5" a="1"/>
  <c r="AT37" i="5"/>
  <c r="AK69" i="5" a="1"/>
  <c r="AK177" i="5" a="1"/>
  <c r="AK129" i="5" a="1"/>
  <c r="AK173" i="5" a="1"/>
  <c r="AK11" i="5" a="1"/>
  <c r="AK104" i="5" a="1"/>
  <c r="AK142" i="5" a="1"/>
  <c r="AK59" i="5" a="1"/>
  <c r="AK99" i="5" a="1"/>
  <c r="AK102" i="5" a="1"/>
  <c r="AK67" i="5" a="1"/>
  <c r="AK43" i="5" a="1"/>
  <c r="AK218" i="5" a="1"/>
  <c r="AK205" i="5" a="1"/>
  <c r="AK40" i="5" a="1"/>
  <c r="AK119" i="5" a="1"/>
  <c r="AK118" i="5" a="1"/>
  <c r="AK155" i="5" a="1"/>
  <c r="AT17" i="5"/>
  <c r="AK37" i="5" a="1"/>
  <c r="AK215" i="5" a="1"/>
  <c r="AT78" i="5"/>
  <c r="AK84" i="5" a="1"/>
  <c r="AK31" i="5" a="1"/>
  <c r="AK58" i="5" a="1"/>
  <c r="AK126" i="5" a="1"/>
  <c r="AK214" i="5" a="1"/>
  <c r="AK49" i="5" a="1"/>
  <c r="AK208" i="5" a="1"/>
  <c r="AK151" i="5" a="1"/>
  <c r="AK91" i="5" a="1"/>
  <c r="AK168" i="5" a="1"/>
  <c r="AK159" i="5" a="1"/>
  <c r="AK209" i="5" a="1"/>
  <c r="AK220" i="5" a="1"/>
  <c r="AT97" i="5"/>
  <c r="AK149" i="5" a="1"/>
  <c r="AK115" i="5" a="1"/>
  <c r="AT219" i="5"/>
  <c r="AK38" i="5" a="1"/>
  <c r="AK13" i="5" a="1"/>
  <c r="AK196" i="5" a="1"/>
  <c r="AK132" i="5" a="1"/>
  <c r="AK179" i="5" a="1"/>
  <c r="AT216" i="5"/>
  <c r="AK188" i="5" a="1"/>
  <c r="AK56" i="5" a="1"/>
  <c r="AK45" i="5" a="1"/>
  <c r="AK4" i="5" a="1"/>
  <c r="AK150" i="5" a="1"/>
  <c r="AK148" i="5" a="1"/>
  <c r="AK166" i="5" a="1"/>
  <c r="AK152" i="5" a="1"/>
  <c r="AK39" i="5" a="1"/>
  <c r="AK117" i="5" a="1"/>
  <c r="AK207" i="5" a="1"/>
  <c r="AK42" i="5" a="1"/>
  <c r="AK68" i="5" a="1"/>
  <c r="AK78" i="5" a="1"/>
  <c r="AH48" i="5" l="1"/>
  <c r="AI48" i="5" s="1"/>
  <c r="AB48" i="5"/>
  <c r="AO48" i="5" s="1"/>
  <c r="AR48" i="5" s="1"/>
  <c r="AB45" i="5"/>
  <c r="AO45" i="5" s="1"/>
  <c r="AQ45" i="5"/>
  <c r="BA45" i="5" s="1"/>
  <c r="U2" i="5"/>
  <c r="AL2" i="5"/>
  <c r="AH46" i="5"/>
  <c r="AI46" i="5" s="1"/>
  <c r="W147" i="5"/>
  <c r="Z147" i="5" s="1"/>
  <c r="AA147" i="5" s="1"/>
  <c r="AL147" i="5"/>
  <c r="BP76" i="5"/>
  <c r="BN76" i="5"/>
  <c r="AL35" i="5"/>
  <c r="U35" i="5"/>
  <c r="AQ93" i="5"/>
  <c r="BA93" i="5" s="1"/>
  <c r="AB93" i="5"/>
  <c r="AO93" i="5" s="1"/>
  <c r="AR93" i="5" s="1"/>
  <c r="AS93" i="5" s="1"/>
  <c r="BP182" i="5"/>
  <c r="BN182" i="5"/>
  <c r="AH15" i="5"/>
  <c r="AI15" i="5" s="1"/>
  <c r="AQ15" i="5"/>
  <c r="BA15" i="5" s="1"/>
  <c r="AB15" i="5"/>
  <c r="AH113" i="5"/>
  <c r="AI113" i="5" s="1"/>
  <c r="Z113" i="5"/>
  <c r="AA113" i="5" s="1"/>
  <c r="BP4" i="5"/>
  <c r="BN4" i="5"/>
  <c r="W27" i="5"/>
  <c r="Z27" i="5" s="1"/>
  <c r="AA27" i="5" s="1"/>
  <c r="AL27" i="5"/>
  <c r="AH140" i="5"/>
  <c r="AI140" i="5" s="1"/>
  <c r="Z140" i="5"/>
  <c r="AA140" i="5" s="1"/>
  <c r="AQ14" i="5"/>
  <c r="BA14" i="5" s="1"/>
  <c r="AB14" i="5"/>
  <c r="BN36" i="5"/>
  <c r="BP36" i="5"/>
  <c r="AQ158" i="5"/>
  <c r="BA158" i="5" s="1"/>
  <c r="AB158" i="5"/>
  <c r="AW158" i="5" s="1"/>
  <c r="U106" i="5"/>
  <c r="AL106" i="5"/>
  <c r="AQ50" i="5"/>
  <c r="BA50" i="5" s="1"/>
  <c r="AB50" i="5"/>
  <c r="AO50" i="5" s="1"/>
  <c r="AR50" i="5" s="1"/>
  <c r="AS50" i="5" s="1"/>
  <c r="Z50" i="5"/>
  <c r="AA50" i="5" s="1"/>
  <c r="BP72" i="5"/>
  <c r="BN72" i="5"/>
  <c r="BP61" i="5"/>
  <c r="BN61" i="5"/>
  <c r="AH20" i="5"/>
  <c r="AI20" i="5" s="1"/>
  <c r="BP67" i="5"/>
  <c r="BN67" i="5"/>
  <c r="AQ39" i="5"/>
  <c r="BA39" i="5" s="1"/>
  <c r="AB39" i="5"/>
  <c r="AW39" i="5" s="1"/>
  <c r="U217" i="5"/>
  <c r="AL217" i="5"/>
  <c r="U191" i="5"/>
  <c r="AL191" i="5"/>
  <c r="AH184" i="5"/>
  <c r="AI184" i="5" s="1"/>
  <c r="BP68" i="5"/>
  <c r="BN68" i="5"/>
  <c r="AB198" i="5"/>
  <c r="AO198" i="5" s="1"/>
  <c r="AQ198" i="5"/>
  <c r="BA198" i="5" s="1"/>
  <c r="AL219" i="5"/>
  <c r="U219" i="5"/>
  <c r="AZ199" i="5"/>
  <c r="W142" i="5"/>
  <c r="Z142" i="5" s="1"/>
  <c r="AA142" i="5" s="1"/>
  <c r="AL142" i="5"/>
  <c r="AJ142" i="5"/>
  <c r="AH18" i="5"/>
  <c r="AI18" i="5" s="1"/>
  <c r="AQ18" i="5"/>
  <c r="BA18" i="5" s="1"/>
  <c r="Z18" i="5"/>
  <c r="AA18" i="5" s="1"/>
  <c r="AQ141" i="5"/>
  <c r="BA141" i="5" s="1"/>
  <c r="Z141" i="5"/>
  <c r="AA141" i="5" s="1"/>
  <c r="AH189" i="5"/>
  <c r="AI189" i="5" s="1"/>
  <c r="AQ165" i="5"/>
  <c r="BA165" i="5" s="1"/>
  <c r="Z34" i="5"/>
  <c r="AA34" i="5" s="1"/>
  <c r="BP29" i="5"/>
  <c r="Z168" i="5"/>
  <c r="AA168" i="5" s="1"/>
  <c r="AQ184" i="5"/>
  <c r="BA184" i="5" s="1"/>
  <c r="AJ93" i="5"/>
  <c r="Z198" i="5"/>
  <c r="AA198" i="5" s="1"/>
  <c r="AB146" i="5"/>
  <c r="AQ146" i="5"/>
  <c r="BA146" i="5" s="1"/>
  <c r="W129" i="5"/>
  <c r="Z129" i="5" s="1"/>
  <c r="AA129" i="5" s="1"/>
  <c r="AL129" i="5"/>
  <c r="AB205" i="5"/>
  <c r="AW205" i="5" s="1"/>
  <c r="Z205" i="5"/>
  <c r="AA205" i="5" s="1"/>
  <c r="AQ205" i="5"/>
  <c r="BA205" i="5" s="1"/>
  <c r="W156" i="5"/>
  <c r="Z156" i="5" s="1"/>
  <c r="AA156" i="5" s="1"/>
  <c r="AD156" i="5"/>
  <c r="AJ156" i="5"/>
  <c r="AB60" i="5"/>
  <c r="AW60" i="5" s="1"/>
  <c r="AQ60" i="5"/>
  <c r="BA60" i="5" s="1"/>
  <c r="BP117" i="5"/>
  <c r="BN117" i="5"/>
  <c r="AH161" i="5"/>
  <c r="AI161" i="5" s="1"/>
  <c r="AQ55" i="5"/>
  <c r="BA55" i="5" s="1"/>
  <c r="W70" i="5"/>
  <c r="Z70" i="5" s="1"/>
  <c r="AA70" i="5" s="1"/>
  <c r="AL70" i="5"/>
  <c r="AB148" i="5"/>
  <c r="AO148" i="5" s="1"/>
  <c r="AR148" i="5" s="1"/>
  <c r="AS148" i="5" s="1"/>
  <c r="AQ148" i="5"/>
  <c r="BA148" i="5" s="1"/>
  <c r="AH135" i="5"/>
  <c r="AI135" i="5" s="1"/>
  <c r="AH133" i="5"/>
  <c r="AI133" i="5" s="1"/>
  <c r="U189" i="5"/>
  <c r="AL189" i="5"/>
  <c r="BP154" i="5"/>
  <c r="BN154" i="5"/>
  <c r="BP204" i="5"/>
  <c r="BN204" i="5"/>
  <c r="W178" i="5"/>
  <c r="AD178" i="5"/>
  <c r="U192" i="5"/>
  <c r="AL192" i="5"/>
  <c r="AQ191" i="5"/>
  <c r="BA191" i="5" s="1"/>
  <c r="Z191" i="5"/>
  <c r="AA191" i="5" s="1"/>
  <c r="W151" i="5"/>
  <c r="AL151" i="5"/>
  <c r="AJ151" i="5"/>
  <c r="W109" i="5"/>
  <c r="Z109" i="5" s="1"/>
  <c r="AA109" i="5" s="1"/>
  <c r="AL109" i="5"/>
  <c r="AQ46" i="5"/>
  <c r="BA46" i="5" s="1"/>
  <c r="AB46" i="5"/>
  <c r="AO46" i="5" s="1"/>
  <c r="AR46" i="5" s="1"/>
  <c r="U198" i="5"/>
  <c r="AL198" i="5"/>
  <c r="W126" i="5"/>
  <c r="AD126" i="5"/>
  <c r="AL126" i="5"/>
  <c r="AZ127" i="5"/>
  <c r="AQ48" i="5"/>
  <c r="BA48" i="5" s="1"/>
  <c r="BB48" i="5" s="1"/>
  <c r="BM48" i="5" s="1"/>
  <c r="U169" i="5"/>
  <c r="AL169" i="5"/>
  <c r="AQ152" i="5"/>
  <c r="Z189" i="5"/>
  <c r="AA189" i="5" s="1"/>
  <c r="W52" i="5"/>
  <c r="Z52" i="5" s="1"/>
  <c r="AA52" i="5" s="1"/>
  <c r="AL52" i="5"/>
  <c r="AB9" i="5"/>
  <c r="AQ9" i="5"/>
  <c r="BA9" i="5" s="1"/>
  <c r="AB149" i="5"/>
  <c r="AO149" i="5" s="1"/>
  <c r="AR149" i="5" s="1"/>
  <c r="AQ149" i="5"/>
  <c r="BA149" i="5" s="1"/>
  <c r="W29" i="5"/>
  <c r="Z29" i="5" s="1"/>
  <c r="AA29" i="5" s="1"/>
  <c r="AD29" i="5"/>
  <c r="AQ196" i="5"/>
  <c r="BA196" i="5" s="1"/>
  <c r="Z196" i="5"/>
  <c r="AA196" i="5" s="1"/>
  <c r="AB196" i="5"/>
  <c r="AL62" i="5"/>
  <c r="U62" i="5"/>
  <c r="U201" i="5"/>
  <c r="AL201" i="5"/>
  <c r="BN152" i="5"/>
  <c r="BP152" i="5"/>
  <c r="AQ139" i="5"/>
  <c r="BA139" i="5" s="1"/>
  <c r="AB139" i="5"/>
  <c r="AH95" i="5"/>
  <c r="AI95" i="5" s="1"/>
  <c r="W163" i="5"/>
  <c r="Z163" i="5" s="1"/>
  <c r="AA163" i="5" s="1"/>
  <c r="AL163" i="5"/>
  <c r="W187" i="5"/>
  <c r="Z187" i="5" s="1"/>
  <c r="AA187" i="5" s="1"/>
  <c r="AL187" i="5"/>
  <c r="AQ173" i="5"/>
  <c r="BA173" i="5" s="1"/>
  <c r="AB173" i="5"/>
  <c r="AO173" i="5" s="1"/>
  <c r="AR173" i="5" s="1"/>
  <c r="AS173" i="5" s="1"/>
  <c r="AQ195" i="5"/>
  <c r="BA195" i="5" s="1"/>
  <c r="Z195" i="5"/>
  <c r="AA195" i="5" s="1"/>
  <c r="Z185" i="5"/>
  <c r="AA185" i="5" s="1"/>
  <c r="AD201" i="5"/>
  <c r="AZ173" i="5"/>
  <c r="BP125" i="5"/>
  <c r="AW13" i="5"/>
  <c r="AX13" i="5" s="1"/>
  <c r="Z55" i="5"/>
  <c r="AA55" i="5" s="1"/>
  <c r="AQ78" i="5"/>
  <c r="BA78" i="5" s="1"/>
  <c r="Z165" i="5"/>
  <c r="AA165" i="5" s="1"/>
  <c r="AB189" i="5"/>
  <c r="AW189" i="5" s="1"/>
  <c r="Z152" i="5"/>
  <c r="AA152" i="5" s="1"/>
  <c r="AS112" i="5"/>
  <c r="AL7" i="5"/>
  <c r="AB101" i="5"/>
  <c r="Z48" i="5"/>
  <c r="AA48" i="5" s="1"/>
  <c r="Z15" i="5"/>
  <c r="AA15" i="5" s="1"/>
  <c r="AL14" i="5"/>
  <c r="AL176" i="5"/>
  <c r="BP207" i="5"/>
  <c r="BP210" i="5"/>
  <c r="AB95" i="5"/>
  <c r="AW95" i="5" s="1"/>
  <c r="AH86" i="5"/>
  <c r="AI86" i="5" s="1"/>
  <c r="U21" i="5"/>
  <c r="AL21" i="5"/>
  <c r="AH164" i="5"/>
  <c r="AI164" i="5" s="1"/>
  <c r="AQ164" i="5"/>
  <c r="BA164" i="5" s="1"/>
  <c r="AB164" i="5"/>
  <c r="Z159" i="5"/>
  <c r="AA159" i="5" s="1"/>
  <c r="AB159" i="5"/>
  <c r="AW159" i="5" s="1"/>
  <c r="AQ215" i="5"/>
  <c r="BA215" i="5" s="1"/>
  <c r="U135" i="5"/>
  <c r="AL135" i="5"/>
  <c r="U197" i="5"/>
  <c r="AL197" i="5"/>
  <c r="U127" i="5"/>
  <c r="AL127" i="5"/>
  <c r="AQ53" i="5"/>
  <c r="BA53" i="5" s="1"/>
  <c r="Z53" i="5"/>
  <c r="AA53" i="5" s="1"/>
  <c r="AQ20" i="5"/>
  <c r="BN14" i="5"/>
  <c r="BP14" i="5"/>
  <c r="BP218" i="5"/>
  <c r="BN218" i="5"/>
  <c r="AB23" i="5"/>
  <c r="AO23" i="5" s="1"/>
  <c r="AR23" i="5" s="1"/>
  <c r="BP18" i="5"/>
  <c r="BN18" i="5"/>
  <c r="AH7" i="5"/>
  <c r="AI7" i="5" s="1"/>
  <c r="U12" i="5"/>
  <c r="AL12" i="5"/>
  <c r="AB12" i="5"/>
  <c r="AQ12" i="5"/>
  <c r="BA12" i="5" s="1"/>
  <c r="U160" i="5"/>
  <c r="AL160" i="5"/>
  <c r="AL224" i="5"/>
  <c r="W38" i="5"/>
  <c r="Z38" i="5" s="1"/>
  <c r="AA38" i="5" s="1"/>
  <c r="AJ38" i="5"/>
  <c r="Z60" i="5"/>
  <c r="AA60" i="5" s="1"/>
  <c r="W31" i="5"/>
  <c r="Z31" i="5" s="1"/>
  <c r="AA31" i="5" s="1"/>
  <c r="AL31" i="5"/>
  <c r="AH77" i="5"/>
  <c r="AI77" i="5" s="1"/>
  <c r="AB77" i="5"/>
  <c r="AO77" i="5" s="1"/>
  <c r="AR77" i="5" s="1"/>
  <c r="Z77" i="5"/>
  <c r="AA77" i="5" s="1"/>
  <c r="W173" i="5"/>
  <c r="Z173" i="5" s="1"/>
  <c r="AA173" i="5" s="1"/>
  <c r="AL173" i="5"/>
  <c r="AJ173" i="5"/>
  <c r="AD173" i="5"/>
  <c r="U172" i="5"/>
  <c r="AL172" i="5"/>
  <c r="U130" i="5"/>
  <c r="AL130" i="5"/>
  <c r="AH224" i="5"/>
  <c r="AI224" i="5" s="1"/>
  <c r="U98" i="5"/>
  <c r="AL98" i="5"/>
  <c r="U213" i="5"/>
  <c r="AL213" i="5"/>
  <c r="AQ193" i="5"/>
  <c r="BA193" i="5" s="1"/>
  <c r="Z193" i="5"/>
  <c r="AA193" i="5" s="1"/>
  <c r="Z59" i="5"/>
  <c r="AA59" i="5" s="1"/>
  <c r="AQ59" i="5"/>
  <c r="BA59" i="5" s="1"/>
  <c r="AB59" i="5"/>
  <c r="AO59" i="5" s="1"/>
  <c r="AR59" i="5" s="1"/>
  <c r="AS59" i="5" s="1"/>
  <c r="AJ91" i="5"/>
  <c r="AL91" i="5"/>
  <c r="W91" i="5"/>
  <c r="Z91" i="5" s="1"/>
  <c r="AA91" i="5" s="1"/>
  <c r="AD91" i="5"/>
  <c r="AQ140" i="5"/>
  <c r="BA140" i="5" s="1"/>
  <c r="BB140" i="5" s="1"/>
  <c r="AB2" i="5"/>
  <c r="AO2" i="5" s="1"/>
  <c r="AR2" i="5" s="1"/>
  <c r="Z2" i="5"/>
  <c r="AA2" i="5" s="1"/>
  <c r="AB202" i="5"/>
  <c r="AW202" i="5" s="1"/>
  <c r="AQ202" i="5"/>
  <c r="BA202" i="5" s="1"/>
  <c r="AH12" i="5"/>
  <c r="AI12" i="5" s="1"/>
  <c r="AB11" i="5"/>
  <c r="AW11" i="5" s="1"/>
  <c r="Z11" i="5"/>
  <c r="AA11" i="5" s="1"/>
  <c r="AQ11" i="5"/>
  <c r="BA11" i="5" s="1"/>
  <c r="W13" i="5"/>
  <c r="Z13" i="5" s="1"/>
  <c r="AA13" i="5" s="1"/>
  <c r="AL13" i="5"/>
  <c r="U71" i="5"/>
  <c r="AL71" i="5"/>
  <c r="AZ33" i="5"/>
  <c r="AB127" i="5"/>
  <c r="AW127" i="5" s="1"/>
  <c r="AQ127" i="5"/>
  <c r="BA127" i="5" s="1"/>
  <c r="W148" i="5"/>
  <c r="Z148" i="5" s="1"/>
  <c r="AA148" i="5" s="1"/>
  <c r="AL148" i="5"/>
  <c r="W111" i="5"/>
  <c r="Z111" i="5" s="1"/>
  <c r="AA111" i="5" s="1"/>
  <c r="AL111" i="5"/>
  <c r="BP107" i="5"/>
  <c r="BN107" i="5"/>
  <c r="U57" i="5"/>
  <c r="AL57" i="5"/>
  <c r="AQ177" i="5"/>
  <c r="AB177" i="5"/>
  <c r="AW177" i="5" s="1"/>
  <c r="U156" i="5"/>
  <c r="AL156" i="5"/>
  <c r="AQ126" i="5"/>
  <c r="BA126" i="5" s="1"/>
  <c r="Z126" i="5"/>
  <c r="AA126" i="5" s="1"/>
  <c r="BP20" i="5"/>
  <c r="BN20" i="5"/>
  <c r="BP41" i="5"/>
  <c r="BN41" i="5"/>
  <c r="BP101" i="5"/>
  <c r="BN101" i="5"/>
  <c r="U24" i="5"/>
  <c r="AL24" i="5"/>
  <c r="U16" i="5"/>
  <c r="AL16" i="5"/>
  <c r="U202" i="5"/>
  <c r="AL202" i="5"/>
  <c r="AH32" i="5"/>
  <c r="AI32" i="5" s="1"/>
  <c r="AB160" i="5"/>
  <c r="AH160" i="5"/>
  <c r="AI160" i="5" s="1"/>
  <c r="AQ160" i="5"/>
  <c r="BA160" i="5" s="1"/>
  <c r="AB154" i="5"/>
  <c r="AO154" i="5" s="1"/>
  <c r="AB137" i="5"/>
  <c r="AO137" i="5" s="1"/>
  <c r="AR137" i="5" s="1"/>
  <c r="AS137" i="5" s="1"/>
  <c r="Z137" i="5"/>
  <c r="AA137" i="5" s="1"/>
  <c r="AQ137" i="5"/>
  <c r="BA137" i="5" s="1"/>
  <c r="Z204" i="5"/>
  <c r="AA204" i="5" s="1"/>
  <c r="AQ204" i="5"/>
  <c r="BA204" i="5" s="1"/>
  <c r="AB204" i="5"/>
  <c r="AO204" i="5" s="1"/>
  <c r="AR204" i="5" s="1"/>
  <c r="U186" i="5"/>
  <c r="AL186" i="5"/>
  <c r="AH35" i="5"/>
  <c r="AI35" i="5" s="1"/>
  <c r="AQ35" i="5"/>
  <c r="AQ123" i="5"/>
  <c r="BA123" i="5" s="1"/>
  <c r="AB123" i="5"/>
  <c r="AO123" i="5" s="1"/>
  <c r="AR123" i="5" s="1"/>
  <c r="AS123" i="5" s="1"/>
  <c r="AB74" i="5"/>
  <c r="AW74" i="5" s="1"/>
  <c r="AX74" i="5" s="1"/>
  <c r="AQ74" i="5"/>
  <c r="BA74" i="5" s="1"/>
  <c r="BN7" i="5"/>
  <c r="BP7" i="5"/>
  <c r="U145" i="5"/>
  <c r="AL145" i="5"/>
  <c r="AH51" i="5"/>
  <c r="AI51" i="5" s="1"/>
  <c r="AZ34" i="5"/>
  <c r="U3" i="5"/>
  <c r="AL3" i="5"/>
  <c r="AH170" i="5"/>
  <c r="AI170" i="5" s="1"/>
  <c r="U153" i="5"/>
  <c r="AL153" i="5"/>
  <c r="AB32" i="5"/>
  <c r="AW32" i="5" s="1"/>
  <c r="U22" i="5"/>
  <c r="AL22" i="5"/>
  <c r="U10" i="5"/>
  <c r="AL10" i="5"/>
  <c r="AZ205" i="5"/>
  <c r="W104" i="5"/>
  <c r="Z104" i="5" s="1"/>
  <c r="AA104" i="5" s="1"/>
  <c r="AL104" i="5"/>
  <c r="W3" i="5"/>
  <c r="Z3" i="5" s="1"/>
  <c r="AA3" i="5" s="1"/>
  <c r="AD3" i="5"/>
  <c r="U6" i="5"/>
  <c r="AL6" i="5"/>
  <c r="AB136" i="5"/>
  <c r="AW136" i="5" s="1"/>
  <c r="AQ136" i="5"/>
  <c r="BA136" i="5" s="1"/>
  <c r="W58" i="5"/>
  <c r="Z58" i="5" s="1"/>
  <c r="AA58" i="5" s="1"/>
  <c r="AL58" i="5"/>
  <c r="AB109" i="5"/>
  <c r="AQ109" i="5"/>
  <c r="BA109" i="5" s="1"/>
  <c r="AZ44" i="5"/>
  <c r="BB44" i="5" s="1"/>
  <c r="BF44" i="5" s="1"/>
  <c r="Z127" i="5"/>
  <c r="AA127" i="5" s="1"/>
  <c r="U136" i="5"/>
  <c r="AL136" i="5"/>
  <c r="AH9" i="5"/>
  <c r="AI9" i="5" s="1"/>
  <c r="W119" i="5"/>
  <c r="Z119" i="5" s="1"/>
  <c r="AA119" i="5" s="1"/>
  <c r="AL119" i="5"/>
  <c r="BN139" i="5"/>
  <c r="BP139" i="5"/>
  <c r="AQ183" i="5"/>
  <c r="BA183" i="5" s="1"/>
  <c r="AB183" i="5"/>
  <c r="AO183" i="5" s="1"/>
  <c r="AR183" i="5" s="1"/>
  <c r="AS183" i="5" s="1"/>
  <c r="Z183" i="5"/>
  <c r="AA183" i="5" s="1"/>
  <c r="AH163" i="5"/>
  <c r="AI163" i="5" s="1"/>
  <c r="Z203" i="5"/>
  <c r="AA203" i="5" s="1"/>
  <c r="AH203" i="5"/>
  <c r="AI203" i="5" s="1"/>
  <c r="AD203" i="5" s="1"/>
  <c r="AB203" i="5"/>
  <c r="AW203" i="5" s="1"/>
  <c r="W33" i="5"/>
  <c r="Z33" i="5" s="1"/>
  <c r="AA33" i="5" s="1"/>
  <c r="AL33" i="5"/>
  <c r="U161" i="5"/>
  <c r="AL161" i="5"/>
  <c r="Z214" i="5"/>
  <c r="AA214" i="5" s="1"/>
  <c r="AB214" i="5"/>
  <c r="AQ214" i="5"/>
  <c r="BA214" i="5" s="1"/>
  <c r="U121" i="5"/>
  <c r="AL121" i="5"/>
  <c r="BP109" i="5"/>
  <c r="BN109" i="5"/>
  <c r="AH74" i="5"/>
  <c r="AI74" i="5" s="1"/>
  <c r="U184" i="5"/>
  <c r="AL184" i="5"/>
  <c r="AB201" i="5"/>
  <c r="Z201" i="5"/>
  <c r="AA201" i="5" s="1"/>
  <c r="AH210" i="5"/>
  <c r="AI210" i="5" s="1"/>
  <c r="Z210" i="5"/>
  <c r="AA210" i="5" s="1"/>
  <c r="AQ210" i="5"/>
  <c r="BA210" i="5" s="1"/>
  <c r="W49" i="5"/>
  <c r="AL49" i="5"/>
  <c r="AL179" i="5"/>
  <c r="BN13" i="5"/>
  <c r="AB152" i="5"/>
  <c r="AS194" i="5"/>
  <c r="Z215" i="5"/>
  <c r="AA215" i="5" s="1"/>
  <c r="AB20" i="5"/>
  <c r="AB215" i="5"/>
  <c r="AQ131" i="5"/>
  <c r="BA131" i="5" s="1"/>
  <c r="Z131" i="5"/>
  <c r="AA131" i="5" s="1"/>
  <c r="AQ82" i="5"/>
  <c r="BA82" i="5" s="1"/>
  <c r="AB82" i="5"/>
  <c r="AO82" i="5" s="1"/>
  <c r="BP25" i="5"/>
  <c r="BN25" i="5"/>
  <c r="Z86" i="5"/>
  <c r="AA86" i="5" s="1"/>
  <c r="BP149" i="5"/>
  <c r="BN149" i="5"/>
  <c r="AL19" i="5"/>
  <c r="U19" i="5"/>
  <c r="BP175" i="5"/>
  <c r="BN175" i="5"/>
  <c r="AH182" i="5"/>
  <c r="AI182" i="5" s="1"/>
  <c r="AB182" i="5"/>
  <c r="AW182" i="5" s="1"/>
  <c r="Z182" i="5"/>
  <c r="AA182" i="5" s="1"/>
  <c r="U26" i="5"/>
  <c r="AL26" i="5"/>
  <c r="AH2" i="5"/>
  <c r="AI2" i="5" s="1"/>
  <c r="AJ2" i="5" s="1"/>
  <c r="AH138" i="5"/>
  <c r="AI138" i="5" s="1"/>
  <c r="Z138" i="5"/>
  <c r="AA138" i="5" s="1"/>
  <c r="AB138" i="5"/>
  <c r="AO138" i="5" s="1"/>
  <c r="AR138" i="5" s="1"/>
  <c r="BP93" i="5"/>
  <c r="BN93" i="5"/>
  <c r="BP198" i="5"/>
  <c r="BN198" i="5"/>
  <c r="AL32" i="5"/>
  <c r="AB172" i="5"/>
  <c r="AQ224" i="5"/>
  <c r="BA224" i="5" s="1"/>
  <c r="BN191" i="5"/>
  <c r="Z128" i="5"/>
  <c r="AA128" i="5" s="1"/>
  <c r="Z49" i="5"/>
  <c r="AA49" i="5" s="1"/>
  <c r="U107" i="5"/>
  <c r="AL107" i="5"/>
  <c r="W140" i="5"/>
  <c r="AL140" i="5"/>
  <c r="AD14" i="5"/>
  <c r="AJ14" i="5"/>
  <c r="AQ189" i="5"/>
  <c r="AL171" i="5"/>
  <c r="BP95" i="5"/>
  <c r="BN95" i="5"/>
  <c r="BN35" i="5"/>
  <c r="BP35" i="5"/>
  <c r="BN215" i="5"/>
  <c r="BP215" i="5"/>
  <c r="AB180" i="5"/>
  <c r="AO180" i="5" s="1"/>
  <c r="AR180" i="5" s="1"/>
  <c r="AS180" i="5" s="1"/>
  <c r="AQ180" i="5"/>
  <c r="BA180" i="5" s="1"/>
  <c r="AQ157" i="5"/>
  <c r="BA157" i="5" s="1"/>
  <c r="AH157" i="5"/>
  <c r="AI157" i="5" s="1"/>
  <c r="AB34" i="5"/>
  <c r="AW34" i="5" s="1"/>
  <c r="AQ34" i="5"/>
  <c r="AQ23" i="5"/>
  <c r="BA23" i="5" s="1"/>
  <c r="BB23" i="5" s="1"/>
  <c r="BM23" i="5" s="1"/>
  <c r="AL97" i="5"/>
  <c r="AQ113" i="5"/>
  <c r="BA113" i="5" s="1"/>
  <c r="BB113" i="5" s="1"/>
  <c r="BC113" i="5" s="1"/>
  <c r="AQ159" i="5"/>
  <c r="BA159" i="5" s="1"/>
  <c r="AB86" i="5"/>
  <c r="AO86" i="5" s="1"/>
  <c r="AR86" i="5" s="1"/>
  <c r="AQ40" i="5"/>
  <c r="BA40" i="5" s="1"/>
  <c r="Z158" i="5"/>
  <c r="AA158" i="5" s="1"/>
  <c r="Z64" i="5"/>
  <c r="AA64" i="5" s="1"/>
  <c r="BN108" i="5"/>
  <c r="BN38" i="5"/>
  <c r="AB131" i="5"/>
  <c r="AO131" i="5" s="1"/>
  <c r="AR131" i="5" s="1"/>
  <c r="Z151" i="5"/>
  <c r="AA151" i="5" s="1"/>
  <c r="BP220" i="5"/>
  <c r="AL89" i="5"/>
  <c r="AB184" i="5"/>
  <c r="AL207" i="5"/>
  <c r="Z180" i="5"/>
  <c r="AA180" i="5" s="1"/>
  <c r="Z23" i="5"/>
  <c r="AA23" i="5" s="1"/>
  <c r="AL131" i="5"/>
  <c r="AQ150" i="5"/>
  <c r="BA150" i="5" s="1"/>
  <c r="Z20" i="5"/>
  <c r="AA20" i="5" s="1"/>
  <c r="AH125" i="5"/>
  <c r="AI125" i="5" s="1"/>
  <c r="AS125" i="5" s="1"/>
  <c r="AB170" i="5"/>
  <c r="AO170" i="5" s="1"/>
  <c r="AR170" i="5" s="1"/>
  <c r="Z161" i="5"/>
  <c r="AA161" i="5" s="1"/>
  <c r="AB40" i="5"/>
  <c r="AB141" i="5"/>
  <c r="BP102" i="5"/>
  <c r="U82" i="5"/>
  <c r="AL68" i="5"/>
  <c r="AQ138" i="5"/>
  <c r="BA138" i="5" s="1"/>
  <c r="Z5" i="5"/>
  <c r="AA5" i="5" s="1"/>
  <c r="BP122" i="5"/>
  <c r="AQ203" i="5"/>
  <c r="AQ51" i="5"/>
  <c r="BA51" i="5" s="1"/>
  <c r="Z51" i="5"/>
  <c r="AA51" i="5" s="1"/>
  <c r="BP86" i="5"/>
  <c r="BN86" i="5"/>
  <c r="W75" i="5"/>
  <c r="Z75" i="5" s="1"/>
  <c r="AA75" i="5" s="1"/>
  <c r="AL75" i="5"/>
  <c r="AL100" i="5"/>
  <c r="U100" i="5"/>
  <c r="AZ200" i="5"/>
  <c r="AH172" i="5"/>
  <c r="AI172" i="5" s="1"/>
  <c r="AQ172" i="5"/>
  <c r="Z39" i="5"/>
  <c r="AA39" i="5" s="1"/>
  <c r="AS44" i="5"/>
  <c r="BP129" i="5"/>
  <c r="BN129" i="5"/>
  <c r="AH185" i="5"/>
  <c r="AI185" i="5" s="1"/>
  <c r="AB185" i="5"/>
  <c r="AO185" i="5" s="1"/>
  <c r="AR185" i="5" s="1"/>
  <c r="AS185" i="5" s="1"/>
  <c r="AQ185" i="5"/>
  <c r="BA185" i="5" s="1"/>
  <c r="U72" i="5"/>
  <c r="AL72" i="5"/>
  <c r="BP50" i="5"/>
  <c r="BN50" i="5"/>
  <c r="AH108" i="5"/>
  <c r="AI108" i="5" s="1"/>
  <c r="W97" i="5"/>
  <c r="Z97" i="5" s="1"/>
  <c r="AA97" i="5" s="1"/>
  <c r="AJ97" i="5"/>
  <c r="AH176" i="5"/>
  <c r="AI176" i="5" s="1"/>
  <c r="AB176" i="5"/>
  <c r="AW176" i="5" s="1"/>
  <c r="Z176" i="5"/>
  <c r="AA176" i="5" s="1"/>
  <c r="Z41" i="5"/>
  <c r="AA41" i="5" s="1"/>
  <c r="AL63" i="5"/>
  <c r="AL8" i="5"/>
  <c r="AW147" i="5"/>
  <c r="AX147" i="5" s="1"/>
  <c r="AB122" i="5"/>
  <c r="AW122" i="5" s="1"/>
  <c r="Z66" i="5"/>
  <c r="AA66" i="5" s="1"/>
  <c r="AL152" i="5"/>
  <c r="AH23" i="5"/>
  <c r="AI23" i="5" s="1"/>
  <c r="Z9" i="5"/>
  <c r="AA9" i="5" s="1"/>
  <c r="Z223" i="5"/>
  <c r="AA223" i="5" s="1"/>
  <c r="AQ151" i="5"/>
  <c r="BA151" i="5" s="1"/>
  <c r="AL105" i="5"/>
  <c r="AJ3" i="5"/>
  <c r="AL42" i="5"/>
  <c r="Z123" i="5"/>
  <c r="AA123" i="5" s="1"/>
  <c r="AQ163" i="5"/>
  <c r="AJ126" i="5"/>
  <c r="AQ154" i="5"/>
  <c r="BA154" i="5" s="1"/>
  <c r="AB224" i="5"/>
  <c r="AW224" i="5" s="1"/>
  <c r="U65" i="5"/>
  <c r="AL65" i="5"/>
  <c r="U110" i="5"/>
  <c r="AL110" i="5"/>
  <c r="U116" i="5"/>
  <c r="AL116" i="5"/>
  <c r="U167" i="5"/>
  <c r="AL167" i="5"/>
  <c r="BN112" i="5"/>
  <c r="BP112" i="5"/>
  <c r="BN60" i="5"/>
  <c r="BP60" i="5"/>
  <c r="AH154" i="5"/>
  <c r="AI154" i="5" s="1"/>
  <c r="AH181" i="5"/>
  <c r="AI181" i="5" s="1"/>
  <c r="AQ64" i="5"/>
  <c r="BP164" i="5"/>
  <c r="BN164" i="5"/>
  <c r="AQ108" i="5"/>
  <c r="BA108" i="5" s="1"/>
  <c r="AB41" i="5"/>
  <c r="AW41" i="5" s="1"/>
  <c r="AH41" i="5"/>
  <c r="AI41" i="5" s="1"/>
  <c r="AJ148" i="5"/>
  <c r="Z139" i="5"/>
  <c r="AA139" i="5" s="1"/>
  <c r="AQ122" i="5"/>
  <c r="BA122" i="5" s="1"/>
  <c r="AB126" i="5"/>
  <c r="AO126" i="5" s="1"/>
  <c r="AR126" i="5" s="1"/>
  <c r="AS126" i="5" s="1"/>
  <c r="AQ66" i="5"/>
  <c r="BA66" i="5" s="1"/>
  <c r="BB66" i="5" s="1"/>
  <c r="BF66" i="5" s="1"/>
  <c r="AL159" i="5"/>
  <c r="Z178" i="5"/>
  <c r="AA178" i="5" s="1"/>
  <c r="AD223" i="5"/>
  <c r="AB223" i="5"/>
  <c r="AW223" i="5" s="1"/>
  <c r="Z164" i="5"/>
  <c r="AA164" i="5" s="1"/>
  <c r="AL125" i="5"/>
  <c r="Z12" i="5"/>
  <c r="AA12" i="5" s="1"/>
  <c r="AB163" i="5"/>
  <c r="AW163" i="5" s="1"/>
  <c r="AJ29" i="5"/>
  <c r="AQ201" i="5"/>
  <c r="BA201" i="5" s="1"/>
  <c r="AB191" i="5"/>
  <c r="AD142" i="5"/>
  <c r="AB140" i="5"/>
  <c r="AO140" i="5" s="1"/>
  <c r="AR140" i="5" s="1"/>
  <c r="BP127" i="5"/>
  <c r="AQ200" i="5"/>
  <c r="BA200" i="5" s="1"/>
  <c r="Z200" i="5"/>
  <c r="AA200" i="5" s="1"/>
  <c r="AB200" i="5"/>
  <c r="AO200" i="5" s="1"/>
  <c r="AR200" i="5" s="1"/>
  <c r="BP2" i="5"/>
  <c r="BN2" i="5"/>
  <c r="BN22" i="5"/>
  <c r="BP22" i="5"/>
  <c r="AQ10" i="5"/>
  <c r="BA10" i="5" s="1"/>
  <c r="AB10" i="5"/>
  <c r="AO10" i="5" s="1"/>
  <c r="AR10" i="5" s="1"/>
  <c r="AS10" i="5" s="1"/>
  <c r="U146" i="5"/>
  <c r="AL146" i="5"/>
  <c r="BP26" i="5"/>
  <c r="BN26" i="5"/>
  <c r="Z10" i="5"/>
  <c r="AA10" i="5" s="1"/>
  <c r="AL5" i="5"/>
  <c r="AD38" i="5"/>
  <c r="U47" i="5"/>
  <c r="AB125" i="5"/>
  <c r="AO125" i="5" s="1"/>
  <c r="AR125" i="5" s="1"/>
  <c r="AQ170" i="5"/>
  <c r="BA170" i="5" s="1"/>
  <c r="AL134" i="5"/>
  <c r="Z93" i="5"/>
  <c r="AA93" i="5" s="1"/>
  <c r="AB193" i="5"/>
  <c r="AO193" i="5" s="1"/>
  <c r="AD148" i="5"/>
  <c r="AJ78" i="5"/>
  <c r="AL36" i="5"/>
  <c r="AL133" i="5"/>
  <c r="Z157" i="5"/>
  <c r="AA157" i="5" s="1"/>
  <c r="AL188" i="5"/>
  <c r="U90" i="5"/>
  <c r="AB113" i="5"/>
  <c r="AO113" i="5" s="1"/>
  <c r="AR113" i="5" s="1"/>
  <c r="AB53" i="5"/>
  <c r="AW53" i="5" s="1"/>
  <c r="AL18" i="5"/>
  <c r="AQ86" i="5"/>
  <c r="BA86" i="5" s="1"/>
  <c r="BB86" i="5" s="1"/>
  <c r="BF86" i="5" s="1"/>
  <c r="AL132" i="5"/>
  <c r="Z14" i="5"/>
  <c r="AA14" i="5" s="1"/>
  <c r="AB133" i="5"/>
  <c r="AW133" i="5" s="1"/>
  <c r="AX133" i="5" s="1"/>
  <c r="AH134" i="5"/>
  <c r="AI134" i="5" s="1"/>
  <c r="AQ134" i="5"/>
  <c r="BA134" i="5" s="1"/>
  <c r="AB134" i="5"/>
  <c r="AW134" i="5" s="1"/>
  <c r="U28" i="5"/>
  <c r="AL28" i="5"/>
  <c r="U222" i="5"/>
  <c r="AL222" i="5"/>
  <c r="AH105" i="5"/>
  <c r="AI105" i="5" s="1"/>
  <c r="AB105" i="5"/>
  <c r="AW105" i="5" s="1"/>
  <c r="U193" i="5"/>
  <c r="AL193" i="5"/>
  <c r="U123" i="5"/>
  <c r="AL123" i="5"/>
  <c r="AH50" i="5"/>
  <c r="AI50" i="5" s="1"/>
  <c r="U53" i="5"/>
  <c r="AL53" i="5"/>
  <c r="BP173" i="5"/>
  <c r="BN173" i="5"/>
  <c r="AL185" i="5"/>
  <c r="Z134" i="5"/>
  <c r="AA134" i="5" s="1"/>
  <c r="AZ110" i="5"/>
  <c r="AQ182" i="5"/>
  <c r="AQ120" i="5"/>
  <c r="BA120" i="5" s="1"/>
  <c r="AL144" i="5"/>
  <c r="BN146" i="5"/>
  <c r="AW156" i="5"/>
  <c r="AL155" i="5"/>
  <c r="AQ133" i="5"/>
  <c r="BA133" i="5" s="1"/>
  <c r="AW36" i="5"/>
  <c r="W46" i="5"/>
  <c r="Z46" i="5" s="1"/>
  <c r="AA46" i="5" s="1"/>
  <c r="AL46" i="5"/>
  <c r="AQ84" i="5"/>
  <c r="BA84" i="5" s="1"/>
  <c r="AB84" i="5"/>
  <c r="Z84" i="5"/>
  <c r="AA84" i="5" s="1"/>
  <c r="AH103" i="5"/>
  <c r="AI103" i="5" s="1"/>
  <c r="U79" i="5"/>
  <c r="AL79" i="5"/>
  <c r="AH128" i="5"/>
  <c r="AI128" i="5" s="1"/>
  <c r="AB128" i="5"/>
  <c r="AO128" i="5" s="1"/>
  <c r="AR128" i="5" s="1"/>
  <c r="AS128" i="5" s="1"/>
  <c r="AH5" i="5"/>
  <c r="AI5" i="5" s="1"/>
  <c r="W99" i="5"/>
  <c r="Z99" i="5" s="1"/>
  <c r="AA99" i="5" s="1"/>
  <c r="AJ99" i="5"/>
  <c r="AB213" i="5"/>
  <c r="AQ213" i="5"/>
  <c r="BA213" i="5" s="1"/>
  <c r="BN213" i="5"/>
  <c r="BP213" i="5"/>
  <c r="BN195" i="5"/>
  <c r="BP195" i="5"/>
  <c r="AH111" i="5"/>
  <c r="AI111" i="5" s="1"/>
  <c r="AZ78" i="5"/>
  <c r="AH169" i="5"/>
  <c r="AI169" i="5" s="1"/>
  <c r="AH199" i="5"/>
  <c r="AI199" i="5" s="1"/>
  <c r="Z199" i="5"/>
  <c r="AA199" i="5" s="1"/>
  <c r="AB199" i="5"/>
  <c r="AO199" i="5" s="1"/>
  <c r="AB81" i="5"/>
  <c r="AW81" i="5" s="1"/>
  <c r="AQ81" i="5"/>
  <c r="BA81" i="5" s="1"/>
  <c r="AB62" i="5"/>
  <c r="AO62" i="5" s="1"/>
  <c r="AQ62" i="5"/>
  <c r="BA62" i="5" s="1"/>
  <c r="BP104" i="5"/>
  <c r="BN104" i="5"/>
  <c r="W19" i="5"/>
  <c r="Z19" i="5" s="1"/>
  <c r="AA19" i="5" s="1"/>
  <c r="AJ19" i="5"/>
  <c r="BP147" i="5"/>
  <c r="BN147" i="5"/>
  <c r="W194" i="5"/>
  <c r="Z194" i="5" s="1"/>
  <c r="AA194" i="5" s="1"/>
  <c r="AL194" i="5"/>
  <c r="AQ125" i="5"/>
  <c r="BA125" i="5" s="1"/>
  <c r="AZ214" i="5"/>
  <c r="AH158" i="5"/>
  <c r="AI158" i="5" s="1"/>
  <c r="AH30" i="5"/>
  <c r="AI30" i="5" s="1"/>
  <c r="AB30" i="5"/>
  <c r="AB7" i="5"/>
  <c r="AO7" i="5" s="1"/>
  <c r="AR7" i="5" s="1"/>
  <c r="AS7" i="5" s="1"/>
  <c r="AQ174" i="5"/>
  <c r="BA174" i="5" s="1"/>
  <c r="Z174" i="5"/>
  <c r="AA174" i="5" s="1"/>
  <c r="AQ187" i="5"/>
  <c r="AB187" i="5"/>
  <c r="AW187" i="5" s="1"/>
  <c r="AQ161" i="5"/>
  <c r="BA161" i="5" s="1"/>
  <c r="AH206" i="5"/>
  <c r="AI206" i="5" s="1"/>
  <c r="U221" i="5"/>
  <c r="AL221" i="5"/>
  <c r="AQ188" i="5"/>
  <c r="BA188" i="5" s="1"/>
  <c r="BB188" i="5" s="1"/>
  <c r="BD188" i="5" s="1"/>
  <c r="AH124" i="5"/>
  <c r="AI124" i="5" s="1"/>
  <c r="AB124" i="5"/>
  <c r="AW124" i="5" s="1"/>
  <c r="AX124" i="5" s="1"/>
  <c r="AQ3" i="5"/>
  <c r="BA3" i="5" s="1"/>
  <c r="BB3" i="5" s="1"/>
  <c r="AB3" i="5"/>
  <c r="AO3" i="5" s="1"/>
  <c r="AR3" i="5" s="1"/>
  <c r="AS3" i="5" s="1"/>
  <c r="AB169" i="5"/>
  <c r="AW169" i="5" s="1"/>
  <c r="AH79" i="5"/>
  <c r="AI79" i="5" s="1"/>
  <c r="AL178" i="5"/>
  <c r="Z107" i="5"/>
  <c r="AA107" i="5" s="1"/>
  <c r="AB107" i="5"/>
  <c r="AW107" i="5" s="1"/>
  <c r="AQ107" i="5"/>
  <c r="BP189" i="5"/>
  <c r="BN189" i="5"/>
  <c r="AB220" i="5"/>
  <c r="Z184" i="5"/>
  <c r="AA184" i="5" s="1"/>
  <c r="AL9" i="5"/>
  <c r="AJ201" i="5"/>
  <c r="Z45" i="5"/>
  <c r="AA45" i="5" s="1"/>
  <c r="AQ220" i="5"/>
  <c r="BA220" i="5" s="1"/>
  <c r="Z154" i="5"/>
  <c r="AA154" i="5" s="1"/>
  <c r="AJ101" i="5"/>
  <c r="BP135" i="5"/>
  <c r="Z146" i="5"/>
  <c r="AA146" i="5" s="1"/>
  <c r="AS19" i="5"/>
  <c r="AW103" i="5"/>
  <c r="Z108" i="5"/>
  <c r="AA108" i="5" s="1"/>
  <c r="U94" i="5"/>
  <c r="Z133" i="5"/>
  <c r="AA133" i="5" s="1"/>
  <c r="Z30" i="5"/>
  <c r="AA30" i="5" s="1"/>
  <c r="AW38" i="5"/>
  <c r="AX38" i="5" s="1"/>
  <c r="AW52" i="5"/>
  <c r="AB181" i="5"/>
  <c r="AH92" i="5"/>
  <c r="AI92" i="5" s="1"/>
  <c r="AZ100" i="5"/>
  <c r="AH147" i="5"/>
  <c r="AI147" i="5" s="1"/>
  <c r="AZ86" i="5"/>
  <c r="AH213" i="5"/>
  <c r="AI213" i="5" s="1"/>
  <c r="AZ122" i="5"/>
  <c r="AH63" i="5"/>
  <c r="AI63" i="5" s="1"/>
  <c r="AH202" i="5"/>
  <c r="AI202" i="5" s="1"/>
  <c r="AH192" i="5"/>
  <c r="AI192" i="5" s="1"/>
  <c r="AH174" i="5"/>
  <c r="AI174" i="5" s="1"/>
  <c r="Z202" i="5"/>
  <c r="AA202" i="5" s="1"/>
  <c r="AS91" i="5"/>
  <c r="Z4" i="5"/>
  <c r="AA4" i="5" s="1"/>
  <c r="AS28" i="5"/>
  <c r="AS153" i="5"/>
  <c r="AH120" i="5"/>
  <c r="AI120" i="5" s="1"/>
  <c r="AH146" i="5"/>
  <c r="AI146" i="5" s="1"/>
  <c r="AH127" i="5"/>
  <c r="AI127" i="5" s="1"/>
  <c r="AH80" i="5"/>
  <c r="AI80" i="5" s="1"/>
  <c r="AH194" i="5"/>
  <c r="AI194" i="5" s="1"/>
  <c r="BP170" i="5"/>
  <c r="BN170" i="5"/>
  <c r="AH190" i="5"/>
  <c r="AI190" i="5" s="1"/>
  <c r="AW57" i="5"/>
  <c r="AW102" i="5"/>
  <c r="AS24" i="5"/>
  <c r="BP132" i="5"/>
  <c r="BP120" i="5"/>
  <c r="AH52" i="5"/>
  <c r="AI52" i="5" s="1"/>
  <c r="AZ220" i="5"/>
  <c r="AH144" i="5"/>
  <c r="AI144" i="5" s="1"/>
  <c r="AH106" i="5"/>
  <c r="AI106" i="5" s="1"/>
  <c r="AH54" i="5"/>
  <c r="AI54" i="5" s="1"/>
  <c r="AH27" i="5"/>
  <c r="AI27" i="5" s="1"/>
  <c r="AW29" i="5"/>
  <c r="AX29" i="5" s="1"/>
  <c r="Z101" i="5"/>
  <c r="AA101" i="5" s="1"/>
  <c r="AH61" i="5"/>
  <c r="AI61" i="5" s="1"/>
  <c r="AH6" i="5"/>
  <c r="AI6" i="5" s="1"/>
  <c r="AH165" i="5"/>
  <c r="AI165" i="5" s="1"/>
  <c r="AH44" i="5"/>
  <c r="AI44" i="5" s="1"/>
  <c r="AH141" i="5"/>
  <c r="AI141" i="5" s="1"/>
  <c r="AH116" i="5"/>
  <c r="AI116" i="5" s="1"/>
  <c r="AH66" i="5"/>
  <c r="AI66" i="5" s="1"/>
  <c r="AZ91" i="5"/>
  <c r="BB91" i="5" s="1"/>
  <c r="BM91" i="5" s="1"/>
  <c r="Z69" i="5"/>
  <c r="AA69" i="5" s="1"/>
  <c r="BP148" i="5"/>
  <c r="BP37" i="5"/>
  <c r="AH195" i="5"/>
  <c r="AI195" i="5" s="1"/>
  <c r="AH109" i="5"/>
  <c r="AI109" i="5" s="1"/>
  <c r="AH187" i="5"/>
  <c r="AI187" i="5" s="1"/>
  <c r="AH75" i="5"/>
  <c r="AI75" i="5" s="1"/>
  <c r="AH198" i="5"/>
  <c r="AI198" i="5" s="1"/>
  <c r="AH211" i="5"/>
  <c r="AI211" i="5" s="1"/>
  <c r="AH162" i="5"/>
  <c r="AI162" i="5" s="1"/>
  <c r="AH136" i="5"/>
  <c r="AI136" i="5" s="1"/>
  <c r="AH73" i="5"/>
  <c r="AI73" i="5" s="1"/>
  <c r="Z136" i="5"/>
  <c r="AA136" i="5" s="1"/>
  <c r="AW129" i="5"/>
  <c r="AX129" i="5" s="1"/>
  <c r="AS80" i="5"/>
  <c r="AB120" i="5"/>
  <c r="AO120" i="5" s="1"/>
  <c r="AW155" i="5"/>
  <c r="AJ100" i="5"/>
  <c r="BP180" i="5"/>
  <c r="AH98" i="5"/>
  <c r="AI98" i="5" s="1"/>
  <c r="AH25" i="5"/>
  <c r="AI25" i="5" s="1"/>
  <c r="AQ42" i="5"/>
  <c r="BA42" i="5" s="1"/>
  <c r="AH217" i="5"/>
  <c r="AI217" i="5" s="1"/>
  <c r="AH8" i="5"/>
  <c r="AI8" i="5" s="1"/>
  <c r="AH70" i="5"/>
  <c r="AI70" i="5" s="1"/>
  <c r="AS70" i="5" s="1"/>
  <c r="AH112" i="5"/>
  <c r="AI112" i="5" s="1"/>
  <c r="AH83" i="5"/>
  <c r="AI83" i="5" s="1"/>
  <c r="AH87" i="5"/>
  <c r="AI87" i="5" s="1"/>
  <c r="AH145" i="5"/>
  <c r="AI145" i="5" s="1"/>
  <c r="AH16" i="5"/>
  <c r="AI16" i="5" s="1"/>
  <c r="AB18" i="5"/>
  <c r="AH175" i="5"/>
  <c r="AI175" i="5" s="1"/>
  <c r="AH55" i="5"/>
  <c r="AI55" i="5" s="1"/>
  <c r="AW130" i="5"/>
  <c r="AX130" i="5" s="1"/>
  <c r="AW221" i="5"/>
  <c r="AJ131" i="5"/>
  <c r="Z181" i="5"/>
  <c r="AA181" i="5" s="1"/>
  <c r="AL41" i="5"/>
  <c r="AJ82" i="5"/>
  <c r="BN206" i="5"/>
  <c r="AH53" i="5"/>
  <c r="AI53" i="5" s="1"/>
  <c r="AH153" i="5"/>
  <c r="AI153" i="5" s="1"/>
  <c r="AZ82" i="5"/>
  <c r="AH130" i="5"/>
  <c r="AI130" i="5" s="1"/>
  <c r="AH221" i="5"/>
  <c r="AI221" i="5" s="1"/>
  <c r="AH28" i="5"/>
  <c r="AI28" i="5" s="1"/>
  <c r="AH36" i="5"/>
  <c r="AI36" i="5" s="1"/>
  <c r="AH171" i="5"/>
  <c r="AI171" i="5" s="1"/>
  <c r="AS171" i="5" s="1"/>
  <c r="AZ7" i="5"/>
  <c r="AX119" i="5"/>
  <c r="AW2" i="5"/>
  <c r="AX2" i="5" s="1"/>
  <c r="AW204" i="5"/>
  <c r="AX204" i="5" s="1"/>
  <c r="AO49" i="5"/>
  <c r="BB49" i="5" s="1"/>
  <c r="BF49" i="5" s="1"/>
  <c r="AW46" i="5"/>
  <c r="AX46" i="5" s="1"/>
  <c r="AO95" i="5"/>
  <c r="AR95" i="5" s="1"/>
  <c r="AW86" i="5"/>
  <c r="AX4" i="5"/>
  <c r="AO32" i="5"/>
  <c r="AR32" i="5" s="1"/>
  <c r="AS32" i="5" s="1"/>
  <c r="AO224" i="5"/>
  <c r="AR224" i="5" s="1"/>
  <c r="AS224" i="5" s="1"/>
  <c r="AO34" i="5"/>
  <c r="AR34" i="5" s="1"/>
  <c r="AS34" i="5" s="1"/>
  <c r="AW171" i="5"/>
  <c r="AX171" i="5" s="1"/>
  <c r="BB116" i="5"/>
  <c r="BD116" i="5" s="1"/>
  <c r="AW25" i="5"/>
  <c r="AX25" i="5" s="1"/>
  <c r="AW116" i="5"/>
  <c r="AX116" i="5" s="1"/>
  <c r="AO205" i="5"/>
  <c r="AR205" i="5" s="1"/>
  <c r="AS205" i="5" s="1"/>
  <c r="AW72" i="5"/>
  <c r="AX72" i="5" s="1"/>
  <c r="AX36" i="5"/>
  <c r="AO127" i="5"/>
  <c r="AR127" i="5" s="1"/>
  <c r="AS127" i="5" s="1"/>
  <c r="AW154" i="5"/>
  <c r="AX154" i="5" s="1"/>
  <c r="AX207" i="5"/>
  <c r="AW19" i="5"/>
  <c r="AX19" i="5" s="1"/>
  <c r="AO209" i="5"/>
  <c r="AR209" i="5" s="1"/>
  <c r="AS209" i="5" s="1"/>
  <c r="AW198" i="5"/>
  <c r="AX198" i="5" s="1"/>
  <c r="AW173" i="5"/>
  <c r="AX173" i="5" s="1"/>
  <c r="AW180" i="5"/>
  <c r="AX180" i="5" s="1"/>
  <c r="AX39" i="5"/>
  <c r="BB161" i="5"/>
  <c r="BM161" i="5" s="1"/>
  <c r="AW87" i="5"/>
  <c r="AX87" i="5" s="1"/>
  <c r="AW161" i="5"/>
  <c r="AX161" i="5" s="1"/>
  <c r="AO202" i="5"/>
  <c r="AR202" i="5" s="1"/>
  <c r="AW153" i="5"/>
  <c r="AX153" i="5" s="1"/>
  <c r="BB153" i="5"/>
  <c r="BC153" i="5" s="1"/>
  <c r="AW28" i="5"/>
  <c r="AX28" i="5" s="1"/>
  <c r="BB45" i="5"/>
  <c r="BM45" i="5" s="1"/>
  <c r="BB217" i="5"/>
  <c r="BC217" i="5" s="1"/>
  <c r="AW148" i="5"/>
  <c r="AX148" i="5" s="1"/>
  <c r="AX162" i="5"/>
  <c r="AW75" i="5"/>
  <c r="AX75" i="5" s="1"/>
  <c r="AX24" i="5"/>
  <c r="AO52" i="5"/>
  <c r="AR52" i="5" s="1"/>
  <c r="AW218" i="5"/>
  <c r="AX218" i="5" s="1"/>
  <c r="BB120" i="5"/>
  <c r="BC120" i="5" s="1"/>
  <c r="AX221" i="5"/>
  <c r="AW197" i="5"/>
  <c r="AX197" i="5" s="1"/>
  <c r="AS88" i="5"/>
  <c r="AS48" i="5"/>
  <c r="AS218" i="5"/>
  <c r="BB46" i="5"/>
  <c r="BC46" i="5" s="1"/>
  <c r="BB198" i="5"/>
  <c r="BD198" i="5" s="1"/>
  <c r="AX102" i="5"/>
  <c r="AO211" i="5"/>
  <c r="AR211" i="5" s="1"/>
  <c r="AS211" i="5" s="1"/>
  <c r="AW128" i="5"/>
  <c r="AX128" i="5" s="1"/>
  <c r="AO29" i="5"/>
  <c r="AR29" i="5" s="1"/>
  <c r="AS29" i="5" s="1"/>
  <c r="BB128" i="5"/>
  <c r="BF128" i="5" s="1"/>
  <c r="AW190" i="5"/>
  <c r="AX190" i="5" s="1"/>
  <c r="AO67" i="5"/>
  <c r="AR67" i="5" s="1"/>
  <c r="AS67" i="5" s="1"/>
  <c r="AW115" i="5"/>
  <c r="AX115" i="5" s="1"/>
  <c r="AW62" i="5"/>
  <c r="AW118" i="5"/>
  <c r="AX118" i="5" s="1"/>
  <c r="AO110" i="5"/>
  <c r="AR110" i="5" s="1"/>
  <c r="AS110" i="5" s="1"/>
  <c r="AK204" i="5"/>
  <c r="AO159" i="5"/>
  <c r="AR159" i="5" s="1"/>
  <c r="AS159" i="5" s="1"/>
  <c r="AO177" i="5"/>
  <c r="AR177" i="5" s="1"/>
  <c r="AS177" i="5" s="1"/>
  <c r="AX60" i="5"/>
  <c r="AS118" i="5"/>
  <c r="AW99" i="5"/>
  <c r="AX99" i="5" s="1"/>
  <c r="AS204" i="5"/>
  <c r="BB197" i="5"/>
  <c r="BM197" i="5" s="1"/>
  <c r="AW70" i="5"/>
  <c r="AX70" i="5" s="1"/>
  <c r="AW140" i="5"/>
  <c r="AX140" i="5" s="1"/>
  <c r="AO36" i="5"/>
  <c r="AR36" i="5" s="1"/>
  <c r="AS36" i="5" s="1"/>
  <c r="AS121" i="5"/>
  <c r="AX155" i="5"/>
  <c r="AX49" i="5"/>
  <c r="AJ34" i="5"/>
  <c r="AO31" i="5"/>
  <c r="AR31" i="5" s="1"/>
  <c r="AS31" i="5" s="1"/>
  <c r="AJ204" i="5"/>
  <c r="BB218" i="5"/>
  <c r="BD218" i="5" s="1"/>
  <c r="AW85" i="5"/>
  <c r="AX85" i="5" s="1"/>
  <c r="AX143" i="5"/>
  <c r="BB19" i="5"/>
  <c r="BF19" i="5" s="1"/>
  <c r="AX224" i="5"/>
  <c r="AW6" i="5"/>
  <c r="AX6" i="5" s="1"/>
  <c r="AX83" i="5"/>
  <c r="BB17" i="5"/>
  <c r="BM17" i="5" s="1"/>
  <c r="AO135" i="5"/>
  <c r="AR135" i="5" s="1"/>
  <c r="AS135" i="5" s="1"/>
  <c r="AO79" i="5"/>
  <c r="BB79" i="5" s="1"/>
  <c r="BB98" i="5"/>
  <c r="BF98" i="5" s="1"/>
  <c r="AX94" i="5"/>
  <c r="BB6" i="5"/>
  <c r="BD6" i="5" s="1"/>
  <c r="BB27" i="5"/>
  <c r="BD27" i="5" s="1"/>
  <c r="AX81" i="5"/>
  <c r="BB97" i="5"/>
  <c r="BD97" i="5" s="1"/>
  <c r="BB115" i="5"/>
  <c r="BF115" i="5" s="1"/>
  <c r="BB171" i="5"/>
  <c r="BC171" i="5" s="1"/>
  <c r="AX136" i="5"/>
  <c r="AO47" i="5"/>
  <c r="AR47" i="5" s="1"/>
  <c r="AS47" i="5" s="1"/>
  <c r="AW37" i="5"/>
  <c r="AX37" i="5" s="1"/>
  <c r="BB37" i="5"/>
  <c r="BC37" i="5" s="1"/>
  <c r="AO43" i="5"/>
  <c r="AR43" i="5" s="1"/>
  <c r="AS43" i="5" s="1"/>
  <c r="AX41" i="5"/>
  <c r="AX47" i="5"/>
  <c r="AW44" i="5"/>
  <c r="AX44" i="5" s="1"/>
  <c r="BB80" i="5"/>
  <c r="BC80" i="5" s="1"/>
  <c r="AO203" i="5"/>
  <c r="AR203" i="5" s="1"/>
  <c r="AS203" i="5" s="1"/>
  <c r="AO186" i="5"/>
  <c r="AR186" i="5" s="1"/>
  <c r="AS186" i="5" s="1"/>
  <c r="AX65" i="5"/>
  <c r="BB82" i="5"/>
  <c r="BM82" i="5" s="1"/>
  <c r="AS56" i="5"/>
  <c r="BB24" i="5"/>
  <c r="BF24" i="5" s="1"/>
  <c r="AW123" i="5"/>
  <c r="AX123" i="5" s="1"/>
  <c r="AO195" i="5"/>
  <c r="AR195" i="5" s="1"/>
  <c r="AS195" i="5" s="1"/>
  <c r="AX31" i="5"/>
  <c r="AS167" i="5"/>
  <c r="BB148" i="5"/>
  <c r="BC148" i="5" s="1"/>
  <c r="AO156" i="5"/>
  <c r="BB156" i="5" s="1"/>
  <c r="AW7" i="5"/>
  <c r="AX7" i="5" s="1"/>
  <c r="AX211" i="5"/>
  <c r="AO179" i="5"/>
  <c r="BB179" i="5" s="1"/>
  <c r="BC179" i="5" s="1"/>
  <c r="AX79" i="5"/>
  <c r="AX223" i="5"/>
  <c r="AO119" i="5"/>
  <c r="AR119" i="5" s="1"/>
  <c r="AS119" i="5" s="1"/>
  <c r="AR27" i="5"/>
  <c r="BB8" i="5"/>
  <c r="BF8" i="5" s="1"/>
  <c r="AX222" i="5"/>
  <c r="BB199" i="5"/>
  <c r="BC199" i="5" s="1"/>
  <c r="AS2" i="5"/>
  <c r="AW22" i="5"/>
  <c r="AX22" i="5" s="1"/>
  <c r="AW200" i="5"/>
  <c r="AX200" i="5" s="1"/>
  <c r="AX53" i="5"/>
  <c r="AW56" i="5"/>
  <c r="AX56" i="5" s="1"/>
  <c r="AW166" i="5"/>
  <c r="AX166" i="5" s="1"/>
  <c r="AO81" i="5"/>
  <c r="AR81" i="5" s="1"/>
  <c r="AS81" i="5" s="1"/>
  <c r="AW132" i="5"/>
  <c r="AX132" i="5" s="1"/>
  <c r="AX97" i="5"/>
  <c r="BB63" i="5"/>
  <c r="BM63" i="5" s="1"/>
  <c r="BB144" i="5"/>
  <c r="BC144" i="5" s="1"/>
  <c r="AO11" i="5"/>
  <c r="AR11" i="5" s="1"/>
  <c r="AS11" i="5" s="1"/>
  <c r="AO68" i="5"/>
  <c r="AR68" i="5" s="1"/>
  <c r="AS68" i="5" s="1"/>
  <c r="AW17" i="5"/>
  <c r="AX17" i="5" s="1"/>
  <c r="BB166" i="5"/>
  <c r="BC166" i="5" s="1"/>
  <c r="BB59" i="5"/>
  <c r="BF59" i="5" s="1"/>
  <c r="AX33" i="5"/>
  <c r="AK218" i="5"/>
  <c r="AX96" i="5"/>
  <c r="BB70" i="5"/>
  <c r="BC70" i="5" s="1"/>
  <c r="AW5" i="5"/>
  <c r="AX5" i="5" s="1"/>
  <c r="BB2" i="5"/>
  <c r="BC2" i="5" s="1"/>
  <c r="AO221" i="5"/>
  <c r="AR221" i="5" s="1"/>
  <c r="AS221" i="5" s="1"/>
  <c r="AO33" i="5"/>
  <c r="AR33" i="5" s="1"/>
  <c r="AS33" i="5" s="1"/>
  <c r="AW16" i="5"/>
  <c r="AX16" i="5" s="1"/>
  <c r="AW8" i="5"/>
  <c r="AX8" i="5" s="1"/>
  <c r="AO122" i="5"/>
  <c r="AR122" i="5" s="1"/>
  <c r="AS122" i="5" s="1"/>
  <c r="AS58" i="5"/>
  <c r="AS117" i="5"/>
  <c r="AO222" i="5"/>
  <c r="AR222" i="5" s="1"/>
  <c r="AS222" i="5" s="1"/>
  <c r="AS113" i="5"/>
  <c r="AW121" i="5"/>
  <c r="AX121" i="5" s="1"/>
  <c r="AX52" i="5"/>
  <c r="BB132" i="5"/>
  <c r="BD132" i="5" s="1"/>
  <c r="BB87" i="5"/>
  <c r="BM87" i="5" s="1"/>
  <c r="AW137" i="5"/>
  <c r="AX137" i="5" s="1"/>
  <c r="BB56" i="5"/>
  <c r="BF56" i="5" s="1"/>
  <c r="BB121" i="5"/>
  <c r="BM121" i="5" s="1"/>
  <c r="AW104" i="5"/>
  <c r="AX104" i="5" s="1"/>
  <c r="AW138" i="5"/>
  <c r="AX138" i="5" s="1"/>
  <c r="AO124" i="5"/>
  <c r="BB124" i="5" s="1"/>
  <c r="BM124" i="5" s="1"/>
  <c r="AS157" i="5"/>
  <c r="AX135" i="5"/>
  <c r="AX67" i="5"/>
  <c r="BB212" i="5"/>
  <c r="BM212" i="5" s="1"/>
  <c r="BB89" i="5"/>
  <c r="BM89" i="5" s="1"/>
  <c r="AJ218" i="5"/>
  <c r="AJ203" i="5"/>
  <c r="AR120" i="5"/>
  <c r="AO155" i="5"/>
  <c r="AR155" i="5" s="1"/>
  <c r="AS155" i="5" s="1"/>
  <c r="AW111" i="5"/>
  <c r="AX111" i="5" s="1"/>
  <c r="AO174" i="5"/>
  <c r="AR174" i="5" s="1"/>
  <c r="AS174" i="5" s="1"/>
  <c r="AX151" i="5"/>
  <c r="BB216" i="5"/>
  <c r="BM216" i="5" s="1"/>
  <c r="AO151" i="5"/>
  <c r="AR151" i="5" s="1"/>
  <c r="AS151" i="5" s="1"/>
  <c r="AO39" i="5"/>
  <c r="AR39" i="5" s="1"/>
  <c r="AS39" i="5" s="1"/>
  <c r="AW120" i="5"/>
  <c r="AX120" i="5" s="1"/>
  <c r="AW167" i="5"/>
  <c r="AX167" i="5" s="1"/>
  <c r="AW194" i="5"/>
  <c r="AX194" i="5" s="1"/>
  <c r="AW54" i="5"/>
  <c r="AX54" i="5" s="1"/>
  <c r="BB123" i="5"/>
  <c r="BF123" i="5" s="1"/>
  <c r="AK29" i="5"/>
  <c r="AW91" i="5"/>
  <c r="AX91" i="5" s="1"/>
  <c r="AO187" i="5"/>
  <c r="AR187" i="5" s="1"/>
  <c r="AR8" i="5"/>
  <c r="AS8" i="5" s="1"/>
  <c r="AR217" i="5"/>
  <c r="AS217" i="5" s="1"/>
  <c r="AW77" i="5"/>
  <c r="AX77" i="5" s="1"/>
  <c r="AO74" i="5"/>
  <c r="AR74" i="5" s="1"/>
  <c r="AS74" i="5" s="1"/>
  <c r="AX169" i="5"/>
  <c r="BB93" i="5"/>
  <c r="BD93" i="5" s="1"/>
  <c r="BB50" i="5"/>
  <c r="BC50" i="5" s="1"/>
  <c r="AO134" i="5"/>
  <c r="AR134" i="5" s="1"/>
  <c r="AS134" i="5" s="1"/>
  <c r="BB118" i="5"/>
  <c r="BF118" i="5" s="1"/>
  <c r="AX32" i="5"/>
  <c r="BB111" i="5"/>
  <c r="BF111" i="5" s="1"/>
  <c r="AW3" i="5"/>
  <c r="AX3" i="5" s="1"/>
  <c r="AW185" i="5"/>
  <c r="AX185" i="5" s="1"/>
  <c r="AX127" i="5"/>
  <c r="AX205" i="5"/>
  <c r="AO176" i="5"/>
  <c r="AR176" i="5" s="1"/>
  <c r="AS176" i="5" s="1"/>
  <c r="BB75" i="5"/>
  <c r="BC75" i="5" s="1"/>
  <c r="AW73" i="5"/>
  <c r="AX73" i="5" s="1"/>
  <c r="BB16" i="5"/>
  <c r="BD16" i="5" s="1"/>
  <c r="BB54" i="5"/>
  <c r="BM54" i="5" s="1"/>
  <c r="AO35" i="5"/>
  <c r="AR35" i="5" s="1"/>
  <c r="AO163" i="5"/>
  <c r="AR163" i="5" s="1"/>
  <c r="AO182" i="5"/>
  <c r="AR182" i="5" s="1"/>
  <c r="AS182" i="5" s="1"/>
  <c r="BB185" i="5"/>
  <c r="BM185" i="5" s="1"/>
  <c r="AX145" i="5"/>
  <c r="AO165" i="5"/>
  <c r="AR165" i="5" s="1"/>
  <c r="AS165" i="5" s="1"/>
  <c r="AW61" i="5"/>
  <c r="AX61" i="5" s="1"/>
  <c r="AX209" i="5"/>
  <c r="AW89" i="5"/>
  <c r="AX89" i="5" s="1"/>
  <c r="AO94" i="5"/>
  <c r="AR94" i="5" s="1"/>
  <c r="AS94" i="5" s="1"/>
  <c r="AD131" i="5"/>
  <c r="AX189" i="5"/>
  <c r="AW199" i="5"/>
  <c r="AX199" i="5" s="1"/>
  <c r="BB149" i="5"/>
  <c r="BF149" i="5" s="1"/>
  <c r="AW10" i="5"/>
  <c r="AX10" i="5" s="1"/>
  <c r="AO38" i="5"/>
  <c r="AR38" i="5" s="1"/>
  <c r="AS38" i="5" s="1"/>
  <c r="AO189" i="5"/>
  <c r="AR189" i="5" s="1"/>
  <c r="AS189" i="5" s="1"/>
  <c r="AJ24" i="5"/>
  <c r="AX186" i="5"/>
  <c r="AX179" i="5"/>
  <c r="AW78" i="5"/>
  <c r="AX78" i="5" s="1"/>
  <c r="AO65" i="5"/>
  <c r="BB65" i="5" s="1"/>
  <c r="BF65" i="5" s="1"/>
  <c r="AX21" i="5"/>
  <c r="AO57" i="5"/>
  <c r="AR57" i="5" s="1"/>
  <c r="AS57" i="5" s="1"/>
  <c r="BB10" i="5"/>
  <c r="BD10" i="5" s="1"/>
  <c r="BB73" i="5"/>
  <c r="BF73" i="5" s="1"/>
  <c r="AW80" i="5"/>
  <c r="AX80" i="5" s="1"/>
  <c r="AW50" i="5"/>
  <c r="AX50" i="5" s="1"/>
  <c r="AW63" i="5"/>
  <c r="AX63" i="5" s="1"/>
  <c r="AW144" i="5"/>
  <c r="AX144" i="5" s="1"/>
  <c r="AW27" i="5"/>
  <c r="AX27" i="5" s="1"/>
  <c r="AO143" i="5"/>
  <c r="AR143" i="5" s="1"/>
  <c r="AS143" i="5" s="1"/>
  <c r="AS51" i="5"/>
  <c r="AW93" i="5"/>
  <c r="AX93" i="5" s="1"/>
  <c r="AW217" i="5"/>
  <c r="AX217" i="5" s="1"/>
  <c r="AO64" i="5"/>
  <c r="AO136" i="5"/>
  <c r="AR136" i="5" s="1"/>
  <c r="AW98" i="5"/>
  <c r="AX98" i="5" s="1"/>
  <c r="AO192" i="5"/>
  <c r="BB192" i="5" s="1"/>
  <c r="BC192" i="5" s="1"/>
  <c r="BB51" i="5"/>
  <c r="BD51" i="5" s="1"/>
  <c r="AS131" i="5"/>
  <c r="AX159" i="5"/>
  <c r="AK84" i="5"/>
  <c r="AK122" i="5"/>
  <c r="AK60" i="5"/>
  <c r="AK212" i="5"/>
  <c r="AK151" i="5"/>
  <c r="AK137" i="5"/>
  <c r="AK142" i="5"/>
  <c r="AK205" i="5"/>
  <c r="AK178" i="5"/>
  <c r="AK173" i="5"/>
  <c r="AK33" i="5"/>
  <c r="AK13" i="5"/>
  <c r="AK209" i="5"/>
  <c r="AK68" i="5"/>
  <c r="AK31" i="5"/>
  <c r="AD65" i="5"/>
  <c r="AJ65" i="5"/>
  <c r="AR212" i="5"/>
  <c r="AS212" i="5" s="1"/>
  <c r="AR188" i="5"/>
  <c r="AS188" i="5" s="1"/>
  <c r="AO162" i="5"/>
  <c r="AR162" i="5" s="1"/>
  <c r="AS162" i="5" s="1"/>
  <c r="AX95" i="5"/>
  <c r="AX202" i="5"/>
  <c r="AO76" i="5"/>
  <c r="AR76" i="5" s="1"/>
  <c r="AS76" i="5" s="1"/>
  <c r="AX156" i="5"/>
  <c r="AO60" i="5"/>
  <c r="AO102" i="5"/>
  <c r="AR102" i="5" s="1"/>
  <c r="AS102" i="5" s="1"/>
  <c r="AO145" i="5"/>
  <c r="AR145" i="5" s="1"/>
  <c r="AX195" i="5"/>
  <c r="AJ84" i="5"/>
  <c r="AD24" i="5"/>
  <c r="BB126" i="5"/>
  <c r="BD126" i="5" s="1"/>
  <c r="AW210" i="5"/>
  <c r="AX210" i="5" s="1"/>
  <c r="AJ60" i="5"/>
  <c r="AJ212" i="5"/>
  <c r="AD212" i="5"/>
  <c r="AW216" i="5"/>
  <c r="AX216" i="5" s="1"/>
  <c r="BB106" i="5"/>
  <c r="BD106" i="5" s="1"/>
  <c r="AO130" i="5"/>
  <c r="BB130" i="5" s="1"/>
  <c r="AO69" i="5"/>
  <c r="AR69" i="5" s="1"/>
  <c r="AS69" i="5" s="1"/>
  <c r="AW117" i="5"/>
  <c r="AX117" i="5" s="1"/>
  <c r="AW212" i="5"/>
  <c r="AX212" i="5" s="1"/>
  <c r="AX57" i="5"/>
  <c r="AW149" i="5"/>
  <c r="AX149" i="5" s="1"/>
  <c r="AW82" i="5"/>
  <c r="AX82" i="5" s="1"/>
  <c r="BB112" i="5"/>
  <c r="BF112" i="5" s="1"/>
  <c r="BB167" i="5"/>
  <c r="BF167" i="5" s="1"/>
  <c r="AD137" i="5"/>
  <c r="AJ137" i="5"/>
  <c r="AR45" i="5"/>
  <c r="AS45" i="5" s="1"/>
  <c r="AO175" i="5"/>
  <c r="BB175" i="5" s="1"/>
  <c r="BF175" i="5" s="1"/>
  <c r="AJ51" i="5"/>
  <c r="AD51" i="5"/>
  <c r="AO169" i="5"/>
  <c r="AO129" i="5"/>
  <c r="BB129" i="5" s="1"/>
  <c r="BF129" i="5" s="1"/>
  <c r="BB58" i="5"/>
  <c r="BF58" i="5" s="1"/>
  <c r="AW188" i="5"/>
  <c r="AX192" i="5"/>
  <c r="AO96" i="5"/>
  <c r="BB96" i="5" s="1"/>
  <c r="BM96" i="5" s="1"/>
  <c r="AO223" i="5"/>
  <c r="AR223" i="5" s="1"/>
  <c r="AS223" i="5" s="1"/>
  <c r="AO178" i="5"/>
  <c r="AR178" i="5" s="1"/>
  <c r="AS178" i="5" s="1"/>
  <c r="BB61" i="5"/>
  <c r="BC61" i="5" s="1"/>
  <c r="AX71" i="5"/>
  <c r="AD74" i="5"/>
  <c r="AJ74" i="5"/>
  <c r="AD134" i="5"/>
  <c r="AJ134" i="5"/>
  <c r="AJ33" i="5"/>
  <c r="AD33" i="5"/>
  <c r="AS115" i="5"/>
  <c r="AX206" i="5"/>
  <c r="AD205" i="5"/>
  <c r="AX175" i="5"/>
  <c r="AX105" i="5"/>
  <c r="AJ13" i="5"/>
  <c r="AD13" i="5"/>
  <c r="AS89" i="5"/>
  <c r="BB131" i="5"/>
  <c r="BM131" i="5" s="1"/>
  <c r="AX158" i="5"/>
  <c r="AO42" i="5"/>
  <c r="AR42" i="5" s="1"/>
  <c r="AS42" i="5" s="1"/>
  <c r="AW112" i="5"/>
  <c r="AX112" i="5" s="1"/>
  <c r="AX122" i="5"/>
  <c r="AS150" i="5"/>
  <c r="AX103" i="5"/>
  <c r="AD117" i="5"/>
  <c r="AJ117" i="5"/>
  <c r="AD222" i="5"/>
  <c r="AJ222" i="5"/>
  <c r="AJ205" i="5"/>
  <c r="AW51" i="5"/>
  <c r="AS132" i="5"/>
  <c r="AX11" i="5"/>
  <c r="AX134" i="5"/>
  <c r="BA189" i="5"/>
  <c r="AW106" i="5"/>
  <c r="AX106" i="5" s="1"/>
  <c r="AX178" i="5"/>
  <c r="AX43" i="5"/>
  <c r="AJ121" i="5"/>
  <c r="AD121" i="5"/>
  <c r="AJ209" i="5"/>
  <c r="AD209" i="5"/>
  <c r="AX68" i="5"/>
  <c r="AD193" i="5"/>
  <c r="AO158" i="5"/>
  <c r="AR158" i="5" s="1"/>
  <c r="AS158" i="5" s="1"/>
  <c r="AO41" i="5"/>
  <c r="AR41" i="5" s="1"/>
  <c r="AS41" i="5" s="1"/>
  <c r="AW131" i="5"/>
  <c r="AX131" i="5" s="1"/>
  <c r="AW45" i="5"/>
  <c r="AX45" i="5" s="1"/>
  <c r="AX142" i="5"/>
  <c r="AO142" i="5"/>
  <c r="AR142" i="5" s="1"/>
  <c r="AS142" i="5" s="1"/>
  <c r="BB208" i="5"/>
  <c r="BF208" i="5" s="1"/>
  <c r="BB210" i="5"/>
  <c r="BD210" i="5" s="1"/>
  <c r="BB194" i="5"/>
  <c r="BD194" i="5" s="1"/>
  <c r="AJ31" i="5"/>
  <c r="AD31" i="5"/>
  <c r="AK56" i="5"/>
  <c r="AK188" i="5"/>
  <c r="AK215" i="5"/>
  <c r="AK97" i="5"/>
  <c r="AU216" i="5"/>
  <c r="AV216" i="5" s="1"/>
  <c r="AK38" i="5"/>
  <c r="AK177" i="5"/>
  <c r="AK42" i="5"/>
  <c r="AK166" i="5"/>
  <c r="AK91" i="5"/>
  <c r="AK214" i="5"/>
  <c r="AK126" i="5"/>
  <c r="AK104" i="5"/>
  <c r="AK117" i="5"/>
  <c r="AK208" i="5"/>
  <c r="AK139" i="5"/>
  <c r="AK4" i="5"/>
  <c r="AK99" i="5"/>
  <c r="AK39" i="5"/>
  <c r="AK17" i="5"/>
  <c r="AK45" i="5"/>
  <c r="AK179" i="5"/>
  <c r="AK88" i="5"/>
  <c r="AK159" i="5"/>
  <c r="AU219" i="5"/>
  <c r="AV219" i="5" s="1"/>
  <c r="AK85" i="5"/>
  <c r="AK150" i="5"/>
  <c r="AK37" i="5"/>
  <c r="AK114" i="5"/>
  <c r="AK81" i="5"/>
  <c r="AK132" i="5"/>
  <c r="AK131" i="5"/>
  <c r="AK180" i="5"/>
  <c r="AK115" i="5"/>
  <c r="AK69" i="5"/>
  <c r="AK183" i="5"/>
  <c r="AK216" i="5"/>
  <c r="AK196" i="5"/>
  <c r="AK143" i="5"/>
  <c r="AK76" i="5"/>
  <c r="AK67" i="5"/>
  <c r="AK59" i="5"/>
  <c r="AK78" i="5"/>
  <c r="AK49" i="5"/>
  <c r="AK89" i="5"/>
  <c r="AK148" i="5"/>
  <c r="AK118" i="5"/>
  <c r="AK200" i="5"/>
  <c r="AK96" i="5"/>
  <c r="AK207" i="5"/>
  <c r="AK220" i="5"/>
  <c r="AK168" i="5"/>
  <c r="AK58" i="5"/>
  <c r="AK119" i="5"/>
  <c r="AU166" i="5"/>
  <c r="AV166" i="5" s="1"/>
  <c r="AK149" i="5"/>
  <c r="AK11" i="5"/>
  <c r="AK43" i="5"/>
  <c r="AK102" i="5"/>
  <c r="AK155" i="5"/>
  <c r="AK40" i="5"/>
  <c r="AK152" i="5"/>
  <c r="AK129" i="5"/>
  <c r="AJ42" i="5"/>
  <c r="AD42" i="5"/>
  <c r="AO108" i="5"/>
  <c r="AR108" i="5" s="1"/>
  <c r="AS108" i="5" s="1"/>
  <c r="AW219" i="5"/>
  <c r="AX219" i="5" s="1"/>
  <c r="AR61" i="5"/>
  <c r="AS61" i="5" s="1"/>
  <c r="AR208" i="5"/>
  <c r="AS208" i="5" s="1"/>
  <c r="BB90" i="5"/>
  <c r="BC90" i="5" s="1"/>
  <c r="AO207" i="5"/>
  <c r="AR207" i="5" s="1"/>
  <c r="AS207" i="5" s="1"/>
  <c r="AO114" i="5"/>
  <c r="AR114" i="5" s="1"/>
  <c r="AS114" i="5" s="1"/>
  <c r="AD102" i="5"/>
  <c r="AJ102" i="5"/>
  <c r="AD155" i="5"/>
  <c r="AJ155" i="5"/>
  <c r="AJ56" i="5"/>
  <c r="AD56" i="5"/>
  <c r="AJ10" i="5"/>
  <c r="AD10" i="5"/>
  <c r="AJ152" i="5"/>
  <c r="AD152" i="5"/>
  <c r="AJ94" i="5"/>
  <c r="AD94" i="5"/>
  <c r="AX69" i="5"/>
  <c r="AW55" i="5"/>
  <c r="AX55" i="5" s="1"/>
  <c r="AX176" i="5"/>
  <c r="AD72" i="5"/>
  <c r="AJ72" i="5"/>
  <c r="AJ149" i="5"/>
  <c r="AD149" i="5"/>
  <c r="AD188" i="5"/>
  <c r="AJ188" i="5"/>
  <c r="AJ113" i="5"/>
  <c r="AD113" i="5"/>
  <c r="BB157" i="5"/>
  <c r="BD157" i="5" s="1"/>
  <c r="AJ104" i="5"/>
  <c r="AD104" i="5"/>
  <c r="AJ197" i="5"/>
  <c r="AD197" i="5"/>
  <c r="AD41" i="5"/>
  <c r="AJ41" i="5"/>
  <c r="BB26" i="5"/>
  <c r="BM26" i="5" s="1"/>
  <c r="AW125" i="5"/>
  <c r="AX125" i="5" s="1"/>
  <c r="AO147" i="5"/>
  <c r="BB147" i="5" s="1"/>
  <c r="BF147" i="5" s="1"/>
  <c r="AW157" i="5"/>
  <c r="AX157" i="5" s="1"/>
  <c r="AJ215" i="5"/>
  <c r="AD215" i="5"/>
  <c r="AJ208" i="5"/>
  <c r="AD208" i="5"/>
  <c r="AD96" i="5"/>
  <c r="AJ96" i="5"/>
  <c r="AJ88" i="5"/>
  <c r="AD88" i="5"/>
  <c r="AJ157" i="5"/>
  <c r="AD157" i="5"/>
  <c r="BB219" i="5"/>
  <c r="BM219" i="5" s="1"/>
  <c r="AW208" i="5"/>
  <c r="AX208" i="5" s="1"/>
  <c r="AD85" i="5"/>
  <c r="AJ85" i="5"/>
  <c r="AJ114" i="5"/>
  <c r="AD114" i="5"/>
  <c r="AS23" i="5"/>
  <c r="AS197" i="5"/>
  <c r="AS72" i="5"/>
  <c r="AX168" i="5"/>
  <c r="AX108" i="5"/>
  <c r="AX100" i="5"/>
  <c r="AW66" i="5"/>
  <c r="AD107" i="5"/>
  <c r="AJ107" i="5"/>
  <c r="AJ160" i="5"/>
  <c r="AD160" i="5"/>
  <c r="AJ48" i="5"/>
  <c r="AD48" i="5"/>
  <c r="AS85" i="5"/>
  <c r="AX114" i="5"/>
  <c r="AD64" i="5"/>
  <c r="AJ64" i="5"/>
  <c r="AD23" i="5"/>
  <c r="AJ23" i="5"/>
  <c r="AJ69" i="5"/>
  <c r="AD69" i="5"/>
  <c r="AR111" i="5"/>
  <c r="AS111" i="5" s="1"/>
  <c r="BB150" i="5"/>
  <c r="BC150" i="5" s="1"/>
  <c r="AW92" i="5"/>
  <c r="AX92" i="5" s="1"/>
  <c r="AW88" i="5"/>
  <c r="AX88" i="5" s="1"/>
  <c r="AW26" i="5"/>
  <c r="AX26" i="5" s="1"/>
  <c r="AW58" i="5"/>
  <c r="AX58" i="5" s="1"/>
  <c r="AO83" i="5"/>
  <c r="AR83" i="5" s="1"/>
  <c r="AD110" i="5"/>
  <c r="AJ110" i="5"/>
  <c r="AD125" i="5"/>
  <c r="AJ125" i="5"/>
  <c r="AD143" i="5"/>
  <c r="AJ143" i="5"/>
  <c r="AD67" i="5"/>
  <c r="AJ67" i="5"/>
  <c r="AJ115" i="5"/>
  <c r="AD115" i="5"/>
  <c r="AX110" i="5"/>
  <c r="AW59" i="5"/>
  <c r="AX59" i="5" s="1"/>
  <c r="AJ159" i="5"/>
  <c r="AD159" i="5"/>
  <c r="AS26" i="5"/>
  <c r="BB55" i="5"/>
  <c r="BM55" i="5" s="1"/>
  <c r="BB170" i="5"/>
  <c r="BD170" i="5" s="1"/>
  <c r="BB88" i="5"/>
  <c r="BF88" i="5" s="1"/>
  <c r="AX165" i="5"/>
  <c r="AJ196" i="5"/>
  <c r="AD196" i="5"/>
  <c r="AJ167" i="5"/>
  <c r="AD167" i="5"/>
  <c r="AD150" i="5"/>
  <c r="AJ150" i="5"/>
  <c r="AJ118" i="5"/>
  <c r="AD118" i="5"/>
  <c r="AJ200" i="5"/>
  <c r="AD200" i="5"/>
  <c r="BB92" i="5"/>
  <c r="BC92" i="5" s="1"/>
  <c r="AD220" i="5"/>
  <c r="AJ220" i="5"/>
  <c r="AW48" i="5"/>
  <c r="BB125" i="5"/>
  <c r="BF125" i="5" s="1"/>
  <c r="AW150" i="5"/>
  <c r="AX150" i="5" s="1"/>
  <c r="AD132" i="5"/>
  <c r="AO21" i="5"/>
  <c r="AR21" i="5" s="1"/>
  <c r="AS21" i="5" s="1"/>
  <c r="AO100" i="5"/>
  <c r="AR100" i="5" s="1"/>
  <c r="AS100" i="5" s="1"/>
  <c r="AW23" i="5"/>
  <c r="AX23" i="5" s="1"/>
  <c r="AO103" i="5"/>
  <c r="BB103" i="5" s="1"/>
  <c r="BM103" i="5" s="1"/>
  <c r="AW113" i="5"/>
  <c r="AX113" i="5" s="1"/>
  <c r="AJ49" i="5"/>
  <c r="AD49" i="5"/>
  <c r="AJ89" i="5"/>
  <c r="AD89" i="5"/>
  <c r="AD39" i="5"/>
  <c r="AJ39" i="5"/>
  <c r="AJ26" i="5"/>
  <c r="AD26" i="5"/>
  <c r="AS200" i="5"/>
  <c r="AW90" i="5"/>
  <c r="AX90" i="5" s="1"/>
  <c r="AJ21" i="5"/>
  <c r="AD21" i="5"/>
  <c r="AS149" i="5"/>
  <c r="AO168" i="5"/>
  <c r="AR168" i="5" s="1"/>
  <c r="AS168" i="5" s="1"/>
  <c r="AX76" i="5"/>
  <c r="AO71" i="5"/>
  <c r="BB71" i="5" s="1"/>
  <c r="BF71" i="5" s="1"/>
  <c r="AO206" i="5"/>
  <c r="BB206" i="5" s="1"/>
  <c r="BD206" i="5" s="1"/>
  <c r="AW183" i="5"/>
  <c r="AO13" i="5"/>
  <c r="AR13" i="5" s="1"/>
  <c r="AS13" i="5" s="1"/>
  <c r="AW170" i="5"/>
  <c r="AX170" i="5" s="1"/>
  <c r="AJ58" i="5"/>
  <c r="AD58" i="5"/>
  <c r="AJ119" i="5"/>
  <c r="AD119" i="5"/>
  <c r="AD182" i="5"/>
  <c r="AJ182" i="5"/>
  <c r="AD11" i="5"/>
  <c r="AJ11" i="5"/>
  <c r="AJ186" i="5"/>
  <c r="AD186" i="5"/>
  <c r="AJ129" i="5"/>
  <c r="AD129" i="5"/>
  <c r="AD76" i="5"/>
  <c r="AJ76" i="5"/>
  <c r="BB5" i="5"/>
  <c r="BF5" i="5" s="1"/>
  <c r="AR75" i="5"/>
  <c r="AR199" i="5"/>
  <c r="AR198" i="5"/>
  <c r="AS198" i="5" s="1"/>
  <c r="AR82" i="5"/>
  <c r="AS82" i="5" s="1"/>
  <c r="BB204" i="5"/>
  <c r="BD204" i="5" s="1"/>
  <c r="BB28" i="5"/>
  <c r="BC28" i="5" s="1"/>
  <c r="BB72" i="5"/>
  <c r="BM72" i="5" s="1"/>
  <c r="AR73" i="5"/>
  <c r="BB173" i="5"/>
  <c r="BD173" i="5" s="1"/>
  <c r="AU78" i="5"/>
  <c r="AV78" i="5" s="1"/>
  <c r="AR4" i="5"/>
  <c r="AS4" i="5" s="1"/>
  <c r="BB4" i="5"/>
  <c r="BB200" i="5"/>
  <c r="BB78" i="5"/>
  <c r="BB138" i="5"/>
  <c r="AR62" i="5"/>
  <c r="AS62" i="5" s="1"/>
  <c r="BB62" i="5"/>
  <c r="BB117" i="5"/>
  <c r="BB180" i="5"/>
  <c r="AR22" i="5"/>
  <c r="AS22" i="5" s="1"/>
  <c r="BB22" i="5"/>
  <c r="BB85" i="5"/>
  <c r="BB99" i="5"/>
  <c r="AR99" i="5"/>
  <c r="AS99" i="5" s="1"/>
  <c r="AR104" i="5"/>
  <c r="AS104" i="5" s="1"/>
  <c r="BB104" i="5"/>
  <c r="AU37" i="5"/>
  <c r="AV37" i="5" s="1"/>
  <c r="AU97" i="5"/>
  <c r="AV97" i="5" s="1"/>
  <c r="AU90" i="5"/>
  <c r="AV90" i="5" s="1"/>
  <c r="AU17" i="5"/>
  <c r="AV17" i="5" s="1"/>
  <c r="AR190" i="5"/>
  <c r="BB190" i="5"/>
  <c r="AR25" i="5"/>
  <c r="BB25" i="5"/>
  <c r="AK113" i="5" a="1"/>
  <c r="AT148" i="5"/>
  <c r="AK160" i="5" a="1"/>
  <c r="AK163" i="5" a="1"/>
  <c r="AK121" i="5" a="1"/>
  <c r="AK107" i="5" a="1"/>
  <c r="AK82" i="5" a="1"/>
  <c r="AK134" i="5" a="1"/>
  <c r="AK123" i="5" a="1"/>
  <c r="AT3" i="5"/>
  <c r="AK92" i="5" a="1"/>
  <c r="AK144" i="5" a="1"/>
  <c r="AK6" i="5" a="1"/>
  <c r="AT80" i="5"/>
  <c r="AK28" i="5" a="1"/>
  <c r="AT31" i="5"/>
  <c r="AT135" i="5"/>
  <c r="AT2" i="5"/>
  <c r="AT157" i="5"/>
  <c r="AT8" i="5"/>
  <c r="AT223" i="5"/>
  <c r="AT102" i="5"/>
  <c r="AT41" i="5"/>
  <c r="AT178" i="5"/>
  <c r="AM142" i="5"/>
  <c r="AE78" i="5"/>
  <c r="AM102" i="5"/>
  <c r="AM168" i="5"/>
  <c r="AT61" i="5"/>
  <c r="AM69" i="5"/>
  <c r="AM99" i="5"/>
  <c r="AE208" i="5"/>
  <c r="AE58" i="5"/>
  <c r="AM214" i="5"/>
  <c r="AE96" i="5"/>
  <c r="AE200" i="5"/>
  <c r="AM149" i="5"/>
  <c r="AM38" i="5"/>
  <c r="AE45" i="5"/>
  <c r="AT72" i="5"/>
  <c r="AT85" i="5"/>
  <c r="AT47" i="5"/>
  <c r="AE209" i="5"/>
  <c r="AK48" i="5" a="1"/>
  <c r="AK20" i="5" a="1"/>
  <c r="AK62" i="5" a="1"/>
  <c r="AK156" i="5" a="1"/>
  <c r="AK103" i="5" a="1"/>
  <c r="AK192" i="5" a="1"/>
  <c r="AK198" i="5" a="1"/>
  <c r="AK8" i="5" a="1"/>
  <c r="AK16" i="5" a="1"/>
  <c r="AT32" i="5"/>
  <c r="AM204" i="5"/>
  <c r="AE218" i="5"/>
  <c r="AT174" i="5"/>
  <c r="AE173" i="5"/>
  <c r="AE205" i="5"/>
  <c r="AE142" i="5"/>
  <c r="AM117" i="5"/>
  <c r="AE155" i="5"/>
  <c r="AT168" i="5"/>
  <c r="AM155" i="5"/>
  <c r="AE99" i="5"/>
  <c r="AE114" i="5"/>
  <c r="AE56" i="5"/>
  <c r="AM76" i="5"/>
  <c r="AE214" i="5"/>
  <c r="AT23" i="5"/>
  <c r="AT200" i="5"/>
  <c r="AE38" i="5"/>
  <c r="AE81" i="5"/>
  <c r="AK35" i="5" a="1"/>
  <c r="AK201" i="5" a="1"/>
  <c r="AK9" i="5" a="1"/>
  <c r="AT180" i="5"/>
  <c r="AK185" i="5" a="1"/>
  <c r="AK94" i="5" a="1"/>
  <c r="AK106" i="5" a="1"/>
  <c r="AK165" i="5" a="1"/>
  <c r="AK36" i="5" a="1"/>
  <c r="AT224" i="5"/>
  <c r="AT177" i="5"/>
  <c r="AT137" i="5"/>
  <c r="AT58" i="5"/>
  <c r="AT151" i="5"/>
  <c r="AT189" i="5"/>
  <c r="AM173" i="5"/>
  <c r="AE60" i="5"/>
  <c r="AM205" i="5"/>
  <c r="AT110" i="5"/>
  <c r="AE117" i="5"/>
  <c r="AM115" i="5"/>
  <c r="AM179" i="5"/>
  <c r="AE115" i="5"/>
  <c r="AE49" i="5"/>
  <c r="AM104" i="5"/>
  <c r="AE159" i="5"/>
  <c r="AT111" i="5"/>
  <c r="AM37" i="5"/>
  <c r="AE126" i="5"/>
  <c r="AM96" i="5"/>
  <c r="AM81" i="5"/>
  <c r="AM67" i="5"/>
  <c r="AM208" i="5"/>
  <c r="AE37" i="5"/>
  <c r="AM126" i="5"/>
  <c r="AT197" i="5"/>
  <c r="AM216" i="5"/>
  <c r="AM196" i="5"/>
  <c r="AM88" i="5"/>
  <c r="AE11" i="5"/>
  <c r="AT125" i="5"/>
  <c r="AM84" i="5"/>
  <c r="AK125" i="5" a="1"/>
  <c r="AT173" i="5"/>
  <c r="AK22" i="5" a="1"/>
  <c r="AK100" i="5" a="1"/>
  <c r="AT185" i="5"/>
  <c r="AK23" i="5" a="1"/>
  <c r="AK34" i="5" a="1"/>
  <c r="AK47" i="5" a="1"/>
  <c r="AK50" i="5" a="1"/>
  <c r="AK206" i="5" a="1"/>
  <c r="AK147" i="5" a="1"/>
  <c r="AK174" i="5" a="1"/>
  <c r="AK211" i="5" a="1"/>
  <c r="AK70" i="5" a="1"/>
  <c r="AK53" i="5" a="1"/>
  <c r="AT127" i="5"/>
  <c r="AT36" i="5"/>
  <c r="AT56" i="5"/>
  <c r="AT222" i="5"/>
  <c r="AT217" i="5"/>
  <c r="AE29" i="5"/>
  <c r="AM68" i="5"/>
  <c r="AM178" i="5"/>
  <c r="AT76" i="5"/>
  <c r="AT158" i="5"/>
  <c r="AE196" i="5"/>
  <c r="AE179" i="5"/>
  <c r="AM139" i="5"/>
  <c r="AM129" i="5"/>
  <c r="AM215" i="5"/>
  <c r="AE150" i="5"/>
  <c r="AE132" i="5"/>
  <c r="AT82" i="5"/>
  <c r="AE143" i="5"/>
  <c r="AT57" i="5"/>
  <c r="AT119" i="5"/>
  <c r="AK135" i="5" a="1"/>
  <c r="AK86" i="5" a="1"/>
  <c r="AK197" i="5" a="1"/>
  <c r="AK203" i="5" a="1"/>
  <c r="AK64" i="5" a="1"/>
  <c r="AK176" i="5" a="1"/>
  <c r="AK65" i="5" a="1"/>
  <c r="AK90" i="5" a="1"/>
  <c r="AK79" i="5" a="1"/>
  <c r="AK54" i="5" a="1"/>
  <c r="AK44" i="5" a="1"/>
  <c r="AK175" i="5" a="1"/>
  <c r="AK171" i="5" a="1"/>
  <c r="AT209" i="5"/>
  <c r="AT67" i="5"/>
  <c r="AT38" i="5"/>
  <c r="AM29" i="5"/>
  <c r="AE68" i="5"/>
  <c r="AE178" i="5"/>
  <c r="AT45" i="5"/>
  <c r="AT115" i="5"/>
  <c r="AM31" i="5"/>
  <c r="AE13" i="5"/>
  <c r="AE220" i="5"/>
  <c r="AM132" i="5"/>
  <c r="AM220" i="5"/>
  <c r="AE139" i="5"/>
  <c r="AE85" i="5"/>
  <c r="AE40" i="5"/>
  <c r="AE89" i="5"/>
  <c r="AM119" i="5"/>
  <c r="AM114" i="5"/>
  <c r="AE97" i="5"/>
  <c r="AE183" i="5"/>
  <c r="AE118" i="5"/>
  <c r="AE216" i="5"/>
  <c r="AT93" i="5"/>
  <c r="AK219" i="5" a="1"/>
  <c r="AT112" i="5"/>
  <c r="AK21" i="5" a="1"/>
  <c r="AT59" i="5"/>
  <c r="AK186" i="5" a="1"/>
  <c r="AK10" i="5" a="1"/>
  <c r="AK74" i="5" a="1"/>
  <c r="AK182" i="5" a="1"/>
  <c r="AK157" i="5" a="1"/>
  <c r="AK72" i="5" a="1"/>
  <c r="AK154" i="5" a="1"/>
  <c r="AK222" i="5" a="1"/>
  <c r="AK128" i="5" a="1"/>
  <c r="AK158" i="5" a="1"/>
  <c r="AK80" i="5" a="1"/>
  <c r="AT24" i="5"/>
  <c r="AK195" i="5" a="1"/>
  <c r="AK162" i="5" a="1"/>
  <c r="AK112" i="5" a="1"/>
  <c r="AK153" i="5" a="1"/>
  <c r="AT118" i="5"/>
  <c r="AT50" i="5"/>
  <c r="AK133" i="5" a="1"/>
  <c r="AK32" i="5" a="1"/>
  <c r="AK51" i="5" a="1"/>
  <c r="AK26" i="5" a="1"/>
  <c r="AK172" i="5" a="1"/>
  <c r="AK41" i="5" a="1"/>
  <c r="AK110" i="5" a="1"/>
  <c r="AT128" i="5"/>
  <c r="AK111" i="5" a="1"/>
  <c r="AK30" i="5" a="1"/>
  <c r="AT91" i="5"/>
  <c r="AK27" i="5" a="1"/>
  <c r="AK141" i="5" a="1"/>
  <c r="AK98" i="5" a="1"/>
  <c r="AK55" i="5" a="1"/>
  <c r="AK15" i="5" a="1"/>
  <c r="AK95" i="5" a="1"/>
  <c r="AK57" i="5" a="1"/>
  <c r="AT183" i="5"/>
  <c r="AK93" i="5" a="1"/>
  <c r="AK223" i="5" a="1"/>
  <c r="AK169" i="5" a="1"/>
  <c r="AK63" i="5" a="1"/>
  <c r="AT153" i="5"/>
  <c r="AK52" i="5" a="1"/>
  <c r="AK187" i="5" a="1"/>
  <c r="AK73" i="5" a="1"/>
  <c r="AK87" i="5" a="1"/>
  <c r="AK14" i="5" a="1"/>
  <c r="AT48" i="5"/>
  <c r="AT182" i="5"/>
  <c r="AT89" i="5"/>
  <c r="AT142" i="5"/>
  <c r="AM122" i="5"/>
  <c r="AT132" i="5"/>
  <c r="AM188" i="5"/>
  <c r="AE42" i="5"/>
  <c r="AM89" i="5"/>
  <c r="AE166" i="5"/>
  <c r="AT42" i="5"/>
  <c r="AE188" i="5"/>
  <c r="AM4" i="5"/>
  <c r="AE88" i="5"/>
  <c r="AK108" i="5" a="1"/>
  <c r="AT211" i="5"/>
  <c r="AM91" i="5"/>
  <c r="AT22" i="5"/>
  <c r="AT212" i="5"/>
  <c r="AT99" i="5"/>
  <c r="AE215" i="5"/>
  <c r="AT4" i="5"/>
  <c r="AT11" i="5"/>
  <c r="AM42" i="5"/>
  <c r="AE207" i="5"/>
  <c r="AT69" i="5"/>
  <c r="AK120" i="5" a="1"/>
  <c r="AK61" i="5" a="1"/>
  <c r="AT218" i="5"/>
  <c r="AT68" i="5"/>
  <c r="AT205" i="5"/>
  <c r="AT94" i="5"/>
  <c r="AE102" i="5"/>
  <c r="AE180" i="5"/>
  <c r="AE129" i="5"/>
  <c r="AT162" i="5"/>
  <c r="AM97" i="5"/>
  <c r="AE17" i="5"/>
  <c r="AK3" i="5" a="1"/>
  <c r="AK5" i="5" a="1"/>
  <c r="AK217" i="5" a="1"/>
  <c r="AK130" i="5" a="1"/>
  <c r="AM180" i="5"/>
  <c r="AM40" i="5"/>
  <c r="AE4" i="5"/>
  <c r="AM17" i="5"/>
  <c r="AT74" i="5"/>
  <c r="AT176" i="5"/>
  <c r="AM183" i="5"/>
  <c r="AM60" i="5"/>
  <c r="AT195" i="5"/>
  <c r="AT62" i="5"/>
  <c r="AM209" i="5"/>
  <c r="AT167" i="5"/>
  <c r="AT204" i="5"/>
  <c r="AT149" i="5"/>
  <c r="AM200" i="5"/>
  <c r="AM207" i="5"/>
  <c r="AT198" i="5"/>
  <c r="AT7" i="5"/>
  <c r="AE168" i="5"/>
  <c r="AK191" i="5" a="1"/>
  <c r="AK127" i="5" a="1"/>
  <c r="AT44" i="5"/>
  <c r="AK199" i="5" a="1"/>
  <c r="AE204" i="5"/>
  <c r="AT81" i="5"/>
  <c r="AT134" i="5"/>
  <c r="AE84" i="5"/>
  <c r="AM11" i="5"/>
  <c r="AT208" i="5"/>
  <c r="AE91" i="5"/>
  <c r="AT21" i="5"/>
  <c r="AT114" i="5"/>
  <c r="AE152" i="5"/>
  <c r="AT29" i="5"/>
  <c r="AM118" i="5"/>
  <c r="AE177" i="5"/>
  <c r="AK194" i="5" a="1"/>
  <c r="AK75" i="5" a="1"/>
  <c r="AM137" i="5"/>
  <c r="AT165" i="5"/>
  <c r="AT19" i="5"/>
  <c r="AT122" i="5"/>
  <c r="AM159" i="5"/>
  <c r="AT51" i="5"/>
  <c r="AK25" i="5" a="1"/>
  <c r="AM131" i="5"/>
  <c r="AK7" i="5" a="1"/>
  <c r="AK202" i="5" a="1"/>
  <c r="AK109" i="5" a="1"/>
  <c r="AT70" i="5"/>
  <c r="AK221" i="5" a="1"/>
  <c r="AT34" i="5"/>
  <c r="AT117" i="5"/>
  <c r="AE212" i="5"/>
  <c r="AM212" i="5"/>
  <c r="AT13" i="5"/>
  <c r="AT108" i="5"/>
  <c r="AM56" i="5"/>
  <c r="AM152" i="5"/>
  <c r="AM177" i="5"/>
  <c r="AM143" i="5"/>
  <c r="AK71" i="5" a="1"/>
  <c r="AK146" i="5" a="1"/>
  <c r="AE151" i="5"/>
  <c r="AM45" i="5"/>
  <c r="AT221" i="5"/>
  <c r="AM43" i="5"/>
  <c r="AM13" i="5"/>
  <c r="AE148" i="5"/>
  <c r="AT143" i="5"/>
  <c r="AM148" i="5"/>
  <c r="AT150" i="5"/>
  <c r="AK164" i="5" a="1"/>
  <c r="AK12" i="5" a="1"/>
  <c r="AK77" i="5" a="1"/>
  <c r="AK224" i="5" a="1"/>
  <c r="AT123" i="5"/>
  <c r="AK170" i="5" a="1"/>
  <c r="AK2" i="5" a="1"/>
  <c r="AT126" i="5"/>
  <c r="AK105" i="5" a="1"/>
  <c r="AT121" i="5"/>
  <c r="AM218" i="5"/>
  <c r="AT131" i="5"/>
  <c r="AM151" i="5"/>
  <c r="AE31" i="5"/>
  <c r="AT159" i="5"/>
  <c r="AM49" i="5"/>
  <c r="AE104" i="5"/>
  <c r="AE119" i="5"/>
  <c r="AK184" i="5" a="1"/>
  <c r="AK18" i="5" a="1"/>
  <c r="AK181" i="5" a="1"/>
  <c r="AT113" i="5"/>
  <c r="AM39" i="5"/>
  <c r="AK66" i="5" a="1"/>
  <c r="AT186" i="5"/>
  <c r="AM58" i="5"/>
  <c r="AE122" i="5"/>
  <c r="AM166" i="5"/>
  <c r="AT155" i="5"/>
  <c r="AK101" i="5" a="1"/>
  <c r="AE76" i="5"/>
  <c r="AK46" i="5" a="1"/>
  <c r="AK189" i="5" a="1"/>
  <c r="AK24" i="5" a="1"/>
  <c r="AT194" i="5"/>
  <c r="AK83" i="5" a="1"/>
  <c r="AT171" i="5"/>
  <c r="AT39" i="5"/>
  <c r="AM33" i="5"/>
  <c r="AT188" i="5"/>
  <c r="AM78" i="5"/>
  <c r="AT104" i="5"/>
  <c r="AM85" i="5"/>
  <c r="AE69" i="5"/>
  <c r="AT33" i="5"/>
  <c r="AE149" i="5"/>
  <c r="AT100" i="5"/>
  <c r="AE59" i="5"/>
  <c r="AT203" i="5"/>
  <c r="AM59" i="5"/>
  <c r="AT10" i="5"/>
  <c r="AE43" i="5"/>
  <c r="AT26" i="5"/>
  <c r="AE137" i="5"/>
  <c r="AM150" i="5"/>
  <c r="AT207" i="5"/>
  <c r="AK213" i="5" a="1"/>
  <c r="AK138" i="5" a="1"/>
  <c r="AE67" i="5"/>
  <c r="AK145" i="5" a="1"/>
  <c r="AE33" i="5"/>
  <c r="AK161" i="5" a="1"/>
  <c r="AT43" i="5"/>
  <c r="AE39" i="5"/>
  <c r="AK19" i="5" a="1"/>
  <c r="AK193" i="5" a="1"/>
  <c r="AT88" i="5"/>
  <c r="AK167" i="5" a="1"/>
  <c r="AK140" i="5" a="1"/>
  <c r="AK124" i="5" a="1"/>
  <c r="AT28" i="5"/>
  <c r="AK190" i="5" a="1"/>
  <c r="AE131" i="5"/>
  <c r="AK210" i="5" a="1"/>
  <c r="AK116" i="5" a="1"/>
  <c r="AK136" i="5" a="1"/>
  <c r="AK136" i="5" l="1"/>
  <c r="AK116" i="5"/>
  <c r="AK210" i="5"/>
  <c r="AK190" i="5"/>
  <c r="AU28" i="5"/>
  <c r="AV28" i="5" s="1"/>
  <c r="AK124" i="5"/>
  <c r="AK140" i="5"/>
  <c r="AK167" i="5"/>
  <c r="AK193" i="5"/>
  <c r="AK19" i="5"/>
  <c r="AK161" i="5"/>
  <c r="AK145" i="5"/>
  <c r="AK138" i="5"/>
  <c r="AK213" i="5"/>
  <c r="AU171" i="5"/>
  <c r="AV171" i="5" s="1"/>
  <c r="AK83" i="5"/>
  <c r="AU194" i="5"/>
  <c r="AV194" i="5" s="1"/>
  <c r="AK24" i="5"/>
  <c r="AK189" i="5"/>
  <c r="AK46" i="5"/>
  <c r="AK101" i="5"/>
  <c r="AK66" i="5"/>
  <c r="AK181" i="5"/>
  <c r="AK18" i="5"/>
  <c r="AK184" i="5"/>
  <c r="AK105" i="5"/>
  <c r="AU126" i="5"/>
  <c r="AV126" i="5" s="1"/>
  <c r="AK2" i="5"/>
  <c r="AK170" i="5"/>
  <c r="AU123" i="5"/>
  <c r="AV123" i="5" s="1"/>
  <c r="AK224" i="5"/>
  <c r="AK77" i="5"/>
  <c r="AK12" i="5"/>
  <c r="AK164" i="5"/>
  <c r="AK146" i="5"/>
  <c r="AK71" i="5"/>
  <c r="AK221" i="5"/>
  <c r="AU70" i="5"/>
  <c r="AV70" i="5" s="1"/>
  <c r="AK109" i="5"/>
  <c r="AK202" i="5"/>
  <c r="AK7" i="5"/>
  <c r="AK25" i="5"/>
  <c r="AU19" i="5"/>
  <c r="AV19" i="5" s="1"/>
  <c r="AY19" i="5" s="1"/>
  <c r="AK75" i="5"/>
  <c r="AK194" i="5"/>
  <c r="AK199" i="5"/>
  <c r="AU44" i="5"/>
  <c r="AV44" i="5" s="1"/>
  <c r="AK127" i="5"/>
  <c r="AK191" i="5"/>
  <c r="AU7" i="5"/>
  <c r="AV7" i="5" s="1"/>
  <c r="AK130" i="5"/>
  <c r="AK217" i="5"/>
  <c r="AK5" i="5"/>
  <c r="AK3" i="5"/>
  <c r="AK61" i="5"/>
  <c r="AK120" i="5"/>
  <c r="AK108" i="5"/>
  <c r="AK14" i="5"/>
  <c r="AK87" i="5"/>
  <c r="AK73" i="5"/>
  <c r="AK187" i="5"/>
  <c r="AK52" i="5"/>
  <c r="AU153" i="5"/>
  <c r="AV153" i="5" s="1"/>
  <c r="AK63" i="5"/>
  <c r="AK169" i="5"/>
  <c r="AK223" i="5"/>
  <c r="AK93" i="5"/>
  <c r="AU183" i="5"/>
  <c r="AV183" i="5" s="1"/>
  <c r="AY183" i="5" s="1"/>
  <c r="AK57" i="5"/>
  <c r="AK95" i="5"/>
  <c r="AK15" i="5"/>
  <c r="AK55" i="5"/>
  <c r="AK98" i="5"/>
  <c r="AK141" i="5"/>
  <c r="AK27" i="5"/>
  <c r="AU91" i="5"/>
  <c r="AV91" i="5" s="1"/>
  <c r="AK30" i="5"/>
  <c r="AK111" i="5"/>
  <c r="AU128" i="5"/>
  <c r="AV128" i="5" s="1"/>
  <c r="AK110" i="5"/>
  <c r="AK41" i="5"/>
  <c r="AK172" i="5"/>
  <c r="AK26" i="5"/>
  <c r="AK51" i="5"/>
  <c r="AK32" i="5"/>
  <c r="AK133" i="5"/>
  <c r="AU50" i="5"/>
  <c r="AV50" i="5" s="1"/>
  <c r="AK153" i="5"/>
  <c r="AK112" i="5"/>
  <c r="AK162" i="5"/>
  <c r="AK195" i="5"/>
  <c r="AU24" i="5"/>
  <c r="AV24" i="5" s="1"/>
  <c r="AY24" i="5" s="1"/>
  <c r="AK80" i="5"/>
  <c r="AK158" i="5"/>
  <c r="AK128" i="5"/>
  <c r="AK222" i="5"/>
  <c r="AK154" i="5"/>
  <c r="AK72" i="5"/>
  <c r="AK157" i="5"/>
  <c r="AK182" i="5"/>
  <c r="AK74" i="5"/>
  <c r="AK10" i="5"/>
  <c r="AK186" i="5"/>
  <c r="AU59" i="5"/>
  <c r="AV59" i="5" s="1"/>
  <c r="AY59" i="5" s="1"/>
  <c r="AK21" i="5"/>
  <c r="AU112" i="5"/>
  <c r="AV112" i="5" s="1"/>
  <c r="AY112" i="5" s="1"/>
  <c r="AK219" i="5"/>
  <c r="AU93" i="5"/>
  <c r="AV93" i="5" s="1"/>
  <c r="AY93" i="5" s="1"/>
  <c r="AK171" i="5"/>
  <c r="AK175" i="5"/>
  <c r="AK44" i="5"/>
  <c r="AK54" i="5"/>
  <c r="AK79" i="5"/>
  <c r="AK90" i="5"/>
  <c r="AK65" i="5"/>
  <c r="AK176" i="5"/>
  <c r="AK64" i="5"/>
  <c r="AK203" i="5"/>
  <c r="AK197" i="5"/>
  <c r="AK86" i="5"/>
  <c r="AK135" i="5"/>
  <c r="AK53" i="5"/>
  <c r="AK70" i="5"/>
  <c r="AK211" i="5"/>
  <c r="AK174" i="5"/>
  <c r="AK147" i="5"/>
  <c r="AK206" i="5"/>
  <c r="AK50" i="5"/>
  <c r="AK47" i="5"/>
  <c r="AK34" i="5"/>
  <c r="AK23" i="5"/>
  <c r="AU185" i="5"/>
  <c r="AV185" i="5" s="1"/>
  <c r="AY185" i="5" s="1"/>
  <c r="AK100" i="5"/>
  <c r="AK22" i="5"/>
  <c r="AU173" i="5"/>
  <c r="AV173" i="5" s="1"/>
  <c r="AK125" i="5"/>
  <c r="AK36" i="5"/>
  <c r="AK165" i="5"/>
  <c r="AK106" i="5"/>
  <c r="AK94" i="5"/>
  <c r="AK185" i="5"/>
  <c r="AU180" i="5"/>
  <c r="AV180" i="5" s="1"/>
  <c r="AK9" i="5"/>
  <c r="AK201" i="5"/>
  <c r="AK35" i="5"/>
  <c r="AK16" i="5"/>
  <c r="AK8" i="5"/>
  <c r="AK198" i="5"/>
  <c r="AK192" i="5"/>
  <c r="AK103" i="5"/>
  <c r="AK156" i="5"/>
  <c r="AK62" i="5"/>
  <c r="AK20" i="5"/>
  <c r="AK48" i="5"/>
  <c r="AK28" i="5"/>
  <c r="AU80" i="5"/>
  <c r="AV80" i="5" s="1"/>
  <c r="AY80" i="5" s="1"/>
  <c r="AK6" i="5"/>
  <c r="AK144" i="5"/>
  <c r="AK92" i="5"/>
  <c r="AU3" i="5"/>
  <c r="AV3" i="5" s="1"/>
  <c r="AK123" i="5"/>
  <c r="AK134" i="5"/>
  <c r="AK82" i="5"/>
  <c r="AK107" i="5"/>
  <c r="AK121" i="5"/>
  <c r="AK163" i="5"/>
  <c r="AK160" i="5"/>
  <c r="AU148" i="5"/>
  <c r="AV148" i="5" s="1"/>
  <c r="AY148" i="5" s="1"/>
  <c r="AK113" i="5"/>
  <c r="AO30" i="5"/>
  <c r="AW30" i="5"/>
  <c r="AX30" i="5" s="1"/>
  <c r="AW215" i="5"/>
  <c r="AX215" i="5" s="1"/>
  <c r="AO215" i="5"/>
  <c r="AR215" i="5" s="1"/>
  <c r="AS215" i="5" s="1"/>
  <c r="AJ210" i="5"/>
  <c r="AD210" i="5"/>
  <c r="AD161" i="5"/>
  <c r="AJ161" i="5"/>
  <c r="AS161" i="5"/>
  <c r="AO196" i="5"/>
  <c r="AW196" i="5"/>
  <c r="AX196" i="5" s="1"/>
  <c r="AW20" i="5"/>
  <c r="AX20" i="5" s="1"/>
  <c r="AO20" i="5"/>
  <c r="AD145" i="5"/>
  <c r="AJ145" i="5"/>
  <c r="AD124" i="5"/>
  <c r="AJ124" i="5"/>
  <c r="AJ87" i="5"/>
  <c r="AD87" i="5"/>
  <c r="AD95" i="5"/>
  <c r="AJ95" i="5"/>
  <c r="AO15" i="5"/>
  <c r="AW15" i="5"/>
  <c r="AX15" i="5" s="1"/>
  <c r="AD92" i="5"/>
  <c r="AJ92" i="5"/>
  <c r="AS92" i="5"/>
  <c r="BA107" i="5"/>
  <c r="AX107" i="5"/>
  <c r="AO201" i="5"/>
  <c r="AW201" i="5"/>
  <c r="AX201" i="5" s="1"/>
  <c r="BB7" i="5"/>
  <c r="BF7" i="5" s="1"/>
  <c r="AJ75" i="5"/>
  <c r="AD75" i="5"/>
  <c r="AW181" i="5"/>
  <c r="AX181" i="5" s="1"/>
  <c r="AO181" i="5"/>
  <c r="BA182" i="5"/>
  <c r="AX182" i="5"/>
  <c r="BA64" i="5"/>
  <c r="AX64" i="5"/>
  <c r="AO184" i="5"/>
  <c r="AW184" i="5"/>
  <c r="AX184" i="5" s="1"/>
  <c r="AD138" i="5"/>
  <c r="AJ138" i="5"/>
  <c r="BA177" i="5"/>
  <c r="BB177" i="5" s="1"/>
  <c r="BC177" i="5" s="1"/>
  <c r="AX177" i="5"/>
  <c r="AO12" i="5"/>
  <c r="AW12" i="5"/>
  <c r="AX12" i="5" s="1"/>
  <c r="BA20" i="5"/>
  <c r="AO164" i="5"/>
  <c r="AW164" i="5"/>
  <c r="AX164" i="5" s="1"/>
  <c r="AO139" i="5"/>
  <c r="AW139" i="5"/>
  <c r="AX139" i="5" s="1"/>
  <c r="BA152" i="5"/>
  <c r="AX152" i="5"/>
  <c r="AW220" i="5"/>
  <c r="AX220" i="5" s="1"/>
  <c r="AO220" i="5"/>
  <c r="AR220" i="5" s="1"/>
  <c r="AS220" i="5" s="1"/>
  <c r="AJ144" i="5"/>
  <c r="AD144" i="5"/>
  <c r="AS144" i="5"/>
  <c r="AW84" i="5"/>
  <c r="AX84" i="5" s="1"/>
  <c r="AO84" i="5"/>
  <c r="AR84" i="5" s="1"/>
  <c r="AS84" i="5" s="1"/>
  <c r="AR193" i="5"/>
  <c r="AS193" i="5" s="1"/>
  <c r="BB193" i="5"/>
  <c r="BM193" i="5" s="1"/>
  <c r="AW152" i="5"/>
  <c r="AO152" i="5"/>
  <c r="AR152" i="5" s="1"/>
  <c r="AS152" i="5" s="1"/>
  <c r="AO14" i="5"/>
  <c r="AW14" i="5"/>
  <c r="AX14" i="5" s="1"/>
  <c r="AS163" i="5"/>
  <c r="AD28" i="5"/>
  <c r="AJ28" i="5"/>
  <c r="AJ187" i="5"/>
  <c r="AD187" i="5"/>
  <c r="AO213" i="5"/>
  <c r="AW213" i="5"/>
  <c r="AX213" i="5" s="1"/>
  <c r="AO191" i="5"/>
  <c r="AW191" i="5"/>
  <c r="AX191" i="5" s="1"/>
  <c r="AW40" i="5"/>
  <c r="AX40" i="5" s="1"/>
  <c r="AO40" i="5"/>
  <c r="AR40" i="5" s="1"/>
  <c r="AS40" i="5" s="1"/>
  <c r="AR154" i="5"/>
  <c r="AS154" i="5" s="1"/>
  <c r="BB154" i="5"/>
  <c r="BF154" i="5" s="1"/>
  <c r="AJ77" i="5"/>
  <c r="AD77" i="5"/>
  <c r="AW101" i="5"/>
  <c r="AX101" i="5" s="1"/>
  <c r="AO101" i="5"/>
  <c r="AR101" i="5" s="1"/>
  <c r="AS101" i="5" s="1"/>
  <c r="AJ18" i="5"/>
  <c r="AD18" i="5"/>
  <c r="AD184" i="5"/>
  <c r="AJ184" i="5"/>
  <c r="AO214" i="5"/>
  <c r="AW214" i="5"/>
  <c r="AX214" i="5" s="1"/>
  <c r="AD190" i="5"/>
  <c r="AJ190" i="5"/>
  <c r="AD116" i="5"/>
  <c r="AJ116" i="5"/>
  <c r="AS116" i="5"/>
  <c r="AJ46" i="5"/>
  <c r="AD46" i="5"/>
  <c r="AS35" i="5"/>
  <c r="AJ52" i="5"/>
  <c r="AD52" i="5"/>
  <c r="AS87" i="5"/>
  <c r="AJ105" i="5"/>
  <c r="AD105" i="5"/>
  <c r="BA34" i="5"/>
  <c r="BB34" i="5" s="1"/>
  <c r="BD34" i="5" s="1"/>
  <c r="AX34" i="5"/>
  <c r="AW172" i="5"/>
  <c r="AX172" i="5" s="1"/>
  <c r="AO172" i="5"/>
  <c r="BB172" i="5" s="1"/>
  <c r="BM172" i="5" s="1"/>
  <c r="AJ170" i="5"/>
  <c r="AD170" i="5"/>
  <c r="AD224" i="5"/>
  <c r="AJ224" i="5"/>
  <c r="AD164" i="5"/>
  <c r="AJ164" i="5"/>
  <c r="AD25" i="5"/>
  <c r="AJ25" i="5"/>
  <c r="AO141" i="5"/>
  <c r="AW141" i="5"/>
  <c r="AX141" i="5" s="1"/>
  <c r="AJ15" i="5"/>
  <c r="AD15" i="5"/>
  <c r="AO133" i="5"/>
  <c r="BB133" i="5" s="1"/>
  <c r="BM133" i="5" s="1"/>
  <c r="AD202" i="5"/>
  <c r="AJ202" i="5"/>
  <c r="BA35" i="5"/>
  <c r="AX35" i="5"/>
  <c r="AD140" i="5"/>
  <c r="AJ140" i="5"/>
  <c r="AJ199" i="5"/>
  <c r="AD199" i="5"/>
  <c r="AJ63" i="5"/>
  <c r="AD63" i="5"/>
  <c r="AS63" i="5"/>
  <c r="BA187" i="5"/>
  <c r="AX187" i="5"/>
  <c r="AW160" i="5"/>
  <c r="AX160" i="5" s="1"/>
  <c r="AO160" i="5"/>
  <c r="AR160" i="5" s="1"/>
  <c r="AS160" i="5" s="1"/>
  <c r="BB137" i="5"/>
  <c r="BF137" i="5" s="1"/>
  <c r="AO107" i="5"/>
  <c r="AR107" i="5" s="1"/>
  <c r="AS107" i="5" s="1"/>
  <c r="AJ130" i="5"/>
  <c r="AD130" i="5"/>
  <c r="AJ217" i="5"/>
  <c r="AD217" i="5"/>
  <c r="AJ73" i="5"/>
  <c r="AD73" i="5"/>
  <c r="AJ169" i="5"/>
  <c r="AD169" i="5"/>
  <c r="AJ5" i="5"/>
  <c r="AD5" i="5"/>
  <c r="AS5" i="5"/>
  <c r="AS210" i="5"/>
  <c r="BA203" i="5"/>
  <c r="BB203" i="5" s="1"/>
  <c r="BM203" i="5" s="1"/>
  <c r="AX203" i="5"/>
  <c r="AX183" i="5"/>
  <c r="AS25" i="5"/>
  <c r="AS190" i="5"/>
  <c r="AW193" i="5"/>
  <c r="AX193" i="5" s="1"/>
  <c r="AJ6" i="5"/>
  <c r="AD6" i="5"/>
  <c r="AS6" i="5"/>
  <c r="AD163" i="5"/>
  <c r="AJ163" i="5"/>
  <c r="AJ35" i="5"/>
  <c r="AD35" i="5"/>
  <c r="AW126" i="5"/>
  <c r="AX126" i="5" s="1"/>
  <c r="AY126" i="5" s="1"/>
  <c r="AD120" i="5"/>
  <c r="AJ120" i="5"/>
  <c r="BA163" i="5"/>
  <c r="BB163" i="5" s="1"/>
  <c r="BC163" i="5" s="1"/>
  <c r="AX163" i="5"/>
  <c r="BA172" i="5"/>
  <c r="AW109" i="5"/>
  <c r="AX109" i="5" s="1"/>
  <c r="AO109" i="5"/>
  <c r="AR109" i="5" s="1"/>
  <c r="AS109" i="5" s="1"/>
  <c r="AJ221" i="5"/>
  <c r="AD221" i="5"/>
  <c r="AJ66" i="5"/>
  <c r="AD66" i="5"/>
  <c r="AJ61" i="5"/>
  <c r="AD61" i="5"/>
  <c r="AS140" i="5"/>
  <c r="AJ108" i="5"/>
  <c r="AD108" i="5"/>
  <c r="AS77" i="5"/>
  <c r="AX174" i="5"/>
  <c r="AS187" i="5"/>
  <c r="AJ83" i="5"/>
  <c r="AD83" i="5"/>
  <c r="AJ136" i="5"/>
  <c r="AD136" i="5"/>
  <c r="AJ109" i="5"/>
  <c r="AD109" i="5"/>
  <c r="AD194" i="5"/>
  <c r="AJ194" i="5"/>
  <c r="AJ30" i="5"/>
  <c r="AD30" i="5"/>
  <c r="AD181" i="5"/>
  <c r="AJ181" i="5"/>
  <c r="AS170" i="5"/>
  <c r="AJ7" i="5"/>
  <c r="AD7" i="5"/>
  <c r="AS145" i="5"/>
  <c r="AS120" i="5"/>
  <c r="AS52" i="5"/>
  <c r="AJ55" i="5"/>
  <c r="AD55" i="5"/>
  <c r="AJ98" i="5"/>
  <c r="AD98" i="5"/>
  <c r="AJ141" i="5"/>
  <c r="AD141" i="5"/>
  <c r="AD27" i="5"/>
  <c r="AJ27" i="5"/>
  <c r="AD213" i="5"/>
  <c r="AJ213" i="5"/>
  <c r="AD111" i="5"/>
  <c r="AJ111" i="5"/>
  <c r="AJ172" i="5"/>
  <c r="AD172" i="5"/>
  <c r="AS66" i="5"/>
  <c r="AD32" i="5"/>
  <c r="AJ32" i="5"/>
  <c r="AD133" i="5"/>
  <c r="AJ133" i="5"/>
  <c r="AO146" i="5"/>
  <c r="AW146" i="5"/>
  <c r="AX146" i="5" s="1"/>
  <c r="AS73" i="5"/>
  <c r="AR49" i="5"/>
  <c r="AS49" i="5" s="1"/>
  <c r="AX66" i="5"/>
  <c r="AD153" i="5"/>
  <c r="AJ153" i="5"/>
  <c r="AD112" i="5"/>
  <c r="AJ112" i="5"/>
  <c r="AJ162" i="5"/>
  <c r="AD162" i="5"/>
  <c r="AD195" i="5"/>
  <c r="AJ195" i="5"/>
  <c r="AD80" i="5"/>
  <c r="AJ80" i="5"/>
  <c r="AD158" i="5"/>
  <c r="AJ158" i="5"/>
  <c r="AJ128" i="5"/>
  <c r="AD128" i="5"/>
  <c r="AD154" i="5"/>
  <c r="AJ154" i="5"/>
  <c r="AD189" i="5"/>
  <c r="AJ189" i="5"/>
  <c r="AS199" i="5"/>
  <c r="AS75" i="5"/>
  <c r="AX51" i="5"/>
  <c r="BB183" i="5"/>
  <c r="BC183" i="5" s="1"/>
  <c r="AS27" i="5"/>
  <c r="AX62" i="5"/>
  <c r="AS202" i="5"/>
  <c r="AJ171" i="5"/>
  <c r="AD171" i="5"/>
  <c r="AD175" i="5"/>
  <c r="AJ175" i="5"/>
  <c r="AJ44" i="5"/>
  <c r="AD44" i="5"/>
  <c r="AD54" i="5"/>
  <c r="AJ54" i="5"/>
  <c r="AX42" i="5"/>
  <c r="AD79" i="5"/>
  <c r="AJ79" i="5"/>
  <c r="AD12" i="5"/>
  <c r="AJ12" i="5"/>
  <c r="AJ86" i="5"/>
  <c r="AD86" i="5"/>
  <c r="AW9" i="5"/>
  <c r="AX9" i="5" s="1"/>
  <c r="AO9" i="5"/>
  <c r="AD135" i="5"/>
  <c r="AJ135" i="5"/>
  <c r="AX48" i="5"/>
  <c r="AD2" i="5"/>
  <c r="AS83" i="5"/>
  <c r="AX188" i="5"/>
  <c r="AS136" i="5"/>
  <c r="AJ53" i="5"/>
  <c r="AD53" i="5"/>
  <c r="AO18" i="5"/>
  <c r="AW18" i="5"/>
  <c r="AX18" i="5" s="1"/>
  <c r="AD70" i="5"/>
  <c r="AJ70" i="5"/>
  <c r="AD211" i="5"/>
  <c r="AJ211" i="5"/>
  <c r="AS98" i="5"/>
  <c r="AD127" i="5"/>
  <c r="AJ127" i="5"/>
  <c r="AD174" i="5"/>
  <c r="AJ174" i="5"/>
  <c r="AJ147" i="5"/>
  <c r="AD147" i="5"/>
  <c r="AS54" i="5"/>
  <c r="AJ206" i="5"/>
  <c r="AD206" i="5"/>
  <c r="AJ50" i="5"/>
  <c r="AD50" i="5"/>
  <c r="AO105" i="5"/>
  <c r="AR105" i="5" s="1"/>
  <c r="AS105" i="5" s="1"/>
  <c r="BB64" i="5"/>
  <c r="BM64" i="5" s="1"/>
  <c r="AX86" i="5"/>
  <c r="AD36" i="5"/>
  <c r="AJ36" i="5"/>
  <c r="AJ165" i="5"/>
  <c r="AD165" i="5"/>
  <c r="AJ106" i="5"/>
  <c r="AD106" i="5"/>
  <c r="AJ176" i="5"/>
  <c r="AD176" i="5"/>
  <c r="AJ185" i="5"/>
  <c r="AD185" i="5"/>
  <c r="AS138" i="5"/>
  <c r="AD9" i="5"/>
  <c r="AJ9" i="5"/>
  <c r="AS46" i="5"/>
  <c r="AS55" i="5"/>
  <c r="AO53" i="5"/>
  <c r="AR53" i="5" s="1"/>
  <c r="AS53" i="5" s="1"/>
  <c r="BB77" i="5"/>
  <c r="BM77" i="5" s="1"/>
  <c r="AS95" i="5"/>
  <c r="AJ16" i="5"/>
  <c r="AD16" i="5"/>
  <c r="AJ8" i="5"/>
  <c r="AD8" i="5"/>
  <c r="AD198" i="5"/>
  <c r="AJ198" i="5"/>
  <c r="AS106" i="5"/>
  <c r="AD146" i="5"/>
  <c r="AJ146" i="5"/>
  <c r="AD192" i="5"/>
  <c r="AJ192" i="5"/>
  <c r="AD103" i="5"/>
  <c r="AJ103" i="5"/>
  <c r="AS86" i="5"/>
  <c r="AS16" i="5"/>
  <c r="AJ20" i="5"/>
  <c r="AD20" i="5"/>
  <c r="BD86" i="5"/>
  <c r="BM86" i="5"/>
  <c r="BC86" i="5"/>
  <c r="BB95" i="5"/>
  <c r="BM95" i="5" s="1"/>
  <c r="BF193" i="5"/>
  <c r="BD193" i="5"/>
  <c r="BC193" i="5"/>
  <c r="BB32" i="5"/>
  <c r="BC32" i="5" s="1"/>
  <c r="BB224" i="5"/>
  <c r="BC224" i="5" s="1"/>
  <c r="BB205" i="5"/>
  <c r="BM205" i="5" s="1"/>
  <c r="AU32" i="5"/>
  <c r="AV32" i="5" s="1"/>
  <c r="AY32" i="5" s="1"/>
  <c r="BM98" i="5"/>
  <c r="AU224" i="5"/>
  <c r="AV224" i="5" s="1"/>
  <c r="AY224" i="5" s="1"/>
  <c r="BF116" i="5"/>
  <c r="BC98" i="5"/>
  <c r="BM116" i="5"/>
  <c r="BB127" i="5"/>
  <c r="BF127" i="5" s="1"/>
  <c r="BC116" i="5"/>
  <c r="BF161" i="5"/>
  <c r="BC161" i="5"/>
  <c r="AU127" i="5"/>
  <c r="AV127" i="5" s="1"/>
  <c r="AY127" i="5" s="1"/>
  <c r="AY173" i="5"/>
  <c r="BD217" i="5"/>
  <c r="BB209" i="5"/>
  <c r="BF209" i="5" s="1"/>
  <c r="BF217" i="5"/>
  <c r="AR79" i="5"/>
  <c r="AS79" i="5" s="1"/>
  <c r="BF45" i="5"/>
  <c r="BD161" i="5"/>
  <c r="BD98" i="5"/>
  <c r="BM217" i="5"/>
  <c r="BD154" i="5"/>
  <c r="BM154" i="5"/>
  <c r="BB119" i="5"/>
  <c r="BC119" i="5" s="1"/>
  <c r="BC185" i="5"/>
  <c r="BM153" i="5"/>
  <c r="BC82" i="5"/>
  <c r="BB43" i="5"/>
  <c r="BD43" i="5" s="1"/>
  <c r="AY153" i="5"/>
  <c r="BF77" i="5"/>
  <c r="BM171" i="5"/>
  <c r="BD153" i="5"/>
  <c r="BB162" i="5"/>
  <c r="BM162" i="5" s="1"/>
  <c r="BF153" i="5"/>
  <c r="BM97" i="5"/>
  <c r="BB215" i="5"/>
  <c r="BF215" i="5" s="1"/>
  <c r="BF198" i="5"/>
  <c r="BD171" i="5"/>
  <c r="BC198" i="5"/>
  <c r="BF171" i="5"/>
  <c r="BB202" i="5"/>
  <c r="BC202" i="5" s="1"/>
  <c r="BM198" i="5"/>
  <c r="BC77" i="5"/>
  <c r="BM65" i="5"/>
  <c r="BC45" i="5"/>
  <c r="BD45" i="5"/>
  <c r="BD77" i="5"/>
  <c r="BM46" i="5"/>
  <c r="BD46" i="5"/>
  <c r="BF46" i="5"/>
  <c r="BC188" i="5"/>
  <c r="BM75" i="5"/>
  <c r="BB110" i="5"/>
  <c r="BF110" i="5" s="1"/>
  <c r="BD17" i="5"/>
  <c r="BM8" i="5"/>
  <c r="BF188" i="5"/>
  <c r="BM188" i="5"/>
  <c r="AU125" i="5"/>
  <c r="AV125" i="5" s="1"/>
  <c r="AY125" i="5" s="1"/>
  <c r="BF27" i="5"/>
  <c r="BB67" i="5"/>
  <c r="BC67" i="5" s="1"/>
  <c r="BB36" i="5"/>
  <c r="BD36" i="5" s="1"/>
  <c r="BC128" i="5"/>
  <c r="BM218" i="5"/>
  <c r="BD128" i="5"/>
  <c r="BF218" i="5"/>
  <c r="BC218" i="5"/>
  <c r="BF120" i="5"/>
  <c r="BD23" i="5"/>
  <c r="BD49" i="5"/>
  <c r="BB107" i="5"/>
  <c r="BF107" i="5" s="1"/>
  <c r="AY128" i="5"/>
  <c r="BB211" i="5"/>
  <c r="BF211" i="5" s="1"/>
  <c r="BM2" i="5"/>
  <c r="BD120" i="5"/>
  <c r="BM49" i="5"/>
  <c r="BB29" i="5"/>
  <c r="BC29" i="5" s="1"/>
  <c r="BM27" i="5"/>
  <c r="BB11" i="5"/>
  <c r="BC11" i="5" s="1"/>
  <c r="BB33" i="5"/>
  <c r="BC33" i="5" s="1"/>
  <c r="BM19" i="5"/>
  <c r="BD37" i="5"/>
  <c r="BM128" i="5"/>
  <c r="BM120" i="5"/>
  <c r="BC49" i="5"/>
  <c r="BB52" i="5"/>
  <c r="BM52" i="5" s="1"/>
  <c r="BD2" i="5"/>
  <c r="BC44" i="5"/>
  <c r="BB47" i="5"/>
  <c r="BC47" i="5" s="1"/>
  <c r="AU218" i="5"/>
  <c r="AV218" i="5" s="1"/>
  <c r="AY218" i="5" s="1"/>
  <c r="AU48" i="5"/>
  <c r="AV48" i="5" s="1"/>
  <c r="AY48" i="5" s="1"/>
  <c r="AU88" i="5"/>
  <c r="AV88" i="5" s="1"/>
  <c r="AY88" i="5" s="1"/>
  <c r="BF2" i="5"/>
  <c r="BD19" i="5"/>
  <c r="AR179" i="5"/>
  <c r="AS179" i="5" s="1"/>
  <c r="AY194" i="5"/>
  <c r="BB152" i="5"/>
  <c r="BM152" i="5" s="1"/>
  <c r="AU211" i="5"/>
  <c r="AV211" i="5" s="1"/>
  <c r="AY211" i="5" s="1"/>
  <c r="BD79" i="5"/>
  <c r="BM79" i="5"/>
  <c r="BC79" i="5"/>
  <c r="BF79" i="5"/>
  <c r="BB159" i="5"/>
  <c r="BF159" i="5" s="1"/>
  <c r="BC27" i="5"/>
  <c r="BD8" i="5"/>
  <c r="BC123" i="5"/>
  <c r="BM50" i="5"/>
  <c r="BF50" i="5"/>
  <c r="BM126" i="5"/>
  <c r="BD50" i="5"/>
  <c r="BF166" i="5"/>
  <c r="BB109" i="5"/>
  <c r="BF109" i="5" s="1"/>
  <c r="BB31" i="5"/>
  <c r="BM31" i="5" s="1"/>
  <c r="BB160" i="5"/>
  <c r="BC160" i="5" s="1"/>
  <c r="BD123" i="5"/>
  <c r="BC97" i="5"/>
  <c r="BC115" i="5"/>
  <c r="BF61" i="5"/>
  <c r="BD166" i="5"/>
  <c r="BD115" i="5"/>
  <c r="BF97" i="5"/>
  <c r="BM61" i="5"/>
  <c r="BM115" i="5"/>
  <c r="BF37" i="5"/>
  <c r="BB84" i="5"/>
  <c r="BF84" i="5" s="1"/>
  <c r="BD70" i="5"/>
  <c r="BB135" i="5"/>
  <c r="BC135" i="5" s="1"/>
  <c r="AR156" i="5"/>
  <c r="AS156" i="5" s="1"/>
  <c r="AU204" i="5"/>
  <c r="AV204" i="5" s="1"/>
  <c r="AY204" i="5" s="1"/>
  <c r="AU121" i="5"/>
  <c r="AV121" i="5" s="1"/>
  <c r="AY121" i="5" s="1"/>
  <c r="AU34" i="5"/>
  <c r="AV34" i="5" s="1"/>
  <c r="AU118" i="5"/>
  <c r="AV118" i="5" s="1"/>
  <c r="AY118" i="5" s="1"/>
  <c r="AU209" i="5"/>
  <c r="AV209" i="5" s="1"/>
  <c r="AY209" i="5" s="1"/>
  <c r="AU36" i="5"/>
  <c r="AV36" i="5" s="1"/>
  <c r="AY36" i="5" s="1"/>
  <c r="AU177" i="5"/>
  <c r="AV177" i="5" s="1"/>
  <c r="AY177" i="5" s="1"/>
  <c r="AN204" i="5"/>
  <c r="AU31" i="5"/>
  <c r="AV31" i="5" s="1"/>
  <c r="AY31" i="5" s="1"/>
  <c r="AF204" i="5"/>
  <c r="BC17" i="5"/>
  <c r="BM37" i="5"/>
  <c r="BF17" i="5"/>
  <c r="AY171" i="5"/>
  <c r="BC8" i="5"/>
  <c r="BC23" i="5"/>
  <c r="AR20" i="5"/>
  <c r="AS20" i="5" s="1"/>
  <c r="BM149" i="5"/>
  <c r="BC19" i="5"/>
  <c r="BF192" i="5"/>
  <c r="BC87" i="5"/>
  <c r="BF23" i="5"/>
  <c r="BD197" i="5"/>
  <c r="BM148" i="5"/>
  <c r="BF170" i="5"/>
  <c r="BC149" i="5"/>
  <c r="BF132" i="5"/>
  <c r="BD87" i="5"/>
  <c r="BF197" i="5"/>
  <c r="BD148" i="5"/>
  <c r="BM71" i="5"/>
  <c r="BM170" i="5"/>
  <c r="BM132" i="5"/>
  <c r="BF87" i="5"/>
  <c r="BC65" i="5"/>
  <c r="BC197" i="5"/>
  <c r="BM66" i="5"/>
  <c r="BF148" i="5"/>
  <c r="BC71" i="5"/>
  <c r="BM123" i="5"/>
  <c r="AY17" i="5"/>
  <c r="BC16" i="5"/>
  <c r="AY180" i="5"/>
  <c r="BB186" i="5"/>
  <c r="BC186" i="5" s="1"/>
  <c r="AU135" i="5"/>
  <c r="AV135" i="5" s="1"/>
  <c r="AY135" i="5" s="1"/>
  <c r="AU10" i="5"/>
  <c r="AV10" i="5" s="1"/>
  <c r="AY10" i="5" s="1"/>
  <c r="BF6" i="5"/>
  <c r="BD44" i="5"/>
  <c r="BM44" i="5"/>
  <c r="AY37" i="5"/>
  <c r="BB155" i="5"/>
  <c r="BC155" i="5" s="1"/>
  <c r="BC124" i="5"/>
  <c r="BM6" i="5"/>
  <c r="BB221" i="5"/>
  <c r="BM221" i="5" s="1"/>
  <c r="BC6" i="5"/>
  <c r="AR124" i="5"/>
  <c r="AS124" i="5" s="1"/>
  <c r="BB174" i="5"/>
  <c r="BF174" i="5" s="1"/>
  <c r="BC125" i="5"/>
  <c r="AU43" i="5"/>
  <c r="AV43" i="5" s="1"/>
  <c r="AY43" i="5" s="1"/>
  <c r="AU195" i="5"/>
  <c r="AV195" i="5" s="1"/>
  <c r="AY195" i="5" s="1"/>
  <c r="AU47" i="5"/>
  <c r="AV47" i="5" s="1"/>
  <c r="AY47" i="5" s="1"/>
  <c r="AU56" i="5"/>
  <c r="AV56" i="5" s="1"/>
  <c r="AY56" i="5" s="1"/>
  <c r="AU137" i="5"/>
  <c r="AV137" i="5" s="1"/>
  <c r="AY137" i="5" s="1"/>
  <c r="BD80" i="5"/>
  <c r="BM166" i="5"/>
  <c r="BB81" i="5"/>
  <c r="BF81" i="5" s="1"/>
  <c r="BB195" i="5"/>
  <c r="BC195" i="5" s="1"/>
  <c r="BF199" i="5"/>
  <c r="BB39" i="5"/>
  <c r="BM39" i="5" s="1"/>
  <c r="AR64" i="5"/>
  <c r="AS64" i="5" s="1"/>
  <c r="BM111" i="5"/>
  <c r="BD124" i="5"/>
  <c r="BF144" i="5"/>
  <c r="BC64" i="5"/>
  <c r="BF63" i="5"/>
  <c r="BF80" i="5"/>
  <c r="AY44" i="5"/>
  <c r="BB68" i="5"/>
  <c r="BF68" i="5" s="1"/>
  <c r="BC24" i="5"/>
  <c r="BD144" i="5"/>
  <c r="BM80" i="5"/>
  <c r="BM144" i="5"/>
  <c r="BD63" i="5"/>
  <c r="BD82" i="5"/>
  <c r="BC103" i="5"/>
  <c r="BF124" i="5"/>
  <c r="BC208" i="5"/>
  <c r="BF64" i="5"/>
  <c r="BD24" i="5"/>
  <c r="BB122" i="5"/>
  <c r="BC122" i="5" s="1"/>
  <c r="BC63" i="5"/>
  <c r="BF82" i="5"/>
  <c r="BF103" i="5"/>
  <c r="BC132" i="5"/>
  <c r="BC59" i="5"/>
  <c r="BM24" i="5"/>
  <c r="AY97" i="5"/>
  <c r="BF126" i="5"/>
  <c r="AU2" i="5"/>
  <c r="AV2" i="5" s="1"/>
  <c r="AY2" i="5" s="1"/>
  <c r="AU81" i="5"/>
  <c r="AV81" i="5" s="1"/>
  <c r="AY81" i="5" s="1"/>
  <c r="AU167" i="5"/>
  <c r="AV167" i="5" s="1"/>
  <c r="AY167" i="5" s="1"/>
  <c r="AU68" i="5"/>
  <c r="AV68" i="5" s="1"/>
  <c r="AY68" i="5" s="1"/>
  <c r="BC156" i="5"/>
  <c r="BD156" i="5"/>
  <c r="BD59" i="5"/>
  <c r="AY50" i="5"/>
  <c r="BM59" i="5"/>
  <c r="BD199" i="5"/>
  <c r="BF70" i="5"/>
  <c r="BF131" i="5"/>
  <c r="BM199" i="5"/>
  <c r="BD90" i="5"/>
  <c r="BD54" i="5"/>
  <c r="BC112" i="5"/>
  <c r="BC167" i="5"/>
  <c r="BB38" i="5"/>
  <c r="BD38" i="5" s="1"/>
  <c r="BM70" i="5"/>
  <c r="BC54" i="5"/>
  <c r="BF90" i="5"/>
  <c r="BM167" i="5"/>
  <c r="BF194" i="5"/>
  <c r="AY3" i="5"/>
  <c r="BB74" i="5"/>
  <c r="BF74" i="5" s="1"/>
  <c r="BF121" i="5"/>
  <c r="BF106" i="5"/>
  <c r="BM112" i="5"/>
  <c r="AY70" i="5"/>
  <c r="BF183" i="5"/>
  <c r="BF54" i="5"/>
  <c r="BM90" i="5"/>
  <c r="BD167" i="5"/>
  <c r="BM194" i="5"/>
  <c r="BM7" i="5"/>
  <c r="BD111" i="5"/>
  <c r="AU151" i="5"/>
  <c r="AV151" i="5" s="1"/>
  <c r="AY151" i="5" s="1"/>
  <c r="AU174" i="5"/>
  <c r="AV174" i="5" s="1"/>
  <c r="AY174" i="5" s="1"/>
  <c r="AU157" i="5"/>
  <c r="AV157" i="5" s="1"/>
  <c r="AY157" i="5" s="1"/>
  <c r="AU122" i="5"/>
  <c r="AV122" i="5" s="1"/>
  <c r="AY122" i="5" s="1"/>
  <c r="AU221" i="5"/>
  <c r="AV221" i="5" s="1"/>
  <c r="AY221" i="5" s="1"/>
  <c r="AU113" i="5"/>
  <c r="AV113" i="5" s="1"/>
  <c r="AY113" i="5" s="1"/>
  <c r="AN218" i="5"/>
  <c r="AU117" i="5"/>
  <c r="AV117" i="5" s="1"/>
  <c r="AY117" i="5" s="1"/>
  <c r="AU67" i="5"/>
  <c r="AV67" i="5" s="1"/>
  <c r="AY67" i="5" s="1"/>
  <c r="AU222" i="5"/>
  <c r="AV222" i="5" s="1"/>
  <c r="AY222" i="5" s="1"/>
  <c r="AU58" i="5"/>
  <c r="AV58" i="5" s="1"/>
  <c r="AY58" i="5" s="1"/>
  <c r="AF218" i="5"/>
  <c r="BC51" i="5"/>
  <c r="BM51" i="5"/>
  <c r="BC212" i="5"/>
  <c r="AR130" i="5"/>
  <c r="AS130" i="5" s="1"/>
  <c r="BD113" i="5"/>
  <c r="BM10" i="5"/>
  <c r="BC89" i="5"/>
  <c r="BF91" i="5"/>
  <c r="BC73" i="5"/>
  <c r="BF212" i="5"/>
  <c r="BD118" i="5"/>
  <c r="BF216" i="5"/>
  <c r="AR175" i="5"/>
  <c r="AS175" i="5" s="1"/>
  <c r="BF51" i="5"/>
  <c r="BF16" i="5"/>
  <c r="BD212" i="5"/>
  <c r="BC48" i="5"/>
  <c r="BD219" i="5"/>
  <c r="BB189" i="5"/>
  <c r="BF189" i="5" s="1"/>
  <c r="BM16" i="5"/>
  <c r="BD91" i="5"/>
  <c r="BC118" i="5"/>
  <c r="BF48" i="5"/>
  <c r="BD89" i="5"/>
  <c r="BC56" i="5"/>
  <c r="BF156" i="5"/>
  <c r="BD121" i="5"/>
  <c r="BD7" i="5"/>
  <c r="BM118" i="5"/>
  <c r="BC121" i="5"/>
  <c r="BD73" i="5"/>
  <c r="BB158" i="5"/>
  <c r="BC158" i="5" s="1"/>
  <c r="BF10" i="5"/>
  <c r="BC91" i="5"/>
  <c r="BC131" i="5"/>
  <c r="BC219" i="5"/>
  <c r="BC10" i="5"/>
  <c r="BF89" i="5"/>
  <c r="BD131" i="5"/>
  <c r="BD103" i="5"/>
  <c r="BD75" i="5"/>
  <c r="BD208" i="5"/>
  <c r="BM56" i="5"/>
  <c r="BF185" i="5"/>
  <c r="BB57" i="5"/>
  <c r="BF57" i="5" s="1"/>
  <c r="BB94" i="5"/>
  <c r="BM94" i="5" s="1"/>
  <c r="BD56" i="5"/>
  <c r="BD216" i="5"/>
  <c r="BB143" i="5"/>
  <c r="BD143" i="5" s="1"/>
  <c r="BC216" i="5"/>
  <c r="BC66" i="5"/>
  <c r="BC170" i="5"/>
  <c r="BD172" i="5"/>
  <c r="BB151" i="5"/>
  <c r="BD151" i="5" s="1"/>
  <c r="BD66" i="5"/>
  <c r="BD129" i="5"/>
  <c r="BD61" i="5"/>
  <c r="AY7" i="5"/>
  <c r="BB222" i="5"/>
  <c r="BD222" i="5" s="1"/>
  <c r="BB187" i="5"/>
  <c r="BM187" i="5" s="1"/>
  <c r="AU8" i="5"/>
  <c r="AV8" i="5" s="1"/>
  <c r="AY8" i="5" s="1"/>
  <c r="AU155" i="5"/>
  <c r="AV155" i="5" s="1"/>
  <c r="AY155" i="5" s="1"/>
  <c r="AU176" i="5"/>
  <c r="AV176" i="5" s="1"/>
  <c r="AY176" i="5" s="1"/>
  <c r="AU39" i="5"/>
  <c r="AV39" i="5" s="1"/>
  <c r="AY39" i="5" s="1"/>
  <c r="AU74" i="5"/>
  <c r="AV74" i="5" s="1"/>
  <c r="AY74" i="5" s="1"/>
  <c r="AU131" i="5"/>
  <c r="AV131" i="5" s="1"/>
  <c r="AY131" i="5" s="1"/>
  <c r="AN29" i="5"/>
  <c r="AF29" i="5"/>
  <c r="AU189" i="5"/>
  <c r="AV189" i="5" s="1"/>
  <c r="AY189" i="5" s="1"/>
  <c r="AU134" i="5"/>
  <c r="AV134" i="5" s="1"/>
  <c r="AY134" i="5" s="1"/>
  <c r="AU182" i="5"/>
  <c r="AV182" i="5" s="1"/>
  <c r="AY182" i="5" s="1"/>
  <c r="AU51" i="5"/>
  <c r="AV51" i="5" s="1"/>
  <c r="AY51" i="5" s="1"/>
  <c r="AU57" i="5"/>
  <c r="AV57" i="5" s="1"/>
  <c r="AY57" i="5" s="1"/>
  <c r="AU38" i="5"/>
  <c r="AV38" i="5" s="1"/>
  <c r="AY38" i="5" s="1"/>
  <c r="AU217" i="5"/>
  <c r="AV217" i="5" s="1"/>
  <c r="AY217" i="5" s="1"/>
  <c r="AR169" i="5"/>
  <c r="AS169" i="5" s="1"/>
  <c r="BB169" i="5"/>
  <c r="BC169" i="5" s="1"/>
  <c r="AR60" i="5"/>
  <c r="AS60" i="5" s="1"/>
  <c r="BB60" i="5"/>
  <c r="BM60" i="5" s="1"/>
  <c r="BB220" i="5"/>
  <c r="BC220" i="5" s="1"/>
  <c r="BM192" i="5"/>
  <c r="BD192" i="5"/>
  <c r="AR192" i="5"/>
  <c r="AS192" i="5" s="1"/>
  <c r="BM208" i="5"/>
  <c r="BD179" i="5"/>
  <c r="AY123" i="5"/>
  <c r="AR65" i="5"/>
  <c r="AS65" i="5" s="1"/>
  <c r="BF55" i="5"/>
  <c r="BC206" i="5"/>
  <c r="BD175" i="5"/>
  <c r="AY219" i="5"/>
  <c r="BC96" i="5"/>
  <c r="BB69" i="5"/>
  <c r="BM69" i="5" s="1"/>
  <c r="AY78" i="5"/>
  <c r="BB182" i="5"/>
  <c r="BD182" i="5" s="1"/>
  <c r="BD185" i="5"/>
  <c r="BD96" i="5"/>
  <c r="BM93" i="5"/>
  <c r="BD112" i="5"/>
  <c r="BC106" i="5"/>
  <c r="BF96" i="5"/>
  <c r="BD150" i="5"/>
  <c r="BM73" i="5"/>
  <c r="BC111" i="5"/>
  <c r="BC126" i="5"/>
  <c r="BD149" i="5"/>
  <c r="BF75" i="5"/>
  <c r="BD65" i="5"/>
  <c r="BM156" i="5"/>
  <c r="BM106" i="5"/>
  <c r="BD64" i="5"/>
  <c r="BC194" i="5"/>
  <c r="BF133" i="5"/>
  <c r="BM175" i="5"/>
  <c r="BB35" i="5"/>
  <c r="BF35" i="5" s="1"/>
  <c r="AY216" i="5"/>
  <c r="BD71" i="5"/>
  <c r="BM179" i="5"/>
  <c r="BC210" i="5"/>
  <c r="BF179" i="5"/>
  <c r="AR133" i="5"/>
  <c r="AS133" i="5" s="1"/>
  <c r="BB76" i="5"/>
  <c r="BM76" i="5" s="1"/>
  <c r="BB134" i="5"/>
  <c r="BD134" i="5" s="1"/>
  <c r="BF93" i="5"/>
  <c r="AR96" i="5"/>
  <c r="AS96" i="5" s="1"/>
  <c r="BB165" i="5"/>
  <c r="BC93" i="5"/>
  <c r="BB136" i="5"/>
  <c r="BF136" i="5" s="1"/>
  <c r="BF157" i="5"/>
  <c r="BC133" i="5"/>
  <c r="BC175" i="5"/>
  <c r="BB114" i="5"/>
  <c r="BF114" i="5" s="1"/>
  <c r="BD133" i="5"/>
  <c r="AY91" i="5"/>
  <c r="BB176" i="5"/>
  <c r="BC176" i="5" s="1"/>
  <c r="BB142" i="5"/>
  <c r="BF142" i="5" s="1"/>
  <c r="AY28" i="5"/>
  <c r="AU205" i="5"/>
  <c r="AV205" i="5" s="1"/>
  <c r="AY205" i="5" s="1"/>
  <c r="AU132" i="5"/>
  <c r="AV132" i="5" s="1"/>
  <c r="AY132" i="5" s="1"/>
  <c r="AU150" i="5"/>
  <c r="AV150" i="5" s="1"/>
  <c r="AY150" i="5" s="1"/>
  <c r="AF13" i="5"/>
  <c r="AU110" i="5"/>
  <c r="AV110" i="5" s="1"/>
  <c r="AY110" i="5" s="1"/>
  <c r="AF142" i="5"/>
  <c r="AN142" i="5"/>
  <c r="AU143" i="5"/>
  <c r="AV143" i="5" s="1"/>
  <c r="AY143" i="5" s="1"/>
  <c r="AN13" i="5"/>
  <c r="AU188" i="5"/>
  <c r="AV188" i="5" s="1"/>
  <c r="AU212" i="5"/>
  <c r="AV212" i="5" s="1"/>
  <c r="AY212" i="5" s="1"/>
  <c r="AF31" i="5"/>
  <c r="AN31" i="5"/>
  <c r="AN205" i="5"/>
  <c r="AF205" i="5"/>
  <c r="AU178" i="5"/>
  <c r="AV178" i="5" s="1"/>
  <c r="AY178" i="5" s="1"/>
  <c r="AN212" i="5"/>
  <c r="AN122" i="5"/>
  <c r="AF122" i="5"/>
  <c r="AU186" i="5"/>
  <c r="AV186" i="5" s="1"/>
  <c r="AY186" i="5" s="1"/>
  <c r="AU158" i="5"/>
  <c r="AV158" i="5" s="1"/>
  <c r="AY158" i="5" s="1"/>
  <c r="AF60" i="5"/>
  <c r="AN60" i="5"/>
  <c r="AU203" i="5"/>
  <c r="AV203" i="5" s="1"/>
  <c r="AY203" i="5" s="1"/>
  <c r="AF151" i="5"/>
  <c r="AN151" i="5"/>
  <c r="AF212" i="5"/>
  <c r="AF209" i="5"/>
  <c r="AU115" i="5"/>
  <c r="AV115" i="5" s="1"/>
  <c r="AY115" i="5" s="1"/>
  <c r="AU76" i="5"/>
  <c r="AV76" i="5" s="1"/>
  <c r="AY76" i="5" s="1"/>
  <c r="AU41" i="5"/>
  <c r="AV41" i="5" s="1"/>
  <c r="AY41" i="5" s="1"/>
  <c r="AU142" i="5"/>
  <c r="AV142" i="5" s="1"/>
  <c r="AY142" i="5" s="1"/>
  <c r="AN209" i="5"/>
  <c r="AF33" i="5"/>
  <c r="AU119" i="5"/>
  <c r="AV119" i="5" s="1"/>
  <c r="AY119" i="5" s="1"/>
  <c r="AU45" i="5"/>
  <c r="AV45" i="5" s="1"/>
  <c r="AY45" i="5" s="1"/>
  <c r="AN173" i="5"/>
  <c r="AF173" i="5"/>
  <c r="AU102" i="5"/>
  <c r="AV102" i="5" s="1"/>
  <c r="AY102" i="5" s="1"/>
  <c r="AN33" i="5"/>
  <c r="AN137" i="5"/>
  <c r="AF178" i="5"/>
  <c r="AN178" i="5"/>
  <c r="AU223" i="5"/>
  <c r="AV223" i="5" s="1"/>
  <c r="AY223" i="5" s="1"/>
  <c r="AF84" i="5"/>
  <c r="AU89" i="5"/>
  <c r="AV89" i="5" s="1"/>
  <c r="AY89" i="5" s="1"/>
  <c r="AF137" i="5"/>
  <c r="AN84" i="5"/>
  <c r="AF68" i="5"/>
  <c r="AN68" i="5"/>
  <c r="BM58" i="5"/>
  <c r="AR129" i="5"/>
  <c r="AS129" i="5" s="1"/>
  <c r="BD48" i="5"/>
  <c r="BB53" i="5"/>
  <c r="BF53" i="5" s="1"/>
  <c r="BB13" i="5"/>
  <c r="BF13" i="5" s="1"/>
  <c r="BC129" i="5"/>
  <c r="BD147" i="5"/>
  <c r="BB223" i="5"/>
  <c r="BM223" i="5" s="1"/>
  <c r="BD92" i="5"/>
  <c r="BM210" i="5"/>
  <c r="BM150" i="5"/>
  <c r="BM129" i="5"/>
  <c r="BM147" i="5"/>
  <c r="AY90" i="5"/>
  <c r="BB42" i="5"/>
  <c r="BM42" i="5" s="1"/>
  <c r="BB145" i="5"/>
  <c r="BM145" i="5" s="1"/>
  <c r="BB102" i="5"/>
  <c r="BC102" i="5" s="1"/>
  <c r="AY166" i="5"/>
  <c r="BF92" i="5"/>
  <c r="BF210" i="5"/>
  <c r="BF150" i="5"/>
  <c r="BC147" i="5"/>
  <c r="AR71" i="5"/>
  <c r="AS71" i="5" s="1"/>
  <c r="AR147" i="5"/>
  <c r="AS147" i="5" s="1"/>
  <c r="BM92" i="5"/>
  <c r="BC58" i="5"/>
  <c r="BB108" i="5"/>
  <c r="BM108" i="5" s="1"/>
  <c r="BB21" i="5"/>
  <c r="BF21" i="5" s="1"/>
  <c r="BF219" i="5"/>
  <c r="BM113" i="5"/>
  <c r="BF113" i="5"/>
  <c r="BB178" i="5"/>
  <c r="BC178" i="5" s="1"/>
  <c r="BB101" i="5"/>
  <c r="BM101" i="5" s="1"/>
  <c r="BD58" i="5"/>
  <c r="BB83" i="5"/>
  <c r="BM83" i="5" s="1"/>
  <c r="BB41" i="5"/>
  <c r="BD41" i="5" s="1"/>
  <c r="BM157" i="5"/>
  <c r="BB100" i="5"/>
  <c r="BD100" i="5" s="1"/>
  <c r="AF11" i="5"/>
  <c r="AN196" i="5"/>
  <c r="AN67" i="5"/>
  <c r="AU85" i="5"/>
  <c r="AV85" i="5" s="1"/>
  <c r="AY85" i="5" s="1"/>
  <c r="AU72" i="5"/>
  <c r="AV72" i="5" s="1"/>
  <c r="AY72" i="5" s="1"/>
  <c r="AF88" i="5"/>
  <c r="AF188" i="5"/>
  <c r="AN59" i="5"/>
  <c r="AF59" i="5"/>
  <c r="AF216" i="5"/>
  <c r="AN216" i="5"/>
  <c r="AN81" i="5"/>
  <c r="AF81" i="5"/>
  <c r="AF45" i="5"/>
  <c r="AN45" i="5"/>
  <c r="AF177" i="5"/>
  <c r="AN177" i="5"/>
  <c r="AF152" i="5"/>
  <c r="AN17" i="5"/>
  <c r="AF17" i="5"/>
  <c r="AN88" i="5"/>
  <c r="AF38" i="5"/>
  <c r="AN38" i="5"/>
  <c r="AU100" i="5"/>
  <c r="AV100" i="5" s="1"/>
  <c r="AY100" i="5" s="1"/>
  <c r="AN200" i="5"/>
  <c r="AN143" i="5"/>
  <c r="AU197" i="5"/>
  <c r="AV197" i="5" s="1"/>
  <c r="AY197" i="5" s="1"/>
  <c r="AN96" i="5"/>
  <c r="AN149" i="5"/>
  <c r="AN152" i="5"/>
  <c r="AU114" i="5"/>
  <c r="AV114" i="5" s="1"/>
  <c r="AY114" i="5" s="1"/>
  <c r="AN126" i="5"/>
  <c r="AF126" i="5"/>
  <c r="AU200" i="5"/>
  <c r="AV200" i="5" s="1"/>
  <c r="AY200" i="5" s="1"/>
  <c r="AF200" i="5"/>
  <c r="AF67" i="5"/>
  <c r="AF149" i="5"/>
  <c r="AF119" i="5"/>
  <c r="AU21" i="5"/>
  <c r="AV21" i="5" s="1"/>
  <c r="AY21" i="5" s="1"/>
  <c r="AF118" i="5"/>
  <c r="AF143" i="5"/>
  <c r="AU23" i="5"/>
  <c r="AV23" i="5" s="1"/>
  <c r="AY23" i="5" s="1"/>
  <c r="AF96" i="5"/>
  <c r="AU207" i="5"/>
  <c r="AV207" i="5" s="1"/>
  <c r="AY207" i="5" s="1"/>
  <c r="AN148" i="5"/>
  <c r="AF148" i="5"/>
  <c r="AN183" i="5"/>
  <c r="AF183" i="5"/>
  <c r="AF37" i="5"/>
  <c r="AN37" i="5"/>
  <c r="AF214" i="5"/>
  <c r="AN214" i="5"/>
  <c r="AN39" i="5"/>
  <c r="AN118" i="5"/>
  <c r="AN97" i="5"/>
  <c r="AF97" i="5"/>
  <c r="AN76" i="5"/>
  <c r="AF58" i="5"/>
  <c r="AU42" i="5"/>
  <c r="AV42" i="5" s="1"/>
  <c r="AY42" i="5" s="1"/>
  <c r="AF39" i="5"/>
  <c r="AN150" i="5"/>
  <c r="AU26" i="5"/>
  <c r="AV26" i="5" s="1"/>
  <c r="AY26" i="5" s="1"/>
  <c r="AF69" i="5"/>
  <c r="AN114" i="5"/>
  <c r="AN208" i="5"/>
  <c r="AF56" i="5"/>
  <c r="AF4" i="5"/>
  <c r="AN4" i="5"/>
  <c r="AF166" i="5"/>
  <c r="AN166" i="5"/>
  <c r="AN119" i="5"/>
  <c r="AF132" i="5"/>
  <c r="AU111" i="5"/>
  <c r="AV111" i="5" s="1"/>
  <c r="AY111" i="5" s="1"/>
  <c r="AF114" i="5"/>
  <c r="AF208" i="5"/>
  <c r="AF99" i="5"/>
  <c r="AN99" i="5"/>
  <c r="AF91" i="5"/>
  <c r="AN91" i="5"/>
  <c r="AF76" i="5"/>
  <c r="AN58" i="5"/>
  <c r="AF89" i="5"/>
  <c r="AF150" i="5"/>
  <c r="AF159" i="5"/>
  <c r="AN69" i="5"/>
  <c r="AN85" i="5"/>
  <c r="AF215" i="5"/>
  <c r="AF104" i="5"/>
  <c r="AN56" i="5"/>
  <c r="AU208" i="5"/>
  <c r="AV208" i="5" s="1"/>
  <c r="AY208" i="5" s="1"/>
  <c r="AN40" i="5"/>
  <c r="AF40" i="5"/>
  <c r="AF129" i="5"/>
  <c r="AN89" i="5"/>
  <c r="AN159" i="5"/>
  <c r="AF85" i="5"/>
  <c r="AN215" i="5"/>
  <c r="AN104" i="5"/>
  <c r="AN155" i="5"/>
  <c r="AU61" i="5"/>
  <c r="AV61" i="5" s="1"/>
  <c r="AY61" i="5" s="1"/>
  <c r="AN180" i="5"/>
  <c r="AF180" i="5"/>
  <c r="AN129" i="5"/>
  <c r="AF49" i="5"/>
  <c r="AN168" i="5"/>
  <c r="AF168" i="5"/>
  <c r="AU149" i="5"/>
  <c r="AV149" i="5" s="1"/>
  <c r="AY149" i="5" s="1"/>
  <c r="AN49" i="5"/>
  <c r="AN102" i="5"/>
  <c r="AU108" i="5"/>
  <c r="AV108" i="5" s="1"/>
  <c r="AY108" i="5" s="1"/>
  <c r="AN131" i="5"/>
  <c r="AF131" i="5"/>
  <c r="AF139" i="5"/>
  <c r="AN139" i="5"/>
  <c r="AU168" i="5"/>
  <c r="AV168" i="5" s="1"/>
  <c r="AY168" i="5" s="1"/>
  <c r="AU13" i="5"/>
  <c r="AV13" i="5" s="1"/>
  <c r="AY13" i="5" s="1"/>
  <c r="AN220" i="5"/>
  <c r="AF115" i="5"/>
  <c r="AF102" i="5"/>
  <c r="AF42" i="5"/>
  <c r="AF207" i="5"/>
  <c r="AN207" i="5"/>
  <c r="AN132" i="5"/>
  <c r="AF179" i="5"/>
  <c r="AN179" i="5"/>
  <c r="AF155" i="5"/>
  <c r="AF78" i="5"/>
  <c r="AN78" i="5"/>
  <c r="AN11" i="5"/>
  <c r="AU94" i="5"/>
  <c r="AV94" i="5" s="1"/>
  <c r="AY94" i="5" s="1"/>
  <c r="AF220" i="5"/>
  <c r="AF196" i="5"/>
  <c r="AN115" i="5"/>
  <c r="AN188" i="5"/>
  <c r="AN42" i="5"/>
  <c r="AF43" i="5"/>
  <c r="AN43" i="5"/>
  <c r="AF117" i="5"/>
  <c r="AN117" i="5"/>
  <c r="BC172" i="5"/>
  <c r="BF26" i="5"/>
  <c r="AR172" i="5"/>
  <c r="AS172" i="5" s="1"/>
  <c r="BF172" i="5"/>
  <c r="AR103" i="5"/>
  <c r="AS103" i="5" s="1"/>
  <c r="BC26" i="5"/>
  <c r="BC157" i="5"/>
  <c r="BB207" i="5"/>
  <c r="BF207" i="5" s="1"/>
  <c r="BD88" i="5"/>
  <c r="BM88" i="5"/>
  <c r="BD125" i="5"/>
  <c r="BM125" i="5"/>
  <c r="BB168" i="5"/>
  <c r="BC168" i="5" s="1"/>
  <c r="BF206" i="5"/>
  <c r="BD55" i="5"/>
  <c r="BC88" i="5"/>
  <c r="BD26" i="5"/>
  <c r="BM206" i="5"/>
  <c r="BC55" i="5"/>
  <c r="AR206" i="5"/>
  <c r="AS206" i="5" s="1"/>
  <c r="BM5" i="5"/>
  <c r="BD5" i="5"/>
  <c r="BC5" i="5"/>
  <c r="AU29" i="5"/>
  <c r="AV29" i="5" s="1"/>
  <c r="AY29" i="5" s="1"/>
  <c r="BC204" i="5"/>
  <c r="AU198" i="5"/>
  <c r="AV198" i="5" s="1"/>
  <c r="AY198" i="5" s="1"/>
  <c r="BM204" i="5"/>
  <c r="BF204" i="5"/>
  <c r="AU165" i="5"/>
  <c r="AV165" i="5" s="1"/>
  <c r="AY165" i="5" s="1"/>
  <c r="BD28" i="5"/>
  <c r="BF28" i="5"/>
  <c r="AU82" i="5"/>
  <c r="AV82" i="5" s="1"/>
  <c r="AY82" i="5" s="1"/>
  <c r="BM28" i="5"/>
  <c r="BM137" i="5"/>
  <c r="BF173" i="5"/>
  <c r="BC173" i="5"/>
  <c r="BC72" i="5"/>
  <c r="BF72" i="5"/>
  <c r="BD72" i="5"/>
  <c r="AU11" i="5"/>
  <c r="AV11" i="5" s="1"/>
  <c r="AY11" i="5" s="1"/>
  <c r="BM140" i="5"/>
  <c r="BC140" i="5"/>
  <c r="BF140" i="5"/>
  <c r="BM173" i="5"/>
  <c r="BD140" i="5"/>
  <c r="BD137" i="5"/>
  <c r="BC137" i="5"/>
  <c r="BM3" i="5"/>
  <c r="BD3" i="5"/>
  <c r="BC3" i="5"/>
  <c r="BF3" i="5"/>
  <c r="AU33" i="5"/>
  <c r="AV33" i="5" s="1"/>
  <c r="AY33" i="5" s="1"/>
  <c r="AU159" i="5"/>
  <c r="AV159" i="5" s="1"/>
  <c r="AY159" i="5" s="1"/>
  <c r="AU104" i="5"/>
  <c r="AV104" i="5" s="1"/>
  <c r="AY104" i="5" s="1"/>
  <c r="AU4" i="5"/>
  <c r="AV4" i="5" s="1"/>
  <c r="AY4" i="5" s="1"/>
  <c r="AU99" i="5"/>
  <c r="AV99" i="5" s="1"/>
  <c r="AY99" i="5" s="1"/>
  <c r="AU22" i="5"/>
  <c r="AV22" i="5" s="1"/>
  <c r="AY22" i="5" s="1"/>
  <c r="AU62" i="5"/>
  <c r="AV62" i="5" s="1"/>
  <c r="AY62" i="5" s="1"/>
  <c r="AU69" i="5"/>
  <c r="AV69" i="5" s="1"/>
  <c r="AY69" i="5" s="1"/>
  <c r="AU162" i="5"/>
  <c r="AV162" i="5" s="1"/>
  <c r="AY162" i="5" s="1"/>
  <c r="BF138" i="5"/>
  <c r="BM138" i="5"/>
  <c r="BC138" i="5"/>
  <c r="BD138" i="5"/>
  <c r="BC104" i="5"/>
  <c r="BF104" i="5"/>
  <c r="BD104" i="5"/>
  <c r="BM104" i="5"/>
  <c r="BM130" i="5"/>
  <c r="BF130" i="5"/>
  <c r="BD130" i="5"/>
  <c r="BC130" i="5"/>
  <c r="BD4" i="5"/>
  <c r="BF4" i="5"/>
  <c r="BC4" i="5"/>
  <c r="BM4" i="5"/>
  <c r="BM22" i="5"/>
  <c r="BD22" i="5"/>
  <c r="BC22" i="5"/>
  <c r="BF22" i="5"/>
  <c r="BF78" i="5"/>
  <c r="BC78" i="5"/>
  <c r="BM78" i="5"/>
  <c r="BD78" i="5"/>
  <c r="BM62" i="5"/>
  <c r="BF62" i="5"/>
  <c r="BC62" i="5"/>
  <c r="BD62" i="5"/>
  <c r="BM200" i="5"/>
  <c r="BC200" i="5"/>
  <c r="BF200" i="5"/>
  <c r="BD200" i="5"/>
  <c r="BF99" i="5"/>
  <c r="BM99" i="5"/>
  <c r="BD99" i="5"/>
  <c r="BC99" i="5"/>
  <c r="BD85" i="5"/>
  <c r="BM85" i="5"/>
  <c r="BC85" i="5"/>
  <c r="BF85" i="5"/>
  <c r="BM180" i="5"/>
  <c r="BC180" i="5"/>
  <c r="BF180" i="5"/>
  <c r="BD180" i="5"/>
  <c r="BF117" i="5"/>
  <c r="BD117" i="5"/>
  <c r="BM117" i="5"/>
  <c r="BC117" i="5"/>
  <c r="BM25" i="5"/>
  <c r="BD25" i="5"/>
  <c r="BF25" i="5"/>
  <c r="BC25" i="5"/>
  <c r="BM190" i="5"/>
  <c r="BD190" i="5"/>
  <c r="BC190" i="5"/>
  <c r="BF190" i="5"/>
  <c r="AM191" i="5"/>
  <c r="AE191" i="5"/>
  <c r="AE100" i="5"/>
  <c r="AM100" i="5"/>
  <c r="AM113" i="5"/>
  <c r="AE113" i="5"/>
  <c r="AE92" i="5"/>
  <c r="AT144" i="5"/>
  <c r="AM187" i="5"/>
  <c r="AT116" i="5"/>
  <c r="AE15" i="5"/>
  <c r="AT63" i="5"/>
  <c r="AE73" i="5"/>
  <c r="AM108" i="5"/>
  <c r="AM194" i="5"/>
  <c r="AE55" i="5"/>
  <c r="AE172" i="5"/>
  <c r="AM153" i="5"/>
  <c r="AE128" i="5"/>
  <c r="AM171" i="5"/>
  <c r="AM12" i="5"/>
  <c r="AM53" i="5"/>
  <c r="AM174" i="5"/>
  <c r="AM36" i="5"/>
  <c r="AT46" i="5"/>
  <c r="AE146" i="5"/>
  <c r="AT124" i="5"/>
  <c r="AT129" i="5"/>
  <c r="AT71" i="5"/>
  <c r="AM35" i="5"/>
  <c r="AM195" i="5"/>
  <c r="AM50" i="5"/>
  <c r="AT96" i="5"/>
  <c r="AT220" i="5"/>
  <c r="AM77" i="5"/>
  <c r="AM71" i="5"/>
  <c r="AE71" i="5"/>
  <c r="AE144" i="5"/>
  <c r="AT190" i="5"/>
  <c r="AM9" i="5"/>
  <c r="AM72" i="5"/>
  <c r="AE72" i="5"/>
  <c r="AE22" i="5"/>
  <c r="AM22" i="5"/>
  <c r="AM92" i="5"/>
  <c r="AE187" i="5"/>
  <c r="AT101" i="5"/>
  <c r="AM46" i="5"/>
  <c r="AM170" i="5"/>
  <c r="AM169" i="5"/>
  <c r="AM6" i="5"/>
  <c r="AE108" i="5"/>
  <c r="AM30" i="5"/>
  <c r="AM98" i="5"/>
  <c r="AT66" i="5"/>
  <c r="AE112" i="5"/>
  <c r="AE154" i="5"/>
  <c r="AE171" i="5"/>
  <c r="AM86" i="5"/>
  <c r="AE53" i="5"/>
  <c r="AM147" i="5"/>
  <c r="AM165" i="5"/>
  <c r="AT55" i="5"/>
  <c r="AM146" i="5"/>
  <c r="AT64" i="5"/>
  <c r="AE140" i="5"/>
  <c r="AM7" i="5"/>
  <c r="AE211" i="5"/>
  <c r="AE26" i="5"/>
  <c r="AM26" i="5"/>
  <c r="AM160" i="5"/>
  <c r="AE160" i="5"/>
  <c r="AM144" i="5"/>
  <c r="AE217" i="5"/>
  <c r="AT52" i="5"/>
  <c r="AE9" i="5"/>
  <c r="AM51" i="5"/>
  <c r="AE51" i="5"/>
  <c r="AE63" i="5"/>
  <c r="AE153" i="5"/>
  <c r="AT106" i="5"/>
  <c r="AE157" i="5"/>
  <c r="AM157" i="5"/>
  <c r="AE145" i="5"/>
  <c r="AT92" i="5"/>
  <c r="AT84" i="5"/>
  <c r="AM18" i="5"/>
  <c r="AE46" i="5"/>
  <c r="AE170" i="5"/>
  <c r="AE202" i="5"/>
  <c r="AE169" i="5"/>
  <c r="AE6" i="5"/>
  <c r="AT77" i="5"/>
  <c r="AE30" i="5"/>
  <c r="AE98" i="5"/>
  <c r="AE32" i="5"/>
  <c r="AM112" i="5"/>
  <c r="AM154" i="5"/>
  <c r="AE175" i="5"/>
  <c r="AE86" i="5"/>
  <c r="AE147" i="5"/>
  <c r="AE165" i="5"/>
  <c r="AT53" i="5"/>
  <c r="AE192" i="5"/>
  <c r="AT175" i="5"/>
  <c r="AT172" i="5"/>
  <c r="AM93" i="5"/>
  <c r="AE93" i="5"/>
  <c r="AM27" i="5"/>
  <c r="AE176" i="5"/>
  <c r="AT133" i="5"/>
  <c r="AM63" i="5"/>
  <c r="AE109" i="5"/>
  <c r="AM127" i="5"/>
  <c r="AT156" i="5"/>
  <c r="AM116" i="5"/>
  <c r="AE194" i="5"/>
  <c r="AE174" i="5"/>
  <c r="AM2" i="5"/>
  <c r="AE182" i="5"/>
  <c r="AM182" i="5"/>
  <c r="AE125" i="5"/>
  <c r="AM125" i="5"/>
  <c r="AM145" i="5"/>
  <c r="AT193" i="5"/>
  <c r="AE18" i="5"/>
  <c r="AT35" i="5"/>
  <c r="AE224" i="5"/>
  <c r="AM202" i="5"/>
  <c r="AM5" i="5"/>
  <c r="AT6" i="5"/>
  <c r="AE181" i="5"/>
  <c r="AM141" i="5"/>
  <c r="AM32" i="5"/>
  <c r="AM162" i="5"/>
  <c r="AE189" i="5"/>
  <c r="AM175" i="5"/>
  <c r="AT54" i="5"/>
  <c r="AM106" i="5"/>
  <c r="AM192" i="5"/>
  <c r="AT130" i="5"/>
  <c r="AT103" i="5"/>
  <c r="AT107" i="5"/>
  <c r="AT75" i="5"/>
  <c r="AM111" i="5"/>
  <c r="AM28" i="5"/>
  <c r="AM55" i="5"/>
  <c r="AM74" i="5"/>
  <c r="AE74" i="5"/>
  <c r="AM123" i="5"/>
  <c r="AE123" i="5"/>
  <c r="AT215" i="5"/>
  <c r="AE124" i="5"/>
  <c r="AE184" i="5"/>
  <c r="AM52" i="5"/>
  <c r="AM224" i="5"/>
  <c r="AT160" i="5"/>
  <c r="AE5" i="5"/>
  <c r="AE163" i="5"/>
  <c r="AT109" i="5"/>
  <c r="AT187" i="5"/>
  <c r="AM181" i="5"/>
  <c r="AE141" i="5"/>
  <c r="AE133" i="5"/>
  <c r="AE162" i="5"/>
  <c r="AM189" i="5"/>
  <c r="AM44" i="5"/>
  <c r="AE70" i="5"/>
  <c r="AM206" i="5"/>
  <c r="AE106" i="5"/>
  <c r="AT95" i="5"/>
  <c r="AE103" i="5"/>
  <c r="AT60" i="5"/>
  <c r="AT206" i="5"/>
  <c r="AT87" i="5"/>
  <c r="AE83" i="5"/>
  <c r="AE54" i="5"/>
  <c r="AT86" i="5"/>
  <c r="AT192" i="5"/>
  <c r="AT179" i="5"/>
  <c r="AE28" i="5"/>
  <c r="AT202" i="5"/>
  <c r="AM24" i="5"/>
  <c r="AE24" i="5"/>
  <c r="AM3" i="5"/>
  <c r="AE3" i="5"/>
  <c r="AM223" i="5"/>
  <c r="AE223" i="5"/>
  <c r="AM10" i="5"/>
  <c r="AE10" i="5"/>
  <c r="AM90" i="5"/>
  <c r="AE90" i="5"/>
  <c r="AM134" i="5"/>
  <c r="AE134" i="5"/>
  <c r="AM210" i="5"/>
  <c r="AM124" i="5"/>
  <c r="AM184" i="5"/>
  <c r="AE52" i="5"/>
  <c r="AE164" i="5"/>
  <c r="AT5" i="5"/>
  <c r="AM163" i="5"/>
  <c r="AM221" i="5"/>
  <c r="AM83" i="5"/>
  <c r="AT170" i="5"/>
  <c r="AE27" i="5"/>
  <c r="AM133" i="5"/>
  <c r="AE195" i="5"/>
  <c r="AT199" i="5"/>
  <c r="AE44" i="5"/>
  <c r="AE135" i="5"/>
  <c r="AM70" i="5"/>
  <c r="AE206" i="5"/>
  <c r="AM176" i="5"/>
  <c r="AM16" i="5"/>
  <c r="AM103" i="5"/>
  <c r="AT65" i="5"/>
  <c r="AT210" i="5"/>
  <c r="AE16" i="5"/>
  <c r="AE77" i="5"/>
  <c r="AM128" i="5"/>
  <c r="AE186" i="5"/>
  <c r="AM186" i="5"/>
  <c r="AE65" i="5"/>
  <c r="AM65" i="5"/>
  <c r="AE156" i="5"/>
  <c r="AM156" i="5"/>
  <c r="AE82" i="5"/>
  <c r="AM82" i="5"/>
  <c r="AE210" i="5"/>
  <c r="AM87" i="5"/>
  <c r="AE138" i="5"/>
  <c r="AT152" i="5"/>
  <c r="AM164" i="5"/>
  <c r="AE221" i="5"/>
  <c r="AM135" i="5"/>
  <c r="AE61" i="5"/>
  <c r="AM198" i="5"/>
  <c r="AE222" i="5"/>
  <c r="AM222" i="5"/>
  <c r="AT140" i="5"/>
  <c r="AT136" i="5"/>
  <c r="AT147" i="5"/>
  <c r="AE167" i="5"/>
  <c r="AM167" i="5"/>
  <c r="AE110" i="5"/>
  <c r="AM110" i="5"/>
  <c r="AE94" i="5"/>
  <c r="AM94" i="5"/>
  <c r="AM62" i="5"/>
  <c r="AE62" i="5"/>
  <c r="AE107" i="5"/>
  <c r="AM107" i="5"/>
  <c r="AE161" i="5"/>
  <c r="AE87" i="5"/>
  <c r="AM138" i="5"/>
  <c r="AT40" i="5"/>
  <c r="AM105" i="5"/>
  <c r="AE25" i="5"/>
  <c r="AM140" i="5"/>
  <c r="AM130" i="5"/>
  <c r="AE35" i="5"/>
  <c r="AM66" i="5"/>
  <c r="AM136" i="5"/>
  <c r="AE7" i="5"/>
  <c r="AE213" i="5"/>
  <c r="AE80" i="5"/>
  <c r="AM54" i="5"/>
  <c r="AM211" i="5"/>
  <c r="AE50" i="5"/>
  <c r="AM185" i="5"/>
  <c r="AM8" i="5"/>
  <c r="AT16" i="5"/>
  <c r="AT79" i="5"/>
  <c r="AM219" i="5"/>
  <c r="AE219" i="5"/>
  <c r="AM23" i="5"/>
  <c r="AE23" i="5"/>
  <c r="AE116" i="5"/>
  <c r="AM120" i="5"/>
  <c r="AT20" i="5"/>
  <c r="AE193" i="5"/>
  <c r="AM193" i="5"/>
  <c r="AE101" i="5"/>
  <c r="AM101" i="5"/>
  <c r="AE57" i="5"/>
  <c r="AM57" i="5"/>
  <c r="AE41" i="5"/>
  <c r="AM41" i="5"/>
  <c r="AE21" i="5"/>
  <c r="AM21" i="5"/>
  <c r="AM64" i="5"/>
  <c r="AE64" i="5"/>
  <c r="AE47" i="5"/>
  <c r="AM47" i="5"/>
  <c r="AE121" i="5"/>
  <c r="AM121" i="5"/>
  <c r="AM161" i="5"/>
  <c r="AE95" i="5"/>
  <c r="AM75" i="5"/>
  <c r="AT154" i="5"/>
  <c r="AE190" i="5"/>
  <c r="AE105" i="5"/>
  <c r="AM25" i="5"/>
  <c r="AM199" i="5"/>
  <c r="AE130" i="5"/>
  <c r="AE66" i="5"/>
  <c r="AE136" i="5"/>
  <c r="AT145" i="5"/>
  <c r="AM213" i="5"/>
  <c r="AT73" i="5"/>
  <c r="AM80" i="5"/>
  <c r="AE2" i="5"/>
  <c r="AT98" i="5"/>
  <c r="AT105" i="5"/>
  <c r="AE185" i="5"/>
  <c r="AE8" i="5"/>
  <c r="AM20" i="5"/>
  <c r="AM158" i="5"/>
  <c r="AT169" i="5"/>
  <c r="AM73" i="5"/>
  <c r="AE12" i="5"/>
  <c r="AM19" i="5"/>
  <c r="AE19" i="5"/>
  <c r="AM14" i="5"/>
  <c r="AE14" i="5"/>
  <c r="AM203" i="5"/>
  <c r="AE203" i="5"/>
  <c r="AE34" i="5"/>
  <c r="AM34" i="5"/>
  <c r="AE48" i="5"/>
  <c r="AM48" i="5"/>
  <c r="AT161" i="5"/>
  <c r="AM95" i="5"/>
  <c r="AE75" i="5"/>
  <c r="AT163" i="5"/>
  <c r="AM190" i="5"/>
  <c r="AE199" i="5"/>
  <c r="AM217" i="5"/>
  <c r="AE120" i="5"/>
  <c r="AM61" i="5"/>
  <c r="AM109" i="5"/>
  <c r="AT120" i="5"/>
  <c r="AE111" i="5"/>
  <c r="AT49" i="5"/>
  <c r="AE158" i="5"/>
  <c r="AT27" i="5"/>
  <c r="AE79" i="5"/>
  <c r="AT83" i="5"/>
  <c r="AE127" i="5"/>
  <c r="AT138" i="5"/>
  <c r="AE198" i="5"/>
  <c r="AE20" i="5"/>
  <c r="AE197" i="5"/>
  <c r="AM197" i="5"/>
  <c r="AT25" i="5"/>
  <c r="AM79" i="5"/>
  <c r="AE201" i="5"/>
  <c r="AM201" i="5"/>
  <c r="AM15" i="5"/>
  <c r="AM172" i="5"/>
  <c r="AE36" i="5"/>
  <c r="AF36" i="5" l="1"/>
  <c r="AN172" i="5"/>
  <c r="AN15" i="5"/>
  <c r="AN201" i="5"/>
  <c r="AF201" i="5"/>
  <c r="AN79" i="5"/>
  <c r="AU25" i="5"/>
  <c r="AV25" i="5" s="1"/>
  <c r="AY25" i="5" s="1"/>
  <c r="AN197" i="5"/>
  <c r="AF197" i="5"/>
  <c r="AF20" i="5"/>
  <c r="AF198" i="5"/>
  <c r="AU138" i="5"/>
  <c r="AV138" i="5" s="1"/>
  <c r="AY138" i="5" s="1"/>
  <c r="AF127" i="5"/>
  <c r="AU83" i="5"/>
  <c r="AV83" i="5" s="1"/>
  <c r="AY83" i="5" s="1"/>
  <c r="AF79" i="5"/>
  <c r="AU27" i="5"/>
  <c r="AV27" i="5" s="1"/>
  <c r="AY27" i="5" s="1"/>
  <c r="AF158" i="5"/>
  <c r="AU49" i="5"/>
  <c r="AV49" i="5" s="1"/>
  <c r="AY49" i="5" s="1"/>
  <c r="AF111" i="5"/>
  <c r="AU120" i="5"/>
  <c r="AV120" i="5" s="1"/>
  <c r="AY120" i="5" s="1"/>
  <c r="AN109" i="5"/>
  <c r="AN61" i="5"/>
  <c r="AF120" i="5"/>
  <c r="AN217" i="5"/>
  <c r="AF199" i="5"/>
  <c r="AN190" i="5"/>
  <c r="AU163" i="5"/>
  <c r="AV163" i="5" s="1"/>
  <c r="AY163" i="5" s="1"/>
  <c r="AF75" i="5"/>
  <c r="AN95" i="5"/>
  <c r="AU161" i="5"/>
  <c r="AV161" i="5" s="1"/>
  <c r="AY161" i="5" s="1"/>
  <c r="AN48" i="5"/>
  <c r="AF48" i="5"/>
  <c r="AN34" i="5"/>
  <c r="AF34" i="5"/>
  <c r="AF203" i="5"/>
  <c r="AN203" i="5"/>
  <c r="AF14" i="5"/>
  <c r="AN14" i="5"/>
  <c r="AF19" i="5"/>
  <c r="AN19" i="5"/>
  <c r="AF12" i="5"/>
  <c r="AN73" i="5"/>
  <c r="AN158" i="5"/>
  <c r="AN20" i="5"/>
  <c r="AF8" i="5"/>
  <c r="AF185" i="5"/>
  <c r="AU105" i="5"/>
  <c r="AV105" i="5" s="1"/>
  <c r="AY105" i="5" s="1"/>
  <c r="AU98" i="5"/>
  <c r="AV98" i="5" s="1"/>
  <c r="AY98" i="5" s="1"/>
  <c r="AF2" i="5"/>
  <c r="AN80" i="5"/>
  <c r="AU73" i="5"/>
  <c r="AV73" i="5" s="1"/>
  <c r="AY73" i="5" s="1"/>
  <c r="AN213" i="5"/>
  <c r="AU145" i="5"/>
  <c r="AV145" i="5" s="1"/>
  <c r="AY145" i="5" s="1"/>
  <c r="AF136" i="5"/>
  <c r="AF66" i="5"/>
  <c r="AF130" i="5"/>
  <c r="AN199" i="5"/>
  <c r="AN25" i="5"/>
  <c r="AF105" i="5"/>
  <c r="AF190" i="5"/>
  <c r="AU154" i="5"/>
  <c r="AV154" i="5" s="1"/>
  <c r="AY154" i="5" s="1"/>
  <c r="AN75" i="5"/>
  <c r="AF95" i="5"/>
  <c r="AN161" i="5"/>
  <c r="AN121" i="5"/>
  <c r="AF121" i="5"/>
  <c r="AN47" i="5"/>
  <c r="AF47" i="5"/>
  <c r="AF64" i="5"/>
  <c r="AN64" i="5"/>
  <c r="AN21" i="5"/>
  <c r="AF21" i="5"/>
  <c r="AN41" i="5"/>
  <c r="AF41" i="5"/>
  <c r="AN57" i="5"/>
  <c r="AF57" i="5"/>
  <c r="AN101" i="5"/>
  <c r="AF101" i="5"/>
  <c r="AN193" i="5"/>
  <c r="AF193" i="5"/>
  <c r="AN120" i="5"/>
  <c r="AF116" i="5"/>
  <c r="AF23" i="5"/>
  <c r="AN23" i="5"/>
  <c r="AF219" i="5"/>
  <c r="AN219" i="5"/>
  <c r="AU16" i="5"/>
  <c r="AV16" i="5" s="1"/>
  <c r="AY16" i="5" s="1"/>
  <c r="AN8" i="5"/>
  <c r="AN185" i="5"/>
  <c r="AF50" i="5"/>
  <c r="AN211" i="5"/>
  <c r="AN54" i="5"/>
  <c r="AF80" i="5"/>
  <c r="AF213" i="5"/>
  <c r="AF7" i="5"/>
  <c r="AN136" i="5"/>
  <c r="AN66" i="5"/>
  <c r="AF35" i="5"/>
  <c r="AN130" i="5"/>
  <c r="AN140" i="5"/>
  <c r="AF25" i="5"/>
  <c r="AN105" i="5"/>
  <c r="AU40" i="5"/>
  <c r="AV40" i="5" s="1"/>
  <c r="AY40" i="5" s="1"/>
  <c r="AN138" i="5"/>
  <c r="AF87" i="5"/>
  <c r="AF161" i="5"/>
  <c r="AN107" i="5"/>
  <c r="AF107" i="5"/>
  <c r="AF62" i="5"/>
  <c r="AN62" i="5"/>
  <c r="AN94" i="5"/>
  <c r="AF94" i="5"/>
  <c r="AN110" i="5"/>
  <c r="AF110" i="5"/>
  <c r="AN167" i="5"/>
  <c r="AF167" i="5"/>
  <c r="AU136" i="5"/>
  <c r="AV136" i="5" s="1"/>
  <c r="AY136" i="5" s="1"/>
  <c r="AU140" i="5"/>
  <c r="AV140" i="5" s="1"/>
  <c r="AY140" i="5" s="1"/>
  <c r="AN222" i="5"/>
  <c r="AF222" i="5"/>
  <c r="AN198" i="5"/>
  <c r="AF61" i="5"/>
  <c r="AN135" i="5"/>
  <c r="AF221" i="5"/>
  <c r="AN164" i="5"/>
  <c r="AU152" i="5"/>
  <c r="AV152" i="5" s="1"/>
  <c r="AY152" i="5" s="1"/>
  <c r="AF138" i="5"/>
  <c r="AN87" i="5"/>
  <c r="AF210" i="5"/>
  <c r="AN82" i="5"/>
  <c r="AF82" i="5"/>
  <c r="AN156" i="5"/>
  <c r="AF156" i="5"/>
  <c r="AN65" i="5"/>
  <c r="AF65" i="5"/>
  <c r="AN186" i="5"/>
  <c r="AF186" i="5"/>
  <c r="AN128" i="5"/>
  <c r="AF77" i="5"/>
  <c r="AF16" i="5"/>
  <c r="AU210" i="5"/>
  <c r="AV210" i="5" s="1"/>
  <c r="AY210" i="5" s="1"/>
  <c r="AN103" i="5"/>
  <c r="AN16" i="5"/>
  <c r="AN176" i="5"/>
  <c r="AF206" i="5"/>
  <c r="AN70" i="5"/>
  <c r="AF135" i="5"/>
  <c r="AF44" i="5"/>
  <c r="AU199" i="5"/>
  <c r="AV199" i="5" s="1"/>
  <c r="AY199" i="5" s="1"/>
  <c r="AF195" i="5"/>
  <c r="AN133" i="5"/>
  <c r="AF27" i="5"/>
  <c r="AU170" i="5"/>
  <c r="AV170" i="5" s="1"/>
  <c r="AY170" i="5" s="1"/>
  <c r="AN83" i="5"/>
  <c r="AN221" i="5"/>
  <c r="AN163" i="5"/>
  <c r="AU5" i="5"/>
  <c r="AV5" i="5" s="1"/>
  <c r="AY5" i="5" s="1"/>
  <c r="AF164" i="5"/>
  <c r="AF52" i="5"/>
  <c r="AN184" i="5"/>
  <c r="AN124" i="5"/>
  <c r="AN210" i="5"/>
  <c r="AF134" i="5"/>
  <c r="AN134" i="5"/>
  <c r="AF90" i="5"/>
  <c r="AN90" i="5"/>
  <c r="AF10" i="5"/>
  <c r="AN10" i="5"/>
  <c r="AF223" i="5"/>
  <c r="AN223" i="5"/>
  <c r="AF3" i="5"/>
  <c r="AN3" i="5"/>
  <c r="AF24" i="5"/>
  <c r="AN24" i="5"/>
  <c r="AU202" i="5"/>
  <c r="AV202" i="5" s="1"/>
  <c r="AY202" i="5" s="1"/>
  <c r="AF28" i="5"/>
  <c r="AU86" i="5"/>
  <c r="AV86" i="5" s="1"/>
  <c r="AY86" i="5" s="1"/>
  <c r="AF54" i="5"/>
  <c r="AF83" i="5"/>
  <c r="AU87" i="5"/>
  <c r="AV87" i="5" s="1"/>
  <c r="AY87" i="5" s="1"/>
  <c r="AF103" i="5"/>
  <c r="AU95" i="5"/>
  <c r="AV95" i="5" s="1"/>
  <c r="AY95" i="5" s="1"/>
  <c r="AF106" i="5"/>
  <c r="AN206" i="5"/>
  <c r="AF70" i="5"/>
  <c r="AN44" i="5"/>
  <c r="AN189" i="5"/>
  <c r="AF162" i="5"/>
  <c r="AF133" i="5"/>
  <c r="AF141" i="5"/>
  <c r="AN181" i="5"/>
  <c r="AU187" i="5"/>
  <c r="AV187" i="5" s="1"/>
  <c r="AY187" i="5" s="1"/>
  <c r="AU109" i="5"/>
  <c r="AV109" i="5" s="1"/>
  <c r="AY109" i="5" s="1"/>
  <c r="AF163" i="5"/>
  <c r="AF5" i="5"/>
  <c r="AU160" i="5"/>
  <c r="AV160" i="5" s="1"/>
  <c r="AY160" i="5" s="1"/>
  <c r="AN224" i="5"/>
  <c r="AN52" i="5"/>
  <c r="AF184" i="5"/>
  <c r="AF124" i="5"/>
  <c r="AU215" i="5"/>
  <c r="AV215" i="5" s="1"/>
  <c r="AY215" i="5" s="1"/>
  <c r="AF123" i="5"/>
  <c r="AN123" i="5"/>
  <c r="AF74" i="5"/>
  <c r="AN74" i="5"/>
  <c r="AN55" i="5"/>
  <c r="AN28" i="5"/>
  <c r="AN111" i="5"/>
  <c r="AU75" i="5"/>
  <c r="AV75" i="5" s="1"/>
  <c r="AY75" i="5" s="1"/>
  <c r="AU107" i="5"/>
  <c r="AV107" i="5" s="1"/>
  <c r="AY107" i="5" s="1"/>
  <c r="AN192" i="5"/>
  <c r="AN106" i="5"/>
  <c r="AU54" i="5"/>
  <c r="AV54" i="5" s="1"/>
  <c r="AY54" i="5" s="1"/>
  <c r="AN175" i="5"/>
  <c r="AF189" i="5"/>
  <c r="AN162" i="5"/>
  <c r="AN32" i="5"/>
  <c r="AN141" i="5"/>
  <c r="AF181" i="5"/>
  <c r="AU6" i="5"/>
  <c r="AV6" i="5" s="1"/>
  <c r="AY6" i="5" s="1"/>
  <c r="AN5" i="5"/>
  <c r="AN202" i="5"/>
  <c r="AF224" i="5"/>
  <c r="AU35" i="5"/>
  <c r="AV35" i="5" s="1"/>
  <c r="AY35" i="5" s="1"/>
  <c r="AF18" i="5"/>
  <c r="AU193" i="5"/>
  <c r="AV193" i="5" s="1"/>
  <c r="AY193" i="5" s="1"/>
  <c r="AN145" i="5"/>
  <c r="AN125" i="5"/>
  <c r="AF125" i="5"/>
  <c r="AN182" i="5"/>
  <c r="AF182" i="5"/>
  <c r="AN2" i="5"/>
  <c r="AF174" i="5"/>
  <c r="AF194" i="5"/>
  <c r="AN116" i="5"/>
  <c r="AN127" i="5"/>
  <c r="AF109" i="5"/>
  <c r="AN63" i="5"/>
  <c r="AF176" i="5"/>
  <c r="AN27" i="5"/>
  <c r="AF93" i="5"/>
  <c r="AN93" i="5"/>
  <c r="AF192" i="5"/>
  <c r="AU53" i="5"/>
  <c r="AV53" i="5" s="1"/>
  <c r="AY53" i="5" s="1"/>
  <c r="AF165" i="5"/>
  <c r="AF147" i="5"/>
  <c r="AF86" i="5"/>
  <c r="AF175" i="5"/>
  <c r="AN154" i="5"/>
  <c r="AN112" i="5"/>
  <c r="AF32" i="5"/>
  <c r="AF98" i="5"/>
  <c r="AF30" i="5"/>
  <c r="AU77" i="5"/>
  <c r="AV77" i="5" s="1"/>
  <c r="AY77" i="5" s="1"/>
  <c r="AF6" i="5"/>
  <c r="AF169" i="5"/>
  <c r="AF202" i="5"/>
  <c r="AF170" i="5"/>
  <c r="AF46" i="5"/>
  <c r="AN18" i="5"/>
  <c r="AU84" i="5"/>
  <c r="AV84" i="5" s="1"/>
  <c r="AY84" i="5" s="1"/>
  <c r="AU92" i="5"/>
  <c r="AV92" i="5" s="1"/>
  <c r="AY92" i="5" s="1"/>
  <c r="AF145" i="5"/>
  <c r="AN157" i="5"/>
  <c r="AF157" i="5"/>
  <c r="AU106" i="5"/>
  <c r="AV106" i="5" s="1"/>
  <c r="AY106" i="5" s="1"/>
  <c r="AF153" i="5"/>
  <c r="AF63" i="5"/>
  <c r="AF51" i="5"/>
  <c r="AN51" i="5"/>
  <c r="AF9" i="5"/>
  <c r="AU52" i="5"/>
  <c r="AV52" i="5" s="1"/>
  <c r="AY52" i="5" s="1"/>
  <c r="AF217" i="5"/>
  <c r="AN144" i="5"/>
  <c r="AF160" i="5"/>
  <c r="AN160" i="5"/>
  <c r="AN26" i="5"/>
  <c r="AF26" i="5"/>
  <c r="AF211" i="5"/>
  <c r="AN7" i="5"/>
  <c r="AF140" i="5"/>
  <c r="AN146" i="5"/>
  <c r="AU55" i="5"/>
  <c r="AV55" i="5" s="1"/>
  <c r="AY55" i="5" s="1"/>
  <c r="AN165" i="5"/>
  <c r="AN147" i="5"/>
  <c r="AF53" i="5"/>
  <c r="AN86" i="5"/>
  <c r="AF171" i="5"/>
  <c r="AF154" i="5"/>
  <c r="AF112" i="5"/>
  <c r="AU66" i="5"/>
  <c r="AV66" i="5" s="1"/>
  <c r="AY66" i="5" s="1"/>
  <c r="AN98" i="5"/>
  <c r="AN30" i="5"/>
  <c r="AF108" i="5"/>
  <c r="AN6" i="5"/>
  <c r="AN169" i="5"/>
  <c r="AN170" i="5"/>
  <c r="AN46" i="5"/>
  <c r="AU101" i="5"/>
  <c r="AV101" i="5" s="1"/>
  <c r="AY101" i="5" s="1"/>
  <c r="AF187" i="5"/>
  <c r="AN92" i="5"/>
  <c r="AN22" i="5"/>
  <c r="AF22" i="5"/>
  <c r="AF72" i="5"/>
  <c r="AN72" i="5"/>
  <c r="AN9" i="5"/>
  <c r="AU190" i="5"/>
  <c r="AV190" i="5" s="1"/>
  <c r="AY190" i="5" s="1"/>
  <c r="AF144" i="5"/>
  <c r="AF71" i="5"/>
  <c r="AN71" i="5"/>
  <c r="AN77" i="5"/>
  <c r="AN50" i="5"/>
  <c r="AN195" i="5"/>
  <c r="AN35" i="5"/>
  <c r="AF146" i="5"/>
  <c r="AU46" i="5"/>
  <c r="AV46" i="5" s="1"/>
  <c r="AY46" i="5" s="1"/>
  <c r="AN36" i="5"/>
  <c r="AN174" i="5"/>
  <c r="AN53" i="5"/>
  <c r="AN12" i="5"/>
  <c r="AN171" i="5"/>
  <c r="AF128" i="5"/>
  <c r="AN153" i="5"/>
  <c r="AF172" i="5"/>
  <c r="AF55" i="5"/>
  <c r="AN194" i="5"/>
  <c r="AN108" i="5"/>
  <c r="AF73" i="5"/>
  <c r="AU63" i="5"/>
  <c r="AV63" i="5" s="1"/>
  <c r="AY63" i="5" s="1"/>
  <c r="AF15" i="5"/>
  <c r="AU116" i="5"/>
  <c r="AV116" i="5" s="1"/>
  <c r="AY116" i="5" s="1"/>
  <c r="AN187" i="5"/>
  <c r="AU144" i="5"/>
  <c r="AV144" i="5" s="1"/>
  <c r="AY144" i="5" s="1"/>
  <c r="AF92" i="5"/>
  <c r="AF113" i="5"/>
  <c r="AN113" i="5"/>
  <c r="AN100" i="5"/>
  <c r="AF100" i="5"/>
  <c r="AF191" i="5"/>
  <c r="AN191" i="5"/>
  <c r="AR141" i="5"/>
  <c r="AS141" i="5" s="1"/>
  <c r="BB141" i="5"/>
  <c r="AY188" i="5"/>
  <c r="AR196" i="5"/>
  <c r="AS196" i="5" s="1"/>
  <c r="BB196" i="5"/>
  <c r="AR14" i="5"/>
  <c r="AS14" i="5" s="1"/>
  <c r="BB14" i="5"/>
  <c r="AR12" i="5"/>
  <c r="AS12" i="5" s="1"/>
  <c r="BB12" i="5"/>
  <c r="AR146" i="5"/>
  <c r="AS146" i="5" s="1"/>
  <c r="BB146" i="5"/>
  <c r="BD183" i="5"/>
  <c r="AR201" i="5"/>
  <c r="AS201" i="5" s="1"/>
  <c r="BB201" i="5"/>
  <c r="BB9" i="5"/>
  <c r="AR9" i="5"/>
  <c r="AS9" i="5" s="1"/>
  <c r="AR191" i="5"/>
  <c r="AS191" i="5" s="1"/>
  <c r="BB191" i="5"/>
  <c r="AR139" i="5"/>
  <c r="AS139" i="5" s="1"/>
  <c r="BB139" i="5"/>
  <c r="BB184" i="5"/>
  <c r="AR184" i="5"/>
  <c r="AS184" i="5" s="1"/>
  <c r="AR15" i="5"/>
  <c r="AS15" i="5" s="1"/>
  <c r="BB15" i="5"/>
  <c r="BB105" i="5"/>
  <c r="BF105" i="5" s="1"/>
  <c r="BM183" i="5"/>
  <c r="AY34" i="5"/>
  <c r="BC154" i="5"/>
  <c r="AR18" i="5"/>
  <c r="AS18" i="5" s="1"/>
  <c r="BB18" i="5"/>
  <c r="AR213" i="5"/>
  <c r="AS213" i="5" s="1"/>
  <c r="BB213" i="5"/>
  <c r="AR164" i="5"/>
  <c r="AS164" i="5" s="1"/>
  <c r="BB164" i="5"/>
  <c r="AR181" i="5"/>
  <c r="AS181" i="5" s="1"/>
  <c r="BB181" i="5"/>
  <c r="BB20" i="5"/>
  <c r="AR30" i="5"/>
  <c r="AS30" i="5" s="1"/>
  <c r="BB30" i="5"/>
  <c r="AR214" i="5"/>
  <c r="AS214" i="5" s="1"/>
  <c r="BB214" i="5"/>
  <c r="BB40" i="5"/>
  <c r="BC40" i="5" s="1"/>
  <c r="BC7" i="5"/>
  <c r="BC95" i="5"/>
  <c r="BF95" i="5"/>
  <c r="BD95" i="5"/>
  <c r="BM32" i="5"/>
  <c r="BD32" i="5"/>
  <c r="BF32" i="5"/>
  <c r="BC205" i="5"/>
  <c r="BF205" i="5"/>
  <c r="BD224" i="5"/>
  <c r="BF224" i="5"/>
  <c r="BM224" i="5"/>
  <c r="BC34" i="5"/>
  <c r="BF34" i="5"/>
  <c r="BM34" i="5"/>
  <c r="BD205" i="5"/>
  <c r="BD127" i="5"/>
  <c r="BM215" i="5"/>
  <c r="BC127" i="5"/>
  <c r="BM127" i="5"/>
  <c r="BD119" i="5"/>
  <c r="BM43" i="5"/>
  <c r="BC209" i="5"/>
  <c r="BF43" i="5"/>
  <c r="BM209" i="5"/>
  <c r="BC203" i="5"/>
  <c r="BD209" i="5"/>
  <c r="BC43" i="5"/>
  <c r="AU79" i="5"/>
  <c r="AV79" i="5" s="1"/>
  <c r="AY79" i="5" s="1"/>
  <c r="BF39" i="5"/>
  <c r="BF162" i="5"/>
  <c r="BD162" i="5"/>
  <c r="BF119" i="5"/>
  <c r="BC162" i="5"/>
  <c r="BD215" i="5"/>
  <c r="BM119" i="5"/>
  <c r="BC215" i="5"/>
  <c r="BM160" i="5"/>
  <c r="BF203" i="5"/>
  <c r="BD29" i="5"/>
  <c r="BM29" i="5"/>
  <c r="BF31" i="5"/>
  <c r="BD177" i="5"/>
  <c r="BD186" i="5"/>
  <c r="BD202" i="5"/>
  <c r="BM11" i="5"/>
  <c r="BC110" i="5"/>
  <c r="BM202" i="5"/>
  <c r="BF11" i="5"/>
  <c r="BF202" i="5"/>
  <c r="BD47" i="5"/>
  <c r="BC36" i="5"/>
  <c r="BD33" i="5"/>
  <c r="BC84" i="5"/>
  <c r="BM110" i="5"/>
  <c r="BD110" i="5"/>
  <c r="BF36" i="5"/>
  <c r="BD203" i="5"/>
  <c r="BM47" i="5"/>
  <c r="BM107" i="5"/>
  <c r="BC107" i="5"/>
  <c r="BD107" i="5"/>
  <c r="BF67" i="5"/>
  <c r="BM36" i="5"/>
  <c r="BM67" i="5"/>
  <c r="BM186" i="5"/>
  <c r="BF47" i="5"/>
  <c r="BF29" i="5"/>
  <c r="BF33" i="5"/>
  <c r="BD67" i="5"/>
  <c r="BD11" i="5"/>
  <c r="BM159" i="5"/>
  <c r="BD211" i="5"/>
  <c r="BF177" i="5"/>
  <c r="BM109" i="5"/>
  <c r="BM211" i="5"/>
  <c r="BD159" i="5"/>
  <c r="BC211" i="5"/>
  <c r="BD52" i="5"/>
  <c r="BC31" i="5"/>
  <c r="BC159" i="5"/>
  <c r="BC52" i="5"/>
  <c r="BM33" i="5"/>
  <c r="BF52" i="5"/>
  <c r="BM81" i="5"/>
  <c r="AU179" i="5"/>
  <c r="AV179" i="5" s="1"/>
  <c r="AY179" i="5" s="1"/>
  <c r="BC152" i="5"/>
  <c r="BF152" i="5"/>
  <c r="BD152" i="5"/>
  <c r="BD135" i="5"/>
  <c r="BM135" i="5"/>
  <c r="BM155" i="5"/>
  <c r="BF135" i="5"/>
  <c r="BM177" i="5"/>
  <c r="BF101" i="5"/>
  <c r="BM136" i="5"/>
  <c r="AU156" i="5"/>
  <c r="AV156" i="5" s="1"/>
  <c r="AY156" i="5" s="1"/>
  <c r="BF38" i="5"/>
  <c r="BD39" i="5"/>
  <c r="BD13" i="5"/>
  <c r="BC109" i="5"/>
  <c r="BC57" i="5"/>
  <c r="BD109" i="5"/>
  <c r="BD160" i="5"/>
  <c r="BC174" i="5"/>
  <c r="BM84" i="5"/>
  <c r="BD31" i="5"/>
  <c r="BM38" i="5"/>
  <c r="BF160" i="5"/>
  <c r="BD84" i="5"/>
  <c r="BM74" i="5"/>
  <c r="BF195" i="5"/>
  <c r="BM174" i="5"/>
  <c r="BC81" i="5"/>
  <c r="BC39" i="5"/>
  <c r="BD174" i="5"/>
  <c r="BM134" i="5"/>
  <c r="BC187" i="5"/>
  <c r="AU20" i="5"/>
  <c r="AV20" i="5" s="1"/>
  <c r="AY20" i="5" s="1"/>
  <c r="BF186" i="5"/>
  <c r="BF221" i="5"/>
  <c r="BM53" i="5"/>
  <c r="BD155" i="5"/>
  <c r="BC221" i="5"/>
  <c r="BF155" i="5"/>
  <c r="BD221" i="5"/>
  <c r="AU124" i="5"/>
  <c r="AV124" i="5" s="1"/>
  <c r="AY124" i="5" s="1"/>
  <c r="BD60" i="5"/>
  <c r="AU64" i="5"/>
  <c r="AV64" i="5" s="1"/>
  <c r="AY64" i="5" s="1"/>
  <c r="BC74" i="5"/>
  <c r="BF145" i="5"/>
  <c r="BD68" i="5"/>
  <c r="BM158" i="5"/>
  <c r="BD122" i="5"/>
  <c r="BD81" i="5"/>
  <c r="BM122" i="5"/>
  <c r="BC94" i="5"/>
  <c r="BM68" i="5"/>
  <c r="BM105" i="5"/>
  <c r="BF122" i="5"/>
  <c r="BM195" i="5"/>
  <c r="BC68" i="5"/>
  <c r="BF151" i="5"/>
  <c r="BD195" i="5"/>
  <c r="BD74" i="5"/>
  <c r="BM168" i="5"/>
  <c r="BC53" i="5"/>
  <c r="BD220" i="5"/>
  <c r="BD21" i="5"/>
  <c r="BC38" i="5"/>
  <c r="BC100" i="5"/>
  <c r="BC151" i="5"/>
  <c r="BM220" i="5"/>
  <c r="BF100" i="5"/>
  <c r="BC108" i="5"/>
  <c r="BF158" i="5"/>
  <c r="BC101" i="5"/>
  <c r="BF220" i="5"/>
  <c r="BF60" i="5"/>
  <c r="BC136" i="5"/>
  <c r="BC60" i="5"/>
  <c r="BM151" i="5"/>
  <c r="AU130" i="5"/>
  <c r="AV130" i="5" s="1"/>
  <c r="AY130" i="5" s="1"/>
  <c r="AU175" i="5"/>
  <c r="AV175" i="5" s="1"/>
  <c r="AY175" i="5" s="1"/>
  <c r="BC222" i="5"/>
  <c r="BD223" i="5"/>
  <c r="BF222" i="5"/>
  <c r="BM182" i="5"/>
  <c r="BF42" i="5"/>
  <c r="BM40" i="5"/>
  <c r="BF187" i="5"/>
  <c r="BD94" i="5"/>
  <c r="BM222" i="5"/>
  <c r="BC223" i="5"/>
  <c r="BM163" i="5"/>
  <c r="BC182" i="5"/>
  <c r="BD42" i="5"/>
  <c r="BD57" i="5"/>
  <c r="BM114" i="5"/>
  <c r="BD105" i="5"/>
  <c r="BD187" i="5"/>
  <c r="BM178" i="5"/>
  <c r="BD102" i="5"/>
  <c r="BD114" i="5"/>
  <c r="BD163" i="5"/>
  <c r="BF182" i="5"/>
  <c r="BC114" i="5"/>
  <c r="BC134" i="5"/>
  <c r="BM57" i="5"/>
  <c r="BF163" i="5"/>
  <c r="BF40" i="5"/>
  <c r="BC143" i="5"/>
  <c r="BM100" i="5"/>
  <c r="BM189" i="5"/>
  <c r="BC145" i="5"/>
  <c r="BF168" i="5"/>
  <c r="BC42" i="5"/>
  <c r="BD158" i="5"/>
  <c r="BC189" i="5"/>
  <c r="BM143" i="5"/>
  <c r="BF143" i="5"/>
  <c r="BD189" i="5"/>
  <c r="BC105" i="5"/>
  <c r="BF94" i="5"/>
  <c r="BD145" i="5"/>
  <c r="AU169" i="5"/>
  <c r="AV169" i="5" s="1"/>
  <c r="AY169" i="5" s="1"/>
  <c r="AU133" i="5"/>
  <c r="AV133" i="5" s="1"/>
  <c r="AY133" i="5" s="1"/>
  <c r="AU192" i="5"/>
  <c r="AV192" i="5" s="1"/>
  <c r="AY192" i="5" s="1"/>
  <c r="AU220" i="5"/>
  <c r="AV220" i="5" s="1"/>
  <c r="AY220" i="5" s="1"/>
  <c r="AU96" i="5"/>
  <c r="AV96" i="5" s="1"/>
  <c r="AY96" i="5" s="1"/>
  <c r="AU65" i="5"/>
  <c r="AV65" i="5" s="1"/>
  <c r="AY65" i="5" s="1"/>
  <c r="AU60" i="5"/>
  <c r="AV60" i="5" s="1"/>
  <c r="AY60" i="5" s="1"/>
  <c r="BF76" i="5"/>
  <c r="BC83" i="5"/>
  <c r="BC69" i="5"/>
  <c r="BC76" i="5"/>
  <c r="BD35" i="5"/>
  <c r="BD76" i="5"/>
  <c r="BF176" i="5"/>
  <c r="BM35" i="5"/>
  <c r="BD69" i="5"/>
  <c r="BM169" i="5"/>
  <c r="BC35" i="5"/>
  <c r="BF69" i="5"/>
  <c r="BC21" i="5"/>
  <c r="BM176" i="5"/>
  <c r="BM142" i="5"/>
  <c r="BF178" i="5"/>
  <c r="BC165" i="5"/>
  <c r="BM165" i="5"/>
  <c r="BF165" i="5"/>
  <c r="BD165" i="5"/>
  <c r="BD136" i="5"/>
  <c r="BD142" i="5"/>
  <c r="BF223" i="5"/>
  <c r="BD53" i="5"/>
  <c r="BD169" i="5"/>
  <c r="BD176" i="5"/>
  <c r="BF169" i="5"/>
  <c r="BM21" i="5"/>
  <c r="BC142" i="5"/>
  <c r="BF134" i="5"/>
  <c r="BF83" i="5"/>
  <c r="AU71" i="5"/>
  <c r="AV71" i="5" s="1"/>
  <c r="AY71" i="5" s="1"/>
  <c r="AU129" i="5"/>
  <c r="AV129" i="5" s="1"/>
  <c r="AY129" i="5" s="1"/>
  <c r="AU147" i="5"/>
  <c r="AV147" i="5" s="1"/>
  <c r="AY147" i="5" s="1"/>
  <c r="BD83" i="5"/>
  <c r="BM13" i="5"/>
  <c r="BD178" i="5"/>
  <c r="BD101" i="5"/>
  <c r="BF108" i="5"/>
  <c r="BF102" i="5"/>
  <c r="BF41" i="5"/>
  <c r="BD108" i="5"/>
  <c r="BD168" i="5"/>
  <c r="BM102" i="5"/>
  <c r="BC13" i="5"/>
  <c r="BC41" i="5"/>
  <c r="BM41" i="5"/>
  <c r="AU206" i="5"/>
  <c r="AV206" i="5" s="1"/>
  <c r="AY206" i="5" s="1"/>
  <c r="AU103" i="5"/>
  <c r="AV103" i="5" s="1"/>
  <c r="AY103" i="5" s="1"/>
  <c r="AU172" i="5"/>
  <c r="AV172" i="5" s="1"/>
  <c r="AY172" i="5" s="1"/>
  <c r="BC207" i="5"/>
  <c r="BM207" i="5"/>
  <c r="BD207" i="5"/>
  <c r="AT164" i="5"/>
  <c r="AT146" i="5"/>
  <c r="AT184" i="5"/>
  <c r="AT30" i="5"/>
  <c r="AT214" i="5"/>
  <c r="AT12" i="5"/>
  <c r="AT15" i="5"/>
  <c r="AT181" i="5"/>
  <c r="AT141" i="5"/>
  <c r="AT196" i="5"/>
  <c r="AT18" i="5"/>
  <c r="AT201" i="5"/>
  <c r="AT9" i="5"/>
  <c r="AT191" i="5"/>
  <c r="AT14" i="5"/>
  <c r="AT139" i="5"/>
  <c r="AT213" i="5"/>
  <c r="AU213" i="5" l="1"/>
  <c r="AV213" i="5" s="1"/>
  <c r="AY213" i="5" s="1"/>
  <c r="AU139" i="5"/>
  <c r="AV139" i="5" s="1"/>
  <c r="AY139" i="5" s="1"/>
  <c r="AU14" i="5"/>
  <c r="AV14" i="5" s="1"/>
  <c r="AY14" i="5" s="1"/>
  <c r="AU191" i="5"/>
  <c r="AV191" i="5" s="1"/>
  <c r="AY191" i="5" s="1"/>
  <c r="AU9" i="5"/>
  <c r="AV9" i="5" s="1"/>
  <c r="AY9" i="5" s="1"/>
  <c r="AU201" i="5"/>
  <c r="AV201" i="5" s="1"/>
  <c r="AY201" i="5" s="1"/>
  <c r="AU18" i="5"/>
  <c r="AV18" i="5" s="1"/>
  <c r="AY18" i="5" s="1"/>
  <c r="AU196" i="5"/>
  <c r="AV196" i="5" s="1"/>
  <c r="AY196" i="5" s="1"/>
  <c r="AU141" i="5"/>
  <c r="AV141" i="5" s="1"/>
  <c r="AY141" i="5" s="1"/>
  <c r="AU181" i="5"/>
  <c r="AV181" i="5" s="1"/>
  <c r="AY181" i="5" s="1"/>
  <c r="AU15" i="5"/>
  <c r="AV15" i="5" s="1"/>
  <c r="AY15" i="5" s="1"/>
  <c r="AU12" i="5"/>
  <c r="AV12" i="5" s="1"/>
  <c r="AY12" i="5" s="1"/>
  <c r="AU214" i="5"/>
  <c r="AV214" i="5" s="1"/>
  <c r="AY214" i="5" s="1"/>
  <c r="AU30" i="5"/>
  <c r="AV30" i="5" s="1"/>
  <c r="AY30" i="5" s="1"/>
  <c r="AU184" i="5"/>
  <c r="AV184" i="5" s="1"/>
  <c r="AY184" i="5" s="1"/>
  <c r="AU146" i="5"/>
  <c r="AV146" i="5" s="1"/>
  <c r="AY146" i="5" s="1"/>
  <c r="AU164" i="5"/>
  <c r="AV164" i="5" s="1"/>
  <c r="AY164" i="5" s="1"/>
  <c r="BC14" i="5"/>
  <c r="BF14" i="5"/>
  <c r="BM14" i="5"/>
  <c r="BD14" i="5"/>
  <c r="BC18" i="5"/>
  <c r="BM18" i="5"/>
  <c r="BF18" i="5"/>
  <c r="BD18" i="5"/>
  <c r="BM191" i="5"/>
  <c r="BC191" i="5"/>
  <c r="BD191" i="5"/>
  <c r="BF191" i="5"/>
  <c r="BD9" i="5"/>
  <c r="BC9" i="5"/>
  <c r="BF9" i="5"/>
  <c r="BM9" i="5"/>
  <c r="BM139" i="5"/>
  <c r="BC139" i="5"/>
  <c r="BD139" i="5"/>
  <c r="BF139" i="5"/>
  <c r="BD214" i="5"/>
  <c r="BC214" i="5"/>
  <c r="BM214" i="5"/>
  <c r="BF214" i="5"/>
  <c r="BF196" i="5"/>
  <c r="BM196" i="5"/>
  <c r="BD196" i="5"/>
  <c r="BC196" i="5"/>
  <c r="BC20" i="5"/>
  <c r="BF20" i="5"/>
  <c r="BM20" i="5"/>
  <c r="BD20" i="5"/>
  <c r="BF181" i="5"/>
  <c r="BD181" i="5"/>
  <c r="BM181" i="5"/>
  <c r="BC181" i="5"/>
  <c r="BF15" i="5"/>
  <c r="BC15" i="5"/>
  <c r="BM15" i="5"/>
  <c r="BD15" i="5"/>
  <c r="BD213" i="5"/>
  <c r="BC213" i="5"/>
  <c r="BM213" i="5"/>
  <c r="BF213" i="5"/>
  <c r="BF201" i="5"/>
  <c r="BM201" i="5"/>
  <c r="BD201" i="5"/>
  <c r="BC201" i="5"/>
  <c r="BM146" i="5"/>
  <c r="BD146" i="5"/>
  <c r="BF146" i="5"/>
  <c r="BC146" i="5"/>
  <c r="BC30" i="5"/>
  <c r="BF30" i="5"/>
  <c r="BM30" i="5"/>
  <c r="BD30" i="5"/>
  <c r="BM141" i="5"/>
  <c r="BF141" i="5"/>
  <c r="BD141" i="5"/>
  <c r="BC141" i="5"/>
  <c r="BD40" i="5"/>
  <c r="BC164" i="5"/>
  <c r="BM164" i="5"/>
  <c r="BD164" i="5"/>
  <c r="BF164" i="5"/>
  <c r="BC184" i="5"/>
  <c r="BD184" i="5"/>
  <c r="BM184" i="5"/>
  <c r="BF184" i="5"/>
  <c r="BC12" i="5"/>
  <c r="BF12" i="5"/>
  <c r="BM12" i="5"/>
  <c r="BD12" i="5"/>
</calcChain>
</file>

<file path=xl/sharedStrings.xml><?xml version="1.0" encoding="utf-8"?>
<sst xmlns="http://schemas.openxmlformats.org/spreadsheetml/2006/main" count="915" uniqueCount="366">
  <si>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</si>
  <si>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</si>
  <si>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</si>
  <si>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</si>
  <si>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</si>
  <si>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</si>
  <si>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</si>
  <si>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</si>
  <si>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</si>
  <si>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</si>
  <si>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</si>
  <si>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</si>
  <si>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No</t>
  </si>
  <si>
    <t>G</t>
  </si>
  <si>
    <t>A</t>
  </si>
  <si>
    <t>Pw</t>
  </si>
  <si>
    <t>DH</t>
  </si>
  <si>
    <t>L_DNB</t>
  </si>
  <si>
    <t>q_in</t>
  </si>
  <si>
    <t>Tin</t>
  </si>
  <si>
    <t>Tf</t>
  </si>
  <si>
    <t>f(beta)</t>
  </si>
  <si>
    <t>Re</t>
  </si>
  <si>
    <t>f</t>
  </si>
  <si>
    <t>f_left</t>
  </si>
  <si>
    <t>f_rihgt</t>
  </si>
  <si>
    <t>f_balance</t>
  </si>
  <si>
    <t>DB</t>
  </si>
  <si>
    <t>Tw</t>
  </si>
  <si>
    <t>y_plus</t>
  </si>
  <si>
    <t>Tm</t>
  </si>
  <si>
    <t>Tw_balance</t>
  </si>
  <si>
    <t>y_star</t>
  </si>
  <si>
    <t>tauw</t>
  </si>
  <si>
    <t>Utau</t>
  </si>
  <si>
    <t>y_plus2</t>
  </si>
  <si>
    <t>Q</t>
  </si>
  <si>
    <t>Pr</t>
  </si>
  <si>
    <t>T(y_plus)</t>
  </si>
  <si>
    <t>y_star_balance</t>
  </si>
  <si>
    <t>delta</t>
  </si>
  <si>
    <t>UB</t>
  </si>
  <si>
    <t>LB</t>
  </si>
  <si>
    <t>YB</t>
  </si>
  <si>
    <t>YB_plus</t>
  </si>
  <si>
    <t>Karman_UB</t>
  </si>
  <si>
    <t>UBL</t>
  </si>
  <si>
    <t>UB_left</t>
  </si>
  <si>
    <t>CD</t>
  </si>
  <si>
    <t>UB_right</t>
  </si>
  <si>
    <t>UB_balance</t>
  </si>
  <si>
    <t>HG-HL</t>
  </si>
  <si>
    <t>LB/UB</t>
  </si>
  <si>
    <t>q_P</t>
  </si>
  <si>
    <t>dq_chf</t>
  </si>
  <si>
    <t>dq_ratio</t>
  </si>
  <si>
    <t>q_M</t>
  </si>
  <si>
    <t>PM_ratio</t>
  </si>
  <si>
    <t>F_form</t>
  </si>
  <si>
    <t>x_Mes</t>
  </si>
  <si>
    <t>A_corr</t>
  </si>
  <si>
    <t>σ_corr</t>
  </si>
  <si>
    <t>Fcorr</t>
  </si>
  <si>
    <t>Tsub</t>
  </si>
  <si>
    <t>q_P_MW</t>
  </si>
  <si>
    <t>Tsub2</t>
  </si>
  <si>
    <t>Fcorr2</t>
  </si>
  <si>
    <t>(Tsub-40)^2</t>
  </si>
  <si>
    <t>F2</t>
  </si>
  <si>
    <t>L</t>
  </si>
  <si>
    <t>9.01_10</t>
  </si>
  <si>
    <t>10.01_10</t>
  </si>
  <si>
    <t>11.01_10</t>
  </si>
  <si>
    <t>12.01_10</t>
  </si>
  <si>
    <t>13.01_10</t>
  </si>
  <si>
    <t>14.01_10</t>
  </si>
  <si>
    <t>15.01_10</t>
  </si>
  <si>
    <t>16.01_10</t>
  </si>
  <si>
    <t>17.01_10</t>
  </si>
  <si>
    <t>18.01_10</t>
  </si>
  <si>
    <t>19.01_10</t>
  </si>
  <si>
    <t>20.01_10</t>
  </si>
  <si>
    <t>21.01_10</t>
  </si>
  <si>
    <t>51.01_10</t>
  </si>
  <si>
    <t>52.01_10</t>
  </si>
  <si>
    <t>53.01_10</t>
  </si>
  <si>
    <t>54.01_10</t>
  </si>
  <si>
    <t>55.01_10</t>
  </si>
  <si>
    <t>56.01_10</t>
  </si>
  <si>
    <t>57.01_10</t>
  </si>
  <si>
    <t>58.01_10</t>
  </si>
  <si>
    <t>59.01_10</t>
  </si>
  <si>
    <t>60.01_10</t>
  </si>
  <si>
    <t>61.01_10</t>
  </si>
  <si>
    <t>62.01_10</t>
  </si>
  <si>
    <t>63.01_10</t>
  </si>
  <si>
    <t>64.01_10</t>
  </si>
  <si>
    <t>65.01_10</t>
  </si>
  <si>
    <t>66.01_10</t>
  </si>
  <si>
    <t>67.01_10</t>
  </si>
  <si>
    <t>68.01_10</t>
  </si>
  <si>
    <t>69.01_10</t>
  </si>
  <si>
    <t>70.01_10</t>
  </si>
  <si>
    <t>72.01_10</t>
  </si>
  <si>
    <t>73.01_10</t>
  </si>
  <si>
    <t>74.01_10</t>
  </si>
  <si>
    <t>75.01_10</t>
  </si>
  <si>
    <t>76.01_10</t>
  </si>
  <si>
    <t>129.01_10</t>
  </si>
  <si>
    <t>130.01_10</t>
  </si>
  <si>
    <t>131.01_10</t>
  </si>
  <si>
    <t>132.01_10</t>
  </si>
  <si>
    <t>133.01_10</t>
  </si>
  <si>
    <t>134.01_10</t>
  </si>
  <si>
    <t>135.01_10</t>
  </si>
  <si>
    <t>136.01_10</t>
  </si>
  <si>
    <t>137.01_10</t>
  </si>
  <si>
    <t>138.01_10</t>
  </si>
  <si>
    <t>139.01_10</t>
  </si>
  <si>
    <t>140.01_10</t>
  </si>
  <si>
    <t>141.01_10</t>
  </si>
  <si>
    <t>142.01_10</t>
  </si>
  <si>
    <t>143.01_10</t>
  </si>
  <si>
    <t>144.01_10</t>
  </si>
  <si>
    <t>192.01_10</t>
  </si>
  <si>
    <t>193.01_10</t>
  </si>
  <si>
    <t>194.01_10</t>
  </si>
  <si>
    <t>195.01_10</t>
  </si>
  <si>
    <t>196.01_10</t>
  </si>
  <si>
    <t>197.01_10</t>
  </si>
  <si>
    <t>198.01_10</t>
  </si>
  <si>
    <t>199.01_10</t>
  </si>
  <si>
    <t>200.01_10</t>
  </si>
  <si>
    <t>201.01_10</t>
  </si>
  <si>
    <t>202.01_10</t>
  </si>
  <si>
    <t>203.01_10</t>
  </si>
  <si>
    <t>204.01_10</t>
  </si>
  <si>
    <t>205.01_10</t>
  </si>
  <si>
    <t>206.01_10</t>
  </si>
  <si>
    <t>207.01_10</t>
  </si>
  <si>
    <t>208.01_10</t>
  </si>
  <si>
    <t>209.01_10</t>
  </si>
  <si>
    <t>210.01_10</t>
  </si>
  <si>
    <t>211.01_10</t>
  </si>
  <si>
    <t>212.01_10</t>
  </si>
  <si>
    <t>213.01_10</t>
  </si>
  <si>
    <t>214.01_10</t>
  </si>
  <si>
    <t>215.01_10</t>
  </si>
  <si>
    <t>491.01_10</t>
  </si>
  <si>
    <t>492.01_10</t>
  </si>
  <si>
    <t>493.01_10</t>
  </si>
  <si>
    <t>494.01_10</t>
  </si>
  <si>
    <t>495.01_10</t>
  </si>
  <si>
    <t>496.01_10</t>
  </si>
  <si>
    <t>497.01_10</t>
  </si>
  <si>
    <t>498.01_10</t>
  </si>
  <si>
    <t>86.03_8</t>
  </si>
  <si>
    <t>87.03_8</t>
  </si>
  <si>
    <t>88.03_8</t>
  </si>
  <si>
    <t>89.03_8</t>
  </si>
  <si>
    <t>90.03_8</t>
  </si>
  <si>
    <t>91.03_8</t>
  </si>
  <si>
    <t>92.03_8</t>
  </si>
  <si>
    <t>93.03_8</t>
  </si>
  <si>
    <t>94.03_8</t>
  </si>
  <si>
    <t>95.03_8</t>
  </si>
  <si>
    <t>96.03_8</t>
  </si>
  <si>
    <t>97.03_8</t>
  </si>
  <si>
    <t>98.03_8</t>
  </si>
  <si>
    <t>99.03_8</t>
  </si>
  <si>
    <t>100.03_8</t>
  </si>
  <si>
    <t>101.03_8</t>
  </si>
  <si>
    <t>1.01_9</t>
  </si>
  <si>
    <t>2.01_9</t>
  </si>
  <si>
    <t>3.01_9</t>
  </si>
  <si>
    <t>4.01_9</t>
  </si>
  <si>
    <t>5.01_9</t>
  </si>
  <si>
    <t>6.01_9</t>
  </si>
  <si>
    <t>7.01_9</t>
  </si>
  <si>
    <t>8.01_9</t>
  </si>
  <si>
    <t>9.01_9</t>
  </si>
  <si>
    <t>10.01_9</t>
  </si>
  <si>
    <t>11.01_9</t>
  </si>
  <si>
    <t>12.01_9</t>
  </si>
  <si>
    <t>13.01_9</t>
  </si>
  <si>
    <t>14.01_9</t>
  </si>
  <si>
    <t>15.01_9</t>
  </si>
  <si>
    <t>16.01_9</t>
  </si>
  <si>
    <t>17.01_9</t>
  </si>
  <si>
    <t>18.01_9</t>
  </si>
  <si>
    <t>19.01_9</t>
  </si>
  <si>
    <t>20.01_9</t>
  </si>
  <si>
    <t>21.01_9</t>
  </si>
  <si>
    <t>22.01_9</t>
  </si>
  <si>
    <t>23.01_9</t>
  </si>
  <si>
    <t>24.01_9</t>
  </si>
  <si>
    <t>25.01_9</t>
  </si>
  <si>
    <t>26.01_9</t>
  </si>
  <si>
    <t>27.01_9</t>
  </si>
  <si>
    <t>28.01_9</t>
  </si>
  <si>
    <t>29.01_9</t>
  </si>
  <si>
    <t>30.01_9</t>
  </si>
  <si>
    <t>1.01_11</t>
  </si>
  <si>
    <t>2.01_11</t>
  </si>
  <si>
    <t>3.01_11</t>
  </si>
  <si>
    <t>4.01_11</t>
  </si>
  <si>
    <t>5.01_11</t>
  </si>
  <si>
    <t>6.01_11</t>
  </si>
  <si>
    <t>7.01_11</t>
  </si>
  <si>
    <t>8.01_11</t>
  </si>
  <si>
    <t>9.01_11</t>
  </si>
  <si>
    <t>10.01_11</t>
  </si>
  <si>
    <t>11.01_11</t>
  </si>
  <si>
    <t>12.01_11</t>
  </si>
  <si>
    <t>13.01_11</t>
  </si>
  <si>
    <t>14.01_11</t>
  </si>
  <si>
    <t>15.01_11</t>
  </si>
  <si>
    <t>16.01_11</t>
  </si>
  <si>
    <t>17.01_11</t>
  </si>
  <si>
    <t>18.01_11</t>
  </si>
  <si>
    <t>19.01_11</t>
  </si>
  <si>
    <t>20.01_11</t>
  </si>
  <si>
    <t>21.01_11</t>
  </si>
  <si>
    <t>22.01_11</t>
  </si>
  <si>
    <t>23.01_11</t>
  </si>
  <si>
    <t>24.01_11</t>
  </si>
  <si>
    <t>25.01_11</t>
  </si>
  <si>
    <t>26.01_11</t>
  </si>
  <si>
    <t>27.01_11</t>
  </si>
  <si>
    <t>28.01_11</t>
  </si>
  <si>
    <t>29.01_11</t>
  </si>
  <si>
    <t>30.01_11</t>
  </si>
  <si>
    <t>1.01_12</t>
  </si>
  <si>
    <t>2.01_12</t>
  </si>
  <si>
    <t>3.01_12</t>
  </si>
  <si>
    <t>4.01_12</t>
  </si>
  <si>
    <t>5.01_12</t>
  </si>
  <si>
    <t>6.01_12</t>
  </si>
  <si>
    <t>7.01_12</t>
  </si>
  <si>
    <t>8.01_12</t>
  </si>
  <si>
    <t>9.01_12</t>
  </si>
  <si>
    <t>10.01_12</t>
  </si>
  <si>
    <t>11.01_12</t>
  </si>
  <si>
    <t>12.01_12</t>
  </si>
  <si>
    <t>13.01_12</t>
  </si>
  <si>
    <t>14.01_12</t>
  </si>
  <si>
    <t>15.01_12</t>
  </si>
  <si>
    <t>16.01_12</t>
  </si>
  <si>
    <t>17.01_12</t>
  </si>
  <si>
    <t>18.01_12</t>
  </si>
  <si>
    <t>19.01_12</t>
  </si>
  <si>
    <t>20.01_12</t>
  </si>
  <si>
    <t>21.01_12</t>
  </si>
  <si>
    <t>22.01_12</t>
  </si>
  <si>
    <t>23.01_12</t>
  </si>
  <si>
    <t>24.01_12</t>
  </si>
  <si>
    <t>25.01_12</t>
  </si>
  <si>
    <t>26.01_12</t>
  </si>
  <si>
    <t>27.01_12</t>
  </si>
  <si>
    <t>28.01_12</t>
  </si>
  <si>
    <t>29.01_12</t>
  </si>
  <si>
    <t>30.01_12</t>
  </si>
  <si>
    <t>9.07_13</t>
  </si>
  <si>
    <t>10.07_13</t>
  </si>
  <si>
    <t>1.01_14</t>
  </si>
  <si>
    <t>2.01_14</t>
  </si>
  <si>
    <t>3.01_14</t>
  </si>
  <si>
    <t>4.01_14</t>
  </si>
  <si>
    <t>5.01_14</t>
  </si>
  <si>
    <t>6.01_14</t>
  </si>
  <si>
    <t>7.01_14</t>
  </si>
  <si>
    <t>8.01_14</t>
  </si>
  <si>
    <t>9.01_14</t>
  </si>
  <si>
    <t>10.01_14</t>
  </si>
  <si>
    <t>11.01_14</t>
  </si>
  <si>
    <t>12.01_14</t>
  </si>
  <si>
    <t>13.01_14</t>
  </si>
  <si>
    <t>14.01_14</t>
  </si>
  <si>
    <t>15.01_14</t>
  </si>
  <si>
    <t>16.01_14</t>
  </si>
  <si>
    <t>17.01_14</t>
  </si>
  <si>
    <t>18.01_14</t>
  </si>
  <si>
    <t>19.01_14</t>
  </si>
  <si>
    <t>20.01_14</t>
  </si>
  <si>
    <t>21.01_14</t>
  </si>
  <si>
    <t>22.01_14</t>
  </si>
  <si>
    <t>23.01_14</t>
  </si>
  <si>
    <t>24.01_14</t>
  </si>
  <si>
    <t>25.01_14</t>
  </si>
  <si>
    <t>26.01_14</t>
  </si>
  <si>
    <t>27.01_14</t>
  </si>
  <si>
    <t>28.01_14</t>
  </si>
  <si>
    <t>29.01_14</t>
  </si>
  <si>
    <t>30.01_14</t>
  </si>
  <si>
    <t>259.01_10</t>
  </si>
  <si>
    <t>249.01_10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</si>
  <si>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</si>
  <si>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</si>
  <si>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</si>
  <si>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</si>
  <si>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</si>
  <si>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</si>
  <si>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</si>
  <si>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</si>
  <si>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</si>
  <si>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</si>
  <si>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</si>
  <si>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</si>
  <si>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</si>
  <si>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</si>
  <si>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</si>
  <si>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RowNo</t>
  </si>
  <si>
    <t>項目</t>
  </si>
  <si>
    <t>内容</t>
  </si>
  <si>
    <t>作業日時</t>
  </si>
  <si>
    <t>入力元ブック名</t>
  </si>
  <si>
    <t>ThompsonMacbeth_TM8_9_11_14_G1000_macrohandoff_TinFilled.xlsx</t>
  </si>
  <si>
    <t>入力元シート名</t>
  </si>
  <si>
    <t>120_MACRO_INPUT_FINAL</t>
  </si>
  <si>
    <t>入力先シート名</t>
  </si>
  <si>
    <t>tm</t>
  </si>
  <si>
    <t>追記開始行</t>
  </si>
  <si>
    <t>追記終了行</t>
  </si>
  <si>
    <t>追記行数</t>
  </si>
  <si>
    <t>Table 8 行数</t>
  </si>
  <si>
    <t>Table 9 行数</t>
  </si>
  <si>
    <t>Table 11 行数</t>
  </si>
  <si>
    <t>Table 12 行数</t>
  </si>
  <si>
    <t>Table 13 行数</t>
  </si>
  <si>
    <t>Table 14 行数</t>
  </si>
  <si>
    <t>Tin_K_IF97 欠損行数</t>
  </si>
  <si>
    <t>G &lt;= 1000 の行</t>
  </si>
  <si>
    <t>含まれていない (最小G = 1017.17 kg/m2s)</t>
  </si>
  <si>
    <t>L/D outside の行</t>
  </si>
  <si>
    <t>含まれていない (L/D範囲 50.08〜365.33)</t>
  </si>
  <si>
    <t>既存行の上書き</t>
  </si>
  <si>
    <t>なし (2〜87行目は変更していない)</t>
  </si>
  <si>
    <t>マクロ実行</t>
  </si>
  <si>
    <t>実行していない (データ追記のみ。自動計算による更新のみ)</t>
  </si>
  <si>
    <t>初期値の注記</t>
  </si>
  <si>
    <t>q_in/f/Tw/y_star/UB は初期値であり、マクロ未実行 (q_in=q_M と同値、f/Tw/y_star/UB は直上行(87行目)の値をコピー)</t>
  </si>
  <si>
    <t>phase</t>
  </si>
  <si>
    <t>iter</t>
  </si>
  <si>
    <t>q_low</t>
  </si>
  <si>
    <t>q_high</t>
  </si>
  <si>
    <t>dq_ratio_pct</t>
  </si>
  <si>
    <t>solver_max_code</t>
  </si>
  <si>
    <t>status</t>
  </si>
  <si>
    <t>note</t>
  </si>
  <si>
    <t>BRACKET</t>
  </si>
  <si>
    <t>q_low eval</t>
  </si>
  <si>
    <t>q_high eval (init)</t>
  </si>
  <si>
    <t>BISECT</t>
  </si>
  <si>
    <t>SUMMARY</t>
  </si>
  <si>
    <t>OK</t>
  </si>
  <si>
    <t>収束 (|dq_ratio|&lt;1%)  (f_solver=0)</t>
  </si>
  <si>
    <t>q_high expand #1</t>
  </si>
  <si>
    <t>39.01_10</t>
  </si>
  <si>
    <t>27.01_10</t>
  </si>
  <si>
    <t>81.01_10</t>
  </si>
  <si>
    <t>1.01_10</t>
  </si>
  <si>
    <t>442.01_10</t>
  </si>
  <si>
    <t>150.01_10</t>
  </si>
  <si>
    <t>289.01_10</t>
  </si>
  <si>
    <t>281.01_10</t>
  </si>
  <si>
    <t>40.01_10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</si>
</sst>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49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11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176" fontId="5" fillId="0" borderId="0" xfId="1" applyNumberFormat="1" applyFont="1"/>
    <xf numFmtId="177" fontId="5" fillId="0" borderId="0" xfId="0" applyNumberFormat="1" applyFont="1">
      <alignment vertical="center"/>
    </xf>
    <xf numFmtId="1" fontId="5" fillId="10" borderId="0" xfId="0" applyNumberFormat="1" applyFont="1" applyFill="1">
      <alignment vertical="center"/>
    </xf>
    <xf numFmtId="2" fontId="5" fillId="10" borderId="0" xfId="0" applyNumberFormat="1" applyFont="1" applyFill="1">
      <alignment vertical="center"/>
    </xf>
    <xf numFmtId="0" fontId="5" fillId="9" borderId="0" xfId="0" applyFont="1" applyFill="1">
      <alignment vertical="center"/>
    </xf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22" fontId="0" fillId="0" borderId="0" xfId="0" applyNumberFormat="1">
      <alignment vertical="center"/>
    </xf>
    <xf numFmtId="0" fontId="10" fillId="0" borderId="0" xfId="0" applyFont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225" totalsRowShown="0">
  <autoFilter ref="A1:BR225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/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00000000-0010-0000-0000-00003C000000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50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31" t="s">
        <v>296</v>
      </c>
      <c r="B1" s="31" t="s">
        <v>297</v>
      </c>
      <c r="C1" s="31" t="s">
        <v>298</v>
      </c>
      <c r="D1" s="31" t="s">
        <v>299</v>
      </c>
      <c r="E1" s="31" t="s">
        <v>300</v>
      </c>
      <c r="F1" s="31" t="s">
        <v>301</v>
      </c>
      <c r="G1" s="31" t="s">
        <v>302</v>
      </c>
      <c r="H1" s="31" t="s">
        <v>303</v>
      </c>
      <c r="I1" s="31" t="s">
        <v>304</v>
      </c>
      <c r="J1" s="31" t="s">
        <v>305</v>
      </c>
      <c r="K1" s="31" t="s">
        <v>11</v>
      </c>
      <c r="M1" s="32" t="s">
        <v>306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417503.91083365493</v>
      </c>
      <c r="F2">
        <v>2674947.6774689942</v>
      </c>
      <c r="G2">
        <v>2.8275054163792241E-4</v>
      </c>
      <c r="H2">
        <v>1.221846401589725E-5</v>
      </c>
      <c r="I2">
        <v>0.67706063852756737</v>
      </c>
      <c r="J2">
        <v>4215.2228770654929</v>
      </c>
      <c r="K2">
        <v>5.8997248632534069E-2</v>
      </c>
      <c r="M2" t="s">
        <v>307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1.225122449534131E-5</v>
      </c>
      <c r="I3">
        <v>0.67741596500517487</v>
      </c>
      <c r="J3">
        <v>4216.3074734940428</v>
      </c>
      <c r="K3">
        <v>5.8813650026566147E-2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1258626.4713629831</v>
      </c>
      <c r="F4">
        <v>2774863.2172916508</v>
      </c>
      <c r="G4">
        <v>9.1928026726738571E-5</v>
      </c>
      <c r="H4">
        <v>1.8812418136402908E-5</v>
      </c>
      <c r="I4">
        <v>0.57547908399454439</v>
      </c>
      <c r="J4">
        <v>5367.8848362695126</v>
      </c>
      <c r="K4">
        <v>1.7852909015351519E-2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1260424.220291215</v>
      </c>
      <c r="F5">
        <v>2774425.9806907391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35.912218974162307</v>
      </c>
      <c r="E6">
        <v>1262216.960210474</v>
      </c>
      <c r="F6">
        <v>2773986.354767262</v>
      </c>
      <c r="G6">
        <v>9.1664210536410444E-5</v>
      </c>
      <c r="H6">
        <v>1.884296239458781E-5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1.8858208761437209E-5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36.313396913129843</v>
      </c>
      <c r="E8">
        <v>1265787.612025535</v>
      </c>
      <c r="F8">
        <v>2773099.9795593969</v>
      </c>
      <c r="G8">
        <v>9.1402939649199843E-5</v>
      </c>
      <c r="H8">
        <v>1.8873438554470608E-5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1267565.6217992641</v>
      </c>
      <c r="F9">
        <v>2772653.2520028888</v>
      </c>
      <c r="G9">
        <v>9.1273239351942053E-5</v>
      </c>
      <c r="H9">
        <v>1.8888652218810941E-5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36.525088826851928</v>
      </c>
      <c r="E10">
        <v>1267659.2832643441</v>
      </c>
      <c r="F10">
        <v>2772629.620505983</v>
      </c>
      <c r="G10">
        <v>9.1266414355739841E-5</v>
      </c>
      <c r="H10">
        <v>1.8889454347379291E-5</v>
      </c>
      <c r="I10">
        <v>0.57314906244367347</v>
      </c>
      <c r="J10">
        <v>5402.4794639967822</v>
      </c>
      <c r="K10">
        <v>1.7459835261136699E-2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2772204.1785875582</v>
      </c>
      <c r="G11">
        <v>9.1144152416375426E-5</v>
      </c>
      <c r="H11">
        <v>1.8903850195194511E-5</v>
      </c>
      <c r="I11">
        <v>0.5727142467148485</v>
      </c>
      <c r="J11">
        <v>5409.0339951429487</v>
      </c>
      <c r="K11">
        <v>1.7387053945399571E-2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1271107.2490317761</v>
      </c>
      <c r="F12">
        <v>2771752.7696196139</v>
      </c>
      <c r="G12">
        <v>9.1015671440181417E-5</v>
      </c>
      <c r="H12">
        <v>1.8919032920070651E-5</v>
      </c>
      <c r="I12">
        <v>0.5722558872415161</v>
      </c>
      <c r="J12">
        <v>5415.9776735122296</v>
      </c>
      <c r="K12">
        <v>1.7310525026362669E-2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37.119663466644063</v>
      </c>
      <c r="E13">
        <v>1272870.960624882</v>
      </c>
      <c r="F13">
        <v>2771299.0351890111</v>
      </c>
      <c r="G13">
        <v>9.0887789137660192E-5</v>
      </c>
      <c r="H13">
        <v>1.8934200825699131E-5</v>
      </c>
      <c r="I13">
        <v>0.57179821219430105</v>
      </c>
      <c r="J13">
        <v>5422.9463299177496</v>
      </c>
      <c r="K13">
        <v>1.723430764622115E-2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38.543434954242073</v>
      </c>
      <c r="E14">
        <v>1285088.613158894</v>
      </c>
      <c r="F14">
        <v>2768058.5850062389</v>
      </c>
      <c r="G14">
        <v>9.0008787265423692E-5</v>
      </c>
      <c r="H14">
        <v>1.9039996699282649E-5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>
        <v>10273187.93</v>
      </c>
      <c r="B15">
        <v>586.13430346130383</v>
      </c>
      <c r="C15">
        <v>683.87988086598716</v>
      </c>
      <c r="D15">
        <v>57.352435344035477</v>
      </c>
      <c r="E15">
        <v>1419800.7015599329</v>
      </c>
      <c r="F15">
        <v>2720431.325857149</v>
      </c>
      <c r="G15">
        <v>8.0969891423623451E-5</v>
      </c>
      <c r="H15">
        <v>2.0315305298798349E-5</v>
      </c>
      <c r="I15">
        <v>0.53200974031765291</v>
      </c>
      <c r="J15">
        <v>6204.9107072464121</v>
      </c>
      <c r="K15">
        <v>1.1305692890007799E-2</v>
      </c>
    </row>
    <row r="16" spans="1:13" x14ac:dyDescent="0.15">
      <c r="A16">
        <v>10376609.285</v>
      </c>
      <c r="B16">
        <v>586.8759119145376</v>
      </c>
      <c r="C16">
        <v>682.16154807641692</v>
      </c>
      <c r="D16">
        <v>58.076085118479952</v>
      </c>
      <c r="E16">
        <v>1424210.780827801</v>
      </c>
      <c r="F16">
        <v>2718482.2329562278</v>
      </c>
      <c r="G16">
        <v>8.0690155610351578E-5</v>
      </c>
      <c r="H16">
        <v>2.036134428728635E-5</v>
      </c>
      <c r="I16">
        <v>0.53077197244693697</v>
      </c>
      <c r="J16">
        <v>6236.5350644444852</v>
      </c>
      <c r="K16">
        <v>1.114199646546294E-2</v>
      </c>
    </row>
    <row r="17" spans="1:11" x14ac:dyDescent="0.15">
      <c r="A17">
        <v>10411083.07</v>
      </c>
      <c r="B17">
        <v>587.12184153560975</v>
      </c>
      <c r="C17">
        <v>681.58894372584575</v>
      </c>
      <c r="D17">
        <v>58.318347416861947</v>
      </c>
      <c r="E17">
        <v>1425676.9151810589</v>
      </c>
      <c r="F17">
        <v>2717828.483466493</v>
      </c>
      <c r="G17">
        <v>8.0597336130161507E-5</v>
      </c>
      <c r="H17">
        <v>2.0376724170658081E-5</v>
      </c>
      <c r="I17">
        <v>0.53036001180466197</v>
      </c>
      <c r="J17">
        <v>6247.1878014014937</v>
      </c>
      <c r="K17">
        <v>1.108777748646122E-2</v>
      </c>
    </row>
    <row r="18" spans="1:11" x14ac:dyDescent="0.15">
      <c r="A18">
        <v>10445556.855</v>
      </c>
      <c r="B18">
        <v>587.36714056353833</v>
      </c>
      <c r="C18">
        <v>681.0164156251443</v>
      </c>
      <c r="D18">
        <v>58.56113711330066</v>
      </c>
      <c r="E18">
        <v>1427141.134712551</v>
      </c>
      <c r="F18">
        <v>2717172.7048884612</v>
      </c>
      <c r="G18">
        <v>8.0504725827435319E-5</v>
      </c>
      <c r="H18">
        <v>2.039212133323165E-5</v>
      </c>
      <c r="I18">
        <v>0.52994836083727459</v>
      </c>
      <c r="J18">
        <v>6257.8970196920882</v>
      </c>
      <c r="K18">
        <v>1.103373036943443E-2</v>
      </c>
    </row>
    <row r="19" spans="1:11" x14ac:dyDescent="0.15">
      <c r="A19">
        <v>10652399.564999999</v>
      </c>
      <c r="B19">
        <v>588.82588897650953</v>
      </c>
      <c r="C19">
        <v>677.5825015864292</v>
      </c>
      <c r="D19">
        <v>60.029106465050397</v>
      </c>
      <c r="E19">
        <v>1435887.271926542</v>
      </c>
      <c r="F19">
        <v>2713195.303165792</v>
      </c>
      <c r="G19">
        <v>7.9953334804478573E-5</v>
      </c>
      <c r="H19">
        <v>2.048488413123789E-5</v>
      </c>
      <c r="I19">
        <v>0.52748480460352509</v>
      </c>
      <c r="J19">
        <v>6323.3675605114504</v>
      </c>
      <c r="K19">
        <v>1.071301140756829E-2</v>
      </c>
    </row>
    <row r="20" spans="1:11" x14ac:dyDescent="0.15">
      <c r="A20">
        <v>10790294.705</v>
      </c>
      <c r="B20">
        <v>589.78621399136853</v>
      </c>
      <c r="C20">
        <v>675.29396862991621</v>
      </c>
      <c r="D20">
        <v>61.018657698041302</v>
      </c>
      <c r="E20">
        <v>1441682.0426634969</v>
      </c>
      <c r="F20">
        <v>2710502.831333783</v>
      </c>
      <c r="G20">
        <v>7.9589652595738828E-5</v>
      </c>
      <c r="H20">
        <v>2.0547110080122658E-5</v>
      </c>
      <c r="I20">
        <v>0.52584828353128565</v>
      </c>
      <c r="J20">
        <v>6368.2114890788816</v>
      </c>
      <c r="K20">
        <v>1.050253506811907E-2</v>
      </c>
    </row>
    <row r="21" spans="1:11" x14ac:dyDescent="0.15">
      <c r="A21">
        <v>12341615.029999999</v>
      </c>
      <c r="B21">
        <v>599.9799801328129</v>
      </c>
      <c r="C21">
        <v>649.46521010949471</v>
      </c>
      <c r="D21">
        <v>72.816521135477899</v>
      </c>
      <c r="E21">
        <v>1505230.7162956409</v>
      </c>
      <c r="F21">
        <v>2677886.670586206</v>
      </c>
      <c r="G21">
        <v>7.5675269438825427E-5</v>
      </c>
      <c r="H21">
        <v>2.1274764991596999E-5</v>
      </c>
      <c r="I21">
        <v>0.50771016086975462</v>
      </c>
      <c r="J21">
        <v>6951.8253576901698</v>
      </c>
      <c r="K21">
        <v>8.3045704853731608E-3</v>
      </c>
    </row>
    <row r="22" spans="1:11" x14ac:dyDescent="0.15">
      <c r="A22">
        <v>12376088.814999999</v>
      </c>
      <c r="B22">
        <v>600.1948144628825</v>
      </c>
      <c r="C22">
        <v>648.88713795133378</v>
      </c>
      <c r="D22">
        <v>73.093943284833998</v>
      </c>
      <c r="E22">
        <v>1506614.7614684771</v>
      </c>
      <c r="F22">
        <v>2677111.4828473432</v>
      </c>
      <c r="G22">
        <v>7.5591310120252519E-5</v>
      </c>
      <c r="H22">
        <v>2.1291640654220771E-5</v>
      </c>
      <c r="I22">
        <v>0.50731192941358827</v>
      </c>
      <c r="J22">
        <v>6966.747327197736</v>
      </c>
      <c r="K22">
        <v>8.2590371006168485E-3</v>
      </c>
    </row>
    <row r="23" spans="1:11" x14ac:dyDescent="0.15">
      <c r="A23">
        <v>12410562.6</v>
      </c>
      <c r="B23">
        <v>600.40917815374269</v>
      </c>
      <c r="C23">
        <v>648.30878787204176</v>
      </c>
      <c r="D23">
        <v>73.372090442332606</v>
      </c>
      <c r="E23">
        <v>1507997.8235180371</v>
      </c>
      <c r="F23">
        <v>2676334.0095142131</v>
      </c>
      <c r="G23">
        <v>7.5507457069512522E-5</v>
      </c>
      <c r="H23">
        <v>2.1308552640654369E-5</v>
      </c>
      <c r="I23">
        <v>0.50691387709209623</v>
      </c>
      <c r="J23">
        <v>6981.7690086139</v>
      </c>
      <c r="K23">
        <v>8.2136391333202854E-3</v>
      </c>
    </row>
    <row r="24" spans="1:11" x14ac:dyDescent="0.15">
      <c r="A24">
        <v>12445036.385</v>
      </c>
      <c r="B24">
        <v>600.62307338779112</v>
      </c>
      <c r="C24">
        <v>647.73015324591881</v>
      </c>
      <c r="D24">
        <v>73.65096699650779</v>
      </c>
      <c r="E24">
        <v>1509379.9174575771</v>
      </c>
      <c r="F24">
        <v>2675554.2433210411</v>
      </c>
      <c r="G24">
        <v>7.542370875497005E-5</v>
      </c>
      <c r="H24">
        <v>2.1325501337549779E-5</v>
      </c>
      <c r="I24">
        <v>0.50651600214947412</v>
      </c>
      <c r="J24">
        <v>6996.8915278807299</v>
      </c>
      <c r="K24">
        <v>8.1683760977733326E-3</v>
      </c>
    </row>
    <row r="25" spans="1:11" x14ac:dyDescent="0.15">
      <c r="A25">
        <v>12479510.17</v>
      </c>
      <c r="B25">
        <v>600.8365023302473</v>
      </c>
      <c r="C25">
        <v>647.15122741627238</v>
      </c>
      <c r="D25">
        <v>73.930577375909749</v>
      </c>
      <c r="E25">
        <v>1510761.0582881749</v>
      </c>
      <c r="F25">
        <v>2674772.176894574</v>
      </c>
      <c r="G25">
        <v>7.5340063650001631E-5</v>
      </c>
      <c r="H25">
        <v>2.1342487134157E-5</v>
      </c>
      <c r="I25">
        <v>0.50611830285189063</v>
      </c>
      <c r="J25">
        <v>7012.1160291556434</v>
      </c>
      <c r="K25">
        <v>8.1232475126216917E-3</v>
      </c>
    </row>
    <row r="26" spans="1:11" x14ac:dyDescent="0.15">
      <c r="A26">
        <v>12513983.955</v>
      </c>
      <c r="B26">
        <v>601.04946712932554</v>
      </c>
      <c r="C26">
        <v>646.57200369437157</v>
      </c>
      <c r="D26">
        <v>74.210926049632405</v>
      </c>
      <c r="E26">
        <v>1512141.261000498</v>
      </c>
      <c r="F26">
        <v>2673987.8027531309</v>
      </c>
      <c r="G26">
        <v>7.5256520232777754E-5</v>
      </c>
      <c r="H26">
        <v>2.1359510422370691E-5</v>
      </c>
      <c r="I26">
        <v>0.50572077748779087</v>
      </c>
      <c r="J26">
        <v>7027.4436751982676</v>
      </c>
      <c r="K26">
        <v>8.078252900830243E-3</v>
      </c>
    </row>
    <row r="27" spans="1:11" x14ac:dyDescent="0.15">
      <c r="A27">
        <v>12582931.525</v>
      </c>
      <c r="B27">
        <v>601.4740128062333</v>
      </c>
      <c r="C27">
        <v>645.41263565235602</v>
      </c>
      <c r="D27">
        <v>74.773856362324906</v>
      </c>
      <c r="E27">
        <v>1514898.911991924</v>
      </c>
      <c r="F27">
        <v>2672412.1008509072</v>
      </c>
      <c r="G27">
        <v>7.5089732396918502E-5</v>
      </c>
      <c r="H27">
        <v>2.1393671054705828E-5</v>
      </c>
      <c r="I27">
        <v>0.50492624182719592</v>
      </c>
      <c r="J27">
        <v>7058.413148019863</v>
      </c>
      <c r="K27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1562686.9740257829</v>
      </c>
      <c r="F28">
        <v>2643264.389866509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>
        <v>14375568.345000001</v>
      </c>
      <c r="B29">
        <v>611.91386270436794</v>
      </c>
      <c r="C29">
        <v>614.64786138635702</v>
      </c>
      <c r="D29">
        <v>90.588882843330609</v>
      </c>
      <c r="E29">
        <v>1585699.5072411741</v>
      </c>
      <c r="F29">
        <v>2627949.0973156858</v>
      </c>
      <c r="G29">
        <v>7.0854881629944488E-5</v>
      </c>
      <c r="H29">
        <v>2.2346600140505721E-5</v>
      </c>
      <c r="I29">
        <v>0.48447617649609059</v>
      </c>
      <c r="J29">
        <v>8050.1582667114426</v>
      </c>
      <c r="K29">
        <v>5.8358284375620894E-3</v>
      </c>
    </row>
    <row r="30" spans="1:11" x14ac:dyDescent="0.15">
      <c r="A30">
        <v>14410042.130000001</v>
      </c>
      <c r="B30">
        <v>612.10417526659455</v>
      </c>
      <c r="C30">
        <v>614.04047527067326</v>
      </c>
      <c r="D30">
        <v>90.918182000549308</v>
      </c>
      <c r="E30">
        <v>1587051.743777507</v>
      </c>
      <c r="F30">
        <v>2627022.586135034</v>
      </c>
      <c r="G30">
        <v>7.0774633188978175E-5</v>
      </c>
      <c r="H30">
        <v>2.2366390223892932E-5</v>
      </c>
      <c r="I30">
        <v>0.4840864465582857</v>
      </c>
      <c r="J30">
        <v>8073.7157051809381</v>
      </c>
      <c r="K30">
        <v>5.7975807482611623E-3</v>
      </c>
    </row>
    <row r="31" spans="1:11" x14ac:dyDescent="0.15">
      <c r="A31">
        <v>14444515.914999999</v>
      </c>
      <c r="B31">
        <v>612.29412141213845</v>
      </c>
      <c r="C31">
        <v>613.43232402419449</v>
      </c>
      <c r="D31">
        <v>91.248555698911844</v>
      </c>
      <c r="E31">
        <v>1588403.928984249</v>
      </c>
      <c r="F31">
        <v>2626093.1345668421</v>
      </c>
      <c r="G31">
        <v>7.0694401850615891E-5</v>
      </c>
      <c r="H31">
        <v>2.2386245793773059E-5</v>
      </c>
      <c r="I31">
        <v>0.48369684775438238</v>
      </c>
      <c r="J31">
        <v>8097.4885849811244</v>
      </c>
      <c r="K31">
        <v>5.7594462826100956E-3</v>
      </c>
    </row>
    <row r="32" spans="1:11" x14ac:dyDescent="0.15">
      <c r="A32">
        <v>14478989.699999999</v>
      </c>
      <c r="B32">
        <v>612.48370255129544</v>
      </c>
      <c r="C32">
        <v>612.82339669043313</v>
      </c>
      <c r="D32">
        <v>91.580011978832957</v>
      </c>
      <c r="E32">
        <v>1589756.080898311</v>
      </c>
      <c r="F32">
        <v>2625160.726484098</v>
      </c>
      <c r="G32">
        <v>7.0614185977515193E-5</v>
      </c>
      <c r="H32">
        <v>2.2406167499944591E-5</v>
      </c>
      <c r="I32">
        <v>0.48330738078477459</v>
      </c>
      <c r="J32">
        <v>8121.4802011854345</v>
      </c>
      <c r="K32">
        <v>5.7214247636284644E-3</v>
      </c>
    </row>
    <row r="33" spans="1:11" x14ac:dyDescent="0.15">
      <c r="A33">
        <v>14513463.484999999</v>
      </c>
      <c r="B33">
        <v>612.67292008461743</v>
      </c>
      <c r="C33">
        <v>612.21368217827785</v>
      </c>
      <c r="D33">
        <v>91.91255897533145</v>
      </c>
      <c r="E33">
        <v>1591108.217691361</v>
      </c>
      <c r="F33">
        <v>2624225.3455417408</v>
      </c>
      <c r="G33">
        <v>7.053398392243067E-5</v>
      </c>
      <c r="H33">
        <v>2.2426155999369979E-5</v>
      </c>
      <c r="I33">
        <v>0.48291804642989189</v>
      </c>
      <c r="J33">
        <v>8145.6939161944201</v>
      </c>
      <c r="K33">
        <v>5.6835159172802328E-3</v>
      </c>
    </row>
    <row r="34" spans="1:11" x14ac:dyDescent="0.15">
      <c r="A34">
        <v>14547937.27</v>
      </c>
      <c r="B34">
        <v>612.8617754030106</v>
      </c>
      <c r="C34">
        <v>611.60316925921416</v>
      </c>
      <c r="D34">
        <v>92.246204919594888</v>
      </c>
      <c r="E34">
        <v>1592460.357673506</v>
      </c>
      <c r="F34">
        <v>2623286.9751734058</v>
      </c>
      <c r="G34">
        <v>7.0453794027894906E-5</v>
      </c>
      <c r="H34">
        <v>2.2446211956304489E-5</v>
      </c>
      <c r="I34">
        <v>0.482528845552468</v>
      </c>
      <c r="J34">
        <v>8170.133161316754</v>
      </c>
      <c r="K34">
        <v>5.6457194724596916E-3</v>
      </c>
    </row>
    <row r="35" spans="1:11" x14ac:dyDescent="0.15">
      <c r="A35">
        <v>14582411.055</v>
      </c>
      <c r="B35">
        <v>613.05026988781367</v>
      </c>
      <c r="C35">
        <v>610.99184656446221</v>
      </c>
      <c r="D35">
        <v>92.580958140603215</v>
      </c>
      <c r="E35">
        <v>1593812.519296919</v>
      </c>
      <c r="F35">
        <v>2622345.5985878608</v>
      </c>
      <c r="G35">
        <v>7.0373614625891007E-5</v>
      </c>
      <c r="H35">
        <v>2.2466336042427339E-5</v>
      </c>
      <c r="I35">
        <v>0.48213977909987099</v>
      </c>
      <c r="J35">
        <v>8194.8014383951322</v>
      </c>
      <c r="K35">
        <v>5.6080351609815058E-3</v>
      </c>
    </row>
    <row r="36" spans="1:11" x14ac:dyDescent="0.15">
      <c r="A36">
        <v>14651358.625</v>
      </c>
      <c r="B36">
        <v>613.42618183469449</v>
      </c>
      <c r="C36">
        <v>609.76672565409854</v>
      </c>
      <c r="D36">
        <v>93.253820227631977</v>
      </c>
      <c r="E36">
        <v>1596516.982009178</v>
      </c>
      <c r="F36">
        <v>2620453.758454822</v>
      </c>
      <c r="G36">
        <v>7.0213280572698186E-5</v>
      </c>
      <c r="H36">
        <v>2.2506791326882159E-5</v>
      </c>
      <c r="I36">
        <v>0.48136205369642571</v>
      </c>
      <c r="J36">
        <v>8244.8394584875186</v>
      </c>
      <c r="K36">
        <v>5.5330018798425981E-3</v>
      </c>
    </row>
    <row r="37" spans="1:11" x14ac:dyDescent="0.15">
      <c r="A37">
        <v>14927148.904999999</v>
      </c>
      <c r="B37">
        <v>614.9156661127455</v>
      </c>
      <c r="C37">
        <v>604.83147460894611</v>
      </c>
      <c r="D37">
        <v>95.99129627600891</v>
      </c>
      <c r="E37">
        <v>1607339.4945123671</v>
      </c>
      <c r="F37">
        <v>2612762.6286267582</v>
      </c>
      <c r="G37">
        <v>6.9572022522881486E-5</v>
      </c>
      <c r="H37">
        <v>2.267147736390745E-5</v>
      </c>
      <c r="I37">
        <v>0.47825678197067412</v>
      </c>
      <c r="J37">
        <v>8454.9052671850641</v>
      </c>
      <c r="K37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</v>
      </c>
      <c r="F38">
        <v>2610697.118738072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5.1603660687177984E-3</v>
      </c>
    </row>
    <row r="39" spans="1:11" x14ac:dyDescent="0.15">
      <c r="A39">
        <v>15202939.185000001</v>
      </c>
      <c r="B39">
        <v>616.38298773795884</v>
      </c>
      <c r="C39">
        <v>599.83568684708052</v>
      </c>
      <c r="D39">
        <v>98.805986990565799</v>
      </c>
      <c r="E39">
        <v>1618177.117580774</v>
      </c>
      <c r="F39">
        <v>2604866.1696356409</v>
      </c>
      <c r="G39">
        <v>6.893020605980822E-5</v>
      </c>
      <c r="H39">
        <v>2.284103358945794E-5</v>
      </c>
      <c r="I39">
        <v>0.47516122635885782</v>
      </c>
      <c r="J39">
        <v>8682.4563332685593</v>
      </c>
      <c r="K39">
        <v>4.9486038322964464E-3</v>
      </c>
    </row>
    <row r="40" spans="1:11" x14ac:dyDescent="0.15">
      <c r="A40">
        <v>15237412.970000001</v>
      </c>
      <c r="B40">
        <v>616.56487672022718</v>
      </c>
      <c r="C40">
        <v>599.20660938046922</v>
      </c>
      <c r="D40">
        <v>99.163504111451545</v>
      </c>
      <c r="E40">
        <v>1619533.414090933</v>
      </c>
      <c r="F40">
        <v>2603864.1573589249</v>
      </c>
      <c r="G40">
        <v>6.8849892577692534E-5</v>
      </c>
      <c r="H40">
        <v>2.2862590685604771E-5</v>
      </c>
      <c r="I40">
        <v>0.47477502658162218</v>
      </c>
      <c r="J40">
        <v>8712.2487597525196</v>
      </c>
      <c r="K40">
        <v>4.9130029103202051E-3</v>
      </c>
    </row>
    <row r="41" spans="1:11" x14ac:dyDescent="0.15">
      <c r="A41">
        <v>16409521.66</v>
      </c>
      <c r="B41">
        <v>622.55717842585057</v>
      </c>
      <c r="C41">
        <v>577.06923612188393</v>
      </c>
      <c r="D41">
        <v>112.17033955473801</v>
      </c>
      <c r="E41">
        <v>1666062.1825179111</v>
      </c>
      <c r="F41">
        <v>2567609.160161545</v>
      </c>
      <c r="G41">
        <v>6.6089994477805278E-5</v>
      </c>
      <c r="H41">
        <v>2.3651444847865129E-5</v>
      </c>
      <c r="I41">
        <v>0.46178151866568262</v>
      </c>
      <c r="J41">
        <v>9956.6215657984085</v>
      </c>
      <c r="K41">
        <v>3.7652331796772971E-3</v>
      </c>
    </row>
    <row r="42" spans="1:11" x14ac:dyDescent="0.15">
      <c r="A42">
        <v>16512943.015000001</v>
      </c>
      <c r="B42">
        <v>623.06876481641166</v>
      </c>
      <c r="C42">
        <v>575.03240959954769</v>
      </c>
      <c r="D42">
        <v>113.4071254865684</v>
      </c>
      <c r="E42">
        <v>1670225.6027112231</v>
      </c>
      <c r="F42">
        <v>2564185.687557247</v>
      </c>
      <c r="G42">
        <v>6.5842090570695716E-5</v>
      </c>
      <c r="H42">
        <v>2.372703712674797E-5</v>
      </c>
      <c r="I42">
        <v>0.46065294069691948</v>
      </c>
      <c r="J42">
        <v>10093.6783111325</v>
      </c>
      <c r="K42">
        <v>3.6696905670353928E-3</v>
      </c>
    </row>
    <row r="43" spans="1:11" x14ac:dyDescent="0.15">
      <c r="A43">
        <v>16547416.800000001</v>
      </c>
      <c r="B43">
        <v>623.23870133313642</v>
      </c>
      <c r="C43">
        <v>574.34988711113044</v>
      </c>
      <c r="D43">
        <v>113.8230037101513</v>
      </c>
      <c r="E43">
        <v>1671616.280799323</v>
      </c>
      <c r="F43">
        <v>2563035.5779140079</v>
      </c>
      <c r="G43">
        <v>6.5759231557403181E-5</v>
      </c>
      <c r="H43">
        <v>2.3752482411014488E-5</v>
      </c>
      <c r="I43">
        <v>0.46027765484939748</v>
      </c>
      <c r="J43">
        <v>10140.600460117181</v>
      </c>
      <c r="K43">
        <v>3.638046158632387E-3</v>
      </c>
    </row>
    <row r="44" spans="1:11" x14ac:dyDescent="0.15">
      <c r="A44">
        <v>16581890.585000001</v>
      </c>
      <c r="B44">
        <v>623.40834329200698</v>
      </c>
      <c r="C44">
        <v>573.66553119769708</v>
      </c>
      <c r="D44">
        <v>114.2407208927054</v>
      </c>
      <c r="E44">
        <v>1673008.452885706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3.6065031383353341E-3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</v>
      </c>
      <c r="E45">
        <v>1674402.154677412</v>
      </c>
      <c r="F45">
        <v>2560721.691284928</v>
      </c>
      <c r="G45">
        <v>6.559315938668894E-5</v>
      </c>
      <c r="H45">
        <v>2.380375376834677E-5</v>
      </c>
      <c r="I45">
        <v>0.45952852946905182</v>
      </c>
      <c r="J45">
        <v>10236.37466877429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</v>
      </c>
      <c r="E46">
        <v>1674402.154677412</v>
      </c>
      <c r="F46">
        <v>2560721.691284928</v>
      </c>
      <c r="G46">
        <v>6.559315938668894E-5</v>
      </c>
      <c r="H46">
        <v>2.380375376834677E-5</v>
      </c>
      <c r="I46">
        <v>0.45952852946905182</v>
      </c>
      <c r="J46">
        <v>10236.37466877429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</v>
      </c>
      <c r="E47">
        <v>1675797.422369329</v>
      </c>
      <c r="F47">
        <v>2559557.8321399409</v>
      </c>
      <c r="G47">
        <v>6.5509940250288218E-5</v>
      </c>
      <c r="H47">
        <v>2.3829582904311091E-5</v>
      </c>
      <c r="I47">
        <v>0.45915472043015881</v>
      </c>
      <c r="J47">
        <v>10285.25280614435</v>
      </c>
      <c r="K47">
        <v>3.5437208597502239E-3</v>
      </c>
    </row>
    <row r="48" spans="1:11" x14ac:dyDescent="0.15">
      <c r="A48">
        <v>16719785.725</v>
      </c>
      <c r="B48">
        <v>624.08398426992824</v>
      </c>
      <c r="C48">
        <v>570.9092360058894</v>
      </c>
      <c r="D48">
        <v>115.9303632899213</v>
      </c>
      <c r="E48">
        <v>1678592.8027206571</v>
      </c>
      <c r="F48">
        <v>2557216.0713552921</v>
      </c>
      <c r="G48">
        <v>6.5343120666275665E-5</v>
      </c>
      <c r="H48">
        <v>2.3881635703930669E-5</v>
      </c>
      <c r="I48">
        <v>0.45840868995416201</v>
      </c>
      <c r="J48">
        <v>10385.058717031259</v>
      </c>
      <c r="K48">
        <v>3.4813429573410928E-3</v>
      </c>
    </row>
    <row r="49" spans="1:11" x14ac:dyDescent="0.15">
      <c r="A49">
        <v>17236893.2329209</v>
      </c>
      <c r="B49">
        <v>626.57723583796803</v>
      </c>
      <c r="C49">
        <v>560.26337686439001</v>
      </c>
      <c r="D49">
        <v>122.583590976701</v>
      </c>
      <c r="E49">
        <v>1699798.64659754</v>
      </c>
      <c r="F49">
        <v>2538890.6454807199</v>
      </c>
      <c r="G49">
        <v>6.4066005508525405E-5</v>
      </c>
      <c r="H49">
        <v>2.4290890628326198E-5</v>
      </c>
      <c r="I49">
        <v>0.452884810527584</v>
      </c>
      <c r="J49">
        <v>11219.515372648901</v>
      </c>
      <c r="K49">
        <v>3.02925386118211E-3</v>
      </c>
    </row>
    <row r="50" spans="1:11" x14ac:dyDescent="0.15">
      <c r="A50">
        <v>18960582.556212999</v>
      </c>
      <c r="B50">
        <v>634.44823391832597</v>
      </c>
      <c r="C50">
        <v>520.38377569771103</v>
      </c>
      <c r="D50">
        <v>149.14958101226799</v>
      </c>
      <c r="E50">
        <v>1775044.0267545299</v>
      </c>
      <c r="F50">
        <v>2467301.6327637699</v>
      </c>
      <c r="G50">
        <v>5.9480773118925399E-5</v>
      </c>
      <c r="H50">
        <v>2.5972810943896E-5</v>
      </c>
      <c r="I50">
        <v>0.43661798563056398</v>
      </c>
      <c r="J50">
        <v>16063.580349286</v>
      </c>
      <c r="K50">
        <v>1.6624879026359001E-3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308</v>
      </c>
      <c r="B1" s="31" t="s">
        <v>309</v>
      </c>
      <c r="D1" s="32" t="s">
        <v>306</v>
      </c>
    </row>
    <row r="2" spans="1:4" x14ac:dyDescent="0.15">
      <c r="A2">
        <v>278</v>
      </c>
      <c r="B2">
        <v>4205.4014337612389</v>
      </c>
      <c r="D2" t="s">
        <v>310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4182.3214473299086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4179.4042320963244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4180.7757977392284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4181.3031131882544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4185.7893369592784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2077.3083736010271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2050.6859777202048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2044.6888688498429</v>
      </c>
    </row>
    <row r="107" spans="1:2" x14ac:dyDescent="0.15">
      <c r="A107">
        <v>383</v>
      </c>
      <c r="B107">
        <v>2041.8878392011909</v>
      </c>
    </row>
    <row r="108" spans="1:2" x14ac:dyDescent="0.15">
      <c r="A108">
        <v>384</v>
      </c>
      <c r="B108">
        <v>2039.205646139779</v>
      </c>
    </row>
    <row r="109" spans="1:2" x14ac:dyDescent="0.15">
      <c r="A109">
        <v>385</v>
      </c>
      <c r="B109">
        <v>2036.634045310466</v>
      </c>
    </row>
    <row r="110" spans="1:2" x14ac:dyDescent="0.15">
      <c r="A110">
        <v>386</v>
      </c>
      <c r="B110">
        <v>2034.1657227717569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2029.5135700333981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</v>
      </c>
    </row>
    <row r="115" spans="1:2" x14ac:dyDescent="0.15">
      <c r="A115">
        <v>391</v>
      </c>
      <c r="B115">
        <v>2023.167962175012</v>
      </c>
    </row>
    <row r="116" spans="1:2" x14ac:dyDescent="0.15">
      <c r="A116">
        <v>392</v>
      </c>
      <c r="B116">
        <v>2021.204001428619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2012.3672191290821</v>
      </c>
    </row>
    <row r="122" spans="1:2" x14ac:dyDescent="0.15">
      <c r="A122">
        <v>398</v>
      </c>
      <c r="B122">
        <v>2010.7775806914931</v>
      </c>
    </row>
    <row r="123" spans="1:2" x14ac:dyDescent="0.15">
      <c r="A123">
        <v>399</v>
      </c>
      <c r="B123">
        <v>2009.241820218688</v>
      </c>
    </row>
    <row r="124" spans="1:2" x14ac:dyDescent="0.15">
      <c r="A124">
        <v>400</v>
      </c>
      <c r="B124">
        <v>2007.757960854688</v>
      </c>
    </row>
    <row r="125" spans="1:2" x14ac:dyDescent="0.15">
      <c r="A125">
        <v>401</v>
      </c>
      <c r="B125">
        <v>2006.324155064246</v>
      </c>
    </row>
    <row r="126" spans="1:2" x14ac:dyDescent="0.15">
      <c r="A126">
        <v>402</v>
      </c>
      <c r="B126">
        <v>2004.938671082972</v>
      </c>
    </row>
    <row r="127" spans="1:2" x14ac:dyDescent="0.15">
      <c r="A127">
        <v>403</v>
      </c>
      <c r="B127">
        <v>2003.5998811205141</v>
      </c>
    </row>
    <row r="128" spans="1:2" x14ac:dyDescent="0.15">
      <c r="A128">
        <v>404</v>
      </c>
      <c r="B128">
        <v>2002.3062510722691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1998.6822035703219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1996.4673200155239</v>
      </c>
    </row>
    <row r="134" spans="1:2" x14ac:dyDescent="0.15">
      <c r="A134">
        <v>410</v>
      </c>
      <c r="B134">
        <v>1995.416676021483</v>
      </c>
    </row>
    <row r="135" spans="1:2" x14ac:dyDescent="0.15">
      <c r="A135">
        <v>411</v>
      </c>
      <c r="B135">
        <v>1994.402444829765</v>
      </c>
    </row>
    <row r="136" spans="1:2" x14ac:dyDescent="0.15">
      <c r="A136">
        <v>412</v>
      </c>
      <c r="B136">
        <v>1993.423595451799</v>
      </c>
    </row>
    <row r="137" spans="1:2" x14ac:dyDescent="0.15">
      <c r="A137">
        <v>413</v>
      </c>
      <c r="B137">
        <v>1992.4791394956151</v>
      </c>
    </row>
    <row r="138" spans="1:2" x14ac:dyDescent="0.15">
      <c r="A138">
        <v>414</v>
      </c>
      <c r="B138">
        <v>1991.5681282184551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1989.8428274174389</v>
      </c>
    </row>
    <row r="141" spans="1:2" x14ac:dyDescent="0.15">
      <c r="A141">
        <v>417</v>
      </c>
      <c r="B141">
        <v>1989.0268162265329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1987.484000551226</v>
      </c>
    </row>
    <row r="144" spans="1:2" x14ac:dyDescent="0.15">
      <c r="A144">
        <v>420</v>
      </c>
      <c r="B144">
        <v>1986.7556530139209</v>
      </c>
    </row>
    <row r="145" spans="1:2" x14ac:dyDescent="0.15">
      <c r="A145">
        <v>421</v>
      </c>
      <c r="B145">
        <v>1986.0550276201629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1984.1125235290201</v>
      </c>
    </row>
    <row r="149" spans="1:2" x14ac:dyDescent="0.15">
      <c r="A149">
        <v>425</v>
      </c>
      <c r="B149">
        <v>1983.5159379371109</v>
      </c>
    </row>
    <row r="150" spans="1:2" x14ac:dyDescent="0.15">
      <c r="A150">
        <v>426</v>
      </c>
      <c r="B150">
        <v>1982.943758489427</v>
      </c>
    </row>
    <row r="151" spans="1:2" x14ac:dyDescent="0.15">
      <c r="A151">
        <v>427</v>
      </c>
      <c r="B151">
        <v>1982.395383618501</v>
      </c>
    </row>
    <row r="152" spans="1:2" x14ac:dyDescent="0.15">
      <c r="A152">
        <v>428</v>
      </c>
      <c r="B152">
        <v>1981.870230227627</v>
      </c>
    </row>
    <row r="153" spans="1:2" x14ac:dyDescent="0.15">
      <c r="A153">
        <v>429</v>
      </c>
      <c r="B153">
        <v>1981.3677329232221</v>
      </c>
    </row>
    <row r="154" spans="1:2" x14ac:dyDescent="0.15">
      <c r="A154">
        <v>430</v>
      </c>
      <c r="B154">
        <v>1980.8873432967459</v>
      </c>
    </row>
    <row r="155" spans="1:2" x14ac:dyDescent="0.15">
      <c r="A155">
        <v>431</v>
      </c>
      <c r="B155">
        <v>1980.428529251421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1979.5735773161321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1978.7989234277579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1978.1008379425059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1977.4757995197001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1976.920480908439</v>
      </c>
    </row>
    <row r="166" spans="1:2" x14ac:dyDescent="0.15">
      <c r="A166">
        <v>442</v>
      </c>
      <c r="B166">
        <v>1976.667976637726</v>
      </c>
    </row>
    <row r="167" spans="1:2" x14ac:dyDescent="0.15">
      <c r="A167">
        <v>443</v>
      </c>
      <c r="B167">
        <v>1976.4317360415509</v>
      </c>
    </row>
    <row r="168" spans="1:2" x14ac:dyDescent="0.15">
      <c r="A168">
        <v>444</v>
      </c>
      <c r="B168">
        <v>1976.21139223972</v>
      </c>
    </row>
    <row r="169" spans="1:2" x14ac:dyDescent="0.15">
      <c r="A169">
        <v>445</v>
      </c>
      <c r="B169">
        <v>1976.0065882587189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1975.0852812489779</v>
      </c>
    </row>
    <row r="176" spans="1:2" x14ac:dyDescent="0.15">
      <c r="A176">
        <v>452</v>
      </c>
      <c r="B176">
        <v>1974.9800295804421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1974.8082612821579</v>
      </c>
    </row>
    <row r="179" spans="1:2" x14ac:dyDescent="0.15">
      <c r="A179">
        <v>455</v>
      </c>
      <c r="B179">
        <v>1974.741190583738</v>
      </c>
    </row>
    <row r="180" spans="1:2" x14ac:dyDescent="0.15">
      <c r="A180">
        <v>456</v>
      </c>
      <c r="B180">
        <v>1974.686304658994</v>
      </c>
    </row>
    <row r="181" spans="1:2" x14ac:dyDescent="0.15">
      <c r="A181">
        <v>457</v>
      </c>
      <c r="B181">
        <v>1974.6433439360651</v>
      </c>
    </row>
    <row r="182" spans="1:2" x14ac:dyDescent="0.15">
      <c r="A182">
        <v>458</v>
      </c>
      <c r="B182">
        <v>1974.6120554591371</v>
      </c>
    </row>
    <row r="183" spans="1:2" x14ac:dyDescent="0.15">
      <c r="A183">
        <v>459</v>
      </c>
      <c r="B183">
        <v>1974.592192694415</v>
      </c>
    </row>
    <row r="184" spans="1:2" x14ac:dyDescent="0.15">
      <c r="A184">
        <v>460</v>
      </c>
      <c r="B184">
        <v>1974.5835153427131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1974.622282532501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1974.699913415338</v>
      </c>
    </row>
    <row r="190" spans="1:2" x14ac:dyDescent="0.15">
      <c r="A190">
        <v>466</v>
      </c>
      <c r="B190">
        <v>1974.753629325189</v>
      </c>
    </row>
    <row r="191" spans="1:2" x14ac:dyDescent="0.15">
      <c r="A191">
        <v>467</v>
      </c>
      <c r="B191">
        <v>1974.817008646819</v>
      </c>
    </row>
    <row r="192" spans="1:2" x14ac:dyDescent="0.15">
      <c r="A192">
        <v>468</v>
      </c>
      <c r="B192">
        <v>1974.889854919455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1975.0631863618171</v>
      </c>
    </row>
    <row r="195" spans="1:2" x14ac:dyDescent="0.15">
      <c r="A195">
        <v>471</v>
      </c>
      <c r="B195">
        <v>1975.163302098515</v>
      </c>
    </row>
    <row r="196" spans="1:2" x14ac:dyDescent="0.15">
      <c r="A196">
        <v>472</v>
      </c>
      <c r="B196">
        <v>1975.272145664185</v>
      </c>
    </row>
    <row r="197" spans="1:2" x14ac:dyDescent="0.15">
      <c r="A197">
        <v>473</v>
      </c>
      <c r="B197">
        <v>1975.3895433183341</v>
      </c>
    </row>
    <row r="198" spans="1:2" x14ac:dyDescent="0.15">
      <c r="A198">
        <v>474</v>
      </c>
      <c r="B198">
        <v>1975.515325494343</v>
      </c>
    </row>
    <row r="199" spans="1:2" x14ac:dyDescent="0.15">
      <c r="A199">
        <v>475</v>
      </c>
      <c r="B199">
        <v>1975.649326684977</v>
      </c>
    </row>
    <row r="200" spans="1:2" x14ac:dyDescent="0.15">
      <c r="A200">
        <v>476</v>
      </c>
      <c r="B200">
        <v>1975.7913853314531</v>
      </c>
    </row>
    <row r="201" spans="1:2" x14ac:dyDescent="0.15">
      <c r="A201">
        <v>477</v>
      </c>
      <c r="B201">
        <v>1975.9413437159269</v>
      </c>
    </row>
    <row r="202" spans="1:2" x14ac:dyDescent="0.15">
      <c r="A202">
        <v>478</v>
      </c>
      <c r="B202">
        <v>1976.099047857291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1976.437095566899</v>
      </c>
    </row>
    <row r="205" spans="1:2" x14ac:dyDescent="0.15">
      <c r="A205">
        <v>481</v>
      </c>
      <c r="B205">
        <v>1976.61714896274</v>
      </c>
    </row>
    <row r="206" spans="1:2" x14ac:dyDescent="0.15">
      <c r="A206">
        <v>482</v>
      </c>
      <c r="B206">
        <v>1976.804367583615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</v>
      </c>
    </row>
    <row r="209" spans="1:2" x14ac:dyDescent="0.15">
      <c r="A209">
        <v>485</v>
      </c>
      <c r="B209">
        <v>1977.4076630599129</v>
      </c>
    </row>
    <row r="210" spans="1:2" x14ac:dyDescent="0.15">
      <c r="A210">
        <v>486</v>
      </c>
      <c r="B210">
        <v>1977.6222063846831</v>
      </c>
    </row>
    <row r="211" spans="1:2" x14ac:dyDescent="0.15">
      <c r="A211">
        <v>487</v>
      </c>
      <c r="B211">
        <v>1977.843262091204</v>
      </c>
    </row>
    <row r="212" spans="1:2" x14ac:dyDescent="0.15">
      <c r="A212">
        <v>488</v>
      </c>
      <c r="B212">
        <v>1978.0707084850219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1978.5443003785581</v>
      </c>
    </row>
    <row r="215" spans="1:2" x14ac:dyDescent="0.15">
      <c r="A215">
        <v>491</v>
      </c>
      <c r="B215">
        <v>1978.790216096369</v>
      </c>
    </row>
    <row r="216" spans="1:2" x14ac:dyDescent="0.15">
      <c r="A216">
        <v>492</v>
      </c>
      <c r="B216">
        <v>1979.042062799314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1979.5631175878709</v>
      </c>
    </row>
    <row r="219" spans="1:2" x14ac:dyDescent="0.15">
      <c r="A219">
        <v>495</v>
      </c>
      <c r="B219">
        <v>1979.832115919121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1980.6717847570301</v>
      </c>
    </row>
    <row r="223" spans="1:2" x14ac:dyDescent="0.15">
      <c r="A223">
        <v>499</v>
      </c>
      <c r="B223">
        <v>1980.962242528725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1981.5584509720779</v>
      </c>
    </row>
    <row r="226" spans="1:2" x14ac:dyDescent="0.15">
      <c r="A226">
        <v>502</v>
      </c>
      <c r="B226">
        <v>1981.86402232818</v>
      </c>
    </row>
    <row r="227" spans="1:2" x14ac:dyDescent="0.15">
      <c r="A227">
        <v>503</v>
      </c>
      <c r="B227">
        <v>1982.174455490491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1982.8095697143699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1983.4631367481361</v>
      </c>
    </row>
    <row r="232" spans="1:2" x14ac:dyDescent="0.15">
      <c r="A232">
        <v>508</v>
      </c>
      <c r="B232">
        <v>1983.796642493259</v>
      </c>
    </row>
    <row r="233" spans="1:2" x14ac:dyDescent="0.15">
      <c r="A233">
        <v>509</v>
      </c>
      <c r="B233">
        <v>1984.134527734717</v>
      </c>
    </row>
    <row r="234" spans="1:2" x14ac:dyDescent="0.15">
      <c r="A234">
        <v>510</v>
      </c>
      <c r="B234">
        <v>1984.476718023772</v>
      </c>
    </row>
    <row r="235" spans="1:2" x14ac:dyDescent="0.15">
      <c r="A235">
        <v>511</v>
      </c>
      <c r="B235">
        <v>1984.8231404985261</v>
      </c>
    </row>
    <row r="236" spans="1:2" x14ac:dyDescent="0.15">
      <c r="A236">
        <v>512</v>
      </c>
      <c r="B236">
        <v>1985.1737238454839</v>
      </c>
    </row>
    <row r="237" spans="1:2" x14ac:dyDescent="0.15">
      <c r="A237">
        <v>513</v>
      </c>
      <c r="B237">
        <v>1985.528398262152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1986.2497484323681</v>
      </c>
    </row>
    <row r="240" spans="1:2" x14ac:dyDescent="0.15">
      <c r="A240">
        <v>516</v>
      </c>
      <c r="B240">
        <v>1986.6162918134189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1987.36079457196</v>
      </c>
    </row>
    <row r="243" spans="1:2" x14ac:dyDescent="0.15">
      <c r="A243">
        <v>519</v>
      </c>
      <c r="B243">
        <v>1987.7386297085909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1988.505166511954</v>
      </c>
    </row>
    <row r="246" spans="1:2" x14ac:dyDescent="0.15">
      <c r="A246">
        <v>522</v>
      </c>
      <c r="B246">
        <v>1988.89375150553</v>
      </c>
    </row>
    <row r="247" spans="1:2" x14ac:dyDescent="0.15">
      <c r="A247">
        <v>523</v>
      </c>
      <c r="B247">
        <v>1989.2858051109531</v>
      </c>
    </row>
    <row r="248" spans="1:2" x14ac:dyDescent="0.15">
      <c r="A248">
        <v>524</v>
      </c>
      <c r="B248">
        <v>1989.6812719486879</v>
      </c>
    </row>
    <row r="249" spans="1:2" x14ac:dyDescent="0.15">
      <c r="A249">
        <v>525</v>
      </c>
      <c r="B249">
        <v>1990.080097772649</v>
      </c>
    </row>
    <row r="250" spans="1:2" x14ac:dyDescent="0.15">
      <c r="A250">
        <v>526</v>
      </c>
      <c r="B250">
        <v>1990.4822294438979</v>
      </c>
    </row>
    <row r="251" spans="1:2" x14ac:dyDescent="0.15">
      <c r="A251">
        <v>527</v>
      </c>
      <c r="B251">
        <v>1990.88761490502</v>
      </c>
    </row>
    <row r="252" spans="1:2" x14ac:dyDescent="0.15">
      <c r="A252">
        <v>528</v>
      </c>
      <c r="B252">
        <v>1991.296203155174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1993.385472161352</v>
      </c>
    </row>
    <row r="258" spans="1:2" x14ac:dyDescent="0.15">
      <c r="A258">
        <v>534</v>
      </c>
      <c r="B258">
        <v>1993.812262311013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1994.6744194446201</v>
      </c>
    </row>
    <row r="261" spans="1:2" x14ac:dyDescent="0.15">
      <c r="A261">
        <v>537</v>
      </c>
      <c r="B261">
        <v>1995.109700542125</v>
      </c>
    </row>
    <row r="262" spans="1:2" x14ac:dyDescent="0.15">
      <c r="A262">
        <v>538</v>
      </c>
      <c r="B262">
        <v>1995.547727481535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1996.431856276648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</v>
      </c>
    </row>
    <row r="267" spans="1:2" x14ac:dyDescent="0.15">
      <c r="A267">
        <v>543</v>
      </c>
      <c r="B267">
        <v>1997.7776476730619</v>
      </c>
    </row>
    <row r="268" spans="1:2" x14ac:dyDescent="0.15">
      <c r="A268">
        <v>544</v>
      </c>
      <c r="B268">
        <v>1998.231319228463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1999.6070489107631</v>
      </c>
    </row>
    <row r="272" spans="1:2" x14ac:dyDescent="0.15">
      <c r="A272">
        <v>548</v>
      </c>
      <c r="B272">
        <v>2000.070414104428</v>
      </c>
    </row>
    <row r="273" spans="1:2" x14ac:dyDescent="0.15">
      <c r="A273">
        <v>549</v>
      </c>
      <c r="B273">
        <v>2000.536117100449</v>
      </c>
    </row>
    <row r="274" spans="1:2" x14ac:dyDescent="0.15">
      <c r="A274">
        <v>550</v>
      </c>
      <c r="B274">
        <v>2001.00412496321</v>
      </c>
    </row>
    <row r="275" spans="1:2" x14ac:dyDescent="0.15">
      <c r="A275">
        <v>551</v>
      </c>
      <c r="B275">
        <v>2001.474405386022</v>
      </c>
    </row>
    <row r="276" spans="1:2" x14ac:dyDescent="0.15">
      <c r="A276">
        <v>552</v>
      </c>
      <c r="B276">
        <v>2001.946926677542</v>
      </c>
    </row>
    <row r="277" spans="1:2" x14ac:dyDescent="0.15">
      <c r="A277">
        <v>553</v>
      </c>
      <c r="B277">
        <v>2002.421657748527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</v>
      </c>
    </row>
    <row r="280" spans="1:2" x14ac:dyDescent="0.15">
      <c r="A280">
        <v>556</v>
      </c>
      <c r="B280">
        <v>2003.858807507979</v>
      </c>
    </row>
    <row r="281" spans="1:2" x14ac:dyDescent="0.15">
      <c r="A281">
        <v>557</v>
      </c>
      <c r="B281">
        <v>2004.3420784002949</v>
      </c>
    </row>
    <row r="282" spans="1:2" x14ac:dyDescent="0.15">
      <c r="A282">
        <v>558</v>
      </c>
      <c r="B282">
        <v>2004.827412215476</v>
      </c>
    </row>
    <row r="283" spans="1:2" x14ac:dyDescent="0.15">
      <c r="A283">
        <v>559</v>
      </c>
      <c r="B283">
        <v>2005.3147812158979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2006.2955164000859</v>
      </c>
    </row>
    <row r="286" spans="1:2" x14ac:dyDescent="0.15">
      <c r="A286">
        <v>562</v>
      </c>
      <c r="B286">
        <v>2006.788829654183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2008.2802446895801</v>
      </c>
    </row>
    <row r="290" spans="1:2" x14ac:dyDescent="0.15">
      <c r="A290">
        <v>566</v>
      </c>
      <c r="B290">
        <v>2008.781125483722</v>
      </c>
    </row>
    <row r="291" spans="1:2" x14ac:dyDescent="0.15">
      <c r="A291">
        <v>567</v>
      </c>
      <c r="B291">
        <v>2009.283837316575</v>
      </c>
    </row>
    <row r="292" spans="1:2" x14ac:dyDescent="0.15">
      <c r="A292">
        <v>568</v>
      </c>
      <c r="B292">
        <v>2009.788356738017</v>
      </c>
    </row>
    <row r="293" spans="1:2" x14ac:dyDescent="0.15">
      <c r="A293">
        <v>569</v>
      </c>
      <c r="B293">
        <v>2010.2946607260481</v>
      </c>
    </row>
    <row r="294" spans="1:2" x14ac:dyDescent="0.15">
      <c r="A294">
        <v>570</v>
      </c>
      <c r="B294">
        <v>2010.802726677935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2011.8240561069961</v>
      </c>
    </row>
    <row r="297" spans="1:2" x14ac:dyDescent="0.15">
      <c r="A297">
        <v>573</v>
      </c>
      <c r="B297">
        <v>2012.3372763981799</v>
      </c>
    </row>
    <row r="298" spans="1:2" x14ac:dyDescent="0.15">
      <c r="A298">
        <v>574</v>
      </c>
      <c r="B298">
        <v>2012.85217226491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2013.886908566127</v>
      </c>
    </row>
    <row r="301" spans="1:2" x14ac:dyDescent="0.15">
      <c r="A301">
        <v>577</v>
      </c>
      <c r="B301">
        <v>2014.4067088391921</v>
      </c>
    </row>
    <row r="302" spans="1:2" x14ac:dyDescent="0.15">
      <c r="A302">
        <v>578</v>
      </c>
      <c r="B302">
        <v>2014.9281043500371</v>
      </c>
    </row>
    <row r="303" spans="1:2" x14ac:dyDescent="0.15">
      <c r="A303">
        <v>579</v>
      </c>
      <c r="B303">
        <v>2015.451075902693</v>
      </c>
    </row>
    <row r="304" spans="1:2" x14ac:dyDescent="0.15">
      <c r="A304">
        <v>580</v>
      </c>
      <c r="B304">
        <v>2015.9756046422351</v>
      </c>
    </row>
    <row r="305" spans="1:2" x14ac:dyDescent="0.15">
      <c r="A305">
        <v>581</v>
      </c>
      <c r="B305">
        <v>2016.501672047895</v>
      </c>
    </row>
    <row r="306" spans="1:2" x14ac:dyDescent="0.15">
      <c r="A306">
        <v>582</v>
      </c>
      <c r="B306">
        <v>2017.029259926315</v>
      </c>
    </row>
    <row r="307" spans="1:2" x14ac:dyDescent="0.15">
      <c r="A307">
        <v>583</v>
      </c>
      <c r="B307">
        <v>2017.558350404955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2018.6209692382911</v>
      </c>
    </row>
    <row r="310" spans="1:2" x14ac:dyDescent="0.15">
      <c r="A310">
        <v>586</v>
      </c>
      <c r="B310">
        <v>2019.1544633946751</v>
      </c>
    </row>
    <row r="311" spans="1:2" x14ac:dyDescent="0.15">
      <c r="A311">
        <v>587</v>
      </c>
      <c r="B311">
        <v>2019.68939174245</v>
      </c>
    </row>
    <row r="312" spans="1:2" x14ac:dyDescent="0.15">
      <c r="A312">
        <v>588</v>
      </c>
      <c r="B312">
        <v>2020.225737919224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2021.302619725441</v>
      </c>
    </row>
    <row r="315" spans="1:2" x14ac:dyDescent="0.15">
      <c r="A315">
        <v>591</v>
      </c>
      <c r="B315">
        <v>2021.8431240285099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</v>
      </c>
    </row>
    <row r="318" spans="1:2" x14ac:dyDescent="0.15">
      <c r="A318">
        <v>594</v>
      </c>
      <c r="B318">
        <v>2023.472708199444</v>
      </c>
    </row>
    <row r="319" spans="1:2" x14ac:dyDescent="0.15">
      <c r="A319">
        <v>595</v>
      </c>
      <c r="B319">
        <v>2024.01854420625</v>
      </c>
    </row>
    <row r="320" spans="1:2" x14ac:dyDescent="0.15">
      <c r="A320">
        <v>596</v>
      </c>
      <c r="B320">
        <v>2024.565676913591</v>
      </c>
    </row>
    <row r="321" spans="1:2" x14ac:dyDescent="0.15">
      <c r="A321">
        <v>597</v>
      </c>
      <c r="B321">
        <v>2025.114092323083</v>
      </c>
    </row>
    <row r="322" spans="1:2" x14ac:dyDescent="0.15">
      <c r="A322">
        <v>598</v>
      </c>
      <c r="B322">
        <v>2025.6637766737999</v>
      </c>
    </row>
    <row r="323" spans="1:2" x14ac:dyDescent="0.15">
      <c r="A323">
        <v>599</v>
      </c>
      <c r="B323">
        <v>2026.2147164376111</v>
      </c>
    </row>
    <row r="324" spans="1:2" x14ac:dyDescent="0.15">
      <c r="A324">
        <v>600</v>
      </c>
      <c r="B324">
        <v>2026.766898314622</v>
      </c>
    </row>
    <row r="325" spans="1:2" x14ac:dyDescent="0.15">
      <c r="A325">
        <v>601</v>
      </c>
      <c r="B325">
        <v>2027.3203092287181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</v>
      </c>
    </row>
    <row r="329" spans="1:2" x14ac:dyDescent="0.15">
      <c r="A329">
        <v>605</v>
      </c>
      <c r="B329">
        <v>2029.5459893235129</v>
      </c>
    </row>
    <row r="330" spans="1:2" x14ac:dyDescent="0.15">
      <c r="A330">
        <v>606</v>
      </c>
      <c r="B330">
        <v>2030.1053568125039</v>
      </c>
    </row>
    <row r="331" spans="1:2" x14ac:dyDescent="0.15">
      <c r="A331">
        <v>607</v>
      </c>
      <c r="B331">
        <v>2030.6658793426559</v>
      </c>
    </row>
    <row r="332" spans="1:2" x14ac:dyDescent="0.15">
      <c r="A332">
        <v>608</v>
      </c>
      <c r="B332">
        <v>2031.227545286858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2032.9192901791289</v>
      </c>
    </row>
    <row r="336" spans="1:2" x14ac:dyDescent="0.15">
      <c r="A336">
        <v>612</v>
      </c>
      <c r="B336">
        <v>2033.485417278207</v>
      </c>
    </row>
    <row r="337" spans="1:2" x14ac:dyDescent="0.15">
      <c r="A337">
        <v>613</v>
      </c>
      <c r="B337">
        <v>2034.052632451554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CpMid"/>
  <dimension ref="A1:E337"/>
  <sheetViews>
    <sheetView workbookViewId="0">
      <pane ySplit="1" topLeftCell="A83" activePane="bottomLeft" state="frozen"/>
      <selection pane="bottomLeft" activeCell="E119" sqref="E119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308</v>
      </c>
      <c r="B1" s="31" t="s">
        <v>309</v>
      </c>
      <c r="D1" s="32" t="s">
        <v>306</v>
      </c>
    </row>
    <row r="2" spans="1:4" x14ac:dyDescent="0.15">
      <c r="A2">
        <v>278</v>
      </c>
      <c r="B2">
        <v>4176.5923150780054</v>
      </c>
      <c r="D2" t="s">
        <v>310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4167.1037489620476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4161.5057159467106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4162.5355172039845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4168.9324604938774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4175.7956137265564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4182.5664722654456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4187.3549750169204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4193.7212530959814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4226.2422858633136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4283.6051221178896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4307.0441823656274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4418.4103878472106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4436.0433651972426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4484.5899476329814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4511.5093584007554</v>
      </c>
    </row>
    <row r="207" spans="1:2" x14ac:dyDescent="0.15">
      <c r="A207">
        <v>483</v>
      </c>
      <c r="B207">
        <v>4517.1244468111036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4597.9919227238825</v>
      </c>
    </row>
    <row r="221" spans="1:2" x14ac:dyDescent="0.15">
      <c r="A221">
        <v>497</v>
      </c>
      <c r="B221">
        <v>4604.8781166479685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4671.8438258887354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4767.9726558305356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5138.8466351934376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5173.9562635752554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4646.3992007934175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4458.7495777867334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4113.1720760271364</v>
      </c>
    </row>
    <row r="302" spans="1:2" x14ac:dyDescent="0.15">
      <c r="A302">
        <v>578</v>
      </c>
      <c r="B302">
        <v>4071.6586382314158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3993.2543090779391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3820.163658013927</v>
      </c>
    </row>
    <row r="310" spans="1:2" x14ac:dyDescent="0.15">
      <c r="A310">
        <v>586</v>
      </c>
      <c r="B310">
        <v>3788.9088491108619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3700.8643446777692</v>
      </c>
    </row>
    <row r="314" spans="1:2" x14ac:dyDescent="0.15">
      <c r="A314">
        <v>590</v>
      </c>
      <c r="B314">
        <v>3673.2706539292972</v>
      </c>
    </row>
    <row r="315" spans="1:2" x14ac:dyDescent="0.15">
      <c r="A315">
        <v>591</v>
      </c>
      <c r="B315">
        <v>3646.4862210576812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</v>
      </c>
    </row>
    <row r="318" spans="1:2" x14ac:dyDescent="0.15">
      <c r="A318">
        <v>594</v>
      </c>
      <c r="B318">
        <v>3570.634808091248</v>
      </c>
    </row>
    <row r="319" spans="1:2" x14ac:dyDescent="0.15">
      <c r="A319">
        <v>595</v>
      </c>
      <c r="B319">
        <v>3546.7451365352158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3478.8654265697301</v>
      </c>
    </row>
    <row r="323" spans="1:2" x14ac:dyDescent="0.15">
      <c r="A323">
        <v>599</v>
      </c>
      <c r="B323">
        <v>3457.4193697572732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3396.3142486625761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</v>
      </c>
    </row>
    <row r="330" spans="1:2" x14ac:dyDescent="0.15">
      <c r="A330">
        <v>606</v>
      </c>
      <c r="B330">
        <v>3321.6784179320789</v>
      </c>
    </row>
    <row r="331" spans="1:2" x14ac:dyDescent="0.15">
      <c r="A331">
        <v>607</v>
      </c>
      <c r="B331">
        <v>3304.128553574425</v>
      </c>
    </row>
    <row r="332" spans="1:2" x14ac:dyDescent="0.15">
      <c r="A332">
        <v>608</v>
      </c>
      <c r="B332">
        <v>3286.9924265965842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3253.9071825091642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_CpHigh"/>
  <dimension ref="A1:E337"/>
  <sheetViews>
    <sheetView workbookViewId="0">
      <pane ySplit="1" topLeftCell="A308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308</v>
      </c>
      <c r="B1" s="31" t="s">
        <v>309</v>
      </c>
      <c r="D1" s="32" t="s">
        <v>306</v>
      </c>
    </row>
    <row r="2" spans="1:4" x14ac:dyDescent="0.15">
      <c r="A2">
        <v>278</v>
      </c>
      <c r="B2">
        <v>4145.4990259833339</v>
      </c>
      <c r="D2" t="s">
        <v>310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4142.2370086486944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4141.0852015276714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4142.0757559542126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4144.6951463872456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4170.6998120113994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4172.3578139375404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4181.6060263214986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4193.8666712391296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4205.7631231769064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4221.1932488653056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4235.3791304911974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4314.4205933394114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4342.7665385510136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4393.9540723458786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4432.0770311694914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4464.9627135348464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4506.4516560336406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4577.7362404400556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4647.0567998434244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4662.1792759157915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4702.0459321509315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4727.4849324966244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4791.8077827239485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5114.8970677329826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5576.9931992977736</v>
      </c>
    </row>
    <row r="302" spans="1:2" x14ac:dyDescent="0.15">
      <c r="A302">
        <v>578</v>
      </c>
      <c r="B302">
        <v>5605.3124321390515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5664.6699509877944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5761.2488610771716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6030.7686394117154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tm"/>
  <dimension ref="A1:BR225"/>
  <sheetViews>
    <sheetView tabSelected="1" topLeftCell="A207" zoomScaleNormal="100" workbookViewId="0">
      <selection activeCell="H212" sqref="H212"/>
    </sheetView>
  </sheetViews>
  <sheetFormatPr defaultRowHeight="13.5" x14ac:dyDescent="0.15"/>
  <cols>
    <col min="1" max="1" width="23.75" style="10" customWidth="1"/>
    <col min="2" max="2" width="10.625" style="10" customWidth="1"/>
    <col min="3" max="3" width="12.75" style="10" customWidth="1"/>
    <col min="4" max="10" width="13.875" style="10" customWidth="1"/>
    <col min="11" max="12" width="15" style="10" customWidth="1"/>
    <col min="13" max="13" width="10.625" style="10" customWidth="1"/>
    <col min="14" max="14" width="12" style="10" customWidth="1"/>
    <col min="15" max="16" width="14.25" style="10" customWidth="1"/>
    <col min="17" max="17" width="10.625" style="10" customWidth="1"/>
    <col min="18" max="18" width="14.25" style="10" customWidth="1"/>
    <col min="19" max="19" width="25.5" style="10" bestFit="1" customWidth="1"/>
    <col min="20" max="20" width="14.25" style="10" customWidth="1"/>
    <col min="21" max="21" width="15.75" style="10" customWidth="1"/>
    <col min="22" max="23" width="13.125" style="10" customWidth="1"/>
    <col min="24" max="24" width="32.125" style="10" customWidth="1"/>
    <col min="25" max="25" width="9.75" style="10" customWidth="1"/>
    <col min="26" max="26" width="32.125" style="10" customWidth="1"/>
    <col min="27" max="27" width="10.5" style="10" customWidth="1"/>
    <col min="28" max="28" width="20" style="10" customWidth="1"/>
    <col min="29" max="31" width="10.625" style="10" customWidth="1"/>
    <col min="32" max="32" width="20.625" style="10" customWidth="1"/>
    <col min="33" max="33" width="27.25" style="10" customWidth="1"/>
    <col min="34" max="38" width="20" style="10" customWidth="1"/>
    <col min="39" max="39" width="21" style="10" customWidth="1"/>
    <col min="40" max="41" width="20" style="10" customWidth="1"/>
    <col min="42" max="42" width="15.875" style="10" customWidth="1"/>
    <col min="43" max="43" width="16.5" style="10" customWidth="1"/>
    <col min="44" max="44" width="11.625" style="10" customWidth="1"/>
    <col min="45" max="45" width="18.125" style="10" customWidth="1"/>
    <col min="46" max="46" width="19.375" style="10" customWidth="1"/>
    <col min="47" max="47" width="18.125" style="10" customWidth="1"/>
    <col min="48" max="48" width="13" style="10" customWidth="1"/>
    <col min="49" max="49" width="19" style="10" customWidth="1"/>
    <col min="50" max="50" width="18.125" style="10" customWidth="1"/>
    <col min="51" max="51" width="13.75" style="10" customWidth="1"/>
    <col min="52" max="52" width="16.75" style="10" customWidth="1"/>
    <col min="53" max="53" width="12.875" style="10" bestFit="1" customWidth="1"/>
    <col min="54" max="54" width="20.625" style="10" bestFit="1" customWidth="1"/>
    <col min="55" max="55" width="13.875" style="10" customWidth="1"/>
    <col min="56" max="56" width="15.625" style="10" customWidth="1"/>
    <col min="57" max="57" width="13.875" style="10" customWidth="1"/>
    <col min="58" max="58" width="12.625" style="10" customWidth="1"/>
    <col min="59" max="60" width="9.125" style="10" bestFit="1" customWidth="1"/>
    <col min="61" max="61" width="12.875" style="10" bestFit="1" customWidth="1"/>
    <col min="62" max="62" width="9.125" style="10" bestFit="1" customWidth="1"/>
    <col min="63" max="63" width="11.5" style="10" customWidth="1"/>
    <col min="64" max="64" width="12.75" style="10" bestFit="1" customWidth="1"/>
    <col min="65" max="65" width="12.875" style="10" bestFit="1" customWidth="1"/>
    <col min="66" max="67" width="12.75" style="10" bestFit="1" customWidth="1"/>
    <col min="68" max="68" width="15.375" style="10" bestFit="1" customWidth="1"/>
    <col min="69" max="69" width="12" style="10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3" t="s">
        <v>18</v>
      </c>
      <c r="T1" s="3" t="s">
        <v>19</v>
      </c>
      <c r="U1" s="3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6" t="s">
        <v>32</v>
      </c>
      <c r="AH1" s="6" t="s">
        <v>33</v>
      </c>
      <c r="AI1" s="6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7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1" t="s">
        <v>51</v>
      </c>
      <c r="BA1" t="s">
        <v>52</v>
      </c>
      <c r="BB1" t="s">
        <v>53</v>
      </c>
      <c r="BC1" s="18" t="s">
        <v>54</v>
      </c>
      <c r="BD1" s="18" t="s">
        <v>55</v>
      </c>
      <c r="BE1" t="s">
        <v>56</v>
      </c>
      <c r="BF1" s="17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</row>
    <row r="2" spans="1:70" x14ac:dyDescent="0.15">
      <c r="A2" s="21" t="s">
        <v>70</v>
      </c>
      <c r="B2" s="22">
        <v>13789520</v>
      </c>
      <c r="C2" s="22">
        <f t="array" ref="C2">TsatFromP(テーブル2[[#This Row],[P]])</f>
        <v>608.621106065763</v>
      </c>
      <c r="D2" s="22">
        <f t="array" ref="D2">RhoGFromP(テーブル2[[#This Row],[P]])</f>
        <v>85.147893581579396</v>
      </c>
      <c r="E2" s="22">
        <f t="array" ref="E2">RhoFFromP(テーブル2[[#This Row],[P]])</f>
        <v>624.86627494838649</v>
      </c>
      <c r="F2" s="22">
        <f t="array" ref="F2">HgFromP(テーブル2[[#This Row],[P]])</f>
        <v>2643264.389866509</v>
      </c>
      <c r="G2" s="22">
        <f t="array" ref="G2">HfFromP(テーブル2[[#This Row],[P]])</f>
        <v>1562686.9740257829</v>
      </c>
      <c r="H2" s="22">
        <f t="array" ref="H2">MuGFromP(テーブル2[[#This Row],[P]])</f>
        <v>2.2019594042733509E-5</v>
      </c>
      <c r="I2" s="22">
        <f t="array" ref="I2">MuFFromP(テーブル2[[#This Row],[P]])</f>
        <v>7.2223252690249831E-5</v>
      </c>
      <c r="J2" s="22">
        <f t="array" ref="J2">KfFromP(テーブル2[[#This Row],[P]])</f>
        <v>0.4911212487937569</v>
      </c>
      <c r="K2" s="22">
        <f t="array" ref="K2">CpFFromP(テーブル2[[#This Row],[P]])</f>
        <v>7679.7516396704104</v>
      </c>
      <c r="L2" s="22">
        <f t="array" ref="L2">SigmaFromP(テーブル2[[#This Row],[P]])</f>
        <v>6.5036382888884548E-3</v>
      </c>
      <c r="M2" s="23">
        <v>1</v>
      </c>
      <c r="N2" s="22">
        <v>2440.8000000000002</v>
      </c>
      <c r="O2" s="24">
        <v>2.8502295699234241E-6</v>
      </c>
      <c r="P2" s="24">
        <v>5.9847340050885548E-3</v>
      </c>
      <c r="Q2" s="24">
        <v>1.905E-3</v>
      </c>
      <c r="R2" s="22">
        <v>0.15240000000000001</v>
      </c>
      <c r="S2" s="25">
        <v>4124066.34765625</v>
      </c>
      <c r="T2" s="22">
        <v>499.95139682144003</v>
      </c>
      <c r="U2" s="26">
        <f>+T2+BG2*S2*テーブル2[[#This Row],[Pw]]*R2/(N2*O2*K2)</f>
        <v>570.35522136048598</v>
      </c>
      <c r="V2" s="22">
        <v>0.03</v>
      </c>
      <c r="W2" s="24">
        <f t="shared" ref="W2:W65" si="0">+N2*Q2/I2</f>
        <v>64379.875272880287</v>
      </c>
      <c r="X2" s="22">
        <v>3.526893093705516E-2</v>
      </c>
      <c r="Y2" s="22">
        <f t="shared" ref="Y2:Y65" si="1">IF(X2&gt;0,1/X2^0.5,1)</f>
        <v>5.3248067667956391</v>
      </c>
      <c r="Z2" s="22">
        <f t="shared" ref="Z2:Z65" si="2">IF(X2&gt;0,1.14-2*LOG((0.72*L2*E2)/(X2*Q2*N2^2)+9.35/(W2*X2^0.5)),0)</f>
        <v>5.3248067760604378</v>
      </c>
      <c r="AA2" s="22">
        <f t="shared" ref="AA2:AA65" si="3">+Y2-Z2</f>
        <v>-9.2647987059990555E-9</v>
      </c>
      <c r="AB2" s="22">
        <f t="shared" ref="AB2:AB65" si="4">32/X2*L2*V2*E2/N2^2</f>
        <v>1.8567695831321663E-5</v>
      </c>
      <c r="AC2" s="22">
        <v>692.2233776361046</v>
      </c>
      <c r="AD2" s="22">
        <f t="shared" ref="AD2:AD65" si="5">+Q2/2*AI2/I2*E2</f>
        <v>2137.3285628537874</v>
      </c>
      <c r="AE2" s="22">
        <f>+gettm2(AD2,AC2,AK2,AL2,テーブル2[[#This Row],[Fcorr]])</f>
        <v>570.35522136048598</v>
      </c>
      <c r="AF2" s="27">
        <f t="shared" ref="AF2:AF65" si="6">+AE2-U2</f>
        <v>0</v>
      </c>
      <c r="AG2" s="22">
        <v>1.8650868215012419E-5</v>
      </c>
      <c r="AH2" s="22">
        <f t="shared" ref="AH2:AH65" si="7">+X2*N2^2/(8*E2)</f>
        <v>42.031957102081762</v>
      </c>
      <c r="AI2" s="22">
        <f t="shared" ref="AI2:AI65" si="8">+(AH2/E2)^0.5</f>
        <v>0.25935597833921981</v>
      </c>
      <c r="AJ2" s="22">
        <f t="shared" ref="AJ2:AJ65" si="9">+AG2*AI2/I2*E2</f>
        <v>41.850953656659186</v>
      </c>
      <c r="AK2" s="22">
        <f t="array" ref="AK2">+S2*テーブル2[[#This Row],[F_form]]/(E2*CpFromTP((テーブル2[[#This Row],[Tin]]+テーブル2[[#This Row],[Tf]])/2,テーブル2[[#This Row],[P]])*AI2)</f>
        <v>5.2415739324591613</v>
      </c>
      <c r="AL2" s="22">
        <f t="shared" ref="AL2:AL65" si="10">+K2*I2/J2</f>
        <v>1.1293680422758512</v>
      </c>
      <c r="AM2" s="22">
        <f t="shared" ref="AM2:AM65" si="11">+gettyp(AC2,AJ2,AK2,AL2)</f>
        <v>608.62110606120098</v>
      </c>
      <c r="AN2" s="22">
        <f t="shared" ref="AN2:AN65" si="12">+C2-AM2</f>
        <v>4.562025424093008E-9</v>
      </c>
      <c r="AO2" s="22">
        <f t="shared" ref="AO2:AO65" si="13">+AG2-AB2</f>
        <v>8.3172383690755989E-8</v>
      </c>
      <c r="AP2" s="22">
        <v>3.4238055019459819</v>
      </c>
      <c r="AQ2" s="22">
        <f t="shared" ref="AQ2:AQ65" si="14">2*PI()*L2*(D2+E2)/(D2*E2*AP2^2)</f>
        <v>4.6518328093409148E-5</v>
      </c>
      <c r="AR2" s="22">
        <f t="shared" ref="AR2:AR65" si="15">+AO2+AB2/2</f>
        <v>9.3670202993515876E-6</v>
      </c>
      <c r="AS2" s="22">
        <f t="shared" ref="AS2:AS65" si="16">+AR2*AI2/I2*E2</f>
        <v>21.018792687281241</v>
      </c>
      <c r="AT2" s="22">
        <f t="shared" ref="AT2:AT65" si="17">+getublp(AS2)</f>
        <v>12.17708463709371</v>
      </c>
      <c r="AU2" s="22">
        <f t="shared" ref="AU2:AU65" si="18">+AT2*AI2</f>
        <v>3.1581996993729224</v>
      </c>
      <c r="AV2" s="22">
        <f t="shared" ref="AV2:AV65" si="19">+AP2-AU2</f>
        <v>0.26560580257305944</v>
      </c>
      <c r="AW2" s="22">
        <f t="shared" ref="AW2:AW65" si="20">2/3*AB2/(L2/(9.8*(E2-D2)))^0.5</f>
        <v>1.116311006709798E-2</v>
      </c>
      <c r="AX2" s="22">
        <f t="shared" ref="AX2:AX65" si="21">+(2*AQ2*9.8*(E2-D2)/(E2*AW2))^0.5</f>
        <v>0.26560579283801716</v>
      </c>
      <c r="AY2" s="22">
        <f t="shared" ref="AY2:AY65" si="22">+AV2-AX2</f>
        <v>9.7350422723074814E-9</v>
      </c>
      <c r="AZ2" s="22">
        <f t="shared" ref="AZ2:AZ65" si="23">+F2-G2</f>
        <v>1080577.4158407261</v>
      </c>
      <c r="BA2" s="22">
        <f t="shared" ref="BA2:BA65" si="24">+AQ2/AP2</f>
        <v>1.3586732092979468E-5</v>
      </c>
      <c r="BB2" s="25">
        <f t="shared" ref="BB2:BB65" si="25">+E2*AO2*AZ2/BA2</f>
        <v>4133396.8928208374</v>
      </c>
      <c r="BC2" s="28">
        <f t="shared" ref="BC2:BC65" si="26">BB2-S2</f>
        <v>9330.5451645874418</v>
      </c>
      <c r="BD2" s="29">
        <f t="shared" ref="BD2:BD65" si="27">+(BB2-S2)/S2*100</f>
        <v>0.22624624285906766</v>
      </c>
      <c r="BE2" s="25">
        <v>4038400</v>
      </c>
      <c r="BF2" s="30">
        <f>テーブル2[[#This Row],[q_P]]/テーブル2[[#This Row],[q_M]]</f>
        <v>1.0235233985788523</v>
      </c>
      <c r="BG2" s="22">
        <v>1</v>
      </c>
      <c r="BH2" s="22">
        <v>-0.05</v>
      </c>
      <c r="BI2" s="22">
        <v>4.5999999999999999E-2</v>
      </c>
      <c r="BJ2" s="22">
        <v>5625</v>
      </c>
      <c r="BK2" s="22">
        <v>1</v>
      </c>
      <c r="BL2" s="22">
        <f>テーブル2[[#This Row],[Ts]]-テーブル2[[#This Row],[Tin]]</f>
        <v>108.66970924432297</v>
      </c>
      <c r="BM2" s="22">
        <f>テーブル2[[#This Row],[q_P]]*0.000001</f>
        <v>4.1333968928208371</v>
      </c>
      <c r="BN2" s="22">
        <f>テーブル2[[#This Row],[Tsub]]</f>
        <v>108.66970924432297</v>
      </c>
      <c r="BO2" s="22">
        <f>テーブル2[[#This Row],[Fcorr]]</f>
        <v>1</v>
      </c>
      <c r="BP2" s="22">
        <f>(テーブル2[[#This Row],[Tsub]]-40)^2</f>
        <v>4715.5289676998564</v>
      </c>
      <c r="BQ2">
        <v>1</v>
      </c>
      <c r="BR2">
        <v>0.15240000000000001</v>
      </c>
    </row>
    <row r="3" spans="1:70" x14ac:dyDescent="0.15">
      <c r="A3" s="9" t="s">
        <v>71</v>
      </c>
      <c r="B3">
        <v>13789520</v>
      </c>
      <c r="C3" s="22">
        <f t="array" ref="C3">TsatFromP(テーブル2[[#This Row],[P]])</f>
        <v>608.621106065763</v>
      </c>
      <c r="D3">
        <f t="array" ref="D3">RhoGFromP(テーブル2[[#This Row],[P]])</f>
        <v>85.147893581579396</v>
      </c>
      <c r="E3">
        <f t="array" ref="E3">RhoFFromP(テーブル2[[#This Row],[P]])</f>
        <v>624.86627494838649</v>
      </c>
      <c r="F3">
        <f t="array" ref="F3">HgFromP(テーブル2[[#This Row],[P]])</f>
        <v>2643264.389866509</v>
      </c>
      <c r="G3">
        <f t="array" ref="G3">HfFromP(テーブル2[[#This Row],[P]])</f>
        <v>1562686.9740257829</v>
      </c>
      <c r="H3">
        <f t="array" ref="H3">MuGFromP(テーブル2[[#This Row],[P]])</f>
        <v>2.2019594042733509E-5</v>
      </c>
      <c r="I3">
        <f t="array" ref="I3">MuFFromP(テーブル2[[#This Row],[P]])</f>
        <v>7.2223252690249831E-5</v>
      </c>
      <c r="J3">
        <f t="array" ref="J3">KfFromP(テーブル2[[#This Row],[P]])</f>
        <v>0.4911212487937569</v>
      </c>
      <c r="K3">
        <f t="array" ref="K3">CpFFromP(テーブル2[[#This Row],[P]])</f>
        <v>7679.7516396704104</v>
      </c>
      <c r="L3">
        <f t="array" ref="L3">SigmaFromP(テーブル2[[#This Row],[P]])</f>
        <v>6.5036382888884548E-3</v>
      </c>
      <c r="M3">
        <v>2</v>
      </c>
      <c r="N3">
        <v>2454.36</v>
      </c>
      <c r="O3" s="8">
        <v>2.8502295699234241E-6</v>
      </c>
      <c r="P3" s="8">
        <v>5.9847340050885548E-3</v>
      </c>
      <c r="Q3" s="8">
        <v>1.905E-3</v>
      </c>
      <c r="R3">
        <v>0.15240000000000001</v>
      </c>
      <c r="S3" s="15">
        <v>4160719.62890625</v>
      </c>
      <c r="T3">
        <v>499.39149608425203</v>
      </c>
      <c r="U3" s="12">
        <f>+T3+BG3*S3*テーブル2[[#This Row],[Pw]]*R3/(N3*O3*K3)</f>
        <v>570.02861711650428</v>
      </c>
      <c r="V3">
        <v>0.03</v>
      </c>
      <c r="W3" s="8">
        <f t="shared" si="0"/>
        <v>64737.541246618523</v>
      </c>
      <c r="X3">
        <v>3.5176483310940303E-2</v>
      </c>
      <c r="Y3">
        <f t="shared" si="1"/>
        <v>5.3317992613705751</v>
      </c>
      <c r="Z3">
        <f t="shared" si="2"/>
        <v>5.3317993110830209</v>
      </c>
      <c r="AA3">
        <f t="shared" si="3"/>
        <v>-4.9712445715499598E-8</v>
      </c>
      <c r="AB3">
        <f t="shared" si="4"/>
        <v>1.8411354894901712E-5</v>
      </c>
      <c r="AC3">
        <v>692.63788031278114</v>
      </c>
      <c r="AD3">
        <f t="shared" si="5"/>
        <v>2146.3839957592782</v>
      </c>
      <c r="AE3">
        <f>+gettm2(AD3,AC3,AK3,AL3,テーブル2[[#This Row],[Fcorr]])</f>
        <v>570.02861804288295</v>
      </c>
      <c r="AF3" s="14">
        <f t="shared" si="6"/>
        <v>9.263786751034786E-7</v>
      </c>
      <c r="AG3">
        <v>1.8494568003600229E-5</v>
      </c>
      <c r="AH3">
        <f t="shared" si="7"/>
        <v>42.388873557737206</v>
      </c>
      <c r="AI3">
        <f t="shared" si="8"/>
        <v>0.26045481765728556</v>
      </c>
      <c r="AJ3">
        <f t="shared" si="9"/>
        <v>41.676057502791771</v>
      </c>
      <c r="AK3">
        <f t="array" ref="AK3">+S3*テーブル2[[#This Row],[F_form]]/(E3*CpFromTP((テーブル2[[#This Row],[Tin]]+テーブル2[[#This Row],[Tf]])/2,テーブル2[[#This Row],[P]])*AI3)</f>
        <v>5.2710217151576257</v>
      </c>
      <c r="AL3">
        <f t="shared" si="10"/>
        <v>1.1293680422758512</v>
      </c>
      <c r="AM3">
        <f t="shared" si="11"/>
        <v>608.6211059914292</v>
      </c>
      <c r="AN3">
        <f t="shared" si="12"/>
        <v>7.4333797783765476E-8</v>
      </c>
      <c r="AO3">
        <f t="shared" si="13"/>
        <v>8.3213108698516745E-8</v>
      </c>
      <c r="AP3">
        <v>3.4322530699416132</v>
      </c>
      <c r="AQ3">
        <f t="shared" si="14"/>
        <v>4.628962517399498E-5</v>
      </c>
      <c r="AR3">
        <f t="shared" si="15"/>
        <v>9.2888905561493727E-6</v>
      </c>
      <c r="AS3">
        <f t="shared" si="16"/>
        <v>20.931785856250411</v>
      </c>
      <c r="AT3">
        <f t="shared" si="17"/>
        <v>12.15634429004527</v>
      </c>
      <c r="AU3">
        <f t="shared" si="18"/>
        <v>3.1661784354429252</v>
      </c>
      <c r="AV3">
        <f t="shared" si="19"/>
        <v>0.26607463449868796</v>
      </c>
      <c r="AW3">
        <f t="shared" si="20"/>
        <v>1.1069116116685186E-2</v>
      </c>
      <c r="AX3">
        <f t="shared" si="21"/>
        <v>0.26607462446157015</v>
      </c>
      <c r="AY3">
        <f t="shared" si="22"/>
        <v>1.0037117803562978E-8</v>
      </c>
      <c r="AZ3">
        <f t="shared" si="23"/>
        <v>1080577.4158407261</v>
      </c>
      <c r="BA3">
        <f t="shared" si="24"/>
        <v>1.3486658539075157E-5</v>
      </c>
      <c r="BB3" s="15">
        <f t="shared" si="25"/>
        <v>4166106.396660334</v>
      </c>
      <c r="BC3" s="20">
        <f t="shared" si="26"/>
        <v>5386.767754083965</v>
      </c>
      <c r="BD3" s="19">
        <f t="shared" si="27"/>
        <v>0.12946721323541843</v>
      </c>
      <c r="BE3" s="15">
        <v>4038400</v>
      </c>
      <c r="BF3" s="16">
        <f>テーブル2[[#This Row],[q_P]]/テーブル2[[#This Row],[q_M]]</f>
        <v>1.0316230181904551</v>
      </c>
      <c r="BG3">
        <v>1</v>
      </c>
      <c r="BH3">
        <v>-5.5E-2</v>
      </c>
      <c r="BI3">
        <v>4.5999999999999999E-2</v>
      </c>
      <c r="BJ3">
        <v>5625</v>
      </c>
      <c r="BK3" s="22">
        <v>1</v>
      </c>
      <c r="BL3">
        <f>テーブル2[[#This Row],[Ts]]-テーブル2[[#This Row],[Tin]]</f>
        <v>109.22960998151098</v>
      </c>
      <c r="BM3">
        <f>テーブル2[[#This Row],[q_P]]*0.000001</f>
        <v>4.166106396660334</v>
      </c>
      <c r="BN3">
        <f>テーブル2[[#This Row],[Tsub]]</f>
        <v>109.22960998151098</v>
      </c>
      <c r="BO3">
        <f>テーブル2[[#This Row],[Fcorr]]</f>
        <v>1</v>
      </c>
      <c r="BP3">
        <f>(テーブル2[[#This Row],[Tsub]]-40)^2</f>
        <v>4792.738898192124</v>
      </c>
      <c r="BQ3">
        <v>1</v>
      </c>
      <c r="BR3">
        <v>0.15240000000000001</v>
      </c>
    </row>
    <row r="4" spans="1:70" x14ac:dyDescent="0.15">
      <c r="A4" s="9" t="s">
        <v>72</v>
      </c>
      <c r="B4">
        <v>13789520</v>
      </c>
      <c r="C4" s="22">
        <f t="array" ref="C4">TsatFromP(テーブル2[[#This Row],[P]])</f>
        <v>608.621106065763</v>
      </c>
      <c r="D4">
        <f t="array" ref="D4">RhoGFromP(テーブル2[[#This Row],[P]])</f>
        <v>85.147893581579396</v>
      </c>
      <c r="E4">
        <f t="array" ref="E4">RhoFFromP(テーブル2[[#This Row],[P]])</f>
        <v>624.86627494838649</v>
      </c>
      <c r="F4">
        <f t="array" ref="F4">HgFromP(テーブル2[[#This Row],[P]])</f>
        <v>2643264.389866509</v>
      </c>
      <c r="G4">
        <f t="array" ref="G4">HfFromP(テーブル2[[#This Row],[P]])</f>
        <v>1562686.9740257829</v>
      </c>
      <c r="H4">
        <f t="array" ref="H4">MuGFromP(テーブル2[[#This Row],[P]])</f>
        <v>2.2019594042733509E-5</v>
      </c>
      <c r="I4">
        <f t="array" ref="I4">MuFFromP(テーブル2[[#This Row],[P]])</f>
        <v>7.2223252690249831E-5</v>
      </c>
      <c r="J4">
        <f t="array" ref="J4">KfFromP(テーブル2[[#This Row],[P]])</f>
        <v>0.4911212487937569</v>
      </c>
      <c r="K4">
        <f t="array" ref="K4">CpFFromP(テーブル2[[#This Row],[P]])</f>
        <v>7679.7516396704104</v>
      </c>
      <c r="L4">
        <f t="array" ref="L4">SigmaFromP(テーブル2[[#This Row],[P]])</f>
        <v>6.5036382888884548E-3</v>
      </c>
      <c r="M4" s="23">
        <v>3</v>
      </c>
      <c r="N4">
        <v>3037.44</v>
      </c>
      <c r="O4" s="8">
        <v>2.8502295699234241E-6</v>
      </c>
      <c r="P4" s="8">
        <v>5.9847340050885548E-3</v>
      </c>
      <c r="Q4" s="8">
        <v>1.905E-3</v>
      </c>
      <c r="R4">
        <v>0.15240000000000001</v>
      </c>
      <c r="S4" s="15">
        <v>5012464.74609375</v>
      </c>
      <c r="T4">
        <v>495.51145537057801</v>
      </c>
      <c r="U4" s="12">
        <f>+T4+BG4*S4*テーブル2[[#This Row],[Pw]]*R4/(N4*O4*K4)</f>
        <v>564.27312703255643</v>
      </c>
      <c r="V4">
        <v>0.03</v>
      </c>
      <c r="W4" s="8">
        <f t="shared" si="0"/>
        <v>80117.178117362142</v>
      </c>
      <c r="X4">
        <v>3.1869500535929983E-2</v>
      </c>
      <c r="Y4">
        <f t="shared" si="1"/>
        <v>5.6016035854691575</v>
      </c>
      <c r="Z4">
        <f t="shared" si="2"/>
        <v>5.6016036114539407</v>
      </c>
      <c r="AA4">
        <f t="shared" si="3"/>
        <v>-2.5984783214028084E-8</v>
      </c>
      <c r="AB4">
        <f t="shared" si="4"/>
        <v>1.3268567100478401E-5</v>
      </c>
      <c r="AC4">
        <v>693.21850818249936</v>
      </c>
      <c r="AD4">
        <f t="shared" si="5"/>
        <v>2528.3563479605123</v>
      </c>
      <c r="AE4">
        <f>+gettm2(AD4,AC4,AK4,AL4,テーブル2[[#This Row],[Fcorr]])</f>
        <v>564.27312703255632</v>
      </c>
      <c r="AF4" s="14">
        <f t="shared" si="6"/>
        <v>0</v>
      </c>
      <c r="AG4">
        <v>1.334359523851514E-5</v>
      </c>
      <c r="AH4">
        <f t="shared" si="7"/>
        <v>58.818453323303892</v>
      </c>
      <c r="AI4">
        <f t="shared" si="8"/>
        <v>0.30680558226383198</v>
      </c>
      <c r="AJ4">
        <f t="shared" si="9"/>
        <v>35.419804436656605</v>
      </c>
      <c r="AK4">
        <f t="array" ref="AK4">+S4*テーブル2[[#This Row],[F_form]]/(E4*CpFromTP((テーブル2[[#This Row],[Tin]]+テーブル2[[#This Row],[Tf]])/2,テーブル2[[#This Row],[P]])*AI4)</f>
        <v>5.4463953671940804</v>
      </c>
      <c r="AL4">
        <f t="shared" si="10"/>
        <v>1.1293680422758512</v>
      </c>
      <c r="AM4">
        <f t="shared" si="11"/>
        <v>608.62110605773648</v>
      </c>
      <c r="AN4">
        <f t="shared" si="12"/>
        <v>8.0265181168215349E-9</v>
      </c>
      <c r="AO4">
        <f t="shared" si="13"/>
        <v>7.5028138036739551E-8</v>
      </c>
      <c r="AP4">
        <v>3.7673757372324079</v>
      </c>
      <c r="AQ4">
        <f t="shared" si="14"/>
        <v>3.8420622350819786E-5</v>
      </c>
      <c r="AR4">
        <f t="shared" si="15"/>
        <v>6.70931168827594E-6</v>
      </c>
      <c r="AS4">
        <f t="shared" si="16"/>
        <v>17.809481152229012</v>
      </c>
      <c r="AT4">
        <f t="shared" si="17"/>
        <v>11.348654822462716</v>
      </c>
      <c r="AU4">
        <f t="shared" si="18"/>
        <v>3.4818306507169186</v>
      </c>
      <c r="AV4">
        <f t="shared" si="19"/>
        <v>0.28554508651548938</v>
      </c>
      <c r="AW4">
        <f t="shared" si="20"/>
        <v>7.9772135606323274E-3</v>
      </c>
      <c r="AX4">
        <f t="shared" si="21"/>
        <v>0.28554508272508877</v>
      </c>
      <c r="AY4">
        <f t="shared" si="22"/>
        <v>3.7904006044975347E-9</v>
      </c>
      <c r="AZ4">
        <f t="shared" si="23"/>
        <v>1080577.4158407261</v>
      </c>
      <c r="BA4">
        <f t="shared" si="24"/>
        <v>1.0198245418187135E-5</v>
      </c>
      <c r="BB4" s="15">
        <f t="shared" si="25"/>
        <v>4967543.5364914425</v>
      </c>
      <c r="BC4" s="20">
        <f t="shared" si="26"/>
        <v>-44921.209602307528</v>
      </c>
      <c r="BD4" s="19">
        <f t="shared" si="27"/>
        <v>-0.89619003579655998</v>
      </c>
      <c r="BE4" s="15">
        <v>5395049.9999999991</v>
      </c>
      <c r="BF4" s="16">
        <f>テーブル2[[#This Row],[q_P]]/テーブル2[[#This Row],[q_M]]</f>
        <v>0.92075949926162748</v>
      </c>
      <c r="BG4">
        <v>1</v>
      </c>
      <c r="BH4">
        <v>-3.3000000000000002E-2</v>
      </c>
      <c r="BI4">
        <v>4.5999999999999999E-2</v>
      </c>
      <c r="BJ4">
        <v>5625</v>
      </c>
      <c r="BK4" s="22">
        <v>1</v>
      </c>
      <c r="BL4">
        <f>テーブル2[[#This Row],[Ts]]-テーブル2[[#This Row],[Tin]]</f>
        <v>113.109650695185</v>
      </c>
      <c r="BM4">
        <f>テーブル2[[#This Row],[q_P]]*0.000001</f>
        <v>4.9675435364914424</v>
      </c>
      <c r="BN4">
        <f>テーブル2[[#This Row],[Tsub]]</f>
        <v>113.109650695185</v>
      </c>
      <c r="BO4">
        <f>テーブル2[[#This Row],[Fcorr]]</f>
        <v>1</v>
      </c>
      <c r="BP4">
        <f>(テーブル2[[#This Row],[Tsub]]-40)^2</f>
        <v>5345.0210247719642</v>
      </c>
      <c r="BQ4">
        <v>1</v>
      </c>
      <c r="BR4">
        <v>0.15240000000000001</v>
      </c>
    </row>
    <row r="5" spans="1:70" x14ac:dyDescent="0.15">
      <c r="A5" s="9" t="s">
        <v>73</v>
      </c>
      <c r="B5">
        <v>13789520</v>
      </c>
      <c r="C5" s="22">
        <f t="array" ref="C5">TsatFromP(テーブル2[[#This Row],[P]])</f>
        <v>608.621106065763</v>
      </c>
      <c r="D5">
        <f t="array" ref="D5">RhoGFromP(テーブル2[[#This Row],[P]])</f>
        <v>85.147893581579396</v>
      </c>
      <c r="E5">
        <f t="array" ref="E5">RhoFFromP(テーブル2[[#This Row],[P]])</f>
        <v>624.86627494838649</v>
      </c>
      <c r="F5">
        <f t="array" ref="F5">HgFromP(テーブル2[[#This Row],[P]])</f>
        <v>2643264.389866509</v>
      </c>
      <c r="G5">
        <f t="array" ref="G5">HfFromP(テーブル2[[#This Row],[P]])</f>
        <v>1562686.9740257829</v>
      </c>
      <c r="H5">
        <f t="array" ref="H5">MuGFromP(テーブル2[[#This Row],[P]])</f>
        <v>2.2019594042733509E-5</v>
      </c>
      <c r="I5">
        <f t="array" ref="I5">MuFFromP(テーブル2[[#This Row],[P]])</f>
        <v>7.2223252690249831E-5</v>
      </c>
      <c r="J5">
        <f t="array" ref="J5">KfFromP(テーブル2[[#This Row],[P]])</f>
        <v>0.4911212487937569</v>
      </c>
      <c r="K5">
        <f t="array" ref="K5">CpFFromP(テーブル2[[#This Row],[P]])</f>
        <v>7679.7516396704104</v>
      </c>
      <c r="L5">
        <f t="array" ref="L5">SigmaFromP(テーブル2[[#This Row],[P]])</f>
        <v>6.5036382888884548E-3</v>
      </c>
      <c r="M5">
        <v>4</v>
      </c>
      <c r="N5">
        <v>3118.8</v>
      </c>
      <c r="O5" s="8">
        <v>2.8502295699234241E-6</v>
      </c>
      <c r="P5" s="8">
        <v>5.9847340050885548E-3</v>
      </c>
      <c r="Q5" s="8">
        <v>1.905E-3</v>
      </c>
      <c r="R5">
        <v>0.15240000000000001</v>
      </c>
      <c r="S5" s="15">
        <v>6642123.14453125</v>
      </c>
      <c r="T5">
        <v>458.882857903603</v>
      </c>
      <c r="U5" s="12">
        <f>+T5+BG5*S5*テーブル2[[#This Row],[Pw]]*R5/(N5*O5*K5)</f>
        <v>547.62342516690421</v>
      </c>
      <c r="V5">
        <v>0.03</v>
      </c>
      <c r="W5" s="8">
        <f t="shared" si="0"/>
        <v>82263.173959791486</v>
      </c>
      <c r="X5">
        <v>3.1491139902307147E-2</v>
      </c>
      <c r="Y5">
        <f t="shared" si="1"/>
        <v>5.6351542621364716</v>
      </c>
      <c r="Z5">
        <f t="shared" si="2"/>
        <v>5.6351542954879825</v>
      </c>
      <c r="AA5">
        <f t="shared" si="3"/>
        <v>-3.3351510886348024E-8</v>
      </c>
      <c r="AB5">
        <f t="shared" si="4"/>
        <v>1.2736534184098725E-5</v>
      </c>
      <c r="AC5">
        <v>723.24994650167434</v>
      </c>
      <c r="AD5">
        <f t="shared" si="5"/>
        <v>2580.6235926735508</v>
      </c>
      <c r="AE5">
        <f>+gettm2(AD5,AC5,AK5,AL5,テーブル2[[#This Row],[Fcorr]])</f>
        <v>547.62342639940357</v>
      </c>
      <c r="AF5" s="14">
        <f t="shared" si="6"/>
        <v>1.2324993576839915E-6</v>
      </c>
      <c r="AG5">
        <v>1.283282309073698E-5</v>
      </c>
      <c r="AH5">
        <f t="shared" si="7"/>
        <v>61.275428887159265</v>
      </c>
      <c r="AI5">
        <f t="shared" si="8"/>
        <v>0.31314799616464356</v>
      </c>
      <c r="AJ5">
        <f t="shared" si="9"/>
        <v>34.768174308201324</v>
      </c>
      <c r="AK5">
        <f t="array" ref="AK5">+S5*テーブル2[[#This Row],[F_form]]/(E5*CpFromTP((テーブル2[[#This Row],[Tin]]+テーブル2[[#This Row],[Tf]])/2,テーブル2[[#This Row],[P]])*AI5)</f>
        <v>7.40194628203297</v>
      </c>
      <c r="AL5">
        <f t="shared" si="10"/>
        <v>1.1293680422758512</v>
      </c>
      <c r="AM5">
        <f t="shared" si="11"/>
        <v>608.62110602010387</v>
      </c>
      <c r="AN5">
        <f t="shared" si="12"/>
        <v>4.5659135139430873E-8</v>
      </c>
      <c r="AO5">
        <f t="shared" si="13"/>
        <v>9.6288906638254175E-8</v>
      </c>
      <c r="AP5">
        <v>3.8154368282120599</v>
      </c>
      <c r="AQ5">
        <f t="shared" si="14"/>
        <v>3.7458789055513968E-5</v>
      </c>
      <c r="AR5">
        <f t="shared" si="15"/>
        <v>6.4645559986876169E-6</v>
      </c>
      <c r="AS5">
        <f t="shared" si="16"/>
        <v>17.514525696979096</v>
      </c>
      <c r="AT5">
        <f t="shared" si="17"/>
        <v>11.265152882321463</v>
      </c>
      <c r="AU5">
        <f t="shared" si="18"/>
        <v>3.5276600515873247</v>
      </c>
      <c r="AV5">
        <f t="shared" si="19"/>
        <v>0.28777677662473522</v>
      </c>
      <c r="AW5">
        <f t="shared" si="20"/>
        <v>7.657349315826744E-3</v>
      </c>
      <c r="AX5">
        <f t="shared" si="21"/>
        <v>0.28777677054152329</v>
      </c>
      <c r="AY5">
        <f t="shared" si="22"/>
        <v>6.0832119341824864E-9</v>
      </c>
      <c r="AZ5">
        <f t="shared" si="23"/>
        <v>1080577.4158407261</v>
      </c>
      <c r="BA5">
        <f t="shared" si="24"/>
        <v>9.8176934233418866E-6</v>
      </c>
      <c r="BB5" s="15">
        <f t="shared" si="25"/>
        <v>6622313.8793126335</v>
      </c>
      <c r="BC5" s="20">
        <f t="shared" si="26"/>
        <v>-19809.265218616463</v>
      </c>
      <c r="BD5" s="19">
        <f t="shared" si="27"/>
        <v>-0.29823694604226503</v>
      </c>
      <c r="BE5" s="15">
        <v>6688600</v>
      </c>
      <c r="BF5" s="16">
        <f>テーブル2[[#This Row],[q_P]]/テーブル2[[#This Row],[q_M]]</f>
        <v>0.99008968682723342</v>
      </c>
      <c r="BG5">
        <v>1</v>
      </c>
      <c r="BH5">
        <v>-7.4999999999999997E-2</v>
      </c>
      <c r="BI5">
        <v>4.5999999999999999E-2</v>
      </c>
      <c r="BJ5">
        <v>5625</v>
      </c>
      <c r="BK5" s="22">
        <v>1</v>
      </c>
      <c r="BL5">
        <f>テーブル2[[#This Row],[Ts]]-テーブル2[[#This Row],[Tin]]</f>
        <v>149.73824816216</v>
      </c>
      <c r="BM5">
        <f>テーブル2[[#This Row],[q_P]]*0.000001</f>
        <v>6.6223138793126335</v>
      </c>
      <c r="BN5">
        <f>テーブル2[[#This Row],[Tsub]]</f>
        <v>149.73824816216</v>
      </c>
      <c r="BO5">
        <f>テーブル2[[#This Row],[Fcorr]]</f>
        <v>1</v>
      </c>
      <c r="BP5">
        <f>(テーブル2[[#This Row],[Tsub]]-40)^2</f>
        <v>12042.483109699813</v>
      </c>
      <c r="BQ5">
        <v>1</v>
      </c>
      <c r="BR5">
        <v>0.15240000000000001</v>
      </c>
    </row>
    <row r="6" spans="1:70" x14ac:dyDescent="0.15">
      <c r="A6" s="9" t="s">
        <v>74</v>
      </c>
      <c r="B6">
        <v>13789520</v>
      </c>
      <c r="C6" s="22">
        <f t="array" ref="C6">TsatFromP(テーブル2[[#This Row],[P]])</f>
        <v>608.621106065763</v>
      </c>
      <c r="D6">
        <f t="array" ref="D6">RhoGFromP(テーブル2[[#This Row],[P]])</f>
        <v>85.147893581579396</v>
      </c>
      <c r="E6">
        <f t="array" ref="E6">RhoFFromP(テーブル2[[#This Row],[P]])</f>
        <v>624.86627494838649</v>
      </c>
      <c r="F6">
        <f t="array" ref="F6">HgFromP(テーブル2[[#This Row],[P]])</f>
        <v>2643264.389866509</v>
      </c>
      <c r="G6">
        <f t="array" ref="G6">HfFromP(テーブル2[[#This Row],[P]])</f>
        <v>1562686.9740257829</v>
      </c>
      <c r="H6">
        <f t="array" ref="H6">MuGFromP(テーブル2[[#This Row],[P]])</f>
        <v>2.2019594042733509E-5</v>
      </c>
      <c r="I6">
        <f t="array" ref="I6">MuFFromP(テーブル2[[#This Row],[P]])</f>
        <v>7.2223252690249831E-5</v>
      </c>
      <c r="J6">
        <f t="array" ref="J6">KfFromP(テーブル2[[#This Row],[P]])</f>
        <v>0.4911212487937569</v>
      </c>
      <c r="K6">
        <f t="array" ref="K6">CpFFromP(テーブル2[[#This Row],[P]])</f>
        <v>7679.7516396704104</v>
      </c>
      <c r="L6">
        <f t="array" ref="L6">SigmaFromP(テーブル2[[#This Row],[P]])</f>
        <v>6.5036382888884548E-3</v>
      </c>
      <c r="M6" s="23">
        <v>5</v>
      </c>
      <c r="N6">
        <v>3118.8</v>
      </c>
      <c r="O6" s="8">
        <v>2.8502295699234241E-6</v>
      </c>
      <c r="P6" s="8">
        <v>5.9847340050885548E-3</v>
      </c>
      <c r="Q6" s="8">
        <v>1.905E-3</v>
      </c>
      <c r="R6">
        <v>0.15240000000000001</v>
      </c>
      <c r="S6" s="15">
        <v>5270594.08203125</v>
      </c>
      <c r="T6">
        <v>491.66308110577302</v>
      </c>
      <c r="U6" s="12">
        <f>+T6+BG6*S6*テーブル2[[#This Row],[Pw]]*R6/(N6*O6*K6)</f>
        <v>562.07964798908085</v>
      </c>
      <c r="V6">
        <v>0.03</v>
      </c>
      <c r="W6" s="8">
        <f t="shared" si="0"/>
        <v>82263.173959791486</v>
      </c>
      <c r="X6">
        <v>3.1491139902307147E-2</v>
      </c>
      <c r="Y6">
        <f t="shared" si="1"/>
        <v>5.6351542621364716</v>
      </c>
      <c r="Z6">
        <f t="shared" si="2"/>
        <v>5.6351542954879825</v>
      </c>
      <c r="AA6">
        <f t="shared" si="3"/>
        <v>-3.3351510886348024E-8</v>
      </c>
      <c r="AB6">
        <f t="shared" si="4"/>
        <v>1.2736534184098725E-5</v>
      </c>
      <c r="AC6">
        <v>696.02091466231286</v>
      </c>
      <c r="AD6">
        <f t="shared" si="5"/>
        <v>2580.6235926735508</v>
      </c>
      <c r="AE6">
        <f>+gettm2(AD6,AC6,AK6,AL6,テーブル2[[#This Row],[Fcorr]])</f>
        <v>562.07964894928989</v>
      </c>
      <c r="AF6" s="14">
        <f t="shared" si="6"/>
        <v>9.6020903583848849E-7</v>
      </c>
      <c r="AG6">
        <v>1.28131235952552E-5</v>
      </c>
      <c r="AH6">
        <f t="shared" si="7"/>
        <v>61.275428887159265</v>
      </c>
      <c r="AI6">
        <f t="shared" si="8"/>
        <v>0.31314799616464356</v>
      </c>
      <c r="AJ6">
        <f t="shared" si="9"/>
        <v>34.714802147777128</v>
      </c>
      <c r="AK6">
        <f t="array" ref="AK6">+S6*テーブル2[[#This Row],[F_form]]/(E6*CpFromTP((テーブル2[[#This Row],[Tin]]+テーブル2[[#This Row],[Tf]])/2,テーブル2[[#This Row],[P]])*AI6)</f>
        <v>5.6450816948258877</v>
      </c>
      <c r="AL6">
        <f t="shared" si="10"/>
        <v>1.1293680422758512</v>
      </c>
      <c r="AM6">
        <f t="shared" si="11"/>
        <v>608.62110604134955</v>
      </c>
      <c r="AN6">
        <f t="shared" si="12"/>
        <v>2.4413452592852991E-8</v>
      </c>
      <c r="AO6">
        <f t="shared" si="13"/>
        <v>7.658941115647415E-8</v>
      </c>
      <c r="AP6">
        <v>3.8109937572651442</v>
      </c>
      <c r="AQ6">
        <f t="shared" si="14"/>
        <v>3.7546183098062627E-5</v>
      </c>
      <c r="AR6">
        <f t="shared" si="15"/>
        <v>6.4448565032058368E-6</v>
      </c>
      <c r="AS6">
        <f t="shared" si="16"/>
        <v>17.461153536554903</v>
      </c>
      <c r="AT6">
        <f t="shared" si="17"/>
        <v>11.24989307807418</v>
      </c>
      <c r="AU6">
        <f t="shared" si="18"/>
        <v>3.5228814744654233</v>
      </c>
      <c r="AV6">
        <f t="shared" si="19"/>
        <v>0.2881122827997209</v>
      </c>
      <c r="AW6">
        <f t="shared" si="20"/>
        <v>7.657349315826744E-3</v>
      </c>
      <c r="AX6">
        <f t="shared" si="21"/>
        <v>0.288112276892315</v>
      </c>
      <c r="AY6">
        <f t="shared" si="22"/>
        <v>5.9074058977870436E-9</v>
      </c>
      <c r="AZ6">
        <f t="shared" si="23"/>
        <v>1080577.4158407261</v>
      </c>
      <c r="BA6">
        <f t="shared" si="24"/>
        <v>9.8520715302894175E-6</v>
      </c>
      <c r="BB6" s="15">
        <f t="shared" si="25"/>
        <v>5249091.5380591629</v>
      </c>
      <c r="BC6" s="20">
        <f t="shared" si="26"/>
        <v>-21502.543972087093</v>
      </c>
      <c r="BD6" s="19">
        <f t="shared" si="27"/>
        <v>-0.40797192190145215</v>
      </c>
      <c r="BE6" s="15">
        <v>5678999.9999999991</v>
      </c>
      <c r="BF6" s="16">
        <f>テーブル2[[#This Row],[q_P]]/テーブル2[[#This Row],[q_M]]</f>
        <v>0.92429856278555445</v>
      </c>
      <c r="BG6">
        <v>1</v>
      </c>
      <c r="BH6">
        <v>-3.5999999999999997E-2</v>
      </c>
      <c r="BI6">
        <v>4.5999999999999999E-2</v>
      </c>
      <c r="BJ6">
        <v>5625</v>
      </c>
      <c r="BK6" s="22">
        <v>1</v>
      </c>
      <c r="BL6">
        <f>テーブル2[[#This Row],[Ts]]-テーブル2[[#This Row],[Tin]]</f>
        <v>116.95802495998998</v>
      </c>
      <c r="BM6">
        <f>テーブル2[[#This Row],[q_P]]*0.000001</f>
        <v>5.2490915380591625</v>
      </c>
      <c r="BN6">
        <f>テーブル2[[#This Row],[Tsub]]</f>
        <v>116.95802495998998</v>
      </c>
      <c r="BO6">
        <f>テーブル2[[#This Row],[Fcorr]]</f>
        <v>1</v>
      </c>
      <c r="BP6">
        <f>(テーブル2[[#This Row],[Tsub]]-40)^2</f>
        <v>5922.5376057424419</v>
      </c>
      <c r="BQ6">
        <v>1</v>
      </c>
      <c r="BR6">
        <v>0.15240000000000001</v>
      </c>
    </row>
    <row r="7" spans="1:70" x14ac:dyDescent="0.15">
      <c r="A7" s="9" t="s">
        <v>75</v>
      </c>
      <c r="B7">
        <v>13789520</v>
      </c>
      <c r="C7" s="22">
        <f t="array" ref="C7">TsatFromP(テーブル2[[#This Row],[P]])</f>
        <v>608.621106065763</v>
      </c>
      <c r="D7">
        <f t="array" ref="D7">RhoGFromP(テーブル2[[#This Row],[P]])</f>
        <v>85.147893581579396</v>
      </c>
      <c r="E7">
        <f t="array" ref="E7">RhoFFromP(テーブル2[[#This Row],[P]])</f>
        <v>624.86627494838649</v>
      </c>
      <c r="F7">
        <f t="array" ref="F7">HgFromP(テーブル2[[#This Row],[P]])</f>
        <v>2643264.389866509</v>
      </c>
      <c r="G7">
        <f t="array" ref="G7">HfFromP(テーブル2[[#This Row],[P]])</f>
        <v>1562686.9740257829</v>
      </c>
      <c r="H7">
        <f t="array" ref="H7">MuGFromP(テーブル2[[#This Row],[P]])</f>
        <v>2.2019594042733509E-5</v>
      </c>
      <c r="I7">
        <f t="array" ref="I7">MuFFromP(テーブル2[[#This Row],[P]])</f>
        <v>7.2223252690249831E-5</v>
      </c>
      <c r="J7">
        <f t="array" ref="J7">KfFromP(テーブル2[[#This Row],[P]])</f>
        <v>0.4911212487937569</v>
      </c>
      <c r="K7">
        <f t="array" ref="K7">CpFFromP(テーブル2[[#This Row],[P]])</f>
        <v>7679.7516396704104</v>
      </c>
      <c r="L7">
        <f t="array" ref="L7">SigmaFromP(テーブル2[[#This Row],[P]])</f>
        <v>6.5036382888884548E-3</v>
      </c>
      <c r="M7">
        <v>6</v>
      </c>
      <c r="N7">
        <v>3118.8</v>
      </c>
      <c r="O7" s="8">
        <v>2.8502295699234241E-6</v>
      </c>
      <c r="P7" s="8">
        <v>5.9847340050885548E-3</v>
      </c>
      <c r="Q7" s="8">
        <v>1.905E-3</v>
      </c>
      <c r="R7">
        <v>0.15240000000000001</v>
      </c>
      <c r="S7" s="15">
        <v>5246751.89453125</v>
      </c>
      <c r="T7">
        <v>492.22868586317702</v>
      </c>
      <c r="U7" s="12">
        <f>+T7+BG7*S7*テーブル2[[#This Row],[Pw]]*R7/(N7*O7*K7)</f>
        <v>562.32671465294015</v>
      </c>
      <c r="V7">
        <v>0.03</v>
      </c>
      <c r="W7" s="8">
        <f t="shared" si="0"/>
        <v>82263.173959791486</v>
      </c>
      <c r="X7">
        <v>3.1491139902307147E-2</v>
      </c>
      <c r="Y7">
        <f t="shared" si="1"/>
        <v>5.6351542621364716</v>
      </c>
      <c r="Z7">
        <f t="shared" si="2"/>
        <v>5.6351542954879825</v>
      </c>
      <c r="AA7">
        <f t="shared" si="3"/>
        <v>-3.3351510886348024E-8</v>
      </c>
      <c r="AB7">
        <f t="shared" si="4"/>
        <v>1.2736534184098725E-5</v>
      </c>
      <c r="AC7">
        <v>695.55499809770356</v>
      </c>
      <c r="AD7">
        <f t="shared" si="5"/>
        <v>2580.6235926735508</v>
      </c>
      <c r="AE7">
        <f>+gettm2(AD7,AC7,AK7,AL7,テーブル2[[#This Row],[Fcorr]])</f>
        <v>562.32671560849008</v>
      </c>
      <c r="AF7" s="14">
        <f t="shared" si="6"/>
        <v>9.5554992185498122E-7</v>
      </c>
      <c r="AG7">
        <v>1.2812504443858099E-5</v>
      </c>
      <c r="AH7">
        <f t="shared" si="7"/>
        <v>61.275428887159265</v>
      </c>
      <c r="AI7">
        <f t="shared" si="8"/>
        <v>0.31314799616464356</v>
      </c>
      <c r="AJ7">
        <f t="shared" si="9"/>
        <v>34.713124670923804</v>
      </c>
      <c r="AK7">
        <f t="array" ref="AK7">+S7*テーブル2[[#This Row],[F_form]]/(E7*CpFromTP((テーブル2[[#This Row],[Tin]]+テーブル2[[#This Row],[Tf]])/2,テーブル2[[#This Row],[P]])*AI7)</f>
        <v>5.6150323405509432</v>
      </c>
      <c r="AL7">
        <f t="shared" si="10"/>
        <v>1.1293680422758512</v>
      </c>
      <c r="AM7">
        <f t="shared" si="11"/>
        <v>608.62110604178554</v>
      </c>
      <c r="AN7">
        <f t="shared" si="12"/>
        <v>2.3977463570190594E-8</v>
      </c>
      <c r="AO7">
        <f t="shared" si="13"/>
        <v>7.5970259759373929E-8</v>
      </c>
      <c r="AP7">
        <v>3.8108539041678799</v>
      </c>
      <c r="AQ7">
        <f t="shared" si="14"/>
        <v>3.7548938935195246E-5</v>
      </c>
      <c r="AR7">
        <f t="shared" si="15"/>
        <v>6.4442373518087366E-6</v>
      </c>
      <c r="AS7">
        <f t="shared" si="16"/>
        <v>17.459476059701576</v>
      </c>
      <c r="AT7">
        <f t="shared" si="17"/>
        <v>11.249412709628935</v>
      </c>
      <c r="AU7">
        <f t="shared" si="18"/>
        <v>3.5227310480493741</v>
      </c>
      <c r="AV7">
        <f t="shared" si="19"/>
        <v>0.28812285611850585</v>
      </c>
      <c r="AW7">
        <f t="shared" si="20"/>
        <v>7.657349315826744E-3</v>
      </c>
      <c r="AX7">
        <f t="shared" si="21"/>
        <v>0.28812285021663986</v>
      </c>
      <c r="AY7">
        <f t="shared" si="22"/>
        <v>5.9018659959164665E-9</v>
      </c>
      <c r="AZ7">
        <f t="shared" si="23"/>
        <v>1080577.4158407261</v>
      </c>
      <c r="BA7">
        <f t="shared" si="24"/>
        <v>9.8531562425230922E-6</v>
      </c>
      <c r="BB7" s="15">
        <f t="shared" si="25"/>
        <v>5206084.5145973116</v>
      </c>
      <c r="BC7" s="20">
        <f t="shared" si="26"/>
        <v>-40667.379933938384</v>
      </c>
      <c r="BD7" s="19">
        <f t="shared" si="27"/>
        <v>-0.77509630246336714</v>
      </c>
      <c r="BE7" s="15">
        <v>5521249.9999999991</v>
      </c>
      <c r="BF7" s="16">
        <f>テーブル2[[#This Row],[q_P]]/テーブル2[[#This Row],[q_M]]</f>
        <v>0.9429177296078447</v>
      </c>
      <c r="BG7">
        <v>1</v>
      </c>
      <c r="BH7">
        <v>-4.8000000000000001E-2</v>
      </c>
      <c r="BI7">
        <v>4.5999999999999999E-2</v>
      </c>
      <c r="BJ7">
        <v>5625</v>
      </c>
      <c r="BK7" s="22">
        <v>1</v>
      </c>
      <c r="BL7">
        <f>テーブル2[[#This Row],[Ts]]-テーブル2[[#This Row],[Tin]]</f>
        <v>116.39242020258598</v>
      </c>
      <c r="BM7">
        <f>テーブル2[[#This Row],[q_P]]*0.000001</f>
        <v>5.2060845145973111</v>
      </c>
      <c r="BN7">
        <f>テーブル2[[#This Row],[Tsub]]</f>
        <v>116.39242020258598</v>
      </c>
      <c r="BO7">
        <f>テーブル2[[#This Row],[Fcorr]]</f>
        <v>1</v>
      </c>
      <c r="BP7">
        <f>(テーブル2[[#This Row],[Tsub]]-40)^2</f>
        <v>5835.8018644084668</v>
      </c>
      <c r="BQ7">
        <v>1</v>
      </c>
      <c r="BR7">
        <v>0.15240000000000001</v>
      </c>
    </row>
    <row r="8" spans="1:70" x14ac:dyDescent="0.15">
      <c r="A8" s="9" t="s">
        <v>76</v>
      </c>
      <c r="B8">
        <v>13789520</v>
      </c>
      <c r="C8" s="22">
        <f t="array" ref="C8">TsatFromP(テーブル2[[#This Row],[P]])</f>
        <v>608.621106065763</v>
      </c>
      <c r="D8">
        <f t="array" ref="D8">RhoGFromP(テーブル2[[#This Row],[P]])</f>
        <v>85.147893581579396</v>
      </c>
      <c r="E8">
        <f t="array" ref="E8">RhoFFromP(テーブル2[[#This Row],[P]])</f>
        <v>624.86627494838649</v>
      </c>
      <c r="F8">
        <f t="array" ref="F8">HgFromP(テーブル2[[#This Row],[P]])</f>
        <v>2643264.389866509</v>
      </c>
      <c r="G8">
        <f t="array" ref="G8">HfFromP(テーブル2[[#This Row],[P]])</f>
        <v>1562686.9740257829</v>
      </c>
      <c r="H8">
        <f t="array" ref="H8">MuGFromP(テーブル2[[#This Row],[P]])</f>
        <v>2.2019594042733509E-5</v>
      </c>
      <c r="I8">
        <f t="array" ref="I8">MuFFromP(テーブル2[[#This Row],[P]])</f>
        <v>7.2223252690249831E-5</v>
      </c>
      <c r="J8">
        <f t="array" ref="J8">KfFromP(テーブル2[[#This Row],[P]])</f>
        <v>0.4911212487937569</v>
      </c>
      <c r="K8">
        <f t="array" ref="K8">CpFFromP(テーブル2[[#This Row],[P]])</f>
        <v>7679.7516396704104</v>
      </c>
      <c r="L8">
        <f t="array" ref="L8">SigmaFromP(テーブル2[[#This Row],[P]])</f>
        <v>6.5036382888884548E-3</v>
      </c>
      <c r="M8" s="23">
        <v>7</v>
      </c>
      <c r="N8">
        <v>3132.36</v>
      </c>
      <c r="O8" s="8">
        <v>2.8502295699234241E-6</v>
      </c>
      <c r="P8" s="8">
        <v>5.9847340050885548E-3</v>
      </c>
      <c r="Q8" s="8">
        <v>1.905E-3</v>
      </c>
      <c r="R8">
        <v>0.15240000000000001</v>
      </c>
      <c r="S8" s="15">
        <v>6662660.05859375</v>
      </c>
      <c r="T8">
        <v>458.882857903603</v>
      </c>
      <c r="U8" s="12">
        <f>+T8+BG8*S8*テーブル2[[#This Row],[Pw]]*R8/(N8*O8*K8)</f>
        <v>547.51245782397086</v>
      </c>
      <c r="V8">
        <v>0.03</v>
      </c>
      <c r="W8" s="8">
        <f t="shared" si="0"/>
        <v>82620.8399335297</v>
      </c>
      <c r="X8">
        <v>3.1429666814954189E-2</v>
      </c>
      <c r="Y8">
        <f t="shared" si="1"/>
        <v>5.6406624514571586</v>
      </c>
      <c r="Z8">
        <f t="shared" si="2"/>
        <v>5.6406624763576003</v>
      </c>
      <c r="AA8">
        <f t="shared" si="3"/>
        <v>-2.4900441708552989E-8</v>
      </c>
      <c r="AB8">
        <f t="shared" si="4"/>
        <v>1.2651195938575835E-5</v>
      </c>
      <c r="AC8">
        <v>723.16766810763772</v>
      </c>
      <c r="AD8">
        <f t="shared" si="5"/>
        <v>2589.3127220028477</v>
      </c>
      <c r="AE8">
        <f>+gettm2(AD8,AC8,AK8,AL8,テーブル2[[#This Row],[Fcorr]])</f>
        <v>547.51245782397109</v>
      </c>
      <c r="AF8" s="14">
        <f t="shared" si="6"/>
        <v>0</v>
      </c>
      <c r="AG8">
        <v>1.2748365000298211E-5</v>
      </c>
      <c r="AH8">
        <f t="shared" si="7"/>
        <v>61.688760371414311</v>
      </c>
      <c r="AI8">
        <f t="shared" si="8"/>
        <v>0.31420238605924489</v>
      </c>
      <c r="AJ8">
        <f t="shared" si="9"/>
        <v>34.655646908144874</v>
      </c>
      <c r="AK8">
        <f t="array" ref="AK8">+S8*テーブル2[[#This Row],[F_form]]/(E8*CpFromTP((テーブル2[[#This Row],[Tin]]+テーブル2[[#This Row],[Tf]])/2,テーブル2[[#This Row],[P]])*AI8)</f>
        <v>7.400506181107172</v>
      </c>
      <c r="AL8">
        <f t="shared" si="10"/>
        <v>1.1293680422758512</v>
      </c>
      <c r="AM8">
        <f t="shared" si="11"/>
        <v>608.62110604038844</v>
      </c>
      <c r="AN8">
        <f t="shared" si="12"/>
        <v>2.5374561118951533E-8</v>
      </c>
      <c r="AO8">
        <f t="shared" si="13"/>
        <v>9.7169061722375953E-8</v>
      </c>
      <c r="AP8">
        <v>3.8228184295463499</v>
      </c>
      <c r="AQ8">
        <f t="shared" si="14"/>
        <v>3.731426799315666E-5</v>
      </c>
      <c r="AR8">
        <f t="shared" si="15"/>
        <v>6.4227670310102932E-6</v>
      </c>
      <c r="AS8">
        <f t="shared" si="16"/>
        <v>17.4598975158587</v>
      </c>
      <c r="AT8">
        <f t="shared" si="17"/>
        <v>11.24953340370617</v>
      </c>
      <c r="AU8">
        <f t="shared" si="18"/>
        <v>3.5346302374976575</v>
      </c>
      <c r="AV8">
        <f t="shared" si="19"/>
        <v>0.28818819204869239</v>
      </c>
      <c r="AW8">
        <f t="shared" si="20"/>
        <v>7.6060429913178051E-3</v>
      </c>
      <c r="AX8">
        <f t="shared" si="21"/>
        <v>0.28818818555697151</v>
      </c>
      <c r="AY8">
        <f t="shared" si="22"/>
        <v>6.4917208830728157E-9</v>
      </c>
      <c r="AZ8">
        <f t="shared" si="23"/>
        <v>1080577.4158407261</v>
      </c>
      <c r="BA8">
        <f t="shared" si="24"/>
        <v>9.760931281683893E-6</v>
      </c>
      <c r="BB8" s="15">
        <f t="shared" si="25"/>
        <v>6721709.2980833799</v>
      </c>
      <c r="BC8" s="20">
        <f t="shared" si="26"/>
        <v>59049.239489629865</v>
      </c>
      <c r="BD8" s="19">
        <f t="shared" si="27"/>
        <v>0.88627123356632798</v>
      </c>
      <c r="BE8" s="15">
        <v>6751700</v>
      </c>
      <c r="BF8" s="16">
        <f>テーブル2[[#This Row],[q_P]]/テーブル2[[#This Row],[q_M]]</f>
        <v>0.99555805176227907</v>
      </c>
      <c r="BG8">
        <v>1</v>
      </c>
      <c r="BH8">
        <v>-7.0999999999999994E-2</v>
      </c>
      <c r="BI8">
        <v>4.5999999999999999E-2</v>
      </c>
      <c r="BJ8">
        <v>5625</v>
      </c>
      <c r="BK8" s="22">
        <v>1</v>
      </c>
      <c r="BL8">
        <f>テーブル2[[#This Row],[Ts]]-テーブル2[[#This Row],[Tin]]</f>
        <v>149.73824816216</v>
      </c>
      <c r="BM8">
        <f>テーブル2[[#This Row],[q_P]]*0.000001</f>
        <v>6.7217092980833799</v>
      </c>
      <c r="BN8">
        <f>テーブル2[[#This Row],[Tsub]]</f>
        <v>149.73824816216</v>
      </c>
      <c r="BO8">
        <f>テーブル2[[#This Row],[Fcorr]]</f>
        <v>1</v>
      </c>
      <c r="BP8">
        <f>(テーブル2[[#This Row],[Tsub]]-40)^2</f>
        <v>12042.483109699813</v>
      </c>
      <c r="BQ8">
        <v>1</v>
      </c>
      <c r="BR8">
        <v>0.15240000000000001</v>
      </c>
    </row>
    <row r="9" spans="1:70" x14ac:dyDescent="0.15">
      <c r="A9" s="9" t="s">
        <v>77</v>
      </c>
      <c r="B9">
        <v>13789520</v>
      </c>
      <c r="C9" s="22">
        <f t="array" ref="C9">TsatFromP(テーブル2[[#This Row],[P]])</f>
        <v>608.621106065763</v>
      </c>
      <c r="D9">
        <f t="array" ref="D9">RhoGFromP(テーブル2[[#This Row],[P]])</f>
        <v>85.147893581579396</v>
      </c>
      <c r="E9">
        <f t="array" ref="E9">RhoFFromP(テーブル2[[#This Row],[P]])</f>
        <v>624.86627494838649</v>
      </c>
      <c r="F9">
        <f t="array" ref="F9">HgFromP(テーブル2[[#This Row],[P]])</f>
        <v>2643264.389866509</v>
      </c>
      <c r="G9">
        <f t="array" ref="G9">HfFromP(テーブル2[[#This Row],[P]])</f>
        <v>1562686.9740257829</v>
      </c>
      <c r="H9">
        <f t="array" ref="H9">MuGFromP(テーブル2[[#This Row],[P]])</f>
        <v>2.2019594042733509E-5</v>
      </c>
      <c r="I9">
        <f t="array" ref="I9">MuFFromP(テーブル2[[#This Row],[P]])</f>
        <v>7.2223252690249831E-5</v>
      </c>
      <c r="J9">
        <f t="array" ref="J9">KfFromP(テーブル2[[#This Row],[P]])</f>
        <v>0.4911212487937569</v>
      </c>
      <c r="K9">
        <f t="array" ref="K9">CpFFromP(テーブル2[[#This Row],[P]])</f>
        <v>7679.7516396704104</v>
      </c>
      <c r="L9">
        <f t="array" ref="L9">SigmaFromP(テーブル2[[#This Row],[P]])</f>
        <v>6.5036382888884548E-3</v>
      </c>
      <c r="M9">
        <v>8</v>
      </c>
      <c r="N9">
        <v>3145.92</v>
      </c>
      <c r="O9" s="8">
        <v>2.8502295699234241E-6</v>
      </c>
      <c r="P9" s="8">
        <v>5.9847340050885548E-3</v>
      </c>
      <c r="Q9" s="8">
        <v>1.905E-3</v>
      </c>
      <c r="R9">
        <v>0.15240000000000001</v>
      </c>
      <c r="S9" s="15">
        <v>3751771.9142187499</v>
      </c>
      <c r="T9">
        <v>527.873770788711</v>
      </c>
      <c r="U9" s="12">
        <f>+T9+BG9*S9*テーブル2[[#This Row],[Pw]]*R9/(N9*O9*K9)</f>
        <v>577.56635204125132</v>
      </c>
      <c r="V9">
        <v>0.03</v>
      </c>
      <c r="W9" s="8">
        <f t="shared" si="0"/>
        <v>82978.505907267943</v>
      </c>
      <c r="X9">
        <v>3.1368633029053412E-2</v>
      </c>
      <c r="Y9">
        <f t="shared" si="1"/>
        <v>5.6461472885750759</v>
      </c>
      <c r="Z9">
        <f t="shared" si="2"/>
        <v>5.6461473058660534</v>
      </c>
      <c r="AA9">
        <f t="shared" si="3"/>
        <v>-1.7290977538664265E-8</v>
      </c>
      <c r="AB9">
        <f t="shared" si="4"/>
        <v>1.2566772574052624E-5</v>
      </c>
      <c r="AC9">
        <v>666.59199839635016</v>
      </c>
      <c r="AD9">
        <f t="shared" si="5"/>
        <v>2597.9956429087829</v>
      </c>
      <c r="AE9">
        <f>+gettm2(AD9,AC9,AK9,AL9,テーブル2[[#This Row],[Fcorr]])</f>
        <v>577.56635204125121</v>
      </c>
      <c r="AF9" s="14">
        <f t="shared" si="6"/>
        <v>0</v>
      </c>
      <c r="AG9">
        <v>1.262070038134585E-5</v>
      </c>
      <c r="AH9">
        <f t="shared" si="7"/>
        <v>62.103184414909315</v>
      </c>
      <c r="AI9">
        <f t="shared" si="8"/>
        <v>0.31525602258735741</v>
      </c>
      <c r="AJ9">
        <f t="shared" si="9"/>
        <v>34.423647875269012</v>
      </c>
      <c r="AK9">
        <f t="array" ref="AK9">+S9*テーブル2[[#This Row],[F_form]]/(E9*CpFromTP((テーブル2[[#This Row],[Tin]]+テーブル2[[#This Row],[Tf]])/2,テーブル2[[#This Row],[P]])*AI9)</f>
        <v>3.7493913529362466</v>
      </c>
      <c r="AL9">
        <f t="shared" si="10"/>
        <v>1.1293680422758512</v>
      </c>
      <c r="AM9">
        <f t="shared" si="11"/>
        <v>608.62110606143051</v>
      </c>
      <c r="AN9">
        <f t="shared" si="12"/>
        <v>4.3324916987330653E-9</v>
      </c>
      <c r="AO9">
        <f t="shared" si="13"/>
        <v>5.392780729322607E-8</v>
      </c>
      <c r="AP9">
        <v>3.820014327797439</v>
      </c>
      <c r="AQ9">
        <f t="shared" si="14"/>
        <v>3.7369069571560536E-5</v>
      </c>
      <c r="AR9">
        <f t="shared" si="15"/>
        <v>6.3373140943195381E-6</v>
      </c>
      <c r="AS9">
        <f t="shared" si="16"/>
        <v>17.285369453844183</v>
      </c>
      <c r="AT9">
        <f t="shared" si="17"/>
        <v>11.199302236956409</v>
      </c>
      <c r="AU9">
        <f t="shared" si="18"/>
        <v>3.5306474789765723</v>
      </c>
      <c r="AV9">
        <f t="shared" si="19"/>
        <v>0.28936684882086672</v>
      </c>
      <c r="AW9">
        <f t="shared" si="20"/>
        <v>7.5552867036788422E-3</v>
      </c>
      <c r="AX9">
        <f t="shared" si="21"/>
        <v>0.28936684232855497</v>
      </c>
      <c r="AY9">
        <f t="shared" si="22"/>
        <v>6.4923117437665212E-9</v>
      </c>
      <c r="AZ9">
        <f t="shared" si="23"/>
        <v>1080577.4158407261</v>
      </c>
      <c r="BA9">
        <f t="shared" si="24"/>
        <v>9.7824422541124249E-6</v>
      </c>
      <c r="BB9" s="15">
        <f t="shared" si="25"/>
        <v>3722274.8804097767</v>
      </c>
      <c r="BC9" s="20">
        <f t="shared" si="26"/>
        <v>-29497.033808973152</v>
      </c>
      <c r="BD9" s="19">
        <f t="shared" si="27"/>
        <v>-0.78621607292231854</v>
      </c>
      <c r="BE9" s="15">
        <v>4164600</v>
      </c>
      <c r="BF9" s="16">
        <f>テーブル2[[#This Row],[q_P]]/テーブル2[[#This Row],[q_M]]</f>
        <v>0.89378929078657654</v>
      </c>
      <c r="BG9">
        <v>1</v>
      </c>
      <c r="BH9">
        <v>-2.7E-2</v>
      </c>
      <c r="BI9">
        <v>4.5999999999999999E-2</v>
      </c>
      <c r="BJ9">
        <v>5625</v>
      </c>
      <c r="BK9" s="22">
        <v>1</v>
      </c>
      <c r="BL9">
        <f>テーブル2[[#This Row],[Ts]]-テーブル2[[#This Row],[Tin]]</f>
        <v>80.747335277052002</v>
      </c>
      <c r="BM9">
        <f>テーブル2[[#This Row],[q_P]]*0.000001</f>
        <v>3.7222748804097767</v>
      </c>
      <c r="BN9">
        <f>テーブル2[[#This Row],[Tsub]]</f>
        <v>80.747335277052002</v>
      </c>
      <c r="BO9">
        <f>テーブル2[[#This Row],[Fcorr]]</f>
        <v>1</v>
      </c>
      <c r="BP9">
        <f>(テーブル2[[#This Row],[Tsub]]-40)^2</f>
        <v>1660.3453321804866</v>
      </c>
      <c r="BQ9">
        <v>1</v>
      </c>
      <c r="BR9">
        <v>0.15240000000000001</v>
      </c>
    </row>
    <row r="10" spans="1:70" x14ac:dyDescent="0.15">
      <c r="A10" s="9" t="s">
        <v>78</v>
      </c>
      <c r="B10">
        <v>13789520</v>
      </c>
      <c r="C10" s="22">
        <f t="array" ref="C10">TsatFromP(テーブル2[[#This Row],[P]])</f>
        <v>608.621106065763</v>
      </c>
      <c r="D10">
        <f t="array" ref="D10">RhoGFromP(テーブル2[[#This Row],[P]])</f>
        <v>85.147893581579396</v>
      </c>
      <c r="E10">
        <f t="array" ref="E10">RhoFFromP(テーブル2[[#This Row],[P]])</f>
        <v>624.86627494838649</v>
      </c>
      <c r="F10">
        <f t="array" ref="F10">HgFromP(テーブル2[[#This Row],[P]])</f>
        <v>2643264.389866509</v>
      </c>
      <c r="G10">
        <f t="array" ref="G10">HfFromP(テーブル2[[#This Row],[P]])</f>
        <v>1562686.9740257829</v>
      </c>
      <c r="H10">
        <f t="array" ref="H10">MuGFromP(テーブル2[[#This Row],[P]])</f>
        <v>2.2019594042733509E-5</v>
      </c>
      <c r="I10">
        <f t="array" ref="I10">MuFFromP(テーブル2[[#This Row],[P]])</f>
        <v>7.2223252690249831E-5</v>
      </c>
      <c r="J10">
        <f t="array" ref="J10">KfFromP(テーブル2[[#This Row],[P]])</f>
        <v>0.4911212487937569</v>
      </c>
      <c r="K10">
        <f t="array" ref="K10">CpFFromP(テーブル2[[#This Row],[P]])</f>
        <v>7679.7516396704104</v>
      </c>
      <c r="L10">
        <f t="array" ref="L10">SigmaFromP(テーブル2[[#This Row],[P]])</f>
        <v>6.5036382888884548E-3</v>
      </c>
      <c r="M10" s="23">
        <v>9</v>
      </c>
      <c r="N10">
        <v>3145.92</v>
      </c>
      <c r="O10" s="8">
        <v>2.8502295699234241E-6</v>
      </c>
      <c r="P10" s="8">
        <v>5.9847340050885548E-3</v>
      </c>
      <c r="Q10" s="8">
        <v>1.905E-3</v>
      </c>
      <c r="R10">
        <v>0.15240000000000001</v>
      </c>
      <c r="S10" s="15">
        <v>3535281.83984375</v>
      </c>
      <c r="T10">
        <v>532.84871111815698</v>
      </c>
      <c r="U10" s="12">
        <f>+T10+BG10*S10*テーブル2[[#This Row],[Pw]]*R10/(N10*O10*K10)</f>
        <v>579.67386043261047</v>
      </c>
      <c r="V10">
        <v>0.03</v>
      </c>
      <c r="W10" s="8">
        <f t="shared" si="0"/>
        <v>82978.505907267943</v>
      </c>
      <c r="X10">
        <v>3.1368633029053412E-2</v>
      </c>
      <c r="Y10">
        <f t="shared" si="1"/>
        <v>5.6461472885750759</v>
      </c>
      <c r="Z10">
        <f t="shared" si="2"/>
        <v>5.6461473058660534</v>
      </c>
      <c r="AA10">
        <f t="shared" si="3"/>
        <v>-1.7290977538664265E-8</v>
      </c>
      <c r="AB10">
        <f t="shared" si="4"/>
        <v>1.2566772574052624E-5</v>
      </c>
      <c r="AC10">
        <v>662.65222217497114</v>
      </c>
      <c r="AD10">
        <f t="shared" si="5"/>
        <v>2597.9956429087829</v>
      </c>
      <c r="AE10">
        <f>+gettm2(AD10,AC10,AK10,AL10,テーブル2[[#This Row],[Fcorr]])</f>
        <v>579.67386105913249</v>
      </c>
      <c r="AF10" s="14">
        <f t="shared" si="6"/>
        <v>6.2652202359458897E-7</v>
      </c>
      <c r="AG10">
        <v>1.2617867547897149E-5</v>
      </c>
      <c r="AH10">
        <f t="shared" si="7"/>
        <v>62.103184414909315</v>
      </c>
      <c r="AI10">
        <f t="shared" si="8"/>
        <v>0.31525602258735741</v>
      </c>
      <c r="AJ10">
        <f t="shared" si="9"/>
        <v>34.415921167702805</v>
      </c>
      <c r="AK10">
        <f t="array" ref="AK10">+S10*テーブル2[[#This Row],[F_form]]/(E10*CpFromTP((テーブル2[[#This Row],[Tin]]+テーブル2[[#This Row],[Tf]])/2,テーブル2[[#This Row],[P]])*AI10)</f>
        <v>3.494704755162132</v>
      </c>
      <c r="AL10">
        <f t="shared" si="10"/>
        <v>1.1293680422758512</v>
      </c>
      <c r="AM10">
        <f t="shared" si="11"/>
        <v>608.62110606173542</v>
      </c>
      <c r="AN10">
        <f t="shared" si="12"/>
        <v>4.0275835999636911E-9</v>
      </c>
      <c r="AO10">
        <f t="shared" si="13"/>
        <v>5.1094973844525415E-8</v>
      </c>
      <c r="AP10">
        <v>3.819359194570187</v>
      </c>
      <c r="AQ10">
        <f t="shared" si="14"/>
        <v>3.738189047557638E-5</v>
      </c>
      <c r="AR10">
        <f t="shared" si="15"/>
        <v>6.3344812608708374E-6</v>
      </c>
      <c r="AS10">
        <f t="shared" si="16"/>
        <v>17.277642746277973</v>
      </c>
      <c r="AT10">
        <f t="shared" si="17"/>
        <v>11.197066694622833</v>
      </c>
      <c r="AU10">
        <f t="shared" si="18"/>
        <v>3.5299427107921635</v>
      </c>
      <c r="AV10">
        <f t="shared" si="19"/>
        <v>0.28941648377802354</v>
      </c>
      <c r="AW10">
        <f t="shared" si="20"/>
        <v>7.5552867036788422E-3</v>
      </c>
      <c r="AX10">
        <f t="shared" si="21"/>
        <v>0.28941647731275438</v>
      </c>
      <c r="AY10">
        <f t="shared" si="22"/>
        <v>6.4652691533773066E-9</v>
      </c>
      <c r="AZ10">
        <f t="shared" si="23"/>
        <v>1080577.4158407261</v>
      </c>
      <c r="BA10">
        <f t="shared" si="24"/>
        <v>9.7874770534074275E-6</v>
      </c>
      <c r="BB10" s="15">
        <f t="shared" si="25"/>
        <v>3524929.184895616</v>
      </c>
      <c r="BC10" s="20">
        <f t="shared" si="26"/>
        <v>-10352.654948133975</v>
      </c>
      <c r="BD10" s="19">
        <f t="shared" si="27"/>
        <v>-0.29283817859883937</v>
      </c>
      <c r="BE10" s="15">
        <v>3943750</v>
      </c>
      <c r="BF10" s="16">
        <f>テーブル2[[#This Row],[q_P]]/テーブル2[[#This Row],[q_M]]</f>
        <v>0.89380137810348426</v>
      </c>
      <c r="BG10">
        <v>1</v>
      </c>
      <c r="BH10">
        <v>-2.5999999999999999E-2</v>
      </c>
      <c r="BI10">
        <v>4.5999999999999999E-2</v>
      </c>
      <c r="BJ10">
        <v>5625</v>
      </c>
      <c r="BK10" s="22">
        <v>1</v>
      </c>
      <c r="BL10">
        <f>テーブル2[[#This Row],[Ts]]-テーブル2[[#This Row],[Tin]]</f>
        <v>75.772394947606017</v>
      </c>
      <c r="BM10">
        <f>テーブル2[[#This Row],[q_P]]*0.000001</f>
        <v>3.5249291848956159</v>
      </c>
      <c r="BN10">
        <f>テーブル2[[#This Row],[Tsub]]</f>
        <v>75.772394947606017</v>
      </c>
      <c r="BO10">
        <f>テーブル2[[#This Row],[Fcorr]]</f>
        <v>1</v>
      </c>
      <c r="BP10">
        <f>(テーブル2[[#This Row],[Tsub]]-40)^2</f>
        <v>1279.6642402875084</v>
      </c>
      <c r="BQ10">
        <v>1</v>
      </c>
      <c r="BR10">
        <v>0.15240000000000001</v>
      </c>
    </row>
    <row r="11" spans="1:70" x14ac:dyDescent="0.15">
      <c r="A11" s="9" t="s">
        <v>79</v>
      </c>
      <c r="B11">
        <v>13789520</v>
      </c>
      <c r="C11" s="22">
        <f t="array" ref="C11">TsatFromP(テーブル2[[#This Row],[P]])</f>
        <v>608.621106065763</v>
      </c>
      <c r="D11">
        <f t="array" ref="D11">RhoGFromP(テーブル2[[#This Row],[P]])</f>
        <v>85.147893581579396</v>
      </c>
      <c r="E11">
        <f t="array" ref="E11">RhoFFromP(テーブル2[[#This Row],[P]])</f>
        <v>624.86627494838649</v>
      </c>
      <c r="F11">
        <f t="array" ref="F11">HgFromP(テーブル2[[#This Row],[P]])</f>
        <v>2643264.389866509</v>
      </c>
      <c r="G11">
        <f t="array" ref="G11">HfFromP(テーブル2[[#This Row],[P]])</f>
        <v>1562686.9740257829</v>
      </c>
      <c r="H11">
        <f t="array" ref="H11">MuGFromP(テーブル2[[#This Row],[P]])</f>
        <v>2.2019594042733509E-5</v>
      </c>
      <c r="I11">
        <f t="array" ref="I11">MuFFromP(テーブル2[[#This Row],[P]])</f>
        <v>7.2223252690249831E-5</v>
      </c>
      <c r="J11">
        <f t="array" ref="J11">KfFromP(テーブル2[[#This Row],[P]])</f>
        <v>0.4911212487937569</v>
      </c>
      <c r="K11">
        <f t="array" ref="K11">CpFFromP(テーブル2[[#This Row],[P]])</f>
        <v>7679.7516396704104</v>
      </c>
      <c r="L11">
        <f t="array" ref="L11">SigmaFromP(テーブル2[[#This Row],[P]])</f>
        <v>6.5036382888884548E-3</v>
      </c>
      <c r="M11">
        <v>10</v>
      </c>
      <c r="N11">
        <v>3634.08</v>
      </c>
      <c r="O11" s="8">
        <v>2.8502295699234241E-6</v>
      </c>
      <c r="P11" s="8">
        <v>5.9847340050885548E-3</v>
      </c>
      <c r="Q11" s="8">
        <v>1.905E-3</v>
      </c>
      <c r="R11">
        <v>0.15240000000000001</v>
      </c>
      <c r="S11" s="15">
        <v>3515012.92578125</v>
      </c>
      <c r="T11">
        <v>541.31775243261598</v>
      </c>
      <c r="U11" s="12">
        <f>+T11+BG11*S11*テーブル2[[#This Row],[Pw]]*R11/(N11*O11*K11)</f>
        <v>581.62055488422368</v>
      </c>
      <c r="V11">
        <v>0.03</v>
      </c>
      <c r="W11" s="8">
        <f t="shared" si="0"/>
        <v>95854.48096184399</v>
      </c>
      <c r="X11">
        <v>2.942613318173885E-2</v>
      </c>
      <c r="Y11">
        <f t="shared" si="1"/>
        <v>5.8295281243322155</v>
      </c>
      <c r="Z11">
        <f t="shared" si="2"/>
        <v>5.8295281357081636</v>
      </c>
      <c r="AA11">
        <f t="shared" si="3"/>
        <v>-1.137594818345633E-8</v>
      </c>
      <c r="AB11">
        <f t="shared" si="4"/>
        <v>1.003904808948447E-5</v>
      </c>
      <c r="AC11">
        <v>654.95066353834602</v>
      </c>
      <c r="AD11">
        <f t="shared" si="5"/>
        <v>2906.7255552095385</v>
      </c>
      <c r="AE11">
        <f>+gettm2(AD11,AC11,AK11,AL11,テーブル2[[#This Row],[Fcorr]])</f>
        <v>581.62055488422357</v>
      </c>
      <c r="AF11" s="14">
        <f t="shared" si="6"/>
        <v>0</v>
      </c>
      <c r="AG11">
        <v>1.008132119404897E-5</v>
      </c>
      <c r="AH11">
        <f t="shared" si="7"/>
        <v>77.74009923152903</v>
      </c>
      <c r="AI11">
        <f t="shared" si="8"/>
        <v>0.35271912013770884</v>
      </c>
      <c r="AJ11">
        <f t="shared" si="9"/>
        <v>30.764970021015937</v>
      </c>
      <c r="AK11">
        <f t="array" ref="AK11">+S11*テーブル2[[#This Row],[F_form]]/(E11*CpFromTP((テーブル2[[#This Row],[Tin]]+テーブル2[[#This Row],[Tf]])/2,テーブル2[[#This Row],[P]])*AI11)</f>
        <v>3.0519131984293812</v>
      </c>
      <c r="AL11">
        <f t="shared" si="10"/>
        <v>1.1293680422758512</v>
      </c>
      <c r="AM11">
        <f t="shared" si="11"/>
        <v>608.62110606575754</v>
      </c>
      <c r="AN11">
        <f t="shared" si="12"/>
        <v>5.4569682106375694E-12</v>
      </c>
      <c r="AO11">
        <f t="shared" si="13"/>
        <v>4.2273104564500294E-8</v>
      </c>
      <c r="AP11">
        <v>4.0567578326103186</v>
      </c>
      <c r="AQ11">
        <f t="shared" si="14"/>
        <v>3.3134780786405241E-5</v>
      </c>
      <c r="AR11">
        <f t="shared" si="15"/>
        <v>5.0617971493067353E-6</v>
      </c>
      <c r="AS11">
        <f t="shared" si="16"/>
        <v>15.446987012258981</v>
      </c>
      <c r="AT11">
        <f t="shared" si="17"/>
        <v>10.637069844690066</v>
      </c>
      <c r="AU11">
        <f t="shared" si="18"/>
        <v>3.7518979164624353</v>
      </c>
      <c r="AV11">
        <f t="shared" si="19"/>
        <v>0.30485991614788333</v>
      </c>
      <c r="AW11">
        <f t="shared" si="20"/>
        <v>6.0355899735690475E-3</v>
      </c>
      <c r="AX11">
        <f t="shared" si="21"/>
        <v>0.30485988684059384</v>
      </c>
      <c r="AY11">
        <f t="shared" si="22"/>
        <v>2.93072894841373E-8</v>
      </c>
      <c r="AZ11" s="16">
        <f t="shared" si="23"/>
        <v>1080577.4158407261</v>
      </c>
      <c r="BA11" s="16">
        <f t="shared" si="24"/>
        <v>8.1677985607251989E-6</v>
      </c>
      <c r="BB11" s="15">
        <f t="shared" si="25"/>
        <v>3494637.2169813751</v>
      </c>
      <c r="BC11" s="20">
        <f t="shared" si="26"/>
        <v>-20375.708799874876</v>
      </c>
      <c r="BD11" s="19">
        <f t="shared" si="27"/>
        <v>-0.57967663932120961</v>
      </c>
      <c r="BE11" s="15">
        <v>4417000</v>
      </c>
      <c r="BF11" s="16">
        <f>テーブル2[[#This Row],[q_P]]/テーブル2[[#This Row],[q_M]]</f>
        <v>0.79117890355023213</v>
      </c>
      <c r="BG11">
        <v>1</v>
      </c>
      <c r="BH11">
        <v>1E-3</v>
      </c>
      <c r="BI11">
        <v>4.5999999999999999E-2</v>
      </c>
      <c r="BJ11">
        <v>5625</v>
      </c>
      <c r="BK11" s="22">
        <v>1</v>
      </c>
      <c r="BL11">
        <f>テーブル2[[#This Row],[Ts]]-テーブル2[[#This Row],[Tin]]</f>
        <v>67.303353633147026</v>
      </c>
      <c r="BM11">
        <f>テーブル2[[#This Row],[q_P]]*0.000001</f>
        <v>3.4946372169813751</v>
      </c>
      <c r="BN11">
        <f>テーブル2[[#This Row],[Tsub]]</f>
        <v>67.303353633147026</v>
      </c>
      <c r="BO11">
        <f>テーブル2[[#This Row],[Fcorr]]</f>
        <v>1</v>
      </c>
      <c r="BP11">
        <f>(テーブル2[[#This Row],[Tsub]]-40)^2</f>
        <v>745.47311961668288</v>
      </c>
      <c r="BQ11">
        <v>1</v>
      </c>
      <c r="BR11">
        <v>0.15240000000000001</v>
      </c>
    </row>
    <row r="12" spans="1:70" x14ac:dyDescent="0.15">
      <c r="A12" s="9" t="s">
        <v>80</v>
      </c>
      <c r="B12">
        <v>13789520</v>
      </c>
      <c r="C12" s="22">
        <f t="array" ref="C12">TsatFromP(テーブル2[[#This Row],[P]])</f>
        <v>608.621106065763</v>
      </c>
      <c r="D12">
        <f t="array" ref="D12">RhoGFromP(テーブル2[[#This Row],[P]])</f>
        <v>85.147893581579396</v>
      </c>
      <c r="E12">
        <f t="array" ref="E12">RhoFFromP(テーブル2[[#This Row],[P]])</f>
        <v>624.86627494838649</v>
      </c>
      <c r="F12">
        <f t="array" ref="F12">HgFromP(テーブル2[[#This Row],[P]])</f>
        <v>2643264.389866509</v>
      </c>
      <c r="G12">
        <f t="array" ref="G12">HfFromP(テーブル2[[#This Row],[P]])</f>
        <v>1562686.9740257829</v>
      </c>
      <c r="H12">
        <f t="array" ref="H12">MuGFromP(テーブル2[[#This Row],[P]])</f>
        <v>2.2019594042733509E-5</v>
      </c>
      <c r="I12">
        <f t="array" ref="I12">MuFFromP(テーブル2[[#This Row],[P]])</f>
        <v>7.2223252690249831E-5</v>
      </c>
      <c r="J12">
        <f t="array" ref="J12">KfFromP(テーブル2[[#This Row],[P]])</f>
        <v>0.4911212487937569</v>
      </c>
      <c r="K12">
        <f t="array" ref="K12">CpFFromP(テーブル2[[#This Row],[P]])</f>
        <v>7679.7516396704104</v>
      </c>
      <c r="L12">
        <f t="array" ref="L12">SigmaFromP(テーブル2[[#This Row],[P]])</f>
        <v>6.5036382888884548E-3</v>
      </c>
      <c r="M12" s="23">
        <v>11</v>
      </c>
      <c r="N12">
        <v>3851.04</v>
      </c>
      <c r="O12" s="8">
        <v>2.8502295699234241E-6</v>
      </c>
      <c r="P12" s="8">
        <v>5.9847340050885548E-3</v>
      </c>
      <c r="Q12" s="8">
        <v>1.905E-3</v>
      </c>
      <c r="R12">
        <v>0.15240000000000001</v>
      </c>
      <c r="S12" s="15">
        <v>4025857.05078125</v>
      </c>
      <c r="T12">
        <v>534.00031274747698</v>
      </c>
      <c r="U12" s="12">
        <f>+T12+BG12*S12*テーブル2[[#This Row],[Pw]]*R12/(N12*O12*K12)</f>
        <v>577.55983655479395</v>
      </c>
      <c r="V12">
        <v>0.03</v>
      </c>
      <c r="W12" s="8">
        <f t="shared" si="0"/>
        <v>101577.13654165558</v>
      </c>
      <c r="X12">
        <v>2.869484323396514E-2</v>
      </c>
      <c r="Y12">
        <f t="shared" si="1"/>
        <v>5.9033437360973915</v>
      </c>
      <c r="Z12">
        <f t="shared" si="2"/>
        <v>5.9033437630197314</v>
      </c>
      <c r="AA12">
        <f t="shared" si="3"/>
        <v>-2.6922339912971438E-8</v>
      </c>
      <c r="AB12">
        <f t="shared" si="4"/>
        <v>9.167581559868937E-6</v>
      </c>
      <c r="AC12">
        <v>659.74607261695246</v>
      </c>
      <c r="AD12">
        <f t="shared" si="5"/>
        <v>3041.7457153528158</v>
      </c>
      <c r="AE12">
        <f>+gettm2(AD12,AC12,AK12,AL12,テーブル2[[#This Row],[Fcorr]])</f>
        <v>577.55983655479395</v>
      </c>
      <c r="AF12" s="14">
        <f t="shared" si="6"/>
        <v>0</v>
      </c>
      <c r="AG12">
        <v>9.2124976108217692E-6</v>
      </c>
      <c r="AH12">
        <f t="shared" si="7"/>
        <v>85.130041065898297</v>
      </c>
      <c r="AI12">
        <f t="shared" si="8"/>
        <v>0.3691032579525898</v>
      </c>
      <c r="AJ12">
        <f t="shared" si="9"/>
        <v>29.419501454504115</v>
      </c>
      <c r="AK12">
        <f t="array" ref="AK12">+S12*テーブル2[[#This Row],[F_form]]/(E12*CpFromTP((テーブル2[[#This Row],[Tin]]+テーブル2[[#This Row],[Tf]])/2,テーブル2[[#This Row],[P]])*AI12)</f>
        <v>3.4042619883252869</v>
      </c>
      <c r="AL12">
        <f t="shared" si="10"/>
        <v>1.1293680422758512</v>
      </c>
      <c r="AM12">
        <f t="shared" si="11"/>
        <v>608.62110606589181</v>
      </c>
      <c r="AN12">
        <f t="shared" si="12"/>
        <v>-1.2880718713859096E-10</v>
      </c>
      <c r="AO12">
        <f t="shared" si="13"/>
        <v>4.4916050952832206E-8</v>
      </c>
      <c r="AP12">
        <v>4.1562829467995943</v>
      </c>
      <c r="AQ12">
        <f t="shared" si="14"/>
        <v>3.1566908964919469E-5</v>
      </c>
      <c r="AR12">
        <f t="shared" si="15"/>
        <v>4.6287068308873007E-6</v>
      </c>
      <c r="AS12">
        <f t="shared" si="16"/>
        <v>14.781468945381372</v>
      </c>
      <c r="AT12">
        <f t="shared" si="17"/>
        <v>10.416871489775144</v>
      </c>
      <c r="AU12">
        <f t="shared" si="18"/>
        <v>3.8449012045494531</v>
      </c>
      <c r="AV12">
        <f t="shared" si="19"/>
        <v>0.31138174225014126</v>
      </c>
      <c r="AW12">
        <f t="shared" si="20"/>
        <v>5.5116543771295823E-3</v>
      </c>
      <c r="AX12">
        <f t="shared" si="21"/>
        <v>0.3113817379247571</v>
      </c>
      <c r="AY12">
        <f t="shared" si="22"/>
        <v>4.3253841619517175E-9</v>
      </c>
      <c r="AZ12">
        <f t="shared" si="23"/>
        <v>1080577.4158407261</v>
      </c>
      <c r="BA12">
        <f t="shared" si="24"/>
        <v>7.5949855601689732E-6</v>
      </c>
      <c r="BB12" s="15">
        <f t="shared" si="25"/>
        <v>3993168.0311900657</v>
      </c>
      <c r="BC12" s="20">
        <f t="shared" si="26"/>
        <v>-32689.019591184333</v>
      </c>
      <c r="BD12" s="19">
        <f t="shared" si="27"/>
        <v>-0.81197665935110042</v>
      </c>
      <c r="BE12" s="15">
        <v>4858700</v>
      </c>
      <c r="BF12" s="16">
        <f>テーブル2[[#This Row],[q_P]]/テーブル2[[#This Row],[q_M]]</f>
        <v>0.82185935151173473</v>
      </c>
      <c r="BG12">
        <v>1</v>
      </c>
      <c r="BH12">
        <v>-1.7999999999999999E-2</v>
      </c>
      <c r="BI12">
        <v>4.5999999999999999E-2</v>
      </c>
      <c r="BJ12">
        <v>5625</v>
      </c>
      <c r="BK12" s="22">
        <v>1</v>
      </c>
      <c r="BL12">
        <f>テーブル2[[#This Row],[Ts]]-テーブル2[[#This Row],[Tin]]</f>
        <v>74.620793318286019</v>
      </c>
      <c r="BM12">
        <f>テーブル2[[#This Row],[q_P]]*0.000001</f>
        <v>3.9931680311900655</v>
      </c>
      <c r="BN12">
        <f>テーブル2[[#This Row],[Tsub]]</f>
        <v>74.620793318286019</v>
      </c>
      <c r="BO12">
        <f>テーブル2[[#This Row],[Fcorr]]</f>
        <v>1</v>
      </c>
      <c r="BP12">
        <f>(テーブル2[[#This Row],[Tsub]]-40)^2</f>
        <v>1198.5993299874779</v>
      </c>
      <c r="BQ12">
        <v>1</v>
      </c>
      <c r="BR12">
        <v>0.15240000000000001</v>
      </c>
    </row>
    <row r="13" spans="1:70" x14ac:dyDescent="0.15">
      <c r="A13" s="9" t="s">
        <v>81</v>
      </c>
      <c r="B13">
        <v>13789520</v>
      </c>
      <c r="C13" s="22">
        <f t="array" ref="C13">TsatFromP(テーブル2[[#This Row],[P]])</f>
        <v>608.621106065763</v>
      </c>
      <c r="D13">
        <f t="array" ref="D13">RhoGFromP(テーブル2[[#This Row],[P]])</f>
        <v>85.147893581579396</v>
      </c>
      <c r="E13">
        <f t="array" ref="E13">RhoFFromP(テーブル2[[#This Row],[P]])</f>
        <v>624.86627494838649</v>
      </c>
      <c r="F13">
        <f t="array" ref="F13">HgFromP(テーブル2[[#This Row],[P]])</f>
        <v>2643264.389866509</v>
      </c>
      <c r="G13">
        <f t="array" ref="G13">HfFromP(テーブル2[[#This Row],[P]])</f>
        <v>1562686.9740257829</v>
      </c>
      <c r="H13">
        <f t="array" ref="H13">MuGFromP(テーブル2[[#This Row],[P]])</f>
        <v>2.2019594042733509E-5</v>
      </c>
      <c r="I13">
        <f t="array" ref="I13">MuFFromP(テーブル2[[#This Row],[P]])</f>
        <v>7.2223252690249831E-5</v>
      </c>
      <c r="J13">
        <f t="array" ref="J13">KfFromP(テーブル2[[#This Row],[P]])</f>
        <v>0.4911212487937569</v>
      </c>
      <c r="K13">
        <f t="array" ref="K13">CpFFromP(テーブル2[[#This Row],[P]])</f>
        <v>7679.7516396704104</v>
      </c>
      <c r="L13">
        <f t="array" ref="L13">SigmaFromP(テーブル2[[#This Row],[P]])</f>
        <v>6.5036382888884548E-3</v>
      </c>
      <c r="M13">
        <v>12</v>
      </c>
      <c r="N13">
        <v>3905.28</v>
      </c>
      <c r="O13" s="8">
        <v>2.8502295699234241E-6</v>
      </c>
      <c r="P13" s="8">
        <v>5.9847340050885548E-3</v>
      </c>
      <c r="Q13" s="8">
        <v>1.905E-3</v>
      </c>
      <c r="R13">
        <v>0.15240000000000001</v>
      </c>
      <c r="S13" s="15">
        <v>4119595.80078125</v>
      </c>
      <c r="T13">
        <v>532.84871111815698</v>
      </c>
      <c r="U13" s="12">
        <f>+T13+BG13*S13*テーブル2[[#This Row],[Pw]]*R13/(N13*O13*K13)</f>
        <v>576.80340223491476</v>
      </c>
      <c r="V13">
        <v>0.03</v>
      </c>
      <c r="W13" s="8">
        <f t="shared" si="0"/>
        <v>103007.80043660846</v>
      </c>
      <c r="X13">
        <v>2.85224803085561E-2</v>
      </c>
      <c r="Y13">
        <f t="shared" si="1"/>
        <v>5.9211539858301681</v>
      </c>
      <c r="Z13">
        <f t="shared" si="2"/>
        <v>5.9211539940556213</v>
      </c>
      <c r="AA13">
        <f t="shared" si="3"/>
        <v>-8.2254532074443887E-9</v>
      </c>
      <c r="AB13">
        <f t="shared" si="4"/>
        <v>8.9685669488103572E-6</v>
      </c>
      <c r="AC13">
        <v>660.32967746038969</v>
      </c>
      <c r="AD13">
        <f t="shared" si="5"/>
        <v>3075.3090688969974</v>
      </c>
      <c r="AE13">
        <f>+gettm2(AD13,AC13,AK13,AL13,テーブル2[[#This Row],[Fcorr]])</f>
        <v>576.80340223491464</v>
      </c>
      <c r="AF13" s="14">
        <f t="shared" si="6"/>
        <v>0</v>
      </c>
      <c r="AG13">
        <v>9.0140075816042139E-6</v>
      </c>
      <c r="AH13">
        <f t="shared" si="7"/>
        <v>87.019096709774388</v>
      </c>
      <c r="AI13">
        <f t="shared" si="8"/>
        <v>0.37317603204361366</v>
      </c>
      <c r="AJ13">
        <f t="shared" si="9"/>
        <v>29.103264317914672</v>
      </c>
      <c r="AK13">
        <f t="array" ref="AK13">+S13*テーブル2[[#This Row],[F_form]]/(E13*CpFromTP((テーブル2[[#This Row],[Tin]]+テーブル2[[#This Row],[Tf]])/2,テーブル2[[#This Row],[P]])*AI13)</f>
        <v>3.45580536947182</v>
      </c>
      <c r="AL13">
        <f t="shared" si="10"/>
        <v>1.1293680422758512</v>
      </c>
      <c r="AM13">
        <f t="shared" si="11"/>
        <v>608.62110606228043</v>
      </c>
      <c r="AN13">
        <f t="shared" si="12"/>
        <v>3.4825688999262638E-9</v>
      </c>
      <c r="AO13">
        <f t="shared" si="13"/>
        <v>4.5440632793856674E-8</v>
      </c>
      <c r="AP13">
        <v>4.1804653005391827</v>
      </c>
      <c r="AQ13">
        <f t="shared" si="14"/>
        <v>3.1202760847978883E-5</v>
      </c>
      <c r="AR13">
        <f t="shared" si="15"/>
        <v>4.5297241071990353E-6</v>
      </c>
      <c r="AS13">
        <f t="shared" si="16"/>
        <v>14.624988584221047</v>
      </c>
      <c r="AT13">
        <f t="shared" si="17"/>
        <v>10.363658062757668</v>
      </c>
      <c r="AU13">
        <f t="shared" si="18"/>
        <v>3.8674687933167107</v>
      </c>
      <c r="AV13">
        <f t="shared" si="19"/>
        <v>0.31299650722247208</v>
      </c>
      <c r="AW13">
        <f t="shared" si="20"/>
        <v>5.3920045278219473E-3</v>
      </c>
      <c r="AX13">
        <f t="shared" si="21"/>
        <v>0.31299650243076738</v>
      </c>
      <c r="AY13">
        <f t="shared" si="22"/>
        <v>4.7917046996914792E-9</v>
      </c>
      <c r="AZ13">
        <f t="shared" si="23"/>
        <v>1080577.4158407261</v>
      </c>
      <c r="BA13">
        <f t="shared" si="24"/>
        <v>7.4639444666493109E-6</v>
      </c>
      <c r="BB13" s="15">
        <f t="shared" si="25"/>
        <v>4110729.9133121297</v>
      </c>
      <c r="BC13" s="20">
        <f t="shared" si="26"/>
        <v>-8865.8874691203237</v>
      </c>
      <c r="BD13" s="19">
        <f t="shared" si="27"/>
        <v>-0.21521255719891197</v>
      </c>
      <c r="BE13" s="15">
        <v>4890250</v>
      </c>
      <c r="BF13" s="16">
        <f>テーブル2[[#This Row],[q_P]]/テーブル2[[#This Row],[q_M]]</f>
        <v>0.84059708876072381</v>
      </c>
      <c r="BG13">
        <v>1</v>
      </c>
      <c r="BH13">
        <v>-2.5999999999999999E-2</v>
      </c>
      <c r="BI13">
        <v>4.5999999999999999E-2</v>
      </c>
      <c r="BJ13">
        <v>5625</v>
      </c>
      <c r="BK13" s="22">
        <v>1</v>
      </c>
      <c r="BL13">
        <f>テーブル2[[#This Row],[Ts]]-テーブル2[[#This Row],[Tin]]</f>
        <v>75.772394947606017</v>
      </c>
      <c r="BM13">
        <f>テーブル2[[#This Row],[q_P]]*0.000001</f>
        <v>4.1107299133121291</v>
      </c>
      <c r="BN13">
        <f>テーブル2[[#This Row],[Tsub]]</f>
        <v>75.772394947606017</v>
      </c>
      <c r="BO13">
        <f>テーブル2[[#This Row],[Fcorr]]</f>
        <v>1</v>
      </c>
      <c r="BP13">
        <f>(テーブル2[[#This Row],[Tsub]]-40)^2</f>
        <v>1279.6642402875084</v>
      </c>
      <c r="BQ13">
        <v>1</v>
      </c>
      <c r="BR13">
        <v>0.15240000000000001</v>
      </c>
    </row>
    <row r="14" spans="1:70" x14ac:dyDescent="0.15">
      <c r="A14" s="9" t="s">
        <v>82</v>
      </c>
      <c r="B14">
        <v>13789520</v>
      </c>
      <c r="C14" s="22">
        <f t="array" ref="C14">TsatFromP(テーブル2[[#This Row],[P]])</f>
        <v>608.621106065763</v>
      </c>
      <c r="D14">
        <f t="array" ref="D14">RhoGFromP(テーブル2[[#This Row],[P]])</f>
        <v>85.147893581579396</v>
      </c>
      <c r="E14">
        <f t="array" ref="E14">RhoFFromP(テーブル2[[#This Row],[P]])</f>
        <v>624.86627494838649</v>
      </c>
      <c r="F14">
        <f t="array" ref="F14">HgFromP(テーブル2[[#This Row],[P]])</f>
        <v>2643264.389866509</v>
      </c>
      <c r="G14">
        <f t="array" ref="G14">HfFromP(テーブル2[[#This Row],[P]])</f>
        <v>1562686.9740257829</v>
      </c>
      <c r="H14">
        <f t="array" ref="H14">MuGFromP(テーブル2[[#This Row],[P]])</f>
        <v>2.2019594042733509E-5</v>
      </c>
      <c r="I14">
        <f t="array" ref="I14">MuFFromP(テーブル2[[#This Row],[P]])</f>
        <v>7.2223252690249831E-5</v>
      </c>
      <c r="J14">
        <f t="array" ref="J14">KfFromP(テーブル2[[#This Row],[P]])</f>
        <v>0.4911212487937569</v>
      </c>
      <c r="K14">
        <f t="array" ref="K14">CpFFromP(テーブル2[[#This Row],[P]])</f>
        <v>7679.7516396704104</v>
      </c>
      <c r="L14">
        <f t="array" ref="L14">SigmaFromP(テーブル2[[#This Row],[P]])</f>
        <v>6.5036382888884548E-3</v>
      </c>
      <c r="M14" s="23">
        <v>13</v>
      </c>
      <c r="N14">
        <v>3918.84</v>
      </c>
      <c r="O14" s="8">
        <v>2.8502295699234241E-6</v>
      </c>
      <c r="P14" s="8">
        <v>5.9847340050885548E-3</v>
      </c>
      <c r="Q14" s="8">
        <v>1.905E-3</v>
      </c>
      <c r="R14">
        <v>0.15240000000000001</v>
      </c>
      <c r="S14" s="15">
        <v>4409098.14453125</v>
      </c>
      <c r="T14">
        <v>527.29080640581196</v>
      </c>
      <c r="U14" s="12">
        <f>+T14+BG14*S14*テーブル2[[#This Row],[Pw]]*R14/(N14*O14*K14)</f>
        <v>574.17160885772421</v>
      </c>
      <c r="V14">
        <v>0.03</v>
      </c>
      <c r="W14" s="8">
        <f t="shared" si="0"/>
        <v>103365.46641034669</v>
      </c>
      <c r="X14">
        <v>2.848000064394542E-2</v>
      </c>
      <c r="Y14">
        <f t="shared" si="1"/>
        <v>5.9255682222598542</v>
      </c>
      <c r="Z14">
        <f t="shared" si="2"/>
        <v>5.9255682336923261</v>
      </c>
      <c r="AA14">
        <f t="shared" si="3"/>
        <v>-1.1432471858086046E-8</v>
      </c>
      <c r="AB14">
        <f t="shared" si="4"/>
        <v>8.919892873843587E-6</v>
      </c>
      <c r="AC14">
        <v>664.44691819118907</v>
      </c>
      <c r="AD14">
        <f t="shared" si="5"/>
        <v>3083.6883273361295</v>
      </c>
      <c r="AE14">
        <f>+gettm2(AD14,AC14,AK14,AL14,テーブル2[[#This Row],[Fcorr]])</f>
        <v>574.17160885772421</v>
      </c>
      <c r="AF14" s="14">
        <f t="shared" si="6"/>
        <v>0</v>
      </c>
      <c r="AG14">
        <v>8.9682919228015323E-6</v>
      </c>
      <c r="AH14">
        <f t="shared" si="7"/>
        <v>87.493942551164736</v>
      </c>
      <c r="AI14">
        <f t="shared" si="8"/>
        <v>0.37419282038772145</v>
      </c>
      <c r="AJ14">
        <f t="shared" si="9"/>
        <v>29.034558654578454</v>
      </c>
      <c r="AK14">
        <f t="array" ref="AK14">+S14*テーブル2[[#This Row],[F_form]]/(E14*CpFromTP((テーブル2[[#This Row],[Tin]]+テーブル2[[#This Row],[Tf]])/2,テーブル2[[#This Row],[P]])*AI14)</f>
        <v>3.7339786401632833</v>
      </c>
      <c r="AL14">
        <f t="shared" si="10"/>
        <v>1.1293680422758512</v>
      </c>
      <c r="AM14">
        <f t="shared" si="11"/>
        <v>608.62110606584679</v>
      </c>
      <c r="AN14">
        <f t="shared" si="12"/>
        <v>-8.3787199400831014E-11</v>
      </c>
      <c r="AO14">
        <f t="shared" si="13"/>
        <v>4.8399048957945318E-8</v>
      </c>
      <c r="AP14">
        <v>4.1875634716921528</v>
      </c>
      <c r="AQ14">
        <f t="shared" si="14"/>
        <v>3.1097069399789278E-5</v>
      </c>
      <c r="AR14">
        <f t="shared" si="15"/>
        <v>4.5083454858797388E-6</v>
      </c>
      <c r="AS14">
        <f t="shared" si="16"/>
        <v>14.595624514861818</v>
      </c>
      <c r="AT14">
        <f t="shared" si="17"/>
        <v>10.353608965175752</v>
      </c>
      <c r="AU14">
        <f t="shared" si="18"/>
        <v>3.8742461398707126</v>
      </c>
      <c r="AV14">
        <f t="shared" si="19"/>
        <v>0.31331733182144017</v>
      </c>
      <c r="AW14">
        <f t="shared" si="20"/>
        <v>5.3627411199546312E-3</v>
      </c>
      <c r="AX14">
        <f t="shared" si="21"/>
        <v>0.31331732690354175</v>
      </c>
      <c r="AY14">
        <f t="shared" si="22"/>
        <v>4.9178984218301025E-9</v>
      </c>
      <c r="AZ14">
        <f t="shared" si="23"/>
        <v>1080577.4158407261</v>
      </c>
      <c r="BA14">
        <f t="shared" si="24"/>
        <v>7.4260532670143055E-6</v>
      </c>
      <c r="BB14" s="15">
        <f t="shared" si="25"/>
        <v>4400699.7636365136</v>
      </c>
      <c r="BC14" s="20">
        <f t="shared" si="26"/>
        <v>-8398.3808947363868</v>
      </c>
      <c r="BD14" s="19">
        <f t="shared" si="27"/>
        <v>-0.19047842936209472</v>
      </c>
      <c r="BE14" s="15">
        <v>5426600</v>
      </c>
      <c r="BF14" s="16">
        <f>テーブル2[[#This Row],[q_P]]/テーブル2[[#This Row],[q_M]]</f>
        <v>0.8109497224111808</v>
      </c>
      <c r="BG14">
        <v>1</v>
      </c>
      <c r="BH14">
        <v>-1.2E-2</v>
      </c>
      <c r="BI14">
        <v>4.5999999999999999E-2</v>
      </c>
      <c r="BJ14">
        <v>5625</v>
      </c>
      <c r="BK14" s="22">
        <v>1</v>
      </c>
      <c r="BL14">
        <f>テーブル2[[#This Row],[Ts]]-テーブル2[[#This Row],[Tin]]</f>
        <v>81.330299659951038</v>
      </c>
      <c r="BM14">
        <f>テーブル2[[#This Row],[q_P]]*0.000001</f>
        <v>4.4006997636365135</v>
      </c>
      <c r="BN14">
        <f>テーブル2[[#This Row],[Tsub]]</f>
        <v>81.330299659951038</v>
      </c>
      <c r="BO14">
        <f>テーブル2[[#This Row],[Fcorr]]</f>
        <v>1</v>
      </c>
      <c r="BP14">
        <f>(テーブル2[[#This Row],[Tsub]]-40)^2</f>
        <v>1708.1936699813489</v>
      </c>
      <c r="BQ14">
        <v>1</v>
      </c>
      <c r="BR14">
        <v>0.15240000000000001</v>
      </c>
    </row>
    <row r="15" spans="1:70" x14ac:dyDescent="0.15">
      <c r="A15" s="9" t="s">
        <v>83</v>
      </c>
      <c r="B15">
        <v>13789520</v>
      </c>
      <c r="C15" s="22">
        <f t="array" ref="C15">TsatFromP(テーブル2[[#This Row],[P]])</f>
        <v>608.621106065763</v>
      </c>
      <c r="D15">
        <f t="array" ref="D15">RhoGFromP(テーブル2[[#This Row],[P]])</f>
        <v>85.147893581579396</v>
      </c>
      <c r="E15">
        <f t="array" ref="E15">RhoFFromP(テーブル2[[#This Row],[P]])</f>
        <v>624.86627494838649</v>
      </c>
      <c r="F15">
        <f t="array" ref="F15">HgFromP(テーブル2[[#This Row],[P]])</f>
        <v>2643264.389866509</v>
      </c>
      <c r="G15">
        <f t="array" ref="G15">HfFromP(テーブル2[[#This Row],[P]])</f>
        <v>1562686.9740257829</v>
      </c>
      <c r="H15">
        <f t="array" ref="H15">MuGFromP(テーブル2[[#This Row],[P]])</f>
        <v>2.2019594042733509E-5</v>
      </c>
      <c r="I15">
        <f t="array" ref="I15">MuFFromP(テーブル2[[#This Row],[P]])</f>
        <v>7.2223252690249831E-5</v>
      </c>
      <c r="J15">
        <f t="array" ref="J15">KfFromP(テーブル2[[#This Row],[P]])</f>
        <v>0.4911212487937569</v>
      </c>
      <c r="K15">
        <f t="array" ref="K15">CpFFromP(テーブル2[[#This Row],[P]])</f>
        <v>7679.7516396704104</v>
      </c>
      <c r="L15">
        <f t="array" ref="L15">SigmaFromP(テーブル2[[#This Row],[P]])</f>
        <v>6.5036382888884548E-3</v>
      </c>
      <c r="M15">
        <v>14</v>
      </c>
      <c r="N15">
        <v>2752.68</v>
      </c>
      <c r="O15" s="8">
        <v>1.6417322322758919E-5</v>
      </c>
      <c r="P15" s="8">
        <v>1.4363361612212531E-2</v>
      </c>
      <c r="Q15" s="8">
        <v>4.5719999999999997E-3</v>
      </c>
      <c r="R15">
        <v>0.29527500000000001</v>
      </c>
      <c r="S15" s="15">
        <v>321774.06251274992</v>
      </c>
      <c r="T15">
        <v>601.93187912108897</v>
      </c>
      <c r="U15" s="12">
        <f>+T15+BG15*S15*テーブル2[[#This Row],[Pw]]*R15/(N15*O15*K15)</f>
        <v>605.86401555928899</v>
      </c>
      <c r="V15">
        <v>0.03</v>
      </c>
      <c r="W15" s="8">
        <f t="shared" si="0"/>
        <v>174254.86240526263</v>
      </c>
      <c r="X15">
        <v>2.7158573194036369E-2</v>
      </c>
      <c r="Y15">
        <f t="shared" si="1"/>
        <v>6.0680133133750989</v>
      </c>
      <c r="Z15">
        <f t="shared" si="2"/>
        <v>6.0680133207566014</v>
      </c>
      <c r="AA15">
        <f t="shared" si="3"/>
        <v>-7.3815025203316509E-9</v>
      </c>
      <c r="AB15">
        <f t="shared" si="4"/>
        <v>1.895816474898977E-5</v>
      </c>
      <c r="AC15">
        <v>613.2711557366672</v>
      </c>
      <c r="AD15">
        <f t="shared" si="5"/>
        <v>5076.4883207282965</v>
      </c>
      <c r="AE15">
        <f>+gettm2(AD15,AC15,AK15,AL15,テーブル2[[#This Row],[Fcorr]])</f>
        <v>605.86401569200052</v>
      </c>
      <c r="AF15" s="14">
        <f t="shared" si="6"/>
        <v>1.3271153420646442E-7</v>
      </c>
      <c r="AG15">
        <v>1.896478839885297E-5</v>
      </c>
      <c r="AH15">
        <f t="shared" si="7"/>
        <v>41.166252377261465</v>
      </c>
      <c r="AI15">
        <f t="shared" si="8"/>
        <v>0.25667118949183038</v>
      </c>
      <c r="AJ15">
        <f t="shared" si="9"/>
        <v>42.114841125048379</v>
      </c>
      <c r="AK15">
        <f t="array" ref="AK15">+S15*テーブル2[[#This Row],[F_form]]/(E15*CpFromTP((テーブル2[[#This Row],[Tin]]+テーブル2[[#This Row],[Tf]])/2,テーブル2[[#This Row],[P]])*AI15)</f>
        <v>0.29125511877593935</v>
      </c>
      <c r="AL15">
        <f t="shared" si="10"/>
        <v>1.1293680422758512</v>
      </c>
      <c r="AM15">
        <f t="shared" si="11"/>
        <v>608.62110606539818</v>
      </c>
      <c r="AN15">
        <f t="shared" si="12"/>
        <v>3.6482106224866584E-10</v>
      </c>
      <c r="AO15">
        <f t="shared" si="13"/>
        <v>6.6236498632000443E-9</v>
      </c>
      <c r="AP15">
        <v>3.3935139564395369</v>
      </c>
      <c r="AQ15">
        <f t="shared" si="14"/>
        <v>4.7352508328700527E-5</v>
      </c>
      <c r="AR15">
        <f t="shared" si="15"/>
        <v>9.4857060243580852E-6</v>
      </c>
      <c r="AS15">
        <f t="shared" si="16"/>
        <v>21.064775085964943</v>
      </c>
      <c r="AT15">
        <f t="shared" si="17"/>
        <v>12.188011091150678</v>
      </c>
      <c r="AU15">
        <f t="shared" si="18"/>
        <v>3.1283113043052659</v>
      </c>
      <c r="AV15">
        <f t="shared" si="19"/>
        <v>0.26520265213427097</v>
      </c>
      <c r="AW15">
        <f t="shared" si="20"/>
        <v>1.1397864424628805E-2</v>
      </c>
      <c r="AX15">
        <f t="shared" si="21"/>
        <v>0.26520264341080008</v>
      </c>
      <c r="AY15">
        <f t="shared" si="22"/>
        <v>8.7234708900929547E-9</v>
      </c>
      <c r="AZ15">
        <f t="shared" si="23"/>
        <v>1080577.4158407261</v>
      </c>
      <c r="BA15">
        <f t="shared" si="24"/>
        <v>1.3953827488713974E-5</v>
      </c>
      <c r="BB15" s="15">
        <f t="shared" si="25"/>
        <v>320513.98924779519</v>
      </c>
      <c r="BC15" s="20">
        <f t="shared" si="26"/>
        <v>-1260.0732649547281</v>
      </c>
      <c r="BD15" s="19">
        <f t="shared" si="27"/>
        <v>-0.39160187589849604</v>
      </c>
      <c r="BE15" s="15">
        <v>2075990</v>
      </c>
      <c r="BF15" s="16">
        <f>テーブル2[[#This Row],[q_P]]/テーブル2[[#This Row],[q_M]]</f>
        <v>0.15439091192529597</v>
      </c>
      <c r="BG15">
        <v>1</v>
      </c>
      <c r="BH15">
        <v>0.13700000000000001</v>
      </c>
      <c r="BI15">
        <v>4.5999999999999999E-2</v>
      </c>
      <c r="BJ15">
        <v>5625</v>
      </c>
      <c r="BK15" s="22">
        <v>1</v>
      </c>
      <c r="BL15">
        <f>テーブル2[[#This Row],[Ts]]-テーブル2[[#This Row],[Tin]]</f>
        <v>6.6892269446740329</v>
      </c>
      <c r="BM15">
        <f>テーブル2[[#This Row],[q_P]]*0.000001</f>
        <v>0.32051398924779517</v>
      </c>
      <c r="BN15">
        <f>テーブル2[[#This Row],[Tsub]]</f>
        <v>6.6892269446740329</v>
      </c>
      <c r="BO15">
        <f>テーブル2[[#This Row],[Fcorr]]</f>
        <v>1</v>
      </c>
      <c r="BP15">
        <f>(テーブル2[[#This Row],[Tsub]]-40)^2</f>
        <v>1109.6076015434305</v>
      </c>
      <c r="BQ15">
        <v>1</v>
      </c>
      <c r="BR15">
        <v>0.29527500000000001</v>
      </c>
    </row>
    <row r="16" spans="1:70" x14ac:dyDescent="0.15">
      <c r="A16" s="9" t="s">
        <v>84</v>
      </c>
      <c r="B16">
        <v>13789520</v>
      </c>
      <c r="C16" s="22">
        <f t="array" ref="C16">TsatFromP(テーブル2[[#This Row],[P]])</f>
        <v>608.621106065763</v>
      </c>
      <c r="D16">
        <f t="array" ref="D16">RhoGFromP(テーブル2[[#This Row],[P]])</f>
        <v>85.147893581579396</v>
      </c>
      <c r="E16">
        <f t="array" ref="E16">RhoFFromP(テーブル2[[#This Row],[P]])</f>
        <v>624.86627494838649</v>
      </c>
      <c r="F16">
        <f t="array" ref="F16">HgFromP(テーブル2[[#This Row],[P]])</f>
        <v>2643264.389866509</v>
      </c>
      <c r="G16">
        <f t="array" ref="G16">HfFromP(テーブル2[[#This Row],[P]])</f>
        <v>1562686.9740257829</v>
      </c>
      <c r="H16">
        <f t="array" ref="H16">MuGFromP(テーブル2[[#This Row],[P]])</f>
        <v>2.2019594042733509E-5</v>
      </c>
      <c r="I16">
        <f t="array" ref="I16">MuFFromP(テーブル2[[#This Row],[P]])</f>
        <v>7.2223252690249831E-5</v>
      </c>
      <c r="J16">
        <f t="array" ref="J16">KfFromP(テーブル2[[#This Row],[P]])</f>
        <v>0.4911212487937569</v>
      </c>
      <c r="K16">
        <f t="array" ref="K16">CpFFromP(テーブル2[[#This Row],[P]])</f>
        <v>7679.7516396704104</v>
      </c>
      <c r="L16">
        <f t="array" ref="L16">SigmaFromP(テーブル2[[#This Row],[P]])</f>
        <v>6.5036382888884548E-3</v>
      </c>
      <c r="M16" s="23">
        <v>15</v>
      </c>
      <c r="N16">
        <v>3403.56</v>
      </c>
      <c r="O16" s="8">
        <v>1.6417322322758919E-5</v>
      </c>
      <c r="P16" s="8">
        <v>1.4363361612212531E-2</v>
      </c>
      <c r="Q16" s="8">
        <v>4.5719999999999997E-3</v>
      </c>
      <c r="R16">
        <v>0.29527500000000001</v>
      </c>
      <c r="S16" s="15">
        <v>786572.31796875002</v>
      </c>
      <c r="T16">
        <v>594.22932005256598</v>
      </c>
      <c r="U16" s="12">
        <f>+T16+BG16*S16*テーブル2[[#This Row],[Pw]]*R16/(N16*O16*K16)</f>
        <v>602.00321235179035</v>
      </c>
      <c r="V16">
        <v>0.03</v>
      </c>
      <c r="W16" s="8">
        <f t="shared" si="0"/>
        <v>215457.98257990601</v>
      </c>
      <c r="X16">
        <v>2.4843562133097241E-2</v>
      </c>
      <c r="Y16">
        <f t="shared" si="1"/>
        <v>6.3444366739096001</v>
      </c>
      <c r="Z16">
        <f t="shared" si="2"/>
        <v>6.3444367045684293</v>
      </c>
      <c r="AA16">
        <f t="shared" si="3"/>
        <v>-3.0658829253127351E-8</v>
      </c>
      <c r="AB16">
        <f t="shared" si="4"/>
        <v>1.3556076460717959E-5</v>
      </c>
      <c r="AC16">
        <v>618.60538220428577</v>
      </c>
      <c r="AD16">
        <f t="shared" si="5"/>
        <v>6003.3620151630266</v>
      </c>
      <c r="AE16">
        <f>+gettm2(AD16,AC16,AK16,AL16,テーブル2[[#This Row],[Fcorr]])</f>
        <v>602.00321235179024</v>
      </c>
      <c r="AF16" s="14">
        <f t="shared" si="6"/>
        <v>0</v>
      </c>
      <c r="AG16">
        <v>1.356822086096796E-5</v>
      </c>
      <c r="AH16">
        <f t="shared" si="7"/>
        <v>57.570979105061859</v>
      </c>
      <c r="AI16">
        <f t="shared" si="8"/>
        <v>0.3035346428534485</v>
      </c>
      <c r="AJ16">
        <f t="shared" si="9"/>
        <v>35.6320829965344</v>
      </c>
      <c r="AK16">
        <f t="array" ref="AK16">+S16*テーブル2[[#This Row],[F_form]]/(E16*CpFromTP((テーブル2[[#This Row],[Tin]]+テーブル2[[#This Row],[Tf]])/2,テーブル2[[#This Row],[P]])*AI16)</f>
        <v>0.64217182619297053</v>
      </c>
      <c r="AL16">
        <f t="shared" si="10"/>
        <v>1.1293680422758512</v>
      </c>
      <c r="AM16">
        <f t="shared" si="11"/>
        <v>608.62110606356453</v>
      </c>
      <c r="AN16">
        <f t="shared" si="12"/>
        <v>2.1984760678606108E-9</v>
      </c>
      <c r="AO16">
        <f t="shared" si="13"/>
        <v>1.2144400250001326E-8</v>
      </c>
      <c r="AP16">
        <v>3.7318191102142819</v>
      </c>
      <c r="AQ16">
        <f t="shared" si="14"/>
        <v>3.915625063763451E-5</v>
      </c>
      <c r="AR16">
        <f t="shared" si="15"/>
        <v>6.7901826306089808E-6</v>
      </c>
      <c r="AS16">
        <f t="shared" si="16"/>
        <v>17.831987961775031</v>
      </c>
      <c r="AT16">
        <f t="shared" si="17"/>
        <v>11.354969604961067</v>
      </c>
      <c r="AU16">
        <f t="shared" si="18"/>
        <v>3.4466266436536204</v>
      </c>
      <c r="AV16">
        <f t="shared" si="19"/>
        <v>0.28519246656066155</v>
      </c>
      <c r="AW16">
        <f t="shared" si="20"/>
        <v>8.1500674603747509E-3</v>
      </c>
      <c r="AX16">
        <f t="shared" si="21"/>
        <v>0.28519246407843218</v>
      </c>
      <c r="AY16">
        <f t="shared" si="22"/>
        <v>2.4822293664961137E-9</v>
      </c>
      <c r="AZ16">
        <f t="shared" si="23"/>
        <v>1080577.4158407261</v>
      </c>
      <c r="BA16">
        <f t="shared" si="24"/>
        <v>1.0492537146417622E-5</v>
      </c>
      <c r="BB16" s="15">
        <f t="shared" si="25"/>
        <v>781517.17891246104</v>
      </c>
      <c r="BC16" s="20">
        <f t="shared" si="26"/>
        <v>-5055.1390562889865</v>
      </c>
      <c r="BD16" s="19">
        <f t="shared" si="27"/>
        <v>-0.64267950203783086</v>
      </c>
      <c r="BE16" s="15">
        <v>2161175</v>
      </c>
      <c r="BF16" s="16">
        <f>テーブル2[[#This Row],[q_P]]/テーブル2[[#This Row],[q_M]]</f>
        <v>0.36161679591539836</v>
      </c>
      <c r="BG16">
        <v>1</v>
      </c>
      <c r="BH16">
        <v>6.0999999999999999E-2</v>
      </c>
      <c r="BI16">
        <v>4.5999999999999999E-2</v>
      </c>
      <c r="BJ16">
        <v>5625</v>
      </c>
      <c r="BK16" s="22">
        <v>1</v>
      </c>
      <c r="BL16">
        <f>テーブル2[[#This Row],[Ts]]-テーブル2[[#This Row],[Tin]]</f>
        <v>14.39178601319702</v>
      </c>
      <c r="BM16">
        <f>テーブル2[[#This Row],[q_P]]*0.000001</f>
        <v>0.78151717891246097</v>
      </c>
      <c r="BN16">
        <f>テーブル2[[#This Row],[Tsub]]</f>
        <v>14.39178601319702</v>
      </c>
      <c r="BO16">
        <f>テーブル2[[#This Row],[Fcorr]]</f>
        <v>1</v>
      </c>
      <c r="BP16">
        <f>(テーブル2[[#This Row],[Tsub]]-40)^2</f>
        <v>655.78062359389173</v>
      </c>
      <c r="BQ16">
        <v>1</v>
      </c>
      <c r="BR16">
        <v>0.29527500000000001</v>
      </c>
    </row>
    <row r="17" spans="1:70" x14ac:dyDescent="0.15">
      <c r="A17" s="9" t="s">
        <v>85</v>
      </c>
      <c r="B17">
        <v>13789520</v>
      </c>
      <c r="C17" s="22">
        <f t="array" ref="C17">TsatFromP(テーブル2[[#This Row],[P]])</f>
        <v>608.621106065763</v>
      </c>
      <c r="D17">
        <f t="array" ref="D17">RhoGFromP(テーブル2[[#This Row],[P]])</f>
        <v>85.147893581579396</v>
      </c>
      <c r="E17">
        <f t="array" ref="E17">RhoFFromP(テーブル2[[#This Row],[P]])</f>
        <v>624.86627494838649</v>
      </c>
      <c r="F17">
        <f t="array" ref="F17">HgFromP(テーブル2[[#This Row],[P]])</f>
        <v>2643264.389866509</v>
      </c>
      <c r="G17">
        <f t="array" ref="G17">HfFromP(テーブル2[[#This Row],[P]])</f>
        <v>1562686.9740257829</v>
      </c>
      <c r="H17">
        <f t="array" ref="H17">MuGFromP(テーブル2[[#This Row],[P]])</f>
        <v>2.2019594042733509E-5</v>
      </c>
      <c r="I17">
        <f t="array" ref="I17">MuFFromP(テーブル2[[#This Row],[P]])</f>
        <v>7.2223252690249831E-5</v>
      </c>
      <c r="J17">
        <f t="array" ref="J17">KfFromP(テーブル2[[#This Row],[P]])</f>
        <v>0.4911212487937569</v>
      </c>
      <c r="K17">
        <f t="array" ref="K17">CpFFromP(テーブル2[[#This Row],[P]])</f>
        <v>7679.7516396704104</v>
      </c>
      <c r="L17">
        <f t="array" ref="L17">SigmaFromP(テーブル2[[#This Row],[P]])</f>
        <v>6.5036382888884548E-3</v>
      </c>
      <c r="M17">
        <v>16</v>
      </c>
      <c r="N17">
        <v>3403.56</v>
      </c>
      <c r="O17" s="8">
        <v>1.6417322322758919E-5</v>
      </c>
      <c r="P17" s="8">
        <v>1.4363361612212531E-2</v>
      </c>
      <c r="Q17" s="8">
        <v>4.5719999999999997E-3</v>
      </c>
      <c r="R17">
        <v>0.29527500000000001</v>
      </c>
      <c r="S17" s="15">
        <v>344955.48828125</v>
      </c>
      <c r="T17">
        <v>602.50136996683705</v>
      </c>
      <c r="U17" s="12">
        <f>+T17+BG17*S17*テーブル2[[#This Row],[Pw]]*R17/(N17*O17*K17)</f>
        <v>605.91065192688609</v>
      </c>
      <c r="V17">
        <v>0.03</v>
      </c>
      <c r="W17" s="8">
        <f t="shared" si="0"/>
        <v>215457.98257990601</v>
      </c>
      <c r="X17">
        <v>2.4843562133097241E-2</v>
      </c>
      <c r="Y17">
        <f t="shared" si="1"/>
        <v>6.3444366739096001</v>
      </c>
      <c r="Z17">
        <f t="shared" si="2"/>
        <v>6.3444367045684293</v>
      </c>
      <c r="AA17">
        <f t="shared" si="3"/>
        <v>-3.0658829253127351E-8</v>
      </c>
      <c r="AB17">
        <f t="shared" si="4"/>
        <v>1.3556076460717959E-5</v>
      </c>
      <c r="AC17">
        <v>612.7094915474828</v>
      </c>
      <c r="AD17">
        <f t="shared" si="5"/>
        <v>6003.3620151630266</v>
      </c>
      <c r="AE17">
        <f>+gettm2(AD17,AC17,AK17,AL17,テーブル2[[#This Row],[Fcorr]])</f>
        <v>605.91065192688598</v>
      </c>
      <c r="AF17" s="14">
        <f t="shared" si="6"/>
        <v>0</v>
      </c>
      <c r="AG17">
        <v>1.3561482584748249E-5</v>
      </c>
      <c r="AH17">
        <f t="shared" si="7"/>
        <v>57.570979105061859</v>
      </c>
      <c r="AI17">
        <f t="shared" si="8"/>
        <v>0.3035346428534485</v>
      </c>
      <c r="AJ17">
        <f t="shared" si="9"/>
        <v>35.61438732221022</v>
      </c>
      <c r="AK17">
        <f t="array" ref="AK17">+S17*テーブル2[[#This Row],[F_form]]/(E17*CpFromTP((テーブル2[[#This Row],[Tin]]+テーブル2[[#This Row],[Tf]])/2,テーブル2[[#This Row],[P]])*AI17)</f>
        <v>0.26297907405732857</v>
      </c>
      <c r="AL17">
        <f t="shared" si="10"/>
        <v>1.1293680422758512</v>
      </c>
      <c r="AM17">
        <f t="shared" si="11"/>
        <v>608.62110606487875</v>
      </c>
      <c r="AN17">
        <f t="shared" si="12"/>
        <v>8.8425622379872948E-10</v>
      </c>
      <c r="AO17">
        <f t="shared" si="13"/>
        <v>5.4061240302904958E-9</v>
      </c>
      <c r="AP17">
        <v>3.73041933663582</v>
      </c>
      <c r="AQ17">
        <f t="shared" si="14"/>
        <v>3.9185641525545473E-5</v>
      </c>
      <c r="AR17">
        <f t="shared" si="15"/>
        <v>6.78344435438927E-6</v>
      </c>
      <c r="AS17">
        <f t="shared" si="16"/>
        <v>17.814292287450844</v>
      </c>
      <c r="AT17">
        <f t="shared" si="17"/>
        <v>11.350005363067076</v>
      </c>
      <c r="AU17">
        <f t="shared" si="18"/>
        <v>3.4451198242632901</v>
      </c>
      <c r="AV17">
        <f t="shared" si="19"/>
        <v>0.28529951237252993</v>
      </c>
      <c r="AW17">
        <f t="shared" si="20"/>
        <v>8.1500674603747509E-3</v>
      </c>
      <c r="AX17">
        <f t="shared" si="21"/>
        <v>0.28529947748362045</v>
      </c>
      <c r="AY17">
        <f t="shared" si="22"/>
        <v>3.4888909483665742E-8</v>
      </c>
      <c r="AZ17">
        <f t="shared" si="23"/>
        <v>1080577.4158407261</v>
      </c>
      <c r="BA17">
        <f t="shared" si="24"/>
        <v>1.0504352993431566E-5</v>
      </c>
      <c r="BB17" s="15">
        <f t="shared" si="25"/>
        <v>347503.88956609776</v>
      </c>
      <c r="BC17" s="20">
        <f t="shared" si="26"/>
        <v>2548.4012848477578</v>
      </c>
      <c r="BD17" s="19">
        <f t="shared" si="27"/>
        <v>0.73876235381707822</v>
      </c>
      <c r="BE17" s="15">
        <v>1687925</v>
      </c>
      <c r="BF17" s="16">
        <f>テーブル2[[#This Row],[q_P]]/テーブル2[[#This Row],[q_M]]</f>
        <v>0.20587638050630078</v>
      </c>
      <c r="BG17">
        <v>1</v>
      </c>
      <c r="BH17">
        <v>7.9000000000000001E-2</v>
      </c>
      <c r="BI17">
        <v>4.5999999999999999E-2</v>
      </c>
      <c r="BJ17">
        <v>5625</v>
      </c>
      <c r="BK17" s="22">
        <v>1</v>
      </c>
      <c r="BL17">
        <f>テーブル2[[#This Row],[Ts]]-テーブル2[[#This Row],[Tin]]</f>
        <v>6.119736098925955</v>
      </c>
      <c r="BM17">
        <f>テーブル2[[#This Row],[q_P]]*0.000001</f>
        <v>0.34750388956609773</v>
      </c>
      <c r="BN17">
        <f>テーブル2[[#This Row],[Tsub]]</f>
        <v>6.119736098925955</v>
      </c>
      <c r="BO17">
        <f>テーブル2[[#This Row],[Fcorr]]</f>
        <v>1</v>
      </c>
      <c r="BP17">
        <f>(テーブル2[[#This Row],[Tsub]]-40)^2</f>
        <v>1147.8722820064211</v>
      </c>
      <c r="BQ17">
        <v>1</v>
      </c>
      <c r="BR17">
        <v>0.29527500000000001</v>
      </c>
    </row>
    <row r="18" spans="1:70" x14ac:dyDescent="0.15">
      <c r="A18" s="9" t="s">
        <v>86</v>
      </c>
      <c r="B18">
        <v>13789520</v>
      </c>
      <c r="C18" s="22">
        <f t="array" ref="C18">TsatFromP(テーブル2[[#This Row],[P]])</f>
        <v>608.621106065763</v>
      </c>
      <c r="D18">
        <f t="array" ref="D18">RhoGFromP(テーブル2[[#This Row],[P]])</f>
        <v>85.147893581579396</v>
      </c>
      <c r="E18">
        <f t="array" ref="E18">RhoFFromP(テーブル2[[#This Row],[P]])</f>
        <v>624.86627494838649</v>
      </c>
      <c r="F18">
        <f t="array" ref="F18">HgFromP(テーブル2[[#This Row],[P]])</f>
        <v>2643264.389866509</v>
      </c>
      <c r="G18">
        <f t="array" ref="G18">HfFromP(テーブル2[[#This Row],[P]])</f>
        <v>1562686.9740257829</v>
      </c>
      <c r="H18">
        <f t="array" ref="H18">MuGFromP(テーブル2[[#This Row],[P]])</f>
        <v>2.2019594042733509E-5</v>
      </c>
      <c r="I18">
        <f t="array" ref="I18">MuFFromP(テーブル2[[#This Row],[P]])</f>
        <v>7.2223252690249831E-5</v>
      </c>
      <c r="J18">
        <f t="array" ref="J18">KfFromP(テーブル2[[#This Row],[P]])</f>
        <v>0.4911212487937569</v>
      </c>
      <c r="K18">
        <f t="array" ref="K18">CpFFromP(テーブル2[[#This Row],[P]])</f>
        <v>7679.7516396704104</v>
      </c>
      <c r="L18">
        <f t="array" ref="L18">SigmaFromP(テーブル2[[#This Row],[P]])</f>
        <v>6.5036382888884548E-3</v>
      </c>
      <c r="M18" s="23">
        <v>17</v>
      </c>
      <c r="N18">
        <v>3403.56</v>
      </c>
      <c r="O18" s="8">
        <v>1.6417322322758919E-5</v>
      </c>
      <c r="P18" s="8">
        <v>1.4363361612212531E-2</v>
      </c>
      <c r="Q18" s="8">
        <v>4.5719999999999997E-3</v>
      </c>
      <c r="R18">
        <v>0.29527500000000001</v>
      </c>
      <c r="S18" s="15">
        <v>376168.39453125</v>
      </c>
      <c r="T18">
        <v>601.93187912108897</v>
      </c>
      <c r="U18" s="12">
        <f>+T18+BG18*S18*テーブル2[[#This Row],[Pw]]*R18/(N18*O18*K18)</f>
        <v>605.64964609388278</v>
      </c>
      <c r="V18">
        <v>0.03</v>
      </c>
      <c r="W18" s="8">
        <f t="shared" si="0"/>
        <v>215457.98257990601</v>
      </c>
      <c r="X18">
        <v>2.4843562133097241E-2</v>
      </c>
      <c r="Y18">
        <f t="shared" si="1"/>
        <v>6.3444366739096001</v>
      </c>
      <c r="Z18">
        <f t="shared" si="2"/>
        <v>6.3444367045684293</v>
      </c>
      <c r="AA18">
        <f t="shared" si="3"/>
        <v>-3.0658829253127351E-8</v>
      </c>
      <c r="AB18">
        <f t="shared" si="4"/>
        <v>1.3556076460717959E-5</v>
      </c>
      <c r="AC18">
        <v>613.10325357419856</v>
      </c>
      <c r="AD18">
        <f t="shared" si="5"/>
        <v>6003.3620151630266</v>
      </c>
      <c r="AE18">
        <f>+gettm2(AD18,AC18,AK18,AL18,テーブル2[[#This Row],[Fcorr]])</f>
        <v>605.64964609388267</v>
      </c>
      <c r="AF18" s="14">
        <f t="shared" si="6"/>
        <v>0</v>
      </c>
      <c r="AG18">
        <v>1.356198476616838E-5</v>
      </c>
      <c r="AH18">
        <f t="shared" si="7"/>
        <v>57.570979105061859</v>
      </c>
      <c r="AI18">
        <f t="shared" si="8"/>
        <v>0.3035346428534485</v>
      </c>
      <c r="AJ18">
        <f t="shared" si="9"/>
        <v>35.615706122237484</v>
      </c>
      <c r="AK18">
        <f t="array" ref="AK18">+S18*テーブル2[[#This Row],[F_form]]/(E18*CpFromTP((テーブル2[[#This Row],[Tin]]+テーブル2[[#This Row],[Tf]])/2,テーブル2[[#This Row],[P]])*AI18)</f>
        <v>0.28830549078140694</v>
      </c>
      <c r="AL18">
        <f t="shared" si="10"/>
        <v>1.1293680422758512</v>
      </c>
      <c r="AM18">
        <f t="shared" si="11"/>
        <v>608.62110606479223</v>
      </c>
      <c r="AN18">
        <f t="shared" si="12"/>
        <v>9.7077190730487928E-10</v>
      </c>
      <c r="AO18">
        <f t="shared" si="13"/>
        <v>5.9083054504209634E-9</v>
      </c>
      <c r="AP18">
        <v>3.7305237047783102</v>
      </c>
      <c r="AQ18">
        <f t="shared" si="14"/>
        <v>3.9183448977939233E-5</v>
      </c>
      <c r="AR18">
        <f t="shared" si="15"/>
        <v>6.7839465358094004E-6</v>
      </c>
      <c r="AS18">
        <f t="shared" si="16"/>
        <v>17.815611087478111</v>
      </c>
      <c r="AT18">
        <f t="shared" si="17"/>
        <v>11.350375501603235</v>
      </c>
      <c r="AU18">
        <f t="shared" si="18"/>
        <v>3.4452321741316694</v>
      </c>
      <c r="AV18">
        <f t="shared" si="19"/>
        <v>0.28529153064664081</v>
      </c>
      <c r="AW18">
        <f t="shared" si="20"/>
        <v>8.1500674603747509E-3</v>
      </c>
      <c r="AX18">
        <f t="shared" si="21"/>
        <v>0.28529149571514106</v>
      </c>
      <c r="AY18">
        <f t="shared" si="22"/>
        <v>3.493149974831411E-8</v>
      </c>
      <c r="AZ18">
        <f t="shared" si="23"/>
        <v>1080577.4158407261</v>
      </c>
      <c r="BA18">
        <f t="shared" si="24"/>
        <v>1.0503471383320895E-5</v>
      </c>
      <c r="BB18" s="15">
        <f t="shared" si="25"/>
        <v>379815.82468596677</v>
      </c>
      <c r="BC18" s="20">
        <f t="shared" si="26"/>
        <v>3647.4301547167706</v>
      </c>
      <c r="BD18" s="19">
        <f t="shared" si="27"/>
        <v>0.96962695636934015</v>
      </c>
      <c r="BE18" s="15">
        <v>1687925</v>
      </c>
      <c r="BF18" s="16">
        <f>テーブル2[[#This Row],[q_P]]/テーブル2[[#This Row],[q_M]]</f>
        <v>0.22501937271263045</v>
      </c>
      <c r="BG18">
        <v>1</v>
      </c>
      <c r="BH18">
        <v>7.4999999999999997E-2</v>
      </c>
      <c r="BI18">
        <v>4.5999999999999999E-2</v>
      </c>
      <c r="BJ18">
        <v>5625</v>
      </c>
      <c r="BK18" s="22">
        <v>1</v>
      </c>
      <c r="BL18">
        <f>テーブル2[[#This Row],[Ts]]-テーブル2[[#This Row],[Tin]]</f>
        <v>6.6892269446740329</v>
      </c>
      <c r="BM18">
        <f>テーブル2[[#This Row],[q_P]]*0.000001</f>
        <v>0.37981582468596675</v>
      </c>
      <c r="BN18">
        <f>テーブル2[[#This Row],[Tsub]]</f>
        <v>6.6892269446740329</v>
      </c>
      <c r="BO18">
        <f>テーブル2[[#This Row],[Fcorr]]</f>
        <v>1</v>
      </c>
      <c r="BP18">
        <f>(テーブル2[[#This Row],[Tsub]]-40)^2</f>
        <v>1109.6076015434305</v>
      </c>
      <c r="BQ18">
        <v>1</v>
      </c>
      <c r="BR18">
        <v>0.29527500000000001</v>
      </c>
    </row>
    <row r="19" spans="1:70" x14ac:dyDescent="0.15">
      <c r="A19" s="9" t="s">
        <v>87</v>
      </c>
      <c r="B19">
        <v>13789520</v>
      </c>
      <c r="C19" s="22">
        <f t="array" ref="C19">TsatFromP(テーブル2[[#This Row],[P]])</f>
        <v>608.621106065763</v>
      </c>
      <c r="D19">
        <f t="array" ref="D19">RhoGFromP(テーブル2[[#This Row],[P]])</f>
        <v>85.147893581579396</v>
      </c>
      <c r="E19">
        <f t="array" ref="E19">RhoFFromP(テーブル2[[#This Row],[P]])</f>
        <v>624.86627494838649</v>
      </c>
      <c r="F19">
        <f t="array" ref="F19">HgFromP(テーブル2[[#This Row],[P]])</f>
        <v>2643264.389866509</v>
      </c>
      <c r="G19">
        <f t="array" ref="G19">HfFromP(テーブル2[[#This Row],[P]])</f>
        <v>1562686.9740257829</v>
      </c>
      <c r="H19">
        <f t="array" ref="H19">MuGFromP(テーブル2[[#This Row],[P]])</f>
        <v>2.2019594042733509E-5</v>
      </c>
      <c r="I19">
        <f t="array" ref="I19">MuFFromP(テーブル2[[#This Row],[P]])</f>
        <v>7.2223252690249831E-5</v>
      </c>
      <c r="J19">
        <f t="array" ref="J19">KfFromP(テーブル2[[#This Row],[P]])</f>
        <v>0.4911212487937569</v>
      </c>
      <c r="K19">
        <f t="array" ref="K19">CpFFromP(テーブル2[[#This Row],[P]])</f>
        <v>7679.7516396704104</v>
      </c>
      <c r="L19">
        <f t="array" ref="L19">SigmaFromP(テーブル2[[#This Row],[P]])</f>
        <v>6.5036382888884548E-3</v>
      </c>
      <c r="M19">
        <v>18</v>
      </c>
      <c r="N19">
        <v>3403.56</v>
      </c>
      <c r="O19" s="8">
        <v>1.6417322322758919E-5</v>
      </c>
      <c r="P19" s="8">
        <v>1.4363361612212531E-2</v>
      </c>
      <c r="Q19" s="8">
        <v>4.5719999999999997E-3</v>
      </c>
      <c r="R19">
        <v>0.29527500000000001</v>
      </c>
      <c r="S19" s="15">
        <v>699206.40234375</v>
      </c>
      <c r="T19">
        <v>595.90081561821296</v>
      </c>
      <c r="U19" s="12">
        <f>+T19+BG19*S19*テーブル2[[#This Row],[Pw]]*R19/(N19*O19*K19)</f>
        <v>602.81124857215332</v>
      </c>
      <c r="V19">
        <v>0.03</v>
      </c>
      <c r="W19" s="8">
        <f t="shared" si="0"/>
        <v>215457.98257990601</v>
      </c>
      <c r="X19">
        <v>2.4843562133097241E-2</v>
      </c>
      <c r="Y19">
        <f t="shared" si="1"/>
        <v>6.3444366739096001</v>
      </c>
      <c r="Z19">
        <f t="shared" si="2"/>
        <v>6.3444367045684293</v>
      </c>
      <c r="AA19">
        <f t="shared" si="3"/>
        <v>-3.0658829253127351E-8</v>
      </c>
      <c r="AB19">
        <f t="shared" si="4"/>
        <v>1.3556076460717959E-5</v>
      </c>
      <c r="AC19">
        <v>617.38597445283654</v>
      </c>
      <c r="AD19">
        <f t="shared" si="5"/>
        <v>6003.3620151630266</v>
      </c>
      <c r="AE19">
        <f>+gettm2(AD19,AC19,AK19,AL19,テーブル2[[#This Row],[Fcorr]])</f>
        <v>602.81124874601301</v>
      </c>
      <c r="AF19" s="14">
        <f t="shared" si="6"/>
        <v>1.7385968931193929E-7</v>
      </c>
      <c r="AG19">
        <v>1.3566914820874021E-5</v>
      </c>
      <c r="AH19">
        <f t="shared" si="7"/>
        <v>57.570979105061859</v>
      </c>
      <c r="AI19">
        <f t="shared" si="8"/>
        <v>0.3035346428534485</v>
      </c>
      <c r="AJ19">
        <f t="shared" si="9"/>
        <v>35.628653148988363</v>
      </c>
      <c r="AK19">
        <f t="array" ref="AK19">+S19*テーブル2[[#This Row],[F_form]]/(E19*CpFromTP((テーブル2[[#This Row],[Tin]]+テーブル2[[#This Row],[Tf]])/2,テーブル2[[#This Row],[P]])*AI19)</f>
        <v>0.56375029930232989</v>
      </c>
      <c r="AL19">
        <f t="shared" si="10"/>
        <v>1.1293680422758512</v>
      </c>
      <c r="AM19">
        <f t="shared" si="11"/>
        <v>608.62110606383965</v>
      </c>
      <c r="AN19">
        <f t="shared" si="12"/>
        <v>1.9233539205743E-9</v>
      </c>
      <c r="AO19">
        <f t="shared" si="13"/>
        <v>1.0838360156061787E-8</v>
      </c>
      <c r="AP19">
        <v>3.7315478972997971</v>
      </c>
      <c r="AQ19">
        <f t="shared" si="14"/>
        <v>3.9161942681297307E-5</v>
      </c>
      <c r="AR19">
        <f t="shared" si="15"/>
        <v>6.7888765905150413E-6</v>
      </c>
      <c r="AS19">
        <f t="shared" si="16"/>
        <v>17.828558114228994</v>
      </c>
      <c r="AT19">
        <f t="shared" si="17"/>
        <v>11.354007800408409</v>
      </c>
      <c r="AU19">
        <f t="shared" si="18"/>
        <v>3.4463347026522348</v>
      </c>
      <c r="AV19">
        <f t="shared" si="19"/>
        <v>0.28521319464756223</v>
      </c>
      <c r="AW19">
        <f t="shared" si="20"/>
        <v>8.1500674603747509E-3</v>
      </c>
      <c r="AX19">
        <f t="shared" si="21"/>
        <v>0.28521319217344815</v>
      </c>
      <c r="AY19">
        <f t="shared" si="22"/>
        <v>2.4741140802753137E-9</v>
      </c>
      <c r="AZ19">
        <f t="shared" si="23"/>
        <v>1080577.4158407261</v>
      </c>
      <c r="BA19">
        <f t="shared" si="24"/>
        <v>1.0494825139357172E-5</v>
      </c>
      <c r="BB19" s="15">
        <f t="shared" si="25"/>
        <v>697318.75116686395</v>
      </c>
      <c r="BC19" s="20">
        <f t="shared" si="26"/>
        <v>-1887.651176886051</v>
      </c>
      <c r="BD19" s="19">
        <f t="shared" si="27"/>
        <v>-0.26997052237488345</v>
      </c>
      <c r="BE19" s="15">
        <v>2665975</v>
      </c>
      <c r="BF19" s="16">
        <f>テーブル2[[#This Row],[q_P]]/テーブル2[[#This Row],[q_M]]</f>
        <v>0.26156237442844138</v>
      </c>
      <c r="BG19">
        <v>1</v>
      </c>
      <c r="BH19">
        <v>0.107</v>
      </c>
      <c r="BI19">
        <v>4.5999999999999999E-2</v>
      </c>
      <c r="BJ19">
        <v>5625</v>
      </c>
      <c r="BK19" s="22">
        <v>1</v>
      </c>
      <c r="BL19">
        <f>テーブル2[[#This Row],[Ts]]-テーブル2[[#This Row],[Tin]]</f>
        <v>12.720290447550042</v>
      </c>
      <c r="BM19">
        <f>テーブル2[[#This Row],[q_P]]*0.000001</f>
        <v>0.69731875116686393</v>
      </c>
      <c r="BN19">
        <f>テーブル2[[#This Row],[Tsub]]</f>
        <v>12.720290447550042</v>
      </c>
      <c r="BO19">
        <f>テーブル2[[#This Row],[Fcorr]]</f>
        <v>1</v>
      </c>
      <c r="BP19">
        <f>(テーブル2[[#This Row],[Tsub]]-40)^2</f>
        <v>744.18255326602946</v>
      </c>
      <c r="BQ19">
        <v>1</v>
      </c>
      <c r="BR19">
        <v>0.29527500000000001</v>
      </c>
    </row>
    <row r="20" spans="1:70" x14ac:dyDescent="0.15">
      <c r="A20" s="9" t="s">
        <v>88</v>
      </c>
      <c r="B20">
        <v>13789520</v>
      </c>
      <c r="C20" s="22">
        <f t="array" ref="C20">TsatFromP(テーブル2[[#This Row],[P]])</f>
        <v>608.621106065763</v>
      </c>
      <c r="D20">
        <f t="array" ref="D20">RhoGFromP(テーブル2[[#This Row],[P]])</f>
        <v>85.147893581579396</v>
      </c>
      <c r="E20">
        <f t="array" ref="E20">RhoFFromP(テーブル2[[#This Row],[P]])</f>
        <v>624.86627494838649</v>
      </c>
      <c r="F20">
        <f t="array" ref="F20">HgFromP(テーブル2[[#This Row],[P]])</f>
        <v>2643264.389866509</v>
      </c>
      <c r="G20">
        <f t="array" ref="G20">HfFromP(テーブル2[[#This Row],[P]])</f>
        <v>1562686.9740257829</v>
      </c>
      <c r="H20">
        <f t="array" ref="H20">MuGFromP(テーブル2[[#This Row],[P]])</f>
        <v>2.2019594042733509E-5</v>
      </c>
      <c r="I20">
        <f t="array" ref="I20">MuFFromP(テーブル2[[#This Row],[P]])</f>
        <v>7.2223252690249831E-5</v>
      </c>
      <c r="J20">
        <f t="array" ref="J20">KfFromP(テーブル2[[#This Row],[P]])</f>
        <v>0.4911212487937569</v>
      </c>
      <c r="K20">
        <f t="array" ref="K20">CpFFromP(テーブル2[[#This Row],[P]])</f>
        <v>7679.7516396704104</v>
      </c>
      <c r="L20">
        <f t="array" ref="L20">SigmaFromP(テーブル2[[#This Row],[P]])</f>
        <v>6.5036382888884548E-3</v>
      </c>
      <c r="M20" s="23">
        <v>19</v>
      </c>
      <c r="N20">
        <v>3444.24</v>
      </c>
      <c r="O20" s="8">
        <v>1.6417322322758919E-5</v>
      </c>
      <c r="P20" s="8">
        <v>1.4363361612212531E-2</v>
      </c>
      <c r="Q20" s="8">
        <v>4.5719999999999997E-3</v>
      </c>
      <c r="R20">
        <v>0.29527500000000001</v>
      </c>
      <c r="S20" s="15">
        <v>822223.73046875</v>
      </c>
      <c r="T20">
        <v>593.67847141905202</v>
      </c>
      <c r="U20" s="12">
        <f>+T20+BG20*S20*テーブル2[[#This Row],[Pw]]*R20/(N20*O20*K20)</f>
        <v>601.7087363439781</v>
      </c>
      <c r="V20">
        <v>0.03</v>
      </c>
      <c r="W20" s="8">
        <f t="shared" si="0"/>
        <v>218033.17759082123</v>
      </c>
      <c r="X20">
        <v>2.472265374327982E-2</v>
      </c>
      <c r="Y20">
        <f t="shared" si="1"/>
        <v>6.3599317746615558</v>
      </c>
      <c r="Z20">
        <f t="shared" si="2"/>
        <v>6.3599317991332347</v>
      </c>
      <c r="AA20">
        <f t="shared" si="3"/>
        <v>-2.4471678905513272E-8</v>
      </c>
      <c r="AB20">
        <f t="shared" si="4"/>
        <v>1.3302485657419017E-5</v>
      </c>
      <c r="AC20">
        <v>618.98645578676758</v>
      </c>
      <c r="AD20">
        <f t="shared" si="5"/>
        <v>6060.3141614017068</v>
      </c>
      <c r="AE20">
        <f>+gettm2(AD20,AC20,AK20,AL20,テーブル2[[#This Row],[Fcorr]])</f>
        <v>601.70873634397799</v>
      </c>
      <c r="AF20" s="14">
        <f t="shared" si="6"/>
        <v>0</v>
      </c>
      <c r="AG20">
        <v>1.331513511611841E-5</v>
      </c>
      <c r="AH20">
        <f t="shared" si="7"/>
        <v>58.668478565985296</v>
      </c>
      <c r="AI20">
        <f t="shared" si="8"/>
        <v>0.30641418756933142</v>
      </c>
      <c r="AJ20">
        <f t="shared" si="9"/>
        <v>35.299169687309515</v>
      </c>
      <c r="AK20">
        <f t="array" ref="AK20">+S20*テーブル2[[#This Row],[F_form]]/(E20*CpFromTP((テーブル2[[#This Row],[Tin]]+テーブル2[[#This Row],[Tf]])/2,テーブル2[[#This Row],[P]])*AI20)</f>
        <v>0.6676896410161276</v>
      </c>
      <c r="AL20">
        <f t="shared" si="10"/>
        <v>1.1293680422758512</v>
      </c>
      <c r="AM20">
        <f t="shared" si="11"/>
        <v>608.62110606488989</v>
      </c>
      <c r="AN20">
        <f t="shared" si="12"/>
        <v>8.7311491370201111E-10</v>
      </c>
      <c r="AO20">
        <f t="shared" si="13"/>
        <v>1.2649458699392712E-8</v>
      </c>
      <c r="AP20">
        <v>3.7514200928355321</v>
      </c>
      <c r="AQ20">
        <f t="shared" si="14"/>
        <v>3.8748140699449747E-5</v>
      </c>
      <c r="AR20">
        <f t="shared" si="15"/>
        <v>6.6638922874089013E-6</v>
      </c>
      <c r="AS20">
        <f t="shared" si="16"/>
        <v>17.666352055747932</v>
      </c>
      <c r="AT20">
        <f t="shared" si="17"/>
        <v>11.308309082801168</v>
      </c>
      <c r="AU20">
        <f t="shared" si="18"/>
        <v>3.4650263403894113</v>
      </c>
      <c r="AV20">
        <f t="shared" si="19"/>
        <v>0.28639375244612086</v>
      </c>
      <c r="AW20">
        <f t="shared" si="20"/>
        <v>7.9976057831183545E-3</v>
      </c>
      <c r="AX20">
        <f t="shared" si="21"/>
        <v>0.2863937492077675</v>
      </c>
      <c r="AY20">
        <f t="shared" si="22"/>
        <v>3.2383533632440731E-9</v>
      </c>
      <c r="AZ20">
        <f t="shared" si="23"/>
        <v>1080577.4158407261</v>
      </c>
      <c r="BA20">
        <f t="shared" si="24"/>
        <v>1.0328926044153522E-5</v>
      </c>
      <c r="BB20" s="15">
        <f t="shared" si="25"/>
        <v>826912.85947988671</v>
      </c>
      <c r="BC20" s="20">
        <f t="shared" si="26"/>
        <v>4689.1290111367125</v>
      </c>
      <c r="BD20" s="19">
        <f t="shared" si="27"/>
        <v>0.57029842819830057</v>
      </c>
      <c r="BE20" s="15">
        <v>2688060</v>
      </c>
      <c r="BF20" s="16">
        <f>テーブル2[[#This Row],[q_P]]/テーブル2[[#This Row],[q_M]]</f>
        <v>0.30762440551173958</v>
      </c>
      <c r="BG20">
        <v>1</v>
      </c>
      <c r="BH20">
        <v>9.2999999999999999E-2</v>
      </c>
      <c r="BI20">
        <v>4.5999999999999999E-2</v>
      </c>
      <c r="BJ20">
        <v>5625</v>
      </c>
      <c r="BK20" s="22">
        <v>1</v>
      </c>
      <c r="BL20">
        <f>テーブル2[[#This Row],[Ts]]-テーブル2[[#This Row],[Tin]]</f>
        <v>14.942634646710985</v>
      </c>
      <c r="BM20">
        <f>テーブル2[[#This Row],[q_P]]*0.000001</f>
        <v>0.82691285947988669</v>
      </c>
      <c r="BN20">
        <f>テーブル2[[#This Row],[Tsub]]</f>
        <v>14.942634646710985</v>
      </c>
      <c r="BO20">
        <f>テーブル2[[#This Row],[Fcorr]]</f>
        <v>1</v>
      </c>
      <c r="BP20">
        <f>(テーブル2[[#This Row],[Tsub]]-40)^2</f>
        <v>627.8715584482087</v>
      </c>
      <c r="BQ20">
        <v>1</v>
      </c>
      <c r="BR20">
        <v>0.29527500000000001</v>
      </c>
    </row>
    <row r="21" spans="1:70" x14ac:dyDescent="0.15">
      <c r="A21" s="9" t="s">
        <v>89</v>
      </c>
      <c r="B21">
        <v>13789520</v>
      </c>
      <c r="C21" s="22">
        <f t="array" ref="C21">TsatFromP(テーブル2[[#This Row],[P]])</f>
        <v>608.621106065763</v>
      </c>
      <c r="D21">
        <f t="array" ref="D21">RhoGFromP(テーブル2[[#This Row],[P]])</f>
        <v>85.147893581579396</v>
      </c>
      <c r="E21">
        <f t="array" ref="E21">RhoFFromP(テーブル2[[#This Row],[P]])</f>
        <v>624.86627494838649</v>
      </c>
      <c r="F21">
        <f t="array" ref="F21">HgFromP(テーブル2[[#This Row],[P]])</f>
        <v>2643264.389866509</v>
      </c>
      <c r="G21">
        <f t="array" ref="G21">HfFromP(テーブル2[[#This Row],[P]])</f>
        <v>1562686.9740257829</v>
      </c>
      <c r="H21">
        <f t="array" ref="H21">MuGFromP(テーブル2[[#This Row],[P]])</f>
        <v>2.2019594042733509E-5</v>
      </c>
      <c r="I21">
        <f t="array" ref="I21">MuFFromP(テーブル2[[#This Row],[P]])</f>
        <v>7.2223252690249831E-5</v>
      </c>
      <c r="J21">
        <f t="array" ref="J21">KfFromP(テーブル2[[#This Row],[P]])</f>
        <v>0.4911212487937569</v>
      </c>
      <c r="K21">
        <f t="array" ref="K21">CpFFromP(テーブル2[[#This Row],[P]])</f>
        <v>7679.7516396704104</v>
      </c>
      <c r="L21">
        <f t="array" ref="L21">SigmaFromP(テーブル2[[#This Row],[P]])</f>
        <v>6.5036382888884548E-3</v>
      </c>
      <c r="M21">
        <v>20</v>
      </c>
      <c r="N21">
        <v>3444.24</v>
      </c>
      <c r="O21" s="8">
        <v>1.6417322322758919E-5</v>
      </c>
      <c r="P21" s="8">
        <v>1.4363361612212531E-2</v>
      </c>
      <c r="Q21" s="8">
        <v>4.5719999999999997E-3</v>
      </c>
      <c r="R21">
        <v>0.29527500000000001</v>
      </c>
      <c r="S21" s="15">
        <v>851135.68359375</v>
      </c>
      <c r="T21">
        <v>593.12482744566205</v>
      </c>
      <c r="U21" s="12">
        <f>+T21+BG21*S21*テーブル2[[#This Row],[Pw]]*R21/(N21*O21*K21)</f>
        <v>601.43746155367955</v>
      </c>
      <c r="V21">
        <v>0.03</v>
      </c>
      <c r="W21" s="8">
        <f t="shared" si="0"/>
        <v>218033.17759082123</v>
      </c>
      <c r="X21">
        <v>2.472265374327982E-2</v>
      </c>
      <c r="Y21">
        <f t="shared" si="1"/>
        <v>6.3599317746615558</v>
      </c>
      <c r="Z21">
        <f t="shared" si="2"/>
        <v>6.3599317991332347</v>
      </c>
      <c r="AA21">
        <f t="shared" si="3"/>
        <v>-2.4471678905513272E-8</v>
      </c>
      <c r="AB21">
        <f t="shared" si="4"/>
        <v>1.3302485657419017E-5</v>
      </c>
      <c r="AC21">
        <v>619.39337495326572</v>
      </c>
      <c r="AD21">
        <f t="shared" si="5"/>
        <v>6060.3141614017068</v>
      </c>
      <c r="AE21">
        <f>+gettm2(AD21,AC21,AK21,AL21,テーブル2[[#This Row],[Fcorr]])</f>
        <v>601.43746155367944</v>
      </c>
      <c r="AF21" s="14">
        <f t="shared" si="6"/>
        <v>0</v>
      </c>
      <c r="AG21">
        <v>1.3315542786301991E-5</v>
      </c>
      <c r="AH21">
        <f t="shared" si="7"/>
        <v>58.668478565985296</v>
      </c>
      <c r="AI21">
        <f t="shared" si="8"/>
        <v>0.30641418756933142</v>
      </c>
      <c r="AJ21">
        <f t="shared" si="9"/>
        <v>35.300250443821653</v>
      </c>
      <c r="AK21">
        <f t="array" ref="AK21">+S21*テーブル2[[#This Row],[F_form]]/(E21*CpFromTP((テーブル2[[#This Row],[Tin]]+テーブル2[[#This Row],[Tf]])/2,テーブル2[[#This Row],[P]])*AI21)</f>
        <v>0.69389813925295762</v>
      </c>
      <c r="AL21">
        <f t="shared" si="10"/>
        <v>1.1293680422758512</v>
      </c>
      <c r="AM21">
        <f t="shared" si="11"/>
        <v>608.62110606485385</v>
      </c>
      <c r="AN21">
        <f t="shared" si="12"/>
        <v>9.0915364125976339E-10</v>
      </c>
      <c r="AO21">
        <f t="shared" si="13"/>
        <v>1.3057128882973664E-8</v>
      </c>
      <c r="AP21">
        <v>3.751507168481838</v>
      </c>
      <c r="AQ21">
        <f t="shared" si="14"/>
        <v>3.8746341966254729E-5</v>
      </c>
      <c r="AR21">
        <f t="shared" si="15"/>
        <v>6.6642999575924822E-6</v>
      </c>
      <c r="AS21">
        <f t="shared" si="16"/>
        <v>17.667432812260067</v>
      </c>
      <c r="AT21">
        <f t="shared" si="17"/>
        <v>11.308614953377022</v>
      </c>
      <c r="AU21">
        <f t="shared" si="18"/>
        <v>3.4651200634734129</v>
      </c>
      <c r="AV21">
        <f t="shared" si="19"/>
        <v>0.28638710500842501</v>
      </c>
      <c r="AW21">
        <f t="shared" si="20"/>
        <v>7.9976057831183545E-3</v>
      </c>
      <c r="AX21">
        <f t="shared" si="21"/>
        <v>0.28638710176723481</v>
      </c>
      <c r="AY21">
        <f t="shared" si="22"/>
        <v>3.2411902051165953E-9</v>
      </c>
      <c r="AZ21">
        <f t="shared" si="23"/>
        <v>1080577.4158407261</v>
      </c>
      <c r="BA21">
        <f t="shared" si="24"/>
        <v>1.0328206831585137E-5</v>
      </c>
      <c r="BB21" s="15">
        <f t="shared" si="25"/>
        <v>853622.26974815829</v>
      </c>
      <c r="BC21" s="20">
        <f t="shared" si="26"/>
        <v>2486.5861544082873</v>
      </c>
      <c r="BD21" s="19">
        <f t="shared" si="27"/>
        <v>0.29214920750463369</v>
      </c>
      <c r="BE21" s="15">
        <v>2722765</v>
      </c>
      <c r="BF21" s="16">
        <f>テーブル2[[#This Row],[q_P]]/テーブル2[[#This Row],[q_M]]</f>
        <v>0.3135130170059327</v>
      </c>
      <c r="BG21">
        <v>1</v>
      </c>
      <c r="BH21">
        <v>9.1999999999999998E-2</v>
      </c>
      <c r="BI21">
        <v>4.5999999999999999E-2</v>
      </c>
      <c r="BJ21">
        <v>5625</v>
      </c>
      <c r="BK21" s="22">
        <v>1</v>
      </c>
      <c r="BL21">
        <f>テーブル2[[#This Row],[Ts]]-テーブル2[[#This Row],[Tin]]</f>
        <v>15.496278620100952</v>
      </c>
      <c r="BM21">
        <f>テーブル2[[#This Row],[q_P]]*0.000001</f>
        <v>0.85362226974815825</v>
      </c>
      <c r="BN21">
        <f>テーブル2[[#This Row],[Tsub]]</f>
        <v>15.496278620100952</v>
      </c>
      <c r="BO21">
        <f>テーブル2[[#This Row],[Fcorr]]</f>
        <v>1</v>
      </c>
      <c r="BP21">
        <f>(テーブル2[[#This Row],[Tsub]]-40)^2</f>
        <v>600.43236146372169</v>
      </c>
      <c r="BQ21">
        <v>1</v>
      </c>
      <c r="BR21">
        <v>0.29527500000000001</v>
      </c>
    </row>
    <row r="22" spans="1:70" x14ac:dyDescent="0.15">
      <c r="A22" s="9" t="s">
        <v>90</v>
      </c>
      <c r="B22">
        <v>13789520</v>
      </c>
      <c r="C22" s="22">
        <f t="array" ref="C22">TsatFromP(テーブル2[[#This Row],[P]])</f>
        <v>608.621106065763</v>
      </c>
      <c r="D22">
        <f t="array" ref="D22">RhoGFromP(テーブル2[[#This Row],[P]])</f>
        <v>85.147893581579396</v>
      </c>
      <c r="E22">
        <f t="array" ref="E22">RhoFFromP(テーブル2[[#This Row],[P]])</f>
        <v>624.86627494838649</v>
      </c>
      <c r="F22">
        <f t="array" ref="F22">HgFromP(テーブル2[[#This Row],[P]])</f>
        <v>2643264.389866509</v>
      </c>
      <c r="G22">
        <f t="array" ref="G22">HfFromP(テーブル2[[#This Row],[P]])</f>
        <v>1562686.9740257829</v>
      </c>
      <c r="H22">
        <f t="array" ref="H22">MuGFromP(テーブル2[[#This Row],[P]])</f>
        <v>2.2019594042733509E-5</v>
      </c>
      <c r="I22">
        <f t="array" ref="I22">MuFFromP(テーブル2[[#This Row],[P]])</f>
        <v>7.2223252690249831E-5</v>
      </c>
      <c r="J22">
        <f t="array" ref="J22">KfFromP(テーブル2[[#This Row],[P]])</f>
        <v>0.4911212487937569</v>
      </c>
      <c r="K22">
        <f t="array" ref="K22">CpFFromP(テーブル2[[#This Row],[P]])</f>
        <v>7679.7516396704104</v>
      </c>
      <c r="L22">
        <f t="array" ref="L22">SigmaFromP(テーブル2[[#This Row],[P]])</f>
        <v>6.5036382888884548E-3</v>
      </c>
      <c r="M22" s="23">
        <v>21</v>
      </c>
      <c r="N22">
        <v>3444.24</v>
      </c>
      <c r="O22" s="8">
        <v>1.6417322322758919E-5</v>
      </c>
      <c r="P22" s="8">
        <v>1.4363361612212531E-2</v>
      </c>
      <c r="Q22" s="8">
        <v>4.5719999999999997E-3</v>
      </c>
      <c r="R22">
        <v>0.29527500000000001</v>
      </c>
      <c r="S22" s="15">
        <v>648098.73046875</v>
      </c>
      <c r="T22">
        <v>596.97613648179595</v>
      </c>
      <c r="U22" s="12">
        <f>+T22+BG22*S22*テーブル2[[#This Row],[Pw]]*R22/(N22*O22*K22)</f>
        <v>603.30580602344889</v>
      </c>
      <c r="V22">
        <v>0.03</v>
      </c>
      <c r="W22" s="8">
        <f t="shared" si="0"/>
        <v>218033.17759082123</v>
      </c>
      <c r="X22">
        <v>2.472265374327982E-2</v>
      </c>
      <c r="Y22">
        <f t="shared" si="1"/>
        <v>6.3599317746615558</v>
      </c>
      <c r="Z22">
        <f t="shared" si="2"/>
        <v>6.3599317991332347</v>
      </c>
      <c r="AA22">
        <f t="shared" si="3"/>
        <v>-2.4471678905513272E-8</v>
      </c>
      <c r="AB22">
        <f t="shared" si="4"/>
        <v>1.3302485657419017E-5</v>
      </c>
      <c r="AC22">
        <v>616.59095143832155</v>
      </c>
      <c r="AD22">
        <f t="shared" si="5"/>
        <v>6060.3141614017068</v>
      </c>
      <c r="AE22">
        <f>+gettm2(AD22,AC22,AK22,AL22,テーブル2[[#This Row],[Fcorr]])</f>
        <v>603.30580618935835</v>
      </c>
      <c r="AF22" s="14">
        <f t="shared" si="6"/>
        <v>1.6590945506322896E-7</v>
      </c>
      <c r="AG22">
        <v>1.3312478914658601E-5</v>
      </c>
      <c r="AH22">
        <f t="shared" si="7"/>
        <v>58.668478565985296</v>
      </c>
      <c r="AI22">
        <f t="shared" si="8"/>
        <v>0.30641418756933142</v>
      </c>
      <c r="AJ22">
        <f t="shared" si="9"/>
        <v>35.292127948323326</v>
      </c>
      <c r="AK22">
        <f t="array" ref="AK22">+S22*テーブル2[[#This Row],[F_form]]/(E22*CpFromTP((テーブル2[[#This Row],[Tin]]+テーブル2[[#This Row],[Tf]])/2,テーブル2[[#This Row],[P]])*AI22)</f>
        <v>0.5133984199418804</v>
      </c>
      <c r="AL22">
        <f t="shared" si="10"/>
        <v>1.1293680422758512</v>
      </c>
      <c r="AM22">
        <f t="shared" si="11"/>
        <v>608.62110606509975</v>
      </c>
      <c r="AN22">
        <f t="shared" si="12"/>
        <v>6.6324901126790792E-10</v>
      </c>
      <c r="AO22">
        <f t="shared" si="13"/>
        <v>9.9932572395835948E-9</v>
      </c>
      <c r="AP22">
        <v>3.7508526223928431</v>
      </c>
      <c r="AQ22">
        <f t="shared" si="14"/>
        <v>3.8759866080367545E-5</v>
      </c>
      <c r="AR22">
        <f t="shared" si="15"/>
        <v>6.6612360859490921E-6</v>
      </c>
      <c r="AS22">
        <f t="shared" si="16"/>
        <v>17.659310316761751</v>
      </c>
      <c r="AT22">
        <f t="shared" si="17"/>
        <v>11.306315705011052</v>
      </c>
      <c r="AU22">
        <f t="shared" si="18"/>
        <v>3.4644155411533339</v>
      </c>
      <c r="AV22">
        <f t="shared" si="19"/>
        <v>0.28643708123950917</v>
      </c>
      <c r="AW22">
        <f t="shared" si="20"/>
        <v>7.9976057831183545E-3</v>
      </c>
      <c r="AX22">
        <f t="shared" si="21"/>
        <v>0.28643707801964241</v>
      </c>
      <c r="AY22">
        <f t="shared" si="22"/>
        <v>3.2198667621052834E-9</v>
      </c>
      <c r="AZ22">
        <f t="shared" si="23"/>
        <v>1080577.4158407261</v>
      </c>
      <c r="BA22">
        <f t="shared" si="24"/>
        <v>1.0333614775736197E-5</v>
      </c>
      <c r="BB22" s="15">
        <f t="shared" si="25"/>
        <v>652976.83051146753</v>
      </c>
      <c r="BC22" s="20">
        <f t="shared" si="26"/>
        <v>4878.1000427175313</v>
      </c>
      <c r="BD22" s="19">
        <f t="shared" si="27"/>
        <v>0.7526785369860779</v>
      </c>
      <c r="BE22" s="15">
        <v>2126470</v>
      </c>
      <c r="BF22" s="16">
        <f>テーブル2[[#This Row],[q_P]]/テーブル2[[#This Row],[q_M]]</f>
        <v>0.30707079362110329</v>
      </c>
      <c r="BG22">
        <v>1</v>
      </c>
      <c r="BH22">
        <v>7.2999999999999995E-2</v>
      </c>
      <c r="BI22">
        <v>4.5999999999999999E-2</v>
      </c>
      <c r="BJ22">
        <v>5625</v>
      </c>
      <c r="BK22" s="22">
        <v>1</v>
      </c>
      <c r="BL22">
        <f>テーブル2[[#This Row],[Ts]]-テーブル2[[#This Row],[Tin]]</f>
        <v>11.644969583967054</v>
      </c>
      <c r="BM22">
        <f>テーブル2[[#This Row],[q_P]]*0.000001</f>
        <v>0.65297683051146749</v>
      </c>
      <c r="BN22">
        <f>テーブル2[[#This Row],[Tsub]]</f>
        <v>11.644969583967054</v>
      </c>
      <c r="BO22">
        <f>テーブル2[[#This Row],[Fcorr]]</f>
        <v>1</v>
      </c>
      <c r="BP22">
        <f>(テーブル2[[#This Row],[Tsub]]-40)^2</f>
        <v>804.00774989415356</v>
      </c>
      <c r="BQ22">
        <v>1</v>
      </c>
      <c r="BR22">
        <v>0.29527500000000001</v>
      </c>
    </row>
    <row r="23" spans="1:70" x14ac:dyDescent="0.15">
      <c r="A23" s="9" t="s">
        <v>91</v>
      </c>
      <c r="B23">
        <v>13789520</v>
      </c>
      <c r="C23" s="22">
        <f t="array" ref="C23">TsatFromP(テーブル2[[#This Row],[P]])</f>
        <v>608.621106065763</v>
      </c>
      <c r="D23">
        <f t="array" ref="D23">RhoGFromP(テーブル2[[#This Row],[P]])</f>
        <v>85.147893581579396</v>
      </c>
      <c r="E23">
        <f t="array" ref="E23">RhoFFromP(テーブル2[[#This Row],[P]])</f>
        <v>624.86627494838649</v>
      </c>
      <c r="F23">
        <f t="array" ref="F23">HgFromP(テーブル2[[#This Row],[P]])</f>
        <v>2643264.389866509</v>
      </c>
      <c r="G23">
        <f t="array" ref="G23">HfFromP(テーブル2[[#This Row],[P]])</f>
        <v>1562686.9740257829</v>
      </c>
      <c r="H23">
        <f t="array" ref="H23">MuGFromP(テーブル2[[#This Row],[P]])</f>
        <v>2.2019594042733509E-5</v>
      </c>
      <c r="I23">
        <f t="array" ref="I23">MuFFromP(テーブル2[[#This Row],[P]])</f>
        <v>7.2223252690249831E-5</v>
      </c>
      <c r="J23">
        <f t="array" ref="J23">KfFromP(テーブル2[[#This Row],[P]])</f>
        <v>0.4911212487937569</v>
      </c>
      <c r="K23">
        <f t="array" ref="K23">CpFFromP(テーブル2[[#This Row],[P]])</f>
        <v>7679.7516396704104</v>
      </c>
      <c r="L23">
        <f t="array" ref="L23">SigmaFromP(テーブル2[[#This Row],[P]])</f>
        <v>6.5036382888884548E-3</v>
      </c>
      <c r="M23">
        <v>22</v>
      </c>
      <c r="N23">
        <v>3444.24</v>
      </c>
      <c r="O23" s="8">
        <v>1.6417322322758919E-5</v>
      </c>
      <c r="P23" s="8">
        <v>1.4363361612212531E-2</v>
      </c>
      <c r="Q23" s="8">
        <v>4.5719999999999997E-3</v>
      </c>
      <c r="R23">
        <v>0.29527500000000001</v>
      </c>
      <c r="S23" s="15">
        <v>676646.38671875</v>
      </c>
      <c r="T23">
        <v>596.439958239725</v>
      </c>
      <c r="U23" s="12">
        <f>+T23+BG23*S23*テーブル2[[#This Row],[Pw]]*R23/(N23*O23*K23)</f>
        <v>603.04843905156906</v>
      </c>
      <c r="V23">
        <v>0.03</v>
      </c>
      <c r="W23" s="8">
        <f t="shared" si="0"/>
        <v>218033.17759082123</v>
      </c>
      <c r="X23">
        <v>2.472265374327982E-2</v>
      </c>
      <c r="Y23">
        <f t="shared" si="1"/>
        <v>6.3599317746615558</v>
      </c>
      <c r="Z23">
        <f t="shared" si="2"/>
        <v>6.3599317991332347</v>
      </c>
      <c r="AA23">
        <f t="shared" si="3"/>
        <v>-2.4471678905513272E-8</v>
      </c>
      <c r="AB23">
        <f t="shared" si="4"/>
        <v>1.3302485657419017E-5</v>
      </c>
      <c r="AC23">
        <v>616.9769290615086</v>
      </c>
      <c r="AD23">
        <f t="shared" si="5"/>
        <v>6060.3141614017068</v>
      </c>
      <c r="AE23">
        <f>+gettm2(AD23,AC23,AK23,AL23,テーブル2[[#This Row],[Fcorr]])</f>
        <v>603.04843905156895</v>
      </c>
      <c r="AF23" s="14">
        <f t="shared" si="6"/>
        <v>0</v>
      </c>
      <c r="AG23">
        <v>1.3312784618136441E-5</v>
      </c>
      <c r="AH23">
        <f t="shared" si="7"/>
        <v>58.668478565985296</v>
      </c>
      <c r="AI23">
        <f t="shared" si="8"/>
        <v>0.30641418756933142</v>
      </c>
      <c r="AJ23">
        <f t="shared" si="9"/>
        <v>35.292938385381923</v>
      </c>
      <c r="AK23">
        <f t="array" ref="AK23">+S23*テーブル2[[#This Row],[F_form]]/(E23*CpFromTP((テーブル2[[#This Row],[Tin]]+テーブル2[[#This Row],[Tf]])/2,テーブル2[[#This Row],[P]])*AI23)</f>
        <v>0.53826018679302123</v>
      </c>
      <c r="AL23">
        <f t="shared" si="10"/>
        <v>1.1293680422758512</v>
      </c>
      <c r="AM23">
        <f t="shared" si="11"/>
        <v>608.62110606506656</v>
      </c>
      <c r="AN23">
        <f t="shared" si="12"/>
        <v>6.964455678826198E-10</v>
      </c>
      <c r="AO23">
        <f t="shared" si="13"/>
        <v>1.0298960717423531E-8</v>
      </c>
      <c r="AP23">
        <v>3.750917943734871</v>
      </c>
      <c r="AQ23">
        <f t="shared" si="14"/>
        <v>3.8758516104462224E-5</v>
      </c>
      <c r="AR23">
        <f t="shared" si="15"/>
        <v>6.6615417894269321E-6</v>
      </c>
      <c r="AS23">
        <f t="shared" si="16"/>
        <v>17.660120753820344</v>
      </c>
      <c r="AT23">
        <f t="shared" si="17"/>
        <v>11.306545164273039</v>
      </c>
      <c r="AU23">
        <f t="shared" si="18"/>
        <v>3.464485850726676</v>
      </c>
      <c r="AV23">
        <f t="shared" si="19"/>
        <v>0.28643209300819494</v>
      </c>
      <c r="AW23">
        <f t="shared" si="20"/>
        <v>7.9976057831183545E-3</v>
      </c>
      <c r="AX23">
        <f t="shared" si="21"/>
        <v>0.28643208978619572</v>
      </c>
      <c r="AY23">
        <f t="shared" si="22"/>
        <v>3.2219992229798322E-9</v>
      </c>
      <c r="AZ23">
        <f t="shared" si="23"/>
        <v>1080577.4158407261</v>
      </c>
      <c r="BA23">
        <f t="shared" si="24"/>
        <v>1.0333074912822413E-5</v>
      </c>
      <c r="BB23" s="15">
        <f t="shared" si="25"/>
        <v>672987.18723438215</v>
      </c>
      <c r="BC23" s="20">
        <f t="shared" si="26"/>
        <v>-3659.1994843678549</v>
      </c>
      <c r="BD23" s="19">
        <f t="shared" si="27"/>
        <v>-0.54078460421732977</v>
      </c>
      <c r="BE23" s="15">
        <v>2148555</v>
      </c>
      <c r="BF23" s="16">
        <f>テーブル2[[#This Row],[q_P]]/テーブル2[[#This Row],[q_M]]</f>
        <v>0.31322781461697846</v>
      </c>
      <c r="BG23">
        <v>1</v>
      </c>
      <c r="BH23">
        <v>7.1999999999999995E-2</v>
      </c>
      <c r="BI23">
        <v>4.5999999999999999E-2</v>
      </c>
      <c r="BJ23">
        <v>5625</v>
      </c>
      <c r="BK23" s="22">
        <v>1</v>
      </c>
      <c r="BL23">
        <f>テーブル2[[#This Row],[Ts]]-テーブル2[[#This Row],[Tin]]</f>
        <v>12.181147826038</v>
      </c>
      <c r="BM23">
        <f>テーブル2[[#This Row],[q_P]]*0.000001</f>
        <v>0.67298718723438211</v>
      </c>
      <c r="BN23">
        <f>テーブル2[[#This Row],[Tsub]]</f>
        <v>12.181147826038</v>
      </c>
      <c r="BO23">
        <f>テーブル2[[#This Row],[Fcorr]]</f>
        <v>1</v>
      </c>
      <c r="BP23">
        <f>(テーブル2[[#This Row],[Tsub]]-40)^2</f>
        <v>773.8885362767503</v>
      </c>
      <c r="BQ23">
        <v>1</v>
      </c>
      <c r="BR23">
        <v>0.29527500000000001</v>
      </c>
    </row>
    <row r="24" spans="1:70" x14ac:dyDescent="0.15">
      <c r="A24" s="9" t="s">
        <v>92</v>
      </c>
      <c r="B24">
        <v>13789520</v>
      </c>
      <c r="C24" s="22">
        <f t="array" ref="C24">TsatFromP(テーブル2[[#This Row],[P]])</f>
        <v>608.621106065763</v>
      </c>
      <c r="D24">
        <f t="array" ref="D24">RhoGFromP(テーブル2[[#This Row],[P]])</f>
        <v>85.147893581579396</v>
      </c>
      <c r="E24">
        <f t="array" ref="E24">RhoFFromP(テーブル2[[#This Row],[P]])</f>
        <v>624.86627494838649</v>
      </c>
      <c r="F24">
        <f t="array" ref="F24">HgFromP(テーブル2[[#This Row],[P]])</f>
        <v>2643264.389866509</v>
      </c>
      <c r="G24">
        <f t="array" ref="G24">HfFromP(テーブル2[[#This Row],[P]])</f>
        <v>1562686.9740257829</v>
      </c>
      <c r="H24">
        <f t="array" ref="H24">MuGFromP(テーブル2[[#This Row],[P]])</f>
        <v>2.2019594042733509E-5</v>
      </c>
      <c r="I24">
        <f t="array" ref="I24">MuFFromP(テーブル2[[#This Row],[P]])</f>
        <v>7.2223252690249831E-5</v>
      </c>
      <c r="J24">
        <f t="array" ref="J24">KfFromP(テーブル2[[#This Row],[P]])</f>
        <v>0.4911212487937569</v>
      </c>
      <c r="K24">
        <f t="array" ref="K24">CpFFromP(テーブル2[[#This Row],[P]])</f>
        <v>7679.7516396704104</v>
      </c>
      <c r="L24">
        <f t="array" ref="L24">SigmaFromP(テーブル2[[#This Row],[P]])</f>
        <v>6.5036382888884548E-3</v>
      </c>
      <c r="M24" s="23">
        <v>23</v>
      </c>
      <c r="N24">
        <v>3444.24</v>
      </c>
      <c r="O24" s="8">
        <v>1.6417322322758919E-5</v>
      </c>
      <c r="P24" s="8">
        <v>1.4363361612212531E-2</v>
      </c>
      <c r="Q24" s="8">
        <v>4.5719999999999997E-3</v>
      </c>
      <c r="R24">
        <v>0.29527500000000001</v>
      </c>
      <c r="S24" s="15">
        <v>705256.64171875</v>
      </c>
      <c r="T24">
        <v>595.90081561821296</v>
      </c>
      <c r="U24" s="12">
        <f>+T24+BG24*S24*テーブル2[[#This Row],[Pw]]*R24/(N24*O24*K24)</f>
        <v>602.78871907222367</v>
      </c>
      <c r="V24">
        <v>0.03</v>
      </c>
      <c r="W24" s="8">
        <f t="shared" si="0"/>
        <v>218033.17759082123</v>
      </c>
      <c r="X24">
        <v>2.472265374327982E-2</v>
      </c>
      <c r="Y24">
        <f t="shared" si="1"/>
        <v>6.3599317746615558</v>
      </c>
      <c r="Z24">
        <f t="shared" si="2"/>
        <v>6.3599317991332347</v>
      </c>
      <c r="AA24">
        <f t="shared" si="3"/>
        <v>-2.4471678905513272E-8</v>
      </c>
      <c r="AB24">
        <f t="shared" si="4"/>
        <v>1.3302485657419017E-5</v>
      </c>
      <c r="AC24">
        <v>617.36647409557054</v>
      </c>
      <c r="AD24">
        <f t="shared" si="5"/>
        <v>6060.3141614017068</v>
      </c>
      <c r="AE24">
        <f>+gettm2(AD24,AC24,AK24,AL24,テーブル2[[#This Row],[Fcorr]])</f>
        <v>602.78871907222367</v>
      </c>
      <c r="AF24" s="14">
        <f t="shared" si="6"/>
        <v>0</v>
      </c>
      <c r="AG24">
        <v>1.3313212572347621E-5</v>
      </c>
      <c r="AH24">
        <f t="shared" si="7"/>
        <v>58.668478565985296</v>
      </c>
      <c r="AI24">
        <f t="shared" si="8"/>
        <v>0.30641418756933142</v>
      </c>
      <c r="AJ24">
        <f t="shared" si="9"/>
        <v>35.294072915988416</v>
      </c>
      <c r="AK24">
        <f t="array" ref="AK24">+S24*テーブル2[[#This Row],[F_form]]/(E24*CpFromTP((テーブル2[[#This Row],[Tin]]+テーブル2[[#This Row],[Tf]])/2,テーブル2[[#This Row],[P]])*AI24)</f>
        <v>0.56335073911745337</v>
      </c>
      <c r="AL24">
        <f t="shared" si="10"/>
        <v>1.1293680422758512</v>
      </c>
      <c r="AM24">
        <f t="shared" si="11"/>
        <v>608.62110606503279</v>
      </c>
      <c r="AN24">
        <f t="shared" si="12"/>
        <v>7.3021055868593976E-10</v>
      </c>
      <c r="AO24">
        <f t="shared" si="13"/>
        <v>1.0726914928603669E-8</v>
      </c>
      <c r="AP24">
        <v>3.751009382298689</v>
      </c>
      <c r="AQ24">
        <f t="shared" si="14"/>
        <v>3.8756626490499323E-5</v>
      </c>
      <c r="AR24">
        <f t="shared" si="15"/>
        <v>6.6619697436381122E-6</v>
      </c>
      <c r="AS24">
        <f t="shared" si="16"/>
        <v>17.66125528442684</v>
      </c>
      <c r="AT24">
        <f t="shared" si="17"/>
        <v>11.306866366540376</v>
      </c>
      <c r="AU24">
        <f t="shared" si="18"/>
        <v>3.4645842716584676</v>
      </c>
      <c r="AV24">
        <f t="shared" si="19"/>
        <v>0.28642511064022136</v>
      </c>
      <c r="AW24">
        <f t="shared" si="20"/>
        <v>7.9976057831183545E-3</v>
      </c>
      <c r="AX24">
        <f t="shared" si="21"/>
        <v>0.28642510741525173</v>
      </c>
      <c r="AY24">
        <f t="shared" si="22"/>
        <v>3.2249696246822168E-9</v>
      </c>
      <c r="AZ24">
        <f t="shared" si="23"/>
        <v>1080577.4158407261</v>
      </c>
      <c r="BA24">
        <f t="shared" si="24"/>
        <v>1.0332319261421984E-5</v>
      </c>
      <c r="BB24" s="15">
        <f t="shared" si="25"/>
        <v>701003.18554479384</v>
      </c>
      <c r="BC24" s="20">
        <f t="shared" si="26"/>
        <v>-4253.4561739561614</v>
      </c>
      <c r="BD24" s="19">
        <f t="shared" si="27"/>
        <v>-0.60310756713899927</v>
      </c>
      <c r="BE24" s="15">
        <v>2148555</v>
      </c>
      <c r="BF24" s="16">
        <f>テーブル2[[#This Row],[q_P]]/テーブル2[[#This Row],[q_M]]</f>
        <v>0.32626727523605115</v>
      </c>
      <c r="BG24">
        <v>1</v>
      </c>
      <c r="BH24">
        <v>6.8000000000000005E-2</v>
      </c>
      <c r="BI24">
        <v>4.5999999999999999E-2</v>
      </c>
      <c r="BJ24">
        <v>5625</v>
      </c>
      <c r="BK24" s="22">
        <v>1</v>
      </c>
      <c r="BL24">
        <f>テーブル2[[#This Row],[Ts]]-テーブル2[[#This Row],[Tin]]</f>
        <v>12.720290447550042</v>
      </c>
      <c r="BM24">
        <f>テーブル2[[#This Row],[q_P]]*0.000001</f>
        <v>0.70100318554479379</v>
      </c>
      <c r="BN24">
        <f>テーブル2[[#This Row],[Tsub]]</f>
        <v>12.720290447550042</v>
      </c>
      <c r="BO24">
        <f>テーブル2[[#This Row],[Fcorr]]</f>
        <v>1</v>
      </c>
      <c r="BP24">
        <f>(テーブル2[[#This Row],[Tsub]]-40)^2</f>
        <v>744.18255326602946</v>
      </c>
      <c r="BQ24">
        <v>1</v>
      </c>
      <c r="BR24">
        <v>0.29527500000000001</v>
      </c>
    </row>
    <row r="25" spans="1:70" x14ac:dyDescent="0.15">
      <c r="A25" s="9" t="s">
        <v>93</v>
      </c>
      <c r="B25">
        <v>13789520</v>
      </c>
      <c r="C25" s="22">
        <f t="array" ref="C25">TsatFromP(テーブル2[[#This Row],[P]])</f>
        <v>608.621106065763</v>
      </c>
      <c r="D25">
        <f t="array" ref="D25">RhoGFromP(テーブル2[[#This Row],[P]])</f>
        <v>85.147893581579396</v>
      </c>
      <c r="E25">
        <f t="array" ref="E25">RhoFFromP(テーブル2[[#This Row],[P]])</f>
        <v>624.86627494838649</v>
      </c>
      <c r="F25">
        <f t="array" ref="F25">HgFromP(テーブル2[[#This Row],[P]])</f>
        <v>2643264.389866509</v>
      </c>
      <c r="G25">
        <f t="array" ref="G25">HfFromP(テーブル2[[#This Row],[P]])</f>
        <v>1562686.9740257829</v>
      </c>
      <c r="H25">
        <f t="array" ref="H25">MuGFromP(テーブル2[[#This Row],[P]])</f>
        <v>2.2019594042733509E-5</v>
      </c>
      <c r="I25">
        <f t="array" ref="I25">MuFFromP(テーブル2[[#This Row],[P]])</f>
        <v>7.2223252690249831E-5</v>
      </c>
      <c r="J25">
        <f t="array" ref="J25">KfFromP(テーブル2[[#This Row],[P]])</f>
        <v>0.4911212487937569</v>
      </c>
      <c r="K25">
        <f t="array" ref="K25">CpFFromP(テーブル2[[#This Row],[P]])</f>
        <v>7679.7516396704104</v>
      </c>
      <c r="L25">
        <f t="array" ref="L25">SigmaFromP(テーブル2[[#This Row],[P]])</f>
        <v>6.5036382888884548E-3</v>
      </c>
      <c r="M25">
        <v>24</v>
      </c>
      <c r="N25">
        <v>3484.92</v>
      </c>
      <c r="O25" s="8">
        <v>1.6417322322758919E-5</v>
      </c>
      <c r="P25" s="8">
        <v>1.4363361612212531E-2</v>
      </c>
      <c r="Q25" s="8">
        <v>4.5719999999999997E-3</v>
      </c>
      <c r="R25">
        <v>0.29527500000000001</v>
      </c>
      <c r="S25" s="15">
        <v>1232276.9239062499</v>
      </c>
      <c r="T25">
        <v>585.88293483903703</v>
      </c>
      <c r="U25" s="12">
        <f>+T25+BG25*S25*テーブル2[[#This Row],[Pw]]*R25/(N25*O25*K25)</f>
        <v>597.77750563002542</v>
      </c>
      <c r="V25">
        <v>0.03</v>
      </c>
      <c r="W25" s="8">
        <f t="shared" si="0"/>
        <v>220608.37260173645</v>
      </c>
      <c r="X25">
        <v>2.460401756364429E-2</v>
      </c>
      <c r="Y25">
        <f t="shared" si="1"/>
        <v>6.3752465632928841</v>
      </c>
      <c r="Z25">
        <f t="shared" si="2"/>
        <v>6.3752465822255244</v>
      </c>
      <c r="AA25">
        <f t="shared" si="3"/>
        <v>-1.8932640344360152E-8</v>
      </c>
      <c r="AB25">
        <f t="shared" si="4"/>
        <v>1.3056387886842231E-5</v>
      </c>
      <c r="AC25">
        <v>624.78705217099787</v>
      </c>
      <c r="AD25">
        <f t="shared" si="5"/>
        <v>6117.1624777381148</v>
      </c>
      <c r="AE25">
        <f>+gettm2(AD25,AC25,AK25,AL25,テーブル2[[#This Row],[Fcorr]])</f>
        <v>597.77750587789581</v>
      </c>
      <c r="AF25" s="14">
        <f t="shared" si="6"/>
        <v>2.4787038910289994E-7</v>
      </c>
      <c r="AG25">
        <v>1.307498811677625E-5</v>
      </c>
      <c r="AH25">
        <f t="shared" si="7"/>
        <v>59.774311350929693</v>
      </c>
      <c r="AI25">
        <f t="shared" si="8"/>
        <v>0.30928848256477043</v>
      </c>
      <c r="AJ25">
        <f t="shared" si="9"/>
        <v>34.987675723891257</v>
      </c>
      <c r="AK25">
        <f t="array" ref="AK25">+S25*テーブル2[[#This Row],[F_form]]/(E25*CpFromTP((テーブル2[[#This Row],[Tin]]+テーブル2[[#This Row],[Tf]])/2,テーブル2[[#This Row],[P]])*AI25)</f>
        <v>1.0428267210970437</v>
      </c>
      <c r="AL25">
        <f t="shared" si="10"/>
        <v>1.1293680422758512</v>
      </c>
      <c r="AM25">
        <f t="shared" si="11"/>
        <v>608.62110606167892</v>
      </c>
      <c r="AN25">
        <f t="shared" si="12"/>
        <v>4.0840859583113343E-9</v>
      </c>
      <c r="AO25">
        <f t="shared" si="13"/>
        <v>1.8600229934019E-8</v>
      </c>
      <c r="AP25">
        <v>3.77205179622996</v>
      </c>
      <c r="AQ25">
        <f t="shared" si="14"/>
        <v>3.8325424432158496E-5</v>
      </c>
      <c r="AR25">
        <f t="shared" si="15"/>
        <v>6.5467941733551343E-6</v>
      </c>
      <c r="AS25">
        <f t="shared" si="16"/>
        <v>17.518724263658157</v>
      </c>
      <c r="AT25">
        <f t="shared" si="17"/>
        <v>11.266351334278925</v>
      </c>
      <c r="AU25">
        <f t="shared" si="18"/>
        <v>3.4845527082207051</v>
      </c>
      <c r="AV25">
        <f t="shared" si="19"/>
        <v>0.28749908800925494</v>
      </c>
      <c r="AW25">
        <f t="shared" si="20"/>
        <v>7.8496490024185205E-3</v>
      </c>
      <c r="AX25">
        <f t="shared" si="21"/>
        <v>0.2874990838880635</v>
      </c>
      <c r="AY25">
        <f t="shared" si="22"/>
        <v>4.1211914436622976E-9</v>
      </c>
      <c r="AZ25">
        <f t="shared" si="23"/>
        <v>1080577.4158407261</v>
      </c>
      <c r="BA25">
        <f t="shared" si="24"/>
        <v>1.0160365366791485E-5</v>
      </c>
      <c r="BB25" s="15">
        <f t="shared" si="25"/>
        <v>1236095.3131054931</v>
      </c>
      <c r="BC25" s="20">
        <f t="shared" si="26"/>
        <v>3818.38919924316</v>
      </c>
      <c r="BD25" s="19">
        <f t="shared" si="27"/>
        <v>0.30986453817045251</v>
      </c>
      <c r="BE25" s="15">
        <v>3139225</v>
      </c>
      <c r="BF25" s="16">
        <f>テーブル2[[#This Row],[q_P]]/テーブル2[[#This Row],[q_M]]</f>
        <v>0.39375811326218829</v>
      </c>
      <c r="BG25">
        <v>1</v>
      </c>
      <c r="BH25">
        <v>7.6999999999999999E-2</v>
      </c>
      <c r="BI25">
        <v>4.5999999999999999E-2</v>
      </c>
      <c r="BJ25">
        <v>5625</v>
      </c>
      <c r="BK25" s="22">
        <v>1</v>
      </c>
      <c r="BL25">
        <f>テーブル2[[#This Row],[Ts]]-テーブル2[[#This Row],[Tin]]</f>
        <v>22.738171226725967</v>
      </c>
      <c r="BM25">
        <f>テーブル2[[#This Row],[q_P]]*0.000001</f>
        <v>1.236095313105493</v>
      </c>
      <c r="BN25">
        <f>テーブル2[[#This Row],[Tsub]]</f>
        <v>22.738171226725967</v>
      </c>
      <c r="BO25">
        <f>テーブル2[[#This Row],[Fcorr]]</f>
        <v>1</v>
      </c>
      <c r="BP25">
        <f>(テーブル2[[#This Row],[Tsub]]-40)^2</f>
        <v>297.97073259783127</v>
      </c>
      <c r="BQ25">
        <v>1</v>
      </c>
      <c r="BR25">
        <v>0.29527500000000001</v>
      </c>
    </row>
    <row r="26" spans="1:70" x14ac:dyDescent="0.15">
      <c r="A26" s="9" t="s">
        <v>94</v>
      </c>
      <c r="B26">
        <v>13789520</v>
      </c>
      <c r="C26" s="22">
        <f t="array" ref="C26">TsatFromP(テーブル2[[#This Row],[P]])</f>
        <v>608.621106065763</v>
      </c>
      <c r="D26">
        <f t="array" ref="D26">RhoGFromP(テーブル2[[#This Row],[P]])</f>
        <v>85.147893581579396</v>
      </c>
      <c r="E26">
        <f t="array" ref="E26">RhoFFromP(テーブル2[[#This Row],[P]])</f>
        <v>624.86627494838649</v>
      </c>
      <c r="F26">
        <f t="array" ref="F26">HgFromP(テーブル2[[#This Row],[P]])</f>
        <v>2643264.389866509</v>
      </c>
      <c r="G26">
        <f t="array" ref="G26">HfFromP(テーブル2[[#This Row],[P]])</f>
        <v>1562686.9740257829</v>
      </c>
      <c r="H26">
        <f t="array" ref="H26">MuGFromP(テーブル2[[#This Row],[P]])</f>
        <v>2.2019594042733509E-5</v>
      </c>
      <c r="I26">
        <f t="array" ref="I26">MuFFromP(テーブル2[[#This Row],[P]])</f>
        <v>7.2223252690249831E-5</v>
      </c>
      <c r="J26">
        <f t="array" ref="J26">KfFromP(テーブル2[[#This Row],[P]])</f>
        <v>0.4911212487937569</v>
      </c>
      <c r="K26">
        <f t="array" ref="K26">CpFFromP(テーブル2[[#This Row],[P]])</f>
        <v>7679.7516396704104</v>
      </c>
      <c r="L26">
        <f t="array" ref="L26">SigmaFromP(テーブル2[[#This Row],[P]])</f>
        <v>6.5036382888884548E-3</v>
      </c>
      <c r="M26" s="23">
        <v>25</v>
      </c>
      <c r="N26">
        <v>3484.92</v>
      </c>
      <c r="O26" s="8">
        <v>1.6417322322758919E-5</v>
      </c>
      <c r="P26" s="8">
        <v>1.4363361612212531E-2</v>
      </c>
      <c r="Q26" s="8">
        <v>4.5719999999999997E-3</v>
      </c>
      <c r="R26">
        <v>0.29527500000000001</v>
      </c>
      <c r="S26" s="15">
        <v>1288034.69921875</v>
      </c>
      <c r="T26">
        <v>584.781818283598</v>
      </c>
      <c r="U26" s="12">
        <f>+T26+BG26*S26*テーブル2[[#This Row],[Pw]]*R26/(N26*O26*K26)</f>
        <v>597.21459180543047</v>
      </c>
      <c r="V26">
        <v>0.03</v>
      </c>
      <c r="W26" s="8">
        <f t="shared" si="0"/>
        <v>220608.37260173645</v>
      </c>
      <c r="X26">
        <v>2.460401756364429E-2</v>
      </c>
      <c r="Y26">
        <f t="shared" si="1"/>
        <v>6.3752465632928841</v>
      </c>
      <c r="Z26">
        <f t="shared" si="2"/>
        <v>6.3752465822255244</v>
      </c>
      <c r="AA26">
        <f t="shared" si="3"/>
        <v>-1.8932640344360152E-8</v>
      </c>
      <c r="AB26">
        <f t="shared" si="4"/>
        <v>1.3056387886842231E-5</v>
      </c>
      <c r="AC26">
        <v>625.62664751397949</v>
      </c>
      <c r="AD26">
        <f t="shared" si="5"/>
        <v>6117.1624777381148</v>
      </c>
      <c r="AE26">
        <f>+gettm2(AD26,AC26,AK26,AL26,テーブル2[[#This Row],[Fcorr]])</f>
        <v>597.21459180543036</v>
      </c>
      <c r="AF26" s="14">
        <f t="shared" si="6"/>
        <v>0</v>
      </c>
      <c r="AG26">
        <v>1.307572909640209E-5</v>
      </c>
      <c r="AH26">
        <f t="shared" si="7"/>
        <v>59.774311350929693</v>
      </c>
      <c r="AI26">
        <f t="shared" si="8"/>
        <v>0.30928848256477043</v>
      </c>
      <c r="AJ26">
        <f t="shared" si="9"/>
        <v>34.989658529124839</v>
      </c>
      <c r="AK26">
        <f t="array" ref="AK26">+S26*テーブル2[[#This Row],[F_form]]/(E26*CpFromTP((テーブル2[[#This Row],[Tin]]+テーブル2[[#This Row],[Tf]])/2,テーブル2[[#This Row],[P]])*AI26)</f>
        <v>1.0969769937135088</v>
      </c>
      <c r="AL26">
        <f t="shared" si="10"/>
        <v>1.1293680422758512</v>
      </c>
      <c r="AM26">
        <f t="shared" si="11"/>
        <v>608.62110606144608</v>
      </c>
      <c r="AN26">
        <f t="shared" si="12"/>
        <v>4.3169166019652039E-9</v>
      </c>
      <c r="AO26">
        <f t="shared" si="13"/>
        <v>1.9341209559859825E-8</v>
      </c>
      <c r="AP26">
        <v>3.772214421396574</v>
      </c>
      <c r="AQ26">
        <f t="shared" si="14"/>
        <v>3.8322119983636718E-5</v>
      </c>
      <c r="AR26">
        <f t="shared" si="15"/>
        <v>6.5475351529809751E-6</v>
      </c>
      <c r="AS26">
        <f t="shared" si="16"/>
        <v>17.520707068891738</v>
      </c>
      <c r="AT26">
        <f t="shared" si="17"/>
        <v>11.266917212536731</v>
      </c>
      <c r="AU26">
        <f t="shared" si="18"/>
        <v>3.4847277278483784</v>
      </c>
      <c r="AV26">
        <f t="shared" si="19"/>
        <v>0.28748669354819567</v>
      </c>
      <c r="AW26">
        <f t="shared" si="20"/>
        <v>7.8496490024185205E-3</v>
      </c>
      <c r="AX26">
        <f t="shared" si="21"/>
        <v>0.28748668942126082</v>
      </c>
      <c r="AY26">
        <f t="shared" si="22"/>
        <v>4.1269348494132885E-9</v>
      </c>
      <c r="AZ26">
        <f t="shared" si="23"/>
        <v>1080577.4158407261</v>
      </c>
      <c r="BA26">
        <f t="shared" si="24"/>
        <v>1.0159051342963916E-5</v>
      </c>
      <c r="BB26" s="15">
        <f t="shared" si="25"/>
        <v>1285504.0448653493</v>
      </c>
      <c r="BC26" s="20">
        <f t="shared" si="26"/>
        <v>-2530.6543534006923</v>
      </c>
      <c r="BD26" s="19">
        <f t="shared" si="27"/>
        <v>-0.19647408217617476</v>
      </c>
      <c r="BE26" s="15">
        <v>3123450</v>
      </c>
      <c r="BF26" s="16">
        <f>テーブル2[[#This Row],[q_P]]/テーブル2[[#This Row],[q_M]]</f>
        <v>0.41156543081059382</v>
      </c>
      <c r="BG26">
        <v>1</v>
      </c>
      <c r="BH26">
        <v>7.0000000000000007E-2</v>
      </c>
      <c r="BI26">
        <v>4.5999999999999999E-2</v>
      </c>
      <c r="BJ26">
        <v>5625</v>
      </c>
      <c r="BK26" s="22">
        <v>1</v>
      </c>
      <c r="BL26">
        <f>テーブル2[[#This Row],[Ts]]-テーブル2[[#This Row],[Tin]]</f>
        <v>23.839287782165002</v>
      </c>
      <c r="BM26">
        <f>テーブル2[[#This Row],[q_P]]*0.000001</f>
        <v>1.2855040448653492</v>
      </c>
      <c r="BN26">
        <f>テーブル2[[#This Row],[Tsub]]</f>
        <v>23.839287782165002</v>
      </c>
      <c r="BO26">
        <f>テーブル2[[#This Row],[Fcorr]]</f>
        <v>1</v>
      </c>
      <c r="BP26">
        <f>(テーブル2[[#This Row],[Tsub]]-40)^2</f>
        <v>261.16861938768136</v>
      </c>
      <c r="BQ26">
        <v>1</v>
      </c>
      <c r="BR26">
        <v>0.29527500000000001</v>
      </c>
    </row>
    <row r="27" spans="1:70" x14ac:dyDescent="0.15">
      <c r="A27" s="9" t="s">
        <v>95</v>
      </c>
      <c r="B27">
        <v>13789520</v>
      </c>
      <c r="C27" s="22">
        <f t="array" ref="C27">TsatFromP(テーブル2[[#This Row],[P]])</f>
        <v>608.621106065763</v>
      </c>
      <c r="D27">
        <f t="array" ref="D27">RhoGFromP(テーブル2[[#This Row],[P]])</f>
        <v>85.147893581579396</v>
      </c>
      <c r="E27">
        <f t="array" ref="E27">RhoFFromP(テーブル2[[#This Row],[P]])</f>
        <v>624.86627494838649</v>
      </c>
      <c r="F27">
        <f t="array" ref="F27">HgFromP(テーブル2[[#This Row],[P]])</f>
        <v>2643264.389866509</v>
      </c>
      <c r="G27">
        <f t="array" ref="G27">HfFromP(テーブル2[[#This Row],[P]])</f>
        <v>1562686.9740257829</v>
      </c>
      <c r="H27">
        <f t="array" ref="H27">MuGFromP(テーブル2[[#This Row],[P]])</f>
        <v>2.2019594042733509E-5</v>
      </c>
      <c r="I27">
        <f t="array" ref="I27">MuFFromP(テーブル2[[#This Row],[P]])</f>
        <v>7.2223252690249831E-5</v>
      </c>
      <c r="J27">
        <f t="array" ref="J27">KfFromP(テーブル2[[#This Row],[P]])</f>
        <v>0.4911212487937569</v>
      </c>
      <c r="K27">
        <f t="array" ref="K27">CpFFromP(テーブル2[[#This Row],[P]])</f>
        <v>7679.7516396704104</v>
      </c>
      <c r="L27">
        <f t="array" ref="L27">SigmaFromP(テーブル2[[#This Row],[P]])</f>
        <v>6.5036382888884548E-3</v>
      </c>
      <c r="M27">
        <v>26</v>
      </c>
      <c r="N27">
        <v>3484.92</v>
      </c>
      <c r="O27" s="8">
        <v>1.6417322322758919E-5</v>
      </c>
      <c r="P27" s="8">
        <v>1.4363361612212531E-2</v>
      </c>
      <c r="Q27" s="8">
        <v>4.5719999999999997E-3</v>
      </c>
      <c r="R27">
        <v>0.29527500000000001</v>
      </c>
      <c r="S27" s="15">
        <v>1316005.89359375</v>
      </c>
      <c r="T27">
        <v>584.22817624184802</v>
      </c>
      <c r="U27" s="12">
        <f>+T27+BG27*S27*テーブル2[[#This Row],[Pw]]*R27/(N27*O27*K27)</f>
        <v>596.93094212103733</v>
      </c>
      <c r="V27">
        <v>0.03</v>
      </c>
      <c r="W27" s="8">
        <f t="shared" si="0"/>
        <v>220608.37260173645</v>
      </c>
      <c r="X27">
        <v>2.460401756364429E-2</v>
      </c>
      <c r="Y27">
        <f t="shared" si="1"/>
        <v>6.3752465632928841</v>
      </c>
      <c r="Z27">
        <f t="shared" si="2"/>
        <v>6.3752465822255244</v>
      </c>
      <c r="AA27">
        <f t="shared" si="3"/>
        <v>-1.8932640344360152E-8</v>
      </c>
      <c r="AB27">
        <f t="shared" si="4"/>
        <v>1.3056387886842231E-5</v>
      </c>
      <c r="AC27">
        <v>626.04983555202125</v>
      </c>
      <c r="AD27">
        <f t="shared" si="5"/>
        <v>6117.1624777381148</v>
      </c>
      <c r="AE27">
        <f>+gettm2(AD27,AC27,AK27,AL27,テーブル2[[#This Row],[Fcorr]])</f>
        <v>596.93094212103722</v>
      </c>
      <c r="AF27" s="14">
        <f t="shared" si="6"/>
        <v>0</v>
      </c>
      <c r="AG27">
        <v>1.307629956530174E-5</v>
      </c>
      <c r="AH27">
        <f t="shared" si="7"/>
        <v>59.774311350929693</v>
      </c>
      <c r="AI27">
        <f t="shared" si="8"/>
        <v>0.30928848256477043</v>
      </c>
      <c r="AJ27">
        <f t="shared" si="9"/>
        <v>34.991185060597999</v>
      </c>
      <c r="AK27">
        <f t="array" ref="AK27">+S27*テーブル2[[#This Row],[F_form]]/(E27*CpFromTP((テーブル2[[#This Row],[Tin]]+テーブル2[[#This Row],[Tf]])/2,テーブル2[[#This Row],[P]])*AI27)</f>
        <v>1.1242676877679598</v>
      </c>
      <c r="AL27">
        <f t="shared" si="10"/>
        <v>1.1293680422758512</v>
      </c>
      <c r="AM27">
        <f t="shared" si="11"/>
        <v>608.62110606132228</v>
      </c>
      <c r="AN27">
        <f t="shared" si="12"/>
        <v>4.4407215682440437E-9</v>
      </c>
      <c r="AO27">
        <f t="shared" si="13"/>
        <v>1.9911678459509256E-8</v>
      </c>
      <c r="AP27">
        <v>3.7723396121672521</v>
      </c>
      <c r="AQ27">
        <f t="shared" si="14"/>
        <v>3.8319576471323073E-5</v>
      </c>
      <c r="AR27">
        <f t="shared" si="15"/>
        <v>6.5481056218806246E-6</v>
      </c>
      <c r="AS27">
        <f t="shared" si="16"/>
        <v>17.522233600364899</v>
      </c>
      <c r="AT27">
        <f t="shared" si="17"/>
        <v>11.267352829937831</v>
      </c>
      <c r="AU27">
        <f t="shared" si="18"/>
        <v>3.4848624592933435</v>
      </c>
      <c r="AV27">
        <f t="shared" si="19"/>
        <v>0.28747715287390863</v>
      </c>
      <c r="AW27">
        <f t="shared" si="20"/>
        <v>7.8496490024185205E-3</v>
      </c>
      <c r="AX27">
        <f t="shared" si="21"/>
        <v>0.28747714874255509</v>
      </c>
      <c r="AY27">
        <f t="shared" si="22"/>
        <v>4.1313535370512966E-9</v>
      </c>
      <c r="AZ27">
        <f t="shared" si="23"/>
        <v>1080577.4158407261</v>
      </c>
      <c r="BA27">
        <f t="shared" si="24"/>
        <v>1.0158039946278336E-5</v>
      </c>
      <c r="BB27" s="15">
        <f t="shared" si="25"/>
        <v>1323551.7493968594</v>
      </c>
      <c r="BC27" s="20">
        <f t="shared" si="26"/>
        <v>7545.8558031094726</v>
      </c>
      <c r="BD27" s="19">
        <f t="shared" si="27"/>
        <v>0.57339073022714537</v>
      </c>
      <c r="BE27" s="15">
        <v>3155000</v>
      </c>
      <c r="BF27" s="16">
        <f>テーブル2[[#This Row],[q_P]]/テーブル2[[#This Row],[q_M]]</f>
        <v>0.41950927080724548</v>
      </c>
      <c r="BG27">
        <v>1</v>
      </c>
      <c r="BH27">
        <v>6.9000000000000006E-2</v>
      </c>
      <c r="BI27">
        <v>4.5999999999999999E-2</v>
      </c>
      <c r="BJ27">
        <v>5625</v>
      </c>
      <c r="BK27" s="22">
        <v>1</v>
      </c>
      <c r="BL27">
        <f>テーブル2[[#This Row],[Ts]]-テーブル2[[#This Row],[Tin]]</f>
        <v>24.392929823914983</v>
      </c>
      <c r="BM27">
        <f>テーブル2[[#This Row],[q_P]]*0.000001</f>
        <v>1.3235517493968594</v>
      </c>
      <c r="BN27">
        <f>テーブル2[[#This Row],[Tsub]]</f>
        <v>24.392929823914983</v>
      </c>
      <c r="BO27">
        <f>テーブル2[[#This Row],[Fcorr]]</f>
        <v>1</v>
      </c>
      <c r="BP27">
        <f>(テーブル2[[#This Row],[Tsub]]-40)^2</f>
        <v>243.5806394812424</v>
      </c>
      <c r="BQ27">
        <v>1</v>
      </c>
      <c r="BR27">
        <v>0.29527500000000001</v>
      </c>
    </row>
    <row r="28" spans="1:70" x14ac:dyDescent="0.15">
      <c r="A28" s="9" t="s">
        <v>96</v>
      </c>
      <c r="B28">
        <v>13789520</v>
      </c>
      <c r="C28" s="22">
        <f t="array" ref="C28">TsatFromP(テーブル2[[#This Row],[P]])</f>
        <v>608.621106065763</v>
      </c>
      <c r="D28">
        <f t="array" ref="D28">RhoGFromP(テーブル2[[#This Row],[P]])</f>
        <v>85.147893581579396</v>
      </c>
      <c r="E28">
        <f t="array" ref="E28">RhoFFromP(テーブル2[[#This Row],[P]])</f>
        <v>624.86627494838649</v>
      </c>
      <c r="F28">
        <f t="array" ref="F28">HgFromP(テーブル2[[#This Row],[P]])</f>
        <v>2643264.389866509</v>
      </c>
      <c r="G28">
        <f t="array" ref="G28">HfFromP(テーブル2[[#This Row],[P]])</f>
        <v>1562686.9740257829</v>
      </c>
      <c r="H28">
        <f t="array" ref="H28">MuGFromP(テーブル2[[#This Row],[P]])</f>
        <v>2.2019594042733509E-5</v>
      </c>
      <c r="I28">
        <f t="array" ref="I28">MuFFromP(テーブル2[[#This Row],[P]])</f>
        <v>7.2223252690249831E-5</v>
      </c>
      <c r="J28">
        <f t="array" ref="J28">KfFromP(テーブル2[[#This Row],[P]])</f>
        <v>0.4911212487937569</v>
      </c>
      <c r="K28">
        <f t="array" ref="K28">CpFFromP(テーブル2[[#This Row],[P]])</f>
        <v>7679.7516396704104</v>
      </c>
      <c r="L28">
        <f t="array" ref="L28">SigmaFromP(テーブル2[[#This Row],[P]])</f>
        <v>6.5036382888884548E-3</v>
      </c>
      <c r="M28" s="23">
        <v>27</v>
      </c>
      <c r="N28">
        <v>3525.6</v>
      </c>
      <c r="O28" s="8">
        <v>1.6417322322758919E-5</v>
      </c>
      <c r="P28" s="8">
        <v>1.4363361612212531E-2</v>
      </c>
      <c r="Q28" s="8">
        <v>4.5719999999999997E-3</v>
      </c>
      <c r="R28">
        <v>0.29527500000000001</v>
      </c>
      <c r="S28" s="15">
        <v>1298728.41796875</v>
      </c>
      <c r="T28">
        <v>584.781818283598</v>
      </c>
      <c r="U28" s="12">
        <f>+T28+BG28*S28*テーブル2[[#This Row],[Pw]]*R28/(N28*O28*K28)</f>
        <v>597.1731669861814</v>
      </c>
      <c r="V28">
        <v>0.03</v>
      </c>
      <c r="W28" s="8">
        <f t="shared" si="0"/>
        <v>223183.56761265168</v>
      </c>
      <c r="X28">
        <v>2.4487583851910879E-2</v>
      </c>
      <c r="Y28">
        <f t="shared" si="1"/>
        <v>6.3903851198577168</v>
      </c>
      <c r="Z28">
        <f t="shared" si="2"/>
        <v>6.3903851340290903</v>
      </c>
      <c r="AA28">
        <f t="shared" si="3"/>
        <v>-1.4171373408089494E-8</v>
      </c>
      <c r="AB28">
        <f t="shared" si="4"/>
        <v>1.2817481132583001E-5</v>
      </c>
      <c r="AC28">
        <v>625.58754870936286</v>
      </c>
      <c r="AD28">
        <f t="shared" si="5"/>
        <v>6173.9085809520857</v>
      </c>
      <c r="AE28">
        <f>+gettm2(AD28,AC28,AK28,AL28,テーブル2[[#This Row],[Fcorr]])</f>
        <v>597.17316698618129</v>
      </c>
      <c r="AF28" s="14">
        <f t="shared" si="6"/>
        <v>0</v>
      </c>
      <c r="AG28">
        <v>1.283658300950776E-5</v>
      </c>
      <c r="AH28">
        <f t="shared" si="7"/>
        <v>60.888452777409292</v>
      </c>
      <c r="AI28">
        <f t="shared" si="8"/>
        <v>0.31215760958540867</v>
      </c>
      <c r="AJ28">
        <f t="shared" si="9"/>
        <v>34.668368325679666</v>
      </c>
      <c r="AK28">
        <f t="array" ref="AK28">+S28*テーブル2[[#This Row],[F_form]]/(E28*CpFromTP((テーブル2[[#This Row],[Tin]]+テーブル2[[#This Row],[Tf]])/2,テーブル2[[#This Row],[P]])*AI28)</f>
        <v>1.096085458936676</v>
      </c>
      <c r="AL28">
        <f t="shared" si="10"/>
        <v>1.1293680422758512</v>
      </c>
      <c r="AM28">
        <f t="shared" si="11"/>
        <v>608.62110605918974</v>
      </c>
      <c r="AN28">
        <f t="shared" si="12"/>
        <v>6.5732592702261172E-9</v>
      </c>
      <c r="AO28">
        <f t="shared" si="13"/>
        <v>1.9101876924759213E-8</v>
      </c>
      <c r="AP28">
        <v>3.7913582875847851</v>
      </c>
      <c r="AQ28">
        <f t="shared" si="14"/>
        <v>3.7936094027743203E-5</v>
      </c>
      <c r="AR28">
        <f t="shared" si="15"/>
        <v>6.4278424432162598E-6</v>
      </c>
      <c r="AS28">
        <f t="shared" si="16"/>
        <v>17.359978835162241</v>
      </c>
      <c r="AT28">
        <f t="shared" si="17"/>
        <v>11.220837450293894</v>
      </c>
      <c r="AU28">
        <f t="shared" si="18"/>
        <v>3.5026697960301738</v>
      </c>
      <c r="AV28">
        <f t="shared" si="19"/>
        <v>0.28868849155461129</v>
      </c>
      <c r="AW28">
        <f t="shared" si="20"/>
        <v>7.7060155425753198E-3</v>
      </c>
      <c r="AX28">
        <f t="shared" si="21"/>
        <v>0.28868848650059847</v>
      </c>
      <c r="AY28">
        <f t="shared" si="22"/>
        <v>5.0540128193610201E-9</v>
      </c>
      <c r="AZ28">
        <f t="shared" si="23"/>
        <v>1080577.4158407261</v>
      </c>
      <c r="BA28">
        <f t="shared" si="24"/>
        <v>1.0005937489993776E-5</v>
      </c>
      <c r="BB28" s="15">
        <f t="shared" si="25"/>
        <v>1289024.670569509</v>
      </c>
      <c r="BC28" s="20">
        <f t="shared" si="26"/>
        <v>-9703.747399240965</v>
      </c>
      <c r="BD28" s="19">
        <f t="shared" si="27"/>
        <v>-0.7471729473986497</v>
      </c>
      <c r="BE28" s="15">
        <v>3082435</v>
      </c>
      <c r="BF28" s="16">
        <f>テーブル2[[#This Row],[q_P]]/テーブル2[[#This Row],[q_M]]</f>
        <v>0.41818389376240184</v>
      </c>
      <c r="BG28">
        <v>1</v>
      </c>
      <c r="BH28">
        <v>6.5000000000000002E-2</v>
      </c>
      <c r="BI28">
        <v>4.5999999999999999E-2</v>
      </c>
      <c r="BJ28">
        <v>5625</v>
      </c>
      <c r="BK28" s="22">
        <v>1</v>
      </c>
      <c r="BL28">
        <f>テーブル2[[#This Row],[Ts]]-テーブル2[[#This Row],[Tin]]</f>
        <v>23.839287782165002</v>
      </c>
      <c r="BM28">
        <f>テーブル2[[#This Row],[q_P]]*0.000001</f>
        <v>1.289024670569509</v>
      </c>
      <c r="BN28">
        <f>テーブル2[[#This Row],[Tsub]]</f>
        <v>23.839287782165002</v>
      </c>
      <c r="BO28">
        <f>テーブル2[[#This Row],[Fcorr]]</f>
        <v>1</v>
      </c>
      <c r="BP28">
        <f>(テーブル2[[#This Row],[Tsub]]-40)^2</f>
        <v>261.16861938768136</v>
      </c>
      <c r="BQ28">
        <v>1</v>
      </c>
      <c r="BR28">
        <v>0.29527500000000001</v>
      </c>
    </row>
    <row r="29" spans="1:70" x14ac:dyDescent="0.15">
      <c r="A29" s="9" t="s">
        <v>97</v>
      </c>
      <c r="B29">
        <v>13789520</v>
      </c>
      <c r="C29" s="22">
        <f t="array" ref="C29">TsatFromP(テーブル2[[#This Row],[P]])</f>
        <v>608.621106065763</v>
      </c>
      <c r="D29">
        <f t="array" ref="D29">RhoGFromP(テーブル2[[#This Row],[P]])</f>
        <v>85.147893581579396</v>
      </c>
      <c r="E29">
        <f t="array" ref="E29">RhoFFromP(テーブル2[[#This Row],[P]])</f>
        <v>624.86627494838649</v>
      </c>
      <c r="F29">
        <f t="array" ref="F29">HgFromP(テーブル2[[#This Row],[P]])</f>
        <v>2643264.389866509</v>
      </c>
      <c r="G29">
        <f t="array" ref="G29">HfFromP(テーブル2[[#This Row],[P]])</f>
        <v>1562686.9740257829</v>
      </c>
      <c r="H29">
        <f t="array" ref="H29">MuGFromP(テーブル2[[#This Row],[P]])</f>
        <v>2.2019594042733509E-5</v>
      </c>
      <c r="I29">
        <f t="array" ref="I29">MuFFromP(テーブル2[[#This Row],[P]])</f>
        <v>7.2223252690249831E-5</v>
      </c>
      <c r="J29">
        <f t="array" ref="J29">KfFromP(テーブル2[[#This Row],[P]])</f>
        <v>0.4911212487937569</v>
      </c>
      <c r="K29">
        <f t="array" ref="K29">CpFFromP(テーブル2[[#This Row],[P]])</f>
        <v>7679.7516396704104</v>
      </c>
      <c r="L29">
        <f t="array" ref="L29">SigmaFromP(テーブル2[[#This Row],[P]])</f>
        <v>6.5036382888884548E-3</v>
      </c>
      <c r="M29">
        <v>28</v>
      </c>
      <c r="N29">
        <v>3634.08</v>
      </c>
      <c r="O29" s="8">
        <v>1.6417322322758919E-5</v>
      </c>
      <c r="P29" s="8">
        <v>1.4363361612212531E-2</v>
      </c>
      <c r="Q29" s="8">
        <v>4.5719999999999997E-3</v>
      </c>
      <c r="R29">
        <v>0.29527500000000001</v>
      </c>
      <c r="S29" s="15">
        <v>427540.99609375</v>
      </c>
      <c r="T29">
        <v>601.35806991756397</v>
      </c>
      <c r="U29" s="12">
        <f>+T29+BG29*S29*テーブル2[[#This Row],[Pw]]*R29/(N29*O29*K29)</f>
        <v>605.31553009704828</v>
      </c>
      <c r="V29">
        <v>0.03</v>
      </c>
      <c r="W29" s="8">
        <f t="shared" si="0"/>
        <v>230050.75430842556</v>
      </c>
      <c r="X29">
        <v>2.418736249783986E-2</v>
      </c>
      <c r="Y29">
        <f t="shared" si="1"/>
        <v>6.4299225721843012</v>
      </c>
      <c r="Z29">
        <f t="shared" si="2"/>
        <v>6.4299226083853203</v>
      </c>
      <c r="AA29">
        <f t="shared" si="3"/>
        <v>-3.6201019071313567E-8</v>
      </c>
      <c r="AB29">
        <f t="shared" si="4"/>
        <v>1.2213417900584807E-5</v>
      </c>
      <c r="AC29">
        <v>613.44327003647811</v>
      </c>
      <c r="AD29">
        <f t="shared" si="5"/>
        <v>6324.7436715753292</v>
      </c>
      <c r="AE29">
        <f>+gettm2(AD29,AC29,AK29,AL29,テーブル2[[#This Row],[Fcorr]])</f>
        <v>605.31553009704817</v>
      </c>
      <c r="AF29" s="14">
        <f t="shared" si="6"/>
        <v>0</v>
      </c>
      <c r="AG29">
        <v>1.221950002550514E-5</v>
      </c>
      <c r="AH29">
        <f t="shared" si="7"/>
        <v>63.899933746576004</v>
      </c>
      <c r="AI29">
        <f t="shared" si="8"/>
        <v>0.31978394883439204</v>
      </c>
      <c r="AJ29">
        <f t="shared" si="9"/>
        <v>33.808051380633508</v>
      </c>
      <c r="AK29">
        <f t="array" ref="AK29">+S29*テーブル2[[#This Row],[F_form]]/(E29*CpFromTP((テーブル2[[#This Row],[Tin]]+テーブル2[[#This Row],[Tf]])/2,テーブル2[[#This Row],[P]])*AI29)</f>
        <v>0.31279641045284456</v>
      </c>
      <c r="AL29">
        <f t="shared" si="10"/>
        <v>1.1293680422758512</v>
      </c>
      <c r="AM29">
        <f t="shared" si="11"/>
        <v>608.62110606567524</v>
      </c>
      <c r="AN29">
        <f t="shared" si="12"/>
        <v>8.7766238721087575E-11</v>
      </c>
      <c r="AO29">
        <f t="shared" si="13"/>
        <v>6.0821249203332604E-9</v>
      </c>
      <c r="AP29">
        <v>3.8385858445605652</v>
      </c>
      <c r="AQ29">
        <f t="shared" si="14"/>
        <v>3.7008352628581888E-5</v>
      </c>
      <c r="AR29">
        <f t="shared" si="15"/>
        <v>6.1127910752127366E-6</v>
      </c>
      <c r="AS29">
        <f t="shared" si="16"/>
        <v>16.912439487582638</v>
      </c>
      <c r="AT29">
        <f t="shared" si="17"/>
        <v>11.090247077602605</v>
      </c>
      <c r="AU29">
        <f t="shared" si="18"/>
        <v>3.5464830040248372</v>
      </c>
      <c r="AV29">
        <f t="shared" si="19"/>
        <v>0.29210284053572799</v>
      </c>
      <c r="AW29">
        <f t="shared" si="20"/>
        <v>7.3428458521871505E-3</v>
      </c>
      <c r="AX29">
        <f t="shared" si="21"/>
        <v>0.29210283270098691</v>
      </c>
      <c r="AY29">
        <f t="shared" si="22"/>
        <v>7.8347410781276494E-9</v>
      </c>
      <c r="AZ29">
        <f t="shared" si="23"/>
        <v>1080577.4158407261</v>
      </c>
      <c r="BA29">
        <f t="shared" si="24"/>
        <v>9.6411423704446399E-6</v>
      </c>
      <c r="BB29" s="15">
        <f t="shared" si="25"/>
        <v>425960.97451722616</v>
      </c>
      <c r="BC29" s="20">
        <f t="shared" si="26"/>
        <v>-1580.021576523839</v>
      </c>
      <c r="BD29" s="19">
        <f t="shared" si="27"/>
        <v>-0.36956025058644348</v>
      </c>
      <c r="BE29" s="15">
        <v>2176950</v>
      </c>
      <c r="BF29" s="16">
        <f>テーブル2[[#This Row],[q_P]]/テーブル2[[#This Row],[q_M]]</f>
        <v>0.19566869910527396</v>
      </c>
      <c r="BG29">
        <v>1</v>
      </c>
      <c r="BH29">
        <v>9.6000000000000002E-2</v>
      </c>
      <c r="BI29">
        <v>4.5999999999999999E-2</v>
      </c>
      <c r="BJ29">
        <v>5625</v>
      </c>
      <c r="BK29" s="22">
        <v>1</v>
      </c>
      <c r="BL29">
        <f>テーブル2[[#This Row],[Ts]]-テーブル2[[#This Row],[Tin]]</f>
        <v>7.2630361481990349</v>
      </c>
      <c r="BM29">
        <f>テーブル2[[#This Row],[q_P]]*0.000001</f>
        <v>0.42596097451722614</v>
      </c>
      <c r="BN29">
        <f>テーブル2[[#This Row],[Tsub]]</f>
        <v>7.2630361481990349</v>
      </c>
      <c r="BO29">
        <f>テーブル2[[#This Row],[Fcorr]]</f>
        <v>1</v>
      </c>
      <c r="BP29">
        <f>(テーブル2[[#This Row],[Tsub]]-40)^2</f>
        <v>1071.7088022341231</v>
      </c>
      <c r="BQ29">
        <v>1</v>
      </c>
      <c r="BR29">
        <v>0.29527500000000001</v>
      </c>
    </row>
    <row r="30" spans="1:70" x14ac:dyDescent="0.15">
      <c r="A30" s="9" t="s">
        <v>98</v>
      </c>
      <c r="B30">
        <v>13789520</v>
      </c>
      <c r="C30" s="22">
        <f t="array" ref="C30">TsatFromP(テーブル2[[#This Row],[P]])</f>
        <v>608.621106065763</v>
      </c>
      <c r="D30">
        <f t="array" ref="D30">RhoGFromP(テーブル2[[#This Row],[P]])</f>
        <v>85.147893581579396</v>
      </c>
      <c r="E30">
        <f t="array" ref="E30">RhoFFromP(テーブル2[[#This Row],[P]])</f>
        <v>624.86627494838649</v>
      </c>
      <c r="F30">
        <f t="array" ref="F30">HgFromP(テーブル2[[#This Row],[P]])</f>
        <v>2643264.389866509</v>
      </c>
      <c r="G30">
        <f t="array" ref="G30">HfFromP(テーブル2[[#This Row],[P]])</f>
        <v>1562686.9740257829</v>
      </c>
      <c r="H30">
        <f t="array" ref="H30">MuGFromP(テーブル2[[#This Row],[P]])</f>
        <v>2.2019594042733509E-5</v>
      </c>
      <c r="I30">
        <f t="array" ref="I30">MuFFromP(テーブル2[[#This Row],[P]])</f>
        <v>7.2223252690249831E-5</v>
      </c>
      <c r="J30">
        <f t="array" ref="J30">KfFromP(テーブル2[[#This Row],[P]])</f>
        <v>0.4911212487937569</v>
      </c>
      <c r="K30">
        <f t="array" ref="K30">CpFFromP(テーブル2[[#This Row],[P]])</f>
        <v>7679.7516396704104</v>
      </c>
      <c r="L30">
        <f t="array" ref="L30">SigmaFromP(テーブル2[[#This Row],[P]])</f>
        <v>6.5036382888884548E-3</v>
      </c>
      <c r="M30" s="23">
        <v>29</v>
      </c>
      <c r="N30">
        <v>3634.08</v>
      </c>
      <c r="O30" s="8">
        <v>1.6417322322758919E-5</v>
      </c>
      <c r="P30" s="8">
        <v>1.4363361612212531E-2</v>
      </c>
      <c r="Q30" s="8">
        <v>4.5719999999999997E-3</v>
      </c>
      <c r="R30">
        <v>0.29527500000000001</v>
      </c>
      <c r="S30" s="15">
        <v>427540.99609375</v>
      </c>
      <c r="T30">
        <v>601.35806991756397</v>
      </c>
      <c r="U30" s="12">
        <f>+T30+BG30*S30*テーブル2[[#This Row],[Pw]]*R30/(N30*O30*K30)</f>
        <v>605.31553009704828</v>
      </c>
      <c r="V30">
        <v>0.03</v>
      </c>
      <c r="W30" s="8">
        <f t="shared" si="0"/>
        <v>230050.75430842556</v>
      </c>
      <c r="X30">
        <v>2.418736249783986E-2</v>
      </c>
      <c r="Y30">
        <f t="shared" si="1"/>
        <v>6.4299225721843012</v>
      </c>
      <c r="Z30">
        <f t="shared" si="2"/>
        <v>6.4299226083853203</v>
      </c>
      <c r="AA30">
        <f t="shared" si="3"/>
        <v>-3.6201019071313567E-8</v>
      </c>
      <c r="AB30">
        <f t="shared" si="4"/>
        <v>1.2213417900584807E-5</v>
      </c>
      <c r="AC30">
        <v>613.44327003647811</v>
      </c>
      <c r="AD30">
        <f t="shared" si="5"/>
        <v>6324.7436715753292</v>
      </c>
      <c r="AE30">
        <f>+gettm2(AD30,AC30,AK30,AL30,テーブル2[[#This Row],[Fcorr]])</f>
        <v>605.31553009704817</v>
      </c>
      <c r="AF30" s="14">
        <f t="shared" si="6"/>
        <v>0</v>
      </c>
      <c r="AG30">
        <v>1.221950002550514E-5</v>
      </c>
      <c r="AH30">
        <f t="shared" si="7"/>
        <v>63.899933746576004</v>
      </c>
      <c r="AI30">
        <f t="shared" si="8"/>
        <v>0.31978394883439204</v>
      </c>
      <c r="AJ30">
        <f t="shared" si="9"/>
        <v>33.808051380633508</v>
      </c>
      <c r="AK30">
        <f t="array" ref="AK30">+S30*テーブル2[[#This Row],[F_form]]/(E30*CpFromTP((テーブル2[[#This Row],[Tin]]+テーブル2[[#This Row],[Tf]])/2,テーブル2[[#This Row],[P]])*AI30)</f>
        <v>0.31279641045284456</v>
      </c>
      <c r="AL30">
        <f t="shared" si="10"/>
        <v>1.1293680422758512</v>
      </c>
      <c r="AM30">
        <f t="shared" si="11"/>
        <v>608.62110606567524</v>
      </c>
      <c r="AN30">
        <f t="shared" si="12"/>
        <v>8.7766238721087575E-11</v>
      </c>
      <c r="AO30">
        <f t="shared" si="13"/>
        <v>6.0821249203332604E-9</v>
      </c>
      <c r="AP30">
        <v>3.8385858445605652</v>
      </c>
      <c r="AQ30">
        <f t="shared" si="14"/>
        <v>3.7008352628581888E-5</v>
      </c>
      <c r="AR30">
        <f t="shared" si="15"/>
        <v>6.1127910752127366E-6</v>
      </c>
      <c r="AS30">
        <f t="shared" si="16"/>
        <v>16.912439487582638</v>
      </c>
      <c r="AT30">
        <f t="shared" si="17"/>
        <v>11.090247077602605</v>
      </c>
      <c r="AU30">
        <f t="shared" si="18"/>
        <v>3.5464830040248372</v>
      </c>
      <c r="AV30">
        <f t="shared" si="19"/>
        <v>0.29210284053572799</v>
      </c>
      <c r="AW30">
        <f t="shared" si="20"/>
        <v>7.3428458521871505E-3</v>
      </c>
      <c r="AX30">
        <f t="shared" si="21"/>
        <v>0.29210283270098691</v>
      </c>
      <c r="AY30">
        <f t="shared" si="22"/>
        <v>7.8347410781276494E-9</v>
      </c>
      <c r="AZ30">
        <f t="shared" si="23"/>
        <v>1080577.4158407261</v>
      </c>
      <c r="BA30">
        <f t="shared" si="24"/>
        <v>9.6411423704446399E-6</v>
      </c>
      <c r="BB30" s="15">
        <f t="shared" si="25"/>
        <v>425960.97451722616</v>
      </c>
      <c r="BC30" s="20">
        <f t="shared" si="26"/>
        <v>-1580.021576523839</v>
      </c>
      <c r="BD30" s="19">
        <f t="shared" si="27"/>
        <v>-0.36956025058644348</v>
      </c>
      <c r="BE30" s="15">
        <v>2318925</v>
      </c>
      <c r="BF30" s="16">
        <f>テーブル2[[#This Row],[q_P]]/テーブル2[[#This Row],[q_M]]</f>
        <v>0.1836889828335225</v>
      </c>
      <c r="BG30">
        <v>1</v>
      </c>
      <c r="BH30">
        <v>0.105</v>
      </c>
      <c r="BI30">
        <v>4.5999999999999999E-2</v>
      </c>
      <c r="BJ30">
        <v>5625</v>
      </c>
      <c r="BK30" s="22">
        <v>1</v>
      </c>
      <c r="BL30">
        <f>テーブル2[[#This Row],[Ts]]-テーブル2[[#This Row],[Tin]]</f>
        <v>7.2630361481990349</v>
      </c>
      <c r="BM30">
        <f>テーブル2[[#This Row],[q_P]]*0.000001</f>
        <v>0.42596097451722614</v>
      </c>
      <c r="BN30">
        <f>テーブル2[[#This Row],[Tsub]]</f>
        <v>7.2630361481990349</v>
      </c>
      <c r="BO30">
        <f>テーブル2[[#This Row],[Fcorr]]</f>
        <v>1</v>
      </c>
      <c r="BP30">
        <f>(テーブル2[[#This Row],[Tsub]]-40)^2</f>
        <v>1071.7088022341231</v>
      </c>
      <c r="BQ30">
        <v>1</v>
      </c>
      <c r="BR30">
        <v>0.29527500000000001</v>
      </c>
    </row>
    <row r="31" spans="1:70" x14ac:dyDescent="0.15">
      <c r="A31" s="9" t="s">
        <v>99</v>
      </c>
      <c r="B31">
        <v>13789520</v>
      </c>
      <c r="C31" s="22">
        <f t="array" ref="C31">TsatFromP(テーブル2[[#This Row],[P]])</f>
        <v>608.621106065763</v>
      </c>
      <c r="D31">
        <f t="array" ref="D31">RhoGFromP(テーブル2[[#This Row],[P]])</f>
        <v>85.147893581579396</v>
      </c>
      <c r="E31">
        <f t="array" ref="E31">RhoFFromP(テーブル2[[#This Row],[P]])</f>
        <v>624.86627494838649</v>
      </c>
      <c r="F31">
        <f t="array" ref="F31">HgFromP(テーブル2[[#This Row],[P]])</f>
        <v>2643264.389866509</v>
      </c>
      <c r="G31">
        <f t="array" ref="G31">HfFromP(テーブル2[[#This Row],[P]])</f>
        <v>1562686.9740257829</v>
      </c>
      <c r="H31">
        <f t="array" ref="H31">MuGFromP(テーブル2[[#This Row],[P]])</f>
        <v>2.2019594042733509E-5</v>
      </c>
      <c r="I31">
        <f t="array" ref="I31">MuFFromP(テーブル2[[#This Row],[P]])</f>
        <v>7.2223252690249831E-5</v>
      </c>
      <c r="J31">
        <f t="array" ref="J31">KfFromP(テーブル2[[#This Row],[P]])</f>
        <v>0.4911212487937569</v>
      </c>
      <c r="K31">
        <f t="array" ref="K31">CpFFromP(テーブル2[[#This Row],[P]])</f>
        <v>7679.7516396704104</v>
      </c>
      <c r="L31">
        <f t="array" ref="L31">SigmaFromP(テーブル2[[#This Row],[P]])</f>
        <v>6.5036382888884548E-3</v>
      </c>
      <c r="M31">
        <v>30</v>
      </c>
      <c r="N31">
        <v>3674.76</v>
      </c>
      <c r="O31" s="8">
        <v>1.6417322322758919E-5</v>
      </c>
      <c r="P31" s="8">
        <v>1.4363361612212531E-2</v>
      </c>
      <c r="Q31" s="8">
        <v>4.5719999999999997E-3</v>
      </c>
      <c r="R31">
        <v>0.29527500000000001</v>
      </c>
      <c r="S31" s="15">
        <v>464228.25140625</v>
      </c>
      <c r="T31">
        <v>600.78000150085597</v>
      </c>
      <c r="U31" s="12">
        <f>+T31+BG31*S31*テーブル2[[#This Row],[Pw]]*R31/(N31*O31*K31)</f>
        <v>605.02948217711253</v>
      </c>
      <c r="V31">
        <v>0.03</v>
      </c>
      <c r="W31" s="8">
        <f t="shared" si="0"/>
        <v>232625.94931934078</v>
      </c>
      <c r="X31">
        <v>2.407845362240759E-2</v>
      </c>
      <c r="Y31">
        <f t="shared" si="1"/>
        <v>6.4444477070153789</v>
      </c>
      <c r="Z31">
        <f t="shared" si="2"/>
        <v>6.4444477301210172</v>
      </c>
      <c r="AA31">
        <f t="shared" si="3"/>
        <v>-2.3105638291553987E-8</v>
      </c>
      <c r="AB31">
        <f t="shared" si="4"/>
        <v>1.1998532857527643E-5</v>
      </c>
      <c r="AC31">
        <v>613.83118294897815</v>
      </c>
      <c r="AD31">
        <f t="shared" si="5"/>
        <v>6381.1281323844041</v>
      </c>
      <c r="AE31">
        <f>+gettm2(AD31,AC31,AK31,AL31,テーブル2[[#This Row],[Fcorr]])</f>
        <v>605.02948231542427</v>
      </c>
      <c r="AF31" s="14">
        <f t="shared" si="6"/>
        <v>1.3831174783263123E-7</v>
      </c>
      <c r="AG31">
        <v>1.200505407759832E-5</v>
      </c>
      <c r="AH31">
        <f t="shared" si="7"/>
        <v>65.044335331130412</v>
      </c>
      <c r="AI31">
        <f t="shared" si="8"/>
        <v>0.3226347909343586</v>
      </c>
      <c r="AJ31">
        <f t="shared" si="9"/>
        <v>33.51084352815343</v>
      </c>
      <c r="AK31">
        <f t="array" ref="AK31">+S31*テーブル2[[#This Row],[F_form]]/(E31*CpFromTP((テーブル2[[#This Row],[Tin]]+テーブル2[[#This Row],[Tf]])/2,テーブル2[[#This Row],[P]])*AI31)</f>
        <v>0.33844354499142276</v>
      </c>
      <c r="AL31">
        <f t="shared" si="10"/>
        <v>1.1293680422758512</v>
      </c>
      <c r="AM31">
        <f t="shared" si="11"/>
        <v>608.62110606557621</v>
      </c>
      <c r="AN31">
        <f t="shared" si="12"/>
        <v>1.8678747437661514E-10</v>
      </c>
      <c r="AO31">
        <f t="shared" si="13"/>
        <v>6.5212200706774482E-9</v>
      </c>
      <c r="AP31">
        <v>3.857212440535783</v>
      </c>
      <c r="AQ31">
        <f t="shared" si="14"/>
        <v>3.6651786729390718E-5</v>
      </c>
      <c r="AR31">
        <f t="shared" si="15"/>
        <v>6.0057876488344988E-6</v>
      </c>
      <c r="AS31">
        <f t="shared" si="16"/>
        <v>16.764523413431586</v>
      </c>
      <c r="AT31">
        <f t="shared" si="17"/>
        <v>11.046324760210519</v>
      </c>
      <c r="AU31">
        <f t="shared" si="18"/>
        <v>3.5639286796035496</v>
      </c>
      <c r="AV31">
        <f t="shared" si="19"/>
        <v>0.29328376093223341</v>
      </c>
      <c r="AW31">
        <f t="shared" si="20"/>
        <v>7.2136545185283061E-3</v>
      </c>
      <c r="AX31">
        <f t="shared" si="21"/>
        <v>0.29328375183466948</v>
      </c>
      <c r="AY31">
        <f t="shared" si="22"/>
        <v>9.0975639244206263E-9</v>
      </c>
      <c r="AZ31">
        <f t="shared" si="23"/>
        <v>1080577.4158407261</v>
      </c>
      <c r="BA31">
        <f t="shared" si="24"/>
        <v>9.5021436579986844E-6</v>
      </c>
      <c r="BB31" s="15">
        <f t="shared" si="25"/>
        <v>463393.81911904021</v>
      </c>
      <c r="BC31" s="20">
        <f t="shared" si="26"/>
        <v>-834.43228720978368</v>
      </c>
      <c r="BD31" s="19">
        <f t="shared" si="27"/>
        <v>-0.17974612374022989</v>
      </c>
      <c r="BE31" s="15">
        <v>2353630</v>
      </c>
      <c r="BF31" s="16">
        <f>テーブル2[[#This Row],[q_P]]/テーブル2[[#This Row],[q_M]]</f>
        <v>0.1968847351193859</v>
      </c>
      <c r="BG31">
        <v>1</v>
      </c>
      <c r="BH31">
        <v>0.10199999999999999</v>
      </c>
      <c r="BI31">
        <v>4.5999999999999999E-2</v>
      </c>
      <c r="BJ31">
        <v>5625</v>
      </c>
      <c r="BK31" s="22">
        <v>1</v>
      </c>
      <c r="BL31">
        <f>テーブル2[[#This Row],[Ts]]-テーブル2[[#This Row],[Tin]]</f>
        <v>7.8411045649070275</v>
      </c>
      <c r="BM31">
        <f>テーブル2[[#This Row],[q_P]]*0.000001</f>
        <v>0.46339381911904021</v>
      </c>
      <c r="BN31">
        <f>テーブル2[[#This Row],[Tsub]]</f>
        <v>7.8411045649070275</v>
      </c>
      <c r="BO31">
        <f>テーブル2[[#This Row],[Fcorr]]</f>
        <v>1</v>
      </c>
      <c r="BP31">
        <f>(テーブル2[[#This Row],[Tsub]]-40)^2</f>
        <v>1034.1945556052435</v>
      </c>
      <c r="BQ31">
        <v>1</v>
      </c>
      <c r="BR31">
        <v>0.29527500000000001</v>
      </c>
    </row>
    <row r="32" spans="1:70" x14ac:dyDescent="0.15">
      <c r="A32" s="9" t="s">
        <v>100</v>
      </c>
      <c r="B32">
        <v>13789520</v>
      </c>
      <c r="C32" s="22">
        <f t="array" ref="C32">TsatFromP(テーブル2[[#This Row],[P]])</f>
        <v>608.621106065763</v>
      </c>
      <c r="D32">
        <f t="array" ref="D32">RhoGFromP(テーブル2[[#This Row],[P]])</f>
        <v>85.147893581579396</v>
      </c>
      <c r="E32">
        <f t="array" ref="E32">RhoFFromP(テーブル2[[#This Row],[P]])</f>
        <v>624.86627494838649</v>
      </c>
      <c r="F32">
        <f t="array" ref="F32">HgFromP(テーブル2[[#This Row],[P]])</f>
        <v>2643264.389866509</v>
      </c>
      <c r="G32">
        <f t="array" ref="G32">HfFromP(テーブル2[[#This Row],[P]])</f>
        <v>1562686.9740257829</v>
      </c>
      <c r="H32">
        <f t="array" ref="H32">MuGFromP(テーブル2[[#This Row],[P]])</f>
        <v>2.2019594042733509E-5</v>
      </c>
      <c r="I32">
        <f t="array" ref="I32">MuFFromP(テーブル2[[#This Row],[P]])</f>
        <v>7.2223252690249831E-5</v>
      </c>
      <c r="J32">
        <f t="array" ref="J32">KfFromP(テーブル2[[#This Row],[P]])</f>
        <v>0.4911212487937569</v>
      </c>
      <c r="K32">
        <f t="array" ref="K32">CpFFromP(テーブル2[[#This Row],[P]])</f>
        <v>7679.7516396704104</v>
      </c>
      <c r="L32">
        <f t="array" ref="L32">SigmaFromP(テーブル2[[#This Row],[P]])</f>
        <v>6.5036382888884548E-3</v>
      </c>
      <c r="M32" s="23">
        <v>31</v>
      </c>
      <c r="N32">
        <v>3715.44</v>
      </c>
      <c r="O32" s="8">
        <v>1.6417322322758919E-5</v>
      </c>
      <c r="P32" s="8">
        <v>1.4363361612212531E-2</v>
      </c>
      <c r="Q32" s="8">
        <v>4.5719999999999997E-3</v>
      </c>
      <c r="R32">
        <v>0.29527500000000001</v>
      </c>
      <c r="S32" s="15">
        <v>654733.52734375</v>
      </c>
      <c r="T32">
        <v>597.50931537045801</v>
      </c>
      <c r="U32" s="12">
        <f>+T32+BG32*S32*テーブル2[[#This Row],[Pw]]*R32/(N32*O32*K32)</f>
        <v>603.43703427204048</v>
      </c>
      <c r="V32">
        <v>0.03</v>
      </c>
      <c r="W32" s="8">
        <f t="shared" si="0"/>
        <v>235201.14433025598</v>
      </c>
      <c r="X32">
        <v>2.3971458223217279E-2</v>
      </c>
      <c r="Y32">
        <f t="shared" si="1"/>
        <v>6.4588139283871193</v>
      </c>
      <c r="Z32">
        <f t="shared" si="2"/>
        <v>6.4588139413719885</v>
      </c>
      <c r="AA32">
        <f t="shared" si="3"/>
        <v>-1.2984869179888392E-8</v>
      </c>
      <c r="AB32">
        <f t="shared" si="4"/>
        <v>1.1789618163145284E-5</v>
      </c>
      <c r="AC32">
        <v>616.10015770344262</v>
      </c>
      <c r="AD32">
        <f t="shared" si="5"/>
        <v>6437.4173781273121</v>
      </c>
      <c r="AE32">
        <f>+gettm2(AD32,AC32,AK32,AL32,テーブル2[[#This Row],[Fcorr]])</f>
        <v>603.43703443304196</v>
      </c>
      <c r="AF32" s="14">
        <f t="shared" si="6"/>
        <v>1.6100148059194908E-7</v>
      </c>
      <c r="AG32">
        <v>1.179871785867204E-5</v>
      </c>
      <c r="AH32">
        <f t="shared" si="7"/>
        <v>66.196935631578285</v>
      </c>
      <c r="AI32">
        <f t="shared" si="8"/>
        <v>0.32548081888668084</v>
      </c>
      <c r="AJ32">
        <f t="shared" si="9"/>
        <v>33.225403054696613</v>
      </c>
      <c r="AK32">
        <f t="array" ref="AK32">+S32*テーブル2[[#This Row],[F_form]]/(E32*CpFromTP((テーブル2[[#This Row],[Tin]]+テーブル2[[#This Row],[Tf]])/2,テーブル2[[#This Row],[P]])*AI32)</f>
        <v>0.48651068356414429</v>
      </c>
      <c r="AL32">
        <f t="shared" si="10"/>
        <v>1.1293680422758512</v>
      </c>
      <c r="AM32">
        <f t="shared" si="11"/>
        <v>608.62110606527131</v>
      </c>
      <c r="AN32">
        <f t="shared" si="12"/>
        <v>4.9169557314598933E-10</v>
      </c>
      <c r="AO32">
        <f t="shared" si="13"/>
        <v>9.0996955267561323E-9</v>
      </c>
      <c r="AP32">
        <v>3.8762352113425038</v>
      </c>
      <c r="AQ32">
        <f t="shared" si="14"/>
        <v>3.6292929391007531E-5</v>
      </c>
      <c r="AR32">
        <f t="shared" si="15"/>
        <v>5.9039087770993979E-6</v>
      </c>
      <c r="AS32">
        <f t="shared" si="16"/>
        <v>16.625513981005263</v>
      </c>
      <c r="AT32">
        <f t="shared" si="17"/>
        <v>11.004692511073582</v>
      </c>
      <c r="AU32">
        <f t="shared" si="18"/>
        <v>3.5818163301003536</v>
      </c>
      <c r="AV32">
        <f t="shared" si="19"/>
        <v>0.29441888124215021</v>
      </c>
      <c r="AW32">
        <f t="shared" si="20"/>
        <v>7.08805262644591E-3</v>
      </c>
      <c r="AX32">
        <f t="shared" si="21"/>
        <v>0.29441887075627993</v>
      </c>
      <c r="AY32">
        <f t="shared" si="22"/>
        <v>1.0485870283183374E-8</v>
      </c>
      <c r="AZ32">
        <f t="shared" si="23"/>
        <v>1080577.4158407261</v>
      </c>
      <c r="BA32">
        <f t="shared" si="24"/>
        <v>9.3629326942824397E-6</v>
      </c>
      <c r="BB32" s="15">
        <f t="shared" si="25"/>
        <v>656232.79750369431</v>
      </c>
      <c r="BC32" s="20">
        <f t="shared" si="26"/>
        <v>1499.2701599443099</v>
      </c>
      <c r="BD32" s="19">
        <f t="shared" si="27"/>
        <v>0.22898936702185391</v>
      </c>
      <c r="BE32" s="15">
        <v>2539775</v>
      </c>
      <c r="BF32" s="16">
        <f>テーブル2[[#This Row],[q_P]]/テーブル2[[#This Row],[q_M]]</f>
        <v>0.25838225728802522</v>
      </c>
      <c r="BG32">
        <v>1</v>
      </c>
      <c r="BH32">
        <v>9.1999999999999998E-2</v>
      </c>
      <c r="BI32">
        <v>4.5999999999999999E-2</v>
      </c>
      <c r="BJ32">
        <v>5625</v>
      </c>
      <c r="BK32" s="22">
        <v>1</v>
      </c>
      <c r="BL32">
        <f>テーブル2[[#This Row],[Ts]]-テーブル2[[#This Row],[Tin]]</f>
        <v>11.11179069530499</v>
      </c>
      <c r="BM32">
        <f>テーブル2[[#This Row],[q_P]]*0.000001</f>
        <v>0.65623279750369423</v>
      </c>
      <c r="BN32">
        <f>テーブル2[[#This Row],[Tsub]]</f>
        <v>11.11179069530499</v>
      </c>
      <c r="BO32">
        <f>テーブル2[[#This Row],[Fcorr]]</f>
        <v>1</v>
      </c>
      <c r="BP32">
        <f>(テーブル2[[#This Row],[Tsub]]-40)^2</f>
        <v>834.5286368318674</v>
      </c>
      <c r="BQ32">
        <v>1</v>
      </c>
      <c r="BR32">
        <v>0.29527500000000001</v>
      </c>
    </row>
    <row r="33" spans="1:70" x14ac:dyDescent="0.15">
      <c r="A33" s="9" t="s">
        <v>101</v>
      </c>
      <c r="B33">
        <v>13789520</v>
      </c>
      <c r="C33" s="22">
        <f t="array" ref="C33">TsatFromP(テーブル2[[#This Row],[P]])</f>
        <v>608.621106065763</v>
      </c>
      <c r="D33">
        <f t="array" ref="D33">RhoGFromP(テーブル2[[#This Row],[P]])</f>
        <v>85.147893581579396</v>
      </c>
      <c r="E33">
        <f t="array" ref="E33">RhoFFromP(テーブル2[[#This Row],[P]])</f>
        <v>624.86627494838649</v>
      </c>
      <c r="F33">
        <f t="array" ref="F33">HgFromP(テーブル2[[#This Row],[P]])</f>
        <v>2643264.389866509</v>
      </c>
      <c r="G33">
        <f t="array" ref="G33">HfFromP(テーブル2[[#This Row],[P]])</f>
        <v>1562686.9740257829</v>
      </c>
      <c r="H33">
        <f t="array" ref="H33">MuGFromP(テーブル2[[#This Row],[P]])</f>
        <v>2.2019594042733509E-5</v>
      </c>
      <c r="I33">
        <f t="array" ref="I33">MuFFromP(テーブル2[[#This Row],[P]])</f>
        <v>7.2223252690249831E-5</v>
      </c>
      <c r="J33">
        <f t="array" ref="J33">KfFromP(テーブル2[[#This Row],[P]])</f>
        <v>0.4911212487937569</v>
      </c>
      <c r="K33">
        <f t="array" ref="K33">CpFFromP(テーブル2[[#This Row],[P]])</f>
        <v>7679.7516396704104</v>
      </c>
      <c r="L33">
        <f t="array" ref="L33">SigmaFromP(テーブル2[[#This Row],[P]])</f>
        <v>6.5036382888884548E-3</v>
      </c>
      <c r="M33">
        <v>32</v>
      </c>
      <c r="N33">
        <v>3905.28</v>
      </c>
      <c r="O33" s="8">
        <v>1.6417322322758919E-5</v>
      </c>
      <c r="P33" s="8">
        <v>1.4363361612212531E-2</v>
      </c>
      <c r="Q33" s="8">
        <v>4.5719999999999997E-3</v>
      </c>
      <c r="R33">
        <v>0.29527500000000001</v>
      </c>
      <c r="S33" s="15">
        <v>772462.47078124993</v>
      </c>
      <c r="T33">
        <v>595.90081561821296</v>
      </c>
      <c r="U33" s="12">
        <f>+T33+BG33*S33*テーブル2[[#This Row],[Pw]]*R33/(N33*O33*K33)</f>
        <v>602.55444312752206</v>
      </c>
      <c r="V33">
        <v>0.03</v>
      </c>
      <c r="W33" s="8">
        <f t="shared" si="0"/>
        <v>247218.72104786028</v>
      </c>
      <c r="X33">
        <v>2.3495887988577189E-2</v>
      </c>
      <c r="Y33">
        <f t="shared" si="1"/>
        <v>6.5238515246960747</v>
      </c>
      <c r="Z33">
        <f t="shared" si="2"/>
        <v>6.5238515441796538</v>
      </c>
      <c r="AA33">
        <f t="shared" si="3"/>
        <v>-1.9483579194456979E-8</v>
      </c>
      <c r="AB33">
        <f t="shared" si="4"/>
        <v>1.0887257136983865E-5</v>
      </c>
      <c r="AC33">
        <v>617.15752754692983</v>
      </c>
      <c r="AD33">
        <f t="shared" si="5"/>
        <v>6698.8815359861874</v>
      </c>
      <c r="AE33">
        <f>+gettm2(AD33,AC33,AK33,AL33,テーブル2[[#This Row],[Fcorr]])</f>
        <v>602.55444329909733</v>
      </c>
      <c r="AF33" s="14">
        <f t="shared" si="6"/>
        <v>1.7157526599476114E-7</v>
      </c>
      <c r="AG33">
        <v>1.0897372180264961E-5</v>
      </c>
      <c r="AH33">
        <f t="shared" si="7"/>
        <v>71.683490602557939</v>
      </c>
      <c r="AI33">
        <f t="shared" si="8"/>
        <v>0.33870064963722013</v>
      </c>
      <c r="AJ33">
        <f t="shared" si="9"/>
        <v>31.933598114237309</v>
      </c>
      <c r="AK33">
        <f t="array" ref="AK33">+S33*テーブル2[[#This Row],[F_form]]/(E33*CpFromTP((テーブル2[[#This Row],[Tin]]+テーブル2[[#This Row],[Tf]])/2,テーブル2[[#This Row],[P]])*AI33)</f>
        <v>0.55889671108969108</v>
      </c>
      <c r="AL33">
        <f t="shared" si="10"/>
        <v>1.1293680422758512</v>
      </c>
      <c r="AM33">
        <f t="shared" si="11"/>
        <v>608.62110606555837</v>
      </c>
      <c r="AN33">
        <f t="shared" si="12"/>
        <v>2.0463630789890885E-10</v>
      </c>
      <c r="AO33">
        <f t="shared" si="13"/>
        <v>1.0115043281096095E-8</v>
      </c>
      <c r="AP33">
        <v>3.9602796622532059</v>
      </c>
      <c r="AQ33">
        <f t="shared" si="14"/>
        <v>3.4768868498655476E-5</v>
      </c>
      <c r="AR33">
        <f t="shared" si="15"/>
        <v>5.4537436117730284E-6</v>
      </c>
      <c r="AS33">
        <f t="shared" si="16"/>
        <v>15.981619590073915</v>
      </c>
      <c r="AT33">
        <f t="shared" si="17"/>
        <v>10.807196431354557</v>
      </c>
      <c r="AU33">
        <f t="shared" si="18"/>
        <v>3.6604044520568353</v>
      </c>
      <c r="AV33">
        <f t="shared" si="19"/>
        <v>0.29987521019637065</v>
      </c>
      <c r="AW33">
        <f t="shared" si="20"/>
        <v>6.5455429070488983E-3</v>
      </c>
      <c r="AX33">
        <f t="shared" si="21"/>
        <v>0.2998751920531047</v>
      </c>
      <c r="AY33">
        <f t="shared" si="22"/>
        <v>1.8143265945180787E-8</v>
      </c>
      <c r="AZ33">
        <f t="shared" si="23"/>
        <v>1080577.4158407261</v>
      </c>
      <c r="BA33">
        <f t="shared" si="24"/>
        <v>8.7793972809671944E-6</v>
      </c>
      <c r="BB33" s="15">
        <f t="shared" si="25"/>
        <v>777939.84439472947</v>
      </c>
      <c r="BC33" s="20">
        <f t="shared" si="26"/>
        <v>5477.3736134795472</v>
      </c>
      <c r="BD33" s="19">
        <f t="shared" si="27"/>
        <v>0.70907957611712369</v>
      </c>
      <c r="BE33" s="15">
        <v>2520845</v>
      </c>
      <c r="BF33" s="16">
        <f>テーブル2[[#This Row],[q_P]]/テーブル2[[#This Row],[q_M]]</f>
        <v>0.30860280754855196</v>
      </c>
      <c r="BG33">
        <v>1</v>
      </c>
      <c r="BH33">
        <v>7.3999999999999996E-2</v>
      </c>
      <c r="BI33">
        <v>4.5999999999999999E-2</v>
      </c>
      <c r="BJ33">
        <v>5625</v>
      </c>
      <c r="BK33" s="22">
        <v>1</v>
      </c>
      <c r="BL33">
        <f>テーブル2[[#This Row],[Ts]]-テーブル2[[#This Row],[Tin]]</f>
        <v>12.720290447550042</v>
      </c>
      <c r="BM33">
        <f>テーブル2[[#This Row],[q_P]]*0.000001</f>
        <v>0.77793984439472941</v>
      </c>
      <c r="BN33">
        <f>テーブル2[[#This Row],[Tsub]]</f>
        <v>12.720290447550042</v>
      </c>
      <c r="BO33">
        <f>テーブル2[[#This Row],[Fcorr]]</f>
        <v>1</v>
      </c>
      <c r="BP33">
        <f>(テーブル2[[#This Row],[Tsub]]-40)^2</f>
        <v>744.18255326602946</v>
      </c>
      <c r="BQ33">
        <v>1</v>
      </c>
      <c r="BR33">
        <v>0.29527500000000001</v>
      </c>
    </row>
    <row r="34" spans="1:70" x14ac:dyDescent="0.15">
      <c r="A34" s="9" t="s">
        <v>102</v>
      </c>
      <c r="B34">
        <v>13789520</v>
      </c>
      <c r="C34" s="22">
        <f t="array" ref="C34">TsatFromP(テーブル2[[#This Row],[P]])</f>
        <v>608.621106065763</v>
      </c>
      <c r="D34">
        <f t="array" ref="D34">RhoGFromP(テーブル2[[#This Row],[P]])</f>
        <v>85.147893581579396</v>
      </c>
      <c r="E34">
        <f t="array" ref="E34">RhoFFromP(テーブル2[[#This Row],[P]])</f>
        <v>624.86627494838649</v>
      </c>
      <c r="F34">
        <f t="array" ref="F34">HgFromP(テーブル2[[#This Row],[P]])</f>
        <v>2643264.389866509</v>
      </c>
      <c r="G34">
        <f t="array" ref="G34">HfFromP(テーブル2[[#This Row],[P]])</f>
        <v>1562686.9740257829</v>
      </c>
      <c r="H34">
        <f t="array" ref="H34">MuGFromP(テーブル2[[#This Row],[P]])</f>
        <v>2.2019594042733509E-5</v>
      </c>
      <c r="I34">
        <f t="array" ref="I34">MuFFromP(テーブル2[[#This Row],[P]])</f>
        <v>7.2223252690249831E-5</v>
      </c>
      <c r="J34">
        <f t="array" ref="J34">KfFromP(テーブル2[[#This Row],[P]])</f>
        <v>0.4911212487937569</v>
      </c>
      <c r="K34">
        <f t="array" ref="K34">CpFFromP(テーブル2[[#This Row],[P]])</f>
        <v>7679.7516396704104</v>
      </c>
      <c r="L34">
        <f t="array" ref="L34">SigmaFromP(テーブル2[[#This Row],[P]])</f>
        <v>6.5036382888884548E-3</v>
      </c>
      <c r="M34" s="23">
        <v>33</v>
      </c>
      <c r="N34">
        <v>3945.96</v>
      </c>
      <c r="O34" s="8">
        <v>1.6417322322758919E-5</v>
      </c>
      <c r="P34" s="8">
        <v>1.4363361612212531E-2</v>
      </c>
      <c r="Q34" s="8">
        <v>4.5719999999999997E-3</v>
      </c>
      <c r="R34">
        <v>0.29527500000000001</v>
      </c>
      <c r="S34" s="15">
        <v>811944.37610625022</v>
      </c>
      <c r="T34">
        <v>595.32250153328698</v>
      </c>
      <c r="U34" s="12">
        <f>+T34+BG34*S34*テーブル2[[#This Row],[Pw]]*R34/(N34*O34*K34)</f>
        <v>602.24410749732692</v>
      </c>
      <c r="V34">
        <v>0.03</v>
      </c>
      <c r="W34" s="8">
        <f t="shared" si="0"/>
        <v>249793.9160587755</v>
      </c>
      <c r="X34">
        <v>2.33987578413094E-2</v>
      </c>
      <c r="Y34">
        <f t="shared" si="1"/>
        <v>6.5373780210311656</v>
      </c>
      <c r="Z34">
        <f t="shared" si="2"/>
        <v>6.5373780397205659</v>
      </c>
      <c r="AA34">
        <f t="shared" si="3"/>
        <v>-1.8689400249627397E-8</v>
      </c>
      <c r="AB34">
        <f t="shared" si="4"/>
        <v>1.0708201579880246E-5</v>
      </c>
      <c r="AC34">
        <v>617.54803485522939</v>
      </c>
      <c r="AD34">
        <f t="shared" si="5"/>
        <v>6754.6565066327121</v>
      </c>
      <c r="AE34">
        <f>+gettm2(AD34,AC34,AK34,AL34,テーブル2[[#This Row],[Fcorr]])</f>
        <v>602.24410749732692</v>
      </c>
      <c r="AF34" s="14">
        <f t="shared" si="6"/>
        <v>0</v>
      </c>
      <c r="AG34">
        <v>1.071868565158524E-5</v>
      </c>
      <c r="AH34">
        <f t="shared" si="7"/>
        <v>72.882135141440116</v>
      </c>
      <c r="AI34">
        <f t="shared" si="8"/>
        <v>0.34152067544152681</v>
      </c>
      <c r="AJ34">
        <f t="shared" si="9"/>
        <v>31.671495966330241</v>
      </c>
      <c r="AK34">
        <f t="array" ref="AK34">+S34*テーブル2[[#This Row],[F_form]]/(E34*CpFromTP((テーブル2[[#This Row],[Tin]]+テーブル2[[#This Row],[Tf]])/2,テーブル2[[#This Row],[P]])*AI34)</f>
        <v>0.5852535089447366</v>
      </c>
      <c r="AL34">
        <f t="shared" si="10"/>
        <v>1.1293680422758512</v>
      </c>
      <c r="AM34">
        <f t="shared" si="11"/>
        <v>608.62110606567785</v>
      </c>
      <c r="AN34">
        <f t="shared" si="12"/>
        <v>8.5151441453490406E-11</v>
      </c>
      <c r="AO34">
        <f t="shared" si="13"/>
        <v>1.0484071704993644E-8</v>
      </c>
      <c r="AP34">
        <v>3.9779236024468658</v>
      </c>
      <c r="AQ34">
        <f t="shared" si="14"/>
        <v>3.4461120332625484E-5</v>
      </c>
      <c r="AR34">
        <f t="shared" si="15"/>
        <v>5.3645848616451167E-6</v>
      </c>
      <c r="AS34">
        <f t="shared" si="16"/>
        <v>15.851237113339694</v>
      </c>
      <c r="AT34">
        <f t="shared" si="17"/>
        <v>10.766237742961257</v>
      </c>
      <c r="AU34">
        <f t="shared" si="18"/>
        <v>3.6768927859401876</v>
      </c>
      <c r="AV34">
        <f t="shared" si="19"/>
        <v>0.30103081650667818</v>
      </c>
      <c r="AW34">
        <f t="shared" si="20"/>
        <v>6.4378926681484174E-3</v>
      </c>
      <c r="AX34">
        <f t="shared" si="21"/>
        <v>0.30103079644063879</v>
      </c>
      <c r="AY34">
        <f t="shared" si="22"/>
        <v>2.0066039385646661E-8</v>
      </c>
      <c r="AZ34">
        <f t="shared" si="23"/>
        <v>1080577.4158407261</v>
      </c>
      <c r="BA34">
        <f t="shared" si="24"/>
        <v>8.6630925519605395E-6</v>
      </c>
      <c r="BB34" s="15">
        <f t="shared" si="25"/>
        <v>817146.64253965509</v>
      </c>
      <c r="BC34" s="20">
        <f t="shared" si="26"/>
        <v>5202.266433404875</v>
      </c>
      <c r="BD34" s="19">
        <f t="shared" si="27"/>
        <v>0.6407170966997513</v>
      </c>
      <c r="BE34" s="15">
        <v>2650200</v>
      </c>
      <c r="BF34" s="16">
        <f>テーブル2[[#This Row],[q_P]]/テーブル2[[#This Row],[q_M]]</f>
        <v>0.30833395311284245</v>
      </c>
      <c r="BG34">
        <v>1</v>
      </c>
      <c r="BH34">
        <v>7.5999999999999998E-2</v>
      </c>
      <c r="BI34">
        <v>4.5999999999999999E-2</v>
      </c>
      <c r="BJ34">
        <v>5625</v>
      </c>
      <c r="BK34" s="22">
        <v>1</v>
      </c>
      <c r="BL34">
        <f>テーブル2[[#This Row],[Ts]]-テーブル2[[#This Row],[Tin]]</f>
        <v>13.29860453247602</v>
      </c>
      <c r="BM34">
        <f>テーブル2[[#This Row],[q_P]]*0.000001</f>
        <v>0.81714664253965508</v>
      </c>
      <c r="BN34">
        <f>テーブル2[[#This Row],[Tsub]]</f>
        <v>13.29860453247602</v>
      </c>
      <c r="BO34">
        <f>テーブル2[[#This Row],[Fcorr]]</f>
        <v>1</v>
      </c>
      <c r="BP34">
        <f>(テーブル2[[#This Row],[Tsub]]-40)^2</f>
        <v>712.96451991311017</v>
      </c>
      <c r="BQ34">
        <v>1</v>
      </c>
      <c r="BR34">
        <v>0.29527500000000001</v>
      </c>
    </row>
    <row r="35" spans="1:70" x14ac:dyDescent="0.15">
      <c r="A35" s="9" t="s">
        <v>103</v>
      </c>
      <c r="B35">
        <v>13789520</v>
      </c>
      <c r="C35" s="22">
        <f t="array" ref="C35">TsatFromP(テーブル2[[#This Row],[P]])</f>
        <v>608.621106065763</v>
      </c>
      <c r="D35">
        <f t="array" ref="D35">RhoGFromP(テーブル2[[#This Row],[P]])</f>
        <v>85.147893581579396</v>
      </c>
      <c r="E35">
        <f t="array" ref="E35">RhoFFromP(テーブル2[[#This Row],[P]])</f>
        <v>624.86627494838649</v>
      </c>
      <c r="F35">
        <f t="array" ref="F35">HgFromP(テーブル2[[#This Row],[P]])</f>
        <v>2643264.389866509</v>
      </c>
      <c r="G35">
        <f t="array" ref="G35">HfFromP(テーブル2[[#This Row],[P]])</f>
        <v>1562686.9740257829</v>
      </c>
      <c r="H35">
        <f t="array" ref="H35">MuGFromP(テーブル2[[#This Row],[P]])</f>
        <v>2.2019594042733509E-5</v>
      </c>
      <c r="I35">
        <f t="array" ref="I35">MuFFromP(テーブル2[[#This Row],[P]])</f>
        <v>7.2223252690249831E-5</v>
      </c>
      <c r="J35">
        <f t="array" ref="J35">KfFromP(テーブル2[[#This Row],[P]])</f>
        <v>0.4911212487937569</v>
      </c>
      <c r="K35">
        <f t="array" ref="K35">CpFFromP(テーブル2[[#This Row],[P]])</f>
        <v>7679.7516396704104</v>
      </c>
      <c r="L35">
        <f t="array" ref="L35">SigmaFromP(テーブル2[[#This Row],[P]])</f>
        <v>6.5036382888884548E-3</v>
      </c>
      <c r="M35">
        <v>34</v>
      </c>
      <c r="N35">
        <v>3986.64</v>
      </c>
      <c r="O35" s="8">
        <v>1.6417322322758919E-5</v>
      </c>
      <c r="P35" s="8">
        <v>1.4363361612212531E-2</v>
      </c>
      <c r="Q35" s="8">
        <v>4.5719999999999997E-3</v>
      </c>
      <c r="R35">
        <v>0.29527500000000001</v>
      </c>
      <c r="S35" s="15">
        <v>849852.18359375</v>
      </c>
      <c r="T35">
        <v>594.77734103104399</v>
      </c>
      <c r="U35" s="12">
        <f>+T35+BG35*S35*テーブル2[[#This Row],[Pw]]*R35/(N35*O35*K35)</f>
        <v>601.94817466999802</v>
      </c>
      <c r="V35">
        <v>0.03</v>
      </c>
      <c r="W35" s="8">
        <f t="shared" si="0"/>
        <v>252369.1110696907</v>
      </c>
      <c r="X35">
        <v>2.3303212557601288E-2</v>
      </c>
      <c r="Y35">
        <f t="shared" si="1"/>
        <v>6.5507662330680141</v>
      </c>
      <c r="Z35">
        <f t="shared" si="2"/>
        <v>6.5507662492108505</v>
      </c>
      <c r="AA35">
        <f t="shared" si="3"/>
        <v>-1.6142836400945271E-8</v>
      </c>
      <c r="AB35">
        <f t="shared" si="4"/>
        <v>1.0533794983235694E-5</v>
      </c>
      <c r="AC35">
        <v>617.91482145455291</v>
      </c>
      <c r="AD35">
        <f t="shared" si="5"/>
        <v>6810.344906622563</v>
      </c>
      <c r="AE35">
        <f>+gettm2(AD35,AC35,AK35,AL35,テーブル2[[#This Row],[Fcorr]])</f>
        <v>601.94817484914608</v>
      </c>
      <c r="AF35" s="14">
        <f t="shared" si="6"/>
        <v>1.791480599422357E-7</v>
      </c>
      <c r="AG35">
        <v>1.054462532162689E-5</v>
      </c>
      <c r="AH35">
        <f t="shared" si="7"/>
        <v>74.088834642088855</v>
      </c>
      <c r="AI35">
        <f t="shared" si="8"/>
        <v>0.34433632416624232</v>
      </c>
      <c r="AJ35">
        <f t="shared" si="9"/>
        <v>31.414057459048554</v>
      </c>
      <c r="AK35">
        <f t="array" ref="AK35">+S35*テーブル2[[#This Row],[F_form]]/(E35*CpFromTP((テーブル2[[#This Row],[Tin]]+テーブル2[[#This Row],[Tf]])/2,テーブル2[[#This Row],[P]])*AI35)</f>
        <v>0.61011635631745187</v>
      </c>
      <c r="AL35">
        <f t="shared" si="10"/>
        <v>1.1293680422758512</v>
      </c>
      <c r="AM35">
        <f t="shared" si="11"/>
        <v>608.62110606574799</v>
      </c>
      <c r="AN35">
        <f t="shared" si="12"/>
        <v>1.5006662579253316E-11</v>
      </c>
      <c r="AO35">
        <f t="shared" si="13"/>
        <v>1.0830338391195927E-8</v>
      </c>
      <c r="AP35">
        <v>3.995422617126839</v>
      </c>
      <c r="AQ35">
        <f t="shared" si="14"/>
        <v>3.4159918116569664E-5</v>
      </c>
      <c r="AR35">
        <f t="shared" si="15"/>
        <v>5.2777278300090428E-6</v>
      </c>
      <c r="AS35">
        <f t="shared" si="16"/>
        <v>15.723161349799755</v>
      </c>
      <c r="AT35">
        <f t="shared" si="17"/>
        <v>10.725674352296279</v>
      </c>
      <c r="AU35">
        <f t="shared" si="18"/>
        <v>3.6932392806738426</v>
      </c>
      <c r="AV35">
        <f t="shared" si="19"/>
        <v>0.30218333645299644</v>
      </c>
      <c r="AW35">
        <f t="shared" si="20"/>
        <v>6.3330374371893417E-3</v>
      </c>
      <c r="AX35">
        <f t="shared" si="21"/>
        <v>0.30218331436871965</v>
      </c>
      <c r="AY35">
        <f t="shared" si="22"/>
        <v>2.2084276796174862E-8</v>
      </c>
      <c r="AZ35">
        <f t="shared" si="23"/>
        <v>1080577.4158407261</v>
      </c>
      <c r="BA35">
        <f t="shared" si="24"/>
        <v>8.5497634142979628E-6</v>
      </c>
      <c r="BB35" s="15">
        <f t="shared" si="25"/>
        <v>855324.47840494371</v>
      </c>
      <c r="BC35" s="20">
        <f t="shared" si="26"/>
        <v>5472.2948111937148</v>
      </c>
      <c r="BD35" s="19">
        <f t="shared" si="27"/>
        <v>0.64391136680418348</v>
      </c>
      <c r="BE35" s="15">
        <v>2681750</v>
      </c>
      <c r="BF35" s="16">
        <f>テーブル2[[#This Row],[q_P]]/テーブル2[[#This Row],[q_M]]</f>
        <v>0.31894265998133448</v>
      </c>
      <c r="BG35">
        <v>1</v>
      </c>
      <c r="BH35">
        <v>7.2999999999999995E-2</v>
      </c>
      <c r="BI35">
        <v>4.5999999999999999E-2</v>
      </c>
      <c r="BJ35">
        <v>5625</v>
      </c>
      <c r="BK35" s="22">
        <v>1</v>
      </c>
      <c r="BL35">
        <f>テーブル2[[#This Row],[Ts]]-テーブル2[[#This Row],[Tin]]</f>
        <v>13.843765034719013</v>
      </c>
      <c r="BM35">
        <f>テーブル2[[#This Row],[q_P]]*0.000001</f>
        <v>0.85532447840494363</v>
      </c>
      <c r="BN35">
        <f>テーブル2[[#This Row],[Tsub]]</f>
        <v>13.843765034719013</v>
      </c>
      <c r="BO35">
        <f>テーブル2[[#This Row],[Fcorr]]</f>
        <v>1</v>
      </c>
      <c r="BP35">
        <f>(テーブル2[[#This Row],[Tsub]]-40)^2</f>
        <v>684.14862755898764</v>
      </c>
      <c r="BQ35">
        <v>1</v>
      </c>
      <c r="BR35">
        <v>0.29527500000000001</v>
      </c>
    </row>
    <row r="36" spans="1:70" x14ac:dyDescent="0.15">
      <c r="A36" s="9" t="s">
        <v>104</v>
      </c>
      <c r="B36">
        <v>13789520</v>
      </c>
      <c r="C36" s="22">
        <f t="array" ref="C36">TsatFromP(テーブル2[[#This Row],[P]])</f>
        <v>608.621106065763</v>
      </c>
      <c r="D36">
        <f t="array" ref="D36">RhoGFromP(テーブル2[[#This Row],[P]])</f>
        <v>85.147893581579396</v>
      </c>
      <c r="E36">
        <f t="array" ref="E36">RhoFFromP(テーブル2[[#This Row],[P]])</f>
        <v>624.86627494838649</v>
      </c>
      <c r="F36">
        <f t="array" ref="F36">HgFromP(テーブル2[[#This Row],[P]])</f>
        <v>2643264.389866509</v>
      </c>
      <c r="G36">
        <f t="array" ref="G36">HfFromP(テーブル2[[#This Row],[P]])</f>
        <v>1562686.9740257829</v>
      </c>
      <c r="H36">
        <f t="array" ref="H36">MuGFromP(テーブル2[[#This Row],[P]])</f>
        <v>2.2019594042733509E-5</v>
      </c>
      <c r="I36">
        <f t="array" ref="I36">MuFFromP(テーブル2[[#This Row],[P]])</f>
        <v>7.2223252690249831E-5</v>
      </c>
      <c r="J36">
        <f t="array" ref="J36">KfFromP(テーブル2[[#This Row],[P]])</f>
        <v>0.4911212487937569</v>
      </c>
      <c r="K36">
        <f t="array" ref="K36">CpFFromP(テーブル2[[#This Row],[P]])</f>
        <v>7679.7516396704104</v>
      </c>
      <c r="L36">
        <f t="array" ref="L36">SigmaFromP(テーブル2[[#This Row],[P]])</f>
        <v>6.5036382888884548E-3</v>
      </c>
      <c r="M36" s="23">
        <v>35</v>
      </c>
      <c r="N36">
        <v>4013.76</v>
      </c>
      <c r="O36" s="8">
        <v>1.6417322322758919E-5</v>
      </c>
      <c r="P36" s="8">
        <v>1.4363361612212531E-2</v>
      </c>
      <c r="Q36" s="8">
        <v>4.5719999999999997E-3</v>
      </c>
      <c r="R36">
        <v>0.29527500000000001</v>
      </c>
      <c r="S36" s="15">
        <v>660826.54695625009</v>
      </c>
      <c r="T36">
        <v>598.039459378179</v>
      </c>
      <c r="U36" s="12">
        <f>+T36+BG36*S36*テーブル2[[#This Row],[Pw]]*R36/(N36*O36*K36)</f>
        <v>603.57766853252451</v>
      </c>
      <c r="V36">
        <v>0.03</v>
      </c>
      <c r="W36" s="8">
        <f t="shared" si="0"/>
        <v>254085.90774363419</v>
      </c>
      <c r="X36">
        <v>2.3240375194701662E-2</v>
      </c>
      <c r="Y36">
        <f t="shared" si="1"/>
        <v>6.5596162409472205</v>
      </c>
      <c r="Z36">
        <f t="shared" si="2"/>
        <v>6.5596162549430632</v>
      </c>
      <c r="AA36">
        <f t="shared" si="3"/>
        <v>-1.3995842707004158E-8</v>
      </c>
      <c r="AB36">
        <f t="shared" si="4"/>
        <v>1.0420025019106805E-5</v>
      </c>
      <c r="AC36">
        <v>615.6210550449249</v>
      </c>
      <c r="AD36">
        <f t="shared" si="5"/>
        <v>6847.4229958732767</v>
      </c>
      <c r="AE36">
        <f>+gettm2(AD36,AC36,AK36,AL36,テーブル2[[#This Row],[Fcorr]])</f>
        <v>603.577668688735</v>
      </c>
      <c r="AF36" s="14">
        <f t="shared" si="6"/>
        <v>1.5621048987668473E-7</v>
      </c>
      <c r="AG36">
        <v>1.0428384738007819E-5</v>
      </c>
      <c r="AH36">
        <f t="shared" si="7"/>
        <v>74.897765910883848</v>
      </c>
      <c r="AI36">
        <f t="shared" si="8"/>
        <v>0.34621102113603652</v>
      </c>
      <c r="AJ36">
        <f t="shared" si="9"/>
        <v>31.236903527930298</v>
      </c>
      <c r="AK36">
        <f t="array" ref="AK36">+S36*テーブル2[[#This Row],[F_form]]/(E36*CpFromTP((テーブル2[[#This Row],[Tin]]+テーブル2[[#This Row],[Tf]])/2,テーブル2[[#This Row],[P]])*AI36)</f>
        <v>0.4599614676121333</v>
      </c>
      <c r="AL36">
        <f t="shared" si="10"/>
        <v>1.1293680422758512</v>
      </c>
      <c r="AM36">
        <f t="shared" si="11"/>
        <v>608.62110606566137</v>
      </c>
      <c r="AN36">
        <f t="shared" si="12"/>
        <v>1.0163603292312473E-10</v>
      </c>
      <c r="AO36">
        <f t="shared" si="13"/>
        <v>8.3597189010139198E-9</v>
      </c>
      <c r="AP36">
        <v>4.0061798420023482</v>
      </c>
      <c r="AQ36">
        <f t="shared" si="14"/>
        <v>3.3976714873880654E-5</v>
      </c>
      <c r="AR36">
        <f t="shared" si="15"/>
        <v>5.2183722284544166E-6</v>
      </c>
      <c r="AS36">
        <f t="shared" si="16"/>
        <v>15.630972002688212</v>
      </c>
      <c r="AT36">
        <f t="shared" si="17"/>
        <v>10.696271653857867</v>
      </c>
      <c r="AU36">
        <f t="shared" si="18"/>
        <v>3.7031671316305741</v>
      </c>
      <c r="AV36">
        <f t="shared" si="19"/>
        <v>0.30301271037177413</v>
      </c>
      <c r="AW36">
        <f t="shared" si="20"/>
        <v>6.2646376398510974E-3</v>
      </c>
      <c r="AX36">
        <f t="shared" si="21"/>
        <v>0.30301268694414896</v>
      </c>
      <c r="AY36">
        <f t="shared" si="22"/>
        <v>2.3427625173155775E-8</v>
      </c>
      <c r="AZ36">
        <f t="shared" si="23"/>
        <v>1080577.4158407261</v>
      </c>
      <c r="BA36">
        <f t="shared" si="24"/>
        <v>8.4810757913700119E-6</v>
      </c>
      <c r="BB36" s="15">
        <f t="shared" si="25"/>
        <v>665554.61968720041</v>
      </c>
      <c r="BC36" s="20">
        <f t="shared" si="26"/>
        <v>4728.0727309503127</v>
      </c>
      <c r="BD36" s="19">
        <f t="shared" si="27"/>
        <v>0.71547863092481567</v>
      </c>
      <c r="BE36" s="15">
        <v>2501915</v>
      </c>
      <c r="BF36" s="16">
        <f>テーブル2[[#This Row],[q_P]]/テーブル2[[#This Row],[q_M]]</f>
        <v>0.26601807802711142</v>
      </c>
      <c r="BG36">
        <v>1</v>
      </c>
      <c r="BH36">
        <v>8.1000000000000003E-2</v>
      </c>
      <c r="BI36">
        <v>4.5999999999999999E-2</v>
      </c>
      <c r="BJ36">
        <v>5625</v>
      </c>
      <c r="BK36" s="22">
        <v>1</v>
      </c>
      <c r="BL36">
        <f>テーブル2[[#This Row],[Ts]]-テーブル2[[#This Row],[Tin]]</f>
        <v>10.581646687583998</v>
      </c>
      <c r="BM36">
        <f>テーブル2[[#This Row],[q_P]]*0.000001</f>
        <v>0.66555461968720042</v>
      </c>
      <c r="BN36">
        <f>テーブル2[[#This Row],[Tsub]]</f>
        <v>10.581646687583998</v>
      </c>
      <c r="BO36">
        <f>テーブル2[[#This Row],[Fcorr]]</f>
        <v>1</v>
      </c>
      <c r="BP36">
        <f>(テーブル2[[#This Row],[Tsub]]-40)^2</f>
        <v>865.43951161413759</v>
      </c>
      <c r="BQ36">
        <v>1</v>
      </c>
      <c r="BR36">
        <v>0.29527500000000001</v>
      </c>
    </row>
    <row r="37" spans="1:70" x14ac:dyDescent="0.15">
      <c r="A37" s="9" t="s">
        <v>105</v>
      </c>
      <c r="B37">
        <v>13789520</v>
      </c>
      <c r="C37" s="22">
        <f t="array" ref="C37">TsatFromP(テーブル2[[#This Row],[P]])</f>
        <v>608.621106065763</v>
      </c>
      <c r="D37">
        <f t="array" ref="D37">RhoGFromP(テーブル2[[#This Row],[P]])</f>
        <v>85.147893581579396</v>
      </c>
      <c r="E37">
        <f t="array" ref="E37">RhoFFromP(テーブル2[[#This Row],[P]])</f>
        <v>624.86627494838649</v>
      </c>
      <c r="F37">
        <f t="array" ref="F37">HgFromP(テーブル2[[#This Row],[P]])</f>
        <v>2643264.389866509</v>
      </c>
      <c r="G37">
        <f t="array" ref="G37">HfFromP(テーブル2[[#This Row],[P]])</f>
        <v>1562686.9740257829</v>
      </c>
      <c r="H37">
        <f t="array" ref="H37">MuGFromP(テーブル2[[#This Row],[P]])</f>
        <v>2.2019594042733509E-5</v>
      </c>
      <c r="I37">
        <f t="array" ref="I37">MuFFromP(テーブル2[[#This Row],[P]])</f>
        <v>7.2223252690249831E-5</v>
      </c>
      <c r="J37">
        <f t="array" ref="J37">KfFromP(テーブル2[[#This Row],[P]])</f>
        <v>0.4911212487937569</v>
      </c>
      <c r="K37">
        <f t="array" ref="K37">CpFFromP(テーブル2[[#This Row],[P]])</f>
        <v>7679.7516396704104</v>
      </c>
      <c r="L37">
        <f t="array" ref="L37">SigmaFromP(テーブル2[[#This Row],[P]])</f>
        <v>6.5036382888884548E-3</v>
      </c>
      <c r="M37">
        <v>36</v>
      </c>
      <c r="N37">
        <v>4068</v>
      </c>
      <c r="O37" s="8">
        <v>1.6417322322758919E-5</v>
      </c>
      <c r="P37" s="8">
        <v>1.4363361612212531E-2</v>
      </c>
      <c r="Q37" s="8">
        <v>4.5719999999999997E-3</v>
      </c>
      <c r="R37">
        <v>0.29527500000000001</v>
      </c>
      <c r="S37" s="15">
        <v>603562.89140624984</v>
      </c>
      <c r="T37">
        <v>599.09049781334397</v>
      </c>
      <c r="U37" s="12">
        <f>+T37+BG37*S37*テーブル2[[#This Row],[Pw]]*R37/(N37*O37*K37)</f>
        <v>604.08135173488836</v>
      </c>
      <c r="V37">
        <v>0.03</v>
      </c>
      <c r="W37" s="8">
        <f t="shared" si="0"/>
        <v>257519.50109152115</v>
      </c>
      <c r="X37">
        <v>2.3116708671465629E-2</v>
      </c>
      <c r="Y37">
        <f t="shared" si="1"/>
        <v>6.577138694522346</v>
      </c>
      <c r="Z37">
        <f t="shared" si="2"/>
        <v>6.5771387040627571</v>
      </c>
      <c r="AA37">
        <f t="shared" si="3"/>
        <v>-9.5404111277730408E-9</v>
      </c>
      <c r="AB37">
        <f t="shared" si="4"/>
        <v>1.0198277135691403E-5</v>
      </c>
      <c r="AC37">
        <v>614.879905089418</v>
      </c>
      <c r="AD37">
        <f t="shared" si="5"/>
        <v>6921.4666881376816</v>
      </c>
      <c r="AE37">
        <f>+gettm2(AD37,AC37,AK37,AL37,テーブル2[[#This Row],[Fcorr]])</f>
        <v>604.08135188368726</v>
      </c>
      <c r="AF37" s="14">
        <f t="shared" si="6"/>
        <v>1.4879890386509942E-7</v>
      </c>
      <c r="AG37">
        <v>1.020570626715226E-5</v>
      </c>
      <c r="AH37">
        <f t="shared" si="7"/>
        <v>76.526317561549988</v>
      </c>
      <c r="AI37">
        <f t="shared" si="8"/>
        <v>0.34995472768417751</v>
      </c>
      <c r="AJ37">
        <f t="shared" si="9"/>
        <v>30.900461923452465</v>
      </c>
      <c r="AK37">
        <f t="array" ref="AK37">+S37*テーブル2[[#This Row],[F_form]]/(E37*CpFromTP((テーブル2[[#This Row],[Tin]]+テーブル2[[#This Row],[Tf]])/2,テーブル2[[#This Row],[P]])*AI37)</f>
        <v>0.41199395889883206</v>
      </c>
      <c r="AL37">
        <f t="shared" si="10"/>
        <v>1.1293680422758512</v>
      </c>
      <c r="AM37">
        <f t="shared" si="11"/>
        <v>608.62110606571321</v>
      </c>
      <c r="AN37">
        <f t="shared" si="12"/>
        <v>4.9794834922067821E-11</v>
      </c>
      <c r="AO37">
        <f t="shared" si="13"/>
        <v>7.4291314608571058E-9</v>
      </c>
      <c r="AP37">
        <v>4.0287099789613041</v>
      </c>
      <c r="AQ37">
        <f t="shared" si="14"/>
        <v>3.3597755080661974E-5</v>
      </c>
      <c r="AR37">
        <f t="shared" si="15"/>
        <v>5.1065676993065584E-6</v>
      </c>
      <c r="AS37">
        <f t="shared" si="16"/>
        <v>15.461477787169828</v>
      </c>
      <c r="AT37">
        <f t="shared" si="17"/>
        <v>10.641758131884712</v>
      </c>
      <c r="AU37">
        <f t="shared" si="18"/>
        <v>3.724133569124596</v>
      </c>
      <c r="AV37">
        <f t="shared" si="19"/>
        <v>0.30457640983670808</v>
      </c>
      <c r="AW37">
        <f t="shared" si="20"/>
        <v>6.1313202884575851E-3</v>
      </c>
      <c r="AX37">
        <f t="shared" si="21"/>
        <v>0.30457638352561073</v>
      </c>
      <c r="AY37">
        <f t="shared" si="22"/>
        <v>2.6311097356401802E-8</v>
      </c>
      <c r="AZ37">
        <f t="shared" si="23"/>
        <v>1080577.4158407261</v>
      </c>
      <c r="BA37">
        <f t="shared" si="24"/>
        <v>8.3395814680421008E-6</v>
      </c>
      <c r="BB37" s="15">
        <f t="shared" si="25"/>
        <v>601501.56277767417</v>
      </c>
      <c r="BC37" s="20">
        <f t="shared" si="26"/>
        <v>-2061.3286285756622</v>
      </c>
      <c r="BD37" s="19">
        <f t="shared" si="27"/>
        <v>-0.34152673365536823</v>
      </c>
      <c r="BE37" s="15">
        <v>2587100</v>
      </c>
      <c r="BF37" s="16">
        <f>テーブル2[[#This Row],[q_P]]/テーブル2[[#This Row],[q_M]]</f>
        <v>0.23250031416554218</v>
      </c>
      <c r="BG37">
        <v>1</v>
      </c>
      <c r="BH37">
        <v>9.0999999999999998E-2</v>
      </c>
      <c r="BI37">
        <v>4.5999999999999999E-2</v>
      </c>
      <c r="BJ37">
        <v>5625</v>
      </c>
      <c r="BK37" s="22">
        <v>1</v>
      </c>
      <c r="BL37">
        <f>テーブル2[[#This Row],[Ts]]-テーブル2[[#This Row],[Tin]]</f>
        <v>9.5306082524190288</v>
      </c>
      <c r="BM37">
        <f>テーブル2[[#This Row],[q_P]]*0.000001</f>
        <v>0.60150156277767419</v>
      </c>
      <c r="BN37">
        <f>テーブル2[[#This Row],[Tsub]]</f>
        <v>9.5306082524190288</v>
      </c>
      <c r="BO37">
        <f>テーブル2[[#This Row],[Fcorr]]</f>
        <v>1</v>
      </c>
      <c r="BP37">
        <f>(テーブル2[[#This Row],[Tsub]]-40)^2</f>
        <v>928.38383346755541</v>
      </c>
      <c r="BQ37">
        <v>1</v>
      </c>
      <c r="BR37">
        <v>0.29527500000000001</v>
      </c>
    </row>
    <row r="38" spans="1:70" x14ac:dyDescent="0.15">
      <c r="A38" s="9" t="s">
        <v>106</v>
      </c>
      <c r="B38">
        <v>13789520</v>
      </c>
      <c r="C38" s="22">
        <f t="array" ref="C38">TsatFromP(テーブル2[[#This Row],[P]])</f>
        <v>608.621106065763</v>
      </c>
      <c r="D38">
        <f t="array" ref="D38">RhoGFromP(テーブル2[[#This Row],[P]])</f>
        <v>85.147893581579396</v>
      </c>
      <c r="E38">
        <f t="array" ref="E38">RhoFFromP(テーブル2[[#This Row],[P]])</f>
        <v>624.86627494838649</v>
      </c>
      <c r="F38">
        <f t="array" ref="F38">HgFromP(テーブル2[[#This Row],[P]])</f>
        <v>2643264.389866509</v>
      </c>
      <c r="G38">
        <f t="array" ref="G38">HfFromP(テーブル2[[#This Row],[P]])</f>
        <v>1562686.9740257829</v>
      </c>
      <c r="H38">
        <f t="array" ref="H38">MuGFromP(テーブル2[[#This Row],[P]])</f>
        <v>2.2019594042733509E-5</v>
      </c>
      <c r="I38">
        <f t="array" ref="I38">MuFFromP(テーブル2[[#This Row],[P]])</f>
        <v>7.2223252690249831E-5</v>
      </c>
      <c r="J38">
        <f t="array" ref="J38">KfFromP(テーブル2[[#This Row],[P]])</f>
        <v>0.4911212487937569</v>
      </c>
      <c r="K38">
        <f t="array" ref="K38">CpFFromP(テーブル2[[#This Row],[P]])</f>
        <v>7679.7516396704104</v>
      </c>
      <c r="L38">
        <f t="array" ref="L38">SigmaFromP(テーブル2[[#This Row],[P]])</f>
        <v>6.5036382888884548E-3</v>
      </c>
      <c r="M38" s="23">
        <v>37</v>
      </c>
      <c r="N38">
        <v>4068</v>
      </c>
      <c r="O38" s="8">
        <v>1.6417322322758919E-5</v>
      </c>
      <c r="P38" s="8">
        <v>1.4363361612212531E-2</v>
      </c>
      <c r="Q38" s="8">
        <v>4.5719999999999997E-3</v>
      </c>
      <c r="R38">
        <v>0.29527500000000001</v>
      </c>
      <c r="S38" s="15">
        <v>635394.44921875</v>
      </c>
      <c r="T38">
        <v>598.56653241397998</v>
      </c>
      <c r="U38" s="12">
        <f>+T38+BG38*S38*テーブル2[[#This Row],[Pw]]*R38/(N38*O38*K38)</f>
        <v>603.8206010848063</v>
      </c>
      <c r="V38">
        <v>0.03</v>
      </c>
      <c r="W38" s="8">
        <f t="shared" si="0"/>
        <v>257519.50109152115</v>
      </c>
      <c r="X38">
        <v>2.3116708671465629E-2</v>
      </c>
      <c r="Y38">
        <f t="shared" si="1"/>
        <v>6.577138694522346</v>
      </c>
      <c r="Z38">
        <f t="shared" si="2"/>
        <v>6.5771387040627571</v>
      </c>
      <c r="AA38">
        <f t="shared" si="3"/>
        <v>-9.5404111277730408E-9</v>
      </c>
      <c r="AB38">
        <f t="shared" si="4"/>
        <v>1.0198277135691403E-5</v>
      </c>
      <c r="AC38">
        <v>615.23948936378065</v>
      </c>
      <c r="AD38">
        <f t="shared" si="5"/>
        <v>6921.4666881376816</v>
      </c>
      <c r="AE38">
        <f>+gettm2(AD38,AC38,AK38,AL38,テーブル2[[#This Row],[Fcorr]])</f>
        <v>603.82060108480607</v>
      </c>
      <c r="AF38" s="14">
        <f t="shared" si="6"/>
        <v>0</v>
      </c>
      <c r="AG38">
        <v>1.0206085794748369E-5</v>
      </c>
      <c r="AH38">
        <f t="shared" si="7"/>
        <v>76.526317561549988</v>
      </c>
      <c r="AI38">
        <f t="shared" si="8"/>
        <v>0.34995472768417751</v>
      </c>
      <c r="AJ38">
        <f t="shared" si="9"/>
        <v>30.9016110431435</v>
      </c>
      <c r="AK38">
        <f t="array" ref="AK38">+S38*テーブル2[[#This Row],[F_form]]/(E38*CpFromTP((テーブル2[[#This Row],[Tin]]+テーブル2[[#This Row],[Tf]])/2,テーブル2[[#This Row],[P]])*AI38)</f>
        <v>0.43566141673326741</v>
      </c>
      <c r="AL38">
        <f t="shared" si="10"/>
        <v>1.1293680422758512</v>
      </c>
      <c r="AM38">
        <f t="shared" si="11"/>
        <v>608.62110606571002</v>
      </c>
      <c r="AN38">
        <f t="shared" si="12"/>
        <v>5.297806637827307E-11</v>
      </c>
      <c r="AO38">
        <f t="shared" si="13"/>
        <v>7.8086590569666925E-9</v>
      </c>
      <c r="AP38">
        <v>4.0288308798668302</v>
      </c>
      <c r="AQ38">
        <f t="shared" si="14"/>
        <v>3.359573864552935E-5</v>
      </c>
      <c r="AR38">
        <f t="shared" si="15"/>
        <v>5.1069472269026679E-6</v>
      </c>
      <c r="AS38">
        <f t="shared" si="16"/>
        <v>15.46262690686086</v>
      </c>
      <c r="AT38">
        <f t="shared" si="17"/>
        <v>10.642129725404699</v>
      </c>
      <c r="AU38">
        <f t="shared" si="18"/>
        <v>3.7242636100336921</v>
      </c>
      <c r="AV38">
        <f t="shared" si="19"/>
        <v>0.30456726983313809</v>
      </c>
      <c r="AW38">
        <f t="shared" si="20"/>
        <v>6.1313202884575851E-3</v>
      </c>
      <c r="AX38">
        <f t="shared" si="21"/>
        <v>0.30456724351411157</v>
      </c>
      <c r="AY38">
        <f t="shared" si="22"/>
        <v>2.6319026513732524E-8</v>
      </c>
      <c r="AZ38">
        <f t="shared" si="23"/>
        <v>1080577.4158407261</v>
      </c>
      <c r="BA38">
        <f t="shared" si="24"/>
        <v>8.3388307048122674E-6</v>
      </c>
      <c r="BB38" s="15">
        <f t="shared" si="25"/>
        <v>632287.03446499456</v>
      </c>
      <c r="BC38" s="20">
        <f t="shared" si="26"/>
        <v>-3107.4147537554381</v>
      </c>
      <c r="BD38" s="19">
        <f t="shared" si="27"/>
        <v>-0.48905286433902023</v>
      </c>
      <c r="BE38" s="15">
        <v>2587100</v>
      </c>
      <c r="BF38" s="16">
        <f>テーブル2[[#This Row],[q_P]]/テーブル2[[#This Row],[q_M]]</f>
        <v>0.24439992055389995</v>
      </c>
      <c r="BG38">
        <v>1</v>
      </c>
      <c r="BH38">
        <v>8.6999999999999994E-2</v>
      </c>
      <c r="BI38">
        <v>4.5999999999999999E-2</v>
      </c>
      <c r="BJ38">
        <v>5625</v>
      </c>
      <c r="BK38" s="22">
        <v>1</v>
      </c>
      <c r="BL38">
        <f>テーブル2[[#This Row],[Ts]]-テーブル2[[#This Row],[Tin]]</f>
        <v>10.054573651783016</v>
      </c>
      <c r="BM38">
        <f>テーブル2[[#This Row],[q_P]]*0.000001</f>
        <v>0.63228703446499457</v>
      </c>
      <c r="BN38">
        <f>テーブル2[[#This Row],[Tsub]]</f>
        <v>10.054573651783016</v>
      </c>
      <c r="BO38">
        <f>テーブル2[[#This Row],[Fcorr]]</f>
        <v>1</v>
      </c>
      <c r="BP38">
        <f>(テーブル2[[#This Row],[Tsub]]-40)^2</f>
        <v>896.72855917648792</v>
      </c>
      <c r="BQ38">
        <v>1</v>
      </c>
      <c r="BR38">
        <v>0.29527500000000001</v>
      </c>
    </row>
    <row r="39" spans="1:70" x14ac:dyDescent="0.15">
      <c r="A39" s="9" t="s">
        <v>107</v>
      </c>
      <c r="B39">
        <v>13789520</v>
      </c>
      <c r="C39" s="22">
        <f t="array" ref="C39">TsatFromP(テーブル2[[#This Row],[P]])</f>
        <v>608.621106065763</v>
      </c>
      <c r="D39">
        <f t="array" ref="D39">RhoGFromP(テーブル2[[#This Row],[P]])</f>
        <v>85.147893581579396</v>
      </c>
      <c r="E39">
        <f t="array" ref="E39">RhoFFromP(テーブル2[[#This Row],[P]])</f>
        <v>624.86627494838649</v>
      </c>
      <c r="F39">
        <f t="array" ref="F39">HgFromP(テーブル2[[#This Row],[P]])</f>
        <v>2643264.389866509</v>
      </c>
      <c r="G39">
        <f t="array" ref="G39">HfFromP(テーブル2[[#This Row],[P]])</f>
        <v>1562686.9740257829</v>
      </c>
      <c r="H39">
        <f t="array" ref="H39">MuGFromP(テーブル2[[#This Row],[P]])</f>
        <v>2.2019594042733509E-5</v>
      </c>
      <c r="I39">
        <f t="array" ref="I39">MuFFromP(テーブル2[[#This Row],[P]])</f>
        <v>7.2223252690249831E-5</v>
      </c>
      <c r="J39">
        <f t="array" ref="J39">KfFromP(テーブル2[[#This Row],[P]])</f>
        <v>0.4911212487937569</v>
      </c>
      <c r="K39">
        <f t="array" ref="K39">CpFFromP(テーブル2[[#This Row],[P]])</f>
        <v>7679.7516396704104</v>
      </c>
      <c r="L39">
        <f t="array" ref="L39">SigmaFromP(テーブル2[[#This Row],[P]])</f>
        <v>6.5036382888884548E-3</v>
      </c>
      <c r="M39">
        <v>38</v>
      </c>
      <c r="N39">
        <v>4068</v>
      </c>
      <c r="O39" s="8">
        <v>1.6417322322758919E-5</v>
      </c>
      <c r="P39" s="8">
        <v>1.4363361612212531E-2</v>
      </c>
      <c r="Q39" s="8">
        <v>4.5719999999999997E-3</v>
      </c>
      <c r="R39">
        <v>0.29527500000000001</v>
      </c>
      <c r="S39" s="15">
        <v>699294.33984375</v>
      </c>
      <c r="T39">
        <v>597.50931537045801</v>
      </c>
      <c r="U39" s="12">
        <f>+T39+BG39*S39*テーブル2[[#This Row],[Pw]]*R39/(N39*O39*K39)</f>
        <v>603.29177142933099</v>
      </c>
      <c r="V39">
        <v>0.03</v>
      </c>
      <c r="W39" s="8">
        <f t="shared" si="0"/>
        <v>257519.50109152115</v>
      </c>
      <c r="X39">
        <v>2.3116708671465629E-2</v>
      </c>
      <c r="Y39">
        <f t="shared" si="1"/>
        <v>6.577138694522346</v>
      </c>
      <c r="Z39">
        <f t="shared" si="2"/>
        <v>6.5771387040627571</v>
      </c>
      <c r="AA39">
        <f t="shared" si="3"/>
        <v>-9.5404111277730408E-9</v>
      </c>
      <c r="AB39">
        <f t="shared" si="4"/>
        <v>1.0198277135691403E-5</v>
      </c>
      <c r="AC39">
        <v>615.96883416511309</v>
      </c>
      <c r="AD39">
        <f t="shared" si="5"/>
        <v>6921.4666881376816</v>
      </c>
      <c r="AE39">
        <f>+gettm2(AD39,AC39,AK39,AL39,テーブル2[[#This Row],[Fcorr]])</f>
        <v>603.29177158901916</v>
      </c>
      <c r="AF39" s="14">
        <f t="shared" si="6"/>
        <v>1.5968817024258897E-7</v>
      </c>
      <c r="AG39">
        <v>1.020699284794384E-5</v>
      </c>
      <c r="AH39">
        <f t="shared" si="7"/>
        <v>76.526317561549988</v>
      </c>
      <c r="AI39">
        <f t="shared" si="8"/>
        <v>0.34995472768417751</v>
      </c>
      <c r="AJ39">
        <f t="shared" si="9"/>
        <v>30.904357385434324</v>
      </c>
      <c r="AK39">
        <f t="array" ref="AK39">+S39*テーブル2[[#This Row],[F_form]]/(E39*CpFromTP((テーブル2[[#This Row],[Tin]]+テーブル2[[#This Row],[Tf]])/2,テーブル2[[#This Row],[P]])*AI39)</f>
        <v>0.48366416300670839</v>
      </c>
      <c r="AL39">
        <f t="shared" si="10"/>
        <v>1.1293680422758512</v>
      </c>
      <c r="AM39">
        <f t="shared" si="11"/>
        <v>608.62110606570309</v>
      </c>
      <c r="AN39">
        <f t="shared" si="12"/>
        <v>5.9912963479291648E-11</v>
      </c>
      <c r="AO39">
        <f t="shared" si="13"/>
        <v>8.7157122524376799E-9</v>
      </c>
      <c r="AP39">
        <v>4.0291197930463136</v>
      </c>
      <c r="AQ39">
        <f t="shared" si="14"/>
        <v>3.3590920767596637E-5</v>
      </c>
      <c r="AR39">
        <f t="shared" si="15"/>
        <v>5.1078542800981389E-6</v>
      </c>
      <c r="AS39">
        <f t="shared" si="16"/>
        <v>15.465373249151686</v>
      </c>
      <c r="AT39">
        <f t="shared" si="17"/>
        <v>10.64301770467403</v>
      </c>
      <c r="AU39">
        <f t="shared" si="18"/>
        <v>3.72457436257708</v>
      </c>
      <c r="AV39">
        <f t="shared" si="19"/>
        <v>0.30454543046923366</v>
      </c>
      <c r="AW39">
        <f t="shared" si="20"/>
        <v>6.1313202884575851E-3</v>
      </c>
      <c r="AX39">
        <f t="shared" si="21"/>
        <v>0.30454540413101799</v>
      </c>
      <c r="AY39">
        <f t="shared" si="22"/>
        <v>2.6338215664001297E-8</v>
      </c>
      <c r="AZ39">
        <f t="shared" si="23"/>
        <v>1080577.4158407261</v>
      </c>
      <c r="BA39">
        <f t="shared" si="24"/>
        <v>8.3370369939284944E-6</v>
      </c>
      <c r="BB39" s="15">
        <f t="shared" si="25"/>
        <v>705885.2828468862</v>
      </c>
      <c r="BC39" s="20">
        <f t="shared" si="26"/>
        <v>6590.943003136199</v>
      </c>
      <c r="BD39" s="19">
        <f t="shared" si="27"/>
        <v>0.94251342068761423</v>
      </c>
      <c r="BE39" s="15">
        <v>2665975</v>
      </c>
      <c r="BF39" s="16">
        <f>テーブル2[[#This Row],[q_P]]/テーブル2[[#This Row],[q_M]]</f>
        <v>0.26477565725368252</v>
      </c>
      <c r="BG39">
        <v>1</v>
      </c>
      <c r="BH39">
        <v>8.5999999999999993E-2</v>
      </c>
      <c r="BI39">
        <v>4.5999999999999999E-2</v>
      </c>
      <c r="BJ39">
        <v>5625</v>
      </c>
      <c r="BK39" s="22">
        <v>1</v>
      </c>
      <c r="BL39">
        <f>テーブル2[[#This Row],[Ts]]-テーブル2[[#This Row],[Tin]]</f>
        <v>11.11179069530499</v>
      </c>
      <c r="BM39">
        <f>テーブル2[[#This Row],[q_P]]*0.000001</f>
        <v>0.70588528284688612</v>
      </c>
      <c r="BN39">
        <f>テーブル2[[#This Row],[Tsub]]</f>
        <v>11.11179069530499</v>
      </c>
      <c r="BO39">
        <f>テーブル2[[#This Row],[Fcorr]]</f>
        <v>1</v>
      </c>
      <c r="BP39">
        <f>(テーブル2[[#This Row],[Tsub]]-40)^2</f>
        <v>834.5286368318674</v>
      </c>
      <c r="BQ39">
        <v>1</v>
      </c>
      <c r="BR39">
        <v>0.29527500000000001</v>
      </c>
    </row>
    <row r="40" spans="1:70" x14ac:dyDescent="0.15">
      <c r="A40" s="9" t="s">
        <v>108</v>
      </c>
      <c r="B40">
        <v>13789520</v>
      </c>
      <c r="C40" s="22">
        <f t="array" ref="C40">TsatFromP(テーブル2[[#This Row],[P]])</f>
        <v>608.621106065763</v>
      </c>
      <c r="D40">
        <f t="array" ref="D40">RhoGFromP(テーブル2[[#This Row],[P]])</f>
        <v>85.147893581579396</v>
      </c>
      <c r="E40">
        <f t="array" ref="E40">RhoFFromP(テーブル2[[#This Row],[P]])</f>
        <v>624.86627494838649</v>
      </c>
      <c r="F40">
        <f t="array" ref="F40">HgFromP(テーブル2[[#This Row],[P]])</f>
        <v>2643264.389866509</v>
      </c>
      <c r="G40">
        <f t="array" ref="G40">HfFromP(テーブル2[[#This Row],[P]])</f>
        <v>1562686.9740257829</v>
      </c>
      <c r="H40">
        <f t="array" ref="H40">MuGFromP(テーブル2[[#This Row],[P]])</f>
        <v>2.2019594042733509E-5</v>
      </c>
      <c r="I40">
        <f t="array" ref="I40">MuFFromP(テーブル2[[#This Row],[P]])</f>
        <v>7.2223252690249831E-5</v>
      </c>
      <c r="J40">
        <f t="array" ref="J40">KfFromP(テーブル2[[#This Row],[P]])</f>
        <v>0.4911212487937569</v>
      </c>
      <c r="K40">
        <f t="array" ref="K40">CpFFromP(テーブル2[[#This Row],[P]])</f>
        <v>7679.7516396704104</v>
      </c>
      <c r="L40">
        <f t="array" ref="L40">SigmaFromP(テーブル2[[#This Row],[P]])</f>
        <v>6.5036382888884548E-3</v>
      </c>
      <c r="M40" s="23">
        <v>39</v>
      </c>
      <c r="N40">
        <v>2739.12</v>
      </c>
      <c r="O40" s="8">
        <v>1.753005194685703E-5</v>
      </c>
      <c r="P40" s="8">
        <v>1.484214033261962E-2</v>
      </c>
      <c r="Q40" s="8">
        <v>4.7244000000000001E-3</v>
      </c>
      <c r="R40">
        <v>0.30480000000000002</v>
      </c>
      <c r="S40" s="15">
        <v>4997875.1789062498</v>
      </c>
      <c r="T40">
        <v>483.34023209662797</v>
      </c>
      <c r="U40" s="12">
        <f>+T40+BG40*S40*テーブル2[[#This Row],[Pw]]*R40/(N40*O40*K40)</f>
        <v>544.6536412304215</v>
      </c>
      <c r="V40">
        <v>0.03</v>
      </c>
      <c r="W40" s="8">
        <f t="shared" si="0"/>
        <v>179176.34620390061</v>
      </c>
      <c r="X40">
        <v>2.7016272721832189E-2</v>
      </c>
      <c r="Y40">
        <f t="shared" si="1"/>
        <v>6.0839730854451108</v>
      </c>
      <c r="Z40">
        <f t="shared" si="2"/>
        <v>6.0839730934391971</v>
      </c>
      <c r="AA40">
        <f t="shared" si="3"/>
        <v>-7.9940862818261849E-9</v>
      </c>
      <c r="AB40">
        <f t="shared" si="4"/>
        <v>1.9247181791581711E-5</v>
      </c>
      <c r="AC40">
        <v>716.35676576981086</v>
      </c>
      <c r="AD40">
        <f t="shared" si="5"/>
        <v>5206.1706901739753</v>
      </c>
      <c r="AE40">
        <f>+gettm2(AD40,AC40,AK40,AL40,テーブル2[[#This Row],[Fcorr]])</f>
        <v>544.65364123042139</v>
      </c>
      <c r="AF40" s="14">
        <f t="shared" si="6"/>
        <v>0</v>
      </c>
      <c r="AG40">
        <v>1.935098198040747E-5</v>
      </c>
      <c r="AH40">
        <f t="shared" si="7"/>
        <v>40.548097021038181</v>
      </c>
      <c r="AI40">
        <f t="shared" si="8"/>
        <v>0.25473680394280068</v>
      </c>
      <c r="AJ40">
        <f t="shared" si="9"/>
        <v>42.648596737144231</v>
      </c>
      <c r="AK40">
        <f t="array" ref="AK40">+S40*テーブル2[[#This Row],[F_form]]/(E40*CpFromTP((テーブル2[[#This Row],[Tin]]+テーブル2[[#This Row],[Tf]])/2,テーブル2[[#This Row],[P]])*AI40)</f>
        <v>6.7347244038631029</v>
      </c>
      <c r="AL40">
        <f t="shared" si="10"/>
        <v>1.1293680422758512</v>
      </c>
      <c r="AM40">
        <f t="shared" si="11"/>
        <v>608.62110595738625</v>
      </c>
      <c r="AN40">
        <f t="shared" si="12"/>
        <v>1.0837675290531479E-7</v>
      </c>
      <c r="AO40">
        <f t="shared" si="13"/>
        <v>1.0380018882575888E-7</v>
      </c>
      <c r="AP40">
        <v>3.3905770557732722</v>
      </c>
      <c r="AQ40">
        <f t="shared" si="14"/>
        <v>4.7434576862562723E-5</v>
      </c>
      <c r="AR40">
        <f t="shared" si="15"/>
        <v>9.7273910846166142E-6</v>
      </c>
      <c r="AS40">
        <f t="shared" si="16"/>
        <v>21.438683581657202</v>
      </c>
      <c r="AT40">
        <f t="shared" si="17"/>
        <v>12.275984671041327</v>
      </c>
      <c r="AU40">
        <f t="shared" si="18"/>
        <v>3.1271451003518811</v>
      </c>
      <c r="AV40">
        <f t="shared" si="19"/>
        <v>0.26343195542139108</v>
      </c>
      <c r="AW40">
        <f t="shared" si="20"/>
        <v>1.157162476016158E-2</v>
      </c>
      <c r="AX40">
        <f t="shared" si="21"/>
        <v>0.26343194705758344</v>
      </c>
      <c r="AY40">
        <f t="shared" si="22"/>
        <v>8.3638076464609412E-9</v>
      </c>
      <c r="AZ40">
        <f t="shared" si="23"/>
        <v>1080577.4158407261</v>
      </c>
      <c r="BA40">
        <f t="shared" si="24"/>
        <v>1.3990119110195109E-5</v>
      </c>
      <c r="BB40" s="15">
        <f t="shared" si="25"/>
        <v>5009792.1018941654</v>
      </c>
      <c r="BC40" s="20">
        <f t="shared" si="26"/>
        <v>11916.922987915576</v>
      </c>
      <c r="BD40" s="19">
        <f t="shared" si="27"/>
        <v>0.23843978813659589</v>
      </c>
      <c r="BE40" s="15">
        <v>5174199.9999999991</v>
      </c>
      <c r="BF40" s="16">
        <f>テーブル2[[#This Row],[q_P]]/テーブル2[[#This Row],[q_M]]</f>
        <v>0.96822544584557346</v>
      </c>
      <c r="BG40">
        <v>1</v>
      </c>
      <c r="BH40">
        <v>-0.159</v>
      </c>
      <c r="BI40">
        <v>4.5999999999999999E-2</v>
      </c>
      <c r="BJ40">
        <v>5625</v>
      </c>
      <c r="BK40" s="22">
        <v>1</v>
      </c>
      <c r="BL40">
        <f>テーブル2[[#This Row],[Ts]]-テーブル2[[#This Row],[Tin]]</f>
        <v>125.28087396913503</v>
      </c>
      <c r="BM40">
        <f>テーブル2[[#This Row],[q_P]]*0.000001</f>
        <v>5.0097921018941651</v>
      </c>
      <c r="BN40">
        <f>テーブル2[[#This Row],[Tsub]]</f>
        <v>125.28087396913503</v>
      </c>
      <c r="BO40">
        <f>テーブル2[[#This Row],[Fcorr]]</f>
        <v>1</v>
      </c>
      <c r="BP40">
        <f>(テーブル2[[#This Row],[Tsub]]-40)^2</f>
        <v>7272.8274649394925</v>
      </c>
      <c r="BQ40">
        <v>1</v>
      </c>
      <c r="BR40">
        <v>0.30480000000000002</v>
      </c>
    </row>
    <row r="41" spans="1:70" x14ac:dyDescent="0.15">
      <c r="A41" s="9" t="s">
        <v>109</v>
      </c>
      <c r="B41">
        <v>13789520</v>
      </c>
      <c r="C41" s="22">
        <f t="array" ref="C41">TsatFromP(テーブル2[[#This Row],[P]])</f>
        <v>608.621106065763</v>
      </c>
      <c r="D41">
        <f t="array" ref="D41">RhoGFromP(テーブル2[[#This Row],[P]])</f>
        <v>85.147893581579396</v>
      </c>
      <c r="E41">
        <f t="array" ref="E41">RhoFFromP(テーブル2[[#This Row],[P]])</f>
        <v>624.86627494838649</v>
      </c>
      <c r="F41">
        <f t="array" ref="F41">HgFromP(テーブル2[[#This Row],[P]])</f>
        <v>2643264.389866509</v>
      </c>
      <c r="G41">
        <f t="array" ref="G41">HfFromP(テーブル2[[#This Row],[P]])</f>
        <v>1562686.9740257829</v>
      </c>
      <c r="H41">
        <f t="array" ref="H41">MuGFromP(テーブル2[[#This Row],[P]])</f>
        <v>2.2019594042733509E-5</v>
      </c>
      <c r="I41">
        <f t="array" ref="I41">MuFFromP(テーブル2[[#This Row],[P]])</f>
        <v>7.2223252690249831E-5</v>
      </c>
      <c r="J41">
        <f t="array" ref="J41">KfFromP(テーブル2[[#This Row],[P]])</f>
        <v>0.4911212487937569</v>
      </c>
      <c r="K41">
        <f t="array" ref="K41">CpFFromP(テーブル2[[#This Row],[P]])</f>
        <v>7679.7516396704104</v>
      </c>
      <c r="L41">
        <f t="array" ref="L41">SigmaFromP(テーブル2[[#This Row],[P]])</f>
        <v>6.5036382888884548E-3</v>
      </c>
      <c r="M41">
        <v>40</v>
      </c>
      <c r="N41">
        <v>2759.46</v>
      </c>
      <c r="O41" s="8">
        <v>1.753005194685703E-5</v>
      </c>
      <c r="P41" s="8">
        <v>1.484214033261962E-2</v>
      </c>
      <c r="Q41" s="8">
        <v>4.7244000000000001E-3</v>
      </c>
      <c r="R41">
        <v>0.30480000000000002</v>
      </c>
      <c r="S41" s="15">
        <v>1554029.35546875</v>
      </c>
      <c r="T41">
        <v>573.63997230882796</v>
      </c>
      <c r="U41" s="12">
        <f>+T41+BG41*S41*テーブル2[[#This Row],[Pw]]*R41/(N41*O41*K41)</f>
        <v>592.56411582847977</v>
      </c>
      <c r="V41">
        <v>0.03</v>
      </c>
      <c r="W41" s="8">
        <f t="shared" si="0"/>
        <v>180506.86362620682</v>
      </c>
      <c r="X41">
        <v>2.693096497243053E-2</v>
      </c>
      <c r="Y41">
        <f t="shared" si="1"/>
        <v>6.0936014016155671</v>
      </c>
      <c r="Z41">
        <f t="shared" si="2"/>
        <v>6.093601408482507</v>
      </c>
      <c r="AA41">
        <f t="shared" si="3"/>
        <v>-6.8669399055920621E-9</v>
      </c>
      <c r="AB41">
        <f t="shared" si="4"/>
        <v>1.9024558052984488E-5</v>
      </c>
      <c r="AC41">
        <v>635.51578929672712</v>
      </c>
      <c r="AD41">
        <f t="shared" si="5"/>
        <v>5236.5431749017189</v>
      </c>
      <c r="AE41">
        <f>+gettm2(AD41,AC41,AK41,AL41,テーブル2[[#This Row],[Fcorr]])</f>
        <v>592.56411582847988</v>
      </c>
      <c r="AF41" s="14">
        <f t="shared" si="6"/>
        <v>0</v>
      </c>
      <c r="AG41">
        <v>1.905664287725175E-5</v>
      </c>
      <c r="AH41">
        <f t="shared" si="7"/>
        <v>41.022587357512002</v>
      </c>
      <c r="AI41">
        <f t="shared" si="8"/>
        <v>0.25622292304026895</v>
      </c>
      <c r="AJ41">
        <f t="shared" si="9"/>
        <v>42.244912875883536</v>
      </c>
      <c r="AK41">
        <f t="array" ref="AK41">+S41*テーブル2[[#This Row],[F_form]]/(E41*CpFromTP((テーブル2[[#This Row],[Tin]]+テーブル2[[#This Row],[Tf]])/2,テーブル2[[#This Row],[P]])*AI41)</f>
        <v>1.6837311604698073</v>
      </c>
      <c r="AL41">
        <f t="shared" si="10"/>
        <v>1.1293680422758512</v>
      </c>
      <c r="AM41">
        <f t="shared" si="11"/>
        <v>608.62110605940677</v>
      </c>
      <c r="AN41">
        <f t="shared" si="12"/>
        <v>6.3562310970155522E-9</v>
      </c>
      <c r="AO41">
        <f t="shared" si="13"/>
        <v>3.2084824267261853E-8</v>
      </c>
      <c r="AP41">
        <v>3.3932651311068072</v>
      </c>
      <c r="AQ41">
        <f t="shared" si="14"/>
        <v>4.735945322406582E-5</v>
      </c>
      <c r="AR41">
        <f t="shared" si="15"/>
        <v>9.5443638507595061E-6</v>
      </c>
      <c r="AS41">
        <f t="shared" si="16"/>
        <v>21.158019380862495</v>
      </c>
      <c r="AT41">
        <f t="shared" si="17"/>
        <v>12.210095002852601</v>
      </c>
      <c r="AU41">
        <f t="shared" si="18"/>
        <v>3.1285062322302744</v>
      </c>
      <c r="AV41">
        <f t="shared" si="19"/>
        <v>0.26475889887653281</v>
      </c>
      <c r="AW41">
        <f t="shared" si="20"/>
        <v>1.1437780834663975E-2</v>
      </c>
      <c r="AX41">
        <f t="shared" si="21"/>
        <v>0.26475889022752874</v>
      </c>
      <c r="AY41">
        <f t="shared" si="22"/>
        <v>8.6490040684950031E-9</v>
      </c>
      <c r="AZ41">
        <f t="shared" si="23"/>
        <v>1080577.4158407261</v>
      </c>
      <c r="BA41">
        <f t="shared" si="24"/>
        <v>1.3956897381790567E-5</v>
      </c>
      <c r="BB41" s="15">
        <f t="shared" si="25"/>
        <v>1552221.7044804264</v>
      </c>
      <c r="BC41" s="20">
        <f t="shared" si="26"/>
        <v>-1807.650988323614</v>
      </c>
      <c r="BD41" s="19">
        <f t="shared" si="27"/>
        <v>-0.11632026010077286</v>
      </c>
      <c r="BE41" s="15">
        <v>2943615</v>
      </c>
      <c r="BF41" s="16">
        <f>テーブル2[[#This Row],[q_P]]/テーブル2[[#This Row],[q_M]]</f>
        <v>0.52731818002029018</v>
      </c>
      <c r="BG41">
        <v>1</v>
      </c>
      <c r="BH41">
        <v>5.1999999999999998E-2</v>
      </c>
      <c r="BI41">
        <v>4.5999999999999999E-2</v>
      </c>
      <c r="BJ41">
        <v>5625</v>
      </c>
      <c r="BK41" s="22">
        <v>1</v>
      </c>
      <c r="BL41">
        <f>テーブル2[[#This Row],[Ts]]-テーブル2[[#This Row],[Tin]]</f>
        <v>34.981133756935037</v>
      </c>
      <c r="BM41">
        <f>テーブル2[[#This Row],[q_P]]*0.000001</f>
        <v>1.5522217044804263</v>
      </c>
      <c r="BN41">
        <f>テーブル2[[#This Row],[Tsub]]</f>
        <v>34.981133756935037</v>
      </c>
      <c r="BO41">
        <f>テーブル2[[#This Row],[Fcorr]]</f>
        <v>1</v>
      </c>
      <c r="BP41">
        <f>(テーブル2[[#This Row],[Tsub]]-40)^2</f>
        <v>25.189018365777017</v>
      </c>
      <c r="BQ41">
        <v>1</v>
      </c>
      <c r="BR41">
        <v>0.30480000000000002</v>
      </c>
    </row>
    <row r="42" spans="1:70" x14ac:dyDescent="0.15">
      <c r="A42" s="9" t="s">
        <v>110</v>
      </c>
      <c r="B42">
        <v>13789520</v>
      </c>
      <c r="C42" s="22">
        <f t="array" ref="C42">TsatFromP(テーブル2[[#This Row],[P]])</f>
        <v>608.621106065763</v>
      </c>
      <c r="D42">
        <f t="array" ref="D42">RhoGFromP(テーブル2[[#This Row],[P]])</f>
        <v>85.147893581579396</v>
      </c>
      <c r="E42">
        <f t="array" ref="E42">RhoFFromP(テーブル2[[#This Row],[P]])</f>
        <v>624.86627494838649</v>
      </c>
      <c r="F42">
        <f t="array" ref="F42">HgFromP(テーブル2[[#This Row],[P]])</f>
        <v>2643264.389866509</v>
      </c>
      <c r="G42">
        <f t="array" ref="G42">HfFromP(テーブル2[[#This Row],[P]])</f>
        <v>1562686.9740257829</v>
      </c>
      <c r="H42">
        <f t="array" ref="H42">MuGFromP(テーブル2[[#This Row],[P]])</f>
        <v>2.2019594042733509E-5</v>
      </c>
      <c r="I42">
        <f t="array" ref="I42">MuFFromP(テーブル2[[#This Row],[P]])</f>
        <v>7.2223252690249831E-5</v>
      </c>
      <c r="J42">
        <f t="array" ref="J42">KfFromP(テーブル2[[#This Row],[P]])</f>
        <v>0.4911212487937569</v>
      </c>
      <c r="K42">
        <f t="array" ref="K42">CpFFromP(テーブル2[[#This Row],[P]])</f>
        <v>7679.7516396704104</v>
      </c>
      <c r="L42">
        <f t="array" ref="L42">SigmaFromP(テーブル2[[#This Row],[P]])</f>
        <v>6.5036382888884548E-3</v>
      </c>
      <c r="M42" s="23">
        <v>41</v>
      </c>
      <c r="N42">
        <v>2759.46</v>
      </c>
      <c r="O42" s="8">
        <v>1.753005194685703E-5</v>
      </c>
      <c r="P42" s="8">
        <v>1.484214033261962E-2</v>
      </c>
      <c r="Q42" s="8">
        <v>4.7244000000000001E-3</v>
      </c>
      <c r="R42">
        <v>0.30480000000000002</v>
      </c>
      <c r="S42" s="15">
        <v>3167922.11328125</v>
      </c>
      <c r="T42">
        <v>532.84871111815698</v>
      </c>
      <c r="U42" s="12">
        <f>+T42+BG42*S42*テーブル2[[#This Row],[Pw]]*R42/(N42*O42*K42)</f>
        <v>571.42598285362556</v>
      </c>
      <c r="V42">
        <v>0.03</v>
      </c>
      <c r="W42" s="8">
        <f t="shared" si="0"/>
        <v>180506.86362620682</v>
      </c>
      <c r="X42">
        <v>2.693096497243053E-2</v>
      </c>
      <c r="Y42">
        <f t="shared" si="1"/>
        <v>6.0936014016155671</v>
      </c>
      <c r="Z42">
        <f t="shared" si="2"/>
        <v>6.093601408482507</v>
      </c>
      <c r="AA42">
        <f t="shared" si="3"/>
        <v>-6.8669399055920621E-9</v>
      </c>
      <c r="AB42">
        <f t="shared" si="4"/>
        <v>1.9024558052984488E-5</v>
      </c>
      <c r="AC42">
        <v>670.96727069597034</v>
      </c>
      <c r="AD42">
        <f t="shared" si="5"/>
        <v>5236.5431749017189</v>
      </c>
      <c r="AE42">
        <f>+gettm2(AD42,AC42,AK42,AL42,テーブル2[[#This Row],[Fcorr]])</f>
        <v>571.42598356329813</v>
      </c>
      <c r="AF42" s="14">
        <f t="shared" si="6"/>
        <v>7.0967257670417894E-7</v>
      </c>
      <c r="AG42">
        <v>1.9090361367905189E-5</v>
      </c>
      <c r="AH42">
        <f t="shared" si="7"/>
        <v>41.022587357512002</v>
      </c>
      <c r="AI42">
        <f t="shared" si="8"/>
        <v>0.25622292304026895</v>
      </c>
      <c r="AJ42">
        <f t="shared" si="9"/>
        <v>42.319660285967046</v>
      </c>
      <c r="AK42">
        <f t="array" ref="AK42">+S42*テーブル2[[#This Row],[F_form]]/(E42*CpFromTP((テーブル2[[#This Row],[Tin]]+テーブル2[[#This Row],[Tf]])/2,テーブル2[[#This Row],[P]])*AI42)</f>
        <v>3.902077692559601</v>
      </c>
      <c r="AL42">
        <f t="shared" si="10"/>
        <v>1.1293680422758512</v>
      </c>
      <c r="AM42">
        <f t="shared" si="11"/>
        <v>608.62110604657528</v>
      </c>
      <c r="AN42">
        <f t="shared" si="12"/>
        <v>1.9187723410141189E-8</v>
      </c>
      <c r="AO42">
        <f t="shared" si="13"/>
        <v>6.5803314920700486E-8</v>
      </c>
      <c r="AP42">
        <v>3.397456473500307</v>
      </c>
      <c r="AQ42">
        <f t="shared" si="14"/>
        <v>4.724267336598109E-5</v>
      </c>
      <c r="AR42">
        <f t="shared" si="15"/>
        <v>9.5780823414129447E-6</v>
      </c>
      <c r="AS42">
        <f t="shared" si="16"/>
        <v>21.232766790945998</v>
      </c>
      <c r="AT42">
        <f t="shared" si="17"/>
        <v>12.227727959044786</v>
      </c>
      <c r="AU42">
        <f t="shared" si="18"/>
        <v>3.1330241998076773</v>
      </c>
      <c r="AV42">
        <f t="shared" si="19"/>
        <v>0.26443227369262967</v>
      </c>
      <c r="AW42">
        <f t="shared" si="20"/>
        <v>1.1437780834663975E-2</v>
      </c>
      <c r="AX42">
        <f t="shared" si="21"/>
        <v>0.26443226495084837</v>
      </c>
      <c r="AY42">
        <f t="shared" si="22"/>
        <v>8.7417812988377364E-9</v>
      </c>
      <c r="AZ42">
        <f t="shared" si="23"/>
        <v>1080577.4158407261</v>
      </c>
      <c r="BA42">
        <f t="shared" si="24"/>
        <v>1.3905306435701956E-5</v>
      </c>
      <c r="BB42" s="15">
        <f t="shared" si="25"/>
        <v>3195289.2662135134</v>
      </c>
      <c r="BC42" s="20">
        <f t="shared" si="26"/>
        <v>27367.152932263445</v>
      </c>
      <c r="BD42" s="19">
        <f t="shared" si="27"/>
        <v>0.86388338960509581</v>
      </c>
      <c r="BE42" s="15">
        <v>4227700</v>
      </c>
      <c r="BF42" s="16">
        <f>テーブル2[[#This Row],[q_P]]/テーブル2[[#This Row],[q_M]]</f>
        <v>0.75579848764423052</v>
      </c>
      <c r="BG42">
        <v>1</v>
      </c>
      <c r="BH42">
        <v>-3.1E-2</v>
      </c>
      <c r="BI42">
        <v>4.5999999999999999E-2</v>
      </c>
      <c r="BJ42">
        <v>5625</v>
      </c>
      <c r="BK42" s="22">
        <v>1</v>
      </c>
      <c r="BL42">
        <f>テーブル2[[#This Row],[Ts]]-テーブル2[[#This Row],[Tin]]</f>
        <v>75.772394947606017</v>
      </c>
      <c r="BM42">
        <f>テーブル2[[#This Row],[q_P]]*0.000001</f>
        <v>3.1952892662135133</v>
      </c>
      <c r="BN42">
        <f>テーブル2[[#This Row],[Tsub]]</f>
        <v>75.772394947606017</v>
      </c>
      <c r="BO42">
        <f>テーブル2[[#This Row],[Fcorr]]</f>
        <v>1</v>
      </c>
      <c r="BP42">
        <f>(テーブル2[[#This Row],[Tsub]]-40)^2</f>
        <v>1279.6642402875084</v>
      </c>
      <c r="BQ42">
        <v>1</v>
      </c>
      <c r="BR42">
        <v>0.30480000000000002</v>
      </c>
    </row>
    <row r="43" spans="1:70" x14ac:dyDescent="0.15">
      <c r="A43" s="9" t="s">
        <v>111</v>
      </c>
      <c r="B43">
        <v>13789520</v>
      </c>
      <c r="C43" s="22">
        <f t="array" ref="C43">TsatFromP(テーブル2[[#This Row],[P]])</f>
        <v>608.621106065763</v>
      </c>
      <c r="D43">
        <f t="array" ref="D43">RhoGFromP(テーブル2[[#This Row],[P]])</f>
        <v>85.147893581579396</v>
      </c>
      <c r="E43">
        <f t="array" ref="E43">RhoFFromP(テーブル2[[#This Row],[P]])</f>
        <v>624.86627494838649</v>
      </c>
      <c r="F43">
        <f t="array" ref="F43">HgFromP(テーブル2[[#This Row],[P]])</f>
        <v>2643264.389866509</v>
      </c>
      <c r="G43">
        <f t="array" ref="G43">HfFromP(テーブル2[[#This Row],[P]])</f>
        <v>1562686.9740257829</v>
      </c>
      <c r="H43">
        <f t="array" ref="H43">MuGFromP(テーブル2[[#This Row],[P]])</f>
        <v>2.2019594042733509E-5</v>
      </c>
      <c r="I43">
        <f t="array" ref="I43">MuFFromP(テーブル2[[#This Row],[P]])</f>
        <v>7.2223252690249831E-5</v>
      </c>
      <c r="J43">
        <f t="array" ref="J43">KfFromP(テーブル2[[#This Row],[P]])</f>
        <v>0.4911212487937569</v>
      </c>
      <c r="K43">
        <f t="array" ref="K43">CpFFromP(テーブル2[[#This Row],[P]])</f>
        <v>7679.7516396704104</v>
      </c>
      <c r="L43">
        <f t="array" ref="L43">SigmaFromP(テーブル2[[#This Row],[P]])</f>
        <v>6.5036382888884548E-3</v>
      </c>
      <c r="M43">
        <v>42</v>
      </c>
      <c r="N43">
        <v>2759.46</v>
      </c>
      <c r="O43" s="8">
        <v>1.753005194685703E-5</v>
      </c>
      <c r="P43" s="8">
        <v>1.484214033261962E-2</v>
      </c>
      <c r="Q43" s="8">
        <v>4.7244000000000001E-3</v>
      </c>
      <c r="R43">
        <v>0.30480000000000002</v>
      </c>
      <c r="S43" s="15">
        <v>3190008.30078125</v>
      </c>
      <c r="T43">
        <v>532.27181435384398</v>
      </c>
      <c r="U43" s="12">
        <f>+T43+BG43*S43*テーブル2[[#This Row],[Pw]]*R43/(N43*O43*K43)</f>
        <v>571.11803994181298</v>
      </c>
      <c r="V43">
        <v>0.03</v>
      </c>
      <c r="W43" s="8">
        <f t="shared" si="0"/>
        <v>180506.86362620682</v>
      </c>
      <c r="X43">
        <v>2.693096497243053E-2</v>
      </c>
      <c r="Y43">
        <f t="shared" si="1"/>
        <v>6.0936014016155671</v>
      </c>
      <c r="Z43">
        <f t="shared" si="2"/>
        <v>6.093601408482507</v>
      </c>
      <c r="AA43">
        <f t="shared" si="3"/>
        <v>-6.8669399055920621E-9</v>
      </c>
      <c r="AB43">
        <f t="shared" si="4"/>
        <v>1.9024558052984488E-5</v>
      </c>
      <c r="AC43">
        <v>671.48342608206201</v>
      </c>
      <c r="AD43">
        <f t="shared" si="5"/>
        <v>5236.5431749017189</v>
      </c>
      <c r="AE43">
        <f>+gettm2(AD43,AC43,AK43,AL43,テーブル2[[#This Row],[Fcorr]])</f>
        <v>571.11804065664717</v>
      </c>
      <c r="AF43" s="14">
        <f t="shared" si="6"/>
        <v>7.1483418651041575E-7</v>
      </c>
      <c r="AG43">
        <v>1.9090349740379261E-5</v>
      </c>
      <c r="AH43">
        <f t="shared" si="7"/>
        <v>41.022587357512002</v>
      </c>
      <c r="AI43">
        <f t="shared" si="8"/>
        <v>0.25622292304026895</v>
      </c>
      <c r="AJ43">
        <f t="shared" si="9"/>
        <v>42.319634509977909</v>
      </c>
      <c r="AK43">
        <f t="array" ref="AK43">+S43*テーブル2[[#This Row],[F_form]]/(E43*CpFromTP((テーブル2[[#This Row],[Tin]]+テーブル2[[#This Row],[Tf]])/2,テーブル2[[#This Row],[P]])*AI43)</f>
        <v>3.9343828360555029</v>
      </c>
      <c r="AL43">
        <f t="shared" si="10"/>
        <v>1.1293680422758512</v>
      </c>
      <c r="AM43">
        <f t="shared" si="11"/>
        <v>608.62110604641816</v>
      </c>
      <c r="AN43">
        <f t="shared" si="12"/>
        <v>1.9344838619872462E-8</v>
      </c>
      <c r="AO43">
        <f t="shared" si="13"/>
        <v>6.5791687394772716E-8</v>
      </c>
      <c r="AP43">
        <v>3.3974550305687119</v>
      </c>
      <c r="AQ43">
        <f t="shared" si="14"/>
        <v>4.7242713494818646E-5</v>
      </c>
      <c r="AR43">
        <f t="shared" si="15"/>
        <v>9.5780707138870169E-6</v>
      </c>
      <c r="AS43">
        <f t="shared" si="16"/>
        <v>21.232741014956861</v>
      </c>
      <c r="AT43">
        <f t="shared" si="17"/>
        <v>12.22772188917998</v>
      </c>
      <c r="AU43">
        <f t="shared" si="18"/>
        <v>3.133022644569174</v>
      </c>
      <c r="AV43">
        <f t="shared" si="19"/>
        <v>0.26443238599953789</v>
      </c>
      <c r="AW43">
        <f t="shared" si="20"/>
        <v>1.1437780834663975E-2</v>
      </c>
      <c r="AX43">
        <f t="shared" si="21"/>
        <v>0.26443237725775648</v>
      </c>
      <c r="AY43">
        <f t="shared" si="22"/>
        <v>8.7417814098600388E-9</v>
      </c>
      <c r="AZ43">
        <f t="shared" si="23"/>
        <v>1080577.4158407261</v>
      </c>
      <c r="BA43">
        <f t="shared" si="24"/>
        <v>1.3905324152858772E-5</v>
      </c>
      <c r="BB43" s="15">
        <f t="shared" si="25"/>
        <v>3194720.5842199679</v>
      </c>
      <c r="BC43" s="20">
        <f t="shared" si="26"/>
        <v>4712.2834387179464</v>
      </c>
      <c r="BD43" s="19">
        <f t="shared" si="27"/>
        <v>0.14772009958606949</v>
      </c>
      <c r="BE43" s="15">
        <v>4196150</v>
      </c>
      <c r="BF43" s="16">
        <f>テーブル2[[#This Row],[q_P]]/テーブル2[[#This Row],[q_M]]</f>
        <v>0.76134565833441792</v>
      </c>
      <c r="BG43">
        <v>1</v>
      </c>
      <c r="BH43">
        <v>-3.5999999999999997E-2</v>
      </c>
      <c r="BI43">
        <v>4.5999999999999999E-2</v>
      </c>
      <c r="BJ43">
        <v>5625</v>
      </c>
      <c r="BK43" s="22">
        <v>1</v>
      </c>
      <c r="BL43">
        <f>テーブル2[[#This Row],[Ts]]-テーブル2[[#This Row],[Tin]]</f>
        <v>76.349291711919022</v>
      </c>
      <c r="BM43">
        <f>テーブル2[[#This Row],[q_P]]*0.000001</f>
        <v>3.1947205842199677</v>
      </c>
      <c r="BN43">
        <f>テーブル2[[#This Row],[Tsub]]</f>
        <v>76.349291711919022</v>
      </c>
      <c r="BO43">
        <f>テーブル2[[#This Row],[Fcorr]]</f>
        <v>1</v>
      </c>
      <c r="BP43">
        <f>(テーブル2[[#This Row],[Tsub]]-40)^2</f>
        <v>1321.271007958185</v>
      </c>
      <c r="BQ43">
        <v>1</v>
      </c>
      <c r="BR43">
        <v>0.30480000000000002</v>
      </c>
    </row>
    <row r="44" spans="1:70" x14ac:dyDescent="0.15">
      <c r="A44" s="9" t="s">
        <v>112</v>
      </c>
      <c r="B44">
        <v>13789520</v>
      </c>
      <c r="C44" s="22">
        <f t="array" ref="C44">TsatFromP(テーブル2[[#This Row],[P]])</f>
        <v>608.621106065763</v>
      </c>
      <c r="D44">
        <f t="array" ref="D44">RhoGFromP(テーブル2[[#This Row],[P]])</f>
        <v>85.147893581579396</v>
      </c>
      <c r="E44">
        <f t="array" ref="E44">RhoFFromP(テーブル2[[#This Row],[P]])</f>
        <v>624.86627494838649</v>
      </c>
      <c r="F44">
        <f t="array" ref="F44">HgFromP(テーブル2[[#This Row],[P]])</f>
        <v>2643264.389866509</v>
      </c>
      <c r="G44">
        <f t="array" ref="G44">HfFromP(テーブル2[[#This Row],[P]])</f>
        <v>1562686.9740257829</v>
      </c>
      <c r="H44">
        <f t="array" ref="H44">MuGFromP(テーブル2[[#This Row],[P]])</f>
        <v>2.2019594042733509E-5</v>
      </c>
      <c r="I44">
        <f t="array" ref="I44">MuFFromP(テーブル2[[#This Row],[P]])</f>
        <v>7.2223252690249831E-5</v>
      </c>
      <c r="J44">
        <f t="array" ref="J44">KfFromP(テーブル2[[#This Row],[P]])</f>
        <v>0.4911212487937569</v>
      </c>
      <c r="K44">
        <f t="array" ref="K44">CpFFromP(テーブル2[[#This Row],[P]])</f>
        <v>7679.7516396704104</v>
      </c>
      <c r="L44">
        <f t="array" ref="L44">SigmaFromP(テーブル2[[#This Row],[P]])</f>
        <v>6.5036382888884548E-3</v>
      </c>
      <c r="M44" s="23">
        <v>43</v>
      </c>
      <c r="N44">
        <v>2766.24</v>
      </c>
      <c r="O44" s="8">
        <v>1.753005194685703E-5</v>
      </c>
      <c r="P44" s="8">
        <v>1.484214033261962E-2</v>
      </c>
      <c r="Q44" s="8">
        <v>4.7244000000000001E-3</v>
      </c>
      <c r="R44">
        <v>0.30480000000000002</v>
      </c>
      <c r="S44" s="15">
        <v>3173239.16015625</v>
      </c>
      <c r="T44">
        <v>532.84871111815698</v>
      </c>
      <c r="U44" s="12">
        <f>+T44+BG44*S44*テーブル2[[#This Row],[Pw]]*R44/(N44*O44*K44)</f>
        <v>571.3960201913394</v>
      </c>
      <c r="V44">
        <v>0.03</v>
      </c>
      <c r="W44" s="8">
        <f t="shared" si="0"/>
        <v>180950.36943364219</v>
      </c>
      <c r="X44">
        <v>2.6902755474970039E-2</v>
      </c>
      <c r="Y44">
        <f t="shared" si="1"/>
        <v>6.0967953568832884</v>
      </c>
      <c r="Z44">
        <f t="shared" si="2"/>
        <v>6.0967953632706635</v>
      </c>
      <c r="AA44">
        <f t="shared" si="3"/>
        <v>-6.3873750733023371E-9</v>
      </c>
      <c r="AB44">
        <f t="shared" si="4"/>
        <v>1.8951265668188581E-5</v>
      </c>
      <c r="AC44">
        <v>670.935483824568</v>
      </c>
      <c r="AD44">
        <f t="shared" si="5"/>
        <v>5246.6593429399873</v>
      </c>
      <c r="AE44">
        <f>+gettm2(AD44,AC44,AK44,AL44,テーブル2[[#This Row],[Fcorr]])</f>
        <v>571.39602019133929</v>
      </c>
      <c r="AF44" s="14">
        <f t="shared" si="6"/>
        <v>0</v>
      </c>
      <c r="AG44">
        <v>1.9016875766912899E-5</v>
      </c>
      <c r="AH44">
        <f t="shared" si="7"/>
        <v>41.181238674557136</v>
      </c>
      <c r="AI44">
        <f t="shared" si="8"/>
        <v>0.25671790495069319</v>
      </c>
      <c r="AJ44">
        <f t="shared" si="9"/>
        <v>42.238196984168404</v>
      </c>
      <c r="AK44">
        <f t="array" ref="AK44">+S44*テーブル2[[#This Row],[F_form]]/(E44*CpFromTP((テーブル2[[#This Row],[Tin]]+テーブル2[[#This Row],[Tf]])/2,テーブル2[[#This Row],[P]])*AI44)</f>
        <v>3.9012644067573743</v>
      </c>
      <c r="AL44">
        <f t="shared" si="10"/>
        <v>1.1293680422758512</v>
      </c>
      <c r="AM44">
        <f t="shared" si="11"/>
        <v>608.62110605571752</v>
      </c>
      <c r="AN44">
        <f t="shared" si="12"/>
        <v>1.0045482667919714E-8</v>
      </c>
      <c r="AO44">
        <f t="shared" si="13"/>
        <v>6.5610098724318045E-8</v>
      </c>
      <c r="AP44">
        <v>3.4012547611659318</v>
      </c>
      <c r="AQ44">
        <f t="shared" si="14"/>
        <v>4.7137217537298897E-5</v>
      </c>
      <c r="AR44">
        <f t="shared" si="15"/>
        <v>9.5412429328186088E-6</v>
      </c>
      <c r="AS44">
        <f t="shared" si="16"/>
        <v>21.191961466739855</v>
      </c>
      <c r="AT44">
        <f t="shared" si="17"/>
        <v>12.218109668376783</v>
      </c>
      <c r="AU44">
        <f t="shared" si="18"/>
        <v>3.1366075165234966</v>
      </c>
      <c r="AV44">
        <f t="shared" si="19"/>
        <v>0.26464724464243528</v>
      </c>
      <c r="AW44">
        <f t="shared" si="20"/>
        <v>1.1393716618727356E-2</v>
      </c>
      <c r="AX44">
        <f t="shared" si="21"/>
        <v>0.26464723574303173</v>
      </c>
      <c r="AY44">
        <f t="shared" si="22"/>
        <v>8.899403547424356E-9</v>
      </c>
      <c r="AZ44">
        <f t="shared" si="23"/>
        <v>1080577.4158407261</v>
      </c>
      <c r="BA44">
        <f t="shared" si="24"/>
        <v>1.3858772966815492E-5</v>
      </c>
      <c r="BB44" s="15">
        <f t="shared" si="25"/>
        <v>3196604.3286741632</v>
      </c>
      <c r="BC44" s="20">
        <f t="shared" si="26"/>
        <v>23365.168517913204</v>
      </c>
      <c r="BD44" s="19">
        <f t="shared" si="27"/>
        <v>0.73631917856335494</v>
      </c>
      <c r="BE44" s="15">
        <v>4224545</v>
      </c>
      <c r="BF44" s="16">
        <f>テーブル2[[#This Row],[q_P]]/テーブル2[[#This Row],[q_M]]</f>
        <v>0.75667422850843424</v>
      </c>
      <c r="BG44">
        <v>1</v>
      </c>
      <c r="BH44">
        <v>-3.2000000000000001E-2</v>
      </c>
      <c r="BI44">
        <v>4.5999999999999999E-2</v>
      </c>
      <c r="BJ44">
        <v>5625</v>
      </c>
      <c r="BK44" s="22">
        <v>1</v>
      </c>
      <c r="BL44">
        <f>テーブル2[[#This Row],[Ts]]-テーブル2[[#This Row],[Tin]]</f>
        <v>75.772394947606017</v>
      </c>
      <c r="BM44">
        <f>テーブル2[[#This Row],[q_P]]*0.000001</f>
        <v>3.1966043286741632</v>
      </c>
      <c r="BN44">
        <f>テーブル2[[#This Row],[Tsub]]</f>
        <v>75.772394947606017</v>
      </c>
      <c r="BO44">
        <f>テーブル2[[#This Row],[Fcorr]]</f>
        <v>1</v>
      </c>
      <c r="BP44">
        <f>(テーブル2[[#This Row],[Tsub]]-40)^2</f>
        <v>1279.6642402875084</v>
      </c>
      <c r="BQ44">
        <v>1</v>
      </c>
      <c r="BR44">
        <v>0.30480000000000002</v>
      </c>
    </row>
    <row r="45" spans="1:70" x14ac:dyDescent="0.15">
      <c r="A45" s="9" t="s">
        <v>113</v>
      </c>
      <c r="B45">
        <v>13789520</v>
      </c>
      <c r="C45" s="22">
        <f t="array" ref="C45">TsatFromP(テーブル2[[#This Row],[P]])</f>
        <v>608.621106065763</v>
      </c>
      <c r="D45">
        <f t="array" ref="D45">RhoGFromP(テーブル2[[#This Row],[P]])</f>
        <v>85.147893581579396</v>
      </c>
      <c r="E45">
        <f t="array" ref="E45">RhoFFromP(テーブル2[[#This Row],[P]])</f>
        <v>624.86627494838649</v>
      </c>
      <c r="F45">
        <f t="array" ref="F45">HgFromP(テーブル2[[#This Row],[P]])</f>
        <v>2643264.389866509</v>
      </c>
      <c r="G45">
        <f t="array" ref="G45">HfFromP(テーブル2[[#This Row],[P]])</f>
        <v>1562686.9740257829</v>
      </c>
      <c r="H45">
        <f t="array" ref="H45">MuGFromP(テーブル2[[#This Row],[P]])</f>
        <v>2.2019594042733509E-5</v>
      </c>
      <c r="I45">
        <f t="array" ref="I45">MuFFromP(テーブル2[[#This Row],[P]])</f>
        <v>7.2223252690249831E-5</v>
      </c>
      <c r="J45">
        <f t="array" ref="J45">KfFromP(テーブル2[[#This Row],[P]])</f>
        <v>0.4911212487937569</v>
      </c>
      <c r="K45">
        <f t="array" ref="K45">CpFFromP(テーブル2[[#This Row],[P]])</f>
        <v>7679.7516396704104</v>
      </c>
      <c r="L45">
        <f t="array" ref="L45">SigmaFromP(テーブル2[[#This Row],[P]])</f>
        <v>6.5036382888884548E-3</v>
      </c>
      <c r="M45">
        <v>44</v>
      </c>
      <c r="N45">
        <v>2779.8</v>
      </c>
      <c r="O45" s="8">
        <v>1.753005194685703E-5</v>
      </c>
      <c r="P45" s="8">
        <v>1.484214033261962E-2</v>
      </c>
      <c r="Q45" s="8">
        <v>4.7244000000000001E-3</v>
      </c>
      <c r="R45">
        <v>0.30480000000000002</v>
      </c>
      <c r="S45" s="15">
        <v>3183847.75390625</v>
      </c>
      <c r="T45">
        <v>532.84871111815698</v>
      </c>
      <c r="U45" s="12">
        <f>+T45+BG45*S45*テーブル2[[#This Row],[Pw]]*R45/(N45*O45*K45)</f>
        <v>571.33622509144243</v>
      </c>
      <c r="V45">
        <v>0.03</v>
      </c>
      <c r="W45" s="8">
        <f t="shared" si="0"/>
        <v>181837.38104851302</v>
      </c>
      <c r="X45">
        <v>2.6846671672922939E-2</v>
      </c>
      <c r="Y45">
        <f t="shared" si="1"/>
        <v>6.1031602626924686</v>
      </c>
      <c r="Z45">
        <f t="shared" si="2"/>
        <v>6.1031602680645429</v>
      </c>
      <c r="AA45">
        <f t="shared" si="3"/>
        <v>-5.3720743409257921E-9</v>
      </c>
      <c r="AB45">
        <f t="shared" si="4"/>
        <v>1.8806030895976118E-5</v>
      </c>
      <c r="AC45">
        <v>670.87158033377591</v>
      </c>
      <c r="AD45">
        <f t="shared" si="5"/>
        <v>5266.8797671340417</v>
      </c>
      <c r="AE45">
        <f>+gettm2(AD45,AC45,AK45,AL45,テーブル2[[#This Row],[Fcorr]])</f>
        <v>571.33622580015822</v>
      </c>
      <c r="AF45" s="14">
        <f t="shared" si="6"/>
        <v>7.0871578827791382E-7</v>
      </c>
      <c r="AG45">
        <v>1.8870692345338619E-5</v>
      </c>
      <c r="AH45">
        <f t="shared" si="7"/>
        <v>41.499272174098294</v>
      </c>
      <c r="AI45">
        <f t="shared" si="8"/>
        <v>0.2577072859257124</v>
      </c>
      <c r="AJ45">
        <f t="shared" si="9"/>
        <v>42.075043478738124</v>
      </c>
      <c r="AK45">
        <f t="array" ref="AK45">+S45*テーブル2[[#This Row],[F_form]]/(E45*CpFromTP((テーブル2[[#This Row],[Tin]]+テーブル2[[#This Row],[Tf]])/2,テーブル2[[#This Row],[P]])*AI45)</f>
        <v>3.8996258260758339</v>
      </c>
      <c r="AL45">
        <f t="shared" si="10"/>
        <v>1.1293680422758512</v>
      </c>
      <c r="AM45">
        <f t="shared" si="11"/>
        <v>608.62110603116821</v>
      </c>
      <c r="AN45">
        <f t="shared" si="12"/>
        <v>3.4594791031850036E-8</v>
      </c>
      <c r="AO45">
        <f t="shared" si="13"/>
        <v>6.4661449362501104E-8</v>
      </c>
      <c r="AP45">
        <v>3.4087609577370919</v>
      </c>
      <c r="AQ45">
        <f t="shared" si="14"/>
        <v>4.6929850894448811E-5</v>
      </c>
      <c r="AR45">
        <f t="shared" si="15"/>
        <v>9.4676768973505602E-6</v>
      </c>
      <c r="AS45">
        <f t="shared" si="16"/>
        <v>21.109607947006204</v>
      </c>
      <c r="AT45">
        <f t="shared" si="17"/>
        <v>12.198641448895078</v>
      </c>
      <c r="AU45">
        <f t="shared" si="18"/>
        <v>3.1436787797756502</v>
      </c>
      <c r="AV45">
        <f t="shared" si="19"/>
        <v>0.26508217796144162</v>
      </c>
      <c r="AW45">
        <f t="shared" si="20"/>
        <v>1.1306399820643949E-2</v>
      </c>
      <c r="AX45">
        <f t="shared" si="21"/>
        <v>0.26508216875476986</v>
      </c>
      <c r="AY45">
        <f t="shared" si="22"/>
        <v>9.2066717582994784E-9</v>
      </c>
      <c r="AZ45">
        <f t="shared" si="23"/>
        <v>1080577.4158407261</v>
      </c>
      <c r="BA45">
        <f t="shared" si="24"/>
        <v>1.3767422085708004E-5</v>
      </c>
      <c r="BB45" s="15">
        <f t="shared" si="25"/>
        <v>3171288.698179129</v>
      </c>
      <c r="BC45" s="20">
        <f t="shared" si="26"/>
        <v>-12559.055727120955</v>
      </c>
      <c r="BD45" s="19">
        <f t="shared" si="27"/>
        <v>-0.39446156656555892</v>
      </c>
      <c r="BE45" s="15">
        <v>4192995</v>
      </c>
      <c r="BF45" s="16">
        <f>テーブル2[[#This Row],[q_P]]/テーブル2[[#This Row],[q_M]]</f>
        <v>0.75633018836872667</v>
      </c>
      <c r="BG45">
        <v>1</v>
      </c>
      <c r="BH45">
        <v>-3.6999999999999998E-2</v>
      </c>
      <c r="BI45">
        <v>4.5999999999999999E-2</v>
      </c>
      <c r="BJ45">
        <v>5625</v>
      </c>
      <c r="BK45" s="22">
        <v>1</v>
      </c>
      <c r="BL45">
        <f>テーブル2[[#This Row],[Ts]]-テーブル2[[#This Row],[Tin]]</f>
        <v>75.772394947606017</v>
      </c>
      <c r="BM45">
        <f>テーブル2[[#This Row],[q_P]]*0.000001</f>
        <v>3.1712886981791288</v>
      </c>
      <c r="BN45">
        <f>テーブル2[[#This Row],[Tsub]]</f>
        <v>75.772394947606017</v>
      </c>
      <c r="BO45">
        <f>テーブル2[[#This Row],[Fcorr]]</f>
        <v>1</v>
      </c>
      <c r="BP45">
        <f>(テーブル2[[#This Row],[Tsub]]-40)^2</f>
        <v>1279.6642402875084</v>
      </c>
      <c r="BQ45">
        <v>1</v>
      </c>
      <c r="BR45">
        <v>0.30480000000000002</v>
      </c>
    </row>
    <row r="46" spans="1:70" x14ac:dyDescent="0.15">
      <c r="A46" s="9" t="s">
        <v>114</v>
      </c>
      <c r="B46">
        <v>13789520</v>
      </c>
      <c r="C46" s="22">
        <f t="array" ref="C46">TsatFromP(テーブル2[[#This Row],[P]])</f>
        <v>608.621106065763</v>
      </c>
      <c r="D46">
        <f t="array" ref="D46">RhoGFromP(テーブル2[[#This Row],[P]])</f>
        <v>85.147893581579396</v>
      </c>
      <c r="E46">
        <f t="array" ref="E46">RhoFFromP(テーブル2[[#This Row],[P]])</f>
        <v>624.86627494838649</v>
      </c>
      <c r="F46">
        <f t="array" ref="F46">HgFromP(テーブル2[[#This Row],[P]])</f>
        <v>2643264.389866509</v>
      </c>
      <c r="G46">
        <f t="array" ref="G46">HfFromP(テーブル2[[#This Row],[P]])</f>
        <v>1562686.9740257829</v>
      </c>
      <c r="H46">
        <f t="array" ref="H46">MuGFromP(テーブル2[[#This Row],[P]])</f>
        <v>2.2019594042733509E-5</v>
      </c>
      <c r="I46">
        <f t="array" ref="I46">MuFFromP(テーブル2[[#This Row],[P]])</f>
        <v>7.2223252690249831E-5</v>
      </c>
      <c r="J46">
        <f t="array" ref="J46">KfFromP(テーブル2[[#This Row],[P]])</f>
        <v>0.4911212487937569</v>
      </c>
      <c r="K46">
        <f t="array" ref="K46">CpFFromP(テーブル2[[#This Row],[P]])</f>
        <v>7679.7516396704104</v>
      </c>
      <c r="L46">
        <f t="array" ref="L46">SigmaFromP(テーブル2[[#This Row],[P]])</f>
        <v>6.5036382888884548E-3</v>
      </c>
      <c r="M46" s="23">
        <v>45</v>
      </c>
      <c r="N46">
        <v>2793.36</v>
      </c>
      <c r="O46" s="8">
        <v>1.753005194685703E-5</v>
      </c>
      <c r="P46" s="8">
        <v>1.484214033261962E-2</v>
      </c>
      <c r="Q46" s="8">
        <v>4.7244000000000001E-3</v>
      </c>
      <c r="R46">
        <v>0.30480000000000002</v>
      </c>
      <c r="S46" s="15">
        <v>3129604.55859375</v>
      </c>
      <c r="T46">
        <v>534.52714511009196</v>
      </c>
      <c r="U46" s="12">
        <f>+T46+BG46*S46*テーブル2[[#This Row],[Pw]]*R46/(N46*O46*K46)</f>
        <v>572.17529800959267</v>
      </c>
      <c r="V46">
        <v>0.03</v>
      </c>
      <c r="W46" s="8">
        <f t="shared" si="0"/>
        <v>182724.39266338383</v>
      </c>
      <c r="X46">
        <v>2.6791029954928849E-2</v>
      </c>
      <c r="Y46">
        <f t="shared" si="1"/>
        <v>6.1094947370234438</v>
      </c>
      <c r="Z46">
        <f t="shared" si="2"/>
        <v>6.1094947413837088</v>
      </c>
      <c r="AA46">
        <f t="shared" si="3"/>
        <v>-4.3602650379170882E-9</v>
      </c>
      <c r="AB46">
        <f t="shared" si="4"/>
        <v>1.8662570795930837E-5</v>
      </c>
      <c r="AC46">
        <v>669.31201695098412</v>
      </c>
      <c r="AD46">
        <f t="shared" si="5"/>
        <v>5287.0843949454547</v>
      </c>
      <c r="AE46">
        <f>+gettm2(AD46,AC46,AK46,AL46,テーブル2[[#This Row],[Fcorr]])</f>
        <v>572.17529870271278</v>
      </c>
      <c r="AF46" s="14">
        <f t="shared" si="6"/>
        <v>6.9312011419242481E-7</v>
      </c>
      <c r="AG46">
        <v>1.872649771301021E-5</v>
      </c>
      <c r="AH46">
        <f t="shared" si="7"/>
        <v>41.818279121372711</v>
      </c>
      <c r="AI46">
        <f t="shared" si="8"/>
        <v>0.25869589398715137</v>
      </c>
      <c r="AJ46">
        <f t="shared" si="9"/>
        <v>41.913713415645589</v>
      </c>
      <c r="AK46">
        <f t="array" ref="AK46">+S46*テーブル2[[#This Row],[F_form]]/(E46*CpFromTP((テーブル2[[#This Row],[Tin]]+テーブル2[[#This Row],[Tf]])/2,テーブル2[[#This Row],[P]])*AI46)</f>
        <v>3.8042171701234442</v>
      </c>
      <c r="AL46">
        <f t="shared" si="10"/>
        <v>1.1293680422758512</v>
      </c>
      <c r="AM46">
        <f t="shared" si="11"/>
        <v>608.62110606186241</v>
      </c>
      <c r="AN46">
        <f t="shared" si="12"/>
        <v>3.900595402228646E-9</v>
      </c>
      <c r="AO46">
        <f t="shared" si="13"/>
        <v>6.392691707937255E-8</v>
      </c>
      <c r="AP46">
        <v>3.416267137675467</v>
      </c>
      <c r="AQ46">
        <f t="shared" si="14"/>
        <v>4.6723850077671659E-5</v>
      </c>
      <c r="AR46">
        <f t="shared" si="15"/>
        <v>9.3952123150447913E-6</v>
      </c>
      <c r="AS46">
        <f t="shared" si="16"/>
        <v>21.028397433778967</v>
      </c>
      <c r="AT46">
        <f t="shared" si="17"/>
        <v>12.179368914981751</v>
      </c>
      <c r="AU46">
        <f t="shared" si="18"/>
        <v>3.150752729660526</v>
      </c>
      <c r="AV46">
        <f t="shared" si="19"/>
        <v>0.26551440801494097</v>
      </c>
      <c r="AW46">
        <f t="shared" si="20"/>
        <v>1.1220149975666368E-2</v>
      </c>
      <c r="AX46">
        <f t="shared" si="21"/>
        <v>0.2655143985106857</v>
      </c>
      <c r="AY46">
        <f t="shared" si="22"/>
        <v>9.5042552716861906E-9</v>
      </c>
      <c r="AZ46">
        <f t="shared" si="23"/>
        <v>1080577.4158407261</v>
      </c>
      <c r="BA46">
        <f t="shared" si="24"/>
        <v>1.3676872502852339E-5</v>
      </c>
      <c r="BB46" s="15">
        <f t="shared" si="25"/>
        <v>3156021.3654004303</v>
      </c>
      <c r="BC46" s="20">
        <f t="shared" si="26"/>
        <v>26416.806806680281</v>
      </c>
      <c r="BD46" s="19">
        <f t="shared" si="27"/>
        <v>0.84409408000576136</v>
      </c>
      <c r="BE46" s="15">
        <v>4126740</v>
      </c>
      <c r="BF46" s="16">
        <f>テーブル2[[#This Row],[q_P]]/テーブル2[[#This Row],[q_M]]</f>
        <v>0.76477349321751076</v>
      </c>
      <c r="BG46">
        <v>1</v>
      </c>
      <c r="BH46">
        <v>-3.6999999999999998E-2</v>
      </c>
      <c r="BI46">
        <v>4.5999999999999999E-2</v>
      </c>
      <c r="BJ46">
        <v>5625</v>
      </c>
      <c r="BK46" s="22">
        <v>1</v>
      </c>
      <c r="BL46">
        <f>テーブル2[[#This Row],[Ts]]-テーブル2[[#This Row],[Tin]]</f>
        <v>74.093960955671037</v>
      </c>
      <c r="BM46">
        <f>テーブル2[[#This Row],[q_P]]*0.000001</f>
        <v>3.1560213654004303</v>
      </c>
      <c r="BN46">
        <f>テーブル2[[#This Row],[Tsub]]</f>
        <v>74.093960955671037</v>
      </c>
      <c r="BO46">
        <f>テーブル2[[#This Row],[Fcorr]]</f>
        <v>1</v>
      </c>
      <c r="BP46">
        <f>(テーブル2[[#This Row],[Tsub]]-40)^2</f>
        <v>1162.3981736468211</v>
      </c>
      <c r="BQ46">
        <v>1</v>
      </c>
      <c r="BR46">
        <v>0.30480000000000002</v>
      </c>
    </row>
    <row r="47" spans="1:70" x14ac:dyDescent="0.15">
      <c r="A47" s="9" t="s">
        <v>115</v>
      </c>
      <c r="B47">
        <v>13789520</v>
      </c>
      <c r="C47" s="22">
        <f t="array" ref="C47">TsatFromP(テーブル2[[#This Row],[P]])</f>
        <v>608.621106065763</v>
      </c>
      <c r="D47">
        <f t="array" ref="D47">RhoGFromP(テーブル2[[#This Row],[P]])</f>
        <v>85.147893581579396</v>
      </c>
      <c r="E47">
        <f t="array" ref="E47">RhoFFromP(テーブル2[[#This Row],[P]])</f>
        <v>624.86627494838649</v>
      </c>
      <c r="F47">
        <f t="array" ref="F47">HgFromP(テーブル2[[#This Row],[P]])</f>
        <v>2643264.389866509</v>
      </c>
      <c r="G47">
        <f t="array" ref="G47">HfFromP(テーブル2[[#This Row],[P]])</f>
        <v>1562686.9740257829</v>
      </c>
      <c r="H47">
        <f t="array" ref="H47">MuGFromP(テーブル2[[#This Row],[P]])</f>
        <v>2.2019594042733509E-5</v>
      </c>
      <c r="I47">
        <f t="array" ref="I47">MuFFromP(テーブル2[[#This Row],[P]])</f>
        <v>7.2223252690249831E-5</v>
      </c>
      <c r="J47">
        <f t="array" ref="J47">KfFromP(テーブル2[[#This Row],[P]])</f>
        <v>0.4911212487937569</v>
      </c>
      <c r="K47">
        <f t="array" ref="K47">CpFFromP(テーブル2[[#This Row],[P]])</f>
        <v>7679.7516396704104</v>
      </c>
      <c r="L47">
        <f t="array" ref="L47">SigmaFromP(テーブル2[[#This Row],[P]])</f>
        <v>6.5036382888884548E-3</v>
      </c>
      <c r="M47">
        <v>46</v>
      </c>
      <c r="N47">
        <v>2793.36</v>
      </c>
      <c r="O47" s="8">
        <v>1.753005194685703E-5</v>
      </c>
      <c r="P47" s="8">
        <v>1.484214033261962E-2</v>
      </c>
      <c r="Q47" s="8">
        <v>4.7244000000000001E-3</v>
      </c>
      <c r="R47">
        <v>0.30480000000000002</v>
      </c>
      <c r="S47" s="15">
        <v>3194468.84765625</v>
      </c>
      <c r="T47">
        <v>532.84871111815698</v>
      </c>
      <c r="U47" s="12">
        <f>+T47+BG47*S47*テーブル2[[#This Row],[Pw]]*R47/(N47*O47*K47)</f>
        <v>571.27716089754199</v>
      </c>
      <c r="V47">
        <v>0.03</v>
      </c>
      <c r="W47" s="8">
        <f t="shared" si="0"/>
        <v>182724.39266338383</v>
      </c>
      <c r="X47">
        <v>2.6791029954928849E-2</v>
      </c>
      <c r="Y47">
        <f t="shared" si="1"/>
        <v>6.1094947370234438</v>
      </c>
      <c r="Z47">
        <f t="shared" si="2"/>
        <v>6.1094947413837088</v>
      </c>
      <c r="AA47">
        <f t="shared" si="3"/>
        <v>-4.3602650379170882E-9</v>
      </c>
      <c r="AB47">
        <f t="shared" si="4"/>
        <v>1.8662570795930837E-5</v>
      </c>
      <c r="AC47">
        <v>670.80915998037597</v>
      </c>
      <c r="AD47">
        <f t="shared" si="5"/>
        <v>5287.0843949454547</v>
      </c>
      <c r="AE47">
        <f>+gettm2(AD47,AC47,AK47,AL47,テーブル2[[#This Row],[Fcorr]])</f>
        <v>571.27716160563341</v>
      </c>
      <c r="AF47" s="14">
        <f t="shared" si="6"/>
        <v>7.080914201651467E-7</v>
      </c>
      <c r="AG47">
        <v>1.8727602180165032E-5</v>
      </c>
      <c r="AH47">
        <f t="shared" si="7"/>
        <v>41.818279121372711</v>
      </c>
      <c r="AI47">
        <f t="shared" si="8"/>
        <v>0.25869589398715137</v>
      </c>
      <c r="AJ47">
        <f t="shared" si="9"/>
        <v>41.916185437937941</v>
      </c>
      <c r="AK47">
        <f t="array" ref="AK47">+S47*テーブル2[[#This Row],[F_form]]/(E47*CpFromTP((テーブル2[[#This Row],[Tin]]+テーブル2[[#This Row],[Tf]])/2,テーブル2[[#This Row],[P]])*AI47)</f>
        <v>3.8980248048541877</v>
      </c>
      <c r="AL47">
        <f t="shared" si="10"/>
        <v>1.1293680422758512</v>
      </c>
      <c r="AM47">
        <f t="shared" si="11"/>
        <v>608.6211060617627</v>
      </c>
      <c r="AN47">
        <f t="shared" si="12"/>
        <v>4.0002987589105032E-9</v>
      </c>
      <c r="AO47">
        <f t="shared" si="13"/>
        <v>6.5031384234194166E-8</v>
      </c>
      <c r="AP47">
        <v>3.4164082208842328</v>
      </c>
      <c r="AQ47">
        <f t="shared" si="14"/>
        <v>4.6719991162601319E-5</v>
      </c>
      <c r="AR47">
        <f t="shared" si="15"/>
        <v>9.3963167821996129E-6</v>
      </c>
      <c r="AS47">
        <f t="shared" si="16"/>
        <v>21.030869456071315</v>
      </c>
      <c r="AT47">
        <f t="shared" si="17"/>
        <v>12.179956662338755</v>
      </c>
      <c r="AU47">
        <f t="shared" si="18"/>
        <v>3.1509047774884849</v>
      </c>
      <c r="AV47">
        <f t="shared" si="19"/>
        <v>0.26550344339574794</v>
      </c>
      <c r="AW47">
        <f t="shared" si="20"/>
        <v>1.1220149975666368E-2</v>
      </c>
      <c r="AX47">
        <f t="shared" si="21"/>
        <v>0.26550343388910264</v>
      </c>
      <c r="AY47">
        <f t="shared" si="22"/>
        <v>9.5066453043024524E-9</v>
      </c>
      <c r="AZ47">
        <f t="shared" si="23"/>
        <v>1080577.4158407261</v>
      </c>
      <c r="BA47">
        <f t="shared" si="24"/>
        <v>1.3675178181871158E-5</v>
      </c>
      <c r="BB47" s="15">
        <f t="shared" si="25"/>
        <v>3210945.814826115</v>
      </c>
      <c r="BC47" s="20">
        <f t="shared" si="26"/>
        <v>16476.967169865035</v>
      </c>
      <c r="BD47" s="19">
        <f t="shared" si="27"/>
        <v>0.51579677109557731</v>
      </c>
      <c r="BE47" s="15">
        <v>4164600</v>
      </c>
      <c r="BF47" s="16">
        <f>テーブル2[[#This Row],[q_P]]/テーブル2[[#This Row],[q_M]]</f>
        <v>0.7710094162287171</v>
      </c>
      <c r="BG47">
        <v>1</v>
      </c>
      <c r="BH47">
        <v>-3.9E-2</v>
      </c>
      <c r="BI47">
        <v>4.5999999999999999E-2</v>
      </c>
      <c r="BJ47">
        <v>5625</v>
      </c>
      <c r="BK47" s="22">
        <v>1</v>
      </c>
      <c r="BL47">
        <f>テーブル2[[#This Row],[Ts]]-テーブル2[[#This Row],[Tin]]</f>
        <v>75.772394947606017</v>
      </c>
      <c r="BM47">
        <f>テーブル2[[#This Row],[q_P]]*0.000001</f>
        <v>3.2109458148261147</v>
      </c>
      <c r="BN47">
        <f>テーブル2[[#This Row],[Tsub]]</f>
        <v>75.772394947606017</v>
      </c>
      <c r="BO47">
        <f>テーブル2[[#This Row],[Fcorr]]</f>
        <v>1</v>
      </c>
      <c r="BP47">
        <f>(テーブル2[[#This Row],[Tsub]]-40)^2</f>
        <v>1279.6642402875084</v>
      </c>
      <c r="BQ47">
        <v>1</v>
      </c>
      <c r="BR47">
        <v>0.30480000000000002</v>
      </c>
    </row>
    <row r="48" spans="1:70" x14ac:dyDescent="0.15">
      <c r="A48" s="9" t="s">
        <v>116</v>
      </c>
      <c r="B48">
        <v>13789520</v>
      </c>
      <c r="C48" s="22">
        <f t="array" ref="C48">TsatFromP(テーブル2[[#This Row],[P]])</f>
        <v>608.621106065763</v>
      </c>
      <c r="D48">
        <f t="array" ref="D48">RhoGFromP(テーブル2[[#This Row],[P]])</f>
        <v>85.147893581579396</v>
      </c>
      <c r="E48">
        <f t="array" ref="E48">RhoFFromP(テーブル2[[#This Row],[P]])</f>
        <v>624.86627494838649</v>
      </c>
      <c r="F48">
        <f t="array" ref="F48">HgFromP(テーブル2[[#This Row],[P]])</f>
        <v>2643264.389866509</v>
      </c>
      <c r="G48">
        <f t="array" ref="G48">HfFromP(テーブル2[[#This Row],[P]])</f>
        <v>1562686.9740257829</v>
      </c>
      <c r="H48">
        <f t="array" ref="H48">MuGFromP(テーブル2[[#This Row],[P]])</f>
        <v>2.2019594042733509E-5</v>
      </c>
      <c r="I48">
        <f t="array" ref="I48">MuFFromP(テーブル2[[#This Row],[P]])</f>
        <v>7.2223252690249831E-5</v>
      </c>
      <c r="J48">
        <f t="array" ref="J48">KfFromP(テーブル2[[#This Row],[P]])</f>
        <v>0.4911212487937569</v>
      </c>
      <c r="K48">
        <f t="array" ref="K48">CpFFromP(テーブル2[[#This Row],[P]])</f>
        <v>7679.7516396704104</v>
      </c>
      <c r="L48">
        <f t="array" ref="L48">SigmaFromP(テーブル2[[#This Row],[P]])</f>
        <v>6.5036382888884548E-3</v>
      </c>
      <c r="M48" s="23">
        <v>47</v>
      </c>
      <c r="N48">
        <v>2797.4279999999999</v>
      </c>
      <c r="O48" s="8">
        <v>1.753005194685703E-5</v>
      </c>
      <c r="P48" s="8">
        <v>1.484214033261962E-2</v>
      </c>
      <c r="Q48" s="8">
        <v>4.7244000000000001E-3</v>
      </c>
      <c r="R48">
        <v>0.30480000000000002</v>
      </c>
      <c r="S48" s="15">
        <v>3260827.3592812498</v>
      </c>
      <c r="T48">
        <v>531.212292416884</v>
      </c>
      <c r="U48" s="12">
        <f>+T48+BG48*S48*テーブル2[[#This Row],[Pw]]*R48/(N48*O48*K48)</f>
        <v>570.38197087987282</v>
      </c>
      <c r="V48">
        <v>0.03</v>
      </c>
      <c r="W48" s="8">
        <f t="shared" si="0"/>
        <v>182990.49614784503</v>
      </c>
      <c r="X48">
        <v>2.6774422788588031E-2</v>
      </c>
      <c r="Y48">
        <f t="shared" si="1"/>
        <v>6.1113891880796576</v>
      </c>
      <c r="Z48">
        <f t="shared" si="2"/>
        <v>6.1113891921477066</v>
      </c>
      <c r="AA48">
        <f t="shared" si="3"/>
        <v>-4.0680490087652288E-9</v>
      </c>
      <c r="AB48">
        <f t="shared" si="4"/>
        <v>1.8619874352375474E-5</v>
      </c>
      <c r="AC48">
        <v>672.25132062481987</v>
      </c>
      <c r="AD48">
        <f t="shared" si="5"/>
        <v>5293.1427183207506</v>
      </c>
      <c r="AE48">
        <f>+gettm2(AD48,AC48,AK48,AL48,テーブル2[[#This Row],[Fcorr]])</f>
        <v>570.38197160238599</v>
      </c>
      <c r="AF48" s="14">
        <f t="shared" si="6"/>
        <v>7.225131639643223E-7</v>
      </c>
      <c r="AG48">
        <v>1.8685445573508511E-5</v>
      </c>
      <c r="AH48">
        <f t="shared" si="7"/>
        <v>41.91417084224571</v>
      </c>
      <c r="AI48">
        <f t="shared" si="8"/>
        <v>0.25899232643735659</v>
      </c>
      <c r="AJ48">
        <f t="shared" si="9"/>
        <v>41.86975284734369</v>
      </c>
      <c r="AK48">
        <f t="array" ref="AK48">+S48*テーブル2[[#This Row],[F_form]]/(E48*CpFromTP((テーブル2[[#This Row],[Tin]]+テーブル2[[#This Row],[Tf]])/2,テーブル2[[#This Row],[P]])*AI48)</f>
        <v>3.9891140779874368</v>
      </c>
      <c r="AL48">
        <f t="shared" si="10"/>
        <v>1.1293680422758512</v>
      </c>
      <c r="AM48">
        <f t="shared" si="11"/>
        <v>608.62110606193198</v>
      </c>
      <c r="AN48">
        <f t="shared" si="12"/>
        <v>3.831019057543017E-9</v>
      </c>
      <c r="AO48">
        <f t="shared" si="13"/>
        <v>6.5571221133037066E-8</v>
      </c>
      <c r="AP48">
        <v>3.418752802695344</v>
      </c>
      <c r="AQ48">
        <f t="shared" si="14"/>
        <v>4.6655931965035594E-5</v>
      </c>
      <c r="AR48">
        <f t="shared" si="15"/>
        <v>9.3755083973207741E-6</v>
      </c>
      <c r="AS48">
        <f t="shared" si="16"/>
        <v>21.008341378305605</v>
      </c>
      <c r="AT48">
        <f t="shared" si="17"/>
        <v>12.174597836738785</v>
      </c>
      <c r="AU48">
        <f t="shared" si="18"/>
        <v>3.1531274171761869</v>
      </c>
      <c r="AV48">
        <f t="shared" si="19"/>
        <v>0.26562538551915704</v>
      </c>
      <c r="AW48">
        <f t="shared" si="20"/>
        <v>1.1194480387839637E-2</v>
      </c>
      <c r="AX48">
        <f t="shared" si="21"/>
        <v>0.26562537592395391</v>
      </c>
      <c r="AY48">
        <f t="shared" si="22"/>
        <v>9.5952031320400977E-9</v>
      </c>
      <c r="AZ48">
        <f t="shared" si="23"/>
        <v>1080577.4158407261</v>
      </c>
      <c r="BA48">
        <f t="shared" si="24"/>
        <v>1.3647062147415884E-5</v>
      </c>
      <c r="BB48" s="15">
        <f t="shared" si="25"/>
        <v>3244270.6269635181</v>
      </c>
      <c r="BC48" s="20">
        <f t="shared" si="26"/>
        <v>-16556.732317731716</v>
      </c>
      <c r="BD48" s="19">
        <f t="shared" si="27"/>
        <v>-0.50774636291634723</v>
      </c>
      <c r="BE48" s="15">
        <v>4312885</v>
      </c>
      <c r="BF48" s="16">
        <f>テーブル2[[#This Row],[q_P]]/テーブル2[[#This Row],[q_M]]</f>
        <v>0.75222748275539875</v>
      </c>
      <c r="BG48">
        <v>1</v>
      </c>
      <c r="BH48">
        <v>-3.5999999999999997E-2</v>
      </c>
      <c r="BI48">
        <v>4.5999999999999999E-2</v>
      </c>
      <c r="BJ48">
        <v>5625</v>
      </c>
      <c r="BK48" s="22">
        <v>1</v>
      </c>
      <c r="BL48">
        <f>テーブル2[[#This Row],[Ts]]-テーブル2[[#This Row],[Tin]]</f>
        <v>77.408813648879004</v>
      </c>
      <c r="BM48">
        <f>テーブル2[[#This Row],[q_P]]*0.000001</f>
        <v>3.2442706269635178</v>
      </c>
      <c r="BN48">
        <f>テーブル2[[#This Row],[Tsub]]</f>
        <v>77.408813648879004</v>
      </c>
      <c r="BO48">
        <f>テーブル2[[#This Row],[Fcorr]]</f>
        <v>1</v>
      </c>
      <c r="BP48">
        <f>(テーブル2[[#This Row],[Tsub]]-40)^2</f>
        <v>1399.4193386165562</v>
      </c>
      <c r="BQ48">
        <v>1</v>
      </c>
      <c r="BR48">
        <v>0.30480000000000002</v>
      </c>
    </row>
    <row r="49" spans="1:70" x14ac:dyDescent="0.15">
      <c r="A49" s="9" t="s">
        <v>117</v>
      </c>
      <c r="B49">
        <v>13789520</v>
      </c>
      <c r="C49" s="22">
        <f t="array" ref="C49">TsatFromP(テーブル2[[#This Row],[P]])</f>
        <v>608.621106065763</v>
      </c>
      <c r="D49">
        <f t="array" ref="D49">RhoGFromP(テーブル2[[#This Row],[P]])</f>
        <v>85.147893581579396</v>
      </c>
      <c r="E49">
        <f t="array" ref="E49">RhoFFromP(テーブル2[[#This Row],[P]])</f>
        <v>624.86627494838649</v>
      </c>
      <c r="F49">
        <f t="array" ref="F49">HgFromP(テーブル2[[#This Row],[P]])</f>
        <v>2643264.389866509</v>
      </c>
      <c r="G49">
        <f t="array" ref="G49">HfFromP(テーブル2[[#This Row],[P]])</f>
        <v>1562686.9740257829</v>
      </c>
      <c r="H49">
        <f t="array" ref="H49">MuGFromP(テーブル2[[#This Row],[P]])</f>
        <v>2.2019594042733509E-5</v>
      </c>
      <c r="I49">
        <f t="array" ref="I49">MuFFromP(テーブル2[[#This Row],[P]])</f>
        <v>7.2223252690249831E-5</v>
      </c>
      <c r="J49">
        <f t="array" ref="J49">KfFromP(テーブル2[[#This Row],[P]])</f>
        <v>0.4911212487937569</v>
      </c>
      <c r="K49">
        <f t="array" ref="K49">CpFFromP(テーブル2[[#This Row],[P]])</f>
        <v>7679.7516396704104</v>
      </c>
      <c r="L49">
        <f t="array" ref="L49">SigmaFromP(テーブル2[[#This Row],[P]])</f>
        <v>6.5036382888884548E-3</v>
      </c>
      <c r="M49">
        <v>48</v>
      </c>
      <c r="N49">
        <v>2797.4279999999999</v>
      </c>
      <c r="O49" s="8">
        <v>1.753005194685703E-5</v>
      </c>
      <c r="P49" s="8">
        <v>1.484214033261962E-2</v>
      </c>
      <c r="Q49" s="8">
        <v>4.7244000000000001E-3</v>
      </c>
      <c r="R49">
        <v>0.30480000000000002</v>
      </c>
      <c r="S49" s="15">
        <v>3197649.12109375</v>
      </c>
      <c r="T49">
        <v>532.84871111815698</v>
      </c>
      <c r="U49" s="12">
        <f>+T49+BG49*S49*テーブル2[[#This Row],[Pw]]*R49/(N49*O49*K49)</f>
        <v>571.25948056726656</v>
      </c>
      <c r="V49">
        <v>0.03</v>
      </c>
      <c r="W49" s="8">
        <f t="shared" si="0"/>
        <v>182990.49614784503</v>
      </c>
      <c r="X49">
        <v>2.6774422788588031E-2</v>
      </c>
      <c r="Y49">
        <f t="shared" si="1"/>
        <v>6.1113891880796576</v>
      </c>
      <c r="Z49">
        <f t="shared" si="2"/>
        <v>6.1113891921477066</v>
      </c>
      <c r="AA49">
        <f t="shared" si="3"/>
        <v>-4.0680490087652288E-9</v>
      </c>
      <c r="AB49">
        <f t="shared" si="4"/>
        <v>1.8619874352375474E-5</v>
      </c>
      <c r="AC49">
        <v>670.79036822069588</v>
      </c>
      <c r="AD49">
        <f t="shared" si="5"/>
        <v>5293.1427183207506</v>
      </c>
      <c r="AE49">
        <f>+gettm2(AD49,AC49,AK49,AL49,テーブル2[[#This Row],[Fcorr]])</f>
        <v>571.25948056726645</v>
      </c>
      <c r="AF49" s="14">
        <f t="shared" si="6"/>
        <v>0</v>
      </c>
      <c r="AG49">
        <v>1.8684890784234128E-5</v>
      </c>
      <c r="AH49">
        <f t="shared" si="7"/>
        <v>41.91417084224571</v>
      </c>
      <c r="AI49">
        <f t="shared" si="8"/>
        <v>0.25899232643735659</v>
      </c>
      <c r="AJ49">
        <f t="shared" si="9"/>
        <v>41.868509693162046</v>
      </c>
      <c r="AK49">
        <f t="array" ref="AK49">+S49*テーブル2[[#This Row],[F_form]]/(E49*CpFromTP((テーブル2[[#This Row],[Tin]]+テーブル2[[#This Row],[Tf]])/2,テーブル2[[#This Row],[P]])*AI49)</f>
        <v>3.8975419882721014</v>
      </c>
      <c r="AL49">
        <f t="shared" si="10"/>
        <v>1.1293680422758512</v>
      </c>
      <c r="AM49">
        <f t="shared" si="11"/>
        <v>608.62110606202475</v>
      </c>
      <c r="AN49">
        <f t="shared" si="12"/>
        <v>3.7382505979621783E-9</v>
      </c>
      <c r="AO49">
        <f t="shared" si="13"/>
        <v>6.5016431858654457E-8</v>
      </c>
      <c r="AP49">
        <v>3.418681696763231</v>
      </c>
      <c r="AQ49">
        <f t="shared" si="14"/>
        <v>4.6657872799735105E-5</v>
      </c>
      <c r="AR49">
        <f t="shared" si="15"/>
        <v>9.3749536080463914E-6</v>
      </c>
      <c r="AS49">
        <f t="shared" si="16"/>
        <v>21.007098224123954</v>
      </c>
      <c r="AT49">
        <f t="shared" si="17"/>
        <v>12.17430195641627</v>
      </c>
      <c r="AU49">
        <f t="shared" si="18"/>
        <v>3.1530507864431119</v>
      </c>
      <c r="AV49">
        <f t="shared" si="19"/>
        <v>0.2656309103201191</v>
      </c>
      <c r="AW49">
        <f t="shared" si="20"/>
        <v>1.1194480387839637E-2</v>
      </c>
      <c r="AX49">
        <f t="shared" si="21"/>
        <v>0.26563090072609208</v>
      </c>
      <c r="AY49">
        <f t="shared" si="22"/>
        <v>9.594027017278961E-9</v>
      </c>
      <c r="AZ49">
        <f t="shared" si="23"/>
        <v>1080577.4158407261</v>
      </c>
      <c r="BA49">
        <f t="shared" si="24"/>
        <v>1.3647913710103591E-5</v>
      </c>
      <c r="BB49" s="15">
        <f t="shared" si="25"/>
        <v>3216620.5761271496</v>
      </c>
      <c r="BC49" s="20">
        <f t="shared" si="26"/>
        <v>18971.45503339963</v>
      </c>
      <c r="BD49" s="19">
        <f t="shared" si="27"/>
        <v>0.59329383290529636</v>
      </c>
      <c r="BE49" s="15">
        <v>4259250</v>
      </c>
      <c r="BF49" s="16">
        <f>テーブル2[[#This Row],[q_P]]/テーブル2[[#This Row],[q_M]]</f>
        <v>0.75520821180422604</v>
      </c>
      <c r="BG49">
        <v>1</v>
      </c>
      <c r="BH49">
        <v>-3.3000000000000002E-2</v>
      </c>
      <c r="BI49">
        <v>4.5999999999999999E-2</v>
      </c>
      <c r="BJ49">
        <v>5625</v>
      </c>
      <c r="BK49" s="22">
        <v>1</v>
      </c>
      <c r="BL49">
        <f>テーブル2[[#This Row],[Ts]]-テーブル2[[#This Row],[Tin]]</f>
        <v>75.772394947606017</v>
      </c>
      <c r="BM49">
        <f>テーブル2[[#This Row],[q_P]]*0.000001</f>
        <v>3.2166205761271494</v>
      </c>
      <c r="BN49">
        <f>テーブル2[[#This Row],[Tsub]]</f>
        <v>75.772394947606017</v>
      </c>
      <c r="BO49">
        <f>テーブル2[[#This Row],[Fcorr]]</f>
        <v>1</v>
      </c>
      <c r="BP49">
        <f>(テーブル2[[#This Row],[Tsub]]-40)^2</f>
        <v>1279.6642402875084</v>
      </c>
      <c r="BQ49">
        <v>1</v>
      </c>
      <c r="BR49">
        <v>0.30480000000000002</v>
      </c>
    </row>
    <row r="50" spans="1:70" x14ac:dyDescent="0.15">
      <c r="A50" s="9" t="s">
        <v>118</v>
      </c>
      <c r="B50">
        <v>13789520</v>
      </c>
      <c r="C50" s="22">
        <f t="array" ref="C50">TsatFromP(テーブル2[[#This Row],[P]])</f>
        <v>608.621106065763</v>
      </c>
      <c r="D50">
        <f t="array" ref="D50">RhoGFromP(テーブル2[[#This Row],[P]])</f>
        <v>85.147893581579396</v>
      </c>
      <c r="E50">
        <f t="array" ref="E50">RhoFFromP(テーブル2[[#This Row],[P]])</f>
        <v>624.86627494838649</v>
      </c>
      <c r="F50">
        <f t="array" ref="F50">HgFromP(テーブル2[[#This Row],[P]])</f>
        <v>2643264.389866509</v>
      </c>
      <c r="G50">
        <f t="array" ref="G50">HfFromP(テーブル2[[#This Row],[P]])</f>
        <v>1562686.9740257829</v>
      </c>
      <c r="H50">
        <f t="array" ref="H50">MuGFromP(テーブル2[[#This Row],[P]])</f>
        <v>2.2019594042733509E-5</v>
      </c>
      <c r="I50">
        <f t="array" ref="I50">MuFFromP(テーブル2[[#This Row],[P]])</f>
        <v>7.2223252690249831E-5</v>
      </c>
      <c r="J50">
        <f t="array" ref="J50">KfFromP(テーブル2[[#This Row],[P]])</f>
        <v>0.4911212487937569</v>
      </c>
      <c r="K50">
        <f t="array" ref="K50">CpFFromP(テーブル2[[#This Row],[P]])</f>
        <v>7679.7516396704104</v>
      </c>
      <c r="L50">
        <f t="array" ref="L50">SigmaFromP(テーブル2[[#This Row],[P]])</f>
        <v>6.5036382888884548E-3</v>
      </c>
      <c r="M50" s="23">
        <v>49</v>
      </c>
      <c r="N50">
        <v>2820.48</v>
      </c>
      <c r="O50" s="8">
        <v>1.753005194685703E-5</v>
      </c>
      <c r="P50" s="8">
        <v>1.484214033261962E-2</v>
      </c>
      <c r="Q50" s="8">
        <v>4.7244000000000001E-3</v>
      </c>
      <c r="R50">
        <v>0.30480000000000002</v>
      </c>
      <c r="S50" s="15">
        <v>3252995.5644062501</v>
      </c>
      <c r="T50">
        <v>531.88681381594404</v>
      </c>
      <c r="U50" s="12">
        <f>+T50+BG50*S50*テーブル2[[#This Row],[Pw]]*R50/(N50*O50*K50)</f>
        <v>570.64304737276007</v>
      </c>
      <c r="V50">
        <v>0.03</v>
      </c>
      <c r="W50" s="8">
        <f t="shared" si="0"/>
        <v>184498.41589312538</v>
      </c>
      <c r="X50">
        <v>2.6681050006293078E-2</v>
      </c>
      <c r="Y50">
        <f t="shared" si="1"/>
        <v>6.122073532103383</v>
      </c>
      <c r="Z50">
        <f t="shared" si="2"/>
        <v>6.1220735346897976</v>
      </c>
      <c r="AA50">
        <f t="shared" si="3"/>
        <v>-2.5864146380172315E-9</v>
      </c>
      <c r="AB50">
        <f t="shared" si="4"/>
        <v>1.8380855977977677E-5</v>
      </c>
      <c r="AC50">
        <v>671.54082908773955</v>
      </c>
      <c r="AD50">
        <f t="shared" si="5"/>
        <v>5327.4466695021138</v>
      </c>
      <c r="AE50">
        <f>+gettm2(AD50,AC50,AK50,AL50,テーブル2[[#This Row],[Fcorr]])</f>
        <v>570.64304737276007</v>
      </c>
      <c r="AF50" s="14">
        <f t="shared" si="6"/>
        <v>0</v>
      </c>
      <c r="AG50">
        <v>1.8445927182149329E-5</v>
      </c>
      <c r="AH50">
        <f t="shared" si="7"/>
        <v>42.459208406924304</v>
      </c>
      <c r="AI50">
        <f t="shared" si="8"/>
        <v>0.26067081133664027</v>
      </c>
      <c r="AJ50">
        <f t="shared" si="9"/>
        <v>41.600920045897873</v>
      </c>
      <c r="AK50">
        <f t="array" ref="AK50">+S50*テーブル2[[#This Row],[F_form]]/(E50*CpFromTP((テーブル2[[#This Row],[Tin]]+テーブル2[[#This Row],[Tf]])/2,テーブル2[[#This Row],[P]])*AI50)</f>
        <v>3.9485581617130681</v>
      </c>
      <c r="AL50">
        <f t="shared" si="10"/>
        <v>1.1293680422758512</v>
      </c>
      <c r="AM50">
        <f t="shared" si="11"/>
        <v>608.62110602400696</v>
      </c>
      <c r="AN50">
        <f t="shared" si="12"/>
        <v>4.1756038626772352E-8</v>
      </c>
      <c r="AO50">
        <f t="shared" si="13"/>
        <v>6.5071204171651822E-8</v>
      </c>
      <c r="AP50">
        <v>3.4315413722966439</v>
      </c>
      <c r="AQ50">
        <f t="shared" si="14"/>
        <v>4.6308827992754375E-5</v>
      </c>
      <c r="AR50">
        <f t="shared" si="15"/>
        <v>9.2554991931604904E-6</v>
      </c>
      <c r="AS50">
        <f t="shared" si="16"/>
        <v>20.873837249675034</v>
      </c>
      <c r="AT50">
        <f t="shared" si="17"/>
        <v>12.142482842856063</v>
      </c>
      <c r="AU50">
        <f t="shared" si="18"/>
        <v>3.1651908542885243</v>
      </c>
      <c r="AV50">
        <f t="shared" si="19"/>
        <v>0.2663505180081196</v>
      </c>
      <c r="AW50">
        <f t="shared" si="20"/>
        <v>1.1050779820698693E-2</v>
      </c>
      <c r="AX50">
        <f t="shared" si="21"/>
        <v>0.26635050794193182</v>
      </c>
      <c r="AY50">
        <f t="shared" si="22"/>
        <v>1.0066187772217461E-8</v>
      </c>
      <c r="AZ50">
        <f t="shared" si="23"/>
        <v>1080577.4158407261</v>
      </c>
      <c r="BA50">
        <f t="shared" si="24"/>
        <v>1.349505163091216E-5</v>
      </c>
      <c r="BB50" s="15">
        <f t="shared" si="25"/>
        <v>3255796.6005586241</v>
      </c>
      <c r="BC50" s="20">
        <f t="shared" si="26"/>
        <v>2801.0361523739994</v>
      </c>
      <c r="BD50" s="19">
        <f t="shared" si="27"/>
        <v>8.610636248700991E-2</v>
      </c>
      <c r="BE50" s="15">
        <v>4284490</v>
      </c>
      <c r="BF50" s="16">
        <f>テーブル2[[#This Row],[q_P]]/テーブル2[[#This Row],[q_M]]</f>
        <v>0.75990295240708328</v>
      </c>
      <c r="BG50">
        <v>1</v>
      </c>
      <c r="BH50">
        <v>-3.9E-2</v>
      </c>
      <c r="BI50">
        <v>4.5999999999999999E-2</v>
      </c>
      <c r="BJ50">
        <v>5625</v>
      </c>
      <c r="BK50" s="22">
        <v>1</v>
      </c>
      <c r="BL50">
        <f>テーブル2[[#This Row],[Ts]]-テーブル2[[#This Row],[Tin]]</f>
        <v>76.734292249818964</v>
      </c>
      <c r="BM50">
        <f>テーブル2[[#This Row],[q_P]]*0.000001</f>
        <v>3.2557966005586239</v>
      </c>
      <c r="BN50">
        <f>テーブル2[[#This Row],[Tsub]]</f>
        <v>76.734292249818964</v>
      </c>
      <c r="BO50">
        <f>テーブル2[[#This Row],[Fcorr]]</f>
        <v>1</v>
      </c>
      <c r="BP50">
        <f>(テーブル2[[#This Row],[Tsub]]-40)^2</f>
        <v>1349.4082270951096</v>
      </c>
      <c r="BQ50">
        <v>1</v>
      </c>
      <c r="BR50">
        <v>0.30480000000000002</v>
      </c>
    </row>
    <row r="51" spans="1:70" x14ac:dyDescent="0.15">
      <c r="A51" s="9" t="s">
        <v>119</v>
      </c>
      <c r="B51">
        <v>13789520</v>
      </c>
      <c r="C51" s="22">
        <f t="array" ref="C51">TsatFromP(テーブル2[[#This Row],[P]])</f>
        <v>608.621106065763</v>
      </c>
      <c r="D51">
        <f t="array" ref="D51">RhoGFromP(テーブル2[[#This Row],[P]])</f>
        <v>85.147893581579396</v>
      </c>
      <c r="E51">
        <f t="array" ref="E51">RhoFFromP(テーブル2[[#This Row],[P]])</f>
        <v>624.86627494838649</v>
      </c>
      <c r="F51">
        <f t="array" ref="F51">HgFromP(テーブル2[[#This Row],[P]])</f>
        <v>2643264.389866509</v>
      </c>
      <c r="G51">
        <f t="array" ref="G51">HfFromP(テーブル2[[#This Row],[P]])</f>
        <v>1562686.9740257829</v>
      </c>
      <c r="H51">
        <f t="array" ref="H51">MuGFromP(テーブル2[[#This Row],[P]])</f>
        <v>2.2019594042733509E-5</v>
      </c>
      <c r="I51">
        <f t="array" ref="I51">MuFFromP(テーブル2[[#This Row],[P]])</f>
        <v>7.2223252690249831E-5</v>
      </c>
      <c r="J51">
        <f t="array" ref="J51">KfFromP(テーブル2[[#This Row],[P]])</f>
        <v>0.4911212487937569</v>
      </c>
      <c r="K51">
        <f t="array" ref="K51">CpFFromP(テーブル2[[#This Row],[P]])</f>
        <v>7679.7516396704104</v>
      </c>
      <c r="L51">
        <f t="array" ref="L51">SigmaFromP(テーブル2[[#This Row],[P]])</f>
        <v>6.5036382888884548E-3</v>
      </c>
      <c r="M51">
        <v>50</v>
      </c>
      <c r="N51">
        <v>2834.04</v>
      </c>
      <c r="O51" s="8">
        <v>1.753005194685703E-5</v>
      </c>
      <c r="P51" s="8">
        <v>1.484214033261962E-2</v>
      </c>
      <c r="Q51" s="8">
        <v>4.7244000000000001E-3</v>
      </c>
      <c r="R51">
        <v>0.30480000000000002</v>
      </c>
      <c r="S51" s="15">
        <v>3312442.9851562502</v>
      </c>
      <c r="T51">
        <v>530.63335550763395</v>
      </c>
      <c r="U51" s="12">
        <f>+T51+BG51*S51*テーブル2[[#This Row],[Pw]]*R51/(N51*O51*K51)</f>
        <v>569.90902113120819</v>
      </c>
      <c r="V51">
        <v>0.03</v>
      </c>
      <c r="W51" s="8">
        <f t="shared" si="0"/>
        <v>185385.42750799618</v>
      </c>
      <c r="X51">
        <v>2.6626700645849221E-2</v>
      </c>
      <c r="Y51">
        <f t="shared" si="1"/>
        <v>6.1283184133100876</v>
      </c>
      <c r="Z51">
        <f t="shared" si="2"/>
        <v>6.1283184151948129</v>
      </c>
      <c r="AA51">
        <f t="shared" si="3"/>
        <v>-1.8847252647447021E-9</v>
      </c>
      <c r="AB51">
        <f t="shared" si="4"/>
        <v>1.8242543520100491E-5</v>
      </c>
      <c r="AC51">
        <v>672.59475334738931</v>
      </c>
      <c r="AD51">
        <f t="shared" si="5"/>
        <v>5347.6045173894245</v>
      </c>
      <c r="AE51">
        <f>+gettm2(AD51,AC51,AK51,AL51,テーブル2[[#This Row],[Fcorr]])</f>
        <v>569.90902185715561</v>
      </c>
      <c r="AF51" s="14">
        <f t="shared" si="6"/>
        <v>7.2594741595821688E-7</v>
      </c>
      <c r="AG51">
        <v>1.830833352154118E-5</v>
      </c>
      <c r="AH51">
        <f t="shared" si="7"/>
        <v>42.781128289851303</v>
      </c>
      <c r="AI51">
        <f t="shared" si="8"/>
        <v>0.26165713046652783</v>
      </c>
      <c r="AJ51">
        <f t="shared" si="9"/>
        <v>41.446840676346554</v>
      </c>
      <c r="AK51">
        <f t="array" ref="AK51">+S51*テーブル2[[#This Row],[F_form]]/(E51*CpFromTP((テーブル2[[#This Row],[Tin]]+テーブル2[[#This Row],[Tf]])/2,テーブル2[[#This Row],[P]])*AI51)</f>
        <v>4.0170362337640801</v>
      </c>
      <c r="AL51">
        <f t="shared" si="10"/>
        <v>1.1293680422758512</v>
      </c>
      <c r="AM51">
        <f t="shared" si="11"/>
        <v>608.62110605263615</v>
      </c>
      <c r="AN51">
        <f t="shared" si="12"/>
        <v>1.3126850717526395E-8</v>
      </c>
      <c r="AO51">
        <f t="shared" si="13"/>
        <v>6.5790001440689126E-8</v>
      </c>
      <c r="AP51">
        <v>3.439164142795204</v>
      </c>
      <c r="AQ51">
        <f t="shared" si="14"/>
        <v>4.6103772144158659E-5</v>
      </c>
      <c r="AR51">
        <f t="shared" si="15"/>
        <v>9.1870617614909346E-6</v>
      </c>
      <c r="AS51">
        <f t="shared" si="16"/>
        <v>20.797888822828114</v>
      </c>
      <c r="AT51">
        <f t="shared" si="17"/>
        <v>12.124257413267078</v>
      </c>
      <c r="AU51">
        <f t="shared" si="18"/>
        <v>3.1723984037929909</v>
      </c>
      <c r="AV51">
        <f t="shared" si="19"/>
        <v>0.26676573900221312</v>
      </c>
      <c r="AW51">
        <f t="shared" si="20"/>
        <v>1.0967624796781868E-2</v>
      </c>
      <c r="AX51">
        <f t="shared" si="21"/>
        <v>0.2667657286787396</v>
      </c>
      <c r="AY51">
        <f t="shared" si="22"/>
        <v>1.0323473520479354E-8</v>
      </c>
      <c r="AZ51">
        <f t="shared" si="23"/>
        <v>1080577.4158407261</v>
      </c>
      <c r="BA51">
        <f t="shared" si="24"/>
        <v>1.3405516640065776E-5</v>
      </c>
      <c r="BB51" s="15">
        <f t="shared" si="25"/>
        <v>3313746.7290742234</v>
      </c>
      <c r="BC51" s="20">
        <f t="shared" si="26"/>
        <v>1303.7439179732464</v>
      </c>
      <c r="BD51" s="19">
        <f t="shared" si="27"/>
        <v>3.9358984405636434E-2</v>
      </c>
      <c r="BE51" s="15">
        <v>4290800</v>
      </c>
      <c r="BF51" s="16">
        <f>テーブル2[[#This Row],[q_P]]/テーブル2[[#This Row],[q_M]]</f>
        <v>0.77229111799063654</v>
      </c>
      <c r="BG51">
        <v>1</v>
      </c>
      <c r="BH51">
        <v>-4.4999999999999998E-2</v>
      </c>
      <c r="BI51">
        <v>4.5999999999999999E-2</v>
      </c>
      <c r="BJ51">
        <v>5625</v>
      </c>
      <c r="BK51" s="22">
        <v>1</v>
      </c>
      <c r="BL51">
        <f>テーブル2[[#This Row],[Ts]]-テーブル2[[#This Row],[Tin]]</f>
        <v>77.987750558129051</v>
      </c>
      <c r="BM51">
        <f>テーブル2[[#This Row],[q_P]]*0.000001</f>
        <v>3.3137467290742233</v>
      </c>
      <c r="BN51">
        <f>テーブル2[[#This Row],[Tsub]]</f>
        <v>77.987750558129051</v>
      </c>
      <c r="BO51">
        <f>テーブル2[[#This Row],[Fcorr]]</f>
        <v>1</v>
      </c>
      <c r="BP51">
        <f>(テーブル2[[#This Row],[Tsub]]-40)^2</f>
        <v>1443.0691924666339</v>
      </c>
      <c r="BQ51">
        <v>1</v>
      </c>
      <c r="BR51">
        <v>0.30480000000000002</v>
      </c>
    </row>
    <row r="52" spans="1:70" x14ac:dyDescent="0.15">
      <c r="A52" s="9" t="s">
        <v>120</v>
      </c>
      <c r="B52">
        <v>13789520</v>
      </c>
      <c r="C52" s="22">
        <f t="array" ref="C52">TsatFromP(テーブル2[[#This Row],[P]])</f>
        <v>608.621106065763</v>
      </c>
      <c r="D52">
        <f t="array" ref="D52">RhoGFromP(テーブル2[[#This Row],[P]])</f>
        <v>85.147893581579396</v>
      </c>
      <c r="E52">
        <f t="array" ref="E52">RhoFFromP(テーブル2[[#This Row],[P]])</f>
        <v>624.86627494838649</v>
      </c>
      <c r="F52">
        <f t="array" ref="F52">HgFromP(テーブル2[[#This Row],[P]])</f>
        <v>2643264.389866509</v>
      </c>
      <c r="G52">
        <f t="array" ref="G52">HfFromP(テーブル2[[#This Row],[P]])</f>
        <v>1562686.9740257829</v>
      </c>
      <c r="H52">
        <f t="array" ref="H52">MuGFromP(テーブル2[[#This Row],[P]])</f>
        <v>2.2019594042733509E-5</v>
      </c>
      <c r="I52">
        <f t="array" ref="I52">MuFFromP(テーブル2[[#This Row],[P]])</f>
        <v>7.2223252690249831E-5</v>
      </c>
      <c r="J52">
        <f t="array" ref="J52">KfFromP(テーブル2[[#This Row],[P]])</f>
        <v>0.4911212487937569</v>
      </c>
      <c r="K52">
        <f t="array" ref="K52">CpFFromP(テーブル2[[#This Row],[P]])</f>
        <v>7679.7516396704104</v>
      </c>
      <c r="L52">
        <f t="array" ref="L52">SigmaFromP(テーブル2[[#This Row],[P]])</f>
        <v>6.5036382888884548E-3</v>
      </c>
      <c r="M52" s="23">
        <v>51</v>
      </c>
      <c r="N52">
        <v>3417.12</v>
      </c>
      <c r="O52" s="8">
        <v>1.753005194685703E-5</v>
      </c>
      <c r="P52" s="8">
        <v>1.484214033261962E-2</v>
      </c>
      <c r="Q52" s="8">
        <v>4.7244000000000001E-3</v>
      </c>
      <c r="R52">
        <v>0.30480000000000002</v>
      </c>
      <c r="S52" s="15">
        <v>5960589.16015625</v>
      </c>
      <c r="T52">
        <v>479.48806170427099</v>
      </c>
      <c r="U52" s="12">
        <f>+T52+BG52*S52*テーブル2[[#This Row],[Pw]]*R52/(N52*O52*K52)</f>
        <v>538.10323808447436</v>
      </c>
      <c r="V52">
        <v>0.03</v>
      </c>
      <c r="W52" s="8">
        <f t="shared" si="0"/>
        <v>223526.92694744034</v>
      </c>
      <c r="X52">
        <v>2.4627077270517571E-2</v>
      </c>
      <c r="Y52">
        <f t="shared" si="1"/>
        <v>6.3722611146904056</v>
      </c>
      <c r="Z52">
        <f t="shared" si="2"/>
        <v>6.3722611346379638</v>
      </c>
      <c r="AA52">
        <f t="shared" si="3"/>
        <v>-1.9947558271837806E-8</v>
      </c>
      <c r="AB52">
        <f t="shared" si="4"/>
        <v>1.3566923130281626E-5</v>
      </c>
      <c r="AC52">
        <v>714.44332840131506</v>
      </c>
      <c r="AD52">
        <f t="shared" si="5"/>
        <v>6200.9937672651495</v>
      </c>
      <c r="AE52">
        <f>+gettm2(AD52,AC52,AK52,AL52,テーブル2[[#This Row],[Fcorr]])</f>
        <v>538.10323922890757</v>
      </c>
      <c r="AF52" s="14">
        <f t="shared" si="6"/>
        <v>1.1444332130849943E-6</v>
      </c>
      <c r="AG52">
        <v>1.3659173278012091E-5</v>
      </c>
      <c r="AH52">
        <f t="shared" si="7"/>
        <v>57.524951469995827</v>
      </c>
      <c r="AI52">
        <f t="shared" si="8"/>
        <v>0.3034132815744397</v>
      </c>
      <c r="AJ52">
        <f t="shared" si="9"/>
        <v>35.856594853504212</v>
      </c>
      <c r="AK52">
        <f t="array" ref="AK52">+S52*テーブル2[[#This Row],[F_form]]/(E52*CpFromTP((テーブル2[[#This Row],[Tin]]+テーブル2[[#This Row],[Tf]])/2,テーブル2[[#This Row],[P]])*AI52)</f>
        <v>6.7994398956736362</v>
      </c>
      <c r="AL52">
        <f t="shared" si="10"/>
        <v>1.1293680422758512</v>
      </c>
      <c r="AM52">
        <f t="shared" si="11"/>
        <v>608.62110603707322</v>
      </c>
      <c r="AN52">
        <f t="shared" si="12"/>
        <v>2.8689782993751578E-8</v>
      </c>
      <c r="AO52">
        <f t="shared" si="13"/>
        <v>9.2250147730464749E-8</v>
      </c>
      <c r="AP52">
        <v>3.747515879154951</v>
      </c>
      <c r="AQ52">
        <f t="shared" si="14"/>
        <v>3.8828919449545988E-5</v>
      </c>
      <c r="AR52">
        <f t="shared" si="15"/>
        <v>6.8757117128712778E-6</v>
      </c>
      <c r="AS52">
        <f t="shared" si="16"/>
        <v>18.049380017368037</v>
      </c>
      <c r="AT52">
        <f t="shared" si="17"/>
        <v>11.415556680603643</v>
      </c>
      <c r="AU52">
        <f t="shared" si="18"/>
        <v>3.4636315134609692</v>
      </c>
      <c r="AV52">
        <f t="shared" si="19"/>
        <v>0.28388436569398179</v>
      </c>
      <c r="AW52">
        <f t="shared" si="20"/>
        <v>8.156588601570763E-3</v>
      </c>
      <c r="AX52">
        <f t="shared" si="21"/>
        <v>0.28388436274141421</v>
      </c>
      <c r="AY52">
        <f t="shared" si="22"/>
        <v>2.9525675793173889E-9</v>
      </c>
      <c r="AZ52">
        <f t="shared" si="23"/>
        <v>1080577.4158407261</v>
      </c>
      <c r="BA52">
        <f t="shared" si="24"/>
        <v>1.0361242140567459E-5</v>
      </c>
      <c r="BB52" s="15">
        <f t="shared" si="25"/>
        <v>6011712.7258559726</v>
      </c>
      <c r="BC52" s="20">
        <f t="shared" si="26"/>
        <v>51123.565699722618</v>
      </c>
      <c r="BD52" s="19">
        <f t="shared" si="27"/>
        <v>0.85769316297556186</v>
      </c>
      <c r="BE52" s="15">
        <v>6215350</v>
      </c>
      <c r="BF52" s="16">
        <f>テーブル2[[#This Row],[q_P]]/テーブル2[[#This Row],[q_M]]</f>
        <v>0.96723639470922351</v>
      </c>
      <c r="BG52">
        <v>1</v>
      </c>
      <c r="BH52">
        <v>-0.191</v>
      </c>
      <c r="BI52">
        <v>4.5999999999999999E-2</v>
      </c>
      <c r="BJ52">
        <v>5625</v>
      </c>
      <c r="BK52" s="22">
        <v>1</v>
      </c>
      <c r="BL52">
        <f>テーブル2[[#This Row],[Ts]]-テーブル2[[#This Row],[Tin]]</f>
        <v>129.13304436149201</v>
      </c>
      <c r="BM52">
        <f>テーブル2[[#This Row],[q_P]]*0.000001</f>
        <v>6.0117127258559719</v>
      </c>
      <c r="BN52">
        <f>テーブル2[[#This Row],[Tsub]]</f>
        <v>129.13304436149201</v>
      </c>
      <c r="BO52">
        <f>テーブル2[[#This Row],[Fcorr]]</f>
        <v>1</v>
      </c>
      <c r="BP52">
        <f>(テーブル2[[#This Row],[Tsub]]-40)^2</f>
        <v>7944.6995971477027</v>
      </c>
      <c r="BQ52">
        <v>1</v>
      </c>
      <c r="BR52">
        <v>0.30480000000000002</v>
      </c>
    </row>
    <row r="53" spans="1:70" x14ac:dyDescent="0.15">
      <c r="A53" s="9" t="s">
        <v>121</v>
      </c>
      <c r="B53">
        <v>13789520</v>
      </c>
      <c r="C53" s="22">
        <f t="array" ref="C53">TsatFromP(テーブル2[[#This Row],[P]])</f>
        <v>608.621106065763</v>
      </c>
      <c r="D53">
        <f t="array" ref="D53">RhoGFromP(テーブル2[[#This Row],[P]])</f>
        <v>85.147893581579396</v>
      </c>
      <c r="E53">
        <f t="array" ref="E53">RhoFFromP(テーブル2[[#This Row],[P]])</f>
        <v>624.86627494838649</v>
      </c>
      <c r="F53">
        <f t="array" ref="F53">HgFromP(テーブル2[[#This Row],[P]])</f>
        <v>2643264.389866509</v>
      </c>
      <c r="G53">
        <f t="array" ref="G53">HfFromP(テーブル2[[#This Row],[P]])</f>
        <v>1562686.9740257829</v>
      </c>
      <c r="H53">
        <f t="array" ref="H53">MuGFromP(テーブル2[[#This Row],[P]])</f>
        <v>2.2019594042733509E-5</v>
      </c>
      <c r="I53">
        <f t="array" ref="I53">MuFFromP(テーブル2[[#This Row],[P]])</f>
        <v>7.2223252690249831E-5</v>
      </c>
      <c r="J53">
        <f t="array" ref="J53">KfFromP(テーブル2[[#This Row],[P]])</f>
        <v>0.4911212487937569</v>
      </c>
      <c r="K53">
        <f t="array" ref="K53">CpFFromP(テーブル2[[#This Row],[P]])</f>
        <v>7679.7516396704104</v>
      </c>
      <c r="L53">
        <f t="array" ref="L53">SigmaFromP(テーブル2[[#This Row],[P]])</f>
        <v>6.5036382888884548E-3</v>
      </c>
      <c r="M53">
        <v>52</v>
      </c>
      <c r="N53">
        <v>3451.02</v>
      </c>
      <c r="O53" s="8">
        <v>1.753005194685703E-5</v>
      </c>
      <c r="P53" s="8">
        <v>1.484214033261962E-2</v>
      </c>
      <c r="Q53" s="8">
        <v>4.7244000000000001E-3</v>
      </c>
      <c r="R53">
        <v>0.30480000000000002</v>
      </c>
      <c r="S53" s="15">
        <v>3590926.03515625</v>
      </c>
      <c r="T53">
        <v>535.10115911890296</v>
      </c>
      <c r="U53" s="12">
        <f>+T53+BG53*S53*テーブル2[[#This Row],[Pw]]*R53/(N53*O53*K53)</f>
        <v>570.06668797541181</v>
      </c>
      <c r="V53">
        <v>0.03</v>
      </c>
      <c r="W53" s="8">
        <f t="shared" si="0"/>
        <v>225744.45598461735</v>
      </c>
      <c r="X53">
        <v>2.452777724069748E-2</v>
      </c>
      <c r="Y53">
        <f t="shared" si="1"/>
        <v>6.3851470474837431</v>
      </c>
      <c r="Z53">
        <f t="shared" si="2"/>
        <v>6.3851470632081453</v>
      </c>
      <c r="AA53">
        <f t="shared" si="3"/>
        <v>-1.5724402224748246E-8</v>
      </c>
      <c r="AB53">
        <f t="shared" si="4"/>
        <v>1.3355543071362601E-5</v>
      </c>
      <c r="AC53">
        <v>666.12460376142394</v>
      </c>
      <c r="AD53">
        <f t="shared" si="5"/>
        <v>6249.8731217512141</v>
      </c>
      <c r="AE53">
        <f>+gettm2(AD53,AC53,AK53,AL53,テーブル2[[#This Row],[Fcorr]])</f>
        <v>570.06668797541158</v>
      </c>
      <c r="AF53" s="14">
        <f t="shared" si="6"/>
        <v>0</v>
      </c>
      <c r="AG53">
        <v>1.341049420083057E-5</v>
      </c>
      <c r="AH53">
        <f t="shared" si="7"/>
        <v>58.435406968965019</v>
      </c>
      <c r="AI53">
        <f t="shared" si="8"/>
        <v>0.3058049377996318</v>
      </c>
      <c r="AJ53">
        <f t="shared" si="9"/>
        <v>35.481283233922397</v>
      </c>
      <c r="AK53">
        <f t="array" ref="AK53">+S53*テーブル2[[#This Row],[F_form]]/(E53*CpFromTP((テーブル2[[#This Row],[Tin]]+テーブル2[[#This Row],[Tf]])/2,テーブル2[[#This Row],[P]])*AI53)</f>
        <v>3.7010520721003601</v>
      </c>
      <c r="AL53">
        <f t="shared" si="10"/>
        <v>1.1293680422758512</v>
      </c>
      <c r="AM53">
        <f t="shared" si="11"/>
        <v>608.62110605851171</v>
      </c>
      <c r="AN53">
        <f t="shared" si="12"/>
        <v>7.2512875703978352E-9</v>
      </c>
      <c r="AO53">
        <f t="shared" si="13"/>
        <v>5.4951129467969151E-8</v>
      </c>
      <c r="AP53">
        <v>3.756261519226733</v>
      </c>
      <c r="AQ53">
        <f t="shared" si="14"/>
        <v>3.8648320506370901E-5</v>
      </c>
      <c r="AR53">
        <f t="shared" si="15"/>
        <v>6.7327226651492695E-6</v>
      </c>
      <c r="AS53">
        <f t="shared" si="16"/>
        <v>17.813336051613586</v>
      </c>
      <c r="AT53">
        <f t="shared" si="17"/>
        <v>11.349736965791685</v>
      </c>
      <c r="AU53">
        <f t="shared" si="18"/>
        <v>3.470805606866108</v>
      </c>
      <c r="AV53">
        <f t="shared" si="19"/>
        <v>0.28545591236062506</v>
      </c>
      <c r="AW53">
        <f t="shared" si="20"/>
        <v>8.029504504268703E-3</v>
      </c>
      <c r="AX53">
        <f t="shared" si="21"/>
        <v>0.28545590899975132</v>
      </c>
      <c r="AY53">
        <f t="shared" si="22"/>
        <v>3.3608737459722704E-9</v>
      </c>
      <c r="AZ53">
        <f t="shared" si="23"/>
        <v>1080577.4158407261</v>
      </c>
      <c r="BA53">
        <f t="shared" si="24"/>
        <v>1.0289038797896871E-5</v>
      </c>
      <c r="BB53" s="15">
        <f t="shared" si="25"/>
        <v>3606158.3301899456</v>
      </c>
      <c r="BC53" s="20">
        <f t="shared" si="26"/>
        <v>15232.295033695642</v>
      </c>
      <c r="BD53" s="19">
        <f t="shared" si="27"/>
        <v>0.42418849301174333</v>
      </c>
      <c r="BE53" s="15">
        <v>4732500</v>
      </c>
      <c r="BF53" s="16">
        <f>テーブル2[[#This Row],[q_P]]/テーブル2[[#This Row],[q_M]]</f>
        <v>0.76199859063707254</v>
      </c>
      <c r="BG53">
        <v>1</v>
      </c>
      <c r="BH53">
        <v>-5.8999999999999997E-2</v>
      </c>
      <c r="BI53">
        <v>4.5999999999999999E-2</v>
      </c>
      <c r="BJ53">
        <v>5625</v>
      </c>
      <c r="BK53" s="22">
        <v>1</v>
      </c>
      <c r="BL53">
        <f>テーブル2[[#This Row],[Ts]]-テーブル2[[#This Row],[Tin]]</f>
        <v>73.519946946860046</v>
      </c>
      <c r="BM53">
        <f>テーブル2[[#This Row],[q_P]]*0.000001</f>
        <v>3.6061583301899454</v>
      </c>
      <c r="BN53">
        <f>テーブル2[[#This Row],[Tsub]]</f>
        <v>73.519946946860046</v>
      </c>
      <c r="BO53">
        <f>テーブル2[[#This Row],[Fcorr]]</f>
        <v>1</v>
      </c>
      <c r="BP53">
        <f>(テーブル2[[#This Row],[Tsub]]-40)^2</f>
        <v>1123.586843320312</v>
      </c>
      <c r="BQ53">
        <v>1</v>
      </c>
      <c r="BR53">
        <v>0.30480000000000002</v>
      </c>
    </row>
    <row r="54" spans="1:70" x14ac:dyDescent="0.15">
      <c r="A54" s="9" t="s">
        <v>122</v>
      </c>
      <c r="B54">
        <v>13789520</v>
      </c>
      <c r="C54" s="22">
        <f t="array" ref="C54">TsatFromP(テーブル2[[#This Row],[P]])</f>
        <v>608.621106065763</v>
      </c>
      <c r="D54">
        <f t="array" ref="D54">RhoGFromP(テーブル2[[#This Row],[P]])</f>
        <v>85.147893581579396</v>
      </c>
      <c r="E54">
        <f t="array" ref="E54">RhoFFromP(テーブル2[[#This Row],[P]])</f>
        <v>624.86627494838649</v>
      </c>
      <c r="F54">
        <f t="array" ref="F54">HgFromP(テーブル2[[#This Row],[P]])</f>
        <v>2643264.389866509</v>
      </c>
      <c r="G54">
        <f t="array" ref="G54">HfFromP(テーブル2[[#This Row],[P]])</f>
        <v>1562686.9740257829</v>
      </c>
      <c r="H54">
        <f t="array" ref="H54">MuGFromP(テーブル2[[#This Row],[P]])</f>
        <v>2.2019594042733509E-5</v>
      </c>
      <c r="I54">
        <f t="array" ref="I54">MuFFromP(テーブル2[[#This Row],[P]])</f>
        <v>7.2223252690249831E-5</v>
      </c>
      <c r="J54">
        <f t="array" ref="J54">KfFromP(テーブル2[[#This Row],[P]])</f>
        <v>0.4911212487937569</v>
      </c>
      <c r="K54">
        <f t="array" ref="K54">CpFFromP(テーブル2[[#This Row],[P]])</f>
        <v>7679.7516396704104</v>
      </c>
      <c r="L54">
        <f t="array" ref="L54">SigmaFromP(テーブル2[[#This Row],[P]])</f>
        <v>6.5036382888884548E-3</v>
      </c>
      <c r="M54" s="23">
        <v>53</v>
      </c>
      <c r="N54">
        <v>3579.84</v>
      </c>
      <c r="O54" s="8">
        <v>1.753005194685703E-5</v>
      </c>
      <c r="P54" s="8">
        <v>1.484214033261962E-2</v>
      </c>
      <c r="Q54" s="8">
        <v>4.7244000000000001E-3</v>
      </c>
      <c r="R54">
        <v>0.30480000000000002</v>
      </c>
      <c r="S54" s="15">
        <v>1194437.44921875</v>
      </c>
      <c r="T54">
        <v>586.97568839527196</v>
      </c>
      <c r="U54" s="12">
        <f>+T54+BG54*S54*テーブル2[[#This Row],[Pw]]*R54/(N54*O54*K54)</f>
        <v>598.18763221093752</v>
      </c>
      <c r="V54">
        <v>0.03</v>
      </c>
      <c r="W54" s="8">
        <f t="shared" si="0"/>
        <v>234171.06632588993</v>
      </c>
      <c r="X54">
        <v>2.4164267021167661E-2</v>
      </c>
      <c r="Y54">
        <f t="shared" si="1"/>
        <v>6.4329946012287724</v>
      </c>
      <c r="Z54">
        <f t="shared" si="2"/>
        <v>6.4329946343917461</v>
      </c>
      <c r="AA54">
        <f t="shared" si="3"/>
        <v>-3.3162973700484599E-8</v>
      </c>
      <c r="AB54">
        <f t="shared" si="4"/>
        <v>1.2598354917885759E-5</v>
      </c>
      <c r="AC54">
        <v>623.87848594192224</v>
      </c>
      <c r="AD54">
        <f t="shared" si="5"/>
        <v>6434.9482325499393</v>
      </c>
      <c r="AE54">
        <f>+gettm2(AD54,AC54,AK54,AL54,テーブル2[[#This Row],[Fcorr]])</f>
        <v>598.18763221093764</v>
      </c>
      <c r="AF54" s="14">
        <f t="shared" si="6"/>
        <v>0</v>
      </c>
      <c r="AG54">
        <v>1.261580137375003E-5</v>
      </c>
      <c r="AH54">
        <f t="shared" si="7"/>
        <v>61.947500269153124</v>
      </c>
      <c r="AI54">
        <f t="shared" si="8"/>
        <v>0.31486062287411631</v>
      </c>
      <c r="AJ54">
        <f t="shared" si="9"/>
        <v>34.36712757269234</v>
      </c>
      <c r="AK54">
        <f t="array" ref="AK54">+S54*テーブル2[[#This Row],[F_form]]/(E54*CpFromTP((テーブル2[[#This Row],[Tin]]+テーブル2[[#This Row],[Tf]])/2,テーブル2[[#This Row],[P]])*AI54)</f>
        <v>0.98706591612152494</v>
      </c>
      <c r="AL54">
        <f t="shared" si="10"/>
        <v>1.1293680422758512</v>
      </c>
      <c r="AM54">
        <f t="shared" si="11"/>
        <v>608.62110606460294</v>
      </c>
      <c r="AN54">
        <f t="shared" si="12"/>
        <v>1.16006049211137E-9</v>
      </c>
      <c r="AO54">
        <f t="shared" si="13"/>
        <v>1.7446455864270589E-8</v>
      </c>
      <c r="AP54">
        <v>3.8089395196788751</v>
      </c>
      <c r="AQ54">
        <f t="shared" si="14"/>
        <v>3.7586692840311167E-5</v>
      </c>
      <c r="AR54">
        <f t="shared" si="15"/>
        <v>6.3166239148071503E-6</v>
      </c>
      <c r="AS54">
        <f t="shared" si="16"/>
        <v>17.207327024075418</v>
      </c>
      <c r="AT54">
        <f t="shared" si="17"/>
        <v>11.176676414416752</v>
      </c>
      <c r="AU54">
        <f t="shared" si="18"/>
        <v>3.5190952975057037</v>
      </c>
      <c r="AV54">
        <f t="shared" si="19"/>
        <v>0.28984422217317141</v>
      </c>
      <c r="AW54">
        <f t="shared" si="20"/>
        <v>7.5742743682544059E-3</v>
      </c>
      <c r="AX54">
        <f t="shared" si="21"/>
        <v>0.28984421617559042</v>
      </c>
      <c r="AY54">
        <f t="shared" si="22"/>
        <v>5.9975809874046604E-9</v>
      </c>
      <c r="AZ54">
        <f t="shared" si="23"/>
        <v>1080577.4158407261</v>
      </c>
      <c r="BA54">
        <f t="shared" si="24"/>
        <v>9.8680203889086784E-6</v>
      </c>
      <c r="BB54" s="15">
        <f t="shared" si="25"/>
        <v>1193768.5968419488</v>
      </c>
      <c r="BC54" s="20">
        <f t="shared" si="26"/>
        <v>-668.85237680119462</v>
      </c>
      <c r="BD54" s="19">
        <f t="shared" si="27"/>
        <v>-5.599727112028121E-2</v>
      </c>
      <c r="BE54" s="15">
        <v>3186550</v>
      </c>
      <c r="BF54" s="16">
        <f>テーブル2[[#This Row],[q_P]]/テーブル2[[#This Row],[q_M]]</f>
        <v>0.37462729184916249</v>
      </c>
      <c r="BG54">
        <v>1</v>
      </c>
      <c r="BH54">
        <v>8.1000000000000003E-2</v>
      </c>
      <c r="BI54">
        <v>4.5999999999999999E-2</v>
      </c>
      <c r="BJ54">
        <v>5625</v>
      </c>
      <c r="BK54" s="22">
        <v>1</v>
      </c>
      <c r="BL54">
        <f>テーブル2[[#This Row],[Ts]]-テーブル2[[#This Row],[Tin]]</f>
        <v>21.645417670491042</v>
      </c>
      <c r="BM54">
        <f>テーブル2[[#This Row],[q_P]]*0.000001</f>
        <v>1.1937685968419487</v>
      </c>
      <c r="BN54">
        <f>テーブル2[[#This Row],[Tsub]]</f>
        <v>21.645417670491042</v>
      </c>
      <c r="BO54">
        <f>テーブル2[[#This Row],[Fcorr]]</f>
        <v>1</v>
      </c>
      <c r="BP54">
        <f>(テーブル2[[#This Row],[Tsub]]-40)^2</f>
        <v>336.89069249072247</v>
      </c>
      <c r="BQ54">
        <v>1</v>
      </c>
      <c r="BR54">
        <v>0.30480000000000002</v>
      </c>
    </row>
    <row r="55" spans="1:70" x14ac:dyDescent="0.15">
      <c r="A55" s="9" t="s">
        <v>123</v>
      </c>
      <c r="B55">
        <v>13789520</v>
      </c>
      <c r="C55" s="22">
        <f t="array" ref="C55">TsatFromP(テーブル2[[#This Row],[P]])</f>
        <v>608.621106065763</v>
      </c>
      <c r="D55">
        <f t="array" ref="D55">RhoGFromP(テーブル2[[#This Row],[P]])</f>
        <v>85.147893581579396</v>
      </c>
      <c r="E55">
        <f t="array" ref="E55">RhoFFromP(テーブル2[[#This Row],[P]])</f>
        <v>624.86627494838649</v>
      </c>
      <c r="F55">
        <f t="array" ref="F55">HgFromP(テーブル2[[#This Row],[P]])</f>
        <v>2643264.389866509</v>
      </c>
      <c r="G55">
        <f t="array" ref="G55">HfFromP(テーブル2[[#This Row],[P]])</f>
        <v>1562686.9740257829</v>
      </c>
      <c r="H55">
        <f t="array" ref="H55">MuGFromP(テーブル2[[#This Row],[P]])</f>
        <v>2.2019594042733509E-5</v>
      </c>
      <c r="I55">
        <f t="array" ref="I55">MuFFromP(テーブル2[[#This Row],[P]])</f>
        <v>7.2223252690249831E-5</v>
      </c>
      <c r="J55">
        <f t="array" ref="J55">KfFromP(テーブル2[[#This Row],[P]])</f>
        <v>0.4911212487937569</v>
      </c>
      <c r="K55">
        <f t="array" ref="K55">CpFFromP(テーブル2[[#This Row],[P]])</f>
        <v>7679.7516396704104</v>
      </c>
      <c r="L55">
        <f t="array" ref="L55">SigmaFromP(テーブル2[[#This Row],[P]])</f>
        <v>6.5036382888884548E-3</v>
      </c>
      <c r="M55">
        <v>54</v>
      </c>
      <c r="N55">
        <v>4068</v>
      </c>
      <c r="O55" s="8">
        <v>1.753005194685703E-5</v>
      </c>
      <c r="P55" s="8">
        <v>1.484214033261962E-2</v>
      </c>
      <c r="Q55" s="8">
        <v>4.7244000000000001E-3</v>
      </c>
      <c r="R55">
        <v>0.30480000000000002</v>
      </c>
      <c r="S55" s="15">
        <v>3905055.56640625</v>
      </c>
      <c r="T55">
        <v>537.38968663960395</v>
      </c>
      <c r="U55" s="12">
        <f>+T55+BG55*S55*テーブル2[[#This Row],[Pw]]*R55/(N55*O55*K55)</f>
        <v>569.64694046221996</v>
      </c>
      <c r="V55">
        <v>0.03</v>
      </c>
      <c r="W55" s="8">
        <f t="shared" si="0"/>
        <v>266103.48446123855</v>
      </c>
      <c r="X55">
        <v>2.2957021152822971E-2</v>
      </c>
      <c r="Y55">
        <f t="shared" si="1"/>
        <v>6.5999741234761844</v>
      </c>
      <c r="Z55">
        <f t="shared" si="2"/>
        <v>6.5999741280613344</v>
      </c>
      <c r="AA55">
        <f t="shared" si="3"/>
        <v>-4.5851500374283205E-9</v>
      </c>
      <c r="AB55">
        <f t="shared" si="4"/>
        <v>1.0269215675991892E-5</v>
      </c>
      <c r="AC55">
        <v>662.15061771972205</v>
      </c>
      <c r="AD55">
        <f t="shared" si="5"/>
        <v>7127.436215644042</v>
      </c>
      <c r="AE55">
        <f>+gettm2(AD55,AC55,AK55,AL55,テーブル2[[#This Row],[Fcorr]])</f>
        <v>569.64694046221973</v>
      </c>
      <c r="AF55" s="14">
        <f t="shared" si="6"/>
        <v>0</v>
      </c>
      <c r="AG55">
        <v>1.031693103257606E-5</v>
      </c>
      <c r="AH55">
        <f t="shared" si="7"/>
        <v>75.997682714092292</v>
      </c>
      <c r="AI55">
        <f t="shared" si="8"/>
        <v>0.34874390985798837</v>
      </c>
      <c r="AJ55">
        <f t="shared" si="9"/>
        <v>31.129145659082418</v>
      </c>
      <c r="AK55">
        <f t="array" ref="AK55">+S55*テーブル2[[#This Row],[F_form]]/(E55*CpFromTP((テーブル2[[#This Row],[Tin]]+テーブル2[[#This Row],[Tf]])/2,テーブル2[[#This Row],[P]])*AI55)</f>
        <v>3.5193824564671603</v>
      </c>
      <c r="AL55">
        <f t="shared" si="10"/>
        <v>1.1293680422758512</v>
      </c>
      <c r="AM55">
        <f t="shared" si="11"/>
        <v>608.62110606361307</v>
      </c>
      <c r="AN55">
        <f t="shared" si="12"/>
        <v>2.1499317881534807E-9</v>
      </c>
      <c r="AO55">
        <f t="shared" si="13"/>
        <v>4.7715356584167914E-8</v>
      </c>
      <c r="AP55">
        <v>4.0340067327011759</v>
      </c>
      <c r="AQ55">
        <f t="shared" si="14"/>
        <v>3.3509583585529328E-5</v>
      </c>
      <c r="AR55">
        <f t="shared" si="15"/>
        <v>5.1823231945801138E-6</v>
      </c>
      <c r="AS55">
        <f t="shared" si="16"/>
        <v>15.636558300830764</v>
      </c>
      <c r="AT55">
        <f t="shared" si="17"/>
        <v>10.698058267046617</v>
      </c>
      <c r="AU55">
        <f t="shared" si="18"/>
        <v>3.7308826679384128</v>
      </c>
      <c r="AV55">
        <f t="shared" si="19"/>
        <v>0.3031240647627631</v>
      </c>
      <c r="AW55">
        <f t="shared" si="20"/>
        <v>6.173969346292634E-3</v>
      </c>
      <c r="AX55">
        <f t="shared" si="21"/>
        <v>0.30312403858093911</v>
      </c>
      <c r="AY55">
        <f t="shared" si="22"/>
        <v>2.6181823986615171E-8</v>
      </c>
      <c r="AZ55">
        <f t="shared" si="23"/>
        <v>1080577.4158407261</v>
      </c>
      <c r="BA55">
        <f t="shared" si="24"/>
        <v>8.306774332796235E-6</v>
      </c>
      <c r="BB55" s="15">
        <f t="shared" si="25"/>
        <v>3878544.0982644083</v>
      </c>
      <c r="BC55" s="20">
        <f t="shared" si="26"/>
        <v>-26511.468141841702</v>
      </c>
      <c r="BD55" s="19">
        <f t="shared" si="27"/>
        <v>-0.67890117543806716</v>
      </c>
      <c r="BE55" s="15">
        <v>5016450</v>
      </c>
      <c r="BF55" s="16">
        <f>テーブル2[[#This Row],[q_P]]/テーブル2[[#This Row],[q_M]]</f>
        <v>0.77316510645265246</v>
      </c>
      <c r="BG55">
        <v>1</v>
      </c>
      <c r="BH55">
        <v>-8.2000000000000003E-2</v>
      </c>
      <c r="BI55">
        <v>4.5999999999999999E-2</v>
      </c>
      <c r="BJ55">
        <v>5625</v>
      </c>
      <c r="BK55" s="22">
        <v>1</v>
      </c>
      <c r="BL55">
        <f>テーブル2[[#This Row],[Ts]]-テーブル2[[#This Row],[Tin]]</f>
        <v>71.23141942615905</v>
      </c>
      <c r="BM55">
        <f>テーブル2[[#This Row],[q_P]]*0.000001</f>
        <v>3.8785440982644079</v>
      </c>
      <c r="BN55">
        <f>テーブル2[[#This Row],[Tsub]]</f>
        <v>71.23141942615905</v>
      </c>
      <c r="BO55">
        <f>テーブル2[[#This Row],[Fcorr]]</f>
        <v>1</v>
      </c>
      <c r="BP55">
        <f>(テーブル2[[#This Row],[Tsub]]-40)^2</f>
        <v>975.40155937266491</v>
      </c>
      <c r="BQ55">
        <v>1</v>
      </c>
      <c r="BR55">
        <v>0.30480000000000002</v>
      </c>
    </row>
    <row r="56" spans="1:70" x14ac:dyDescent="0.15">
      <c r="A56" s="9" t="s">
        <v>124</v>
      </c>
      <c r="B56">
        <v>13789520</v>
      </c>
      <c r="C56" s="22">
        <f t="array" ref="C56">TsatFromP(テーブル2[[#This Row],[P]])</f>
        <v>608.621106065763</v>
      </c>
      <c r="D56">
        <f t="array" ref="D56">RhoGFromP(テーブル2[[#This Row],[P]])</f>
        <v>85.147893581579396</v>
      </c>
      <c r="E56">
        <f t="array" ref="E56">RhoFFromP(テーブル2[[#This Row],[P]])</f>
        <v>624.86627494838649</v>
      </c>
      <c r="F56">
        <f t="array" ref="F56">HgFromP(テーブル2[[#This Row],[P]])</f>
        <v>2643264.389866509</v>
      </c>
      <c r="G56">
        <f t="array" ref="G56">HfFromP(テーブル2[[#This Row],[P]])</f>
        <v>1562686.9740257829</v>
      </c>
      <c r="H56">
        <f t="array" ref="H56">MuGFromP(テーブル2[[#This Row],[P]])</f>
        <v>2.2019594042733509E-5</v>
      </c>
      <c r="I56">
        <f t="array" ref="I56">MuFFromP(テーブル2[[#This Row],[P]])</f>
        <v>7.2223252690249831E-5</v>
      </c>
      <c r="J56">
        <f t="array" ref="J56">KfFromP(テーブル2[[#This Row],[P]])</f>
        <v>0.4911212487937569</v>
      </c>
      <c r="K56">
        <f t="array" ref="K56">CpFFromP(テーブル2[[#This Row],[P]])</f>
        <v>7679.7516396704104</v>
      </c>
      <c r="L56">
        <f t="array" ref="L56">SigmaFromP(テーブル2[[#This Row],[P]])</f>
        <v>6.5036382888884548E-3</v>
      </c>
      <c r="M56" s="23">
        <v>55</v>
      </c>
      <c r="N56">
        <v>2752.68</v>
      </c>
      <c r="O56" s="8">
        <v>1.7719053836560401E-5</v>
      </c>
      <c r="P56" s="8">
        <v>1.4921936786020801E-2</v>
      </c>
      <c r="Q56" s="8">
        <v>4.7498000000000002E-3</v>
      </c>
      <c r="R56">
        <v>0.3175</v>
      </c>
      <c r="S56" s="15">
        <v>902558.10546875</v>
      </c>
      <c r="T56">
        <v>588.56034428011105</v>
      </c>
      <c r="U56" s="12">
        <f>+T56+BG56*S56*テーブル2[[#This Row],[Pw]]*R56/(N56*O56*K56)</f>
        <v>599.97599482686394</v>
      </c>
      <c r="V56">
        <v>0.03</v>
      </c>
      <c r="W56" s="8">
        <f t="shared" si="0"/>
        <v>181031.44038768951</v>
      </c>
      <c r="X56">
        <v>2.6926893623795221E-2</v>
      </c>
      <c r="Y56">
        <f t="shared" si="1"/>
        <v>6.0940620607317042</v>
      </c>
      <c r="Z56">
        <f t="shared" si="2"/>
        <v>6.0940620675312109</v>
      </c>
      <c r="AA56">
        <f t="shared" si="3"/>
        <v>-6.7995067354331695E-9</v>
      </c>
      <c r="AB56">
        <f t="shared" si="4"/>
        <v>1.9121281205086491E-5</v>
      </c>
      <c r="AC56">
        <v>623.10160535080638</v>
      </c>
      <c r="AD56">
        <f t="shared" si="5"/>
        <v>5251.364271909536</v>
      </c>
      <c r="AE56">
        <f>+gettm2(AD56,AC56,AK56,AL56,テーブル2[[#This Row],[Fcorr]])</f>
        <v>599.97599482686383</v>
      </c>
      <c r="AF56" s="14">
        <f t="shared" si="6"/>
        <v>0</v>
      </c>
      <c r="AG56">
        <v>1.9140167544433049E-5</v>
      </c>
      <c r="AH56">
        <f t="shared" si="7"/>
        <v>40.815078565917908</v>
      </c>
      <c r="AI56">
        <f t="shared" si="8"/>
        <v>0.25557406200901811</v>
      </c>
      <c r="AJ56">
        <f t="shared" si="9"/>
        <v>42.322620742430502</v>
      </c>
      <c r="AK56">
        <f t="array" ref="AK56">+S56*テーブル2[[#This Row],[F_form]]/(E56*CpFromTP((テーブル2[[#This Row],[Tin]]+テーブル2[[#This Row],[Tf]])/2,テーブル2[[#This Row],[P]])*AI56)</f>
        <v>0.90628533659610466</v>
      </c>
      <c r="AL56">
        <f t="shared" si="10"/>
        <v>1.1293680422758512</v>
      </c>
      <c r="AM56">
        <f t="shared" si="11"/>
        <v>608.62110605960288</v>
      </c>
      <c r="AN56">
        <f t="shared" si="12"/>
        <v>6.1601213019457646E-9</v>
      </c>
      <c r="AO56">
        <f t="shared" si="13"/>
        <v>1.8886339346558064E-8</v>
      </c>
      <c r="AP56">
        <v>3.3866471175070361</v>
      </c>
      <c r="AQ56">
        <f t="shared" si="14"/>
        <v>4.7544728946467496E-5</v>
      </c>
      <c r="AR56">
        <f t="shared" si="15"/>
        <v>9.5795269418898036E-6</v>
      </c>
      <c r="AS56">
        <f t="shared" si="16"/>
        <v>21.182191049911548</v>
      </c>
      <c r="AT56">
        <f t="shared" si="17"/>
        <v>12.215803919135517</v>
      </c>
      <c r="AU56">
        <f t="shared" si="18"/>
        <v>3.1220426283191469</v>
      </c>
      <c r="AV56">
        <f t="shared" si="19"/>
        <v>0.26460448918788915</v>
      </c>
      <c r="AW56">
        <f t="shared" si="20"/>
        <v>1.1495931894588703E-2</v>
      </c>
      <c r="AX56">
        <f t="shared" si="21"/>
        <v>0.26460448079114374</v>
      </c>
      <c r="AY56">
        <f t="shared" si="22"/>
        <v>8.396745410088613E-9</v>
      </c>
      <c r="AZ56">
        <f t="shared" si="23"/>
        <v>1080577.4158407261</v>
      </c>
      <c r="BA56">
        <f t="shared" si="24"/>
        <v>1.4038878955143669E-5</v>
      </c>
      <c r="BB56" s="15">
        <f t="shared" si="25"/>
        <v>908360.6898541702</v>
      </c>
      <c r="BC56" s="20">
        <f t="shared" si="26"/>
        <v>5802.5843854201958</v>
      </c>
      <c r="BD56" s="19">
        <f t="shared" si="27"/>
        <v>0.64290424630407383</v>
      </c>
      <c r="BE56" s="15">
        <v>2665975</v>
      </c>
      <c r="BF56" s="16">
        <f>テーブル2[[#This Row],[q_P]]/テーブル2[[#This Row],[q_M]]</f>
        <v>0.34072363388785348</v>
      </c>
      <c r="BG56">
        <v>1</v>
      </c>
      <c r="BH56">
        <v>0.11700000000000001</v>
      </c>
      <c r="BI56">
        <v>4.5999999999999999E-2</v>
      </c>
      <c r="BJ56">
        <v>5625</v>
      </c>
      <c r="BK56" s="22">
        <v>1</v>
      </c>
      <c r="BL56">
        <f>テーブル2[[#This Row],[Ts]]-テーブル2[[#This Row],[Tin]]</f>
        <v>20.060761785651948</v>
      </c>
      <c r="BM56">
        <f>テーブル2[[#This Row],[q_P]]*0.000001</f>
        <v>0.90836068985417018</v>
      </c>
      <c r="BN56">
        <f>テーブル2[[#This Row],[Tsub]]</f>
        <v>20.060761785651948</v>
      </c>
      <c r="BO56">
        <f>テーブル2[[#This Row],[Fcorr]]</f>
        <v>1</v>
      </c>
      <c r="BP56">
        <f>(テーブル2[[#This Row],[Tsub]]-40)^2</f>
        <v>397.57322056851768</v>
      </c>
      <c r="BQ56">
        <v>1</v>
      </c>
      <c r="BR56">
        <v>0.3175</v>
      </c>
    </row>
    <row r="57" spans="1:70" x14ac:dyDescent="0.15">
      <c r="A57" s="9" t="s">
        <v>125</v>
      </c>
      <c r="B57">
        <v>13789520</v>
      </c>
      <c r="C57" s="22">
        <f t="array" ref="C57">TsatFromP(テーブル2[[#This Row],[P]])</f>
        <v>608.621106065763</v>
      </c>
      <c r="D57">
        <f t="array" ref="D57">RhoGFromP(テーブル2[[#This Row],[P]])</f>
        <v>85.147893581579396</v>
      </c>
      <c r="E57">
        <f t="array" ref="E57">RhoFFromP(テーブル2[[#This Row],[P]])</f>
        <v>624.86627494838649</v>
      </c>
      <c r="F57">
        <f t="array" ref="F57">HgFromP(テーブル2[[#This Row],[P]])</f>
        <v>2643264.389866509</v>
      </c>
      <c r="G57">
        <f t="array" ref="G57">HfFromP(テーブル2[[#This Row],[P]])</f>
        <v>1562686.9740257829</v>
      </c>
      <c r="H57">
        <f t="array" ref="H57">MuGFromP(テーブル2[[#This Row],[P]])</f>
        <v>2.2019594042733509E-5</v>
      </c>
      <c r="I57">
        <f t="array" ref="I57">MuFFromP(テーブル2[[#This Row],[P]])</f>
        <v>7.2223252690249831E-5</v>
      </c>
      <c r="J57">
        <f t="array" ref="J57">KfFromP(テーブル2[[#This Row],[P]])</f>
        <v>0.4911212487937569</v>
      </c>
      <c r="K57">
        <f t="array" ref="K57">CpFFromP(テーブル2[[#This Row],[P]])</f>
        <v>7679.7516396704104</v>
      </c>
      <c r="L57">
        <f t="array" ref="L57">SigmaFromP(テーブル2[[#This Row],[P]])</f>
        <v>6.5036382888884548E-3</v>
      </c>
      <c r="M57">
        <v>56</v>
      </c>
      <c r="N57">
        <v>2861.16</v>
      </c>
      <c r="O57" s="8">
        <v>1.7719053836560401E-5</v>
      </c>
      <c r="P57" s="8">
        <v>1.4921936786020801E-2</v>
      </c>
      <c r="Q57" s="8">
        <v>4.7498000000000002E-3</v>
      </c>
      <c r="R57">
        <v>0.3175</v>
      </c>
      <c r="S57" s="15">
        <v>2083577.12109375</v>
      </c>
      <c r="T57">
        <v>560.91989777978495</v>
      </c>
      <c r="U57" s="12">
        <f>+T57+BG57*S57*テーブル2[[#This Row],[Pw]]*R57/(N57*O57*K57)</f>
        <v>586.27402455872232</v>
      </c>
      <c r="V57">
        <v>0.03</v>
      </c>
      <c r="W57" s="8">
        <f t="shared" si="0"/>
        <v>188165.68434385463</v>
      </c>
      <c r="X57">
        <v>2.648758764838987E-2</v>
      </c>
      <c r="Y57">
        <f t="shared" si="1"/>
        <v>6.1443903242986835</v>
      </c>
      <c r="Z57">
        <f t="shared" si="2"/>
        <v>6.1443903505649944</v>
      </c>
      <c r="AA57">
        <f t="shared" si="3"/>
        <v>-2.6266310904077272E-8</v>
      </c>
      <c r="AB57">
        <f t="shared" si="4"/>
        <v>1.7992354589735144E-5</v>
      </c>
      <c r="AC57">
        <v>645.30743013322046</v>
      </c>
      <c r="AD57">
        <f t="shared" si="5"/>
        <v>5413.6059219729668</v>
      </c>
      <c r="AE57">
        <f>+gettm2(AD57,AC57,AK57,AL57,テーブル2[[#This Row],[Fcorr]])</f>
        <v>586.2740245587222</v>
      </c>
      <c r="AF57" s="14">
        <f t="shared" si="6"/>
        <v>0</v>
      </c>
      <c r="AG57">
        <v>1.8033377302808108E-5</v>
      </c>
      <c r="AH57">
        <f t="shared" si="7"/>
        <v>43.376012337588264</v>
      </c>
      <c r="AI57">
        <f t="shared" si="8"/>
        <v>0.26347005919884531</v>
      </c>
      <c r="AJ57">
        <f t="shared" si="9"/>
        <v>41.107245845995564</v>
      </c>
      <c r="AK57">
        <f t="array" ref="AK57">+S57*テーブル2[[#This Row],[F_form]]/(E57*CpFromTP((テーブル2[[#This Row],[Tin]]+テーブル2[[#This Row],[Tf]])/2,テーブル2[[#This Row],[P]])*AI57)</f>
        <v>2.3065883600643975</v>
      </c>
      <c r="AL57">
        <f t="shared" si="10"/>
        <v>1.1293680422758512</v>
      </c>
      <c r="AM57">
        <f t="shared" si="11"/>
        <v>608.62110606488045</v>
      </c>
      <c r="AN57">
        <f t="shared" si="12"/>
        <v>8.8255092123290524E-10</v>
      </c>
      <c r="AO57">
        <f t="shared" si="13"/>
        <v>4.102271307296408E-8</v>
      </c>
      <c r="AP57">
        <v>3.449609350502425</v>
      </c>
      <c r="AQ57">
        <f t="shared" si="14"/>
        <v>4.5824995996027149E-5</v>
      </c>
      <c r="AR57">
        <f t="shared" si="15"/>
        <v>9.0372000079405363E-6</v>
      </c>
      <c r="AS57">
        <f t="shared" si="16"/>
        <v>20.600378744806527</v>
      </c>
      <c r="AT57">
        <f t="shared" si="17"/>
        <v>12.076547306483704</v>
      </c>
      <c r="AU57">
        <f t="shared" si="18"/>
        <v>3.1818086337569174</v>
      </c>
      <c r="AV57">
        <f t="shared" si="19"/>
        <v>0.26780071674550765</v>
      </c>
      <c r="AW57">
        <f t="shared" si="20"/>
        <v>1.0817208364252498E-2</v>
      </c>
      <c r="AX57">
        <f t="shared" si="21"/>
        <v>0.26780070601544642</v>
      </c>
      <c r="AY57">
        <f t="shared" si="22"/>
        <v>1.0730061228425569E-8</v>
      </c>
      <c r="AZ57">
        <f t="shared" si="23"/>
        <v>1080577.4158407261</v>
      </c>
      <c r="BA57">
        <f t="shared" si="24"/>
        <v>1.3284111718143644E-5</v>
      </c>
      <c r="BB57" s="15">
        <f t="shared" si="25"/>
        <v>2085138.1407006918</v>
      </c>
      <c r="BC57" s="20">
        <f t="shared" si="26"/>
        <v>1561.0196069418453</v>
      </c>
      <c r="BD57" s="19">
        <f t="shared" si="27"/>
        <v>7.4920174114908977E-2</v>
      </c>
      <c r="BE57" s="15">
        <v>3691350</v>
      </c>
      <c r="BF57" s="16">
        <f>テーブル2[[#This Row],[q_P]]/テーブル2[[#This Row],[q_M]]</f>
        <v>0.56487142663272027</v>
      </c>
      <c r="BG57">
        <v>1</v>
      </c>
      <c r="BH57">
        <v>5.2999999999999999E-2</v>
      </c>
      <c r="BI57">
        <v>4.5999999999999999E-2</v>
      </c>
      <c r="BJ57">
        <v>5625</v>
      </c>
      <c r="BK57" s="22">
        <v>1</v>
      </c>
      <c r="BL57">
        <f>テーブル2[[#This Row],[Ts]]-テーブル2[[#This Row],[Tin]]</f>
        <v>47.701208285978055</v>
      </c>
      <c r="BM57">
        <f>テーブル2[[#This Row],[q_P]]*0.000001</f>
        <v>2.0851381407006917</v>
      </c>
      <c r="BN57">
        <f>テーブル2[[#This Row],[Tsub]]</f>
        <v>47.701208285978055</v>
      </c>
      <c r="BO57">
        <f>テーブル2[[#This Row],[Fcorr]]</f>
        <v>1</v>
      </c>
      <c r="BP57">
        <f>(テーブル2[[#This Row],[Tsub]]-40)^2</f>
        <v>59.308609064017048</v>
      </c>
      <c r="BQ57">
        <v>1</v>
      </c>
      <c r="BR57">
        <v>0.3175</v>
      </c>
    </row>
    <row r="58" spans="1:70" x14ac:dyDescent="0.15">
      <c r="A58" s="9" t="s">
        <v>126</v>
      </c>
      <c r="B58">
        <v>13789520</v>
      </c>
      <c r="C58" s="22">
        <f t="array" ref="C58">TsatFromP(テーブル2[[#This Row],[P]])</f>
        <v>608.621106065763</v>
      </c>
      <c r="D58">
        <f t="array" ref="D58">RhoGFromP(テーブル2[[#This Row],[P]])</f>
        <v>85.147893581579396</v>
      </c>
      <c r="E58">
        <f t="array" ref="E58">RhoFFromP(テーブル2[[#This Row],[P]])</f>
        <v>624.86627494838649</v>
      </c>
      <c r="F58">
        <f t="array" ref="F58">HgFromP(テーブル2[[#This Row],[P]])</f>
        <v>2643264.389866509</v>
      </c>
      <c r="G58">
        <f t="array" ref="G58">HfFromP(テーブル2[[#This Row],[P]])</f>
        <v>1562686.9740257829</v>
      </c>
      <c r="H58">
        <f t="array" ref="H58">MuGFromP(テーブル2[[#This Row],[P]])</f>
        <v>2.2019594042733509E-5</v>
      </c>
      <c r="I58">
        <f t="array" ref="I58">MuFFromP(テーブル2[[#This Row],[P]])</f>
        <v>7.2223252690249831E-5</v>
      </c>
      <c r="J58">
        <f t="array" ref="J58">KfFromP(テーブル2[[#This Row],[P]])</f>
        <v>0.4911212487937569</v>
      </c>
      <c r="K58">
        <f t="array" ref="K58">CpFFromP(テーブル2[[#This Row],[P]])</f>
        <v>7679.7516396704104</v>
      </c>
      <c r="L58">
        <f t="array" ref="L58">SigmaFromP(テーブル2[[#This Row],[P]])</f>
        <v>6.5036382888884548E-3</v>
      </c>
      <c r="M58" s="23">
        <v>57</v>
      </c>
      <c r="N58">
        <v>2861.16</v>
      </c>
      <c r="O58" s="8">
        <v>1.7719053836560401E-5</v>
      </c>
      <c r="P58" s="8">
        <v>1.4921936786020801E-2</v>
      </c>
      <c r="Q58" s="8">
        <v>4.7498000000000002E-3</v>
      </c>
      <c r="R58">
        <v>0.3175</v>
      </c>
      <c r="S58" s="15">
        <v>1470945.17578125</v>
      </c>
      <c r="T58">
        <v>575.85741467334606</v>
      </c>
      <c r="U58" s="12">
        <f>+T58+BG58*S58*テーブル2[[#This Row],[Pw]]*R58/(N58*O58*K58)</f>
        <v>593.75669475953111</v>
      </c>
      <c r="V58">
        <v>0.03</v>
      </c>
      <c r="W58" s="8">
        <f t="shared" si="0"/>
        <v>188165.68434385463</v>
      </c>
      <c r="X58">
        <v>2.648758764838987E-2</v>
      </c>
      <c r="Y58">
        <f t="shared" si="1"/>
        <v>6.1443903242986835</v>
      </c>
      <c r="Z58">
        <f t="shared" si="2"/>
        <v>6.1443903505649944</v>
      </c>
      <c r="AA58">
        <f t="shared" si="3"/>
        <v>-2.6266310904077272E-8</v>
      </c>
      <c r="AB58">
        <f t="shared" si="4"/>
        <v>1.7992354589735144E-5</v>
      </c>
      <c r="AC58">
        <v>633.01671647436694</v>
      </c>
      <c r="AD58">
        <f t="shared" si="5"/>
        <v>5413.6059219729668</v>
      </c>
      <c r="AE58">
        <f>+gettm2(AD58,AC58,AK58,AL58,テーブル2[[#This Row],[Fcorr]])</f>
        <v>593.75669508969827</v>
      </c>
      <c r="AF58" s="14">
        <f t="shared" si="6"/>
        <v>3.3016715406120056E-7</v>
      </c>
      <c r="AG58">
        <v>1.802144056279982E-5</v>
      </c>
      <c r="AH58">
        <f t="shared" si="7"/>
        <v>43.376012337588264</v>
      </c>
      <c r="AI58">
        <f t="shared" si="8"/>
        <v>0.26347005919884531</v>
      </c>
      <c r="AJ58">
        <f t="shared" si="9"/>
        <v>41.080035939726699</v>
      </c>
      <c r="AK58">
        <f t="array" ref="AK58">+S58*テーブル2[[#This Row],[F_form]]/(E58*CpFromTP((テーブル2[[#This Row],[Tin]]+テーブル2[[#This Row],[Tf]])/2,テーブル2[[#This Row],[P]])*AI58)</f>
        <v>1.5339909236216478</v>
      </c>
      <c r="AL58">
        <f t="shared" si="10"/>
        <v>1.1293680422758512</v>
      </c>
      <c r="AM58">
        <f t="shared" si="11"/>
        <v>608.62110606560486</v>
      </c>
      <c r="AN58">
        <f t="shared" si="12"/>
        <v>1.581383912707679E-10</v>
      </c>
      <c r="AO58">
        <f t="shared" si="13"/>
        <v>2.9085973064675314E-8</v>
      </c>
      <c r="AP58">
        <v>3.4479936722513131</v>
      </c>
      <c r="AQ58">
        <f t="shared" si="14"/>
        <v>4.5867951873028281E-5</v>
      </c>
      <c r="AR58">
        <f t="shared" si="15"/>
        <v>9.0252632679322475E-6</v>
      </c>
      <c r="AS58">
        <f t="shared" si="16"/>
        <v>20.573168838537665</v>
      </c>
      <c r="AT58">
        <f t="shared" si="17"/>
        <v>12.069938716302119</v>
      </c>
      <c r="AU58">
        <f t="shared" si="18"/>
        <v>3.1800674681105541</v>
      </c>
      <c r="AV58">
        <f t="shared" si="19"/>
        <v>0.26792620414075907</v>
      </c>
      <c r="AW58">
        <f t="shared" si="20"/>
        <v>1.0817208364252498E-2</v>
      </c>
      <c r="AX58">
        <f t="shared" si="21"/>
        <v>0.26792619341985319</v>
      </c>
      <c r="AY58">
        <f t="shared" si="22"/>
        <v>1.07209058852753E-8</v>
      </c>
      <c r="AZ58">
        <f t="shared" si="23"/>
        <v>1080577.4158407261</v>
      </c>
      <c r="BA58">
        <f t="shared" si="24"/>
        <v>1.3302794678007493E-5</v>
      </c>
      <c r="BB58" s="15">
        <f t="shared" si="25"/>
        <v>1476330.8050327587</v>
      </c>
      <c r="BC58" s="20">
        <f t="shared" si="26"/>
        <v>5385.6292515087407</v>
      </c>
      <c r="BD58" s="19">
        <f t="shared" si="27"/>
        <v>0.36613392124885413</v>
      </c>
      <c r="BE58" s="15">
        <v>3129760</v>
      </c>
      <c r="BF58" s="16">
        <f>テーブル2[[#This Row],[q_P]]/テーブル2[[#This Row],[q_M]]</f>
        <v>0.4717073529704382</v>
      </c>
      <c r="BG58">
        <v>1</v>
      </c>
      <c r="BH58">
        <v>7.9000000000000001E-2</v>
      </c>
      <c r="BI58">
        <v>4.5999999999999999E-2</v>
      </c>
      <c r="BJ58">
        <v>5625</v>
      </c>
      <c r="BK58" s="22">
        <v>1</v>
      </c>
      <c r="BL58">
        <f>テーブル2[[#This Row],[Ts]]-テーブル2[[#This Row],[Tin]]</f>
        <v>32.763691392416945</v>
      </c>
      <c r="BM58">
        <f>テーブル2[[#This Row],[q_P]]*0.000001</f>
        <v>1.4763308050327586</v>
      </c>
      <c r="BN58">
        <f>テーブル2[[#This Row],[Tsub]]</f>
        <v>32.763691392416945</v>
      </c>
      <c r="BO58">
        <f>テーブル2[[#This Row],[Fcorr]]</f>
        <v>1</v>
      </c>
      <c r="BP58">
        <f>(テーブル2[[#This Row],[Tsub]]-40)^2</f>
        <v>52.364162264180614</v>
      </c>
      <c r="BQ58">
        <v>1</v>
      </c>
      <c r="BR58">
        <v>0.3175</v>
      </c>
    </row>
    <row r="59" spans="1:70" x14ac:dyDescent="0.15">
      <c r="A59" s="9" t="s">
        <v>127</v>
      </c>
      <c r="B59">
        <v>13789520</v>
      </c>
      <c r="C59" s="22">
        <f t="array" ref="C59">TsatFromP(テーブル2[[#This Row],[P]])</f>
        <v>608.621106065763</v>
      </c>
      <c r="D59">
        <f t="array" ref="D59">RhoGFromP(テーブル2[[#This Row],[P]])</f>
        <v>85.147893581579396</v>
      </c>
      <c r="E59">
        <f t="array" ref="E59">RhoFFromP(テーブル2[[#This Row],[P]])</f>
        <v>624.86627494838649</v>
      </c>
      <c r="F59">
        <f t="array" ref="F59">HgFromP(テーブル2[[#This Row],[P]])</f>
        <v>2643264.389866509</v>
      </c>
      <c r="G59">
        <f t="array" ref="G59">HfFromP(テーブル2[[#This Row],[P]])</f>
        <v>1562686.9740257829</v>
      </c>
      <c r="H59">
        <f t="array" ref="H59">MuGFromP(テーブル2[[#This Row],[P]])</f>
        <v>2.2019594042733509E-5</v>
      </c>
      <c r="I59">
        <f t="array" ref="I59">MuFFromP(テーブル2[[#This Row],[P]])</f>
        <v>7.2223252690249831E-5</v>
      </c>
      <c r="J59">
        <f t="array" ref="J59">KfFromP(テーブル2[[#This Row],[P]])</f>
        <v>0.4911212487937569</v>
      </c>
      <c r="K59">
        <f t="array" ref="K59">CpFFromP(テーブル2[[#This Row],[P]])</f>
        <v>7679.7516396704104</v>
      </c>
      <c r="L59">
        <f t="array" ref="L59">SigmaFromP(テーブル2[[#This Row],[P]])</f>
        <v>6.5036382888884548E-3</v>
      </c>
      <c r="M59">
        <v>58</v>
      </c>
      <c r="N59">
        <v>2861.16</v>
      </c>
      <c r="O59" s="8">
        <v>1.7719053836560401E-5</v>
      </c>
      <c r="P59" s="8">
        <v>1.4921936786020801E-2</v>
      </c>
      <c r="Q59" s="8">
        <v>4.7498000000000002E-3</v>
      </c>
      <c r="R59">
        <v>0.3175</v>
      </c>
      <c r="S59" s="15">
        <v>1493587.0132812499</v>
      </c>
      <c r="T59">
        <v>575.31581159469101</v>
      </c>
      <c r="U59" s="12">
        <f>+T59+BG59*S59*テーブル2[[#This Row],[Pw]]*R59/(N59*O59*K59)</f>
        <v>593.49061016909104</v>
      </c>
      <c r="V59">
        <v>0.03</v>
      </c>
      <c r="W59" s="8">
        <f t="shared" si="0"/>
        <v>188165.68434385463</v>
      </c>
      <c r="X59">
        <v>2.648758764838987E-2</v>
      </c>
      <c r="Y59">
        <f t="shared" si="1"/>
        <v>6.1443903242986835</v>
      </c>
      <c r="Z59">
        <f t="shared" si="2"/>
        <v>6.1443903505649944</v>
      </c>
      <c r="AA59">
        <f t="shared" si="3"/>
        <v>-2.6266310904077272E-8</v>
      </c>
      <c r="AB59">
        <f t="shared" si="4"/>
        <v>1.7992354589735144E-5</v>
      </c>
      <c r="AC59">
        <v>633.45374895095165</v>
      </c>
      <c r="AD59">
        <f t="shared" si="5"/>
        <v>5413.6059219729668</v>
      </c>
      <c r="AE59">
        <f>+gettm2(AD59,AC59,AK59,AL59,テーブル2[[#This Row],[Fcorr]])</f>
        <v>593.49061016909104</v>
      </c>
      <c r="AF59" s="14">
        <f t="shared" si="6"/>
        <v>0</v>
      </c>
      <c r="AG59">
        <v>1.8022019849431849E-5</v>
      </c>
      <c r="AH59">
        <f t="shared" si="7"/>
        <v>43.376012337588264</v>
      </c>
      <c r="AI59">
        <f t="shared" si="8"/>
        <v>0.26347005919884531</v>
      </c>
      <c r="AJ59">
        <f t="shared" si="9"/>
        <v>41.081356428817472</v>
      </c>
      <c r="AK59">
        <f t="array" ref="AK59">+S59*テーブル2[[#This Row],[F_form]]/(E59*CpFromTP((テーブル2[[#This Row],[Tin]]+テーブル2[[#This Row],[Tf]])/2,テーブル2[[#This Row],[P]])*AI59)</f>
        <v>1.5614635450694274</v>
      </c>
      <c r="AL59">
        <f t="shared" si="10"/>
        <v>1.1293680422758512</v>
      </c>
      <c r="AM59">
        <f t="shared" si="11"/>
        <v>608.62110606558872</v>
      </c>
      <c r="AN59">
        <f t="shared" si="12"/>
        <v>1.7428192222723737E-10</v>
      </c>
      <c r="AO59">
        <f t="shared" si="13"/>
        <v>2.9665259696705121E-8</v>
      </c>
      <c r="AP59">
        <v>3.4480721274630239</v>
      </c>
      <c r="AQ59">
        <f t="shared" si="14"/>
        <v>4.5865864597123349E-5</v>
      </c>
      <c r="AR59">
        <f t="shared" si="15"/>
        <v>9.0258425545642773E-6</v>
      </c>
      <c r="AS59">
        <f t="shared" si="16"/>
        <v>20.574489327628442</v>
      </c>
      <c r="AT59">
        <f t="shared" si="17"/>
        <v>12.070259631063756</v>
      </c>
      <c r="AU59">
        <f t="shared" si="18"/>
        <v>3.1801520195418007</v>
      </c>
      <c r="AV59">
        <f t="shared" si="19"/>
        <v>0.26792010792122323</v>
      </c>
      <c r="AW59">
        <f t="shared" si="20"/>
        <v>1.0817208364252498E-2</v>
      </c>
      <c r="AX59">
        <f t="shared" si="21"/>
        <v>0.26792009719986393</v>
      </c>
      <c r="AY59">
        <f t="shared" si="22"/>
        <v>1.0721359300358557E-8</v>
      </c>
      <c r="AZ59">
        <f t="shared" si="23"/>
        <v>1080577.4158407261</v>
      </c>
      <c r="BA59">
        <f t="shared" si="24"/>
        <v>1.3301886649009838E-5</v>
      </c>
      <c r="BB59" s="15">
        <f t="shared" si="25"/>
        <v>1505836.7230187482</v>
      </c>
      <c r="BC59" s="20">
        <f t="shared" si="26"/>
        <v>12249.709737498313</v>
      </c>
      <c r="BD59" s="19">
        <f t="shared" si="27"/>
        <v>0.8201537391910646</v>
      </c>
      <c r="BE59" s="15">
        <v>3249650</v>
      </c>
      <c r="BF59" s="16">
        <f>テーブル2[[#This Row],[q_P]]/テーブル2[[#This Row],[q_M]]</f>
        <v>0.46338427923584025</v>
      </c>
      <c r="BG59">
        <v>1</v>
      </c>
      <c r="BH59">
        <v>8.6999999999999994E-2</v>
      </c>
      <c r="BI59">
        <v>4.5999999999999999E-2</v>
      </c>
      <c r="BJ59">
        <v>5625</v>
      </c>
      <c r="BK59" s="22">
        <v>1</v>
      </c>
      <c r="BL59">
        <f>テーブル2[[#This Row],[Ts]]-テーブル2[[#This Row],[Tin]]</f>
        <v>33.305294471071988</v>
      </c>
      <c r="BM59">
        <f>テーブル2[[#This Row],[q_P]]*0.000001</f>
        <v>1.5058367230187482</v>
      </c>
      <c r="BN59">
        <f>テーブル2[[#This Row],[Tsub]]</f>
        <v>33.305294471071988</v>
      </c>
      <c r="BO59">
        <f>テーブル2[[#This Row],[Fcorr]]</f>
        <v>1</v>
      </c>
      <c r="BP59">
        <f>(テーブル2[[#This Row],[Tsub]]-40)^2</f>
        <v>44.819082119059289</v>
      </c>
      <c r="BQ59">
        <v>1</v>
      </c>
      <c r="BR59">
        <v>0.3175</v>
      </c>
    </row>
    <row r="60" spans="1:70" x14ac:dyDescent="0.15">
      <c r="A60" s="9" t="s">
        <v>128</v>
      </c>
      <c r="B60">
        <v>13789520</v>
      </c>
      <c r="C60" s="22">
        <f t="array" ref="C60">TsatFromP(テーブル2[[#This Row],[P]])</f>
        <v>608.621106065763</v>
      </c>
      <c r="D60">
        <f t="array" ref="D60">RhoGFromP(テーブル2[[#This Row],[P]])</f>
        <v>85.147893581579396</v>
      </c>
      <c r="E60">
        <f t="array" ref="E60">RhoFFromP(テーブル2[[#This Row],[P]])</f>
        <v>624.86627494838649</v>
      </c>
      <c r="F60">
        <f t="array" ref="F60">HgFromP(テーブル2[[#This Row],[P]])</f>
        <v>2643264.389866509</v>
      </c>
      <c r="G60">
        <f t="array" ref="G60">HfFromP(テーブル2[[#This Row],[P]])</f>
        <v>1562686.9740257829</v>
      </c>
      <c r="H60">
        <f t="array" ref="H60">MuGFromP(テーブル2[[#This Row],[P]])</f>
        <v>2.2019594042733509E-5</v>
      </c>
      <c r="I60">
        <f t="array" ref="I60">MuFFromP(テーブル2[[#This Row],[P]])</f>
        <v>7.2223252690249831E-5</v>
      </c>
      <c r="J60">
        <f t="array" ref="J60">KfFromP(テーブル2[[#This Row],[P]])</f>
        <v>0.4911212487937569</v>
      </c>
      <c r="K60">
        <f t="array" ref="K60">CpFFromP(テーブル2[[#This Row],[P]])</f>
        <v>7679.7516396704104</v>
      </c>
      <c r="L60">
        <f t="array" ref="L60">SigmaFromP(テーブル2[[#This Row],[P]])</f>
        <v>6.5036382888884548E-3</v>
      </c>
      <c r="M60" s="23">
        <v>59</v>
      </c>
      <c r="N60">
        <v>3037.44</v>
      </c>
      <c r="O60" s="8">
        <v>1.7719053836560401E-5</v>
      </c>
      <c r="P60" s="8">
        <v>1.4921936786020801E-2</v>
      </c>
      <c r="Q60" s="8">
        <v>4.7498000000000002E-3</v>
      </c>
      <c r="R60">
        <v>0.3175</v>
      </c>
      <c r="S60" s="15">
        <v>2771085.4857812501</v>
      </c>
      <c r="T60">
        <v>546.46403770430902</v>
      </c>
      <c r="U60" s="12">
        <f>+T60+BG60*S60*テーブル2[[#This Row],[Pw]]*R60/(N60*O60*K60)</f>
        <v>578.22717839319932</v>
      </c>
      <c r="V60">
        <v>0.03</v>
      </c>
      <c r="W60" s="8">
        <f t="shared" si="0"/>
        <v>199758.83077262295</v>
      </c>
      <c r="X60">
        <v>2.582843016795348E-2</v>
      </c>
      <c r="Y60">
        <f t="shared" si="1"/>
        <v>6.2223006925850006</v>
      </c>
      <c r="Z60">
        <f t="shared" si="2"/>
        <v>6.2223006947724162</v>
      </c>
      <c r="AA60">
        <f t="shared" si="3"/>
        <v>-2.1874155820000851E-9</v>
      </c>
      <c r="AB60">
        <f t="shared" si="4"/>
        <v>1.6371982484804063E-5</v>
      </c>
      <c r="AC60">
        <v>656.98280924712549</v>
      </c>
      <c r="AD60">
        <f t="shared" si="5"/>
        <v>5675.1847435444433</v>
      </c>
      <c r="AE60">
        <f>+gettm2(AD60,AC60,AK60,AL60,テーブル2[[#This Row],[Fcorr]])</f>
        <v>578.22717839319932</v>
      </c>
      <c r="AF60" s="14">
        <f t="shared" si="6"/>
        <v>0</v>
      </c>
      <c r="AG60">
        <v>1.6422213551125628E-5</v>
      </c>
      <c r="AH60">
        <f t="shared" si="7"/>
        <v>47.669034302412058</v>
      </c>
      <c r="AI60">
        <f t="shared" si="8"/>
        <v>0.2762006104428642</v>
      </c>
      <c r="AJ60">
        <f t="shared" si="9"/>
        <v>39.24337690032295</v>
      </c>
      <c r="AK60">
        <f t="array" ref="AK60">+S60*テーブル2[[#This Row],[F_form]]/(E60*CpFromTP((テーブル2[[#This Row],[Tin]]+テーブル2[[#This Row],[Tf]])/2,テーブル2[[#This Row],[P]])*AI60)</f>
        <v>3.062997547577079</v>
      </c>
      <c r="AL60">
        <f t="shared" si="10"/>
        <v>1.1293680422758512</v>
      </c>
      <c r="AM60">
        <f t="shared" si="11"/>
        <v>608.62110603027338</v>
      </c>
      <c r="AN60">
        <f t="shared" si="12"/>
        <v>3.5489620131556876E-8</v>
      </c>
      <c r="AO60">
        <f t="shared" si="13"/>
        <v>5.0231066321564831E-8</v>
      </c>
      <c r="AP60">
        <v>3.5456821764516628</v>
      </c>
      <c r="AQ60">
        <f t="shared" si="14"/>
        <v>4.3375316816536503E-5</v>
      </c>
      <c r="AR60">
        <f t="shared" si="15"/>
        <v>8.2362223087235966E-6</v>
      </c>
      <c r="AS60">
        <f t="shared" si="16"/>
        <v>19.681705836417759</v>
      </c>
      <c r="AT60">
        <f t="shared" si="17"/>
        <v>11.84844783273746</v>
      </c>
      <c r="AU60">
        <f t="shared" si="18"/>
        <v>3.2725485242025179</v>
      </c>
      <c r="AV60">
        <f t="shared" si="19"/>
        <v>0.27313365224914499</v>
      </c>
      <c r="AW60">
        <f t="shared" si="20"/>
        <v>9.8430222120597325E-3</v>
      </c>
      <c r="AX60">
        <f t="shared" si="21"/>
        <v>0.2731336414539467</v>
      </c>
      <c r="AY60">
        <f t="shared" si="22"/>
        <v>1.0795198290836083E-8</v>
      </c>
      <c r="AZ60">
        <f t="shared" si="23"/>
        <v>1080577.4158407261</v>
      </c>
      <c r="BA60">
        <f t="shared" si="24"/>
        <v>1.223327829679994E-5</v>
      </c>
      <c r="BB60" s="15">
        <f t="shared" si="25"/>
        <v>2772506.1242673025</v>
      </c>
      <c r="BC60" s="20">
        <f t="shared" si="26"/>
        <v>1420.6384860523976</v>
      </c>
      <c r="BD60" s="19">
        <f t="shared" si="27"/>
        <v>5.1266498032697033E-2</v>
      </c>
      <c r="BE60" s="15">
        <v>4297110</v>
      </c>
      <c r="BF60" s="16">
        <f>テーブル2[[#This Row],[q_P]]/テーブル2[[#This Row],[q_M]]</f>
        <v>0.64520250220899689</v>
      </c>
      <c r="BG60">
        <v>1</v>
      </c>
      <c r="BH60">
        <v>1.4999999999999999E-2</v>
      </c>
      <c r="BI60">
        <v>4.5999999999999999E-2</v>
      </c>
      <c r="BJ60">
        <v>5625</v>
      </c>
      <c r="BK60" s="22">
        <v>1</v>
      </c>
      <c r="BL60">
        <f>テーブル2[[#This Row],[Ts]]-テーブル2[[#This Row],[Tin]]</f>
        <v>62.15706836145398</v>
      </c>
      <c r="BM60">
        <f>テーブル2[[#This Row],[q_P]]*0.000001</f>
        <v>2.7725061242673021</v>
      </c>
      <c r="BN60">
        <f>テーブル2[[#This Row],[Tsub]]</f>
        <v>62.15706836145398</v>
      </c>
      <c r="BO60">
        <f>テーブル2[[#This Row],[Fcorr]]</f>
        <v>1</v>
      </c>
      <c r="BP60">
        <f>(テーブル2[[#This Row],[Tsub]]-40)^2</f>
        <v>490.93567837414497</v>
      </c>
      <c r="BQ60">
        <v>1</v>
      </c>
      <c r="BR60">
        <v>0.3175</v>
      </c>
    </row>
    <row r="61" spans="1:70" x14ac:dyDescent="0.15">
      <c r="A61" s="9" t="s">
        <v>129</v>
      </c>
      <c r="B61">
        <v>13789520</v>
      </c>
      <c r="C61" s="22">
        <f t="array" ref="C61">TsatFromP(テーブル2[[#This Row],[P]])</f>
        <v>608.621106065763</v>
      </c>
      <c r="D61">
        <f t="array" ref="D61">RhoGFromP(テーブル2[[#This Row],[P]])</f>
        <v>85.147893581579396</v>
      </c>
      <c r="E61">
        <f t="array" ref="E61">RhoFFromP(テーブル2[[#This Row],[P]])</f>
        <v>624.86627494838649</v>
      </c>
      <c r="F61">
        <f t="array" ref="F61">HgFromP(テーブル2[[#This Row],[P]])</f>
        <v>2643264.389866509</v>
      </c>
      <c r="G61">
        <f t="array" ref="G61">HfFromP(テーブル2[[#This Row],[P]])</f>
        <v>1562686.9740257829</v>
      </c>
      <c r="H61">
        <f t="array" ref="H61">MuGFromP(テーブル2[[#This Row],[P]])</f>
        <v>2.2019594042733509E-5</v>
      </c>
      <c r="I61">
        <f t="array" ref="I61">MuFFromP(テーブル2[[#This Row],[P]])</f>
        <v>7.2223252690249831E-5</v>
      </c>
      <c r="J61">
        <f t="array" ref="J61">KfFromP(テーブル2[[#This Row],[P]])</f>
        <v>0.4911212487937569</v>
      </c>
      <c r="K61">
        <f t="array" ref="K61">CpFFromP(テーブル2[[#This Row],[P]])</f>
        <v>7679.7516396704104</v>
      </c>
      <c r="L61">
        <f t="array" ref="L61">SigmaFromP(テーブル2[[#This Row],[P]])</f>
        <v>6.5036382888884548E-3</v>
      </c>
      <c r="M61">
        <v>60</v>
      </c>
      <c r="N61">
        <v>3240.84</v>
      </c>
      <c r="O61" s="8">
        <v>1.7719053836560401E-5</v>
      </c>
      <c r="P61" s="8">
        <v>1.4921936786020801E-2</v>
      </c>
      <c r="Q61" s="8">
        <v>4.7498000000000002E-3</v>
      </c>
      <c r="R61">
        <v>0.3175</v>
      </c>
      <c r="S61" s="15">
        <v>3473975.09765625</v>
      </c>
      <c r="T61">
        <v>532.84871111815698</v>
      </c>
      <c r="U61" s="12">
        <f>+T61+BG61*S61*テーブル2[[#This Row],[Pw]]*R61/(N61*O61*K61)</f>
        <v>570.16945855758365</v>
      </c>
      <c r="V61">
        <v>0.03</v>
      </c>
      <c r="W61" s="8">
        <f t="shared" si="0"/>
        <v>213135.5381904325</v>
      </c>
      <c r="X61">
        <v>2.514065675599568E-2</v>
      </c>
      <c r="Y61">
        <f t="shared" si="1"/>
        <v>6.3068382175993563</v>
      </c>
      <c r="Z61">
        <f t="shared" si="2"/>
        <v>6.3068382264170468</v>
      </c>
      <c r="AA61">
        <f t="shared" si="3"/>
        <v>-8.8176905777004322E-9</v>
      </c>
      <c r="AB61">
        <f t="shared" si="4"/>
        <v>1.4774843804228533E-5</v>
      </c>
      <c r="AC61">
        <v>667.79379004468331</v>
      </c>
      <c r="AD61">
        <f t="shared" si="5"/>
        <v>5974.0546358768634</v>
      </c>
      <c r="AE61">
        <f>+gettm2(AD61,AC61,AK61,AL61,テーブル2[[#This Row],[Fcorr]])</f>
        <v>570.16945855758365</v>
      </c>
      <c r="AF61" s="14">
        <f t="shared" si="6"/>
        <v>0</v>
      </c>
      <c r="AG61">
        <v>1.483278890377218E-5</v>
      </c>
      <c r="AH61">
        <f t="shared" si="7"/>
        <v>52.821986141285301</v>
      </c>
      <c r="AI61">
        <f t="shared" si="8"/>
        <v>0.29074604824541439</v>
      </c>
      <c r="AJ61">
        <f t="shared" si="9"/>
        <v>37.311841051649786</v>
      </c>
      <c r="AK61">
        <f t="array" ref="AK61">+S61*テーブル2[[#This Row],[F_form]]/(E61*CpFromTP((テーブル2[[#This Row],[Tin]]+テーブル2[[#This Row],[Tf]])/2,テーブル2[[#This Row],[P]])*AI61)</f>
        <v>3.7779046492442934</v>
      </c>
      <c r="AL61">
        <f t="shared" si="10"/>
        <v>1.1293680422758512</v>
      </c>
      <c r="AM61">
        <f t="shared" si="11"/>
        <v>608.62110605561645</v>
      </c>
      <c r="AN61">
        <f t="shared" si="12"/>
        <v>1.0146550266654231E-8</v>
      </c>
      <c r="AO61">
        <f t="shared" si="13"/>
        <v>5.7945099543647049E-8</v>
      </c>
      <c r="AP61">
        <v>3.6518999507241729</v>
      </c>
      <c r="AQ61">
        <f t="shared" si="14"/>
        <v>4.0888815210792302E-5</v>
      </c>
      <c r="AR61">
        <f t="shared" si="15"/>
        <v>7.4453670016579133E-6</v>
      </c>
      <c r="AS61">
        <f t="shared" si="16"/>
        <v>18.728800897746883</v>
      </c>
      <c r="AT61">
        <f t="shared" si="17"/>
        <v>11.600312469990005</v>
      </c>
      <c r="AU61">
        <f t="shared" si="18"/>
        <v>3.372745009061596</v>
      </c>
      <c r="AV61">
        <f t="shared" si="19"/>
        <v>0.27915494166257693</v>
      </c>
      <c r="AW61">
        <f t="shared" si="20"/>
        <v>8.8828042590270977E-3</v>
      </c>
      <c r="AX61">
        <f t="shared" si="21"/>
        <v>0.27915493811131908</v>
      </c>
      <c r="AY61">
        <f t="shared" si="22"/>
        <v>3.55125784334831E-9</v>
      </c>
      <c r="AZ61">
        <f t="shared" si="23"/>
        <v>1080577.4158407261</v>
      </c>
      <c r="BA61">
        <f t="shared" si="24"/>
        <v>1.1196586917087922E-5</v>
      </c>
      <c r="BB61" s="15">
        <f t="shared" si="25"/>
        <v>3494411.369339705</v>
      </c>
      <c r="BC61" s="20">
        <f t="shared" si="26"/>
        <v>20436.271683454979</v>
      </c>
      <c r="BD61" s="19">
        <f t="shared" si="27"/>
        <v>0.58826765042853935</v>
      </c>
      <c r="BE61" s="15">
        <v>5016450</v>
      </c>
      <c r="BF61" s="16">
        <f>テーブル2[[#This Row],[q_P]]/テーブル2[[#This Row],[q_M]]</f>
        <v>0.69659049115205074</v>
      </c>
      <c r="BG61">
        <v>1</v>
      </c>
      <c r="BH61">
        <v>-1.4E-2</v>
      </c>
      <c r="BI61">
        <v>4.5999999999999999E-2</v>
      </c>
      <c r="BJ61">
        <v>5625</v>
      </c>
      <c r="BK61" s="22">
        <v>1</v>
      </c>
      <c r="BL61">
        <f>テーブル2[[#This Row],[Ts]]-テーブル2[[#This Row],[Tin]]</f>
        <v>75.772394947606017</v>
      </c>
      <c r="BM61">
        <f>テーブル2[[#This Row],[q_P]]*0.000001</f>
        <v>3.494411369339705</v>
      </c>
      <c r="BN61">
        <f>テーブル2[[#This Row],[Tsub]]</f>
        <v>75.772394947606017</v>
      </c>
      <c r="BO61">
        <f>テーブル2[[#This Row],[Fcorr]]</f>
        <v>1</v>
      </c>
      <c r="BP61">
        <f>(テーブル2[[#This Row],[Tsub]]-40)^2</f>
        <v>1279.6642402875084</v>
      </c>
      <c r="BQ61">
        <v>1</v>
      </c>
      <c r="BR61">
        <v>0.3175</v>
      </c>
    </row>
    <row r="62" spans="1:70" x14ac:dyDescent="0.15">
      <c r="A62" s="9" t="s">
        <v>130</v>
      </c>
      <c r="B62">
        <v>13789520</v>
      </c>
      <c r="C62" s="22">
        <f t="array" ref="C62">TsatFromP(テーブル2[[#This Row],[P]])</f>
        <v>608.621106065763</v>
      </c>
      <c r="D62">
        <f t="array" ref="D62">RhoGFromP(テーブル2[[#This Row],[P]])</f>
        <v>85.147893581579396</v>
      </c>
      <c r="E62">
        <f t="array" ref="E62">RhoFFromP(テーブル2[[#This Row],[P]])</f>
        <v>624.86627494838649</v>
      </c>
      <c r="F62">
        <f t="array" ref="F62">HgFromP(テーブル2[[#This Row],[P]])</f>
        <v>2643264.389866509</v>
      </c>
      <c r="G62">
        <f t="array" ref="G62">HfFromP(テーブル2[[#This Row],[P]])</f>
        <v>1562686.9740257829</v>
      </c>
      <c r="H62">
        <f t="array" ref="H62">MuGFromP(テーブル2[[#This Row],[P]])</f>
        <v>2.2019594042733509E-5</v>
      </c>
      <c r="I62">
        <f t="array" ref="I62">MuFFromP(テーブル2[[#This Row],[P]])</f>
        <v>7.2223252690249831E-5</v>
      </c>
      <c r="J62">
        <f t="array" ref="J62">KfFromP(テーブル2[[#This Row],[P]])</f>
        <v>0.4911212487937569</v>
      </c>
      <c r="K62">
        <f t="array" ref="K62">CpFFromP(テーブル2[[#This Row],[P]])</f>
        <v>7679.7516396704104</v>
      </c>
      <c r="L62">
        <f t="array" ref="L62">SigmaFromP(テーブル2[[#This Row],[P]])</f>
        <v>6.5036382888884548E-3</v>
      </c>
      <c r="M62" s="23">
        <v>61</v>
      </c>
      <c r="N62">
        <v>3254.4</v>
      </c>
      <c r="O62" s="8">
        <v>1.7719053836560401E-5</v>
      </c>
      <c r="P62" s="8">
        <v>1.4921936786020801E-2</v>
      </c>
      <c r="Q62" s="8">
        <v>4.7498000000000002E-3</v>
      </c>
      <c r="R62">
        <v>0.3175</v>
      </c>
      <c r="S62" s="15">
        <v>3530403.29296875</v>
      </c>
      <c r="T62">
        <v>531.74235590187595</v>
      </c>
      <c r="U62" s="12">
        <f>+T62+BG62*S62*テーブル2[[#This Row],[Pw]]*R62/(N62*O62*K62)</f>
        <v>569.51127976026135</v>
      </c>
      <c r="V62">
        <v>0.03</v>
      </c>
      <c r="W62" s="8">
        <f t="shared" si="0"/>
        <v>214027.31868495315</v>
      </c>
      <c r="X62">
        <v>2.5097279250446181E-2</v>
      </c>
      <c r="Y62">
        <f t="shared" si="1"/>
        <v>6.3122861547861682</v>
      </c>
      <c r="Z62">
        <f t="shared" si="2"/>
        <v>6.3122861986763308</v>
      </c>
      <c r="AA62">
        <f t="shared" si="3"/>
        <v>-4.3890162615412009E-8</v>
      </c>
      <c r="AB62">
        <f t="shared" si="4"/>
        <v>1.4677300721031837E-5</v>
      </c>
      <c r="AC62">
        <v>668.67809075086018</v>
      </c>
      <c r="AD62">
        <f t="shared" si="5"/>
        <v>5993.8730869541587</v>
      </c>
      <c r="AE62">
        <f>+gettm2(AD62,AC62,AK62,AL62,テーブル2[[#This Row],[Fcorr]])</f>
        <v>569.51128044704217</v>
      </c>
      <c r="AF62" s="14">
        <f t="shared" si="6"/>
        <v>6.8678082243422978E-7</v>
      </c>
      <c r="AG62">
        <v>1.473558647013981E-5</v>
      </c>
      <c r="AH62">
        <f t="shared" si="7"/>
        <v>53.173032937063702</v>
      </c>
      <c r="AI62">
        <f t="shared" si="8"/>
        <v>0.29171057513448312</v>
      </c>
      <c r="AJ62">
        <f t="shared" si="9"/>
        <v>37.1902965025293</v>
      </c>
      <c r="AK62">
        <f t="array" ref="AK62">+S62*テーブル2[[#This Row],[F_form]]/(E62*CpFromTP((テーブル2[[#This Row],[Tin]]+テーブル2[[#This Row],[Tf]])/2,テーブル2[[#This Row],[P]])*AI62)</f>
        <v>3.8363611538928142</v>
      </c>
      <c r="AL62">
        <f t="shared" si="10"/>
        <v>1.1293680422758512</v>
      </c>
      <c r="AM62">
        <f t="shared" si="11"/>
        <v>608.62110605803946</v>
      </c>
      <c r="AN62">
        <f t="shared" si="12"/>
        <v>7.7235426942934282E-9</v>
      </c>
      <c r="AO62">
        <f t="shared" si="13"/>
        <v>5.8285749107972785E-8</v>
      </c>
      <c r="AP62">
        <v>3.6587987247163758</v>
      </c>
      <c r="AQ62">
        <f t="shared" si="14"/>
        <v>4.073476642129092E-5</v>
      </c>
      <c r="AR62">
        <f t="shared" si="15"/>
        <v>7.3969361096238913E-6</v>
      </c>
      <c r="AS62">
        <f t="shared" si="16"/>
        <v>18.668700270914162</v>
      </c>
      <c r="AT62">
        <f t="shared" si="17"/>
        <v>11.584241696089299</v>
      </c>
      <c r="AU62">
        <f t="shared" si="18"/>
        <v>3.3792458076630694</v>
      </c>
      <c r="AV62">
        <f t="shared" si="19"/>
        <v>0.27955291705330643</v>
      </c>
      <c r="AW62">
        <f t="shared" si="20"/>
        <v>8.8241602471959696E-3</v>
      </c>
      <c r="AX62">
        <f t="shared" si="21"/>
        <v>0.27955291132186871</v>
      </c>
      <c r="AY62">
        <f t="shared" si="22"/>
        <v>5.7314377133188543E-9</v>
      </c>
      <c r="AZ62">
        <f t="shared" si="23"/>
        <v>1080577.4158407261</v>
      </c>
      <c r="BA62">
        <f t="shared" si="24"/>
        <v>1.1133371766562156E-5</v>
      </c>
      <c r="BB62" s="15">
        <f t="shared" si="25"/>
        <v>3534912.2991043734</v>
      </c>
      <c r="BC62" s="20">
        <f t="shared" si="26"/>
        <v>4509.0061356234364</v>
      </c>
      <c r="BD62" s="19">
        <f t="shared" si="27"/>
        <v>0.12771929327744791</v>
      </c>
      <c r="BE62" s="15">
        <v>4101500</v>
      </c>
      <c r="BF62" s="16">
        <f>テーブル2[[#This Row],[q_P]]/テーブル2[[#This Row],[q_M]]</f>
        <v>0.86185841743371294</v>
      </c>
      <c r="BG62">
        <v>1</v>
      </c>
      <c r="BH62">
        <v>-0.09</v>
      </c>
      <c r="BI62">
        <v>4.5999999999999999E-2</v>
      </c>
      <c r="BJ62">
        <v>5625</v>
      </c>
      <c r="BK62" s="22">
        <v>1</v>
      </c>
      <c r="BL62">
        <f>テーブル2[[#This Row],[Ts]]-テーブル2[[#This Row],[Tin]]</f>
        <v>76.878750163887048</v>
      </c>
      <c r="BM62">
        <f>テーブル2[[#This Row],[q_P]]*0.000001</f>
        <v>3.5349122991043731</v>
      </c>
      <c r="BN62">
        <f>テーブル2[[#This Row],[Tsub]]</f>
        <v>76.878750163887048</v>
      </c>
      <c r="BO62">
        <f>テーブル2[[#This Row],[Fcorr]]</f>
        <v>1</v>
      </c>
      <c r="BP62">
        <f>(テーブル2[[#This Row],[Tsub]]-40)^2</f>
        <v>1360.0422136503989</v>
      </c>
      <c r="BQ62">
        <v>1</v>
      </c>
      <c r="BR62">
        <v>0.3175</v>
      </c>
    </row>
    <row r="63" spans="1:70" x14ac:dyDescent="0.15">
      <c r="A63" s="9" t="s">
        <v>131</v>
      </c>
      <c r="B63">
        <v>13789520</v>
      </c>
      <c r="C63" s="22">
        <f t="array" ref="C63">TsatFromP(テーブル2[[#This Row],[P]])</f>
        <v>608.621106065763</v>
      </c>
      <c r="D63">
        <f t="array" ref="D63">RhoGFromP(テーブル2[[#This Row],[P]])</f>
        <v>85.147893581579396</v>
      </c>
      <c r="E63">
        <f t="array" ref="E63">RhoFFromP(テーブル2[[#This Row],[P]])</f>
        <v>624.86627494838649</v>
      </c>
      <c r="F63">
        <f t="array" ref="F63">HgFromP(テーブル2[[#This Row],[P]])</f>
        <v>2643264.389866509</v>
      </c>
      <c r="G63">
        <f t="array" ref="G63">HfFromP(テーブル2[[#This Row],[P]])</f>
        <v>1562686.9740257829</v>
      </c>
      <c r="H63">
        <f t="array" ref="H63">MuGFromP(テーブル2[[#This Row],[P]])</f>
        <v>2.2019594042733509E-5</v>
      </c>
      <c r="I63">
        <f t="array" ref="I63">MuFFromP(テーブル2[[#This Row],[P]])</f>
        <v>7.2223252690249831E-5</v>
      </c>
      <c r="J63">
        <f t="array" ref="J63">KfFromP(テーブル2[[#This Row],[P]])</f>
        <v>0.4911212487937569</v>
      </c>
      <c r="K63">
        <f t="array" ref="K63">CpFFromP(テーブル2[[#This Row],[P]])</f>
        <v>7679.7516396704104</v>
      </c>
      <c r="L63">
        <f t="array" ref="L63">SigmaFromP(テーブル2[[#This Row],[P]])</f>
        <v>6.5036382888884548E-3</v>
      </c>
      <c r="M63">
        <v>62</v>
      </c>
      <c r="N63">
        <v>3390</v>
      </c>
      <c r="O63" s="8">
        <v>1.7719053836560401E-5</v>
      </c>
      <c r="P63" s="8">
        <v>1.4921936786020801E-2</v>
      </c>
      <c r="Q63" s="8">
        <v>4.7498000000000002E-3</v>
      </c>
      <c r="R63">
        <v>0.3175</v>
      </c>
      <c r="S63" s="15">
        <v>4885709.98828125</v>
      </c>
      <c r="T63">
        <v>502.18664486312503</v>
      </c>
      <c r="U63" s="12">
        <f>+T63+BG63*S63*テーブル2[[#This Row],[Pw]]*R63/(N63*O63*K63)</f>
        <v>552.36416666430182</v>
      </c>
      <c r="V63">
        <v>0.03</v>
      </c>
      <c r="W63" s="8">
        <f t="shared" si="0"/>
        <v>222945.12363015956</v>
      </c>
      <c r="X63">
        <v>2.4678932692460711E-2</v>
      </c>
      <c r="Y63">
        <f t="shared" si="1"/>
        <v>6.3655628904620603</v>
      </c>
      <c r="Z63">
        <f t="shared" si="2"/>
        <v>6.3655629128054843</v>
      </c>
      <c r="AA63">
        <f t="shared" si="3"/>
        <v>-2.2343423999870993E-8</v>
      </c>
      <c r="AB63">
        <f t="shared" si="4"/>
        <v>1.375589740389711E-5</v>
      </c>
      <c r="AC63">
        <v>693.26798740051709</v>
      </c>
      <c r="AD63">
        <f t="shared" si="5"/>
        <v>6191.3616856873059</v>
      </c>
      <c r="AE63">
        <f>+gettm2(AD63,AC63,AK63,AL63,テーブル2[[#This Row],[Fcorr]])</f>
        <v>552.36416666430182</v>
      </c>
      <c r="AF63" s="14">
        <f t="shared" si="6"/>
        <v>0</v>
      </c>
      <c r="AG63">
        <v>1.383250241704707E-5</v>
      </c>
      <c r="AH63">
        <f t="shared" si="7"/>
        <v>56.734691438270922</v>
      </c>
      <c r="AI63">
        <f t="shared" si="8"/>
        <v>0.30132197528980814</v>
      </c>
      <c r="AJ63">
        <f t="shared" si="9"/>
        <v>36.061318574290411</v>
      </c>
      <c r="AK63">
        <f t="array" ref="AK63">+S63*テーブル2[[#This Row],[F_form]]/(E63*CpFromTP((テーブル2[[#This Row],[Tin]]+テーブル2[[#This Row],[Tf]])/2,テーブル2[[#This Row],[P]])*AI63)</f>
        <v>5.4338823225485493</v>
      </c>
      <c r="AL63">
        <f t="shared" si="10"/>
        <v>1.1293680422758512</v>
      </c>
      <c r="AM63">
        <f t="shared" si="11"/>
        <v>608.6211060349649</v>
      </c>
      <c r="AN63">
        <f t="shared" si="12"/>
        <v>3.0798105399298947E-8</v>
      </c>
      <c r="AO63">
        <f t="shared" si="13"/>
        <v>7.66050131499601E-8</v>
      </c>
      <c r="AP63">
        <v>3.7297833475328699</v>
      </c>
      <c r="AQ63">
        <f t="shared" si="14"/>
        <v>3.9199006251296988E-5</v>
      </c>
      <c r="AR63">
        <f t="shared" si="15"/>
        <v>6.9545537150985152E-6</v>
      </c>
      <c r="AS63">
        <f t="shared" si="16"/>
        <v>18.130513879622409</v>
      </c>
      <c r="AT63">
        <f t="shared" si="17"/>
        <v>11.437981842625801</v>
      </c>
      <c r="AU63">
        <f t="shared" si="18"/>
        <v>3.4465152821489657</v>
      </c>
      <c r="AV63">
        <f t="shared" si="19"/>
        <v>0.28326806538390414</v>
      </c>
      <c r="AW63">
        <f t="shared" si="20"/>
        <v>8.2702020857307618E-3</v>
      </c>
      <c r="AX63">
        <f t="shared" si="21"/>
        <v>0.28326803186954752</v>
      </c>
      <c r="AY63">
        <f t="shared" si="22"/>
        <v>3.3514356623243202E-8</v>
      </c>
      <c r="AZ63">
        <f t="shared" si="23"/>
        <v>1080577.4158407261</v>
      </c>
      <c r="BA63">
        <f t="shared" si="24"/>
        <v>1.0509727402055633E-5</v>
      </c>
      <c r="BB63" s="15">
        <f t="shared" si="25"/>
        <v>4921627.1787899388</v>
      </c>
      <c r="BC63" s="20">
        <f t="shared" si="26"/>
        <v>35917.1905086888</v>
      </c>
      <c r="BD63" s="19">
        <f t="shared" si="27"/>
        <v>0.73514782078426544</v>
      </c>
      <c r="BE63" s="15">
        <v>5300400</v>
      </c>
      <c r="BF63" s="16">
        <f>テーブル2[[#This Row],[q_P]]/テーブル2[[#This Row],[q_M]]</f>
        <v>0.92853882325672377</v>
      </c>
      <c r="BG63">
        <v>1</v>
      </c>
      <c r="BH63">
        <v>-0.14399999999999999</v>
      </c>
      <c r="BI63">
        <v>4.5999999999999999E-2</v>
      </c>
      <c r="BJ63">
        <v>5625</v>
      </c>
      <c r="BK63" s="22">
        <v>1</v>
      </c>
      <c r="BL63">
        <f>テーブル2[[#This Row],[Ts]]-テーブル2[[#This Row],[Tin]]</f>
        <v>106.43446120263798</v>
      </c>
      <c r="BM63">
        <f>テーブル2[[#This Row],[q_P]]*0.000001</f>
        <v>4.9216271787899384</v>
      </c>
      <c r="BN63">
        <f>テーブル2[[#This Row],[Tsub]]</f>
        <v>106.43446120263798</v>
      </c>
      <c r="BO63">
        <f>テーブル2[[#This Row],[Fcorr]]</f>
        <v>1</v>
      </c>
      <c r="BP63">
        <f>(テーブル2[[#This Row],[Tsub]]-40)^2</f>
        <v>4413.5376352848107</v>
      </c>
      <c r="BQ63">
        <v>1</v>
      </c>
      <c r="BR63">
        <v>0.3175</v>
      </c>
    </row>
    <row r="64" spans="1:70" x14ac:dyDescent="0.15">
      <c r="A64" s="9" t="s">
        <v>132</v>
      </c>
      <c r="B64">
        <v>13789520</v>
      </c>
      <c r="C64" s="22">
        <f t="array" ref="C64">TsatFromP(テーブル2[[#This Row],[P]])</f>
        <v>608.621106065763</v>
      </c>
      <c r="D64">
        <f t="array" ref="D64">RhoGFromP(テーブル2[[#This Row],[P]])</f>
        <v>85.147893581579396</v>
      </c>
      <c r="E64">
        <f t="array" ref="E64">RhoFFromP(テーブル2[[#This Row],[P]])</f>
        <v>624.86627494838649</v>
      </c>
      <c r="F64">
        <f t="array" ref="F64">HgFromP(テーブル2[[#This Row],[P]])</f>
        <v>2643264.389866509</v>
      </c>
      <c r="G64">
        <f t="array" ref="G64">HfFromP(テーブル2[[#This Row],[P]])</f>
        <v>1562686.9740257829</v>
      </c>
      <c r="H64">
        <f t="array" ref="H64">MuGFromP(テーブル2[[#This Row],[P]])</f>
        <v>2.2019594042733509E-5</v>
      </c>
      <c r="I64">
        <f t="array" ref="I64">MuFFromP(テーブル2[[#This Row],[P]])</f>
        <v>7.2223252690249831E-5</v>
      </c>
      <c r="J64">
        <f t="array" ref="J64">KfFromP(テーブル2[[#This Row],[P]])</f>
        <v>0.4911212487937569</v>
      </c>
      <c r="K64">
        <f t="array" ref="K64">CpFFromP(テーブル2[[#This Row],[P]])</f>
        <v>7679.7516396704104</v>
      </c>
      <c r="L64">
        <f t="array" ref="L64">SigmaFromP(テーブル2[[#This Row],[P]])</f>
        <v>6.5036382888884548E-3</v>
      </c>
      <c r="M64" s="23">
        <v>63</v>
      </c>
      <c r="N64">
        <v>3390</v>
      </c>
      <c r="O64" s="8">
        <v>1.7719053836560401E-5</v>
      </c>
      <c r="P64" s="8">
        <v>1.4921936786020801E-2</v>
      </c>
      <c r="Q64" s="8">
        <v>4.7498000000000002E-3</v>
      </c>
      <c r="R64">
        <v>0.3175</v>
      </c>
      <c r="S64" s="15">
        <v>3749439.2742187502</v>
      </c>
      <c r="T64">
        <v>528.989187332651</v>
      </c>
      <c r="U64" s="12">
        <f>+T64+BG64*S64*テーブル2[[#This Row],[Pw]]*R64/(N64*O64*K64)</f>
        <v>567.49691115898577</v>
      </c>
      <c r="V64">
        <v>0.03</v>
      </c>
      <c r="W64" s="8">
        <f t="shared" si="0"/>
        <v>222945.12363015956</v>
      </c>
      <c r="X64">
        <v>2.4678932692460711E-2</v>
      </c>
      <c r="Y64">
        <f t="shared" si="1"/>
        <v>6.3655628904620603</v>
      </c>
      <c r="Z64">
        <f t="shared" si="2"/>
        <v>6.3655629128054843</v>
      </c>
      <c r="AA64">
        <f t="shared" si="3"/>
        <v>-2.2343423999870993E-8</v>
      </c>
      <c r="AB64">
        <f t="shared" si="4"/>
        <v>1.375589740389711E-5</v>
      </c>
      <c r="AC64">
        <v>670.46613761571575</v>
      </c>
      <c r="AD64">
        <f t="shared" si="5"/>
        <v>6191.3616856873059</v>
      </c>
      <c r="AE64">
        <f>+gettm2(AD64,AC64,AK64,AL64,テーブル2[[#This Row],[Fcorr]])</f>
        <v>567.49691115898554</v>
      </c>
      <c r="AF64" s="14">
        <f t="shared" si="6"/>
        <v>0</v>
      </c>
      <c r="AG64">
        <v>1.381449031459635E-5</v>
      </c>
      <c r="AH64">
        <f t="shared" si="7"/>
        <v>56.734691438270922</v>
      </c>
      <c r="AI64">
        <f t="shared" si="8"/>
        <v>0.30132197528980814</v>
      </c>
      <c r="AJ64">
        <f t="shared" si="9"/>
        <v>36.014361043029275</v>
      </c>
      <c r="AK64">
        <f t="array" ref="AK64">+S64*テーブル2[[#This Row],[F_form]]/(E64*CpFromTP((テーブル2[[#This Row],[Tin]]+テーブル2[[#This Row],[Tf]])/2,テーブル2[[#This Row],[P]])*AI64)</f>
        <v>3.9709544885741734</v>
      </c>
      <c r="AL64">
        <f t="shared" si="10"/>
        <v>1.1293680422758512</v>
      </c>
      <c r="AM64">
        <f t="shared" si="11"/>
        <v>608.62110604338818</v>
      </c>
      <c r="AN64">
        <f t="shared" si="12"/>
        <v>2.2374820218828972E-8</v>
      </c>
      <c r="AO64">
        <f t="shared" si="13"/>
        <v>5.8592910699239745E-8</v>
      </c>
      <c r="AP64">
        <v>3.7261522481255782</v>
      </c>
      <c r="AQ64">
        <f t="shared" si="14"/>
        <v>3.9275441582524831E-5</v>
      </c>
      <c r="AR64">
        <f t="shared" si="15"/>
        <v>6.9365416126477949E-6</v>
      </c>
      <c r="AS64">
        <f t="shared" si="16"/>
        <v>18.083556348361277</v>
      </c>
      <c r="AT64">
        <f t="shared" si="17"/>
        <v>11.425015181523431</v>
      </c>
      <c r="AU64">
        <f t="shared" si="18"/>
        <v>3.442608142212686</v>
      </c>
      <c r="AV64">
        <f t="shared" si="19"/>
        <v>0.28354410591289225</v>
      </c>
      <c r="AW64">
        <f t="shared" si="20"/>
        <v>8.2702020857307618E-3</v>
      </c>
      <c r="AX64">
        <f t="shared" si="21"/>
        <v>0.28354407383298141</v>
      </c>
      <c r="AY64">
        <f t="shared" si="22"/>
        <v>3.2079910838866965E-8</v>
      </c>
      <c r="AZ64">
        <f t="shared" si="23"/>
        <v>1080577.4158407261</v>
      </c>
      <c r="BA64">
        <f t="shared" si="24"/>
        <v>1.0540482236677834E-5</v>
      </c>
      <c r="BB64" s="15">
        <f t="shared" si="25"/>
        <v>3753423.4619367709</v>
      </c>
      <c r="BC64" s="20">
        <f t="shared" si="26"/>
        <v>3984.1877180207521</v>
      </c>
      <c r="BD64" s="19">
        <f t="shared" si="27"/>
        <v>0.10626089467340194</v>
      </c>
      <c r="BE64" s="15">
        <v>5300400</v>
      </c>
      <c r="BF64" s="16">
        <f>テーブル2[[#This Row],[q_P]]/テーブル2[[#This Row],[q_M]]</f>
        <v>0.70813966152304941</v>
      </c>
      <c r="BG64">
        <v>1</v>
      </c>
      <c r="BH64">
        <v>-2.7E-2</v>
      </c>
      <c r="BI64">
        <v>4.5999999999999999E-2</v>
      </c>
      <c r="BJ64">
        <v>5625</v>
      </c>
      <c r="BK64" s="22">
        <v>1</v>
      </c>
      <c r="BL64">
        <f>テーブル2[[#This Row],[Ts]]-テーブル2[[#This Row],[Tin]]</f>
        <v>79.631918733112002</v>
      </c>
      <c r="BM64">
        <f>テーブル2[[#This Row],[q_P]]*0.000001</f>
        <v>3.7534234619367708</v>
      </c>
      <c r="BN64">
        <f>テーブル2[[#This Row],[Tsub]]</f>
        <v>79.631918733112002</v>
      </c>
      <c r="BO64">
        <f>テーブル2[[#This Row],[Fcorr]]</f>
        <v>1</v>
      </c>
      <c r="BP64">
        <f>(テーブル2[[#This Row],[Tsub]]-40)^2</f>
        <v>1570.688982467994</v>
      </c>
      <c r="BQ64">
        <v>1</v>
      </c>
      <c r="BR64">
        <v>0.3175</v>
      </c>
    </row>
    <row r="65" spans="1:70" x14ac:dyDescent="0.15">
      <c r="A65" s="9" t="s">
        <v>133</v>
      </c>
      <c r="B65">
        <v>13789520</v>
      </c>
      <c r="C65" s="22">
        <f t="array" ref="C65">TsatFromP(テーブル2[[#This Row],[P]])</f>
        <v>608.621106065763</v>
      </c>
      <c r="D65">
        <f t="array" ref="D65">RhoGFromP(テーブル2[[#This Row],[P]])</f>
        <v>85.147893581579396</v>
      </c>
      <c r="E65">
        <f t="array" ref="E65">RhoFFromP(テーブル2[[#This Row],[P]])</f>
        <v>624.86627494838649</v>
      </c>
      <c r="F65">
        <f t="array" ref="F65">HgFromP(テーブル2[[#This Row],[P]])</f>
        <v>2643264.389866509</v>
      </c>
      <c r="G65">
        <f t="array" ref="G65">HfFromP(テーブル2[[#This Row],[P]])</f>
        <v>1562686.9740257829</v>
      </c>
      <c r="H65">
        <f t="array" ref="H65">MuGFromP(テーブル2[[#This Row],[P]])</f>
        <v>2.2019594042733509E-5</v>
      </c>
      <c r="I65">
        <f t="array" ref="I65">MuFFromP(テーブル2[[#This Row],[P]])</f>
        <v>7.2223252690249831E-5</v>
      </c>
      <c r="J65">
        <f t="array" ref="J65">KfFromP(テーブル2[[#This Row],[P]])</f>
        <v>0.4911212487937569</v>
      </c>
      <c r="K65">
        <f t="array" ref="K65">CpFFromP(テーブル2[[#This Row],[P]])</f>
        <v>7679.7516396704104</v>
      </c>
      <c r="L65">
        <f t="array" ref="L65">SigmaFromP(テーブル2[[#This Row],[P]])</f>
        <v>6.5036382888884548E-3</v>
      </c>
      <c r="M65">
        <v>64</v>
      </c>
      <c r="N65">
        <v>3403.56</v>
      </c>
      <c r="O65" s="8">
        <v>1.7719053836560401E-5</v>
      </c>
      <c r="P65" s="8">
        <v>1.4921936786020801E-2</v>
      </c>
      <c r="Q65" s="8">
        <v>4.7498000000000002E-3</v>
      </c>
      <c r="R65">
        <v>0.3175</v>
      </c>
      <c r="S65" s="15">
        <v>5572082.51953125</v>
      </c>
      <c r="T65">
        <v>486.08905396706899</v>
      </c>
      <c r="U65" s="12">
        <f>+T65+BG65*S65*テーブル2[[#This Row],[Pw]]*R65/(N65*O65*K65)</f>
        <v>543.08780650687925</v>
      </c>
      <c r="V65">
        <v>0.03</v>
      </c>
      <c r="W65" s="8">
        <f t="shared" si="0"/>
        <v>223836.90412468018</v>
      </c>
      <c r="X65">
        <v>2.463857560482317E-2</v>
      </c>
      <c r="Y65">
        <f t="shared" si="1"/>
        <v>6.3707740372674042</v>
      </c>
      <c r="Z65">
        <f t="shared" si="2"/>
        <v>6.3707740577340619</v>
      </c>
      <c r="AA65">
        <f t="shared" si="3"/>
        <v>-2.0466657701945223E-8</v>
      </c>
      <c r="AB65">
        <f t="shared" si="4"/>
        <v>1.3668859484187726E-5</v>
      </c>
      <c r="AC65">
        <v>707.05414403807481</v>
      </c>
      <c r="AD65">
        <f t="shared" si="5"/>
        <v>6211.0424832401332</v>
      </c>
      <c r="AE65">
        <f>+gettm2(AD65,AC65,AK65,AL65,テーブル2[[#This Row],[Fcorr]])</f>
        <v>543.08780650687902</v>
      </c>
      <c r="AF65" s="14">
        <f t="shared" si="6"/>
        <v>0</v>
      </c>
      <c r="AG65">
        <v>1.375537603640904E-5</v>
      </c>
      <c r="AH65">
        <f t="shared" si="7"/>
        <v>57.095955633272212</v>
      </c>
      <c r="AI65">
        <f t="shared" si="8"/>
        <v>0.30227980283970002</v>
      </c>
      <c r="AJ65">
        <f t="shared" si="9"/>
        <v>35.974240993338583</v>
      </c>
      <c r="AK65">
        <f t="array" ref="AK65">+S65*テーブル2[[#This Row],[F_form]]/(E65*CpFromTP((テーブル2[[#This Row],[Tin]]+テーブル2[[#This Row],[Tf]])/2,テーブル2[[#This Row],[P]])*AI65)</f>
        <v>6.3213333636802567</v>
      </c>
      <c r="AL65">
        <f t="shared" si="10"/>
        <v>1.1293680422758512</v>
      </c>
      <c r="AM65">
        <f t="shared" si="11"/>
        <v>608.6211060334731</v>
      </c>
      <c r="AN65">
        <f t="shared" si="12"/>
        <v>3.2289904083881993E-8</v>
      </c>
      <c r="AO65">
        <f t="shared" si="13"/>
        <v>8.65165522213143E-8</v>
      </c>
      <c r="AP65">
        <v>3.7384554819493001</v>
      </c>
      <c r="AQ65">
        <f t="shared" si="14"/>
        <v>3.9017356490988851E-5</v>
      </c>
      <c r="AR65">
        <f t="shared" si="15"/>
        <v>6.9209462943151772E-6</v>
      </c>
      <c r="AS65">
        <f t="shared" si="16"/>
        <v>18.100253256227603</v>
      </c>
      <c r="AT65">
        <f t="shared" si="17"/>
        <v>11.429629651153331</v>
      </c>
      <c r="AU65">
        <f t="shared" si="18"/>
        <v>3.454946197481418</v>
      </c>
      <c r="AV65">
        <f t="shared" si="19"/>
        <v>0.28350928446788215</v>
      </c>
      <c r="AW65">
        <f t="shared" si="20"/>
        <v>8.2178738977555961E-3</v>
      </c>
      <c r="AX65">
        <f t="shared" si="21"/>
        <v>0.28350928184437452</v>
      </c>
      <c r="AY65">
        <f t="shared" si="22"/>
        <v>2.6235076333591678E-9</v>
      </c>
      <c r="AZ65">
        <f t="shared" si="23"/>
        <v>1080577.4158407261</v>
      </c>
      <c r="BA65">
        <f t="shared" si="24"/>
        <v>1.0436758356326468E-5</v>
      </c>
      <c r="BB65" s="15">
        <f t="shared" si="25"/>
        <v>5597273.751777119</v>
      </c>
      <c r="BC65" s="20">
        <f t="shared" si="26"/>
        <v>25191.232245869003</v>
      </c>
      <c r="BD65" s="19">
        <f t="shared" si="27"/>
        <v>0.45209725731032802</v>
      </c>
      <c r="BE65" s="15">
        <v>5836750</v>
      </c>
      <c r="BF65" s="16">
        <f>テーブル2[[#This Row],[q_P]]/テーブル2[[#This Row],[q_M]]</f>
        <v>0.95897096017083461</v>
      </c>
      <c r="BG65">
        <v>1</v>
      </c>
      <c r="BH65">
        <v>-0.17399999999999999</v>
      </c>
      <c r="BI65">
        <v>4.5999999999999999E-2</v>
      </c>
      <c r="BJ65">
        <v>5625</v>
      </c>
      <c r="BK65" s="22">
        <v>1</v>
      </c>
      <c r="BL65">
        <f>テーブル2[[#This Row],[Ts]]-テーブル2[[#This Row],[Tin]]</f>
        <v>122.53205209869401</v>
      </c>
      <c r="BM65">
        <f>テーブル2[[#This Row],[q_P]]*0.000001</f>
        <v>5.5972737517771192</v>
      </c>
      <c r="BN65">
        <f>テーブル2[[#This Row],[Tsub]]</f>
        <v>122.53205209869401</v>
      </c>
      <c r="BO65">
        <f>テーブル2[[#This Row],[Fcorr]]</f>
        <v>1</v>
      </c>
      <c r="BP65">
        <f>(テーブル2[[#This Row],[Tsub]]-40)^2</f>
        <v>6811.539623621542</v>
      </c>
      <c r="BQ65">
        <v>1</v>
      </c>
      <c r="BR65">
        <v>0.3175</v>
      </c>
    </row>
    <row r="66" spans="1:70" x14ac:dyDescent="0.15">
      <c r="A66" s="9" t="s">
        <v>134</v>
      </c>
      <c r="B66">
        <v>13789520</v>
      </c>
      <c r="C66" s="22">
        <f t="array" ref="C66">TsatFromP(テーブル2[[#This Row],[P]])</f>
        <v>608.621106065763</v>
      </c>
      <c r="D66">
        <f t="array" ref="D66">RhoGFromP(テーブル2[[#This Row],[P]])</f>
        <v>85.147893581579396</v>
      </c>
      <c r="E66">
        <f t="array" ref="E66">RhoFFromP(テーブル2[[#This Row],[P]])</f>
        <v>624.86627494838649</v>
      </c>
      <c r="F66">
        <f t="array" ref="F66">HgFromP(テーブル2[[#This Row],[P]])</f>
        <v>2643264.389866509</v>
      </c>
      <c r="G66">
        <f t="array" ref="G66">HfFromP(テーブル2[[#This Row],[P]])</f>
        <v>1562686.9740257829</v>
      </c>
      <c r="H66">
        <f t="array" ref="H66">MuGFromP(テーブル2[[#This Row],[P]])</f>
        <v>2.2019594042733509E-5</v>
      </c>
      <c r="I66">
        <f t="array" ref="I66">MuFFromP(テーブル2[[#This Row],[P]])</f>
        <v>7.2223252690249831E-5</v>
      </c>
      <c r="J66">
        <f t="array" ref="J66">KfFromP(テーブル2[[#This Row],[P]])</f>
        <v>0.4911212487937569</v>
      </c>
      <c r="K66">
        <f t="array" ref="K66">CpFFromP(テーブル2[[#This Row],[P]])</f>
        <v>7679.7516396704104</v>
      </c>
      <c r="L66">
        <f t="array" ref="L66">SigmaFromP(テーブル2[[#This Row],[P]])</f>
        <v>6.5036382888884548E-3</v>
      </c>
      <c r="M66" s="23">
        <v>65</v>
      </c>
      <c r="N66">
        <v>3403.56</v>
      </c>
      <c r="O66" s="8">
        <v>1.7719053836560401E-5</v>
      </c>
      <c r="P66" s="8">
        <v>1.4921936786020801E-2</v>
      </c>
      <c r="Q66" s="8">
        <v>4.7498000000000002E-3</v>
      </c>
      <c r="R66">
        <v>0.3175</v>
      </c>
      <c r="S66" s="15">
        <v>4404402.59765625</v>
      </c>
      <c r="T66">
        <v>513.90123078477097</v>
      </c>
      <c r="U66" s="12">
        <f>+T66+BG66*S66*テーブル2[[#This Row],[Pw]]*R66/(N66*O66*K66)</f>
        <v>558.95538295669985</v>
      </c>
      <c r="V66">
        <v>0.03</v>
      </c>
      <c r="W66" s="8">
        <f t="shared" ref="W66:W129" si="28">+N66*Q66/I66</f>
        <v>223836.90412468018</v>
      </c>
      <c r="X66">
        <v>2.463857560482317E-2</v>
      </c>
      <c r="Y66">
        <f t="shared" ref="Y66:Y129" si="29">IF(X66&gt;0,1/X66^0.5,1)</f>
        <v>6.3707740372674042</v>
      </c>
      <c r="Z66">
        <f t="shared" ref="Z66:Z129" si="30">IF(X66&gt;0,1.14-2*LOG((0.72*L66*E66)/(X66*Q66*N66^2)+9.35/(W66*X66^0.5)),0)</f>
        <v>6.3707740577340619</v>
      </c>
      <c r="AA66">
        <f t="shared" ref="AA66:AA129" si="31">+Y66-Z66</f>
        <v>-2.0466657701945223E-8</v>
      </c>
      <c r="AB66">
        <f t="shared" ref="AB66:AB129" si="32">32/X66*L66*V66*E66/N66^2</f>
        <v>1.3668859484187726E-5</v>
      </c>
      <c r="AC66">
        <v>683.18080760142402</v>
      </c>
      <c r="AD66">
        <f t="shared" ref="AD66:AD129" si="33">+Q66/2*AI66/I66*E66</f>
        <v>6211.0424832401332</v>
      </c>
      <c r="AE66">
        <f>+gettm2(AD66,AC66,AK66,AL66,テーブル2[[#This Row],[Fcorr]])</f>
        <v>558.9553837885079</v>
      </c>
      <c r="AF66" s="14">
        <f t="shared" ref="AF66:AF129" si="34">+AE66-U66</f>
        <v>8.3180805177107686E-7</v>
      </c>
      <c r="AG66">
        <v>1.373713799874868E-5</v>
      </c>
      <c r="AH66">
        <f t="shared" ref="AH66:AH129" si="35">+X66*N66^2/(8*E66)</f>
        <v>57.095955633272212</v>
      </c>
      <c r="AI66">
        <f t="shared" ref="AI66:AI129" si="36">+(AH66/E66)^0.5</f>
        <v>0.30227980283970002</v>
      </c>
      <c r="AJ66">
        <f t="shared" ref="AJ66:AJ129" si="37">+AG66*AI66/I66*E66</f>
        <v>35.926543310606917</v>
      </c>
      <c r="AK66">
        <f t="array" ref="AK66">+S66*テーブル2[[#This Row],[F_form]]/(E66*CpFromTP((テーブル2[[#This Row],[Tin]]+テーブル2[[#This Row],[Tf]])/2,テーブル2[[#This Row],[P]])*AI66)</f>
        <v>4.7892166647712253</v>
      </c>
      <c r="AL66">
        <f t="shared" ref="AL66:AL129" si="38">+K66*I66/J66</f>
        <v>1.1293680422758512</v>
      </c>
      <c r="AM66">
        <f t="shared" ref="AM66:AM129" si="39">+gettyp(AC66,AJ66,AK66,AL66)</f>
        <v>608.62110604179338</v>
      </c>
      <c r="AN66">
        <f t="shared" ref="AN66:AN129" si="40">+C66-AM66</f>
        <v>2.3969619178387802E-8</v>
      </c>
      <c r="AO66">
        <f t="shared" ref="AO66:AO129" si="41">+AG66-AB66</f>
        <v>6.8278514560953958E-8</v>
      </c>
      <c r="AP66">
        <v>3.73474877545193</v>
      </c>
      <c r="AQ66">
        <f t="shared" ref="AQ66:AQ129" si="42">2*PI()*L66*(D66+E66)/(D66*E66*AP66^2)</f>
        <v>3.9094843715698966E-5</v>
      </c>
      <c r="AR66">
        <f t="shared" ref="AR66:AR129" si="43">+AO66+AB66/2</f>
        <v>6.9027082566548169E-6</v>
      </c>
      <c r="AS66">
        <f t="shared" ref="AS66:AS129" si="44">+AR66*AI66/I66*E66</f>
        <v>18.052555573495933</v>
      </c>
      <c r="AT66">
        <f t="shared" ref="AT66:AT129" si="45">+getublp(AS66)</f>
        <v>11.416436288880627</v>
      </c>
      <c r="AU66">
        <f t="shared" ref="AU66:AU129" si="46">+AT66*AI66</f>
        <v>3.4509581105348324</v>
      </c>
      <c r="AV66">
        <f t="shared" ref="AV66:AV129" si="47">+AP66-AU66</f>
        <v>0.28379066491709759</v>
      </c>
      <c r="AW66">
        <f t="shared" ref="AW66:AW129" si="48">2/3*AB66/(L66/(9.8*(E66-D66)))^0.5</f>
        <v>8.2178738977555961E-3</v>
      </c>
      <c r="AX66">
        <f t="shared" ref="AX66:AX129" si="49">+(2*AQ66*9.8*(E66-D66)/(E66*AW66))^0.5</f>
        <v>0.28379066240308426</v>
      </c>
      <c r="AY66">
        <f t="shared" ref="AY66:AY129" si="50">+AV66-AX66</f>
        <v>2.5140133308454438E-9</v>
      </c>
      <c r="AZ66">
        <f t="shared" ref="AZ66:AZ129" si="51">+F66-G66</f>
        <v>1080577.4158407261</v>
      </c>
      <c r="BA66">
        <f t="shared" ref="BA66:BA129" si="52">+AQ66/AP66</f>
        <v>1.0467864390950425E-5</v>
      </c>
      <c r="BB66" s="15">
        <f t="shared" ref="BB66:BB129" si="53">+E66*AO66*AZ66/BA66</f>
        <v>4404219.4308127705</v>
      </c>
      <c r="BC66" s="20">
        <f t="shared" ref="BC66:BC129" si="54">BB66-S66</f>
        <v>-183.16684347949922</v>
      </c>
      <c r="BD66" s="19">
        <f t="shared" ref="BD66:BD129" si="55">+(BB66-S66)/S66*100</f>
        <v>-4.1587216295115538E-3</v>
      </c>
      <c r="BE66" s="15">
        <v>5836750</v>
      </c>
      <c r="BF66" s="16">
        <f>テーブル2[[#This Row],[q_P]]/テーブル2[[#This Row],[q_M]]</f>
        <v>0.75456708456123189</v>
      </c>
      <c r="BG66">
        <v>1</v>
      </c>
      <c r="BH66">
        <v>-5.6000000000000001E-2</v>
      </c>
      <c r="BI66">
        <v>4.5999999999999999E-2</v>
      </c>
      <c r="BJ66">
        <v>5625</v>
      </c>
      <c r="BK66" s="22">
        <v>1</v>
      </c>
      <c r="BL66">
        <f>テーブル2[[#This Row],[Ts]]-テーブル2[[#This Row],[Tin]]</f>
        <v>94.719875280992028</v>
      </c>
      <c r="BM66">
        <f>テーブル2[[#This Row],[q_P]]*0.000001</f>
        <v>4.4042194308127707</v>
      </c>
      <c r="BN66">
        <f>テーブル2[[#This Row],[Tsub]]</f>
        <v>94.719875280992028</v>
      </c>
      <c r="BO66">
        <f>テーブル2[[#This Row],[Fcorr]]</f>
        <v>1</v>
      </c>
      <c r="BP66">
        <f>(テーブル2[[#This Row],[Tsub]]-40)^2</f>
        <v>2994.2647507673223</v>
      </c>
      <c r="BQ66">
        <v>1</v>
      </c>
      <c r="BR66">
        <v>0.3175</v>
      </c>
    </row>
    <row r="67" spans="1:70" x14ac:dyDescent="0.15">
      <c r="A67" s="9" t="s">
        <v>135</v>
      </c>
      <c r="B67">
        <v>13789520</v>
      </c>
      <c r="C67" s="22">
        <f t="array" ref="C67">TsatFromP(テーブル2[[#This Row],[P]])</f>
        <v>608.621106065763</v>
      </c>
      <c r="D67">
        <f t="array" ref="D67">RhoGFromP(テーブル2[[#This Row],[P]])</f>
        <v>85.147893581579396</v>
      </c>
      <c r="E67">
        <f t="array" ref="E67">RhoFFromP(テーブル2[[#This Row],[P]])</f>
        <v>624.86627494838649</v>
      </c>
      <c r="F67">
        <f t="array" ref="F67">HgFromP(テーブル2[[#This Row],[P]])</f>
        <v>2643264.389866509</v>
      </c>
      <c r="G67">
        <f t="array" ref="G67">HfFromP(テーブル2[[#This Row],[P]])</f>
        <v>1562686.9740257829</v>
      </c>
      <c r="H67">
        <f t="array" ref="H67">MuGFromP(テーブル2[[#This Row],[P]])</f>
        <v>2.2019594042733509E-5</v>
      </c>
      <c r="I67">
        <f t="array" ref="I67">MuFFromP(テーブル2[[#This Row],[P]])</f>
        <v>7.2223252690249831E-5</v>
      </c>
      <c r="J67">
        <f t="array" ref="J67">KfFromP(テーブル2[[#This Row],[P]])</f>
        <v>0.4911212487937569</v>
      </c>
      <c r="K67">
        <f t="array" ref="K67">CpFFromP(テーブル2[[#This Row],[P]])</f>
        <v>7679.7516396704104</v>
      </c>
      <c r="L67">
        <f t="array" ref="L67">SigmaFromP(テーブル2[[#This Row],[P]])</f>
        <v>6.5036382888884548E-3</v>
      </c>
      <c r="M67">
        <v>66</v>
      </c>
      <c r="N67">
        <v>3457.8</v>
      </c>
      <c r="O67" s="8">
        <v>1.7719053836560401E-5</v>
      </c>
      <c r="P67" s="8">
        <v>1.4921936786020801E-2</v>
      </c>
      <c r="Q67" s="8">
        <v>4.7498000000000002E-3</v>
      </c>
      <c r="R67">
        <v>0.3175</v>
      </c>
      <c r="S67" s="15">
        <v>3680812.01171875</v>
      </c>
      <c r="T67">
        <v>531.74235590187595</v>
      </c>
      <c r="U67" s="12">
        <f>+T67+BG67*S67*テーブル2[[#This Row],[Pw]]*R67/(N67*O67*K67)</f>
        <v>568.80402635069174</v>
      </c>
      <c r="V67">
        <v>0.03</v>
      </c>
      <c r="W67" s="8">
        <f t="shared" si="28"/>
        <v>227404.02610276273</v>
      </c>
      <c r="X67">
        <v>2.447969348481388E-2</v>
      </c>
      <c r="Y67">
        <f t="shared" si="29"/>
        <v>6.3914149207841833</v>
      </c>
      <c r="Z67">
        <f t="shared" si="30"/>
        <v>6.3914149346502178</v>
      </c>
      <c r="AA67">
        <f t="shared" si="31"/>
        <v>-1.3866034542786565E-8</v>
      </c>
      <c r="AB67">
        <f t="shared" si="32"/>
        <v>1.3329350327789162E-5</v>
      </c>
      <c r="AC67">
        <v>667.89513907234891</v>
      </c>
      <c r="AD67">
        <f t="shared" si="33"/>
        <v>6289.6452084297343</v>
      </c>
      <c r="AE67">
        <f>+gettm2(AD67,AC67,AK67,AL67,テーブル2[[#This Row],[Fcorr]])</f>
        <v>568.80402702964307</v>
      </c>
      <c r="AF67" s="14">
        <f t="shared" si="34"/>
        <v>6.789513236071798E-7</v>
      </c>
      <c r="AG67">
        <v>1.338490829266164E-5</v>
      </c>
      <c r="AH67">
        <f t="shared" si="35"/>
        <v>58.550235043305349</v>
      </c>
      <c r="AI67">
        <f t="shared" si="36"/>
        <v>0.30610525023232216</v>
      </c>
      <c r="AJ67">
        <f t="shared" si="37"/>
        <v>35.448365955707906</v>
      </c>
      <c r="AK67">
        <f t="array" ref="AK67">+S67*テーブル2[[#This Row],[F_form]]/(E67*CpFromTP((テーブル2[[#This Row],[Tin]]+テーブル2[[#This Row],[Tf]])/2,テーブル2[[#This Row],[P]])*AI67)</f>
        <v>3.8155774795814508</v>
      </c>
      <c r="AL67">
        <f t="shared" si="38"/>
        <v>1.1293680422758512</v>
      </c>
      <c r="AM67">
        <f t="shared" si="39"/>
        <v>608.62110605902501</v>
      </c>
      <c r="AN67">
        <f t="shared" si="40"/>
        <v>6.7379914980847389E-9</v>
      </c>
      <c r="AO67">
        <f t="shared" si="41"/>
        <v>5.5557964872478163E-8</v>
      </c>
      <c r="AP67">
        <v>3.758444791741232</v>
      </c>
      <c r="AQ67">
        <f t="shared" si="42"/>
        <v>3.8603432095051697E-5</v>
      </c>
      <c r="AR67">
        <f t="shared" si="43"/>
        <v>6.720233128767059E-6</v>
      </c>
      <c r="AS67">
        <f t="shared" si="44"/>
        <v>17.797752367628323</v>
      </c>
      <c r="AT67">
        <f t="shared" si="45"/>
        <v>11.345360889217851</v>
      </c>
      <c r="AU67">
        <f t="shared" si="46"/>
        <v>3.4728745339700313</v>
      </c>
      <c r="AV67">
        <f t="shared" si="47"/>
        <v>0.28557025777120071</v>
      </c>
      <c r="AW67">
        <f t="shared" si="48"/>
        <v>8.013757128712478E-3</v>
      </c>
      <c r="AX67">
        <f t="shared" si="49"/>
        <v>0.28557025432128486</v>
      </c>
      <c r="AY67">
        <f t="shared" si="50"/>
        <v>3.4499158529932572E-9</v>
      </c>
      <c r="AZ67">
        <f t="shared" si="51"/>
        <v>1080577.4158407261</v>
      </c>
      <c r="BA67">
        <f t="shared" si="52"/>
        <v>1.0271118570074112E-5</v>
      </c>
      <c r="BB67" s="15">
        <f t="shared" si="53"/>
        <v>3652343.016259287</v>
      </c>
      <c r="BC67" s="20">
        <f t="shared" si="54"/>
        <v>-28468.995459462982</v>
      </c>
      <c r="BD67" s="19">
        <f t="shared" si="55"/>
        <v>-0.77344334263268777</v>
      </c>
      <c r="BE67" s="15">
        <v>4764050</v>
      </c>
      <c r="BF67" s="16">
        <f>テーブル2[[#This Row],[q_P]]/テーブル2[[#This Row],[q_M]]</f>
        <v>0.76664665909452823</v>
      </c>
      <c r="BG67">
        <v>1</v>
      </c>
      <c r="BH67">
        <v>-6.0999999999999999E-2</v>
      </c>
      <c r="BI67">
        <v>4.5999999999999999E-2</v>
      </c>
      <c r="BJ67">
        <v>5625</v>
      </c>
      <c r="BK67" s="22">
        <v>1</v>
      </c>
      <c r="BL67">
        <f>テーブル2[[#This Row],[Ts]]-テーブル2[[#This Row],[Tin]]</f>
        <v>76.878750163887048</v>
      </c>
      <c r="BM67">
        <f>テーブル2[[#This Row],[q_P]]*0.000001</f>
        <v>3.6523430162592869</v>
      </c>
      <c r="BN67">
        <f>テーブル2[[#This Row],[Tsub]]</f>
        <v>76.878750163887048</v>
      </c>
      <c r="BO67">
        <f>テーブル2[[#This Row],[Fcorr]]</f>
        <v>1</v>
      </c>
      <c r="BP67">
        <f>(テーブル2[[#This Row],[Tsub]]-40)^2</f>
        <v>1360.0422136503989</v>
      </c>
      <c r="BQ67">
        <v>1</v>
      </c>
      <c r="BR67">
        <v>0.3175</v>
      </c>
    </row>
    <row r="68" spans="1:70" x14ac:dyDescent="0.15">
      <c r="A68" s="9" t="s">
        <v>136</v>
      </c>
      <c r="B68">
        <v>13789520</v>
      </c>
      <c r="C68" s="22">
        <f t="array" ref="C68">TsatFromP(テーブル2[[#This Row],[P]])</f>
        <v>608.621106065763</v>
      </c>
      <c r="D68">
        <f t="array" ref="D68">RhoGFromP(テーブル2[[#This Row],[P]])</f>
        <v>85.147893581579396</v>
      </c>
      <c r="E68">
        <f t="array" ref="E68">RhoFFromP(テーブル2[[#This Row],[P]])</f>
        <v>624.86627494838649</v>
      </c>
      <c r="F68">
        <f t="array" ref="F68">HgFromP(テーブル2[[#This Row],[P]])</f>
        <v>2643264.389866509</v>
      </c>
      <c r="G68">
        <f t="array" ref="G68">HfFromP(テーブル2[[#This Row],[P]])</f>
        <v>1562686.9740257829</v>
      </c>
      <c r="H68">
        <f t="array" ref="H68">MuGFromP(テーブル2[[#This Row],[P]])</f>
        <v>2.2019594042733509E-5</v>
      </c>
      <c r="I68">
        <f t="array" ref="I68">MuFFromP(テーブル2[[#This Row],[P]])</f>
        <v>7.2223252690249831E-5</v>
      </c>
      <c r="J68">
        <f t="array" ref="J68">KfFromP(テーブル2[[#This Row],[P]])</f>
        <v>0.4911212487937569</v>
      </c>
      <c r="K68">
        <f t="array" ref="K68">CpFFromP(テーブル2[[#This Row],[P]])</f>
        <v>7679.7516396704104</v>
      </c>
      <c r="L68">
        <f t="array" ref="L68">SigmaFromP(テーブル2[[#This Row],[P]])</f>
        <v>6.5036382888884548E-3</v>
      </c>
      <c r="M68" s="23">
        <v>67</v>
      </c>
      <c r="N68">
        <v>3471.36</v>
      </c>
      <c r="O68" s="8">
        <v>1.7719053836560401E-5</v>
      </c>
      <c r="P68" s="8">
        <v>1.4921936786020801E-2</v>
      </c>
      <c r="Q68" s="8">
        <v>4.7498000000000002E-3</v>
      </c>
      <c r="R68">
        <v>0.3175</v>
      </c>
      <c r="S68" s="15">
        <v>5036472.20703125</v>
      </c>
      <c r="T68">
        <v>500.510864523382</v>
      </c>
      <c r="U68" s="12">
        <f>+T68+BG68*S68*テーブル2[[#This Row],[Pw]]*R68/(N68*O68*K68)</f>
        <v>551.02442828563585</v>
      </c>
      <c r="V68">
        <v>0.03</v>
      </c>
      <c r="W68" s="8">
        <f t="shared" si="28"/>
        <v>228295.80659728337</v>
      </c>
      <c r="X68">
        <v>2.4440596296902529E-2</v>
      </c>
      <c r="Y68">
        <f t="shared" si="29"/>
        <v>6.3965249944563967</v>
      </c>
      <c r="Z68">
        <f t="shared" si="30"/>
        <v>6.3965250069065593</v>
      </c>
      <c r="AA68">
        <f t="shared" si="31"/>
        <v>-1.2450162678590004E-8</v>
      </c>
      <c r="AB68">
        <f t="shared" si="32"/>
        <v>1.3246574634701771E-5</v>
      </c>
      <c r="AC68">
        <v>694.24448389806855</v>
      </c>
      <c r="AD68">
        <f t="shared" si="33"/>
        <v>6309.2660898415897</v>
      </c>
      <c r="AE68">
        <f>+gettm2(AD68,AC68,AK68,AL68,テーブル2[[#This Row],[Fcorr]])</f>
        <v>551.02442922808063</v>
      </c>
      <c r="AF68" s="14">
        <f t="shared" si="34"/>
        <v>9.4244478532345966E-7</v>
      </c>
      <c r="AG68">
        <v>1.3322209736337421E-5</v>
      </c>
      <c r="AH68">
        <f t="shared" si="35"/>
        <v>58.916105951052529</v>
      </c>
      <c r="AI68">
        <f t="shared" si="36"/>
        <v>0.3070601617758707</v>
      </c>
      <c r="AJ68">
        <f t="shared" si="37"/>
        <v>35.392381208148194</v>
      </c>
      <c r="AK68">
        <f t="array" ref="AK68">+S68*テーブル2[[#This Row],[F_form]]/(E68*CpFromTP((テーブル2[[#This Row],[Tin]]+テーブル2[[#This Row],[Tf]])/2,テーブル2[[#This Row],[P]])*AI68)</f>
        <v>5.5131351373362545</v>
      </c>
      <c r="AL68">
        <f t="shared" si="38"/>
        <v>1.1293680422758512</v>
      </c>
      <c r="AM68">
        <f t="shared" si="39"/>
        <v>608.6211060583862</v>
      </c>
      <c r="AN68">
        <f t="shared" si="40"/>
        <v>7.3767978392424993E-9</v>
      </c>
      <c r="AO68">
        <f t="shared" si="41"/>
        <v>7.5635101635649864E-8</v>
      </c>
      <c r="AP68">
        <v>3.769253622990774</v>
      </c>
      <c r="AQ68">
        <f t="shared" si="42"/>
        <v>3.838234869036214E-5</v>
      </c>
      <c r="AR68">
        <f t="shared" si="43"/>
        <v>6.6989224189865352E-6</v>
      </c>
      <c r="AS68">
        <f t="shared" si="44"/>
        <v>17.796658409445172</v>
      </c>
      <c r="AT68">
        <f t="shared" si="45"/>
        <v>11.345053549340713</v>
      </c>
      <c r="AU68">
        <f t="shared" si="46"/>
        <v>3.4836139782164754</v>
      </c>
      <c r="AV68">
        <f t="shared" si="47"/>
        <v>0.2856396447742986</v>
      </c>
      <c r="AW68">
        <f t="shared" si="48"/>
        <v>7.9639914398941542E-3</v>
      </c>
      <c r="AX68">
        <f t="shared" si="49"/>
        <v>0.28563964090361266</v>
      </c>
      <c r="AY68">
        <f t="shared" si="50"/>
        <v>3.870685938434093E-9</v>
      </c>
      <c r="AZ68">
        <f t="shared" si="51"/>
        <v>1080577.4158407261</v>
      </c>
      <c r="BA68">
        <f t="shared" si="52"/>
        <v>1.0183010359463967E-5</v>
      </c>
      <c r="BB68" s="15">
        <f t="shared" si="53"/>
        <v>5015222.2255242188</v>
      </c>
      <c r="BC68" s="20">
        <f t="shared" si="54"/>
        <v>-21249.981507031247</v>
      </c>
      <c r="BD68" s="19">
        <f t="shared" si="55"/>
        <v>-0.421921945233111</v>
      </c>
      <c r="BE68" s="15">
        <v>5742100</v>
      </c>
      <c r="BF68" s="16">
        <f>テーブル2[[#This Row],[q_P]]/テーブル2[[#This Row],[q_M]]</f>
        <v>0.87341255386082073</v>
      </c>
      <c r="BG68">
        <v>1</v>
      </c>
      <c r="BH68">
        <v>-0.128</v>
      </c>
      <c r="BI68">
        <v>4.5999999999999999E-2</v>
      </c>
      <c r="BJ68">
        <v>5625</v>
      </c>
      <c r="BK68" s="22">
        <v>1</v>
      </c>
      <c r="BL68">
        <f>テーブル2[[#This Row],[Ts]]-テーブル2[[#This Row],[Tin]]</f>
        <v>108.110241542381</v>
      </c>
      <c r="BM68">
        <f>テーブル2[[#This Row],[q_P]]*0.000001</f>
        <v>5.0152222255242185</v>
      </c>
      <c r="BN68">
        <f>テーブル2[[#This Row],[Tsub]]</f>
        <v>108.110241542381</v>
      </c>
      <c r="BO68">
        <f>テーブル2[[#This Row],[Fcorr]]</f>
        <v>1</v>
      </c>
      <c r="BP68">
        <f>(テーブル2[[#This Row],[Tsub]]-40)^2</f>
        <v>4639.0050029614831</v>
      </c>
      <c r="BQ68">
        <v>1</v>
      </c>
      <c r="BR68">
        <v>0.3175</v>
      </c>
    </row>
    <row r="69" spans="1:70" x14ac:dyDescent="0.15">
      <c r="A69" s="9" t="s">
        <v>137</v>
      </c>
      <c r="B69">
        <v>13789520</v>
      </c>
      <c r="C69" s="22">
        <f t="array" ref="C69">TsatFromP(テーブル2[[#This Row],[P]])</f>
        <v>608.621106065763</v>
      </c>
      <c r="D69">
        <f t="array" ref="D69">RhoGFromP(テーブル2[[#This Row],[P]])</f>
        <v>85.147893581579396</v>
      </c>
      <c r="E69">
        <f t="array" ref="E69">RhoFFromP(テーブル2[[#This Row],[P]])</f>
        <v>624.86627494838649</v>
      </c>
      <c r="F69">
        <f t="array" ref="F69">HgFromP(テーブル2[[#This Row],[P]])</f>
        <v>2643264.389866509</v>
      </c>
      <c r="G69">
        <f t="array" ref="G69">HfFromP(テーブル2[[#This Row],[P]])</f>
        <v>1562686.9740257829</v>
      </c>
      <c r="H69">
        <f t="array" ref="H69">MuGFromP(テーブル2[[#This Row],[P]])</f>
        <v>2.2019594042733509E-5</v>
      </c>
      <c r="I69">
        <f t="array" ref="I69">MuFFromP(テーブル2[[#This Row],[P]])</f>
        <v>7.2223252690249831E-5</v>
      </c>
      <c r="J69">
        <f t="array" ref="J69">KfFromP(テーブル2[[#This Row],[P]])</f>
        <v>0.4911212487937569</v>
      </c>
      <c r="K69">
        <f t="array" ref="K69">CpFFromP(テーブル2[[#This Row],[P]])</f>
        <v>7679.7516396704104</v>
      </c>
      <c r="L69">
        <f t="array" ref="L69">SigmaFromP(テーブル2[[#This Row],[P]])</f>
        <v>6.5036382888884548E-3</v>
      </c>
      <c r="M69">
        <v>68</v>
      </c>
      <c r="N69">
        <v>3593.4</v>
      </c>
      <c r="O69" s="8">
        <v>1.7719053836560401E-5</v>
      </c>
      <c r="P69" s="8">
        <v>1.4921936786020801E-2</v>
      </c>
      <c r="Q69" s="8">
        <v>4.7498000000000002E-3</v>
      </c>
      <c r="R69">
        <v>0.3175</v>
      </c>
      <c r="S69" s="15">
        <v>7492968.26171875</v>
      </c>
      <c r="T69">
        <v>446.050522823802</v>
      </c>
      <c r="U69" s="12">
        <f>+T69+BG69*S69*テーブル2[[#This Row],[Pw]]*R69/(N69*O69*K69)</f>
        <v>518.64934118170072</v>
      </c>
      <c r="V69">
        <v>0.03</v>
      </c>
      <c r="W69" s="8">
        <f t="shared" si="28"/>
        <v>236321.83104796908</v>
      </c>
      <c r="X69">
        <v>2.4099415895864951E-2</v>
      </c>
      <c r="Y69">
        <f t="shared" si="29"/>
        <v>6.4416443265370651</v>
      </c>
      <c r="Z69">
        <f t="shared" si="30"/>
        <v>6.4416443519234532</v>
      </c>
      <c r="AA69">
        <f t="shared" si="31"/>
        <v>-2.538638810278826E-8</v>
      </c>
      <c r="AB69">
        <f t="shared" si="32"/>
        <v>1.2537098975203588E-5</v>
      </c>
      <c r="AC69">
        <v>740.19477849764769</v>
      </c>
      <c r="AD69">
        <f t="shared" si="33"/>
        <v>6485.3304841759882</v>
      </c>
      <c r="AE69">
        <f>+gettm2(AD69,AC69,AK69,AL69,テーブル2[[#This Row],[Fcorr]])</f>
        <v>518.64934118170072</v>
      </c>
      <c r="AF69" s="14">
        <f t="shared" si="34"/>
        <v>0</v>
      </c>
      <c r="AG69">
        <v>1.2644629359960249E-5</v>
      </c>
      <c r="AH69">
        <f t="shared" si="35"/>
        <v>62.250174159922913</v>
      </c>
      <c r="AI69">
        <f t="shared" si="36"/>
        <v>0.31562888603594524</v>
      </c>
      <c r="AJ69">
        <f t="shared" si="37"/>
        <v>34.529706618913188</v>
      </c>
      <c r="AK69">
        <f t="array" ref="AK69">+S69*テーブル2[[#This Row],[F_form]]/(E69*CpFromTP((テーブル2[[#This Row],[Tin]]+テーブル2[[#This Row],[Tf]])/2,テーブル2[[#This Row],[P]])*AI69)</f>
        <v>8.5055777177989995</v>
      </c>
      <c r="AL69">
        <f t="shared" si="38"/>
        <v>1.1293680422758512</v>
      </c>
      <c r="AM69">
        <f t="shared" si="39"/>
        <v>608.62110605634643</v>
      </c>
      <c r="AN69">
        <f t="shared" si="40"/>
        <v>9.4165670816437341E-9</v>
      </c>
      <c r="AO69">
        <f t="shared" si="41"/>
        <v>1.0753038475666165E-7</v>
      </c>
      <c r="AP69">
        <v>3.8348976446980139</v>
      </c>
      <c r="AQ69">
        <f t="shared" si="42"/>
        <v>3.7079572176089415E-5</v>
      </c>
      <c r="AR69">
        <f t="shared" si="43"/>
        <v>6.3760798723584555E-6</v>
      </c>
      <c r="AS69">
        <f t="shared" si="44"/>
        <v>17.411674245546017</v>
      </c>
      <c r="AT69">
        <f t="shared" si="45"/>
        <v>11.235704574485968</v>
      </c>
      <c r="AU69">
        <f t="shared" si="46"/>
        <v>3.5463129186739804</v>
      </c>
      <c r="AV69">
        <f t="shared" si="47"/>
        <v>0.28858472602403351</v>
      </c>
      <c r="AW69">
        <f t="shared" si="48"/>
        <v>7.5374465983126231E-3</v>
      </c>
      <c r="AX69">
        <f t="shared" si="49"/>
        <v>0.28858471886925641</v>
      </c>
      <c r="AY69">
        <f t="shared" si="50"/>
        <v>7.1547771041124975E-9</v>
      </c>
      <c r="AZ69">
        <f t="shared" si="51"/>
        <v>1080577.4158407261</v>
      </c>
      <c r="BA69">
        <f t="shared" si="52"/>
        <v>9.6689861403091799E-6</v>
      </c>
      <c r="BB69" s="15">
        <f t="shared" si="53"/>
        <v>7509192.4406168573</v>
      </c>
      <c r="BC69" s="20">
        <f t="shared" si="54"/>
        <v>16224.17889810726</v>
      </c>
      <c r="BD69" s="19">
        <f t="shared" si="55"/>
        <v>0.21652539195976431</v>
      </c>
      <c r="BE69" s="15">
        <v>6941000</v>
      </c>
      <c r="BF69" s="16">
        <f>テーブル2[[#This Row],[q_P]]/テーブル2[[#This Row],[q_M]]</f>
        <v>1.081860314164653</v>
      </c>
      <c r="BG69">
        <v>1</v>
      </c>
      <c r="BH69">
        <v>-0.28399999999999997</v>
      </c>
      <c r="BI69">
        <v>4.5999999999999999E-2</v>
      </c>
      <c r="BJ69">
        <v>5625</v>
      </c>
      <c r="BK69" s="22">
        <v>1</v>
      </c>
      <c r="BL69">
        <f>テーブル2[[#This Row],[Ts]]-テーブル2[[#This Row],[Tin]]</f>
        <v>162.570583241961</v>
      </c>
      <c r="BM69">
        <f>テーブル2[[#This Row],[q_P]]*0.000001</f>
        <v>7.5091924406168573</v>
      </c>
      <c r="BN69">
        <f>テーブル2[[#This Row],[Tsub]]</f>
        <v>162.570583241961</v>
      </c>
      <c r="BO69">
        <f>テーブル2[[#This Row],[Fcorr]]</f>
        <v>1</v>
      </c>
      <c r="BP69">
        <f>(テーブル2[[#This Row],[Tsub]]-40)^2</f>
        <v>15023.547876274492</v>
      </c>
      <c r="BQ69">
        <v>1</v>
      </c>
      <c r="BR69">
        <v>0.3175</v>
      </c>
    </row>
    <row r="70" spans="1:70" x14ac:dyDescent="0.15">
      <c r="A70" s="9" t="s">
        <v>138</v>
      </c>
      <c r="B70">
        <v>13789520</v>
      </c>
      <c r="C70" s="22">
        <f t="array" ref="C70">TsatFromP(テーブル2[[#This Row],[P]])</f>
        <v>608.621106065763</v>
      </c>
      <c r="D70">
        <f t="array" ref="D70">RhoGFromP(テーブル2[[#This Row],[P]])</f>
        <v>85.147893581579396</v>
      </c>
      <c r="E70">
        <f t="array" ref="E70">RhoFFromP(テーブル2[[#This Row],[P]])</f>
        <v>624.86627494838649</v>
      </c>
      <c r="F70">
        <f t="array" ref="F70">HgFromP(テーブル2[[#This Row],[P]])</f>
        <v>2643264.389866509</v>
      </c>
      <c r="G70">
        <f t="array" ref="G70">HfFromP(テーブル2[[#This Row],[P]])</f>
        <v>1562686.9740257829</v>
      </c>
      <c r="H70">
        <f t="array" ref="H70">MuGFromP(テーブル2[[#This Row],[P]])</f>
        <v>2.2019594042733509E-5</v>
      </c>
      <c r="I70">
        <f t="array" ref="I70">MuFFromP(テーブル2[[#This Row],[P]])</f>
        <v>7.2223252690249831E-5</v>
      </c>
      <c r="J70">
        <f t="array" ref="J70">KfFromP(テーブル2[[#This Row],[P]])</f>
        <v>0.4911212487937569</v>
      </c>
      <c r="K70">
        <f t="array" ref="K70">CpFFromP(テーブル2[[#This Row],[P]])</f>
        <v>7679.7516396704104</v>
      </c>
      <c r="L70">
        <f t="array" ref="L70">SigmaFromP(テーブル2[[#This Row],[P]])</f>
        <v>6.5036382888884548E-3</v>
      </c>
      <c r="M70" s="23">
        <v>69</v>
      </c>
      <c r="N70">
        <v>3593.4</v>
      </c>
      <c r="O70" s="8">
        <v>1.7719053836560401E-5</v>
      </c>
      <c r="P70" s="8">
        <v>1.4921936786020801E-2</v>
      </c>
      <c r="Q70" s="8">
        <v>4.7498000000000002E-3</v>
      </c>
      <c r="R70">
        <v>0.3175</v>
      </c>
      <c r="S70" s="15">
        <v>6064939.00390625</v>
      </c>
      <c r="T70">
        <v>479.48806170427099</v>
      </c>
      <c r="U70" s="12">
        <f>+T70+BG70*S70*テーブル2[[#This Row],[Pw]]*R70/(N70*O70*K70)</f>
        <v>538.25080961898414</v>
      </c>
      <c r="V70">
        <v>0.03</v>
      </c>
      <c r="W70" s="8">
        <f t="shared" si="28"/>
        <v>236321.83104796908</v>
      </c>
      <c r="X70">
        <v>2.4099415895864951E-2</v>
      </c>
      <c r="Y70">
        <f t="shared" si="29"/>
        <v>6.4416443265370651</v>
      </c>
      <c r="Z70">
        <f t="shared" si="30"/>
        <v>6.4416443519234532</v>
      </c>
      <c r="AA70">
        <f t="shared" si="31"/>
        <v>-2.538638810278826E-8</v>
      </c>
      <c r="AB70">
        <f t="shared" si="32"/>
        <v>1.2537098975203588E-5</v>
      </c>
      <c r="AC70">
        <v>711.4628952976982</v>
      </c>
      <c r="AD70">
        <f t="shared" si="33"/>
        <v>6485.3304841759882</v>
      </c>
      <c r="AE70">
        <f>+gettm2(AD70,AC70,AK70,AL70,テーブル2[[#This Row],[Fcorr]])</f>
        <v>538.25081073361298</v>
      </c>
      <c r="AF70" s="14">
        <f t="shared" si="34"/>
        <v>1.11462884433422E-6</v>
      </c>
      <c r="AG70">
        <v>1.2623975986143629E-5</v>
      </c>
      <c r="AH70">
        <f t="shared" si="35"/>
        <v>62.250174159922913</v>
      </c>
      <c r="AI70">
        <f t="shared" si="36"/>
        <v>0.31562888603594524</v>
      </c>
      <c r="AJ70">
        <f t="shared" si="37"/>
        <v>34.473306789524997</v>
      </c>
      <c r="AK70">
        <f t="array" ref="AK70">+S70*テーブル2[[#This Row],[F_form]]/(E70*CpFromTP((テーブル2[[#This Row],[Tin]]+テーブル2[[#This Row],[Tf]])/2,テーブル2[[#This Row],[P]])*AI70)</f>
        <v>6.6499624852159025</v>
      </c>
      <c r="AL70">
        <f t="shared" si="38"/>
        <v>1.1293680422758512</v>
      </c>
      <c r="AM70">
        <f t="shared" si="39"/>
        <v>608.62110605824239</v>
      </c>
      <c r="AN70">
        <f t="shared" si="40"/>
        <v>7.5206116889603436E-9</v>
      </c>
      <c r="AO70">
        <f t="shared" si="41"/>
        <v>8.6877010940041613E-8</v>
      </c>
      <c r="AP70">
        <v>3.8301361839714461</v>
      </c>
      <c r="AQ70">
        <f t="shared" si="42"/>
        <v>3.7171820942031341E-5</v>
      </c>
      <c r="AR70">
        <f t="shared" si="43"/>
        <v>6.3554264985418355E-6</v>
      </c>
      <c r="AS70">
        <f t="shared" si="44"/>
        <v>17.35527441615783</v>
      </c>
      <c r="AT70">
        <f t="shared" si="45"/>
        <v>11.219482305626173</v>
      </c>
      <c r="AU70">
        <f t="shared" si="46"/>
        <v>3.5411927020247873</v>
      </c>
      <c r="AV70">
        <f t="shared" si="47"/>
        <v>0.28894348194665875</v>
      </c>
      <c r="AW70">
        <f t="shared" si="48"/>
        <v>7.5374465983126231E-3</v>
      </c>
      <c r="AX70">
        <f t="shared" si="49"/>
        <v>0.28894347499154094</v>
      </c>
      <c r="AY70">
        <f t="shared" si="50"/>
        <v>6.9551178150106807E-9</v>
      </c>
      <c r="AZ70">
        <f t="shared" si="51"/>
        <v>1080577.4158407261</v>
      </c>
      <c r="BA70">
        <f t="shared" si="52"/>
        <v>9.7050911916891938E-6</v>
      </c>
      <c r="BB70" s="15">
        <f t="shared" si="53"/>
        <v>6044330.7616323307</v>
      </c>
      <c r="BC70" s="20">
        <f t="shared" si="54"/>
        <v>-20608.242273919284</v>
      </c>
      <c r="BD70" s="19">
        <f t="shared" si="55"/>
        <v>-0.33979306734405934</v>
      </c>
      <c r="BE70" s="15">
        <v>6941000</v>
      </c>
      <c r="BF70" s="16">
        <f>テーブル2[[#This Row],[q_P]]/テーブル2[[#This Row],[q_M]]</f>
        <v>0.87081555418993384</v>
      </c>
      <c r="BG70">
        <v>1</v>
      </c>
      <c r="BH70">
        <v>-0.14799999999999999</v>
      </c>
      <c r="BI70">
        <v>4.5999999999999999E-2</v>
      </c>
      <c r="BJ70">
        <v>5625</v>
      </c>
      <c r="BK70" s="22">
        <v>1</v>
      </c>
      <c r="BL70">
        <f>テーブル2[[#This Row],[Ts]]-テーブル2[[#This Row],[Tin]]</f>
        <v>129.13304436149201</v>
      </c>
      <c r="BM70">
        <f>テーブル2[[#This Row],[q_P]]*0.000001</f>
        <v>6.0443307616323301</v>
      </c>
      <c r="BN70">
        <f>テーブル2[[#This Row],[Tsub]]</f>
        <v>129.13304436149201</v>
      </c>
      <c r="BO70">
        <f>テーブル2[[#This Row],[Fcorr]]</f>
        <v>1</v>
      </c>
      <c r="BP70">
        <f>(テーブル2[[#This Row],[Tsub]]-40)^2</f>
        <v>7944.6995971477027</v>
      </c>
      <c r="BQ70">
        <v>1</v>
      </c>
      <c r="BR70">
        <v>0.3175</v>
      </c>
    </row>
    <row r="71" spans="1:70" x14ac:dyDescent="0.15">
      <c r="A71" s="9" t="s">
        <v>139</v>
      </c>
      <c r="B71">
        <v>13789520</v>
      </c>
      <c r="C71" s="22">
        <f t="array" ref="C71">TsatFromP(テーブル2[[#This Row],[P]])</f>
        <v>608.621106065763</v>
      </c>
      <c r="D71">
        <f t="array" ref="D71">RhoGFromP(テーブル2[[#This Row],[P]])</f>
        <v>85.147893581579396</v>
      </c>
      <c r="E71">
        <f t="array" ref="E71">RhoFFromP(テーブル2[[#This Row],[P]])</f>
        <v>624.86627494838649</v>
      </c>
      <c r="F71">
        <f t="array" ref="F71">HgFromP(テーブル2[[#This Row],[P]])</f>
        <v>2643264.389866509</v>
      </c>
      <c r="G71">
        <f t="array" ref="G71">HfFromP(テーブル2[[#This Row],[P]])</f>
        <v>1562686.9740257829</v>
      </c>
      <c r="H71">
        <f t="array" ref="H71">MuGFromP(テーブル2[[#This Row],[P]])</f>
        <v>2.2019594042733509E-5</v>
      </c>
      <c r="I71">
        <f t="array" ref="I71">MuFFromP(テーブル2[[#This Row],[P]])</f>
        <v>7.2223252690249831E-5</v>
      </c>
      <c r="J71">
        <f t="array" ref="J71">KfFromP(テーブル2[[#This Row],[P]])</f>
        <v>0.4911212487937569</v>
      </c>
      <c r="K71">
        <f t="array" ref="K71">CpFFromP(テーブル2[[#This Row],[P]])</f>
        <v>7679.7516396704104</v>
      </c>
      <c r="L71">
        <f t="array" ref="L71">SigmaFromP(テーブル2[[#This Row],[P]])</f>
        <v>6.5036382888884548E-3</v>
      </c>
      <c r="M71">
        <v>70</v>
      </c>
      <c r="N71">
        <v>3606.96</v>
      </c>
      <c r="O71" s="8">
        <v>1.7719053836560401E-5</v>
      </c>
      <c r="P71" s="8">
        <v>1.4921936786020801E-2</v>
      </c>
      <c r="Q71" s="8">
        <v>4.7498000000000002E-3</v>
      </c>
      <c r="R71">
        <v>0.3175</v>
      </c>
      <c r="S71" s="15">
        <v>6249201.23046875</v>
      </c>
      <c r="T71">
        <v>475.56753850351203</v>
      </c>
      <c r="U71" s="12">
        <f>+T71+BG71*S71*テーブル2[[#This Row],[Pw]]*R71/(N71*O71*K71)</f>
        <v>535.88796532619847</v>
      </c>
      <c r="V71">
        <v>0.03</v>
      </c>
      <c r="W71" s="8">
        <f t="shared" si="28"/>
        <v>237213.61154248976</v>
      </c>
      <c r="X71">
        <v>2.4062651639905688E-2</v>
      </c>
      <c r="Y71">
        <f t="shared" si="29"/>
        <v>6.4465633993775722</v>
      </c>
      <c r="Z71">
        <f t="shared" si="30"/>
        <v>6.4465634208098503</v>
      </c>
      <c r="AA71">
        <f t="shared" si="31"/>
        <v>-2.1432278174415842E-8</v>
      </c>
      <c r="AB71">
        <f t="shared" si="32"/>
        <v>1.2462023386315327E-5</v>
      </c>
      <c r="AC71">
        <v>714.72366405820424</v>
      </c>
      <c r="AD71">
        <f t="shared" si="33"/>
        <v>6504.8361010317985</v>
      </c>
      <c r="AE71">
        <f>+gettm2(AD71,AC71,AK71,AL71,テーブル2[[#This Row],[Fcorr]])</f>
        <v>535.88796532619835</v>
      </c>
      <c r="AF71" s="14">
        <f t="shared" si="34"/>
        <v>0</v>
      </c>
      <c r="AG71">
        <v>1.255138042458762E-5</v>
      </c>
      <c r="AH71">
        <f t="shared" si="35"/>
        <v>62.625190988135977</v>
      </c>
      <c r="AI71">
        <f t="shared" si="36"/>
        <v>0.31657818786947012</v>
      </c>
      <c r="AJ71">
        <f t="shared" si="37"/>
        <v>34.378151713184288</v>
      </c>
      <c r="AK71">
        <f t="array" ref="AK71">+S71*テーブル2[[#This Row],[F_form]]/(E71*CpFromTP((テーブル2[[#This Row],[Tin]]+テーブル2[[#This Row],[Tf]])/2,テーブル2[[#This Row],[P]])*AI71)</f>
        <v>6.8638774880129771</v>
      </c>
      <c r="AL71">
        <f t="shared" si="38"/>
        <v>1.1293680422758512</v>
      </c>
      <c r="AM71">
        <f t="shared" si="39"/>
        <v>608.62110605980922</v>
      </c>
      <c r="AN71">
        <f t="shared" si="40"/>
        <v>5.9537796914810315E-9</v>
      </c>
      <c r="AO71">
        <f t="shared" si="41"/>
        <v>8.9357038272292879E-8</v>
      </c>
      <c r="AP71">
        <v>3.837125911682056</v>
      </c>
      <c r="AQ71">
        <f t="shared" si="42"/>
        <v>3.7036519538148968E-5</v>
      </c>
      <c r="AR71">
        <f t="shared" si="43"/>
        <v>6.3203687314299563E-6</v>
      </c>
      <c r="AS71">
        <f t="shared" si="44"/>
        <v>17.311450038333458</v>
      </c>
      <c r="AT71">
        <f t="shared" si="45"/>
        <v>11.206840672515646</v>
      </c>
      <c r="AU71">
        <f t="shared" si="46"/>
        <v>3.5478413118468772</v>
      </c>
      <c r="AV71">
        <f t="shared" si="47"/>
        <v>0.28928459983517874</v>
      </c>
      <c r="AW71">
        <f t="shared" si="48"/>
        <v>7.4923102997796562E-3</v>
      </c>
      <c r="AX71">
        <f t="shared" si="49"/>
        <v>0.28928459247035809</v>
      </c>
      <c r="AY71">
        <f t="shared" si="50"/>
        <v>7.3648206422305407E-9</v>
      </c>
      <c r="AZ71">
        <f t="shared" si="51"/>
        <v>1080577.4158407261</v>
      </c>
      <c r="BA71">
        <f t="shared" si="52"/>
        <v>9.6521512169803963E-6</v>
      </c>
      <c r="BB71" s="15">
        <f t="shared" si="53"/>
        <v>6250972.9662435912</v>
      </c>
      <c r="BC71" s="20">
        <f t="shared" si="54"/>
        <v>1771.7357748411596</v>
      </c>
      <c r="BD71" s="19">
        <f t="shared" si="55"/>
        <v>2.8351395794439193E-2</v>
      </c>
      <c r="BE71" s="15">
        <v>6215350</v>
      </c>
      <c r="BF71" s="16">
        <f>テーブル2[[#This Row],[q_P]]/テーブル2[[#This Row],[q_M]]</f>
        <v>1.0057314497564243</v>
      </c>
      <c r="BG71">
        <v>1</v>
      </c>
      <c r="BH71">
        <v>-0.216</v>
      </c>
      <c r="BI71">
        <v>4.5999999999999999E-2</v>
      </c>
      <c r="BJ71">
        <v>5625</v>
      </c>
      <c r="BK71" s="22">
        <v>1</v>
      </c>
      <c r="BL71">
        <f>テーブル2[[#This Row],[Ts]]-テーブル2[[#This Row],[Tin]]</f>
        <v>133.05356756225098</v>
      </c>
      <c r="BM71">
        <f>テーブル2[[#This Row],[q_P]]*0.000001</f>
        <v>6.2509729662435909</v>
      </c>
      <c r="BN71">
        <f>テーブル2[[#This Row],[Tsub]]</f>
        <v>133.05356756225098</v>
      </c>
      <c r="BO71">
        <f>テーブル2[[#This Row],[Fcorr]]</f>
        <v>1</v>
      </c>
      <c r="BP71">
        <f>(テーブル2[[#This Row],[Tsub]]-40)^2</f>
        <v>8658.9664360624065</v>
      </c>
      <c r="BQ71">
        <v>1</v>
      </c>
      <c r="BR71">
        <v>0.3175</v>
      </c>
    </row>
    <row r="72" spans="1:70" x14ac:dyDescent="0.15">
      <c r="A72" s="9" t="s">
        <v>140</v>
      </c>
      <c r="B72">
        <v>13789520</v>
      </c>
      <c r="C72" s="22">
        <f t="array" ref="C72">TsatFromP(テーブル2[[#This Row],[P]])</f>
        <v>608.621106065763</v>
      </c>
      <c r="D72">
        <f t="array" ref="D72">RhoGFromP(テーブル2[[#This Row],[P]])</f>
        <v>85.147893581579396</v>
      </c>
      <c r="E72">
        <f t="array" ref="E72">RhoFFromP(テーブル2[[#This Row],[P]])</f>
        <v>624.86627494838649</v>
      </c>
      <c r="F72">
        <f t="array" ref="F72">HgFromP(テーブル2[[#This Row],[P]])</f>
        <v>2643264.389866509</v>
      </c>
      <c r="G72">
        <f t="array" ref="G72">HfFromP(テーブル2[[#This Row],[P]])</f>
        <v>1562686.9740257829</v>
      </c>
      <c r="H72">
        <f t="array" ref="H72">MuGFromP(テーブル2[[#This Row],[P]])</f>
        <v>2.2019594042733509E-5</v>
      </c>
      <c r="I72">
        <f t="array" ref="I72">MuFFromP(テーブル2[[#This Row],[P]])</f>
        <v>7.2223252690249831E-5</v>
      </c>
      <c r="J72">
        <f t="array" ref="J72">KfFromP(テーブル2[[#This Row],[P]])</f>
        <v>0.4911212487937569</v>
      </c>
      <c r="K72">
        <f t="array" ref="K72">CpFFromP(テーブル2[[#This Row],[P]])</f>
        <v>7679.7516396704104</v>
      </c>
      <c r="L72">
        <f t="array" ref="L72">SigmaFromP(テーブル2[[#This Row],[P]])</f>
        <v>6.5036382888884548E-3</v>
      </c>
      <c r="M72" s="23">
        <v>71</v>
      </c>
      <c r="N72">
        <v>3606.96</v>
      </c>
      <c r="O72" s="8">
        <v>1.7719053836560401E-5</v>
      </c>
      <c r="P72" s="8">
        <v>1.4921936786020801E-2</v>
      </c>
      <c r="Q72" s="8">
        <v>4.7498000000000002E-3</v>
      </c>
      <c r="R72">
        <v>0.3175</v>
      </c>
      <c r="S72" s="15">
        <v>4899584.35546875</v>
      </c>
      <c r="T72">
        <v>506.68610815273303</v>
      </c>
      <c r="U72" s="12">
        <f>+T72+BG72*S72*テーブル2[[#This Row],[Pw]]*R72/(N72*O72*K72)</f>
        <v>553.9793555096378</v>
      </c>
      <c r="V72">
        <v>0.03</v>
      </c>
      <c r="W72" s="8">
        <f t="shared" si="28"/>
        <v>237213.61154248976</v>
      </c>
      <c r="X72">
        <v>2.4062651639905688E-2</v>
      </c>
      <c r="Y72">
        <f t="shared" si="29"/>
        <v>6.4465633993775722</v>
      </c>
      <c r="Z72">
        <f t="shared" si="30"/>
        <v>6.4465634208098503</v>
      </c>
      <c r="AA72">
        <f t="shared" si="31"/>
        <v>-2.1432278174415842E-8</v>
      </c>
      <c r="AB72">
        <f t="shared" si="32"/>
        <v>1.2462023386315327E-5</v>
      </c>
      <c r="AC72">
        <v>688.28319018322145</v>
      </c>
      <c r="AD72">
        <f t="shared" si="33"/>
        <v>6504.8361010317985</v>
      </c>
      <c r="AE72">
        <f>+gettm2(AD72,AC72,AK72,AL72,テーブル2[[#This Row],[Fcorr]])</f>
        <v>553.9793555096378</v>
      </c>
      <c r="AF72" s="14">
        <f t="shared" si="34"/>
        <v>0</v>
      </c>
      <c r="AG72">
        <v>1.2532029044890019E-5</v>
      </c>
      <c r="AH72">
        <f t="shared" si="35"/>
        <v>62.625190988135977</v>
      </c>
      <c r="AI72">
        <f t="shared" si="36"/>
        <v>0.31657818786947012</v>
      </c>
      <c r="AJ72">
        <f t="shared" si="37"/>
        <v>34.325148406408545</v>
      </c>
      <c r="AK72">
        <f t="array" ref="AK72">+S72*テーブル2[[#This Row],[F_form]]/(E72*CpFromTP((テーブル2[[#This Row],[Tin]]+テーブル2[[#This Row],[Tf]])/2,テーブル2[[#This Row],[P]])*AI72)</f>
        <v>5.1547038645301893</v>
      </c>
      <c r="AL72">
        <f t="shared" si="38"/>
        <v>1.1293680422758512</v>
      </c>
      <c r="AM72">
        <f t="shared" si="39"/>
        <v>608.62110606179397</v>
      </c>
      <c r="AN72">
        <f t="shared" si="40"/>
        <v>3.9690348785370588E-9</v>
      </c>
      <c r="AO72">
        <f t="shared" si="41"/>
        <v>7.0005658574692534E-8</v>
      </c>
      <c r="AP72">
        <v>3.83261271773089</v>
      </c>
      <c r="AQ72">
        <f t="shared" si="42"/>
        <v>3.7123797552377924E-5</v>
      </c>
      <c r="AR72">
        <f t="shared" si="43"/>
        <v>6.301017351732356E-6</v>
      </c>
      <c r="AS72">
        <f t="shared" si="44"/>
        <v>17.258446731557708</v>
      </c>
      <c r="AT72">
        <f t="shared" si="45"/>
        <v>11.191508446139199</v>
      </c>
      <c r="AU72">
        <f t="shared" si="46"/>
        <v>3.542987463404617</v>
      </c>
      <c r="AV72">
        <f t="shared" si="47"/>
        <v>0.28962525432627295</v>
      </c>
      <c r="AW72">
        <f t="shared" si="48"/>
        <v>7.4923102997796562E-3</v>
      </c>
      <c r="AX72">
        <f t="shared" si="49"/>
        <v>0.28962524715400578</v>
      </c>
      <c r="AY72">
        <f t="shared" si="50"/>
        <v>7.1722671690643836E-9</v>
      </c>
      <c r="AZ72">
        <f t="shared" si="51"/>
        <v>1080577.4158407261</v>
      </c>
      <c r="BA72">
        <f t="shared" si="52"/>
        <v>9.6862898201614223E-6</v>
      </c>
      <c r="BB72" s="15">
        <f t="shared" si="53"/>
        <v>4879986.9262677794</v>
      </c>
      <c r="BC72" s="20">
        <f t="shared" si="54"/>
        <v>-19597.429200970568</v>
      </c>
      <c r="BD72" s="19">
        <f t="shared" si="55"/>
        <v>-0.39998146330711876</v>
      </c>
      <c r="BE72" s="15">
        <v>6215350</v>
      </c>
      <c r="BF72" s="16">
        <f>テーブル2[[#This Row],[q_P]]/テーブル2[[#This Row],[q_M]]</f>
        <v>0.78515078415017325</v>
      </c>
      <c r="BG72">
        <v>1</v>
      </c>
      <c r="BH72">
        <v>-8.5000000000000006E-2</v>
      </c>
      <c r="BI72">
        <v>4.5999999999999999E-2</v>
      </c>
      <c r="BJ72">
        <v>5625</v>
      </c>
      <c r="BK72" s="22">
        <v>1</v>
      </c>
      <c r="BL72">
        <f>テーブル2[[#This Row],[Ts]]-テーブル2[[#This Row],[Tin]]</f>
        <v>101.93499791302997</v>
      </c>
      <c r="BM72">
        <f>テーブル2[[#This Row],[q_P]]*0.000001</f>
        <v>4.8799869262677795</v>
      </c>
      <c r="BN72">
        <f>テーブル2[[#This Row],[Tsub]]</f>
        <v>101.93499791302997</v>
      </c>
      <c r="BO72">
        <f>テーブル2[[#This Row],[Fcorr]]</f>
        <v>1</v>
      </c>
      <c r="BP72">
        <f>(テーブル2[[#This Row],[Tsub]]-40)^2</f>
        <v>3835.9439664870274</v>
      </c>
      <c r="BQ72">
        <v>1</v>
      </c>
      <c r="BR72">
        <v>0.3175</v>
      </c>
    </row>
    <row r="73" spans="1:70" x14ac:dyDescent="0.15">
      <c r="A73" s="9" t="s">
        <v>141</v>
      </c>
      <c r="B73">
        <v>13789520</v>
      </c>
      <c r="C73" s="22">
        <f t="array" ref="C73">TsatFromP(テーブル2[[#This Row],[P]])</f>
        <v>608.621106065763</v>
      </c>
      <c r="D73">
        <f t="array" ref="D73">RhoGFromP(テーブル2[[#This Row],[P]])</f>
        <v>85.147893581579396</v>
      </c>
      <c r="E73">
        <f t="array" ref="E73">RhoFFromP(テーブル2[[#This Row],[P]])</f>
        <v>624.86627494838649</v>
      </c>
      <c r="F73">
        <f t="array" ref="F73">HgFromP(テーブル2[[#This Row],[P]])</f>
        <v>2643264.389866509</v>
      </c>
      <c r="G73">
        <f t="array" ref="G73">HfFromP(テーブル2[[#This Row],[P]])</f>
        <v>1562686.9740257829</v>
      </c>
      <c r="H73">
        <f t="array" ref="H73">MuGFromP(テーブル2[[#This Row],[P]])</f>
        <v>2.2019594042733509E-5</v>
      </c>
      <c r="I73">
        <f t="array" ref="I73">MuFFromP(テーブル2[[#This Row],[P]])</f>
        <v>7.2223252690249831E-5</v>
      </c>
      <c r="J73">
        <f t="array" ref="J73">KfFromP(テーブル2[[#This Row],[P]])</f>
        <v>0.4911212487937569</v>
      </c>
      <c r="K73">
        <f t="array" ref="K73">CpFFromP(テーブル2[[#This Row],[P]])</f>
        <v>7679.7516396704104</v>
      </c>
      <c r="L73">
        <f t="array" ref="L73">SigmaFromP(テーブル2[[#This Row],[P]])</f>
        <v>6.5036382888884548E-3</v>
      </c>
      <c r="M73">
        <v>72</v>
      </c>
      <c r="N73">
        <v>3647.64</v>
      </c>
      <c r="O73" s="8">
        <v>1.7719053836560401E-5</v>
      </c>
      <c r="P73" s="8">
        <v>1.4921936786020801E-2</v>
      </c>
      <c r="Q73" s="8">
        <v>4.7498000000000002E-3</v>
      </c>
      <c r="R73">
        <v>0.3175</v>
      </c>
      <c r="S73" s="15">
        <v>8937289.16015625</v>
      </c>
      <c r="T73">
        <v>414.08396642751802</v>
      </c>
      <c r="U73" s="12">
        <f>+T73+BG73*S73*テーブル2[[#This Row],[Pw]]*R73/(N73*O73*K73)</f>
        <v>499.38907938972056</v>
      </c>
      <c r="V73">
        <v>0.03</v>
      </c>
      <c r="W73" s="8">
        <f t="shared" si="28"/>
        <v>239888.95302605163</v>
      </c>
      <c r="X73">
        <v>2.3953673772885192E-2</v>
      </c>
      <c r="Y73">
        <f t="shared" si="29"/>
        <v>6.4612111628115629</v>
      </c>
      <c r="Z73">
        <f t="shared" si="30"/>
        <v>6.4612111743555216</v>
      </c>
      <c r="AA73">
        <f t="shared" si="31"/>
        <v>-1.1543958677862065E-8</v>
      </c>
      <c r="AB73">
        <f t="shared" si="32"/>
        <v>1.2241048773257568E-5</v>
      </c>
      <c r="AC73">
        <v>767.25532476945341</v>
      </c>
      <c r="AD73">
        <f t="shared" si="33"/>
        <v>6563.2859359548429</v>
      </c>
      <c r="AE73">
        <f>+gettm2(AD73,AC73,AK73,AL73,テーブル2[[#This Row],[Fcorr]])</f>
        <v>499.38907938972056</v>
      </c>
      <c r="AF73" s="14">
        <f t="shared" si="34"/>
        <v>0</v>
      </c>
      <c r="AG73">
        <v>1.2365729149971131E-5</v>
      </c>
      <c r="AH73">
        <f t="shared" si="35"/>
        <v>63.755696846139266</v>
      </c>
      <c r="AI73">
        <f t="shared" si="36"/>
        <v>0.31942283184416953</v>
      </c>
      <c r="AJ73">
        <f t="shared" si="37"/>
        <v>34.173993101954764</v>
      </c>
      <c r="AK73">
        <f t="array" ref="AK73">+S73*テーブル2[[#This Row],[F_form]]/(E73*CpFromTP((テーブル2[[#This Row],[Tin]]+テーブル2[[#This Row],[Tf]])/2,テーブル2[[#This Row],[P]])*AI73)</f>
        <v>10.272096733806505</v>
      </c>
      <c r="AL73">
        <f t="shared" si="38"/>
        <v>1.1293680422758512</v>
      </c>
      <c r="AM73">
        <f t="shared" si="39"/>
        <v>608.62110603921269</v>
      </c>
      <c r="AN73">
        <f t="shared" si="40"/>
        <v>2.6550310394668486E-8</v>
      </c>
      <c r="AO73">
        <f t="shared" si="41"/>
        <v>1.2468037671356238E-7</v>
      </c>
      <c r="AP73">
        <v>3.8647017632661811</v>
      </c>
      <c r="AQ73">
        <f t="shared" si="42"/>
        <v>3.650987094634945E-5</v>
      </c>
      <c r="AR73">
        <f t="shared" si="43"/>
        <v>6.2452047633423465E-6</v>
      </c>
      <c r="AS73">
        <f t="shared" si="44"/>
        <v>17.259280218284147</v>
      </c>
      <c r="AT73">
        <f t="shared" si="45"/>
        <v>11.191749912423411</v>
      </c>
      <c r="AU73">
        <f t="shared" si="46"/>
        <v>3.5749004503180224</v>
      </c>
      <c r="AV73">
        <f t="shared" si="47"/>
        <v>0.2898013129481587</v>
      </c>
      <c r="AW73">
        <f t="shared" si="48"/>
        <v>7.3594578473263478E-3</v>
      </c>
      <c r="AX73">
        <f t="shared" si="49"/>
        <v>0.28980130398009174</v>
      </c>
      <c r="AY73">
        <f t="shared" si="50"/>
        <v>8.9680669557168358E-9</v>
      </c>
      <c r="AZ73">
        <f t="shared" si="51"/>
        <v>1080577.4158407261</v>
      </c>
      <c r="BA73">
        <f t="shared" si="52"/>
        <v>9.4470086394179634E-6</v>
      </c>
      <c r="BB73" s="15">
        <f t="shared" si="53"/>
        <v>8911416.9799249172</v>
      </c>
      <c r="BC73" s="20">
        <f t="shared" si="54"/>
        <v>-25872.180231332779</v>
      </c>
      <c r="BD73" s="19">
        <f t="shared" si="55"/>
        <v>-0.28948576875720622</v>
      </c>
      <c r="BE73" s="15">
        <v>8171449.9999999981</v>
      </c>
      <c r="BF73" s="16">
        <f>テーブル2[[#This Row],[q_P]]/テーブル2[[#This Row],[q_M]]</f>
        <v>1.0905551621713305</v>
      </c>
      <c r="BG73">
        <v>1</v>
      </c>
      <c r="BH73">
        <v>-0.33400000000000002</v>
      </c>
      <c r="BI73">
        <v>4.5999999999999999E-2</v>
      </c>
      <c r="BJ73">
        <v>5625</v>
      </c>
      <c r="BK73" s="22">
        <v>1</v>
      </c>
      <c r="BL73">
        <f>テーブル2[[#This Row],[Ts]]-テーブル2[[#This Row],[Tin]]</f>
        <v>194.53713963824498</v>
      </c>
      <c r="BM73">
        <f>テーブル2[[#This Row],[q_P]]*0.000001</f>
        <v>8.9114169799249172</v>
      </c>
      <c r="BN73">
        <f>テーブル2[[#This Row],[Tsub]]</f>
        <v>194.53713963824498</v>
      </c>
      <c r="BO73">
        <f>テーブル2[[#This Row],[Fcorr]]</f>
        <v>1</v>
      </c>
      <c r="BP73">
        <f>(テーブル2[[#This Row],[Tsub]]-40)^2</f>
        <v>23881.727527570427</v>
      </c>
      <c r="BQ73">
        <v>1</v>
      </c>
      <c r="BR73">
        <v>0.3175</v>
      </c>
    </row>
    <row r="74" spans="1:70" x14ac:dyDescent="0.15">
      <c r="A74" s="9" t="s">
        <v>142</v>
      </c>
      <c r="B74">
        <v>13789520</v>
      </c>
      <c r="C74" s="22">
        <f t="array" ref="C74">TsatFromP(テーブル2[[#This Row],[P]])</f>
        <v>608.621106065763</v>
      </c>
      <c r="D74">
        <f t="array" ref="D74">RhoGFromP(テーブル2[[#This Row],[P]])</f>
        <v>85.147893581579396</v>
      </c>
      <c r="E74">
        <f t="array" ref="E74">RhoFFromP(テーブル2[[#This Row],[P]])</f>
        <v>624.86627494838649</v>
      </c>
      <c r="F74">
        <f t="array" ref="F74">HgFromP(テーブル2[[#This Row],[P]])</f>
        <v>2643264.389866509</v>
      </c>
      <c r="G74">
        <f t="array" ref="G74">HfFromP(テーブル2[[#This Row],[P]])</f>
        <v>1562686.9740257829</v>
      </c>
      <c r="H74">
        <f t="array" ref="H74">MuGFromP(テーブル2[[#This Row],[P]])</f>
        <v>2.2019594042733509E-5</v>
      </c>
      <c r="I74">
        <f t="array" ref="I74">MuFFromP(テーブル2[[#This Row],[P]])</f>
        <v>7.2223252690249831E-5</v>
      </c>
      <c r="J74">
        <f t="array" ref="J74">KfFromP(テーブル2[[#This Row],[P]])</f>
        <v>0.4911212487937569</v>
      </c>
      <c r="K74">
        <f t="array" ref="K74">CpFFromP(テーブル2[[#This Row],[P]])</f>
        <v>7679.7516396704104</v>
      </c>
      <c r="L74">
        <f t="array" ref="L74">SigmaFromP(テーブル2[[#This Row],[P]])</f>
        <v>6.5036382888884548E-3</v>
      </c>
      <c r="M74" s="23">
        <v>73</v>
      </c>
      <c r="N74">
        <v>3647.64</v>
      </c>
      <c r="O74" s="8">
        <v>1.7719053836560401E-5</v>
      </c>
      <c r="P74" s="8">
        <v>1.4921936786020801E-2</v>
      </c>
      <c r="Q74" s="8">
        <v>4.7498000000000002E-3</v>
      </c>
      <c r="R74">
        <v>0.3175</v>
      </c>
      <c r="S74" s="15">
        <v>8715213.37890625</v>
      </c>
      <c r="T74">
        <v>419.27906470028603</v>
      </c>
      <c r="U74" s="12">
        <f>+T74+BG74*S74*テーブル2[[#This Row],[Pw]]*R74/(N74*O74*K74)</f>
        <v>502.46449693310626</v>
      </c>
      <c r="V74">
        <v>0.03</v>
      </c>
      <c r="W74" s="8">
        <f t="shared" si="28"/>
        <v>239888.95302605163</v>
      </c>
      <c r="X74">
        <v>2.3953673772885192E-2</v>
      </c>
      <c r="Y74">
        <f t="shared" si="29"/>
        <v>6.4612111628115629</v>
      </c>
      <c r="Z74">
        <f t="shared" si="30"/>
        <v>6.4612111743555216</v>
      </c>
      <c r="AA74">
        <f t="shared" si="31"/>
        <v>-1.1543958677862065E-8</v>
      </c>
      <c r="AB74">
        <f t="shared" si="32"/>
        <v>1.2241048773257568E-5</v>
      </c>
      <c r="AC74">
        <v>762.77530272390209</v>
      </c>
      <c r="AD74">
        <f t="shared" si="33"/>
        <v>6563.2859359548429</v>
      </c>
      <c r="AE74">
        <f>+gettm2(AD74,AC74,AK74,AL74,テーブル2[[#This Row],[Fcorr]])</f>
        <v>502.46449693310615</v>
      </c>
      <c r="AF74" s="14">
        <f t="shared" si="34"/>
        <v>0</v>
      </c>
      <c r="AG74">
        <v>1.2362963191760181E-5</v>
      </c>
      <c r="AH74">
        <f t="shared" si="35"/>
        <v>63.755696846139266</v>
      </c>
      <c r="AI74">
        <f t="shared" si="36"/>
        <v>0.31942283184416953</v>
      </c>
      <c r="AJ74">
        <f t="shared" si="37"/>
        <v>34.166349085522327</v>
      </c>
      <c r="AK74">
        <f t="array" ref="AK74">+S74*テーブル2[[#This Row],[F_form]]/(E74*CpFromTP((テーブル2[[#This Row],[Tin]]+テーブル2[[#This Row],[Tf]])/2,テーブル2[[#This Row],[P]])*AI74)</f>
        <v>9.9823618095200608</v>
      </c>
      <c r="AL74">
        <f t="shared" si="38"/>
        <v>1.1293680422758512</v>
      </c>
      <c r="AM74">
        <f t="shared" si="39"/>
        <v>608.62110604176371</v>
      </c>
      <c r="AN74">
        <f t="shared" si="40"/>
        <v>2.3999291443033144E-8</v>
      </c>
      <c r="AO74">
        <f t="shared" si="41"/>
        <v>1.2191441850261246E-7</v>
      </c>
      <c r="AP74">
        <v>3.8640436163623502</v>
      </c>
      <c r="AQ74">
        <f t="shared" si="42"/>
        <v>3.6522309162517575E-5</v>
      </c>
      <c r="AR74">
        <f t="shared" si="43"/>
        <v>6.2424388051313966E-6</v>
      </c>
      <c r="AS74">
        <f t="shared" si="44"/>
        <v>17.251636201851717</v>
      </c>
      <c r="AT74">
        <f t="shared" si="45"/>
        <v>11.189534956302174</v>
      </c>
      <c r="AU74">
        <f t="shared" si="46"/>
        <v>3.5741929427613659</v>
      </c>
      <c r="AV74">
        <f t="shared" si="47"/>
        <v>0.28985067360098427</v>
      </c>
      <c r="AW74">
        <f t="shared" si="48"/>
        <v>7.3594578473263478E-3</v>
      </c>
      <c r="AX74">
        <f t="shared" si="49"/>
        <v>0.28985066466280579</v>
      </c>
      <c r="AY74">
        <f t="shared" si="50"/>
        <v>8.9381784751374482E-9</v>
      </c>
      <c r="AZ74">
        <f t="shared" si="51"/>
        <v>1080577.4158407261</v>
      </c>
      <c r="BA74">
        <f t="shared" si="52"/>
        <v>9.4518366738572289E-6</v>
      </c>
      <c r="BB74" s="15">
        <f t="shared" si="53"/>
        <v>8709271.6194786299</v>
      </c>
      <c r="BC74" s="20">
        <f t="shared" si="54"/>
        <v>-5941.759427620098</v>
      </c>
      <c r="BD74" s="19">
        <f t="shared" si="55"/>
        <v>-6.8176866925612575E-2</v>
      </c>
      <c r="BE74" s="15">
        <v>7950600</v>
      </c>
      <c r="BF74" s="16">
        <f>テーブル2[[#This Row],[q_P]]/テーブル2[[#This Row],[q_M]]</f>
        <v>1.0954231906370122</v>
      </c>
      <c r="BG74">
        <v>1</v>
      </c>
      <c r="BH74">
        <v>-0.32900000000000001</v>
      </c>
      <c r="BI74">
        <v>4.5999999999999999E-2</v>
      </c>
      <c r="BJ74">
        <v>5625</v>
      </c>
      <c r="BK74" s="22">
        <v>1</v>
      </c>
      <c r="BL74">
        <f>テーブル2[[#This Row],[Ts]]-テーブル2[[#This Row],[Tin]]</f>
        <v>189.34204136547697</v>
      </c>
      <c r="BM74">
        <f>テーブル2[[#This Row],[q_P]]*0.000001</f>
        <v>8.7092716194786295</v>
      </c>
      <c r="BN74">
        <f>テーブル2[[#This Row],[Tsub]]</f>
        <v>189.34204136547697</v>
      </c>
      <c r="BO74">
        <f>テーブル2[[#This Row],[Fcorr]]</f>
        <v>1</v>
      </c>
      <c r="BP74">
        <f>(テーブル2[[#This Row],[Tsub]]-40)^2</f>
        <v>22303.045319207835</v>
      </c>
      <c r="BQ74">
        <v>1</v>
      </c>
      <c r="BR74">
        <v>0.3175</v>
      </c>
    </row>
    <row r="75" spans="1:70" x14ac:dyDescent="0.15">
      <c r="A75" s="9" t="s">
        <v>143</v>
      </c>
      <c r="B75">
        <v>13789520</v>
      </c>
      <c r="C75" s="22">
        <f t="array" ref="C75">TsatFromP(テーブル2[[#This Row],[P]])</f>
        <v>608.621106065763</v>
      </c>
      <c r="D75">
        <f t="array" ref="D75">RhoGFromP(テーブル2[[#This Row],[P]])</f>
        <v>85.147893581579396</v>
      </c>
      <c r="E75">
        <f t="array" ref="E75">RhoFFromP(テーブル2[[#This Row],[P]])</f>
        <v>624.86627494838649</v>
      </c>
      <c r="F75">
        <f t="array" ref="F75">HgFromP(テーブル2[[#This Row],[P]])</f>
        <v>2643264.389866509</v>
      </c>
      <c r="G75">
        <f t="array" ref="G75">HfFromP(テーブル2[[#This Row],[P]])</f>
        <v>1562686.9740257829</v>
      </c>
      <c r="H75">
        <f t="array" ref="H75">MuGFromP(テーブル2[[#This Row],[P]])</f>
        <v>2.2019594042733509E-5</v>
      </c>
      <c r="I75">
        <f t="array" ref="I75">MuFFromP(テーブル2[[#This Row],[P]])</f>
        <v>7.2223252690249831E-5</v>
      </c>
      <c r="J75">
        <f t="array" ref="J75">KfFromP(テーブル2[[#This Row],[P]])</f>
        <v>0.4911212487937569</v>
      </c>
      <c r="K75">
        <f t="array" ref="K75">CpFFromP(テーブル2[[#This Row],[P]])</f>
        <v>7679.7516396704104</v>
      </c>
      <c r="L75">
        <f t="array" ref="L75">SigmaFromP(テーブル2[[#This Row],[P]])</f>
        <v>6.5036382888884548E-3</v>
      </c>
      <c r="M75">
        <v>74</v>
      </c>
      <c r="N75">
        <v>3701.88</v>
      </c>
      <c r="O75" s="8">
        <v>1.7719053836560401E-5</v>
      </c>
      <c r="P75" s="8">
        <v>1.4921936786020801E-2</v>
      </c>
      <c r="Q75" s="8">
        <v>4.7498000000000002E-3</v>
      </c>
      <c r="R75">
        <v>0.3175</v>
      </c>
      <c r="S75" s="15">
        <v>343091.71203125</v>
      </c>
      <c r="T75">
        <v>602.76785429697395</v>
      </c>
      <c r="U75" s="12">
        <f>+T75+BG75*S75*テーブル2[[#This Row],[Pw]]*R75/(N75*O75*K75)</f>
        <v>605.99463248764459</v>
      </c>
      <c r="V75">
        <v>0.03</v>
      </c>
      <c r="W75" s="8">
        <f t="shared" si="28"/>
        <v>243456.07500413424</v>
      </c>
      <c r="X75">
        <v>2.3811358616391751E-2</v>
      </c>
      <c r="Y75">
        <f t="shared" si="29"/>
        <v>6.4804910037808234</v>
      </c>
      <c r="Z75">
        <f t="shared" si="30"/>
        <v>6.4804910224067394</v>
      </c>
      <c r="AA75">
        <f t="shared" si="31"/>
        <v>-1.8625915920722491E-8</v>
      </c>
      <c r="AB75">
        <f t="shared" si="32"/>
        <v>1.1955998419780062E-5</v>
      </c>
      <c r="AC75">
        <v>612.39260201987815</v>
      </c>
      <c r="AD75">
        <f t="shared" si="33"/>
        <v>6641.0647532744524</v>
      </c>
      <c r="AE75">
        <f>+gettm2(AD75,AC75,AK75,AL75,テーブル2[[#This Row],[Fcorr]])</f>
        <v>605.99463248764459</v>
      </c>
      <c r="AF75" s="14">
        <f t="shared" si="34"/>
        <v>0</v>
      </c>
      <c r="AG75">
        <v>1.196080393166259E-5</v>
      </c>
      <c r="AH75">
        <f t="shared" si="35"/>
        <v>65.27573584950099</v>
      </c>
      <c r="AI75">
        <f t="shared" si="36"/>
        <v>0.32320818118414246</v>
      </c>
      <c r="AJ75">
        <f t="shared" si="37"/>
        <v>33.446660243122203</v>
      </c>
      <c r="AK75">
        <f t="array" ref="AK75">+S75*テーブル2[[#This Row],[F_form]]/(E75*CpFromTP((テーブル2[[#This Row],[Tin]]+テーブル2[[#This Row],[Tf]])/2,テーブル2[[#This Row],[P]])*AI75)</f>
        <v>0.24507047008594915</v>
      </c>
      <c r="AL75">
        <f t="shared" si="38"/>
        <v>1.1293680422758512</v>
      </c>
      <c r="AM75">
        <f t="shared" si="39"/>
        <v>608.62110606504109</v>
      </c>
      <c r="AN75">
        <f t="shared" si="40"/>
        <v>7.2191141953226179E-10</v>
      </c>
      <c r="AO75">
        <f t="shared" si="41"/>
        <v>4.8055118825275682E-9</v>
      </c>
      <c r="AP75">
        <v>3.8604913537548859</v>
      </c>
      <c r="AQ75">
        <f t="shared" si="42"/>
        <v>3.6589552686973409E-5</v>
      </c>
      <c r="AR75">
        <f t="shared" si="43"/>
        <v>5.9828047217725586E-6</v>
      </c>
      <c r="AS75">
        <f t="shared" si="44"/>
        <v>16.730049081429829</v>
      </c>
      <c r="AT75">
        <f t="shared" si="45"/>
        <v>11.036032243660081</v>
      </c>
      <c r="AU75">
        <f t="shared" si="46"/>
        <v>3.5669359089629258</v>
      </c>
      <c r="AV75">
        <f t="shared" si="47"/>
        <v>0.29355544479196016</v>
      </c>
      <c r="AW75">
        <f t="shared" si="48"/>
        <v>7.1880823304371266E-3</v>
      </c>
      <c r="AX75">
        <f t="shared" si="49"/>
        <v>0.29355543545025503</v>
      </c>
      <c r="AY75">
        <f t="shared" si="50"/>
        <v>9.3417051316713184E-9</v>
      </c>
      <c r="AZ75">
        <f t="shared" si="51"/>
        <v>1080577.4158407261</v>
      </c>
      <c r="BA75">
        <f t="shared" si="52"/>
        <v>9.4779522434067302E-6</v>
      </c>
      <c r="BB75" s="15">
        <f t="shared" si="53"/>
        <v>342348.24952539237</v>
      </c>
      <c r="BC75" s="20">
        <f t="shared" si="54"/>
        <v>-743.46250585763482</v>
      </c>
      <c r="BD75" s="19">
        <f t="shared" si="55"/>
        <v>-0.21669497682005145</v>
      </c>
      <c r="BE75" s="15">
        <v>2508225</v>
      </c>
      <c r="BF75" s="16">
        <f>テーブル2[[#This Row],[q_P]]/テーブル2[[#This Row],[q_M]]</f>
        <v>0.13649024689786299</v>
      </c>
      <c r="BG75">
        <v>1</v>
      </c>
      <c r="BH75">
        <v>0.13</v>
      </c>
      <c r="BI75">
        <v>4.5999999999999999E-2</v>
      </c>
      <c r="BJ75">
        <v>5625</v>
      </c>
      <c r="BK75" s="22">
        <v>1</v>
      </c>
      <c r="BL75">
        <f>テーブル2[[#This Row],[Ts]]-テーブル2[[#This Row],[Tin]]</f>
        <v>5.8532517687890504</v>
      </c>
      <c r="BM75">
        <f>テーブル2[[#This Row],[q_P]]*0.000001</f>
        <v>0.34234824952539233</v>
      </c>
      <c r="BN75">
        <f>テーブル2[[#This Row],[Tsub]]</f>
        <v>5.8532517687890504</v>
      </c>
      <c r="BO75">
        <f>テーブル2[[#This Row],[Fcorr]]</f>
        <v>1</v>
      </c>
      <c r="BP75">
        <f>(テーブル2[[#This Row],[Tsub]]-40)^2</f>
        <v>1166.0004147657082</v>
      </c>
      <c r="BQ75">
        <v>1</v>
      </c>
      <c r="BR75">
        <v>0.3175</v>
      </c>
    </row>
    <row r="76" spans="1:70" x14ac:dyDescent="0.15">
      <c r="A76" s="9" t="s">
        <v>144</v>
      </c>
      <c r="B76">
        <v>13789520</v>
      </c>
      <c r="C76" s="22">
        <f t="array" ref="C76">TsatFromP(テーブル2[[#This Row],[P]])</f>
        <v>608.621106065763</v>
      </c>
      <c r="D76">
        <f t="array" ref="D76">RhoGFromP(テーブル2[[#This Row],[P]])</f>
        <v>85.147893581579396</v>
      </c>
      <c r="E76">
        <f t="array" ref="E76">RhoFFromP(テーブル2[[#This Row],[P]])</f>
        <v>624.86627494838649</v>
      </c>
      <c r="F76">
        <f t="array" ref="F76">HgFromP(テーブル2[[#This Row],[P]])</f>
        <v>2643264.389866509</v>
      </c>
      <c r="G76">
        <f t="array" ref="G76">HfFromP(テーブル2[[#This Row],[P]])</f>
        <v>1562686.9740257829</v>
      </c>
      <c r="H76">
        <f t="array" ref="H76">MuGFromP(テーブル2[[#This Row],[P]])</f>
        <v>2.2019594042733509E-5</v>
      </c>
      <c r="I76">
        <f t="array" ref="I76">MuFFromP(テーブル2[[#This Row],[P]])</f>
        <v>7.2223252690249831E-5</v>
      </c>
      <c r="J76">
        <f t="array" ref="J76">KfFromP(テーブル2[[#This Row],[P]])</f>
        <v>0.4911212487937569</v>
      </c>
      <c r="K76">
        <f t="array" ref="K76">CpFFromP(テーブル2[[#This Row],[P]])</f>
        <v>7679.7516396704104</v>
      </c>
      <c r="L76">
        <f t="array" ref="L76">SigmaFromP(テーブル2[[#This Row],[P]])</f>
        <v>6.5036382888884548E-3</v>
      </c>
      <c r="M76" s="23">
        <v>75</v>
      </c>
      <c r="N76">
        <v>3769.68</v>
      </c>
      <c r="O76" s="8">
        <v>1.7719053836560401E-5</v>
      </c>
      <c r="P76" s="8">
        <v>1.4921936786020801E-2</v>
      </c>
      <c r="Q76" s="8">
        <v>4.7498000000000002E-3</v>
      </c>
      <c r="R76">
        <v>0.3175</v>
      </c>
      <c r="S76" s="15">
        <v>395973.67578125</v>
      </c>
      <c r="T76">
        <v>601.93187912108897</v>
      </c>
      <c r="U76" s="12">
        <f>+T76+BG76*S76*テーブル2[[#This Row],[Pw]]*R76/(N76*O76*K76)</f>
        <v>605.58903146712385</v>
      </c>
      <c r="V76">
        <v>0.03</v>
      </c>
      <c r="W76" s="8">
        <f t="shared" si="28"/>
        <v>247914.9774767374</v>
      </c>
      <c r="X76">
        <v>2.3638084170766849E-2</v>
      </c>
      <c r="Y76">
        <f t="shared" si="29"/>
        <v>6.5041996338577084</v>
      </c>
      <c r="Z76">
        <f t="shared" si="30"/>
        <v>6.5041996482593518</v>
      </c>
      <c r="AA76">
        <f t="shared" si="31"/>
        <v>-1.4401643433359368E-8</v>
      </c>
      <c r="AB76">
        <f t="shared" si="32"/>
        <v>1.1614311032901839E-5</v>
      </c>
      <c r="AC76">
        <v>612.93563773501978</v>
      </c>
      <c r="AD76">
        <f t="shared" si="33"/>
        <v>6738.045093933315</v>
      </c>
      <c r="AE76">
        <f>+gettm2(AD76,AC76,AK76,AL76,テーブル2[[#This Row],[Fcorr]])</f>
        <v>605.58903146712385</v>
      </c>
      <c r="AF76" s="14">
        <f t="shared" si="34"/>
        <v>0</v>
      </c>
      <c r="AG76">
        <v>1.161971066556588E-5</v>
      </c>
      <c r="AH76">
        <f t="shared" si="35"/>
        <v>67.196116278937154</v>
      </c>
      <c r="AI76">
        <f t="shared" si="36"/>
        <v>0.32792803269583182</v>
      </c>
      <c r="AJ76">
        <f t="shared" si="37"/>
        <v>32.967339442941089</v>
      </c>
      <c r="AK76">
        <f t="array" ref="AK76">+S76*テーブル2[[#This Row],[F_form]]/(E76*CpFromTP((テーブル2[[#This Row],[Tin]]+テーブル2[[#This Row],[Tf]])/2,テーブル2[[#This Row],[P]])*AI76)</f>
        <v>0.28101568778087077</v>
      </c>
      <c r="AL76">
        <f t="shared" si="38"/>
        <v>1.1293680422758512</v>
      </c>
      <c r="AM76">
        <f t="shared" si="39"/>
        <v>608.6211060649033</v>
      </c>
      <c r="AN76">
        <f t="shared" si="40"/>
        <v>8.5969986685086042E-10</v>
      </c>
      <c r="AO76">
        <f t="shared" si="41"/>
        <v>5.3996326640402907E-9</v>
      </c>
      <c r="AP76">
        <v>3.890969235920783</v>
      </c>
      <c r="AQ76">
        <f t="shared" si="42"/>
        <v>3.601858722929114E-5</v>
      </c>
      <c r="AR76">
        <f t="shared" si="43"/>
        <v>5.81255514911496E-6</v>
      </c>
      <c r="AS76">
        <f t="shared" si="44"/>
        <v>16.491329616283164</v>
      </c>
      <c r="AT76">
        <f t="shared" si="45"/>
        <v>10.964173824968348</v>
      </c>
      <c r="AU76">
        <f t="shared" si="46"/>
        <v>3.5954599525570039</v>
      </c>
      <c r="AV76">
        <f t="shared" si="47"/>
        <v>0.29550928336377913</v>
      </c>
      <c r="AW76">
        <f t="shared" si="48"/>
        <v>6.9826559844375123E-3</v>
      </c>
      <c r="AX76">
        <f t="shared" si="49"/>
        <v>0.2955092716810544</v>
      </c>
      <c r="AY76">
        <f t="shared" si="50"/>
        <v>1.1682724732064997E-8</v>
      </c>
      <c r="AZ76">
        <f t="shared" si="51"/>
        <v>1080577.4158407261</v>
      </c>
      <c r="BA76">
        <f t="shared" si="52"/>
        <v>9.2569704475618866E-6</v>
      </c>
      <c r="BB76" s="15">
        <f t="shared" si="53"/>
        <v>393856.76624929142</v>
      </c>
      <c r="BC76" s="20">
        <f t="shared" si="54"/>
        <v>-2116.9095319585758</v>
      </c>
      <c r="BD76" s="19">
        <f t="shared" si="55"/>
        <v>-0.53460865240143696</v>
      </c>
      <c r="BE76" s="15">
        <v>2637580</v>
      </c>
      <c r="BF76" s="16">
        <f>テーブル2[[#This Row],[q_P]]/テーブル2[[#This Row],[q_M]]</f>
        <v>0.1493250503299583</v>
      </c>
      <c r="BG76">
        <v>1</v>
      </c>
      <c r="BH76">
        <v>0.13</v>
      </c>
      <c r="BI76">
        <v>4.5999999999999999E-2</v>
      </c>
      <c r="BJ76">
        <v>5625</v>
      </c>
      <c r="BK76" s="22">
        <v>1</v>
      </c>
      <c r="BL76">
        <f>テーブル2[[#This Row],[Ts]]-テーブル2[[#This Row],[Tin]]</f>
        <v>6.6892269446740329</v>
      </c>
      <c r="BM76">
        <f>テーブル2[[#This Row],[q_P]]*0.000001</f>
        <v>0.39385676624929139</v>
      </c>
      <c r="BN76">
        <f>テーブル2[[#This Row],[Tsub]]</f>
        <v>6.6892269446740329</v>
      </c>
      <c r="BO76">
        <f>テーブル2[[#This Row],[Fcorr]]</f>
        <v>1</v>
      </c>
      <c r="BP76">
        <f>(テーブル2[[#This Row],[Tsub]]-40)^2</f>
        <v>1109.6076015434305</v>
      </c>
      <c r="BQ76">
        <v>1</v>
      </c>
      <c r="BR76">
        <v>0.3175</v>
      </c>
    </row>
    <row r="77" spans="1:70" x14ac:dyDescent="0.15">
      <c r="A77" s="9" t="s">
        <v>145</v>
      </c>
      <c r="B77">
        <v>13789520</v>
      </c>
      <c r="C77" s="22">
        <f t="array" ref="C77">TsatFromP(テーブル2[[#This Row],[P]])</f>
        <v>608.621106065763</v>
      </c>
      <c r="D77">
        <f t="array" ref="D77">RhoGFromP(テーブル2[[#This Row],[P]])</f>
        <v>85.147893581579396</v>
      </c>
      <c r="E77">
        <f t="array" ref="E77">RhoFFromP(テーブル2[[#This Row],[P]])</f>
        <v>624.86627494838649</v>
      </c>
      <c r="F77">
        <f t="array" ref="F77">HgFromP(テーブル2[[#This Row],[P]])</f>
        <v>2643264.389866509</v>
      </c>
      <c r="G77">
        <f t="array" ref="G77">HfFromP(テーブル2[[#This Row],[P]])</f>
        <v>1562686.9740257829</v>
      </c>
      <c r="H77">
        <f t="array" ref="H77">MuGFromP(テーブル2[[#This Row],[P]])</f>
        <v>2.2019594042733509E-5</v>
      </c>
      <c r="I77">
        <f t="array" ref="I77">MuFFromP(テーブル2[[#This Row],[P]])</f>
        <v>7.2223252690249831E-5</v>
      </c>
      <c r="J77">
        <f t="array" ref="J77">KfFromP(テーブル2[[#This Row],[P]])</f>
        <v>0.4911212487937569</v>
      </c>
      <c r="K77">
        <f t="array" ref="K77">CpFFromP(テーブル2[[#This Row],[P]])</f>
        <v>7679.7516396704104</v>
      </c>
      <c r="L77">
        <f t="array" ref="L77">SigmaFromP(テーブル2[[#This Row],[P]])</f>
        <v>6.5036382888884548E-3</v>
      </c>
      <c r="M77">
        <v>76</v>
      </c>
      <c r="N77">
        <v>3783.24</v>
      </c>
      <c r="O77" s="8">
        <v>1.7719053836560401E-5</v>
      </c>
      <c r="P77" s="8">
        <v>1.4921936786020801E-2</v>
      </c>
      <c r="Q77" s="8">
        <v>4.7498000000000002E-3</v>
      </c>
      <c r="R77">
        <v>0.3175</v>
      </c>
      <c r="S77" s="15">
        <v>11638893.45703125</v>
      </c>
      <c r="T77">
        <v>357.53101423134598</v>
      </c>
      <c r="U77" s="12">
        <f>+T77+BG77*S77*テーブル2[[#This Row],[Pw]]*R77/(N77*O77*K77)</f>
        <v>464.64076834253171</v>
      </c>
      <c r="V77">
        <v>0.03</v>
      </c>
      <c r="W77" s="8">
        <f t="shared" si="28"/>
        <v>248806.75797125802</v>
      </c>
      <c r="X77">
        <v>2.360402573567142E-2</v>
      </c>
      <c r="Y77">
        <f t="shared" si="29"/>
        <v>6.5088904228757531</v>
      </c>
      <c r="Z77">
        <f t="shared" si="30"/>
        <v>6.5088904394100471</v>
      </c>
      <c r="AA77">
        <f t="shared" si="31"/>
        <v>-1.6534293934000743E-8</v>
      </c>
      <c r="AB77">
        <f t="shared" si="32"/>
        <v>1.1547841993175833E-5</v>
      </c>
      <c r="AC77">
        <v>814.16076863196679</v>
      </c>
      <c r="AD77">
        <f t="shared" si="33"/>
        <v>6757.4092639581613</v>
      </c>
      <c r="AE77">
        <f>+gettm2(AD77,AC77,AK77,AL77,テーブル2[[#This Row],[Fcorr]])</f>
        <v>464.64076834253183</v>
      </c>
      <c r="AF77" s="14">
        <f t="shared" si="34"/>
        <v>0</v>
      </c>
      <c r="AG77">
        <v>1.170116394353561E-5</v>
      </c>
      <c r="AH77">
        <f t="shared" si="35"/>
        <v>67.582895152861596</v>
      </c>
      <c r="AI77">
        <f t="shared" si="36"/>
        <v>0.3288704505770586</v>
      </c>
      <c r="AJ77">
        <f t="shared" si="37"/>
        <v>33.293845480290003</v>
      </c>
      <c r="AK77">
        <f t="array" ref="AK77">+S77*テーブル2[[#This Row],[F_form]]/(E77*CpFromTP((テーブル2[[#This Row],[Tin]]+テーブル2[[#This Row],[Tf]])/2,テーブル2[[#This Row],[P]])*AI77)</f>
        <v>13.36583746742782</v>
      </c>
      <c r="AL77">
        <f t="shared" si="38"/>
        <v>1.1293680422758512</v>
      </c>
      <c r="AM77">
        <f t="shared" si="39"/>
        <v>608.6211060599876</v>
      </c>
      <c r="AN77">
        <f t="shared" si="40"/>
        <v>5.7754050430958159E-9</v>
      </c>
      <c r="AO77">
        <f t="shared" si="41"/>
        <v>1.5332195035977733E-7</v>
      </c>
      <c r="AP77">
        <v>3.935635596800354</v>
      </c>
      <c r="AQ77">
        <f t="shared" si="42"/>
        <v>3.52056614583871E-5</v>
      </c>
      <c r="AR77">
        <f t="shared" si="43"/>
        <v>5.9272429469476938E-6</v>
      </c>
      <c r="AS77">
        <f t="shared" si="44"/>
        <v>16.865049643957647</v>
      </c>
      <c r="AT77">
        <f t="shared" si="45"/>
        <v>11.076217060588993</v>
      </c>
      <c r="AU77">
        <f t="shared" si="46"/>
        <v>3.6426404954052058</v>
      </c>
      <c r="AV77">
        <f t="shared" si="47"/>
        <v>0.29299510139514817</v>
      </c>
      <c r="AW77">
        <f t="shared" si="48"/>
        <v>6.9426940412186857E-3</v>
      </c>
      <c r="AX77">
        <f t="shared" si="49"/>
        <v>0.29299508715564121</v>
      </c>
      <c r="AY77">
        <f t="shared" si="50"/>
        <v>1.4239506962443471E-8</v>
      </c>
      <c r="AZ77">
        <f t="shared" si="51"/>
        <v>1080577.4158407261</v>
      </c>
      <c r="BA77">
        <f t="shared" si="52"/>
        <v>8.9453559895151555E-6</v>
      </c>
      <c r="BB77" s="15">
        <f t="shared" si="53"/>
        <v>11573099.284998015</v>
      </c>
      <c r="BC77" s="20">
        <f t="shared" si="54"/>
        <v>-65794.172033235431</v>
      </c>
      <c r="BD77" s="19">
        <f t="shared" si="55"/>
        <v>-0.56529576695702177</v>
      </c>
      <c r="BE77" s="15">
        <v>9969800</v>
      </c>
      <c r="BF77" s="16">
        <f>テーブル2[[#This Row],[q_P]]/テーブル2[[#This Row],[q_M]]</f>
        <v>1.1608155915863925</v>
      </c>
      <c r="BG77">
        <v>1</v>
      </c>
      <c r="BH77">
        <v>-0.45700000000000002</v>
      </c>
      <c r="BI77">
        <v>4.5999999999999999E-2</v>
      </c>
      <c r="BJ77">
        <v>5625</v>
      </c>
      <c r="BK77" s="22">
        <v>1</v>
      </c>
      <c r="BL77">
        <f>テーブル2[[#This Row],[Ts]]-テーブル2[[#This Row],[Tin]]</f>
        <v>251.09009183441702</v>
      </c>
      <c r="BM77">
        <f>テーブル2[[#This Row],[q_P]]*0.000001</f>
        <v>11.573099284998014</v>
      </c>
      <c r="BN77">
        <f>テーブル2[[#This Row],[Tsub]]</f>
        <v>251.09009183441702</v>
      </c>
      <c r="BO77">
        <f>テーブル2[[#This Row],[Fcorr]]</f>
        <v>1</v>
      </c>
      <c r="BP77">
        <f>(テーブル2[[#This Row],[Tsub]]-40)^2</f>
        <v>44559.026870662616</v>
      </c>
      <c r="BQ77">
        <v>1</v>
      </c>
      <c r="BR77">
        <v>0.3175</v>
      </c>
    </row>
    <row r="78" spans="1:70" x14ac:dyDescent="0.15">
      <c r="A78" s="9" t="s">
        <v>146</v>
      </c>
      <c r="B78">
        <v>13789520</v>
      </c>
      <c r="C78" s="22">
        <f t="array" ref="C78">TsatFromP(テーブル2[[#This Row],[P]])</f>
        <v>608.621106065763</v>
      </c>
      <c r="D78">
        <f t="array" ref="D78">RhoGFromP(テーブル2[[#This Row],[P]])</f>
        <v>85.147893581579396</v>
      </c>
      <c r="E78">
        <f t="array" ref="E78">RhoFFromP(テーブル2[[#This Row],[P]])</f>
        <v>624.86627494838649</v>
      </c>
      <c r="F78">
        <f t="array" ref="F78">HgFromP(テーブル2[[#This Row],[P]])</f>
        <v>2643264.389866509</v>
      </c>
      <c r="G78">
        <f t="array" ref="G78">HfFromP(テーブル2[[#This Row],[P]])</f>
        <v>1562686.9740257829</v>
      </c>
      <c r="H78">
        <f t="array" ref="H78">MuGFromP(テーブル2[[#This Row],[P]])</f>
        <v>2.2019594042733509E-5</v>
      </c>
      <c r="I78">
        <f t="array" ref="I78">MuFFromP(テーブル2[[#This Row],[P]])</f>
        <v>7.2223252690249831E-5</v>
      </c>
      <c r="J78">
        <f t="array" ref="J78">KfFromP(テーブル2[[#This Row],[P]])</f>
        <v>0.4911212487937569</v>
      </c>
      <c r="K78">
        <f t="array" ref="K78">CpFFromP(テーブル2[[#This Row],[P]])</f>
        <v>7679.7516396704104</v>
      </c>
      <c r="L78">
        <f t="array" ref="L78">SigmaFromP(テーブル2[[#This Row],[P]])</f>
        <v>6.5036382888884548E-3</v>
      </c>
      <c r="M78" s="23">
        <v>77</v>
      </c>
      <c r="N78">
        <v>3905.28</v>
      </c>
      <c r="O78" s="8">
        <v>1.7719053836560401E-5</v>
      </c>
      <c r="P78" s="8">
        <v>1.4921936786020801E-2</v>
      </c>
      <c r="Q78" s="8">
        <v>4.7498000000000002E-3</v>
      </c>
      <c r="R78">
        <v>0.3175</v>
      </c>
      <c r="S78" s="15">
        <v>1161834.5414062501</v>
      </c>
      <c r="T78">
        <v>588.56034428011105</v>
      </c>
      <c r="U78" s="12">
        <f>+T78+BG78*S78*テーブル2[[#This Row],[Pw]]*R78/(N78*O78*K78)</f>
        <v>598.9182828046346</v>
      </c>
      <c r="V78">
        <v>0.03</v>
      </c>
      <c r="W78" s="8">
        <f t="shared" si="28"/>
        <v>256832.78242194376</v>
      </c>
      <c r="X78">
        <v>2.3306034074063231E-2</v>
      </c>
      <c r="Y78">
        <f t="shared" si="29"/>
        <v>6.5503696908217366</v>
      </c>
      <c r="Z78">
        <f t="shared" si="30"/>
        <v>6.5503697070469586</v>
      </c>
      <c r="AA78">
        <f t="shared" si="31"/>
        <v>-1.6225222054799815E-8</v>
      </c>
      <c r="AB78">
        <f t="shared" si="32"/>
        <v>1.0975946116808049E-5</v>
      </c>
      <c r="AC78">
        <v>622.19119190899903</v>
      </c>
      <c r="AD78">
        <f t="shared" si="33"/>
        <v>6931.2195591048785</v>
      </c>
      <c r="AE78">
        <f>+gettm2(AD78,AC78,AK78,AL78,テーブル2[[#This Row],[Fcorr]])</f>
        <v>598.9182828046346</v>
      </c>
      <c r="AF78" s="14">
        <f t="shared" si="34"/>
        <v>0</v>
      </c>
      <c r="AG78">
        <v>1.099119304625929E-5</v>
      </c>
      <c r="AH78">
        <f t="shared" si="35"/>
        <v>71.104266216421237</v>
      </c>
      <c r="AI78">
        <f t="shared" si="36"/>
        <v>0.3373294720521543</v>
      </c>
      <c r="AJ78">
        <f t="shared" si="37"/>
        <v>32.078138961695203</v>
      </c>
      <c r="AK78">
        <f t="array" ref="AK78">+S78*テーブル2[[#This Row],[F_form]]/(E78*CpFromTP((テーブル2[[#This Row],[Tin]]+テーブル2[[#This Row],[Tf]])/2,テーブル2[[#This Row],[P]])*AI78)</f>
        <v>0.8878045989773985</v>
      </c>
      <c r="AL78">
        <f t="shared" si="38"/>
        <v>1.1293680422758512</v>
      </c>
      <c r="AM78">
        <f t="shared" si="39"/>
        <v>608.62110606472368</v>
      </c>
      <c r="AN78">
        <f t="shared" si="40"/>
        <v>1.0393250704510137E-9</v>
      </c>
      <c r="AO78">
        <f t="shared" si="41"/>
        <v>1.5246929451240456E-8</v>
      </c>
      <c r="AP78">
        <v>3.953174182171606</v>
      </c>
      <c r="AQ78">
        <f t="shared" si="42"/>
        <v>3.489396874264683E-5</v>
      </c>
      <c r="AR78">
        <f t="shared" si="43"/>
        <v>5.5032199878552651E-6</v>
      </c>
      <c r="AS78">
        <f t="shared" si="44"/>
        <v>16.061318799898658</v>
      </c>
      <c r="AT78">
        <f t="shared" si="45"/>
        <v>10.832069111009529</v>
      </c>
      <c r="AU78">
        <f t="shared" si="46"/>
        <v>3.653976154449293</v>
      </c>
      <c r="AV78">
        <f t="shared" si="47"/>
        <v>0.29919802772231296</v>
      </c>
      <c r="AW78">
        <f t="shared" si="48"/>
        <v>6.5988637311570741E-3</v>
      </c>
      <c r="AX78">
        <f t="shared" si="49"/>
        <v>0.2991980103869431</v>
      </c>
      <c r="AY78">
        <f t="shared" si="50"/>
        <v>1.7335369861815053E-8</v>
      </c>
      <c r="AZ78">
        <f t="shared" si="51"/>
        <v>1080577.4158407261</v>
      </c>
      <c r="BA78">
        <f t="shared" si="52"/>
        <v>8.8268229869594174E-6</v>
      </c>
      <c r="BB78" s="15">
        <f t="shared" si="53"/>
        <v>1166328.6548264325</v>
      </c>
      <c r="BC78" s="20">
        <f t="shared" si="54"/>
        <v>4494.1134201823734</v>
      </c>
      <c r="BD78" s="19">
        <f t="shared" si="55"/>
        <v>0.38681182733152619</v>
      </c>
      <c r="BE78" s="15">
        <v>3344300</v>
      </c>
      <c r="BF78" s="16">
        <f>テーブル2[[#This Row],[q_P]]/テーブル2[[#This Row],[q_M]]</f>
        <v>0.3487512049835339</v>
      </c>
      <c r="BG78">
        <v>1</v>
      </c>
      <c r="BH78">
        <v>8.8999999999999996E-2</v>
      </c>
      <c r="BI78">
        <v>4.5999999999999999E-2</v>
      </c>
      <c r="BJ78">
        <v>5625</v>
      </c>
      <c r="BK78" s="22">
        <v>1</v>
      </c>
      <c r="BL78">
        <f>テーブル2[[#This Row],[Ts]]-テーブル2[[#This Row],[Tin]]</f>
        <v>20.060761785651948</v>
      </c>
      <c r="BM78">
        <f>テーブル2[[#This Row],[q_P]]*0.000001</f>
        <v>1.1663286548264324</v>
      </c>
      <c r="BN78">
        <f>テーブル2[[#This Row],[Tsub]]</f>
        <v>20.060761785651948</v>
      </c>
      <c r="BO78">
        <f>テーブル2[[#This Row],[Fcorr]]</f>
        <v>1</v>
      </c>
      <c r="BP78">
        <f>(テーブル2[[#This Row],[Tsub]]-40)^2</f>
        <v>397.57322056851768</v>
      </c>
      <c r="BQ78">
        <v>1</v>
      </c>
      <c r="BR78">
        <v>0.3175</v>
      </c>
    </row>
    <row r="79" spans="1:70" x14ac:dyDescent="0.15">
      <c r="A79" s="9" t="s">
        <v>147</v>
      </c>
      <c r="B79">
        <v>13789520</v>
      </c>
      <c r="C79" s="22">
        <f t="array" ref="C79">TsatFromP(テーブル2[[#This Row],[P]])</f>
        <v>608.621106065763</v>
      </c>
      <c r="D79">
        <f t="array" ref="D79">RhoGFromP(テーブル2[[#This Row],[P]])</f>
        <v>85.147893581579396</v>
      </c>
      <c r="E79">
        <f t="array" ref="E79">RhoFFromP(テーブル2[[#This Row],[P]])</f>
        <v>624.86627494838649</v>
      </c>
      <c r="F79">
        <f t="array" ref="F79">HgFromP(テーブル2[[#This Row],[P]])</f>
        <v>2643264.389866509</v>
      </c>
      <c r="G79">
        <f t="array" ref="G79">HfFromP(テーブル2[[#This Row],[P]])</f>
        <v>1562686.9740257829</v>
      </c>
      <c r="H79">
        <f t="array" ref="H79">MuGFromP(テーブル2[[#This Row],[P]])</f>
        <v>2.2019594042733509E-5</v>
      </c>
      <c r="I79">
        <f t="array" ref="I79">MuFFromP(テーブル2[[#This Row],[P]])</f>
        <v>7.2223252690249831E-5</v>
      </c>
      <c r="J79">
        <f t="array" ref="J79">KfFromP(テーブル2[[#This Row],[P]])</f>
        <v>0.4911212487937569</v>
      </c>
      <c r="K79">
        <f t="array" ref="K79">CpFFromP(テーブル2[[#This Row],[P]])</f>
        <v>7679.7516396704104</v>
      </c>
      <c r="L79">
        <f t="array" ref="L79">SigmaFromP(テーブル2[[#This Row],[P]])</f>
        <v>6.5036382888884548E-3</v>
      </c>
      <c r="M79">
        <v>78</v>
      </c>
      <c r="N79">
        <v>3973.08</v>
      </c>
      <c r="O79" s="8">
        <v>1.7719053836560401E-5</v>
      </c>
      <c r="P79" s="8">
        <v>1.4921936786020801E-2</v>
      </c>
      <c r="Q79" s="8">
        <v>4.7498000000000002E-3</v>
      </c>
      <c r="R79">
        <v>0.3175</v>
      </c>
      <c r="S79" s="15">
        <v>1197501.66015625</v>
      </c>
      <c r="T79">
        <v>588.17556002646495</v>
      </c>
      <c r="U79" s="12">
        <f>+T79+BG79*S79*テーブル2[[#This Row],[Pw]]*R79/(N79*O79*K79)</f>
        <v>598.66929367476439</v>
      </c>
      <c r="V79">
        <v>0.03</v>
      </c>
      <c r="W79" s="8">
        <f t="shared" si="28"/>
        <v>261291.68489454698</v>
      </c>
      <c r="X79">
        <v>2.314682056029143E-2</v>
      </c>
      <c r="Y79">
        <f t="shared" si="29"/>
        <v>6.5728591754018684</v>
      </c>
      <c r="Z79">
        <f t="shared" si="30"/>
        <v>6.5728591860058225</v>
      </c>
      <c r="AA79">
        <f t="shared" si="31"/>
        <v>-1.0603954159194018E-8</v>
      </c>
      <c r="AB79">
        <f t="shared" si="32"/>
        <v>1.0677479180822466E-5</v>
      </c>
      <c r="AC79">
        <v>622.42114520249368</v>
      </c>
      <c r="AD79">
        <f t="shared" si="33"/>
        <v>7027.425863163131</v>
      </c>
      <c r="AE79">
        <f>+gettm2(AD79,AC79,AK79,AL79,テーブル2[[#This Row],[Fcorr]])</f>
        <v>598.66929367476439</v>
      </c>
      <c r="AF79" s="14">
        <f t="shared" si="34"/>
        <v>0</v>
      </c>
      <c r="AG79">
        <v>1.069291714152341E-5</v>
      </c>
      <c r="AH79">
        <f t="shared" si="35"/>
        <v>73.09183951099017</v>
      </c>
      <c r="AI79">
        <f t="shared" si="36"/>
        <v>0.34201165265245409</v>
      </c>
      <c r="AJ79">
        <f t="shared" si="37"/>
        <v>31.640777495053264</v>
      </c>
      <c r="AK79">
        <f t="array" ref="AK79">+S79*テーブル2[[#This Row],[F_form]]/(E79*CpFromTP((テーブル2[[#This Row],[Tin]]+テーブル2[[#This Row],[Tf]])/2,テーブル2[[#This Row],[P]])*AI79)</f>
        <v>0.90488075623402264</v>
      </c>
      <c r="AL79">
        <f t="shared" si="38"/>
        <v>1.1293680422758512</v>
      </c>
      <c r="AM79">
        <f t="shared" si="39"/>
        <v>608.62110606561873</v>
      </c>
      <c r="AN79">
        <f t="shared" si="40"/>
        <v>1.4426859706873074E-10</v>
      </c>
      <c r="AO79">
        <f t="shared" si="41"/>
        <v>1.5437960700944695E-8</v>
      </c>
      <c r="AP79">
        <v>3.9824366295774301</v>
      </c>
      <c r="AQ79">
        <f t="shared" si="42"/>
        <v>3.4383059656185779E-5</v>
      </c>
      <c r="AR79">
        <f t="shared" si="43"/>
        <v>5.3541775511121776E-6</v>
      </c>
      <c r="AS79">
        <f t="shared" si="44"/>
        <v>15.843229524886585</v>
      </c>
      <c r="AT79">
        <f t="shared" si="45"/>
        <v>10.76371124875806</v>
      </c>
      <c r="AU79">
        <f t="shared" si="46"/>
        <v>3.6813146728615544</v>
      </c>
      <c r="AV79">
        <f t="shared" si="47"/>
        <v>0.3011219567158756</v>
      </c>
      <c r="AW79">
        <f t="shared" si="48"/>
        <v>6.419422012159494E-3</v>
      </c>
      <c r="AX79">
        <f t="shared" si="49"/>
        <v>0.30112193621344852</v>
      </c>
      <c r="AY79">
        <f t="shared" si="50"/>
        <v>2.0502427089397202E-8</v>
      </c>
      <c r="AZ79">
        <f t="shared" si="51"/>
        <v>1080577.4158407261</v>
      </c>
      <c r="BA79">
        <f t="shared" si="52"/>
        <v>8.6336740177668843E-6</v>
      </c>
      <c r="BB79" s="15">
        <f t="shared" si="53"/>
        <v>1207361.3144412171</v>
      </c>
      <c r="BC79" s="20">
        <f t="shared" si="54"/>
        <v>9859.6542849671096</v>
      </c>
      <c r="BD79" s="19">
        <f t="shared" si="55"/>
        <v>0.8233520347421166</v>
      </c>
      <c r="BE79" s="15">
        <v>3129760</v>
      </c>
      <c r="BF79" s="16">
        <f>テーブル2[[#This Row],[q_P]]/テーブル2[[#This Row],[q_M]]</f>
        <v>0.38576801877499139</v>
      </c>
      <c r="BG79">
        <v>1</v>
      </c>
      <c r="BH79">
        <v>7.1999999999999995E-2</v>
      </c>
      <c r="BI79">
        <v>4.5999999999999999E-2</v>
      </c>
      <c r="BJ79">
        <v>5625</v>
      </c>
      <c r="BK79" s="22">
        <v>1</v>
      </c>
      <c r="BL79">
        <f>テーブル2[[#This Row],[Ts]]-テーブル2[[#This Row],[Tin]]</f>
        <v>20.445546039298051</v>
      </c>
      <c r="BM79">
        <f>テーブル2[[#This Row],[q_P]]*0.000001</f>
        <v>1.207361314441217</v>
      </c>
      <c r="BN79">
        <f>テーブル2[[#This Row],[Tsub]]</f>
        <v>20.445546039298051</v>
      </c>
      <c r="BO79">
        <f>テーブル2[[#This Row],[Fcorr]]</f>
        <v>1</v>
      </c>
      <c r="BP79">
        <f>(テーブル2[[#This Row],[Tsub]]-40)^2</f>
        <v>382.37666970121211</v>
      </c>
      <c r="BQ79">
        <v>1</v>
      </c>
      <c r="BR79">
        <v>0.3175</v>
      </c>
    </row>
    <row r="80" spans="1:70" x14ac:dyDescent="0.15">
      <c r="A80" s="9" t="s">
        <v>148</v>
      </c>
      <c r="B80">
        <v>13789520</v>
      </c>
      <c r="C80" s="22">
        <f t="array" ref="C80">TsatFromP(テーブル2[[#This Row],[P]])</f>
        <v>608.621106065763</v>
      </c>
      <c r="D80">
        <f t="array" ref="D80">RhoGFromP(テーブル2[[#This Row],[P]])</f>
        <v>85.147893581579396</v>
      </c>
      <c r="E80">
        <f t="array" ref="E80">RhoFFromP(テーブル2[[#This Row],[P]])</f>
        <v>624.86627494838649</v>
      </c>
      <c r="F80">
        <f t="array" ref="F80">HgFromP(テーブル2[[#This Row],[P]])</f>
        <v>2643264.389866509</v>
      </c>
      <c r="G80">
        <f t="array" ref="G80">HfFromP(テーブル2[[#This Row],[P]])</f>
        <v>1562686.9740257829</v>
      </c>
      <c r="H80">
        <f t="array" ref="H80">MuGFromP(テーブル2[[#This Row],[P]])</f>
        <v>2.2019594042733509E-5</v>
      </c>
      <c r="I80">
        <f t="array" ref="I80">MuFFromP(テーブル2[[#This Row],[P]])</f>
        <v>7.2223252690249831E-5</v>
      </c>
      <c r="J80">
        <f t="array" ref="J80">KfFromP(テーブル2[[#This Row],[P]])</f>
        <v>0.4911212487937569</v>
      </c>
      <c r="K80">
        <f t="array" ref="K80">CpFFromP(テーブル2[[#This Row],[P]])</f>
        <v>7679.7516396704104</v>
      </c>
      <c r="L80">
        <f t="array" ref="L80">SigmaFromP(テーブル2[[#This Row],[P]])</f>
        <v>6.5036382888884548E-3</v>
      </c>
      <c r="M80" s="23">
        <v>79</v>
      </c>
      <c r="N80">
        <v>2766.24</v>
      </c>
      <c r="O80" s="8">
        <v>4.7446061512773302E-5</v>
      </c>
      <c r="P80" s="8">
        <v>2.441771474076131E-2</v>
      </c>
      <c r="Q80" s="8">
        <v>7.7723999999999996E-3</v>
      </c>
      <c r="R80">
        <v>0.59055000000000002</v>
      </c>
      <c r="S80" s="15">
        <v>928553.09140624991</v>
      </c>
      <c r="T80">
        <v>584.781818283598</v>
      </c>
      <c r="U80" s="12">
        <f>+T80+BG80*S80*テーブル2[[#This Row],[Pw]]*R80/(N80*O80*K80)</f>
        <v>598.06589056439032</v>
      </c>
      <c r="V80">
        <v>0.03</v>
      </c>
      <c r="W80" s="8">
        <f t="shared" si="28"/>
        <v>297692.54326179845</v>
      </c>
      <c r="X80">
        <v>2.4120812357165521E-2</v>
      </c>
      <c r="Y80">
        <f t="shared" si="29"/>
        <v>6.4387866497231192</v>
      </c>
      <c r="Z80">
        <f t="shared" si="30"/>
        <v>6.4387866773748144</v>
      </c>
      <c r="AA80">
        <f t="shared" si="31"/>
        <v>-2.7651695155839207E-8</v>
      </c>
      <c r="AB80">
        <f t="shared" si="32"/>
        <v>2.11369857143727E-5</v>
      </c>
      <c r="AC80">
        <v>624.77140799285041</v>
      </c>
      <c r="AD80">
        <f t="shared" si="33"/>
        <v>8173.1398903448398</v>
      </c>
      <c r="AE80">
        <f>+gettm2(AD80,AC80,AK80,AL80,テーブル2[[#This Row],[Fcorr]])</f>
        <v>598.06589081210439</v>
      </c>
      <c r="AF80" s="14">
        <f t="shared" si="34"/>
        <v>2.4771406970103271E-7</v>
      </c>
      <c r="AG80">
        <v>2.115806827308891E-5</v>
      </c>
      <c r="AH80">
        <f t="shared" si="35"/>
        <v>36.922795199503511</v>
      </c>
      <c r="AI80">
        <f t="shared" si="36"/>
        <v>0.24308252720246545</v>
      </c>
      <c r="AJ80">
        <f t="shared" si="37"/>
        <v>44.497929032325288</v>
      </c>
      <c r="AK80">
        <f t="array" ref="AK80">+S80*テーブル2[[#This Row],[F_form]]/(E80*CpFromTP((テーブル2[[#This Row],[Tin]]+テーブル2[[#This Row],[Tf]])/2,テーブル2[[#This Row],[P]])*AI80)</f>
        <v>1.0029274150706411</v>
      </c>
      <c r="AL80">
        <f t="shared" si="38"/>
        <v>1.1293680422758512</v>
      </c>
      <c r="AM80">
        <f t="shared" si="39"/>
        <v>608.62110604699319</v>
      </c>
      <c r="AN80">
        <f t="shared" si="40"/>
        <v>1.8769810594676528E-8</v>
      </c>
      <c r="AO80">
        <f t="shared" si="41"/>
        <v>2.1082558716209703E-8</v>
      </c>
      <c r="AP80">
        <v>3.2894832598426311</v>
      </c>
      <c r="AQ80">
        <f t="shared" si="42"/>
        <v>5.0394937066926596E-5</v>
      </c>
      <c r="AR80">
        <f t="shared" si="43"/>
        <v>1.058957541590256E-5</v>
      </c>
      <c r="AS80">
        <f t="shared" si="44"/>
        <v>22.271134077898274</v>
      </c>
      <c r="AT80">
        <f t="shared" si="45"/>
        <v>12.466457019957373</v>
      </c>
      <c r="AU80">
        <f t="shared" si="46"/>
        <v>3.0303778776721546</v>
      </c>
      <c r="AV80">
        <f t="shared" si="47"/>
        <v>0.25910538217047652</v>
      </c>
      <c r="AW80">
        <f t="shared" si="48"/>
        <v>1.2707796387863634E-2</v>
      </c>
      <c r="AX80">
        <f t="shared" si="49"/>
        <v>0.25910537792836147</v>
      </c>
      <c r="AY80">
        <f t="shared" si="50"/>
        <v>4.2421150481253278E-9</v>
      </c>
      <c r="AZ80">
        <f t="shared" si="51"/>
        <v>1080577.4158407261</v>
      </c>
      <c r="BA80">
        <f t="shared" si="52"/>
        <v>1.5320016271898429E-5</v>
      </c>
      <c r="BB80" s="15">
        <f t="shared" si="53"/>
        <v>929195.42789359507</v>
      </c>
      <c r="BC80" s="20">
        <f t="shared" si="54"/>
        <v>642.33648734516464</v>
      </c>
      <c r="BD80" s="19">
        <f t="shared" si="55"/>
        <v>6.9176064706475346E-2</v>
      </c>
      <c r="BE80" s="15">
        <v>2236895</v>
      </c>
      <c r="BF80" s="16">
        <f>テーブル2[[#This Row],[q_P]]/テーブル2[[#This Row],[q_M]]</f>
        <v>0.41539519194847996</v>
      </c>
      <c r="BG80">
        <v>1</v>
      </c>
      <c r="BH80">
        <v>8.3000000000000004E-2</v>
      </c>
      <c r="BI80">
        <v>4.5999999999999999E-2</v>
      </c>
      <c r="BJ80">
        <v>5625</v>
      </c>
      <c r="BK80" s="22">
        <v>1</v>
      </c>
      <c r="BL80">
        <f>テーブル2[[#This Row],[Ts]]-テーブル2[[#This Row],[Tin]]</f>
        <v>23.839287782165002</v>
      </c>
      <c r="BM80">
        <f>テーブル2[[#This Row],[q_P]]*0.000001</f>
        <v>0.92919542789359499</v>
      </c>
      <c r="BN80">
        <f>テーブル2[[#This Row],[Tsub]]</f>
        <v>23.839287782165002</v>
      </c>
      <c r="BO80">
        <f>テーブル2[[#This Row],[Fcorr]]</f>
        <v>1</v>
      </c>
      <c r="BP80">
        <f>(テーブル2[[#This Row],[Tsub]]-40)^2</f>
        <v>261.16861938768136</v>
      </c>
      <c r="BQ80">
        <v>1</v>
      </c>
      <c r="BR80">
        <v>0.59055000000000002</v>
      </c>
    </row>
    <row r="81" spans="1:70" x14ac:dyDescent="0.15">
      <c r="A81" s="9" t="s">
        <v>149</v>
      </c>
      <c r="B81">
        <v>13789520</v>
      </c>
      <c r="C81" s="22">
        <f t="array" ref="C81">TsatFromP(テーブル2[[#This Row],[P]])</f>
        <v>608.621106065763</v>
      </c>
      <c r="D81">
        <f t="array" ref="D81">RhoGFromP(テーブル2[[#This Row],[P]])</f>
        <v>85.147893581579396</v>
      </c>
      <c r="E81">
        <f t="array" ref="E81">RhoFFromP(テーブル2[[#This Row],[P]])</f>
        <v>624.86627494838649</v>
      </c>
      <c r="F81">
        <f t="array" ref="F81">HgFromP(テーブル2[[#This Row],[P]])</f>
        <v>2643264.389866509</v>
      </c>
      <c r="G81">
        <f t="array" ref="G81">HfFromP(テーブル2[[#This Row],[P]])</f>
        <v>1562686.9740257829</v>
      </c>
      <c r="H81">
        <f t="array" ref="H81">MuGFromP(テーブル2[[#This Row],[P]])</f>
        <v>2.2019594042733509E-5</v>
      </c>
      <c r="I81">
        <f t="array" ref="I81">MuFFromP(テーブル2[[#This Row],[P]])</f>
        <v>7.2223252690249831E-5</v>
      </c>
      <c r="J81">
        <f t="array" ref="J81">KfFromP(テーブル2[[#This Row],[P]])</f>
        <v>0.4911212487937569</v>
      </c>
      <c r="K81">
        <f t="array" ref="K81">CpFFromP(テーブル2[[#This Row],[P]])</f>
        <v>7679.7516396704104</v>
      </c>
      <c r="L81">
        <f t="array" ref="L81">SigmaFromP(テーブル2[[#This Row],[P]])</f>
        <v>6.5036382888884548E-3</v>
      </c>
      <c r="M81">
        <v>80</v>
      </c>
      <c r="N81">
        <v>2766.24</v>
      </c>
      <c r="O81" s="8">
        <v>4.7446061512773302E-5</v>
      </c>
      <c r="P81" s="8">
        <v>2.441771474076131E-2</v>
      </c>
      <c r="Q81" s="8">
        <v>7.7723999999999996E-3</v>
      </c>
      <c r="R81">
        <v>0.59055000000000002</v>
      </c>
      <c r="S81" s="15">
        <v>948801.94766875019</v>
      </c>
      <c r="T81">
        <v>584.22817624184802</v>
      </c>
      <c r="U81" s="12">
        <f>+T81+BG81*S81*テーブル2[[#This Row],[Pw]]*R81/(N81*O81*K81)</f>
        <v>597.801932841915</v>
      </c>
      <c r="V81">
        <v>0.03</v>
      </c>
      <c r="W81" s="8">
        <f t="shared" si="28"/>
        <v>297692.54326179845</v>
      </c>
      <c r="X81">
        <v>2.4120812357165521E-2</v>
      </c>
      <c r="Y81">
        <f t="shared" si="29"/>
        <v>6.4387866497231192</v>
      </c>
      <c r="Z81">
        <f t="shared" si="30"/>
        <v>6.4387866773748144</v>
      </c>
      <c r="AA81">
        <f t="shared" si="31"/>
        <v>-2.7651695155839207E-8</v>
      </c>
      <c r="AB81">
        <f t="shared" si="32"/>
        <v>2.11369857143727E-5</v>
      </c>
      <c r="AC81">
        <v>625.17547905653669</v>
      </c>
      <c r="AD81">
        <f t="shared" si="33"/>
        <v>8173.1398903448398</v>
      </c>
      <c r="AE81">
        <f>+gettm2(AD81,AC81,AK81,AL81,テーブル2[[#This Row],[Fcorr]])</f>
        <v>597.80193284191512</v>
      </c>
      <c r="AF81" s="14">
        <f t="shared" si="34"/>
        <v>0</v>
      </c>
      <c r="AG81">
        <v>2.1158702135068721E-5</v>
      </c>
      <c r="AH81">
        <f t="shared" si="35"/>
        <v>36.922795199503511</v>
      </c>
      <c r="AI81">
        <f t="shared" si="36"/>
        <v>0.24308252720246545</v>
      </c>
      <c r="AJ81">
        <f t="shared" si="37"/>
        <v>44.499262119307993</v>
      </c>
      <c r="AK81">
        <f t="array" ref="AK81">+S81*テーブル2[[#This Row],[F_form]]/(E81*CpFromTP((テーブル2[[#This Row],[Tin]]+テーブル2[[#This Row],[Tf]])/2,テーブル2[[#This Row],[P]])*AI81)</f>
        <v>1.0280152883966882</v>
      </c>
      <c r="AL81">
        <f t="shared" si="38"/>
        <v>1.1293680422758512</v>
      </c>
      <c r="AM81">
        <f t="shared" si="39"/>
        <v>608.62110604652366</v>
      </c>
      <c r="AN81">
        <f t="shared" si="40"/>
        <v>1.9239337234466802E-8</v>
      </c>
      <c r="AO81">
        <f t="shared" si="41"/>
        <v>2.1716420696020521E-8</v>
      </c>
      <c r="AP81">
        <v>3.289550697051872</v>
      </c>
      <c r="AQ81">
        <f t="shared" si="42"/>
        <v>5.0392870852179744E-5</v>
      </c>
      <c r="AR81">
        <f t="shared" si="43"/>
        <v>1.0590209277882371E-5</v>
      </c>
      <c r="AS81">
        <f t="shared" si="44"/>
        <v>22.272467164880972</v>
      </c>
      <c r="AT81">
        <f t="shared" si="45"/>
        <v>12.46675629683349</v>
      </c>
      <c r="AU81">
        <f t="shared" si="46"/>
        <v>3.0304506266515343</v>
      </c>
      <c r="AV81">
        <f t="shared" si="47"/>
        <v>0.25910007040033767</v>
      </c>
      <c r="AW81">
        <f t="shared" si="48"/>
        <v>1.2707796387863634E-2</v>
      </c>
      <c r="AX81">
        <f t="shared" si="49"/>
        <v>0.25910006615626974</v>
      </c>
      <c r="AY81">
        <f t="shared" si="50"/>
        <v>4.2440679304256435E-9</v>
      </c>
      <c r="AZ81">
        <f t="shared" si="51"/>
        <v>1080577.4158407261</v>
      </c>
      <c r="BA81">
        <f t="shared" si="52"/>
        <v>1.5319074090374207E-5</v>
      </c>
      <c r="BB81" s="15">
        <f t="shared" si="53"/>
        <v>957191.21031468478</v>
      </c>
      <c r="BC81" s="20">
        <f t="shared" si="54"/>
        <v>8389.262645934592</v>
      </c>
      <c r="BD81" s="19">
        <f t="shared" si="55"/>
        <v>0.88419534409129252</v>
      </c>
      <c r="BE81" s="15">
        <v>2255825</v>
      </c>
      <c r="BF81" s="16">
        <f>テーブル2[[#This Row],[q_P]]/テーブル2[[#This Row],[q_M]]</f>
        <v>0.42431979888275234</v>
      </c>
      <c r="BG81">
        <v>1</v>
      </c>
      <c r="BH81">
        <v>8.2000000000000003E-2</v>
      </c>
      <c r="BI81">
        <v>4.5999999999999999E-2</v>
      </c>
      <c r="BJ81">
        <v>5625</v>
      </c>
      <c r="BK81" s="22">
        <v>1</v>
      </c>
      <c r="BL81">
        <f>テーブル2[[#This Row],[Ts]]-テーブル2[[#This Row],[Tin]]</f>
        <v>24.392929823914983</v>
      </c>
      <c r="BM81">
        <f>テーブル2[[#This Row],[q_P]]*0.000001</f>
        <v>0.95719121031468468</v>
      </c>
      <c r="BN81">
        <f>テーブル2[[#This Row],[Tsub]]</f>
        <v>24.392929823914983</v>
      </c>
      <c r="BO81">
        <f>テーブル2[[#This Row],[Fcorr]]</f>
        <v>1</v>
      </c>
      <c r="BP81">
        <f>(テーブル2[[#This Row],[Tsub]]-40)^2</f>
        <v>243.5806394812424</v>
      </c>
      <c r="BQ81">
        <v>1</v>
      </c>
      <c r="BR81">
        <v>0.59055000000000002</v>
      </c>
    </row>
    <row r="82" spans="1:70" x14ac:dyDescent="0.15">
      <c r="A82" s="9" t="s">
        <v>150</v>
      </c>
      <c r="B82">
        <v>13789520</v>
      </c>
      <c r="C82" s="22">
        <f t="array" ref="C82">TsatFromP(テーブル2[[#This Row],[P]])</f>
        <v>608.621106065763</v>
      </c>
      <c r="D82">
        <f t="array" ref="D82">RhoGFromP(テーブル2[[#This Row],[P]])</f>
        <v>85.147893581579396</v>
      </c>
      <c r="E82">
        <f t="array" ref="E82">RhoFFromP(テーブル2[[#This Row],[P]])</f>
        <v>624.86627494838649</v>
      </c>
      <c r="F82">
        <f t="array" ref="F82">HgFromP(テーブル2[[#This Row],[P]])</f>
        <v>2643264.389866509</v>
      </c>
      <c r="G82">
        <f t="array" ref="G82">HfFromP(テーブル2[[#This Row],[P]])</f>
        <v>1562686.9740257829</v>
      </c>
      <c r="H82">
        <f t="array" ref="H82">MuGFromP(テーブル2[[#This Row],[P]])</f>
        <v>2.2019594042733509E-5</v>
      </c>
      <c r="I82">
        <f t="array" ref="I82">MuFFromP(テーブル2[[#This Row],[P]])</f>
        <v>7.2223252690249831E-5</v>
      </c>
      <c r="J82">
        <f t="array" ref="J82">KfFromP(テーブル2[[#This Row],[P]])</f>
        <v>0.4911212487937569</v>
      </c>
      <c r="K82">
        <f t="array" ref="K82">CpFFromP(テーブル2[[#This Row],[P]])</f>
        <v>7679.7516396704104</v>
      </c>
      <c r="L82">
        <f t="array" ref="L82">SigmaFromP(テーブル2[[#This Row],[P]])</f>
        <v>6.5036382888884548E-3</v>
      </c>
      <c r="M82" s="23">
        <v>81</v>
      </c>
      <c r="N82">
        <v>2888.28</v>
      </c>
      <c r="O82" s="8">
        <v>4.7446061512773302E-5</v>
      </c>
      <c r="P82" s="8">
        <v>2.441771474076131E-2</v>
      </c>
      <c r="Q82" s="8">
        <v>7.7723999999999996E-3</v>
      </c>
      <c r="R82">
        <v>0.59055000000000002</v>
      </c>
      <c r="S82" s="15">
        <v>1330065.30078125</v>
      </c>
      <c r="T82">
        <v>574.77270588422698</v>
      </c>
      <c r="U82" s="12">
        <f>+T82+BG82*S82*テーブル2[[#This Row],[Pw]]*R82/(N82*O82*K82)</f>
        <v>592.99688676828771</v>
      </c>
      <c r="V82">
        <v>0.03</v>
      </c>
      <c r="W82" s="8">
        <f t="shared" si="28"/>
        <v>310826.03781746601</v>
      </c>
      <c r="X82">
        <v>2.3699630481878311E-2</v>
      </c>
      <c r="Y82">
        <f t="shared" si="29"/>
        <v>6.4957486639876469</v>
      </c>
      <c r="Z82">
        <f t="shared" si="30"/>
        <v>6.4957486725553082</v>
      </c>
      <c r="AA82">
        <f t="shared" si="31"/>
        <v>-8.5676612471274893E-9</v>
      </c>
      <c r="AB82">
        <f t="shared" si="32"/>
        <v>1.9733064588115871E-5</v>
      </c>
      <c r="AC82">
        <v>632.02126424257801</v>
      </c>
      <c r="AD82">
        <f t="shared" si="33"/>
        <v>8458.8863608814681</v>
      </c>
      <c r="AE82">
        <f>+gettm2(AD82,AC82,AK82,AL82,テーブル2[[#This Row],[Fcorr]])</f>
        <v>592.99688676828771</v>
      </c>
      <c r="AF82" s="14">
        <f t="shared" si="34"/>
        <v>0</v>
      </c>
      <c r="AG82">
        <v>1.9761478312417291E-5</v>
      </c>
      <c r="AH82">
        <f t="shared" si="35"/>
        <v>39.549690377876139</v>
      </c>
      <c r="AI82">
        <f t="shared" si="36"/>
        <v>0.25158109386462224</v>
      </c>
      <c r="AJ82">
        <f t="shared" si="37"/>
        <v>43.013766498832169</v>
      </c>
      <c r="AK82">
        <f t="array" ref="AK82">+S82*テーブル2[[#This Row],[F_form]]/(E82*CpFromTP((テーブル2[[#This Row],[Tin]]+テーブル2[[#This Row],[Tf]])/2,テーブル2[[#This Row],[P]])*AI82)</f>
        <v>1.460834015692698</v>
      </c>
      <c r="AL82">
        <f t="shared" si="38"/>
        <v>1.1293680422758512</v>
      </c>
      <c r="AM82">
        <f t="shared" si="39"/>
        <v>608.62110605589271</v>
      </c>
      <c r="AN82">
        <f t="shared" si="40"/>
        <v>9.8702912509907037E-9</v>
      </c>
      <c r="AO82">
        <f t="shared" si="41"/>
        <v>2.8413724301420734E-8</v>
      </c>
      <c r="AP82">
        <v>3.3569805301774398</v>
      </c>
      <c r="AQ82">
        <f t="shared" si="42"/>
        <v>4.8388774534276862E-5</v>
      </c>
      <c r="AR82">
        <f t="shared" si="43"/>
        <v>9.894946018359356E-6</v>
      </c>
      <c r="AS82">
        <f t="shared" si="44"/>
        <v>21.537806576181964</v>
      </c>
      <c r="AT82">
        <f t="shared" si="45"/>
        <v>12.299049181411853</v>
      </c>
      <c r="AU82">
        <f t="shared" si="46"/>
        <v>3.0942082465543805</v>
      </c>
      <c r="AV82">
        <f t="shared" si="47"/>
        <v>0.26277228362305927</v>
      </c>
      <c r="AW82">
        <f t="shared" si="48"/>
        <v>1.186374302764583E-2</v>
      </c>
      <c r="AX82">
        <f t="shared" si="49"/>
        <v>0.2627722765516381</v>
      </c>
      <c r="AY82">
        <f t="shared" si="50"/>
        <v>7.0714211708455821E-9</v>
      </c>
      <c r="AZ82">
        <f t="shared" si="51"/>
        <v>1080577.4158407261</v>
      </c>
      <c r="BA82">
        <f t="shared" si="52"/>
        <v>1.4414374494962941E-5</v>
      </c>
      <c r="BB82" s="15">
        <f t="shared" si="53"/>
        <v>1330991.6572082962</v>
      </c>
      <c r="BC82" s="20">
        <f t="shared" si="54"/>
        <v>926.35642704623751</v>
      </c>
      <c r="BD82" s="19">
        <f t="shared" si="55"/>
        <v>6.9647439603312475E-2</v>
      </c>
      <c r="BE82" s="15">
        <v>2527155</v>
      </c>
      <c r="BF82" s="16">
        <f>テーブル2[[#This Row],[q_P]]/テーブル2[[#This Row],[q_M]]</f>
        <v>0.52667590915804385</v>
      </c>
      <c r="BG82">
        <v>1</v>
      </c>
      <c r="BH82">
        <v>4.9000000000000002E-2</v>
      </c>
      <c r="BI82">
        <v>4.5999999999999999E-2</v>
      </c>
      <c r="BJ82">
        <v>5625</v>
      </c>
      <c r="BK82" s="22">
        <v>1</v>
      </c>
      <c r="BL82">
        <f>テーブル2[[#This Row],[Ts]]-テーブル2[[#This Row],[Tin]]</f>
        <v>33.848400181536022</v>
      </c>
      <c r="BM82">
        <f>テーブル2[[#This Row],[q_P]]*0.000001</f>
        <v>1.3309916572082963</v>
      </c>
      <c r="BN82">
        <f>テーブル2[[#This Row],[Tsub]]</f>
        <v>33.848400181536022</v>
      </c>
      <c r="BO82">
        <f>テーブル2[[#This Row],[Fcorr]]</f>
        <v>1</v>
      </c>
      <c r="BP82">
        <f>(テーブル2[[#This Row],[Tsub]]-40)^2</f>
        <v>37.842180326526055</v>
      </c>
      <c r="BQ82">
        <v>1</v>
      </c>
      <c r="BR82">
        <v>0.59055000000000002</v>
      </c>
    </row>
    <row r="83" spans="1:70" x14ac:dyDescent="0.15">
      <c r="A83" s="9" t="s">
        <v>151</v>
      </c>
      <c r="B83">
        <v>13789520</v>
      </c>
      <c r="C83" s="22">
        <f t="array" ref="C83">TsatFromP(テーブル2[[#This Row],[P]])</f>
        <v>608.621106065763</v>
      </c>
      <c r="D83">
        <f t="array" ref="D83">RhoGFromP(テーブル2[[#This Row],[P]])</f>
        <v>85.147893581579396</v>
      </c>
      <c r="E83">
        <f t="array" ref="E83">RhoFFromP(テーブル2[[#This Row],[P]])</f>
        <v>624.86627494838649</v>
      </c>
      <c r="F83">
        <f t="array" ref="F83">HgFromP(テーブル2[[#This Row],[P]])</f>
        <v>2643264.389866509</v>
      </c>
      <c r="G83">
        <f t="array" ref="G83">HfFromP(テーブル2[[#This Row],[P]])</f>
        <v>1562686.9740257829</v>
      </c>
      <c r="H83">
        <f t="array" ref="H83">MuGFromP(テーブル2[[#This Row],[P]])</f>
        <v>2.2019594042733509E-5</v>
      </c>
      <c r="I83">
        <f t="array" ref="I83">MuFFromP(テーブル2[[#This Row],[P]])</f>
        <v>7.2223252690249831E-5</v>
      </c>
      <c r="J83">
        <f t="array" ref="J83">KfFromP(テーブル2[[#This Row],[P]])</f>
        <v>0.4911212487937569</v>
      </c>
      <c r="K83">
        <f t="array" ref="K83">CpFFromP(テーブル2[[#This Row],[P]])</f>
        <v>7679.7516396704104</v>
      </c>
      <c r="L83">
        <f t="array" ref="L83">SigmaFromP(テーブル2[[#This Row],[P]])</f>
        <v>6.5036382888884548E-3</v>
      </c>
      <c r="M83">
        <v>82</v>
      </c>
      <c r="N83">
        <v>2915.4</v>
      </c>
      <c r="O83" s="8">
        <v>4.7446061512773302E-5</v>
      </c>
      <c r="P83" s="8">
        <v>2.441771474076131E-2</v>
      </c>
      <c r="Q83" s="8">
        <v>7.7723999999999996E-3</v>
      </c>
      <c r="R83">
        <v>0.59055000000000002</v>
      </c>
      <c r="S83" s="15">
        <v>923147.01953125</v>
      </c>
      <c r="T83">
        <v>585.88293483903703</v>
      </c>
      <c r="U83" s="12">
        <f>+T83+BG83*S83*テーブル2[[#This Row],[Pw]]*R83/(N83*O83*K83)</f>
        <v>598.41397347917257</v>
      </c>
      <c r="V83">
        <v>0.03</v>
      </c>
      <c r="W83" s="8">
        <f t="shared" si="28"/>
        <v>313744.59216316999</v>
      </c>
      <c r="X83">
        <v>2.3609874739834141E-2</v>
      </c>
      <c r="Y83">
        <f t="shared" si="29"/>
        <v>6.5080841313188298</v>
      </c>
      <c r="Z83">
        <f t="shared" si="30"/>
        <v>6.508084147444321</v>
      </c>
      <c r="AA83">
        <f t="shared" si="31"/>
        <v>-1.6125491164586947E-8</v>
      </c>
      <c r="AB83">
        <f t="shared" si="32"/>
        <v>1.9441273774930842E-5</v>
      </c>
      <c r="AC83">
        <v>623.83479306701861</v>
      </c>
      <c r="AD83">
        <f t="shared" si="33"/>
        <v>8522.1289477333576</v>
      </c>
      <c r="AE83">
        <f>+gettm2(AD83,AC83,AK83,AL83,テーブル2[[#This Row],[Fcorr]])</f>
        <v>598.41397347917257</v>
      </c>
      <c r="AF83" s="14">
        <f t="shared" si="34"/>
        <v>0</v>
      </c>
      <c r="AG83">
        <v>1.9460924162401401E-5</v>
      </c>
      <c r="AH83">
        <f t="shared" si="35"/>
        <v>40.143285038914108</v>
      </c>
      <c r="AI83">
        <f t="shared" si="36"/>
        <v>0.25346203167371806</v>
      </c>
      <c r="AJ83">
        <f t="shared" si="37"/>
        <v>42.676266057857177</v>
      </c>
      <c r="AK83">
        <f t="array" ref="AK83">+S83*テーブル2[[#This Row],[F_form]]/(E83*CpFromTP((テーブル2[[#This Row],[Tin]]+テーブル2[[#This Row],[Tf]])/2,テーブル2[[#This Row],[P]])*AI83)</f>
        <v>0.95093495926393889</v>
      </c>
      <c r="AL83">
        <f t="shared" si="38"/>
        <v>1.1293680422758512</v>
      </c>
      <c r="AM83">
        <f t="shared" si="39"/>
        <v>608.62110604673467</v>
      </c>
      <c r="AN83">
        <f t="shared" si="40"/>
        <v>1.9028334463655483E-8</v>
      </c>
      <c r="AO83">
        <f t="shared" si="41"/>
        <v>1.9650387470558693E-8</v>
      </c>
      <c r="AP83">
        <v>3.370492736222293</v>
      </c>
      <c r="AQ83">
        <f t="shared" si="42"/>
        <v>4.8001573889143926E-5</v>
      </c>
      <c r="AR83">
        <f t="shared" si="43"/>
        <v>9.7402872749359798E-6</v>
      </c>
      <c r="AS83">
        <f t="shared" si="44"/>
        <v>21.35967890097545</v>
      </c>
      <c r="AT83">
        <f t="shared" si="45"/>
        <v>12.257524906265665</v>
      </c>
      <c r="AU83">
        <f t="shared" si="46"/>
        <v>3.1068171660332959</v>
      </c>
      <c r="AV83">
        <f t="shared" si="47"/>
        <v>0.26367557018899701</v>
      </c>
      <c r="AW83">
        <f t="shared" si="48"/>
        <v>1.168831506966206E-2</v>
      </c>
      <c r="AX83">
        <f t="shared" si="49"/>
        <v>0.26367556250242247</v>
      </c>
      <c r="AY83">
        <f t="shared" si="50"/>
        <v>7.686574543530611E-9</v>
      </c>
      <c r="AZ83">
        <f t="shared" si="51"/>
        <v>1080577.4158407261</v>
      </c>
      <c r="BA83">
        <f t="shared" si="52"/>
        <v>1.4241708155391228E-5</v>
      </c>
      <c r="BB83" s="15">
        <f t="shared" si="53"/>
        <v>931648.32755132765</v>
      </c>
      <c r="BC83" s="20">
        <f t="shared" si="54"/>
        <v>8501.3080200776458</v>
      </c>
      <c r="BD83" s="19">
        <f t="shared" si="55"/>
        <v>0.92090510397730452</v>
      </c>
      <c r="BE83" s="15">
        <v>2271600</v>
      </c>
      <c r="BF83" s="16">
        <f>テーブル2[[#This Row],[q_P]]/テーブル2[[#This Row],[q_M]]</f>
        <v>0.41012868795180824</v>
      </c>
      <c r="BG83">
        <v>1</v>
      </c>
      <c r="BH83">
        <v>8.1000000000000003E-2</v>
      </c>
      <c r="BI83">
        <v>4.5999999999999999E-2</v>
      </c>
      <c r="BJ83">
        <v>5625</v>
      </c>
      <c r="BK83" s="22">
        <v>1</v>
      </c>
      <c r="BL83">
        <f>テーブル2[[#This Row],[Ts]]-テーブル2[[#This Row],[Tin]]</f>
        <v>22.738171226725967</v>
      </c>
      <c r="BM83">
        <f>テーブル2[[#This Row],[q_P]]*0.000001</f>
        <v>0.93164832755132765</v>
      </c>
      <c r="BN83">
        <f>テーブル2[[#This Row],[Tsub]]</f>
        <v>22.738171226725967</v>
      </c>
      <c r="BO83">
        <f>テーブル2[[#This Row],[Fcorr]]</f>
        <v>1</v>
      </c>
      <c r="BP83">
        <f>(テーブル2[[#This Row],[Tsub]]-40)^2</f>
        <v>297.97073259783127</v>
      </c>
      <c r="BQ83">
        <v>1</v>
      </c>
      <c r="BR83">
        <v>0.59055000000000002</v>
      </c>
    </row>
    <row r="84" spans="1:70" x14ac:dyDescent="0.15">
      <c r="A84" s="9" t="s">
        <v>152</v>
      </c>
      <c r="B84">
        <v>13789520</v>
      </c>
      <c r="C84" s="22">
        <f t="array" ref="C84">TsatFromP(テーブル2[[#This Row],[P]])</f>
        <v>608.621106065763</v>
      </c>
      <c r="D84">
        <f t="array" ref="D84">RhoGFromP(テーブル2[[#This Row],[P]])</f>
        <v>85.147893581579396</v>
      </c>
      <c r="E84">
        <f t="array" ref="E84">RhoFFromP(テーブル2[[#This Row],[P]])</f>
        <v>624.86627494838649</v>
      </c>
      <c r="F84">
        <f t="array" ref="F84">HgFromP(テーブル2[[#This Row],[P]])</f>
        <v>2643264.389866509</v>
      </c>
      <c r="G84">
        <f t="array" ref="G84">HfFromP(テーブル2[[#This Row],[P]])</f>
        <v>1562686.9740257829</v>
      </c>
      <c r="H84">
        <f t="array" ref="H84">MuGFromP(テーブル2[[#This Row],[P]])</f>
        <v>2.2019594042733509E-5</v>
      </c>
      <c r="I84">
        <f t="array" ref="I84">MuFFromP(テーブル2[[#This Row],[P]])</f>
        <v>7.2223252690249831E-5</v>
      </c>
      <c r="J84">
        <f t="array" ref="J84">KfFromP(テーブル2[[#This Row],[P]])</f>
        <v>0.4911212487937569</v>
      </c>
      <c r="K84">
        <f t="array" ref="K84">CpFFromP(テーブル2[[#This Row],[P]])</f>
        <v>7679.7516396704104</v>
      </c>
      <c r="L84">
        <f t="array" ref="L84">SigmaFromP(テーブル2[[#This Row],[P]])</f>
        <v>6.5036382888884548E-3</v>
      </c>
      <c r="M84" s="23">
        <v>83</v>
      </c>
      <c r="N84">
        <v>2915.4</v>
      </c>
      <c r="O84" s="8">
        <v>4.7446061512773302E-5</v>
      </c>
      <c r="P84" s="8">
        <v>2.441771474076131E-2</v>
      </c>
      <c r="Q84" s="8">
        <v>7.7723999999999996E-3</v>
      </c>
      <c r="R84">
        <v>0.59055000000000002</v>
      </c>
      <c r="S84" s="15">
        <v>944118.84079375013</v>
      </c>
      <c r="T84">
        <v>585.33341139100696</v>
      </c>
      <c r="U84" s="12">
        <f>+T84+BG84*S84*テーブル2[[#This Row],[Pw]]*R84/(N84*O84*K84)</f>
        <v>598.14912700786908</v>
      </c>
      <c r="V84">
        <v>0.03</v>
      </c>
      <c r="W84" s="8">
        <f t="shared" si="28"/>
        <v>313744.59216316999</v>
      </c>
      <c r="X84">
        <v>2.3609874739834141E-2</v>
      </c>
      <c r="Y84">
        <f t="shared" si="29"/>
        <v>6.5080841313188298</v>
      </c>
      <c r="Z84">
        <f t="shared" si="30"/>
        <v>6.508084147444321</v>
      </c>
      <c r="AA84">
        <f t="shared" si="31"/>
        <v>-1.6125491164586947E-8</v>
      </c>
      <c r="AB84">
        <f t="shared" si="32"/>
        <v>1.9441273774930842E-5</v>
      </c>
      <c r="AC84">
        <v>624.22957118093098</v>
      </c>
      <c r="AD84">
        <f t="shared" si="33"/>
        <v>8522.1289477333576</v>
      </c>
      <c r="AE84">
        <f>+gettm2(AD84,AC84,AK84,AL84,テーブル2[[#This Row],[Fcorr]])</f>
        <v>598.14912700786897</v>
      </c>
      <c r="AF84" s="14">
        <f t="shared" si="34"/>
        <v>0</v>
      </c>
      <c r="AG84">
        <v>1.9461006157333621E-5</v>
      </c>
      <c r="AH84">
        <f t="shared" si="35"/>
        <v>40.143285038914108</v>
      </c>
      <c r="AI84">
        <f t="shared" si="36"/>
        <v>0.25346203167371806</v>
      </c>
      <c r="AJ84">
        <f t="shared" si="37"/>
        <v>42.676445866252379</v>
      </c>
      <c r="AK84">
        <f t="array" ref="AK84">+S84*テーブル2[[#This Row],[F_form]]/(E84*CpFromTP((テーブル2[[#This Row],[Tin]]+テーブル2[[#This Row],[Tf]])/2,テーブル2[[#This Row],[P]])*AI84)</f>
        <v>0.97561001255653723</v>
      </c>
      <c r="AL84">
        <f t="shared" si="38"/>
        <v>1.1293680422758512</v>
      </c>
      <c r="AM84">
        <f t="shared" si="39"/>
        <v>608.62110604623876</v>
      </c>
      <c r="AN84">
        <f t="shared" si="40"/>
        <v>1.9524236449797172E-8</v>
      </c>
      <c r="AO84">
        <f t="shared" si="41"/>
        <v>1.9732382402778503E-8</v>
      </c>
      <c r="AP84">
        <v>3.370502630515968</v>
      </c>
      <c r="AQ84">
        <f t="shared" si="42"/>
        <v>4.8001292067099045E-5</v>
      </c>
      <c r="AR84">
        <f t="shared" si="43"/>
        <v>9.7403692698681996E-6</v>
      </c>
      <c r="AS84">
        <f t="shared" si="44"/>
        <v>21.359858709370652</v>
      </c>
      <c r="AT84">
        <f t="shared" si="45"/>
        <v>12.257566996701392</v>
      </c>
      <c r="AU84">
        <f t="shared" si="46"/>
        <v>3.1068278343606495</v>
      </c>
      <c r="AV84">
        <f t="shared" si="47"/>
        <v>0.26367479615531852</v>
      </c>
      <c r="AW84">
        <f t="shared" si="48"/>
        <v>1.168831506966206E-2</v>
      </c>
      <c r="AX84">
        <f t="shared" si="49"/>
        <v>0.26367478846847675</v>
      </c>
      <c r="AY84">
        <f t="shared" si="50"/>
        <v>7.6868417742126383E-9</v>
      </c>
      <c r="AZ84">
        <f t="shared" si="51"/>
        <v>1080577.4158407261</v>
      </c>
      <c r="BA84">
        <f t="shared" si="52"/>
        <v>1.4241582733834224E-5</v>
      </c>
      <c r="BB84" s="15">
        <f t="shared" si="53"/>
        <v>935544.04416598706</v>
      </c>
      <c r="BC84" s="20">
        <f t="shared" si="54"/>
        <v>-8574.7966277630767</v>
      </c>
      <c r="BD84" s="19">
        <f t="shared" si="55"/>
        <v>-0.90823276236643868</v>
      </c>
      <c r="BE84" s="15">
        <v>2258980</v>
      </c>
      <c r="BF84" s="16">
        <f>テーブル2[[#This Row],[q_P]]/テーブル2[[#This Row],[q_M]]</f>
        <v>0.41414445642103387</v>
      </c>
      <c r="BG84">
        <v>1</v>
      </c>
      <c r="BH84">
        <v>7.6999999999999999E-2</v>
      </c>
      <c r="BI84">
        <v>4.5999999999999999E-2</v>
      </c>
      <c r="BJ84">
        <v>5625</v>
      </c>
      <c r="BK84" s="22">
        <v>1</v>
      </c>
      <c r="BL84">
        <f>テーブル2[[#This Row],[Ts]]-テーブル2[[#This Row],[Tin]]</f>
        <v>23.28769467475604</v>
      </c>
      <c r="BM84">
        <f>テーブル2[[#This Row],[q_P]]*0.000001</f>
        <v>0.93554404416598702</v>
      </c>
      <c r="BN84">
        <f>テーブル2[[#This Row],[Tsub]]</f>
        <v>23.28769467475604</v>
      </c>
      <c r="BO84">
        <f>テーブル2[[#This Row],[Fcorr]]</f>
        <v>1</v>
      </c>
      <c r="BP84">
        <f>(テーブル2[[#This Row],[Tsub]]-40)^2</f>
        <v>279.30114928417765</v>
      </c>
      <c r="BQ84">
        <v>1</v>
      </c>
      <c r="BR84">
        <v>0.59055000000000002</v>
      </c>
    </row>
    <row r="85" spans="1:70" x14ac:dyDescent="0.15">
      <c r="A85" s="9" t="s">
        <v>153</v>
      </c>
      <c r="B85">
        <v>13789520</v>
      </c>
      <c r="C85" s="22">
        <f t="array" ref="C85">TsatFromP(テーブル2[[#This Row],[P]])</f>
        <v>608.621106065763</v>
      </c>
      <c r="D85">
        <f t="array" ref="D85">RhoGFromP(テーブル2[[#This Row],[P]])</f>
        <v>85.147893581579396</v>
      </c>
      <c r="E85">
        <f t="array" ref="E85">RhoFFromP(テーブル2[[#This Row],[P]])</f>
        <v>624.86627494838649</v>
      </c>
      <c r="F85">
        <f t="array" ref="F85">HgFromP(テーブル2[[#This Row],[P]])</f>
        <v>2643264.389866509</v>
      </c>
      <c r="G85">
        <f t="array" ref="G85">HfFromP(テーブル2[[#This Row],[P]])</f>
        <v>1562686.9740257829</v>
      </c>
      <c r="H85">
        <f t="array" ref="H85">MuGFromP(テーブル2[[#This Row],[P]])</f>
        <v>2.2019594042733509E-5</v>
      </c>
      <c r="I85">
        <f t="array" ref="I85">MuFFromP(テーブル2[[#This Row],[P]])</f>
        <v>7.2223252690249831E-5</v>
      </c>
      <c r="J85">
        <f t="array" ref="J85">KfFromP(テーブル2[[#This Row],[P]])</f>
        <v>0.4911212487937569</v>
      </c>
      <c r="K85">
        <f t="array" ref="K85">CpFFromP(テーブル2[[#This Row],[P]])</f>
        <v>7679.7516396704104</v>
      </c>
      <c r="L85">
        <f t="array" ref="L85">SigmaFromP(テーブル2[[#This Row],[P]])</f>
        <v>6.5036382888884548E-3</v>
      </c>
      <c r="M85">
        <v>84</v>
      </c>
      <c r="N85">
        <v>2996.76</v>
      </c>
      <c r="O85" s="8">
        <v>4.7446061512773302E-5</v>
      </c>
      <c r="P85" s="8">
        <v>2.441771474076131E-2</v>
      </c>
      <c r="Q85" s="8">
        <v>7.7723999999999996E-3</v>
      </c>
      <c r="R85">
        <v>0.59055000000000002</v>
      </c>
      <c r="S85" s="15">
        <v>1429043.1976562501</v>
      </c>
      <c r="T85">
        <v>573.09232433052603</v>
      </c>
      <c r="U85" s="12">
        <f>+T85+BG85*S85*テーブル2[[#This Row],[Pw]]*R85/(N85*O85*K85)</f>
        <v>591.96388165066776</v>
      </c>
      <c r="V85">
        <v>0.03</v>
      </c>
      <c r="W85" s="8">
        <f t="shared" si="28"/>
        <v>322500.25520028168</v>
      </c>
      <c r="X85">
        <v>2.3348415220437339E-2</v>
      </c>
      <c r="Y85">
        <f t="shared" si="29"/>
        <v>6.5444220008767537</v>
      </c>
      <c r="Z85">
        <f t="shared" si="30"/>
        <v>6.5444220182639521</v>
      </c>
      <c r="AA85">
        <f t="shared" si="31"/>
        <v>-1.7387198347762478E-8</v>
      </c>
      <c r="AB85">
        <f t="shared" si="32"/>
        <v>1.8606014860463931E-5</v>
      </c>
      <c r="AC85">
        <v>633.11775042722331</v>
      </c>
      <c r="AD85">
        <f t="shared" si="33"/>
        <v>8711.3161924750802</v>
      </c>
      <c r="AE85">
        <f>+gettm2(AD85,AC85,AK85,AL85,テーブル2[[#This Row],[Fcorr]])</f>
        <v>591.96388198184525</v>
      </c>
      <c r="AF85" s="14">
        <f t="shared" si="34"/>
        <v>3.3117748898803256E-7</v>
      </c>
      <c r="AG85">
        <v>1.8635044409057381E-5</v>
      </c>
      <c r="AH85">
        <f t="shared" si="35"/>
        <v>41.945392418500667</v>
      </c>
      <c r="AI85">
        <f t="shared" si="36"/>
        <v>0.25908876927802804</v>
      </c>
      <c r="AJ85">
        <f t="shared" si="37"/>
        <v>41.772364805752098</v>
      </c>
      <c r="AK85">
        <f t="array" ref="AK85">+S85*テーブル2[[#This Row],[F_form]]/(E85*CpFromTP((テーブル2[[#This Row],[Tin]]+テーブル2[[#This Row],[Tf]])/2,テーブル2[[#This Row],[P]])*AI85)</f>
        <v>1.5363076797810677</v>
      </c>
      <c r="AL85">
        <f t="shared" si="38"/>
        <v>1.1293680422758512</v>
      </c>
      <c r="AM85">
        <f t="shared" si="39"/>
        <v>608.62110606449926</v>
      </c>
      <c r="AN85">
        <f t="shared" si="40"/>
        <v>1.2637428881134838E-9</v>
      </c>
      <c r="AO85">
        <f t="shared" si="41"/>
        <v>2.9029548593450014E-8</v>
      </c>
      <c r="AP85">
        <v>3.4147955549140052</v>
      </c>
      <c r="AQ85">
        <f t="shared" si="42"/>
        <v>4.676412940134698E-5</v>
      </c>
      <c r="AR85">
        <f t="shared" si="43"/>
        <v>9.3320369788254157E-6</v>
      </c>
      <c r="AS85">
        <f t="shared" si="44"/>
        <v>20.918718759306799</v>
      </c>
      <c r="AT85">
        <f t="shared" si="45"/>
        <v>12.153221962730873</v>
      </c>
      <c r="AU85">
        <f t="shared" si="46"/>
        <v>3.1487633210866424</v>
      </c>
      <c r="AV85">
        <f t="shared" si="47"/>
        <v>0.26603223382736285</v>
      </c>
      <c r="AW85">
        <f t="shared" si="48"/>
        <v>1.118614790355682E-2</v>
      </c>
      <c r="AX85">
        <f t="shared" si="49"/>
        <v>0.26603222428322953</v>
      </c>
      <c r="AY85">
        <f t="shared" si="50"/>
        <v>9.5441333169965503E-9</v>
      </c>
      <c r="AZ85">
        <f t="shared" si="51"/>
        <v>1080577.4158407261</v>
      </c>
      <c r="BA85">
        <f t="shared" si="52"/>
        <v>1.3694561987481748E-5</v>
      </c>
      <c r="BB85" s="15">
        <f t="shared" si="53"/>
        <v>1431314.624492588</v>
      </c>
      <c r="BC85" s="20">
        <f t="shared" si="54"/>
        <v>2271.4268363378942</v>
      </c>
      <c r="BD85" s="19">
        <f t="shared" si="55"/>
        <v>0.15894738801900624</v>
      </c>
      <c r="BE85" s="15">
        <v>2587100</v>
      </c>
      <c r="BF85" s="16">
        <f>テーブル2[[#This Row],[q_P]]/テーブル2[[#This Row],[q_M]]</f>
        <v>0.55325059893030337</v>
      </c>
      <c r="BG85">
        <v>1</v>
      </c>
      <c r="BH85">
        <v>3.6999999999999998E-2</v>
      </c>
      <c r="BI85">
        <v>4.5999999999999999E-2</v>
      </c>
      <c r="BJ85">
        <v>5625</v>
      </c>
      <c r="BK85" s="22">
        <v>1</v>
      </c>
      <c r="BL85">
        <f>テーブル2[[#This Row],[Ts]]-テーブル2[[#This Row],[Tin]]</f>
        <v>35.528781735236976</v>
      </c>
      <c r="BM85">
        <f>テーブル2[[#This Row],[q_P]]*0.000001</f>
        <v>1.4313146244925878</v>
      </c>
      <c r="BN85">
        <f>テーブル2[[#This Row],[Tsub]]</f>
        <v>35.528781735236976</v>
      </c>
      <c r="BO85">
        <f>テーブル2[[#This Row],[Fcorr]]</f>
        <v>1</v>
      </c>
      <c r="BP85">
        <f>(テーブル2[[#This Row],[Tsub]]-40)^2</f>
        <v>19.991792771150472</v>
      </c>
      <c r="BQ85">
        <v>1</v>
      </c>
      <c r="BR85">
        <v>0.59055000000000002</v>
      </c>
    </row>
    <row r="86" spans="1:70" x14ac:dyDescent="0.15">
      <c r="A86" s="9" t="s">
        <v>154</v>
      </c>
      <c r="B86">
        <v>13789520</v>
      </c>
      <c r="C86" s="22">
        <f t="array" ref="C86">TsatFromP(テーブル2[[#This Row],[P]])</f>
        <v>608.621106065763</v>
      </c>
      <c r="D86">
        <f t="array" ref="D86">RhoGFromP(テーブル2[[#This Row],[P]])</f>
        <v>85.147893581579396</v>
      </c>
      <c r="E86">
        <f t="array" ref="E86">RhoFFromP(テーブル2[[#This Row],[P]])</f>
        <v>624.86627494838649</v>
      </c>
      <c r="F86">
        <f t="array" ref="F86">HgFromP(テーブル2[[#This Row],[P]])</f>
        <v>2643264.389866509</v>
      </c>
      <c r="G86">
        <f t="array" ref="G86">HfFromP(テーブル2[[#This Row],[P]])</f>
        <v>1562686.9740257829</v>
      </c>
      <c r="H86">
        <f t="array" ref="H86">MuGFromP(テーブル2[[#This Row],[P]])</f>
        <v>2.2019594042733509E-5</v>
      </c>
      <c r="I86">
        <f t="array" ref="I86">MuFFromP(テーブル2[[#This Row],[P]])</f>
        <v>7.2223252690249831E-5</v>
      </c>
      <c r="J86">
        <f t="array" ref="J86">KfFromP(テーブル2[[#This Row],[P]])</f>
        <v>0.4911212487937569</v>
      </c>
      <c r="K86">
        <f t="array" ref="K86">CpFFromP(テーブル2[[#This Row],[P]])</f>
        <v>7679.7516396704104</v>
      </c>
      <c r="L86">
        <f t="array" ref="L86">SigmaFromP(テーブル2[[#This Row],[P]])</f>
        <v>6.5036382888884548E-3</v>
      </c>
      <c r="M86" s="23">
        <v>85</v>
      </c>
      <c r="N86">
        <v>3051</v>
      </c>
      <c r="O86" s="8">
        <v>4.7446061512773302E-5</v>
      </c>
      <c r="P86" s="8">
        <v>2.441771474076131E-2</v>
      </c>
      <c r="Q86" s="8">
        <v>7.7723999999999996E-3</v>
      </c>
      <c r="R86">
        <v>0.59055000000000002</v>
      </c>
      <c r="S86" s="15">
        <v>1447764.24228125</v>
      </c>
      <c r="T86">
        <v>573.09232433052603</v>
      </c>
      <c r="U86" s="12">
        <f>+T86+BG86*S86*テーブル2[[#This Row],[Pw]]*R86/(N86*O86*K86)</f>
        <v>591.87121722994573</v>
      </c>
      <c r="V86">
        <v>0.03</v>
      </c>
      <c r="W86" s="8">
        <f t="shared" si="28"/>
        <v>328337.36389168946</v>
      </c>
      <c r="X86">
        <v>2.318030858318882E-2</v>
      </c>
      <c r="Y86">
        <f t="shared" si="29"/>
        <v>6.5681096352291144</v>
      </c>
      <c r="Z86">
        <f t="shared" si="30"/>
        <v>6.5681096469750786</v>
      </c>
      <c r="AA86">
        <f t="shared" si="31"/>
        <v>-1.1745964201281822E-8</v>
      </c>
      <c r="AB86">
        <f t="shared" si="32"/>
        <v>1.8080526362899186E-5</v>
      </c>
      <c r="AC86">
        <v>633.03739973696042</v>
      </c>
      <c r="AD86">
        <f t="shared" si="33"/>
        <v>8837.001413597367</v>
      </c>
      <c r="AE86">
        <f>+gettm2(AD86,AC86,AK86,AL86,テーブル2[[#This Row],[Fcorr]])</f>
        <v>591.87121722994561</v>
      </c>
      <c r="AF86" s="14">
        <f t="shared" si="34"/>
        <v>0</v>
      </c>
      <c r="AG86">
        <v>1.8109203067865981E-5</v>
      </c>
      <c r="AH86">
        <f t="shared" si="35"/>
        <v>43.164484208161774</v>
      </c>
      <c r="AI86">
        <f t="shared" si="36"/>
        <v>0.2628268530001111</v>
      </c>
      <c r="AJ86">
        <f t="shared" si="37"/>
        <v>41.179314783040873</v>
      </c>
      <c r="AK86">
        <f t="array" ref="AK86">+S86*テーブル2[[#This Row],[F_form]]/(E86*CpFromTP((テーブル2[[#This Row],[Tin]]+テーブル2[[#This Row],[Tf]])/2,テーブル2[[#This Row],[P]])*AI86)</f>
        <v>1.5347091410783258</v>
      </c>
      <c r="AL86">
        <f t="shared" si="38"/>
        <v>1.1293680422758512</v>
      </c>
      <c r="AM86">
        <f t="shared" si="39"/>
        <v>608.62110604730594</v>
      </c>
      <c r="AN86">
        <f t="shared" si="40"/>
        <v>1.8457058104104362E-8</v>
      </c>
      <c r="AO86">
        <f t="shared" si="41"/>
        <v>2.8676704966795383E-8</v>
      </c>
      <c r="AP86">
        <v>3.4430890015921798</v>
      </c>
      <c r="AQ86">
        <f t="shared" si="42"/>
        <v>4.5998722486401484E-5</v>
      </c>
      <c r="AR86">
        <f t="shared" si="43"/>
        <v>9.0689398864163884E-6</v>
      </c>
      <c r="AS86">
        <f t="shared" si="44"/>
        <v>20.62226200300838</v>
      </c>
      <c r="AT86">
        <f t="shared" si="45"/>
        <v>12.081855860196056</v>
      </c>
      <c r="AU86">
        <f t="shared" si="46"/>
        <v>3.1754361541362797</v>
      </c>
      <c r="AV86">
        <f t="shared" si="47"/>
        <v>0.26765284745590012</v>
      </c>
      <c r="AW86">
        <f t="shared" si="48"/>
        <v>1.0870218237829866E-2</v>
      </c>
      <c r="AX86">
        <f t="shared" si="49"/>
        <v>0.2676528368872676</v>
      </c>
      <c r="AY86">
        <f t="shared" si="50"/>
        <v>1.0568632524687871E-8</v>
      </c>
      <c r="AZ86">
        <f t="shared" si="51"/>
        <v>1080577.4158407261</v>
      </c>
      <c r="BA86">
        <f t="shared" si="52"/>
        <v>1.3359725079755533E-5</v>
      </c>
      <c r="BB86" s="15">
        <f t="shared" si="53"/>
        <v>1449354.7535731054</v>
      </c>
      <c r="BC86" s="20">
        <f t="shared" si="54"/>
        <v>1590.5112918554805</v>
      </c>
      <c r="BD86" s="19">
        <f t="shared" si="55"/>
        <v>0.1098598269942973</v>
      </c>
      <c r="BE86" s="15">
        <v>2602875</v>
      </c>
      <c r="BF86" s="16">
        <f>テーブル2[[#This Row],[q_P]]/テーブル2[[#This Row],[q_M]]</f>
        <v>0.55682841226455571</v>
      </c>
      <c r="BG86">
        <v>1</v>
      </c>
      <c r="BH86">
        <v>3.4000000000000002E-2</v>
      </c>
      <c r="BI86">
        <v>4.5999999999999999E-2</v>
      </c>
      <c r="BJ86">
        <v>5625</v>
      </c>
      <c r="BK86" s="22">
        <v>1</v>
      </c>
      <c r="BL86">
        <f>テーブル2[[#This Row],[Ts]]-テーブル2[[#This Row],[Tin]]</f>
        <v>35.528781735236976</v>
      </c>
      <c r="BM86">
        <f>テーブル2[[#This Row],[q_P]]*0.000001</f>
        <v>1.4493547535731053</v>
      </c>
      <c r="BN86">
        <f>テーブル2[[#This Row],[Tsub]]</f>
        <v>35.528781735236976</v>
      </c>
      <c r="BO86">
        <f>テーブル2[[#This Row],[Fcorr]]</f>
        <v>1</v>
      </c>
      <c r="BP86">
        <f>(テーブル2[[#This Row],[Tsub]]-40)^2</f>
        <v>19.991792771150472</v>
      </c>
      <c r="BQ86">
        <v>1</v>
      </c>
      <c r="BR86">
        <v>0.59055000000000002</v>
      </c>
    </row>
    <row r="87" spans="1:70" x14ac:dyDescent="0.15">
      <c r="A87" s="9" t="s">
        <v>155</v>
      </c>
      <c r="B87">
        <v>13789520</v>
      </c>
      <c r="C87" s="22">
        <f t="array" ref="C87">TsatFromP(テーブル2[[#This Row],[P]])</f>
        <v>608.621106065763</v>
      </c>
      <c r="D87">
        <f t="array" ref="D87">RhoGFromP(テーブル2[[#This Row],[P]])</f>
        <v>85.147893581579396</v>
      </c>
      <c r="E87">
        <f t="array" ref="E87">RhoFFromP(テーブル2[[#This Row],[P]])</f>
        <v>624.86627494838649</v>
      </c>
      <c r="F87">
        <f t="array" ref="F87">HgFromP(テーブル2[[#This Row],[P]])</f>
        <v>2643264.389866509</v>
      </c>
      <c r="G87">
        <f t="array" ref="G87">HfFromP(テーブル2[[#This Row],[P]])</f>
        <v>1562686.9740257829</v>
      </c>
      <c r="H87">
        <f t="array" ref="H87">MuGFromP(テーブル2[[#This Row],[P]])</f>
        <v>2.2019594042733509E-5</v>
      </c>
      <c r="I87">
        <f t="array" ref="I87">MuFFromP(テーブル2[[#This Row],[P]])</f>
        <v>7.2223252690249831E-5</v>
      </c>
      <c r="J87">
        <f t="array" ref="J87">KfFromP(テーブル2[[#This Row],[P]])</f>
        <v>0.4911212487937569</v>
      </c>
      <c r="K87">
        <f t="array" ref="K87">CpFFromP(テーブル2[[#This Row],[P]])</f>
        <v>7679.7516396704104</v>
      </c>
      <c r="L87">
        <f t="array" ref="L87">SigmaFromP(テーブル2[[#This Row],[P]])</f>
        <v>6.5036382888884548E-3</v>
      </c>
      <c r="M87">
        <v>86</v>
      </c>
      <c r="N87">
        <v>3051</v>
      </c>
      <c r="O87" s="8">
        <v>4.7446061512773302E-5</v>
      </c>
      <c r="P87" s="8">
        <v>2.441771474076131E-2</v>
      </c>
      <c r="Q87" s="8">
        <v>7.7723999999999996E-3</v>
      </c>
      <c r="R87">
        <v>0.59055000000000002</v>
      </c>
      <c r="S87" s="15">
        <v>1468476.4337812499</v>
      </c>
      <c r="T87">
        <v>572.54322596837198</v>
      </c>
      <c r="U87" s="12">
        <f>+T87+BG87*S87*テーブル2[[#This Row],[Pw]]*R87/(N87*O87*K87)</f>
        <v>591.59077588702974</v>
      </c>
      <c r="V87">
        <v>0.03</v>
      </c>
      <c r="W87" s="8">
        <f t="shared" si="28"/>
        <v>328337.36389168946</v>
      </c>
      <c r="X87">
        <v>2.318030858318882E-2</v>
      </c>
      <c r="Y87">
        <f t="shared" si="29"/>
        <v>6.5681096352291144</v>
      </c>
      <c r="Z87">
        <f t="shared" si="30"/>
        <v>6.5681096469750786</v>
      </c>
      <c r="AA87">
        <f t="shared" si="31"/>
        <v>-1.1745964201281822E-8</v>
      </c>
      <c r="AB87">
        <f t="shared" si="32"/>
        <v>1.8080526362899186E-5</v>
      </c>
      <c r="AC87">
        <v>633.44645304266578</v>
      </c>
      <c r="AD87">
        <f t="shared" si="33"/>
        <v>8837.001413597367</v>
      </c>
      <c r="AE87">
        <f>+gettm2(AD87,AC87,AK87,AL87,テーブル2[[#This Row],[Fcorr]])</f>
        <v>591.59077622149437</v>
      </c>
      <c r="AF87" s="14">
        <f t="shared" si="34"/>
        <v>3.3446463021391537E-7</v>
      </c>
      <c r="AG87">
        <v>1.8109684291362569E-5</v>
      </c>
      <c r="AH87">
        <f t="shared" si="35"/>
        <v>43.164484208161774</v>
      </c>
      <c r="AI87">
        <f t="shared" si="36"/>
        <v>0.2628268530001111</v>
      </c>
      <c r="AJ87">
        <f t="shared" si="37"/>
        <v>41.180409058353419</v>
      </c>
      <c r="AK87">
        <f t="array" ref="AK87">+S87*テーブル2[[#This Row],[F_form]]/(E87*CpFromTP((テーブル2[[#This Row],[Tin]]+テーブル2[[#This Row],[Tf]])/2,テーブル2[[#This Row],[P]])*AI87)</f>
        <v>1.5604140561861859</v>
      </c>
      <c r="AL87">
        <f t="shared" si="38"/>
        <v>1.1293680422758512</v>
      </c>
      <c r="AM87">
        <f t="shared" si="39"/>
        <v>608.62110604676104</v>
      </c>
      <c r="AN87">
        <f t="shared" si="40"/>
        <v>1.9001959117304068E-8</v>
      </c>
      <c r="AO87">
        <f t="shared" si="41"/>
        <v>2.9157928463383276E-8</v>
      </c>
      <c r="AP87">
        <v>3.4431537019404002</v>
      </c>
      <c r="AQ87">
        <f t="shared" si="42"/>
        <v>4.5996993777399271E-5</v>
      </c>
      <c r="AR87">
        <f t="shared" si="43"/>
        <v>9.0694211099129763E-6</v>
      </c>
      <c r="AS87">
        <f t="shared" si="44"/>
        <v>20.623356278320919</v>
      </c>
      <c r="AT87">
        <f t="shared" si="45"/>
        <v>12.082121167241601</v>
      </c>
      <c r="AU87">
        <f t="shared" si="46"/>
        <v>3.1755058839521388</v>
      </c>
      <c r="AV87">
        <f t="shared" si="47"/>
        <v>0.26764781798826132</v>
      </c>
      <c r="AW87">
        <f t="shared" si="48"/>
        <v>1.0870218237829866E-2</v>
      </c>
      <c r="AX87">
        <f t="shared" si="49"/>
        <v>0.26764780741915556</v>
      </c>
      <c r="AY87">
        <f t="shared" si="50"/>
        <v>1.0569105757252117E-8</v>
      </c>
      <c r="AZ87">
        <f t="shared" si="51"/>
        <v>1080577.4158407261</v>
      </c>
      <c r="BA87">
        <f t="shared" si="52"/>
        <v>1.3358971965578394E-5</v>
      </c>
      <c r="BB87" s="15">
        <f t="shared" si="53"/>
        <v>1473759.4398032762</v>
      </c>
      <c r="BC87" s="20">
        <f t="shared" si="54"/>
        <v>5283.0060220262967</v>
      </c>
      <c r="BD87" s="19">
        <f t="shared" si="55"/>
        <v>0.35976103534891823</v>
      </c>
      <c r="BE87" s="15">
        <v>2618650</v>
      </c>
      <c r="BF87" s="16">
        <f>テーブル2[[#This Row],[q_P]]/テーブル2[[#This Row],[q_M]]</f>
        <v>0.56279359204295198</v>
      </c>
      <c r="BG87">
        <v>1</v>
      </c>
      <c r="BH87">
        <v>3.3000000000000002E-2</v>
      </c>
      <c r="BI87">
        <v>4.5999999999999999E-2</v>
      </c>
      <c r="BJ87">
        <v>5625</v>
      </c>
      <c r="BK87" s="22">
        <v>1</v>
      </c>
      <c r="BL87">
        <f>テーブル2[[#This Row],[Ts]]-テーブル2[[#This Row],[Tin]]</f>
        <v>36.077880097391017</v>
      </c>
      <c r="BM87">
        <f>テーブル2[[#This Row],[q_P]]*0.000001</f>
        <v>1.4737594398032761</v>
      </c>
      <c r="BN87">
        <f>テーブル2[[#This Row],[Tsub]]</f>
        <v>36.077880097391017</v>
      </c>
      <c r="BO87">
        <f>テーブル2[[#This Row],[Fcorr]]</f>
        <v>1</v>
      </c>
      <c r="BP87">
        <f>(テーブル2[[#This Row],[Tsub]]-40)^2</f>
        <v>15.383024530441501</v>
      </c>
      <c r="BQ87">
        <v>1</v>
      </c>
      <c r="BR87">
        <v>0.59055000000000002</v>
      </c>
    </row>
    <row r="88" spans="1:70" x14ac:dyDescent="0.15">
      <c r="A88" s="9" t="s">
        <v>156</v>
      </c>
      <c r="B88">
        <v>10962664.096137701</v>
      </c>
      <c r="C88" s="22">
        <f t="array" ref="C88">TsatFromP(テーブル2[[#This Row],[P]])</f>
        <v>590.91885773675415</v>
      </c>
      <c r="D88">
        <f t="array" ref="D88">RhoGFromP(テーブル2[[#This Row],[P]])</f>
        <v>62.329534958310994</v>
      </c>
      <c r="E88">
        <f t="array" ref="E88">RhoFFromP(テーブル2[[#This Row],[P]])</f>
        <v>672.42409881111666</v>
      </c>
      <c r="F88">
        <f t="array" ref="F88">HgFromP(テーブル2[[#This Row],[P]])</f>
        <v>2706878.8036725009</v>
      </c>
      <c r="G88">
        <f t="array" ref="G88">HfFromP(テーブル2[[#This Row],[P]])</f>
        <v>1448743.0254953832</v>
      </c>
      <c r="H88">
        <f t="array" ref="H88">MuGFromP(テーブル2[[#This Row],[P]])</f>
        <v>2.0627960844486357E-5</v>
      </c>
      <c r="I88">
        <f t="array" ref="I88">MuFFromP(テーブル2[[#This Row],[P]])</f>
        <v>7.9154719957673361E-5</v>
      </c>
      <c r="J88">
        <f t="array" ref="J88">KfFromP(テーブル2[[#This Row],[P]])</f>
        <v>0.52383293111878571</v>
      </c>
      <c r="K88">
        <f t="array" ref="K88">CpFFromP(テーブル2[[#This Row],[P]])</f>
        <v>6433.0576498432911</v>
      </c>
      <c r="L88">
        <f t="array" ref="L88">SigmaFromP(テーブル2[[#This Row],[P]])</f>
        <v>1.0258316120707198E-2</v>
      </c>
      <c r="M88">
        <v>87</v>
      </c>
      <c r="N88">
        <v>1017.17242424647</v>
      </c>
      <c r="O88" s="8">
        <f t="shared" ref="O88:O119" si="56">PI()*Q88^2/4</f>
        <v>6.8620353649299532E-5</v>
      </c>
      <c r="P88" s="8">
        <f t="shared" ref="P88:P119" si="57">PI()*Q88</f>
        <v>2.9365094851634514E-2</v>
      </c>
      <c r="Q88" s="8">
        <v>9.3472E-3</v>
      </c>
      <c r="R88">
        <v>1.524</v>
      </c>
      <c r="S88" s="15">
        <v>725513.61298125016</v>
      </c>
      <c r="T88">
        <v>506.55651294115302</v>
      </c>
      <c r="U88" s="12">
        <f>+T88+BG88*S88*テーブル2[[#This Row],[Pw]]*R88/(N88*O88*K88)</f>
        <v>578.86628082812967</v>
      </c>
      <c r="V88">
        <v>0.03</v>
      </c>
      <c r="W88" s="8">
        <f t="shared" si="28"/>
        <v>120115.56719549626</v>
      </c>
      <c r="X88">
        <v>4.1253861327832868E-2</v>
      </c>
      <c r="Y88">
        <f t="shared" si="29"/>
        <v>4.9234292085143725</v>
      </c>
      <c r="Z88">
        <f t="shared" si="30"/>
        <v>4.9234292704113702</v>
      </c>
      <c r="AA88">
        <f t="shared" si="31"/>
        <v>-6.189699774949986E-8</v>
      </c>
      <c r="AB88">
        <f t="shared" si="32"/>
        <v>1.551446559739055E-4</v>
      </c>
      <c r="AC88">
        <v>626.31003637928768</v>
      </c>
      <c r="AD88">
        <f t="shared" si="33"/>
        <v>4312.7730943669094</v>
      </c>
      <c r="AE88">
        <f>+gettm2(AD88,AC88,AK88,AL88,テーブル2[[#This Row],[Fcorr]])</f>
        <v>578.86628109122989</v>
      </c>
      <c r="AF88" s="14">
        <f t="shared" si="34"/>
        <v>2.6310021894460078E-7</v>
      </c>
      <c r="AG88">
        <v>1.5526360365178599E-4</v>
      </c>
      <c r="AH88">
        <f t="shared" si="35"/>
        <v>7.9345171559883489</v>
      </c>
      <c r="AI88">
        <f t="shared" si="36"/>
        <v>0.10862720794115176</v>
      </c>
      <c r="AJ88">
        <f t="shared" si="37"/>
        <v>143.27642339179013</v>
      </c>
      <c r="AK88">
        <f t="array" ref="AK88">+S88*テーブル2[[#This Row],[F_form]]/(E88*CpFromTP((テーブル2[[#This Row],[Tin]]+テーブル2[[#This Row],[Tf]])/2,テーブル2[[#This Row],[P]])*AI88)</f>
        <v>2.0096721484841988</v>
      </c>
      <c r="AL88">
        <f t="shared" si="38"/>
        <v>0.97207878026562056</v>
      </c>
      <c r="AM88">
        <f t="shared" si="39"/>
        <v>590.91885767358269</v>
      </c>
      <c r="AN88">
        <f t="shared" si="40"/>
        <v>6.3171455622068606E-8</v>
      </c>
      <c r="AO88">
        <f t="shared" si="41"/>
        <v>1.1894767788049316E-7</v>
      </c>
      <c r="AP88">
        <v>2.0088175811371021</v>
      </c>
      <c r="AQ88">
        <f t="shared" si="42"/>
        <v>2.800138620505205E-4</v>
      </c>
      <c r="AR88">
        <f t="shared" si="43"/>
        <v>7.7691275664833244E-5</v>
      </c>
      <c r="AS88">
        <f t="shared" si="44"/>
        <v>71.693093836514763</v>
      </c>
      <c r="AT88">
        <f t="shared" si="45"/>
        <v>16.180986056736796</v>
      </c>
      <c r="AU88">
        <f t="shared" si="46"/>
        <v>1.7576953370780251</v>
      </c>
      <c r="AV88">
        <f t="shared" si="47"/>
        <v>0.25112224405907702</v>
      </c>
      <c r="AW88">
        <f t="shared" si="48"/>
        <v>7.896218148562599E-2</v>
      </c>
      <c r="AX88">
        <f t="shared" si="49"/>
        <v>0.25112223923710741</v>
      </c>
      <c r="AY88">
        <f t="shared" si="50"/>
        <v>4.8219696013873659E-9</v>
      </c>
      <c r="AZ88">
        <f t="shared" si="51"/>
        <v>1258135.7781771177</v>
      </c>
      <c r="BA88">
        <f t="shared" si="52"/>
        <v>1.3939237921843412E-4</v>
      </c>
      <c r="BB88" s="15">
        <f t="shared" si="53"/>
        <v>721917.7490928513</v>
      </c>
      <c r="BC88" s="20">
        <f t="shared" si="54"/>
        <v>-3595.8638883988606</v>
      </c>
      <c r="BD88" s="19">
        <f t="shared" si="55"/>
        <v>-0.49563010590840428</v>
      </c>
      <c r="BE88" s="15">
        <v>1462152.81033672</v>
      </c>
      <c r="BF88" s="16">
        <f>テーブル2[[#This Row],[q_P]]/テーブル2[[#This Row],[q_M]]</f>
        <v>0.49373618406314213</v>
      </c>
      <c r="BG88">
        <v>1</v>
      </c>
      <c r="BH88">
        <v>0.39500000000000002</v>
      </c>
      <c r="BI88">
        <v>4.5999999999999999E-2</v>
      </c>
      <c r="BJ88">
        <v>5625</v>
      </c>
      <c r="BK88" s="22">
        <v>1</v>
      </c>
      <c r="BL88">
        <f>テーブル2[[#This Row],[Ts]]-テーブル2[[#This Row],[Tin]]</f>
        <v>84.362344795601132</v>
      </c>
      <c r="BM88">
        <f>テーブル2[[#This Row],[q_P]]*0.000001</f>
        <v>0.72191774909285122</v>
      </c>
      <c r="BN88">
        <f>テーブル2[[#This Row],[Tsub]]</f>
        <v>84.362344795601132</v>
      </c>
      <c r="BO88">
        <f>テーブル2[[#This Row],[Fcorr]]</f>
        <v>1</v>
      </c>
      <c r="BP88">
        <f>(テーブル2[[#This Row],[Tsub]]-40)^2</f>
        <v>1968.0176357637988</v>
      </c>
      <c r="BQ88">
        <v>1</v>
      </c>
      <c r="BR88">
        <v>1.524</v>
      </c>
    </row>
    <row r="89" spans="1:70" x14ac:dyDescent="0.15">
      <c r="A89" s="9" t="s">
        <v>157</v>
      </c>
      <c r="B89">
        <v>10997137.8826035</v>
      </c>
      <c r="C89" s="22">
        <f t="array" ref="C89">TsatFromP(テーブル2[[#This Row],[P]])</f>
        <v>591.14538588286257</v>
      </c>
      <c r="D89">
        <f t="array" ref="D89">RhoGFromP(テーブル2[[#This Row],[P]])</f>
        <v>62.591709712512611</v>
      </c>
      <c r="E89">
        <f t="array" ref="E89">RhoFFromP(テーブル2[[#This Row],[P]])</f>
        <v>671.85012637514694</v>
      </c>
      <c r="F89">
        <f t="array" ref="F89">HgFromP(テーブル2[[#This Row],[P]])</f>
        <v>2706154.0000695144</v>
      </c>
      <c r="G89">
        <f t="array" ref="G89">HfFromP(テーブル2[[#This Row],[P]])</f>
        <v>1450155.2183028094</v>
      </c>
      <c r="H89">
        <f t="array" ref="H89">MuGFromP(テーブル2[[#This Row],[P]])</f>
        <v>2.0644130954317771E-5</v>
      </c>
      <c r="I89">
        <f t="array" ref="I89">MuFFromP(テーブル2[[#This Row],[P]])</f>
        <v>7.9067733661598914E-5</v>
      </c>
      <c r="J89">
        <f t="array" ref="J89">KfFromP(テーブル2[[#This Row],[P]])</f>
        <v>0.52342986170916894</v>
      </c>
      <c r="K89">
        <f t="array" ref="K89">CpFFromP(テーブル2[[#This Row],[P]])</f>
        <v>6446.0268474749828</v>
      </c>
      <c r="L89">
        <f t="array" ref="L89">SigmaFromP(テーブル2[[#This Row],[P]])</f>
        <v>1.0209472461236048E-2</v>
      </c>
      <c r="M89">
        <v>88</v>
      </c>
      <c r="N89">
        <v>1017.17242424647</v>
      </c>
      <c r="O89" s="8">
        <f t="shared" si="56"/>
        <v>6.8620353649299532E-5</v>
      </c>
      <c r="P89" s="8">
        <f t="shared" si="57"/>
        <v>2.9365094851634514E-2</v>
      </c>
      <c r="Q89" s="8">
        <v>9.3472E-3</v>
      </c>
      <c r="R89">
        <v>1.524</v>
      </c>
      <c r="S89" s="15">
        <v>1188180.2075597499</v>
      </c>
      <c r="T89">
        <v>451.88649460669899</v>
      </c>
      <c r="U89" s="12">
        <f>+T89+BG89*S89*テーブル2[[#This Row],[Pw]]*R89/(N89*O89*K89)</f>
        <v>570.07059368549983</v>
      </c>
      <c r="V89">
        <v>0.03</v>
      </c>
      <c r="W89" s="8">
        <f t="shared" si="28"/>
        <v>120247.71222871468</v>
      </c>
      <c r="X89">
        <v>4.119460491459976E-2</v>
      </c>
      <c r="Y89">
        <f t="shared" si="29"/>
        <v>4.9269689914128536</v>
      </c>
      <c r="Z89">
        <f t="shared" si="30"/>
        <v>4.9269690481970594</v>
      </c>
      <c r="AA89">
        <f t="shared" si="31"/>
        <v>-5.6784205781923447E-8</v>
      </c>
      <c r="AB89">
        <f t="shared" si="32"/>
        <v>1.5449607142590965E-4</v>
      </c>
      <c r="AC89">
        <v>652.95846178296517</v>
      </c>
      <c r="AD89">
        <f t="shared" si="33"/>
        <v>4314.415865377211</v>
      </c>
      <c r="AE89">
        <f>+gettm2(AD89,AC89,AK89,AL89,テーブル2[[#This Row],[Fcorr]])</f>
        <v>570.07059368549983</v>
      </c>
      <c r="AF89" s="14">
        <f t="shared" si="34"/>
        <v>0</v>
      </c>
      <c r="AG89">
        <v>1.546904425481409E-4</v>
      </c>
      <c r="AH89">
        <f t="shared" si="35"/>
        <v>7.9298889870856941</v>
      </c>
      <c r="AI89">
        <f t="shared" si="36"/>
        <v>0.10864189998703516</v>
      </c>
      <c r="AJ89">
        <f t="shared" si="37"/>
        <v>142.80188710029122</v>
      </c>
      <c r="AK89">
        <f t="array" ref="AK89">+S89*テーブル2[[#This Row],[F_form]]/(E89*CpFromTP((テーブル2[[#This Row],[Tin]]+テーブル2[[#This Row],[Tf]])/2,テーブル2[[#This Row],[P]])*AI89)</f>
        <v>3.5086561212378782</v>
      </c>
      <c r="AL89">
        <f t="shared" si="38"/>
        <v>0.97371734254408138</v>
      </c>
      <c r="AM89">
        <f t="shared" si="39"/>
        <v>591.14538579878604</v>
      </c>
      <c r="AN89">
        <f t="shared" si="40"/>
        <v>8.4076532402832527E-8</v>
      </c>
      <c r="AO89">
        <f t="shared" si="41"/>
        <v>1.9437112223124535E-7</v>
      </c>
      <c r="AP89">
        <v>2.007613865305379</v>
      </c>
      <c r="AQ89">
        <f t="shared" si="42"/>
        <v>2.7796555830318778E-4</v>
      </c>
      <c r="AR89">
        <f t="shared" si="43"/>
        <v>7.7442406835186072E-5</v>
      </c>
      <c r="AS89">
        <f t="shared" si="44"/>
        <v>71.490660027114714</v>
      </c>
      <c r="AT89">
        <f t="shared" si="45"/>
        <v>16.173917030439625</v>
      </c>
      <c r="AU89">
        <f t="shared" si="46"/>
        <v>1.7571650764196265</v>
      </c>
      <c r="AV89">
        <f t="shared" si="47"/>
        <v>0.2504487888857525</v>
      </c>
      <c r="AW89">
        <f t="shared" si="48"/>
        <v>7.8765917651280562E-2</v>
      </c>
      <c r="AX89">
        <f t="shared" si="49"/>
        <v>0.25044878434705065</v>
      </c>
      <c r="AY89">
        <f t="shared" si="50"/>
        <v>4.5387018587916828E-9</v>
      </c>
      <c r="AZ89">
        <f t="shared" si="51"/>
        <v>1255998.781766705</v>
      </c>
      <c r="BA89">
        <f t="shared" si="52"/>
        <v>1.3845568767324005E-4</v>
      </c>
      <c r="BB89" s="15">
        <f t="shared" si="53"/>
        <v>1184629.5521766837</v>
      </c>
      <c r="BC89" s="20">
        <f t="shared" si="54"/>
        <v>-3550.6553830662742</v>
      </c>
      <c r="BD89" s="19">
        <f t="shared" si="55"/>
        <v>-0.29883138605367843</v>
      </c>
      <c r="BE89" s="15">
        <v>1810104.16951718</v>
      </c>
      <c r="BF89" s="16">
        <f>テーブル2[[#This Row],[q_P]]/テーブル2[[#This Row],[q_M]]</f>
        <v>0.6544538000222756</v>
      </c>
      <c r="BG89">
        <v>1</v>
      </c>
      <c r="BH89">
        <v>0.378</v>
      </c>
      <c r="BI89">
        <v>4.5999999999999999E-2</v>
      </c>
      <c r="BJ89">
        <v>5625</v>
      </c>
      <c r="BK89" s="22">
        <v>1</v>
      </c>
      <c r="BL89">
        <f>テーブル2[[#This Row],[Ts]]-テーブル2[[#This Row],[Tin]]</f>
        <v>139.25889127616358</v>
      </c>
      <c r="BM89">
        <f>テーブル2[[#This Row],[q_P]]*0.000001</f>
        <v>1.1846295521766836</v>
      </c>
      <c r="BN89">
        <f>テーブル2[[#This Row],[Tsub]]</f>
        <v>139.25889127616358</v>
      </c>
      <c r="BO89">
        <f>テーブル2[[#This Row],[Fcorr]]</f>
        <v>1</v>
      </c>
      <c r="BP89">
        <f>(テーブル2[[#This Row],[Tsub]]-40)^2</f>
        <v>9852.3274973732623</v>
      </c>
      <c r="BQ89">
        <v>1</v>
      </c>
      <c r="BR89">
        <v>1.524</v>
      </c>
    </row>
    <row r="90" spans="1:70" x14ac:dyDescent="0.15">
      <c r="A90" s="9" t="s">
        <v>158</v>
      </c>
      <c r="B90">
        <v>10997137.8826035</v>
      </c>
      <c r="C90" s="22">
        <f t="array" ref="C90">TsatFromP(テーブル2[[#This Row],[P]])</f>
        <v>591.14538588286257</v>
      </c>
      <c r="D90">
        <f t="array" ref="D90">RhoGFromP(テーブル2[[#This Row],[P]])</f>
        <v>62.591709712512611</v>
      </c>
      <c r="E90">
        <f t="array" ref="E90">RhoFFromP(テーブル2[[#This Row],[P]])</f>
        <v>671.85012637514694</v>
      </c>
      <c r="F90">
        <f t="array" ref="F90">HgFromP(テーブル2[[#This Row],[P]])</f>
        <v>2706154.0000695144</v>
      </c>
      <c r="G90">
        <f t="array" ref="G90">HfFromP(テーブル2[[#This Row],[P]])</f>
        <v>1450155.2183028094</v>
      </c>
      <c r="H90">
        <f t="array" ref="H90">MuGFromP(テーブル2[[#This Row],[P]])</f>
        <v>2.0644130954317771E-5</v>
      </c>
      <c r="I90">
        <f t="array" ref="I90">MuFFromP(テーブル2[[#This Row],[P]])</f>
        <v>7.9067733661598914E-5</v>
      </c>
      <c r="J90">
        <f t="array" ref="J90">KfFromP(テーブル2[[#This Row],[P]])</f>
        <v>0.52342986170916894</v>
      </c>
      <c r="K90">
        <f t="array" ref="K90">CpFFromP(テーブル2[[#This Row],[P]])</f>
        <v>6446.0268474749828</v>
      </c>
      <c r="L90">
        <f t="array" ref="L90">SigmaFromP(テーブル2[[#This Row],[P]])</f>
        <v>1.0209472461236048E-2</v>
      </c>
      <c r="M90">
        <v>89</v>
      </c>
      <c r="N90">
        <v>1017.17242424647</v>
      </c>
      <c r="O90" s="8">
        <f t="shared" si="56"/>
        <v>6.8620353649299532E-5</v>
      </c>
      <c r="P90" s="8">
        <f t="shared" si="57"/>
        <v>2.9365094851634514E-2</v>
      </c>
      <c r="Q90" s="8">
        <v>9.3472E-3</v>
      </c>
      <c r="R90">
        <v>1.524</v>
      </c>
      <c r="S90" s="15">
        <v>1188180.2075597499</v>
      </c>
      <c r="T90">
        <v>451.88649460669899</v>
      </c>
      <c r="U90" s="12">
        <f>+T90+BG90*S90*テーブル2[[#This Row],[Pw]]*R90/(N90*O90*K90)</f>
        <v>570.07059368549983</v>
      </c>
      <c r="V90">
        <v>0.03</v>
      </c>
      <c r="W90" s="8">
        <f t="shared" si="28"/>
        <v>120247.71222871468</v>
      </c>
      <c r="X90">
        <v>4.119460491459976E-2</v>
      </c>
      <c r="Y90">
        <f t="shared" si="29"/>
        <v>4.9269689914128536</v>
      </c>
      <c r="Z90">
        <f t="shared" si="30"/>
        <v>4.9269690481970594</v>
      </c>
      <c r="AA90">
        <f t="shared" si="31"/>
        <v>-5.6784205781923447E-8</v>
      </c>
      <c r="AB90">
        <f t="shared" si="32"/>
        <v>1.5449607142590965E-4</v>
      </c>
      <c r="AC90">
        <v>652.95846178296517</v>
      </c>
      <c r="AD90">
        <f t="shared" si="33"/>
        <v>4314.415865377211</v>
      </c>
      <c r="AE90">
        <f>+gettm2(AD90,AC90,AK90,AL90,テーブル2[[#This Row],[Fcorr]])</f>
        <v>570.07059368549983</v>
      </c>
      <c r="AF90" s="14">
        <f t="shared" si="34"/>
        <v>0</v>
      </c>
      <c r="AG90">
        <v>1.546904425481409E-4</v>
      </c>
      <c r="AH90">
        <f t="shared" si="35"/>
        <v>7.9298889870856941</v>
      </c>
      <c r="AI90">
        <f t="shared" si="36"/>
        <v>0.10864189998703516</v>
      </c>
      <c r="AJ90">
        <f t="shared" si="37"/>
        <v>142.80188710029122</v>
      </c>
      <c r="AK90">
        <f t="array" ref="AK90">+S90*テーブル2[[#This Row],[F_form]]/(E90*CpFromTP((テーブル2[[#This Row],[Tin]]+テーブル2[[#This Row],[Tf]])/2,テーブル2[[#This Row],[P]])*AI90)</f>
        <v>3.5086561212378782</v>
      </c>
      <c r="AL90">
        <f t="shared" si="38"/>
        <v>0.97371734254408138</v>
      </c>
      <c r="AM90">
        <f t="shared" si="39"/>
        <v>591.14538579878604</v>
      </c>
      <c r="AN90">
        <f t="shared" si="40"/>
        <v>8.4076532402832527E-8</v>
      </c>
      <c r="AO90">
        <f t="shared" si="41"/>
        <v>1.9437112223124535E-7</v>
      </c>
      <c r="AP90">
        <v>2.007613865305379</v>
      </c>
      <c r="AQ90">
        <f t="shared" si="42"/>
        <v>2.7796555830318778E-4</v>
      </c>
      <c r="AR90">
        <f t="shared" si="43"/>
        <v>7.7442406835186072E-5</v>
      </c>
      <c r="AS90">
        <f t="shared" si="44"/>
        <v>71.490660027114714</v>
      </c>
      <c r="AT90">
        <f t="shared" si="45"/>
        <v>16.173917030439625</v>
      </c>
      <c r="AU90">
        <f t="shared" si="46"/>
        <v>1.7571650764196265</v>
      </c>
      <c r="AV90">
        <f t="shared" si="47"/>
        <v>0.2504487888857525</v>
      </c>
      <c r="AW90">
        <f t="shared" si="48"/>
        <v>7.8765917651280562E-2</v>
      </c>
      <c r="AX90">
        <f t="shared" si="49"/>
        <v>0.25044878434705065</v>
      </c>
      <c r="AY90">
        <f t="shared" si="50"/>
        <v>4.5387018587916828E-9</v>
      </c>
      <c r="AZ90">
        <f t="shared" si="51"/>
        <v>1255998.781766705</v>
      </c>
      <c r="BA90">
        <f t="shared" si="52"/>
        <v>1.3845568767324005E-4</v>
      </c>
      <c r="BB90" s="15">
        <f t="shared" si="53"/>
        <v>1184629.5521766837</v>
      </c>
      <c r="BC90" s="20">
        <f t="shared" si="54"/>
        <v>-3550.6553830662742</v>
      </c>
      <c r="BD90" s="19">
        <f t="shared" si="55"/>
        <v>-0.29883138605367843</v>
      </c>
      <c r="BE90" s="15">
        <v>1810104.16951718</v>
      </c>
      <c r="BF90" s="16">
        <f>テーブル2[[#This Row],[q_P]]/テーブル2[[#This Row],[q_M]]</f>
        <v>0.6544538000222756</v>
      </c>
      <c r="BG90">
        <v>1</v>
      </c>
      <c r="BH90">
        <v>0.378</v>
      </c>
      <c r="BI90">
        <v>4.5999999999999999E-2</v>
      </c>
      <c r="BJ90">
        <v>5625</v>
      </c>
      <c r="BK90" s="22">
        <v>1</v>
      </c>
      <c r="BL90">
        <f>テーブル2[[#This Row],[Ts]]-テーブル2[[#This Row],[Tin]]</f>
        <v>139.25889127616358</v>
      </c>
      <c r="BM90">
        <f>テーブル2[[#This Row],[q_P]]*0.000001</f>
        <v>1.1846295521766836</v>
      </c>
      <c r="BN90">
        <f>テーブル2[[#This Row],[Tsub]]</f>
        <v>139.25889127616358</v>
      </c>
      <c r="BO90">
        <f>テーブル2[[#This Row],[Fcorr]]</f>
        <v>1</v>
      </c>
      <c r="BP90">
        <f>(テーブル2[[#This Row],[Tsub]]-40)^2</f>
        <v>9852.3274973732623</v>
      </c>
      <c r="BQ90">
        <v>1</v>
      </c>
      <c r="BR90">
        <v>1.524</v>
      </c>
    </row>
    <row r="91" spans="1:70" x14ac:dyDescent="0.15">
      <c r="A91" s="9" t="s">
        <v>159</v>
      </c>
      <c r="B91">
        <v>11066085.455535199</v>
      </c>
      <c r="C91" s="22">
        <f t="array" ref="C91">TsatFromP(テーブル2[[#This Row],[P]])</f>
        <v>591.59844217507987</v>
      </c>
      <c r="D91">
        <f t="array" ref="D91">RhoGFromP(テーブル2[[#This Row],[P]])</f>
        <v>63.116059220916618</v>
      </c>
      <c r="E91">
        <f t="array" ref="E91">RhoFFromP(テーブル2[[#This Row],[P]])</f>
        <v>670.70218150320568</v>
      </c>
      <c r="F91">
        <f t="array" ref="F91">HgFromP(テーブル2[[#This Row],[P]])</f>
        <v>2704704.3928635395</v>
      </c>
      <c r="G91">
        <f t="array" ref="G91">HfFromP(テーブル2[[#This Row],[P]])</f>
        <v>1452979.6039176662</v>
      </c>
      <c r="H91">
        <f t="array" ref="H91">MuGFromP(テーブル2[[#This Row],[P]])</f>
        <v>2.0676471173980647E-5</v>
      </c>
      <c r="I91">
        <f t="array" ref="I91">MuFFromP(テーブル2[[#This Row],[P]])</f>
        <v>7.8893761069449763E-5</v>
      </c>
      <c r="J91">
        <f t="array" ref="J91">KfFromP(テーブル2[[#This Row],[P]])</f>
        <v>0.52262372288993442</v>
      </c>
      <c r="K91">
        <f t="array" ref="K91">CpFFromP(テーブル2[[#This Row],[P]])</f>
        <v>6471.9652427384026</v>
      </c>
      <c r="L91">
        <f t="array" ref="L91">SigmaFromP(テーブル2[[#This Row],[P]])</f>
        <v>1.0111785142293607E-2</v>
      </c>
      <c r="M91">
        <v>90</v>
      </c>
      <c r="N91">
        <v>1017.17242424647</v>
      </c>
      <c r="O91" s="8">
        <f t="shared" si="56"/>
        <v>6.8620353649299532E-5</v>
      </c>
      <c r="P91" s="8">
        <f t="shared" si="57"/>
        <v>2.9365094851634514E-2</v>
      </c>
      <c r="Q91" s="8">
        <v>9.3472E-3</v>
      </c>
      <c r="R91">
        <v>1.524</v>
      </c>
      <c r="S91" s="15">
        <v>726588.21618125006</v>
      </c>
      <c r="T91">
        <v>507.48014958658098</v>
      </c>
      <c r="U91" s="12">
        <f>+T91+BG91*S91*テーブル2[[#This Row],[Pw]]*R91/(N91*O91*K91)</f>
        <v>579.4616705660452</v>
      </c>
      <c r="V91">
        <v>0.03</v>
      </c>
      <c r="W91" s="8">
        <f t="shared" si="28"/>
        <v>120512.87649408694</v>
      </c>
      <c r="X91">
        <v>4.1075713965040873E-2</v>
      </c>
      <c r="Y91">
        <f t="shared" si="29"/>
        <v>4.9340942329244344</v>
      </c>
      <c r="Z91">
        <f t="shared" si="30"/>
        <v>4.9340942800857652</v>
      </c>
      <c r="AA91">
        <f t="shared" si="31"/>
        <v>-4.7161330840594928E-8</v>
      </c>
      <c r="AB91">
        <f t="shared" si="32"/>
        <v>1.5319849834416488E-4</v>
      </c>
      <c r="AC91">
        <v>627.08447248755317</v>
      </c>
      <c r="AD91">
        <f t="shared" si="33"/>
        <v>4317.6856869005624</v>
      </c>
      <c r="AE91">
        <f>+gettm2(AD91,AC91,AK91,AL91,テーブル2[[#This Row],[Fcorr]])</f>
        <v>579.46167083688988</v>
      </c>
      <c r="AF91" s="14">
        <f t="shared" si="34"/>
        <v>2.7084468001703499E-7</v>
      </c>
      <c r="AG91">
        <v>1.5331730843342611E-4</v>
      </c>
      <c r="AH91">
        <f t="shared" si="35"/>
        <v>7.9205359725476043</v>
      </c>
      <c r="AI91">
        <f t="shared" si="36"/>
        <v>0.10867069032704717</v>
      </c>
      <c r="AJ91">
        <f t="shared" si="37"/>
        <v>141.64155002078115</v>
      </c>
      <c r="AK91">
        <f t="array" ref="AK91">+S91*テーブル2[[#This Row],[F_form]]/(E91*CpFromTP((テーブル2[[#This Row],[Tin]]+テーブル2[[#This Row],[Tf]])/2,テーブル2[[#This Row],[P]])*AI91)</f>
        <v>2.0131418366618776</v>
      </c>
      <c r="AL91">
        <f t="shared" si="38"/>
        <v>0.97698909779095466</v>
      </c>
      <c r="AM91">
        <f t="shared" si="39"/>
        <v>591.59844215540386</v>
      </c>
      <c r="AN91">
        <f t="shared" si="40"/>
        <v>1.9676008378155529E-8</v>
      </c>
      <c r="AO91">
        <f t="shared" si="41"/>
        <v>1.1881008926123014E-7</v>
      </c>
      <c r="AP91">
        <v>2.004481835088249</v>
      </c>
      <c r="AQ91">
        <f t="shared" si="42"/>
        <v>2.7410841002442165E-4</v>
      </c>
      <c r="AR91">
        <f t="shared" si="43"/>
        <v>7.6718059261343669E-5</v>
      </c>
      <c r="AS91">
        <f t="shared" si="44"/>
        <v>70.875656110812386</v>
      </c>
      <c r="AT91">
        <f t="shared" si="45"/>
        <v>16.152317548251201</v>
      </c>
      <c r="AU91">
        <f t="shared" si="46"/>
        <v>1.755283498350136</v>
      </c>
      <c r="AV91">
        <f t="shared" si="47"/>
        <v>0.24919833673811298</v>
      </c>
      <c r="AW91">
        <f t="shared" si="48"/>
        <v>7.8372967922635525E-2</v>
      </c>
      <c r="AX91">
        <f t="shared" si="49"/>
        <v>0.24919833287258167</v>
      </c>
      <c r="AY91">
        <f t="shared" si="50"/>
        <v>3.8655313117086365E-9</v>
      </c>
      <c r="AZ91">
        <f t="shared" si="51"/>
        <v>1251724.7889458733</v>
      </c>
      <c r="BA91">
        <f t="shared" si="52"/>
        <v>1.3674776454751649E-4</v>
      </c>
      <c r="BB91" s="15">
        <f t="shared" si="53"/>
        <v>729409.90843988908</v>
      </c>
      <c r="BC91" s="20">
        <f t="shared" si="54"/>
        <v>2821.6922586390283</v>
      </c>
      <c r="BD91" s="19">
        <f t="shared" si="55"/>
        <v>0.38834819995692677</v>
      </c>
      <c r="BE91" s="15">
        <v>1463730.1057092501</v>
      </c>
      <c r="BF91" s="16">
        <f>テーブル2[[#This Row],[q_P]]/テーブル2[[#This Row],[q_M]]</f>
        <v>0.49832267956697773</v>
      </c>
      <c r="BG91">
        <v>1</v>
      </c>
      <c r="BH91">
        <v>0.39800000000000002</v>
      </c>
      <c r="BI91">
        <v>4.5999999999999999E-2</v>
      </c>
      <c r="BJ91">
        <v>5625</v>
      </c>
      <c r="BK91" s="22">
        <v>1</v>
      </c>
      <c r="BL91">
        <f>テーブル2[[#This Row],[Ts]]-テーブル2[[#This Row],[Tin]]</f>
        <v>84.118292588498889</v>
      </c>
      <c r="BM91">
        <f>テーブル2[[#This Row],[q_P]]*0.000001</f>
        <v>0.72940990843988907</v>
      </c>
      <c r="BN91">
        <f>テーブル2[[#This Row],[Tsub]]</f>
        <v>84.118292588498889</v>
      </c>
      <c r="BO91">
        <f>テーブル2[[#This Row],[Fcorr]]</f>
        <v>1</v>
      </c>
      <c r="BP91">
        <f>(テーブル2[[#This Row],[Tsub]]-40)^2</f>
        <v>1946.423740924396</v>
      </c>
      <c r="BQ91">
        <v>1</v>
      </c>
      <c r="BR91">
        <v>1.524</v>
      </c>
    </row>
    <row r="92" spans="1:70" x14ac:dyDescent="0.15">
      <c r="A92" s="9" t="s">
        <v>160</v>
      </c>
      <c r="B92">
        <v>11100559.2420011</v>
      </c>
      <c r="C92" s="22">
        <f t="array" ref="C92">TsatFromP(テーブル2[[#This Row],[P]])</f>
        <v>591.82497032118886</v>
      </c>
      <c r="D92">
        <f t="array" ref="D92">RhoGFromP(テーブル2[[#This Row],[P]])</f>
        <v>63.378233975119002</v>
      </c>
      <c r="E92">
        <f t="array" ref="E92">RhoFFromP(テーブル2[[#This Row],[P]])</f>
        <v>670.12820906723414</v>
      </c>
      <c r="F92">
        <f t="array" ref="F92">HgFromP(テーブル2[[#This Row],[P]])</f>
        <v>2703979.5892605507</v>
      </c>
      <c r="G92">
        <f t="array" ref="G92">HfFromP(テーブル2[[#This Row],[P]])</f>
        <v>1454391.7967250969</v>
      </c>
      <c r="H92">
        <f t="array" ref="H92">MuGFromP(テーブル2[[#This Row],[P]])</f>
        <v>2.0692641283812112E-5</v>
      </c>
      <c r="I92">
        <f t="array" ref="I92">MuFFromP(テーブル2[[#This Row],[P]])</f>
        <v>7.8806774773375072E-5</v>
      </c>
      <c r="J92">
        <f t="array" ref="J92">KfFromP(テーブル2[[#This Row],[P]])</f>
        <v>0.52222065348031665</v>
      </c>
      <c r="K92">
        <f t="array" ref="K92">CpFFromP(テーブル2[[#This Row],[P]])</f>
        <v>6484.9344403701325</v>
      </c>
      <c r="L92">
        <f t="array" ref="L92">SigmaFromP(テーブル2[[#This Row],[P]])</f>
        <v>1.0062941482822316E-2</v>
      </c>
      <c r="M92">
        <v>91</v>
      </c>
      <c r="N92">
        <v>1017.17242424647</v>
      </c>
      <c r="O92" s="8">
        <f t="shared" si="56"/>
        <v>6.8620353649299532E-5</v>
      </c>
      <c r="P92" s="8">
        <f t="shared" si="57"/>
        <v>2.9365094851634514E-2</v>
      </c>
      <c r="Q92" s="8">
        <v>9.3472E-3</v>
      </c>
      <c r="R92">
        <v>1.524</v>
      </c>
      <c r="S92" s="15">
        <v>251440.26521874999</v>
      </c>
      <c r="T92">
        <v>563.20065007780795</v>
      </c>
      <c r="U92" s="12">
        <f>+T92+BG92*S92*テーブル2[[#This Row],[Pw]]*R92/(N92*O92*K92)</f>
        <v>588.06047589334594</v>
      </c>
      <c r="V92">
        <v>0.03</v>
      </c>
      <c r="W92" s="8">
        <f t="shared" si="28"/>
        <v>120645.89765610851</v>
      </c>
      <c r="X92">
        <v>4.1016077268350139E-2</v>
      </c>
      <c r="Y92">
        <f t="shared" si="29"/>
        <v>4.9376799756223537</v>
      </c>
      <c r="Z92">
        <f t="shared" si="30"/>
        <v>4.9376800182882841</v>
      </c>
      <c r="AA92">
        <f t="shared" si="31"/>
        <v>-4.2665930344298886E-8</v>
      </c>
      <c r="AB92">
        <f t="shared" si="32"/>
        <v>1.5254950471217183E-4</v>
      </c>
      <c r="AC92">
        <v>602.81274499643939</v>
      </c>
      <c r="AD92">
        <f t="shared" si="33"/>
        <v>4319.3125504361979</v>
      </c>
      <c r="AE92">
        <f>+gettm2(AD92,AC92,AK92,AL92,テーブル2[[#This Row],[Fcorr]])</f>
        <v>588.06047589334594</v>
      </c>
      <c r="AF92" s="14">
        <f t="shared" si="34"/>
        <v>0</v>
      </c>
      <c r="AG92">
        <v>1.5259053051571881E-4</v>
      </c>
      <c r="AH92">
        <f t="shared" si="35"/>
        <v>7.9158105443676883</v>
      </c>
      <c r="AI92">
        <f t="shared" si="36"/>
        <v>0.10868478377249091</v>
      </c>
      <c r="AJ92">
        <f t="shared" si="37"/>
        <v>141.02323552170961</v>
      </c>
      <c r="AK92">
        <f t="array" ref="AK92">+S92*テーブル2[[#This Row],[F_form]]/(E92*CpFromTP((テーブル2[[#This Row],[Tin]]+テーブル2[[#This Row],[Tf]])/2,テーブル2[[#This Row],[P]])*AI92)</f>
        <v>0.62319530768709241</v>
      </c>
      <c r="AL92">
        <f t="shared" si="38"/>
        <v>0.97862228247089933</v>
      </c>
      <c r="AM92">
        <f t="shared" si="39"/>
        <v>591.82497029275578</v>
      </c>
      <c r="AN92">
        <f t="shared" si="40"/>
        <v>2.8433078114176169E-8</v>
      </c>
      <c r="AO92">
        <f t="shared" si="41"/>
        <v>4.1025803546984032E-8</v>
      </c>
      <c r="AP92">
        <v>2.0027780608324952</v>
      </c>
      <c r="AQ92">
        <f t="shared" si="42"/>
        <v>2.7223569252637496E-4</v>
      </c>
      <c r="AR92">
        <f t="shared" si="43"/>
        <v>7.6315778159632898E-5</v>
      </c>
      <c r="AS92">
        <f t="shared" si="44"/>
        <v>70.530575659279165</v>
      </c>
      <c r="AT92">
        <f t="shared" si="45"/>
        <v>16.140115782733687</v>
      </c>
      <c r="AU92">
        <f t="shared" si="46"/>
        <v>1.7541849939093788</v>
      </c>
      <c r="AV92">
        <f t="shared" si="47"/>
        <v>0.24859306692311645</v>
      </c>
      <c r="AW92">
        <f t="shared" si="48"/>
        <v>7.8176278185764739E-2</v>
      </c>
      <c r="AX92">
        <f t="shared" si="49"/>
        <v>0.24859306340225407</v>
      </c>
      <c r="AY92">
        <f t="shared" si="50"/>
        <v>3.5208623794247274E-9</v>
      </c>
      <c r="AZ92">
        <f t="shared" si="51"/>
        <v>1249587.7925354538</v>
      </c>
      <c r="BA92">
        <f t="shared" si="52"/>
        <v>1.3592903669676443E-4</v>
      </c>
      <c r="BB92" s="15">
        <f t="shared" si="53"/>
        <v>252737.41006223706</v>
      </c>
      <c r="BC92" s="20">
        <f t="shared" si="54"/>
        <v>1297.144843487069</v>
      </c>
      <c r="BD92" s="19">
        <f t="shared" si="55"/>
        <v>0.51588588739300312</v>
      </c>
      <c r="BE92" s="15">
        <v>1117356.04190133</v>
      </c>
      <c r="BF92" s="16">
        <f>テーブル2[[#This Row],[q_P]]/テーブル2[[#This Row],[q_M]]</f>
        <v>0.22619236893566239</v>
      </c>
      <c r="BG92">
        <v>1</v>
      </c>
      <c r="BH92">
        <v>0.44</v>
      </c>
      <c r="BI92">
        <v>4.5999999999999999E-2</v>
      </c>
      <c r="BJ92">
        <v>5625</v>
      </c>
      <c r="BK92" s="22">
        <v>1</v>
      </c>
      <c r="BL92">
        <f>テーブル2[[#This Row],[Ts]]-テーブル2[[#This Row],[Tin]]</f>
        <v>28.624320243380907</v>
      </c>
      <c r="BM92">
        <f>テーブル2[[#This Row],[q_P]]*0.000001</f>
        <v>0.25273741006223704</v>
      </c>
      <c r="BN92">
        <f>テーブル2[[#This Row],[Tsub]]</f>
        <v>28.624320243380907</v>
      </c>
      <c r="BO92">
        <f>テーブル2[[#This Row],[Fcorr]]</f>
        <v>1</v>
      </c>
      <c r="BP92">
        <f>(テーブル2[[#This Row],[Tsub]]-40)^2</f>
        <v>129.40608992515342</v>
      </c>
      <c r="BQ92">
        <v>1</v>
      </c>
      <c r="BR92">
        <v>1.524</v>
      </c>
    </row>
    <row r="93" spans="1:70" x14ac:dyDescent="0.15">
      <c r="A93" s="9" t="s">
        <v>161</v>
      </c>
      <c r="B93">
        <v>11100559.2420011</v>
      </c>
      <c r="C93" s="22">
        <f t="array" ref="C93">TsatFromP(テーブル2[[#This Row],[P]])</f>
        <v>591.82497032118886</v>
      </c>
      <c r="D93">
        <f t="array" ref="D93">RhoGFromP(テーブル2[[#This Row],[P]])</f>
        <v>63.378233975119002</v>
      </c>
      <c r="E93">
        <f t="array" ref="E93">RhoFFromP(テーブル2[[#This Row],[P]])</f>
        <v>670.12820906723414</v>
      </c>
      <c r="F93">
        <f t="array" ref="F93">HgFromP(テーブル2[[#This Row],[P]])</f>
        <v>2703979.5892605507</v>
      </c>
      <c r="G93">
        <f t="array" ref="G93">HfFromP(テーブル2[[#This Row],[P]])</f>
        <v>1454391.7967250969</v>
      </c>
      <c r="H93">
        <f t="array" ref="H93">MuGFromP(テーブル2[[#This Row],[P]])</f>
        <v>2.0692641283812112E-5</v>
      </c>
      <c r="I93">
        <f t="array" ref="I93">MuFFromP(テーブル2[[#This Row],[P]])</f>
        <v>7.8806774773375072E-5</v>
      </c>
      <c r="J93">
        <f t="array" ref="J93">KfFromP(テーブル2[[#This Row],[P]])</f>
        <v>0.52222065348031665</v>
      </c>
      <c r="K93">
        <f t="array" ref="K93">CpFFromP(テーブル2[[#This Row],[P]])</f>
        <v>6484.9344403701325</v>
      </c>
      <c r="L93">
        <f t="array" ref="L93">SigmaFromP(テーブル2[[#This Row],[P]])</f>
        <v>1.0062941482822316E-2</v>
      </c>
      <c r="M93">
        <v>92</v>
      </c>
      <c r="N93">
        <v>1017.17242424647</v>
      </c>
      <c r="O93" s="8">
        <f t="shared" si="56"/>
        <v>6.8620353649299532E-5</v>
      </c>
      <c r="P93" s="8">
        <f t="shared" si="57"/>
        <v>2.9365094851634514E-2</v>
      </c>
      <c r="Q93" s="8">
        <v>9.3472E-3</v>
      </c>
      <c r="R93">
        <v>1.524</v>
      </c>
      <c r="S93" s="15">
        <v>251440.26521874999</v>
      </c>
      <c r="T93">
        <v>563.20065007780795</v>
      </c>
      <c r="U93" s="12">
        <f>+T93+BG93*S93*テーブル2[[#This Row],[Pw]]*R93/(N93*O93*K93)</f>
        <v>588.06047589334594</v>
      </c>
      <c r="V93">
        <v>0.03</v>
      </c>
      <c r="W93" s="8">
        <f t="shared" si="28"/>
        <v>120645.89765610851</v>
      </c>
      <c r="X93">
        <v>4.1016077268350139E-2</v>
      </c>
      <c r="Y93">
        <f t="shared" si="29"/>
        <v>4.9376799756223537</v>
      </c>
      <c r="Z93">
        <f t="shared" si="30"/>
        <v>4.9376800182882841</v>
      </c>
      <c r="AA93">
        <f t="shared" si="31"/>
        <v>-4.2665930344298886E-8</v>
      </c>
      <c r="AB93">
        <f t="shared" si="32"/>
        <v>1.5254950471217183E-4</v>
      </c>
      <c r="AC93">
        <v>602.81274499643939</v>
      </c>
      <c r="AD93">
        <f t="shared" si="33"/>
        <v>4319.3125504361979</v>
      </c>
      <c r="AE93">
        <f>+gettm2(AD93,AC93,AK93,AL93,テーブル2[[#This Row],[Fcorr]])</f>
        <v>588.06047589334594</v>
      </c>
      <c r="AF93" s="14">
        <f t="shared" si="34"/>
        <v>0</v>
      </c>
      <c r="AG93">
        <v>1.5259053051571881E-4</v>
      </c>
      <c r="AH93">
        <f t="shared" si="35"/>
        <v>7.9158105443676883</v>
      </c>
      <c r="AI93">
        <f t="shared" si="36"/>
        <v>0.10868478377249091</v>
      </c>
      <c r="AJ93">
        <f t="shared" si="37"/>
        <v>141.02323552170961</v>
      </c>
      <c r="AK93">
        <f t="array" ref="AK93">+S93*テーブル2[[#This Row],[F_form]]/(E93*CpFromTP((テーブル2[[#This Row],[Tin]]+テーブル2[[#This Row],[Tf]])/2,テーブル2[[#This Row],[P]])*AI93)</f>
        <v>0.62319530768709241</v>
      </c>
      <c r="AL93">
        <f t="shared" si="38"/>
        <v>0.97862228247089933</v>
      </c>
      <c r="AM93">
        <f t="shared" si="39"/>
        <v>591.82497029275578</v>
      </c>
      <c r="AN93">
        <f t="shared" si="40"/>
        <v>2.8433078114176169E-8</v>
      </c>
      <c r="AO93">
        <f t="shared" si="41"/>
        <v>4.1025803546984032E-8</v>
      </c>
      <c r="AP93">
        <v>2.0027780608324952</v>
      </c>
      <c r="AQ93">
        <f t="shared" si="42"/>
        <v>2.7223569252637496E-4</v>
      </c>
      <c r="AR93">
        <f t="shared" si="43"/>
        <v>7.6315778159632898E-5</v>
      </c>
      <c r="AS93">
        <f t="shared" si="44"/>
        <v>70.530575659279165</v>
      </c>
      <c r="AT93">
        <f t="shared" si="45"/>
        <v>16.140115782733687</v>
      </c>
      <c r="AU93">
        <f t="shared" si="46"/>
        <v>1.7541849939093788</v>
      </c>
      <c r="AV93">
        <f t="shared" si="47"/>
        <v>0.24859306692311645</v>
      </c>
      <c r="AW93">
        <f t="shared" si="48"/>
        <v>7.8176278185764739E-2</v>
      </c>
      <c r="AX93">
        <f t="shared" si="49"/>
        <v>0.24859306340225407</v>
      </c>
      <c r="AY93">
        <f t="shared" si="50"/>
        <v>3.5208623794247274E-9</v>
      </c>
      <c r="AZ93">
        <f t="shared" si="51"/>
        <v>1249587.7925354538</v>
      </c>
      <c r="BA93">
        <f t="shared" si="52"/>
        <v>1.3592903669676443E-4</v>
      </c>
      <c r="BB93" s="15">
        <f t="shared" si="53"/>
        <v>252737.41006223706</v>
      </c>
      <c r="BC93" s="20">
        <f t="shared" si="54"/>
        <v>1297.144843487069</v>
      </c>
      <c r="BD93" s="19">
        <f t="shared" si="55"/>
        <v>0.51588588739300312</v>
      </c>
      <c r="BE93" s="15">
        <v>1123980.68246596</v>
      </c>
      <c r="BF93" s="16">
        <f>テーブル2[[#This Row],[q_P]]/テーブル2[[#This Row],[q_M]]</f>
        <v>0.22485921155490254</v>
      </c>
      <c r="BG93">
        <v>1</v>
      </c>
      <c r="BH93">
        <v>0.44400000000000001</v>
      </c>
      <c r="BI93">
        <v>4.5999999999999999E-2</v>
      </c>
      <c r="BJ93">
        <v>5625</v>
      </c>
      <c r="BK93" s="22">
        <v>1</v>
      </c>
      <c r="BL93">
        <f>テーブル2[[#This Row],[Ts]]-テーブル2[[#This Row],[Tin]]</f>
        <v>28.624320243380907</v>
      </c>
      <c r="BM93">
        <f>テーブル2[[#This Row],[q_P]]*0.000001</f>
        <v>0.25273741006223704</v>
      </c>
      <c r="BN93">
        <f>テーブル2[[#This Row],[Tsub]]</f>
        <v>28.624320243380907</v>
      </c>
      <c r="BO93">
        <f>テーブル2[[#This Row],[Fcorr]]</f>
        <v>1</v>
      </c>
      <c r="BP93">
        <f>(テーブル2[[#This Row],[Tsub]]-40)^2</f>
        <v>129.40608992515342</v>
      </c>
      <c r="BQ93">
        <v>1</v>
      </c>
      <c r="BR93">
        <v>1.524</v>
      </c>
    </row>
    <row r="94" spans="1:70" x14ac:dyDescent="0.15">
      <c r="A94" s="9" t="s">
        <v>162</v>
      </c>
      <c r="B94">
        <v>10997137.8826035</v>
      </c>
      <c r="C94" s="22">
        <f t="array" ref="C94">TsatFromP(テーブル2[[#This Row],[P]])</f>
        <v>591.14538588286257</v>
      </c>
      <c r="D94">
        <f t="array" ref="D94">RhoGFromP(テーブル2[[#This Row],[P]])</f>
        <v>62.591709712512611</v>
      </c>
      <c r="E94">
        <f t="array" ref="E94">RhoFFromP(テーブル2[[#This Row],[P]])</f>
        <v>671.85012637514694</v>
      </c>
      <c r="F94">
        <f t="array" ref="F94">HgFromP(テーブル2[[#This Row],[P]])</f>
        <v>2706154.0000695144</v>
      </c>
      <c r="G94">
        <f t="array" ref="G94">HfFromP(テーブル2[[#This Row],[P]])</f>
        <v>1450155.2183028094</v>
      </c>
      <c r="H94">
        <f t="array" ref="H94">MuGFromP(テーブル2[[#This Row],[P]])</f>
        <v>2.0644130954317771E-5</v>
      </c>
      <c r="I94">
        <f t="array" ref="I94">MuFFromP(テーブル2[[#This Row],[P]])</f>
        <v>7.9067733661598914E-5</v>
      </c>
      <c r="J94">
        <f t="array" ref="J94">KfFromP(テーブル2[[#This Row],[P]])</f>
        <v>0.52342986170916894</v>
      </c>
      <c r="K94">
        <f t="array" ref="K94">CpFFromP(テーブル2[[#This Row],[P]])</f>
        <v>6446.0268474749828</v>
      </c>
      <c r="L94">
        <f t="array" ref="L94">SigmaFromP(テーブル2[[#This Row],[P]])</f>
        <v>1.0209472461236048E-2</v>
      </c>
      <c r="M94">
        <v>93</v>
      </c>
      <c r="N94">
        <v>2034.3448484929399</v>
      </c>
      <c r="O94" s="8">
        <f t="shared" si="56"/>
        <v>6.8620353649299532E-5</v>
      </c>
      <c r="P94" s="8">
        <f t="shared" si="57"/>
        <v>2.9365094851634514E-2</v>
      </c>
      <c r="Q94" s="8">
        <v>9.3472E-3</v>
      </c>
      <c r="R94">
        <v>1.524</v>
      </c>
      <c r="S94" s="15">
        <v>1299408.29296875</v>
      </c>
      <c r="T94">
        <v>508.01717724928898</v>
      </c>
      <c r="U94" s="12">
        <f>+T94+BG94*S94*テーブル2[[#This Row],[Pw]]*R94/(N94*O94*K94)</f>
        <v>572.64095967848402</v>
      </c>
      <c r="V94">
        <v>0.03</v>
      </c>
      <c r="W94" s="8">
        <f t="shared" si="28"/>
        <v>240495.42445742936</v>
      </c>
      <c r="X94">
        <v>2.9492300038704899E-2</v>
      </c>
      <c r="Y94">
        <f t="shared" si="29"/>
        <v>5.8229850920735604</v>
      </c>
      <c r="Z94">
        <f t="shared" si="30"/>
        <v>5.8229851049200771</v>
      </c>
      <c r="AA94">
        <f t="shared" si="31"/>
        <v>-1.2846516739273284E-8</v>
      </c>
      <c r="AB94">
        <f t="shared" si="32"/>
        <v>5.3949714119411331E-5</v>
      </c>
      <c r="AC94">
        <v>626.04803472220203</v>
      </c>
      <c r="AD94">
        <f t="shared" si="33"/>
        <v>7301.0639212210572</v>
      </c>
      <c r="AE94">
        <f>+gettm2(AD94,AC94,AK94,AL94,テーブル2[[#This Row],[Fcorr]])</f>
        <v>572.64095993896433</v>
      </c>
      <c r="AF94" s="14">
        <f t="shared" si="34"/>
        <v>2.6048030576930614E-7</v>
      </c>
      <c r="AG94">
        <v>5.4012325329541969E-5</v>
      </c>
      <c r="AH94">
        <f t="shared" si="35"/>
        <v>22.708863528667269</v>
      </c>
      <c r="AI94">
        <f t="shared" si="36"/>
        <v>0.18384909593292045</v>
      </c>
      <c r="AJ94">
        <f t="shared" si="37"/>
        <v>84.377661709340359</v>
      </c>
      <c r="AK94">
        <f t="array" ref="AK94">+S94*テーブル2[[#This Row],[F_form]]/(E94*CpFromTP((テーブル2[[#This Row],[Tin]]+テーブル2[[#This Row],[Tf]])/2,テーブル2[[#This Row],[P]])*AI94)</f>
        <v>2.1410147180321699</v>
      </c>
      <c r="AL94">
        <f t="shared" si="38"/>
        <v>0.97371734254408138</v>
      </c>
      <c r="AM94">
        <f t="shared" si="39"/>
        <v>591.14538578752297</v>
      </c>
      <c r="AN94">
        <f t="shared" si="40"/>
        <v>9.5339601102750748E-8</v>
      </c>
      <c r="AO94">
        <f t="shared" si="41"/>
        <v>6.2611210130637731E-8</v>
      </c>
      <c r="AP94">
        <v>3.0139892426275532</v>
      </c>
      <c r="AQ94">
        <f t="shared" si="42"/>
        <v>1.2332978216019188E-4</v>
      </c>
      <c r="AR94">
        <f t="shared" si="43"/>
        <v>2.7037468269836303E-5</v>
      </c>
      <c r="AS94">
        <f t="shared" si="44"/>
        <v>42.237736243166069</v>
      </c>
      <c r="AT94">
        <f t="shared" si="45"/>
        <v>14.858285113084472</v>
      </c>
      <c r="AU94">
        <f t="shared" si="46"/>
        <v>2.7316822851541511</v>
      </c>
      <c r="AV94">
        <f t="shared" si="47"/>
        <v>0.28230695747340206</v>
      </c>
      <c r="AW94">
        <f t="shared" si="48"/>
        <v>2.7504898347383084E-2</v>
      </c>
      <c r="AX94">
        <f t="shared" si="49"/>
        <v>0.28230694540041895</v>
      </c>
      <c r="AY94">
        <f t="shared" si="50"/>
        <v>1.2072983113231572E-8</v>
      </c>
      <c r="AZ94">
        <f t="shared" si="51"/>
        <v>1255998.781766705</v>
      </c>
      <c r="BA94">
        <f t="shared" si="52"/>
        <v>4.0919118229060005E-5</v>
      </c>
      <c r="BB94" s="15">
        <f t="shared" si="53"/>
        <v>1291181.969120828</v>
      </c>
      <c r="BC94" s="20">
        <f t="shared" si="54"/>
        <v>-8226.3238479220308</v>
      </c>
      <c r="BD94" s="19">
        <f t="shared" si="55"/>
        <v>-0.63308229541366101</v>
      </c>
      <c r="BE94" s="15">
        <v>1988969.46476225</v>
      </c>
      <c r="BF94" s="16">
        <f>テーブル2[[#This Row],[q_P]]/テーブル2[[#This Row],[q_M]]</f>
        <v>0.64917133822120721</v>
      </c>
      <c r="BG94">
        <v>1</v>
      </c>
      <c r="BH94">
        <v>0.151</v>
      </c>
      <c r="BI94">
        <v>4.5999999999999999E-2</v>
      </c>
      <c r="BJ94">
        <v>5625</v>
      </c>
      <c r="BK94" s="22">
        <v>1</v>
      </c>
      <c r="BL94">
        <f>テーブル2[[#This Row],[Ts]]-テーブル2[[#This Row],[Tin]]</f>
        <v>83.128208633573593</v>
      </c>
      <c r="BM94">
        <f>テーブル2[[#This Row],[q_P]]*0.000001</f>
        <v>1.2911819691208279</v>
      </c>
      <c r="BN94">
        <f>テーブル2[[#This Row],[Tsub]]</f>
        <v>83.128208633573593</v>
      </c>
      <c r="BO94">
        <f>テーブル2[[#This Row],[Fcorr]]</f>
        <v>1</v>
      </c>
      <c r="BP94">
        <f>(テーブル2[[#This Row],[Tsub]]-40)^2</f>
        <v>1860.0423799410519</v>
      </c>
      <c r="BQ94">
        <v>1</v>
      </c>
      <c r="BR94">
        <v>1.524</v>
      </c>
    </row>
    <row r="95" spans="1:70" x14ac:dyDescent="0.15">
      <c r="A95" s="9" t="s">
        <v>163</v>
      </c>
      <c r="B95">
        <v>11031611.6690694</v>
      </c>
      <c r="C95" s="22">
        <f t="array" ref="C95">TsatFromP(テーブル2[[#This Row],[P]])</f>
        <v>591.37191402897156</v>
      </c>
      <c r="D95">
        <f t="array" ref="D95">RhoGFromP(テーブル2[[#This Row],[P]])</f>
        <v>62.853884466714995</v>
      </c>
      <c r="E95">
        <f t="array" ref="E95">RhoFFromP(テーブル2[[#This Row],[P]])</f>
        <v>671.2761539391754</v>
      </c>
      <c r="F95">
        <f t="array" ref="F95">HgFromP(テーブル2[[#This Row],[P]])</f>
        <v>2705429.1964665256</v>
      </c>
      <c r="G95">
        <f t="array" ref="G95">HfFromP(テーブル2[[#This Row],[P]])</f>
        <v>1451567.41111024</v>
      </c>
      <c r="H95">
        <f t="array" ref="H95">MuGFromP(テーブル2[[#This Row],[P]])</f>
        <v>2.0660301064149233E-5</v>
      </c>
      <c r="I95">
        <f t="array" ref="I95">MuFFromP(テーブル2[[#This Row],[P]])</f>
        <v>7.898074736552421E-5</v>
      </c>
      <c r="J95">
        <f t="array" ref="J95">KfFromP(テーブル2[[#This Row],[P]])</f>
        <v>0.52302679229955118</v>
      </c>
      <c r="K95">
        <f t="array" ref="K95">CpFFromP(テーブル2[[#This Row],[P]])</f>
        <v>6458.9960451067118</v>
      </c>
      <c r="L95">
        <f t="array" ref="L95">SigmaFromP(テーブル2[[#This Row],[P]])</f>
        <v>1.0160628801764757E-2</v>
      </c>
      <c r="M95">
        <v>94</v>
      </c>
      <c r="N95">
        <v>2034.3448484929399</v>
      </c>
      <c r="O95" s="8">
        <f t="shared" si="56"/>
        <v>6.8620353649299532E-5</v>
      </c>
      <c r="P95" s="8">
        <f t="shared" si="57"/>
        <v>2.9365094851634514E-2</v>
      </c>
      <c r="Q95" s="8">
        <v>9.3472E-3</v>
      </c>
      <c r="R95">
        <v>1.524</v>
      </c>
      <c r="S95" s="15">
        <v>451398.55546875001</v>
      </c>
      <c r="T95">
        <v>563.22085425488206</v>
      </c>
      <c r="U95" s="12">
        <f>+T95+BG95*S95*テーブル2[[#This Row],[Pw]]*R95/(N95*O95*K95)</f>
        <v>585.62528923410446</v>
      </c>
      <c r="V95">
        <v>0.03</v>
      </c>
      <c r="W95" s="8">
        <f t="shared" si="28"/>
        <v>240760.29668128473</v>
      </c>
      <c r="X95">
        <v>2.945536501496401E-2</v>
      </c>
      <c r="Y95">
        <f t="shared" si="29"/>
        <v>5.8266347618926959</v>
      </c>
      <c r="Z95">
        <f t="shared" si="30"/>
        <v>5.8266347737278812</v>
      </c>
      <c r="AA95">
        <f t="shared" si="31"/>
        <v>-1.1835185276254379E-8</v>
      </c>
      <c r="AB95">
        <f t="shared" si="32"/>
        <v>5.37130090298092E-5</v>
      </c>
      <c r="AC95">
        <v>602.19725747098698</v>
      </c>
      <c r="AD95">
        <f t="shared" si="33"/>
        <v>7304.5267714927313</v>
      </c>
      <c r="AE95">
        <f>+gettm2(AD95,AC95,AK95,AL95,テーブル2[[#This Row],[Fcorr]])</f>
        <v>585.62528923410434</v>
      </c>
      <c r="AF95" s="14">
        <f t="shared" si="34"/>
        <v>0</v>
      </c>
      <c r="AG95">
        <v>5.3734838739493329E-5</v>
      </c>
      <c r="AH95">
        <f t="shared" si="35"/>
        <v>22.699816640976252</v>
      </c>
      <c r="AI95">
        <f t="shared" si="36"/>
        <v>0.18389103818348951</v>
      </c>
      <c r="AJ95">
        <f t="shared" si="37"/>
        <v>83.983988388923677</v>
      </c>
      <c r="AK95">
        <f t="array" ref="AK95">+S95*テーブル2[[#This Row],[F_form]]/(E95*CpFromTP((テーブル2[[#This Row],[Tin]]+テーブル2[[#This Row],[Tf]])/2,テーブル2[[#This Row],[P]])*AI95)</f>
        <v>0.66391238979576006</v>
      </c>
      <c r="AL95">
        <f t="shared" si="38"/>
        <v>0.97535411643181125</v>
      </c>
      <c r="AM95">
        <f t="shared" si="39"/>
        <v>591.37191400379754</v>
      </c>
      <c r="AN95">
        <f t="shared" si="40"/>
        <v>2.5174017537210602E-8</v>
      </c>
      <c r="AO95">
        <f t="shared" si="41"/>
        <v>2.182970968412864E-8</v>
      </c>
      <c r="AP95">
        <v>3.011454611463753</v>
      </c>
      <c r="AQ95">
        <f t="shared" si="42"/>
        <v>1.2248628476811517E-4</v>
      </c>
      <c r="AR95">
        <f t="shared" si="43"/>
        <v>2.6878334224588729E-5</v>
      </c>
      <c r="AS95">
        <f t="shared" si="44"/>
        <v>42.00905338853083</v>
      </c>
      <c r="AT95">
        <f t="shared" si="45"/>
        <v>14.844712879810265</v>
      </c>
      <c r="AU95">
        <f t="shared" si="46"/>
        <v>2.729809663004128</v>
      </c>
      <c r="AV95">
        <f t="shared" si="47"/>
        <v>0.28164494845962507</v>
      </c>
      <c r="AW95">
        <f t="shared" si="48"/>
        <v>2.7431118692853366E-2</v>
      </c>
      <c r="AX95">
        <f t="shared" si="49"/>
        <v>0.28164493660667</v>
      </c>
      <c r="AY95">
        <f t="shared" si="50"/>
        <v>1.1852955061897319E-8</v>
      </c>
      <c r="AZ95">
        <f t="shared" si="51"/>
        <v>1253861.7853562855</v>
      </c>
      <c r="BA95">
        <f t="shared" si="52"/>
        <v>4.0673462021258642E-5</v>
      </c>
      <c r="BB95" s="15">
        <f t="shared" si="53"/>
        <v>451739.12483486487</v>
      </c>
      <c r="BC95" s="20">
        <f t="shared" si="54"/>
        <v>340.56936611485435</v>
      </c>
      <c r="BD95" s="19">
        <f t="shared" si="55"/>
        <v>7.5447597691400178E-2</v>
      </c>
      <c r="BE95" s="15">
        <v>1385496.2552316899</v>
      </c>
      <c r="BF95" s="16">
        <f>テーブル2[[#This Row],[q_P]]/テーブル2[[#This Row],[q_M]]</f>
        <v>0.32604860758668935</v>
      </c>
      <c r="BG95">
        <v>1</v>
      </c>
      <c r="BH95">
        <v>0.224</v>
      </c>
      <c r="BI95">
        <v>4.5999999999999999E-2</v>
      </c>
      <c r="BJ95">
        <v>5625</v>
      </c>
      <c r="BK95" s="22">
        <v>1</v>
      </c>
      <c r="BL95">
        <f>テーブル2[[#This Row],[Ts]]-テーブル2[[#This Row],[Tin]]</f>
        <v>28.151059774089504</v>
      </c>
      <c r="BM95">
        <f>テーブル2[[#This Row],[q_P]]*0.000001</f>
        <v>0.45173912483486484</v>
      </c>
      <c r="BN95">
        <f>テーブル2[[#This Row],[Tsub]]</f>
        <v>28.151059774089504</v>
      </c>
      <c r="BO95">
        <f>テーブル2[[#This Row],[Fcorr]]</f>
        <v>1</v>
      </c>
      <c r="BP95">
        <f>(テーブル2[[#This Row],[Tsub]]-40)^2</f>
        <v>140.39738447719989</v>
      </c>
      <c r="BQ95">
        <v>1</v>
      </c>
      <c r="BR95">
        <v>1.524</v>
      </c>
    </row>
    <row r="96" spans="1:70" x14ac:dyDescent="0.15">
      <c r="A96" s="9" t="s">
        <v>164</v>
      </c>
      <c r="B96">
        <v>11031611.6690694</v>
      </c>
      <c r="C96" s="22">
        <f t="array" ref="C96">TsatFromP(テーブル2[[#This Row],[P]])</f>
        <v>591.37191402897156</v>
      </c>
      <c r="D96">
        <f t="array" ref="D96">RhoGFromP(テーブル2[[#This Row],[P]])</f>
        <v>62.853884466714995</v>
      </c>
      <c r="E96">
        <f t="array" ref="E96">RhoFFromP(テーブル2[[#This Row],[P]])</f>
        <v>671.2761539391754</v>
      </c>
      <c r="F96">
        <f t="array" ref="F96">HgFromP(テーブル2[[#This Row],[P]])</f>
        <v>2705429.1964665256</v>
      </c>
      <c r="G96">
        <f t="array" ref="G96">HfFromP(テーブル2[[#This Row],[P]])</f>
        <v>1451567.41111024</v>
      </c>
      <c r="H96">
        <f t="array" ref="H96">MuGFromP(テーブル2[[#This Row],[P]])</f>
        <v>2.0660301064149233E-5</v>
      </c>
      <c r="I96">
        <f t="array" ref="I96">MuFFromP(テーブル2[[#This Row],[P]])</f>
        <v>7.898074736552421E-5</v>
      </c>
      <c r="J96">
        <f t="array" ref="J96">KfFromP(テーブル2[[#This Row],[P]])</f>
        <v>0.52302679229955118</v>
      </c>
      <c r="K96">
        <f t="array" ref="K96">CpFFromP(テーブル2[[#This Row],[P]])</f>
        <v>6458.9960451067118</v>
      </c>
      <c r="L96">
        <f t="array" ref="L96">SigmaFromP(テーブル2[[#This Row],[P]])</f>
        <v>1.0160628801764757E-2</v>
      </c>
      <c r="M96">
        <v>95</v>
      </c>
      <c r="N96">
        <v>2034.3448484929399</v>
      </c>
      <c r="O96" s="8">
        <f t="shared" si="56"/>
        <v>6.8620353649299532E-5</v>
      </c>
      <c r="P96" s="8">
        <f t="shared" si="57"/>
        <v>2.9365094851634514E-2</v>
      </c>
      <c r="Q96" s="8">
        <v>9.3472E-3</v>
      </c>
      <c r="R96">
        <v>1.524</v>
      </c>
      <c r="S96" s="15">
        <v>2153254.4355937499</v>
      </c>
      <c r="T96">
        <v>451.67797883511702</v>
      </c>
      <c r="U96" s="12">
        <f>+T96+BG96*S96*テーブル2[[#This Row],[Pw]]*R96/(N96*O96*K96)</f>
        <v>558.55126943722269</v>
      </c>
      <c r="V96">
        <v>0.03</v>
      </c>
      <c r="W96" s="8">
        <f t="shared" si="28"/>
        <v>240760.29668128473</v>
      </c>
      <c r="X96">
        <v>2.945536501496401E-2</v>
      </c>
      <c r="Y96">
        <f t="shared" si="29"/>
        <v>5.8266347618926959</v>
      </c>
      <c r="Z96">
        <f t="shared" si="30"/>
        <v>5.8266347737278812</v>
      </c>
      <c r="AA96">
        <f t="shared" si="31"/>
        <v>-1.1835185276254379E-8</v>
      </c>
      <c r="AB96">
        <f t="shared" si="32"/>
        <v>5.37130090298092E-5</v>
      </c>
      <c r="AC96">
        <v>653.24085099632498</v>
      </c>
      <c r="AD96">
        <f t="shared" si="33"/>
        <v>7304.5267714927313</v>
      </c>
      <c r="AE96">
        <f>+gettm2(AD96,AC96,AK96,AL96,テーブル2[[#This Row],[Fcorr]])</f>
        <v>558.55126943722269</v>
      </c>
      <c r="AF96" s="14">
        <f t="shared" si="34"/>
        <v>0</v>
      </c>
      <c r="AG96">
        <v>5.3817922994773923E-5</v>
      </c>
      <c r="AH96">
        <f t="shared" si="35"/>
        <v>22.699816640976252</v>
      </c>
      <c r="AI96">
        <f t="shared" si="36"/>
        <v>0.18389103818348951</v>
      </c>
      <c r="AJ96">
        <f t="shared" si="37"/>
        <v>84.113843568439833</v>
      </c>
      <c r="AK96">
        <f t="array" ref="AK96">+S96*テーブル2[[#This Row],[F_form]]/(E96*CpFromTP((テーブル2[[#This Row],[Tin]]+テーブル2[[#This Row],[Tf]])/2,テーブル2[[#This Row],[P]])*AI96)</f>
        <v>3.7934894324591895</v>
      </c>
      <c r="AL96">
        <f t="shared" si="38"/>
        <v>0.97535411643181125</v>
      </c>
      <c r="AM96">
        <f t="shared" si="39"/>
        <v>591.37191387782025</v>
      </c>
      <c r="AN96">
        <f t="shared" si="40"/>
        <v>1.511513119112351E-7</v>
      </c>
      <c r="AO96">
        <f t="shared" si="41"/>
        <v>1.0491396496472297E-7</v>
      </c>
      <c r="AP96">
        <v>3.012752191221872</v>
      </c>
      <c r="AQ96">
        <f t="shared" si="42"/>
        <v>1.2238079882888006E-4</v>
      </c>
      <c r="AR96">
        <f t="shared" si="43"/>
        <v>2.6961418479869323E-5</v>
      </c>
      <c r="AS96">
        <f t="shared" si="44"/>
        <v>42.138908568046972</v>
      </c>
      <c r="AT96">
        <f t="shared" si="45"/>
        <v>14.852428769748402</v>
      </c>
      <c r="AU96">
        <f t="shared" si="46"/>
        <v>2.7312285460153616</v>
      </c>
      <c r="AV96">
        <f t="shared" si="47"/>
        <v>0.28152364520651041</v>
      </c>
      <c r="AW96">
        <f t="shared" si="48"/>
        <v>2.7431118692853366E-2</v>
      </c>
      <c r="AX96">
        <f t="shared" si="49"/>
        <v>0.28152363331136998</v>
      </c>
      <c r="AY96">
        <f t="shared" si="50"/>
        <v>1.1895140428208606E-8</v>
      </c>
      <c r="AZ96">
        <f t="shared" si="51"/>
        <v>1253861.7853562855</v>
      </c>
      <c r="BA96">
        <f t="shared" si="52"/>
        <v>4.0620930983124265E-5</v>
      </c>
      <c r="BB96" s="15">
        <f t="shared" si="53"/>
        <v>2173873.7275675829</v>
      </c>
      <c r="BC96" s="20">
        <f t="shared" si="54"/>
        <v>20619.291973832995</v>
      </c>
      <c r="BD96" s="19">
        <f t="shared" si="55"/>
        <v>0.95758734467194173</v>
      </c>
      <c r="BE96" s="15">
        <v>2603483.7419005302</v>
      </c>
      <c r="BF96" s="16">
        <f>テーブル2[[#This Row],[q_P]]/テーブル2[[#This Row],[q_M]]</f>
        <v>0.8349864808376587</v>
      </c>
      <c r="BG96">
        <v>1</v>
      </c>
      <c r="BH96">
        <v>0.11600000000000001</v>
      </c>
      <c r="BI96">
        <v>4.5999999999999999E-2</v>
      </c>
      <c r="BJ96">
        <v>5625</v>
      </c>
      <c r="BK96" s="22">
        <v>1</v>
      </c>
      <c r="BL96">
        <f>テーブル2[[#This Row],[Ts]]-テーブル2[[#This Row],[Tin]]</f>
        <v>139.69393519385454</v>
      </c>
      <c r="BM96">
        <f>テーブル2[[#This Row],[q_P]]*0.000001</f>
        <v>2.1738737275675826</v>
      </c>
      <c r="BN96">
        <f>テーブル2[[#This Row],[Tsub]]</f>
        <v>139.69393519385454</v>
      </c>
      <c r="BO96">
        <f>テーブル2[[#This Row],[Fcorr]]</f>
        <v>1</v>
      </c>
      <c r="BP96">
        <f>(テーブル2[[#This Row],[Tsub]]-40)^2</f>
        <v>9938.8807144364691</v>
      </c>
      <c r="BQ96">
        <v>1</v>
      </c>
      <c r="BR96">
        <v>1.524</v>
      </c>
    </row>
    <row r="97" spans="1:70" x14ac:dyDescent="0.15">
      <c r="A97" s="9" t="s">
        <v>165</v>
      </c>
      <c r="B97">
        <v>11066085.455535199</v>
      </c>
      <c r="C97" s="22">
        <f t="array" ref="C97">TsatFromP(テーブル2[[#This Row],[P]])</f>
        <v>591.59844217507987</v>
      </c>
      <c r="D97">
        <f t="array" ref="D97">RhoGFromP(テーブル2[[#This Row],[P]])</f>
        <v>63.116059220916618</v>
      </c>
      <c r="E97">
        <f t="array" ref="E97">RhoFFromP(テーブル2[[#This Row],[P]])</f>
        <v>670.70218150320568</v>
      </c>
      <c r="F97">
        <f t="array" ref="F97">HgFromP(テーブル2[[#This Row],[P]])</f>
        <v>2704704.3928635395</v>
      </c>
      <c r="G97">
        <f t="array" ref="G97">HfFromP(テーブル2[[#This Row],[P]])</f>
        <v>1452979.6039176662</v>
      </c>
      <c r="H97">
        <f t="array" ref="H97">MuGFromP(テーブル2[[#This Row],[P]])</f>
        <v>2.0676471173980647E-5</v>
      </c>
      <c r="I97">
        <f t="array" ref="I97">MuFFromP(テーブル2[[#This Row],[P]])</f>
        <v>7.8893761069449763E-5</v>
      </c>
      <c r="J97">
        <f t="array" ref="J97">KfFromP(テーブル2[[#This Row],[P]])</f>
        <v>0.52262372288993442</v>
      </c>
      <c r="K97">
        <f t="array" ref="K97">CpFFromP(テーブル2[[#This Row],[P]])</f>
        <v>6471.9652427384026</v>
      </c>
      <c r="L97">
        <f t="array" ref="L97">SigmaFromP(テーブル2[[#This Row],[P]])</f>
        <v>1.0111785142293607E-2</v>
      </c>
      <c r="M97">
        <v>96</v>
      </c>
      <c r="N97">
        <v>2034.3448484929399</v>
      </c>
      <c r="O97" s="8">
        <f t="shared" si="56"/>
        <v>6.8620353649299532E-5</v>
      </c>
      <c r="P97" s="8">
        <f t="shared" si="57"/>
        <v>2.9365094851634514E-2</v>
      </c>
      <c r="Q97" s="8">
        <v>9.3472E-3</v>
      </c>
      <c r="R97">
        <v>1.524</v>
      </c>
      <c r="S97" s="15">
        <v>451329.86321874999</v>
      </c>
      <c r="T97">
        <v>563.49230128878798</v>
      </c>
      <c r="U97" s="12">
        <f>+T97+BG97*S97*テーブル2[[#This Row],[Pw]]*R97/(N97*O97*K97)</f>
        <v>585.84843733286266</v>
      </c>
      <c r="V97">
        <v>0.03</v>
      </c>
      <c r="W97" s="8">
        <f t="shared" si="28"/>
        <v>241025.75298817389</v>
      </c>
      <c r="X97">
        <v>2.9418344856899779E-2</v>
      </c>
      <c r="Y97">
        <f t="shared" si="29"/>
        <v>5.8302997390222586</v>
      </c>
      <c r="Z97">
        <f t="shared" si="30"/>
        <v>5.8302997498897371</v>
      </c>
      <c r="AA97">
        <f t="shared" si="31"/>
        <v>-1.0867478472675884E-8</v>
      </c>
      <c r="AB97">
        <f t="shared" si="32"/>
        <v>5.3476306437943659E-5</v>
      </c>
      <c r="AC97">
        <v>602.41986682774427</v>
      </c>
      <c r="AD97">
        <f t="shared" si="33"/>
        <v>7307.9838090413841</v>
      </c>
      <c r="AE97">
        <f>+gettm2(AD97,AC97,AK97,AL97,テーブル2[[#This Row],[Fcorr]])</f>
        <v>585.84843735706113</v>
      </c>
      <c r="AF97" s="14">
        <f t="shared" si="34"/>
        <v>2.4198470782721415E-8</v>
      </c>
      <c r="AG97">
        <v>5.3498126759829889E-5</v>
      </c>
      <c r="AH97">
        <f t="shared" si="35"/>
        <v>22.690688603995753</v>
      </c>
      <c r="AI97">
        <f t="shared" si="36"/>
        <v>0.18393271373060477</v>
      </c>
      <c r="AJ97">
        <f t="shared" si="37"/>
        <v>83.6535955526533</v>
      </c>
      <c r="AK97">
        <f t="array" ref="AK97">+S97*テーブル2[[#This Row],[F_form]]/(E97*CpFromTP((テーブル2[[#This Row],[Tin]]+テーブル2[[#This Row],[Tf]])/2,テーブル2[[#This Row],[P]])*AI97)</f>
        <v>0.66345757994855048</v>
      </c>
      <c r="AL97">
        <f t="shared" si="38"/>
        <v>0.97698909779095466</v>
      </c>
      <c r="AM97">
        <f t="shared" si="39"/>
        <v>591.59844215339115</v>
      </c>
      <c r="AN97">
        <f t="shared" si="40"/>
        <v>2.168872015317902E-8</v>
      </c>
      <c r="AO97">
        <f t="shared" si="41"/>
        <v>2.1820321886230104E-8</v>
      </c>
      <c r="AP97">
        <v>3.0095433583736479</v>
      </c>
      <c r="AQ97">
        <f t="shared" si="42"/>
        <v>1.2159771144548574E-4</v>
      </c>
      <c r="AR97">
        <f t="shared" si="43"/>
        <v>2.6759973540858059E-5</v>
      </c>
      <c r="AS97">
        <f t="shared" si="44"/>
        <v>41.843857704332109</v>
      </c>
      <c r="AT97">
        <f t="shared" si="45"/>
        <v>14.834862542131885</v>
      </c>
      <c r="AU97">
        <f t="shared" si="46"/>
        <v>2.7286165251948158</v>
      </c>
      <c r="AV97">
        <f t="shared" si="47"/>
        <v>0.28092683317883216</v>
      </c>
      <c r="AW97">
        <f t="shared" si="48"/>
        <v>2.7357297195345642E-2</v>
      </c>
      <c r="AX97">
        <f t="shared" si="49"/>
        <v>0.28092682152989917</v>
      </c>
      <c r="AY97">
        <f t="shared" si="50"/>
        <v>1.1648932984886784E-8</v>
      </c>
      <c r="AZ97">
        <f t="shared" si="51"/>
        <v>1251724.7889458733</v>
      </c>
      <c r="BA97">
        <f t="shared" si="52"/>
        <v>4.0404040402726393E-5</v>
      </c>
      <c r="BB97" s="15">
        <f t="shared" si="53"/>
        <v>453393.12253326905</v>
      </c>
      <c r="BC97" s="20">
        <f t="shared" si="54"/>
        <v>2063.2593145190622</v>
      </c>
      <c r="BD97" s="19">
        <f t="shared" si="55"/>
        <v>0.45715107345313072</v>
      </c>
      <c r="BE97" s="15">
        <v>1385496.2552316899</v>
      </c>
      <c r="BF97" s="16">
        <f>テーブル2[[#This Row],[q_P]]/テーブル2[[#This Row],[q_M]]</f>
        <v>0.32724240200667326</v>
      </c>
      <c r="BG97">
        <v>1</v>
      </c>
      <c r="BH97">
        <v>0.224</v>
      </c>
      <c r="BI97">
        <v>4.5999999999999999E-2</v>
      </c>
      <c r="BJ97">
        <v>5625</v>
      </c>
      <c r="BK97" s="22">
        <v>1</v>
      </c>
      <c r="BL97">
        <f>テーブル2[[#This Row],[Ts]]-テーブル2[[#This Row],[Tin]]</f>
        <v>28.106140886291882</v>
      </c>
      <c r="BM97">
        <f>テーブル2[[#This Row],[q_P]]*0.000001</f>
        <v>0.45339312253326902</v>
      </c>
      <c r="BN97">
        <f>テーブル2[[#This Row],[Tsub]]</f>
        <v>28.106140886291882</v>
      </c>
      <c r="BO97">
        <f>テーブル2[[#This Row],[Fcorr]]</f>
        <v>1</v>
      </c>
      <c r="BP97">
        <f>(テーブル2[[#This Row],[Tsub]]-40)^2</f>
        <v>141.46388461673766</v>
      </c>
      <c r="BQ97">
        <v>1</v>
      </c>
      <c r="BR97">
        <v>1.524</v>
      </c>
    </row>
    <row r="98" spans="1:70" x14ac:dyDescent="0.15">
      <c r="A98" s="9" t="s">
        <v>166</v>
      </c>
      <c r="B98">
        <v>11066085.455535199</v>
      </c>
      <c r="C98" s="22">
        <f t="array" ref="C98">TsatFromP(テーブル2[[#This Row],[P]])</f>
        <v>591.59844217507987</v>
      </c>
      <c r="D98">
        <f t="array" ref="D98">RhoGFromP(テーブル2[[#This Row],[P]])</f>
        <v>63.116059220916618</v>
      </c>
      <c r="E98">
        <f t="array" ref="E98">RhoFFromP(テーブル2[[#This Row],[P]])</f>
        <v>670.70218150320568</v>
      </c>
      <c r="F98">
        <f t="array" ref="F98">HgFromP(テーブル2[[#This Row],[P]])</f>
        <v>2704704.3928635395</v>
      </c>
      <c r="G98">
        <f t="array" ref="G98">HfFromP(テーブル2[[#This Row],[P]])</f>
        <v>1452979.6039176662</v>
      </c>
      <c r="H98">
        <f t="array" ref="H98">MuGFromP(テーブル2[[#This Row],[P]])</f>
        <v>2.0676471173980647E-5</v>
      </c>
      <c r="I98">
        <f t="array" ref="I98">MuFFromP(テーブル2[[#This Row],[P]])</f>
        <v>7.8893761069449763E-5</v>
      </c>
      <c r="J98">
        <f t="array" ref="J98">KfFromP(テーブル2[[#This Row],[P]])</f>
        <v>0.52262372288993442</v>
      </c>
      <c r="K98">
        <f t="array" ref="K98">CpFFromP(テーブル2[[#This Row],[P]])</f>
        <v>6471.9652427384026</v>
      </c>
      <c r="L98">
        <f t="array" ref="L98">SigmaFromP(テーブル2[[#This Row],[P]])</f>
        <v>1.0111785142293607E-2</v>
      </c>
      <c r="M98">
        <v>97</v>
      </c>
      <c r="N98">
        <v>2034.3448484929399</v>
      </c>
      <c r="O98" s="8">
        <f t="shared" si="56"/>
        <v>6.8620353649299532E-5</v>
      </c>
      <c r="P98" s="8">
        <f t="shared" si="57"/>
        <v>2.9365094851634514E-2</v>
      </c>
      <c r="Q98" s="8">
        <v>9.3472E-3</v>
      </c>
      <c r="R98">
        <v>1.524</v>
      </c>
      <c r="S98" s="15">
        <v>2154258.5570312501</v>
      </c>
      <c r="T98">
        <v>452.00279575601002</v>
      </c>
      <c r="U98" s="12">
        <f>+T98+BG98*S98*テーブル2[[#This Row],[Pw]]*R98/(N98*O98*K98)</f>
        <v>558.71166060185362</v>
      </c>
      <c r="V98">
        <v>0.03</v>
      </c>
      <c r="W98" s="8">
        <f t="shared" si="28"/>
        <v>241025.75298817389</v>
      </c>
      <c r="X98">
        <v>2.9418344856899779E-2</v>
      </c>
      <c r="Y98">
        <f t="shared" si="29"/>
        <v>5.8302997390222586</v>
      </c>
      <c r="Z98">
        <f t="shared" si="30"/>
        <v>5.8302997498897371</v>
      </c>
      <c r="AA98">
        <f t="shared" si="31"/>
        <v>-1.0867478472675884E-8</v>
      </c>
      <c r="AB98">
        <f t="shared" si="32"/>
        <v>5.3476306437943659E-5</v>
      </c>
      <c r="AC98">
        <v>653.53298473016036</v>
      </c>
      <c r="AD98">
        <f t="shared" si="33"/>
        <v>7307.9838090413841</v>
      </c>
      <c r="AE98">
        <f>+gettm2(AD98,AC98,AK98,AL98,テーブル2[[#This Row],[Fcorr]])</f>
        <v>558.71166060185362</v>
      </c>
      <c r="AF98" s="14">
        <f t="shared" si="34"/>
        <v>0</v>
      </c>
      <c r="AG98">
        <v>5.3580538550913838E-5</v>
      </c>
      <c r="AH98">
        <f t="shared" si="35"/>
        <v>22.690688603995753</v>
      </c>
      <c r="AI98">
        <f t="shared" si="36"/>
        <v>0.18393271373060477</v>
      </c>
      <c r="AJ98">
        <f t="shared" si="37"/>
        <v>83.782460674810864</v>
      </c>
      <c r="AK98">
        <f t="array" ref="AK98">+S98*テーブル2[[#This Row],[F_form]]/(E98*CpFromTP((テーブル2[[#This Row],[Tin]]+テーブル2[[#This Row],[Tf]])/2,テーブル2[[#This Row],[P]])*AI98)</f>
        <v>3.796288446025716</v>
      </c>
      <c r="AL98">
        <f t="shared" si="38"/>
        <v>0.97698909779095466</v>
      </c>
      <c r="AM98">
        <f t="shared" si="39"/>
        <v>591.59844204424132</v>
      </c>
      <c r="AN98">
        <f t="shared" si="40"/>
        <v>1.308385435550008E-7</v>
      </c>
      <c r="AO98">
        <f t="shared" si="41"/>
        <v>1.0423211297017906E-7</v>
      </c>
      <c r="AP98">
        <v>3.0108366407577418</v>
      </c>
      <c r="AQ98">
        <f t="shared" si="42"/>
        <v>1.21493271104178E-4</v>
      </c>
      <c r="AR98">
        <f t="shared" si="43"/>
        <v>2.6842385331942008E-5</v>
      </c>
      <c r="AS98">
        <f t="shared" si="44"/>
        <v>41.972722826489672</v>
      </c>
      <c r="AT98">
        <f t="shared" si="45"/>
        <v>14.842549876957451</v>
      </c>
      <c r="AU98">
        <f t="shared" si="46"/>
        <v>2.7300304775506379</v>
      </c>
      <c r="AV98">
        <f t="shared" si="47"/>
        <v>0.28080616320710394</v>
      </c>
      <c r="AW98">
        <f t="shared" si="48"/>
        <v>2.7357297195345642E-2</v>
      </c>
      <c r="AX98">
        <f t="shared" si="49"/>
        <v>0.28080615151260702</v>
      </c>
      <c r="AY98">
        <f t="shared" si="50"/>
        <v>1.1694496926395459E-8</v>
      </c>
      <c r="AZ98">
        <f t="shared" si="51"/>
        <v>1251724.7889458733</v>
      </c>
      <c r="BA98">
        <f t="shared" si="52"/>
        <v>4.0351997002933249E-5</v>
      </c>
      <c r="BB98" s="15">
        <f t="shared" si="53"/>
        <v>2168578.1671705032</v>
      </c>
      <c r="BC98" s="20">
        <f t="shared" si="54"/>
        <v>14319.610139253084</v>
      </c>
      <c r="BD98" s="19">
        <f t="shared" si="55"/>
        <v>0.66471176788485009</v>
      </c>
      <c r="BE98" s="15">
        <v>2603483.7419005302</v>
      </c>
      <c r="BF98" s="16">
        <f>テーブル2[[#This Row],[q_P]]/テーブル2[[#This Row],[q_M]]</f>
        <v>0.8329524522351931</v>
      </c>
      <c r="BG98">
        <v>1</v>
      </c>
      <c r="BH98">
        <v>0.11600000000000001</v>
      </c>
      <c r="BI98">
        <v>4.5999999999999999E-2</v>
      </c>
      <c r="BJ98">
        <v>5625</v>
      </c>
      <c r="BK98" s="22">
        <v>1</v>
      </c>
      <c r="BL98">
        <f>テーブル2[[#This Row],[Ts]]-テーブル2[[#This Row],[Tin]]</f>
        <v>139.59564641906985</v>
      </c>
      <c r="BM98">
        <f>テーブル2[[#This Row],[q_P]]*0.000001</f>
        <v>2.1685781671705029</v>
      </c>
      <c r="BN98">
        <f>テーブル2[[#This Row],[Tsub]]</f>
        <v>139.59564641906985</v>
      </c>
      <c r="BO98">
        <f>テーブル2[[#This Row],[Fcorr]]</f>
        <v>1</v>
      </c>
      <c r="BP98">
        <f>(テーブル2[[#This Row],[Tsub]]-40)^2</f>
        <v>9919.2927856323804</v>
      </c>
      <c r="BQ98">
        <v>1</v>
      </c>
      <c r="BR98">
        <v>1.524</v>
      </c>
    </row>
    <row r="99" spans="1:70" x14ac:dyDescent="0.15">
      <c r="A99" s="9" t="s">
        <v>167</v>
      </c>
      <c r="B99">
        <v>11100559.2420011</v>
      </c>
      <c r="C99" s="22">
        <f t="array" ref="C99">TsatFromP(テーブル2[[#This Row],[P]])</f>
        <v>591.82497032118886</v>
      </c>
      <c r="D99">
        <f t="array" ref="D99">RhoGFromP(テーブル2[[#This Row],[P]])</f>
        <v>63.378233975119002</v>
      </c>
      <c r="E99">
        <f t="array" ref="E99">RhoFFromP(テーブル2[[#This Row],[P]])</f>
        <v>670.12820906723414</v>
      </c>
      <c r="F99">
        <f t="array" ref="F99">HgFromP(テーブル2[[#This Row],[P]])</f>
        <v>2703979.5892605507</v>
      </c>
      <c r="G99">
        <f t="array" ref="G99">HfFromP(テーブル2[[#This Row],[P]])</f>
        <v>1454391.7967250969</v>
      </c>
      <c r="H99">
        <f t="array" ref="H99">MuGFromP(テーブル2[[#This Row],[P]])</f>
        <v>2.0692641283812112E-5</v>
      </c>
      <c r="I99">
        <f t="array" ref="I99">MuFFromP(テーブル2[[#This Row],[P]])</f>
        <v>7.8806774773375072E-5</v>
      </c>
      <c r="J99">
        <f t="array" ref="J99">KfFromP(テーブル2[[#This Row],[P]])</f>
        <v>0.52222065348031665</v>
      </c>
      <c r="K99">
        <f t="array" ref="K99">CpFFromP(テーブル2[[#This Row],[P]])</f>
        <v>6484.9344403701325</v>
      </c>
      <c r="L99">
        <f t="array" ref="L99">SigmaFromP(テーブル2[[#This Row],[P]])</f>
        <v>1.0062941482822316E-2</v>
      </c>
      <c r="M99">
        <v>98</v>
      </c>
      <c r="N99">
        <v>2034.3448484929399</v>
      </c>
      <c r="O99" s="8">
        <f t="shared" si="56"/>
        <v>6.8620353649299532E-5</v>
      </c>
      <c r="P99" s="8">
        <f t="shared" si="57"/>
        <v>2.9365094851634514E-2</v>
      </c>
      <c r="Q99" s="8">
        <v>9.3472E-3</v>
      </c>
      <c r="R99">
        <v>1.524</v>
      </c>
      <c r="S99" s="15">
        <v>1326521.77734375</v>
      </c>
      <c r="T99">
        <v>507.23595773091199</v>
      </c>
      <c r="U99" s="12">
        <f>+T99+BG99*S99*テーブル2[[#This Row],[Pw]]*R99/(N99*O99*K99)</f>
        <v>572.81236868600263</v>
      </c>
      <c r="V99">
        <v>0.03</v>
      </c>
      <c r="W99" s="8">
        <f t="shared" si="28"/>
        <v>241291.79531221703</v>
      </c>
      <c r="X99">
        <v>2.93812388502834E-2</v>
      </c>
      <c r="Y99">
        <f t="shared" si="29"/>
        <v>5.8339801638063493</v>
      </c>
      <c r="Z99">
        <f t="shared" si="30"/>
        <v>5.8339801737503301</v>
      </c>
      <c r="AA99">
        <f t="shared" si="31"/>
        <v>-9.943980749937964E-9</v>
      </c>
      <c r="AB99">
        <f t="shared" si="32"/>
        <v>5.3239605589866309E-5</v>
      </c>
      <c r="AC99">
        <v>627.58430642792359</v>
      </c>
      <c r="AD99">
        <f t="shared" si="33"/>
        <v>7311.4349003299303</v>
      </c>
      <c r="AE99">
        <f>+gettm2(AD99,AC99,AK99,AL99,テーブル2[[#This Row],[Fcorr]])</f>
        <v>572.81236896184566</v>
      </c>
      <c r="AF99" s="14">
        <f t="shared" si="34"/>
        <v>2.7584303552430356E-7</v>
      </c>
      <c r="AG99">
        <v>5.3302597782390393E-5</v>
      </c>
      <c r="AH99">
        <f t="shared" si="35"/>
        <v>22.681478657845744</v>
      </c>
      <c r="AI99">
        <f t="shared" si="36"/>
        <v>0.18397411901316402</v>
      </c>
      <c r="AJ99">
        <f t="shared" si="37"/>
        <v>83.387211936070244</v>
      </c>
      <c r="AK99">
        <f t="array" ref="AK99">+S99*テーブル2[[#This Row],[F_form]]/(E99*CpFromTP((テーブル2[[#This Row],[Tin]]+テーブル2[[#This Row],[Tf]])/2,テーブル2[[#This Row],[P]])*AI99)</f>
        <v>2.1914344414628188</v>
      </c>
      <c r="AL99">
        <f t="shared" si="38"/>
        <v>0.97862228247089933</v>
      </c>
      <c r="AM99">
        <f t="shared" si="39"/>
        <v>591.82497025833743</v>
      </c>
      <c r="AN99">
        <f t="shared" si="40"/>
        <v>6.2851427173882257E-8</v>
      </c>
      <c r="AO99">
        <f t="shared" si="41"/>
        <v>6.2992192524084399E-8</v>
      </c>
      <c r="AP99">
        <v>3.0082709524647</v>
      </c>
      <c r="AQ99">
        <f t="shared" si="42"/>
        <v>1.2066374901527567E-4</v>
      </c>
      <c r="AR99">
        <f t="shared" si="43"/>
        <v>2.6682794987457239E-5</v>
      </c>
      <c r="AS99">
        <f t="shared" si="44"/>
        <v>41.742878832087335</v>
      </c>
      <c r="AT99">
        <f t="shared" si="45"/>
        <v>14.828822174631414</v>
      </c>
      <c r="AU99">
        <f t="shared" si="46"/>
        <v>2.7281194955806853</v>
      </c>
      <c r="AV99">
        <f t="shared" si="47"/>
        <v>0.28015145688401466</v>
      </c>
      <c r="AW99">
        <f t="shared" si="48"/>
        <v>2.7283433171066174E-2</v>
      </c>
      <c r="AX99">
        <f t="shared" si="49"/>
        <v>0.28015144541717263</v>
      </c>
      <c r="AY99">
        <f t="shared" si="50"/>
        <v>1.1466842031460089E-8</v>
      </c>
      <c r="AZ99">
        <f t="shared" si="51"/>
        <v>1249587.7925354538</v>
      </c>
      <c r="BA99">
        <f t="shared" si="52"/>
        <v>4.0110665203350425E-5</v>
      </c>
      <c r="BB99" s="15">
        <f t="shared" si="53"/>
        <v>1315078.0655078127</v>
      </c>
      <c r="BC99" s="20">
        <f t="shared" si="54"/>
        <v>-11443.711835937342</v>
      </c>
      <c r="BD99" s="19">
        <f t="shared" si="55"/>
        <v>-0.86268556094513771</v>
      </c>
      <c r="BE99" s="15">
        <v>1988969.46476225</v>
      </c>
      <c r="BF99" s="16">
        <f>テーブル2[[#This Row],[q_P]]/テーブル2[[#This Row],[q_M]]</f>
        <v>0.66118564855142692</v>
      </c>
      <c r="BG99">
        <v>1</v>
      </c>
      <c r="BH99">
        <v>0.156</v>
      </c>
      <c r="BI99">
        <v>4.5999999999999999E-2</v>
      </c>
      <c r="BJ99">
        <v>5625</v>
      </c>
      <c r="BK99" s="22">
        <v>1</v>
      </c>
      <c r="BL99">
        <f>テーブル2[[#This Row],[Ts]]-テーブル2[[#This Row],[Tin]]</f>
        <v>84.589012590276866</v>
      </c>
      <c r="BM99">
        <f>テーブル2[[#This Row],[q_P]]*0.000001</f>
        <v>1.3150780655078127</v>
      </c>
      <c r="BN99">
        <f>テーブル2[[#This Row],[Tsub]]</f>
        <v>84.589012590276866</v>
      </c>
      <c r="BO99">
        <f>テーブル2[[#This Row],[Fcorr]]</f>
        <v>1</v>
      </c>
      <c r="BP99">
        <f>(テーブル2[[#This Row],[Tsub]]-40)^2</f>
        <v>1988.1800437758689</v>
      </c>
      <c r="BQ99">
        <v>1</v>
      </c>
      <c r="BR99">
        <v>1.524</v>
      </c>
    </row>
    <row r="100" spans="1:70" x14ac:dyDescent="0.15">
      <c r="A100" s="9" t="s">
        <v>168</v>
      </c>
      <c r="B100">
        <v>10962664.096137701</v>
      </c>
      <c r="C100" s="22">
        <f t="array" ref="C100">TsatFromP(テーブル2[[#This Row],[P]])</f>
        <v>590.91885773675415</v>
      </c>
      <c r="D100">
        <f t="array" ref="D100">RhoGFromP(テーブル2[[#This Row],[P]])</f>
        <v>62.329534958310994</v>
      </c>
      <c r="E100">
        <f t="array" ref="E100">RhoFFromP(テーブル2[[#This Row],[P]])</f>
        <v>672.42409881111666</v>
      </c>
      <c r="F100">
        <f t="array" ref="F100">HgFromP(テーブル2[[#This Row],[P]])</f>
        <v>2706878.8036725009</v>
      </c>
      <c r="G100">
        <f t="array" ref="G100">HfFromP(テーブル2[[#This Row],[P]])</f>
        <v>1448743.0254953832</v>
      </c>
      <c r="H100">
        <f t="array" ref="H100">MuGFromP(テーブル2[[#This Row],[P]])</f>
        <v>2.0627960844486357E-5</v>
      </c>
      <c r="I100">
        <f t="array" ref="I100">MuFFromP(テーブル2[[#This Row],[P]])</f>
        <v>7.9154719957673361E-5</v>
      </c>
      <c r="J100">
        <f t="array" ref="J100">KfFromP(テーブル2[[#This Row],[P]])</f>
        <v>0.52383293111878571</v>
      </c>
      <c r="K100">
        <f t="array" ref="K100">CpFFromP(テーブル2[[#This Row],[P]])</f>
        <v>6433.0576498432911</v>
      </c>
      <c r="L100">
        <f t="array" ref="L100">SigmaFromP(テーブル2[[#This Row],[P]])</f>
        <v>1.0258316120707198E-2</v>
      </c>
      <c r="M100">
        <v>99</v>
      </c>
      <c r="N100">
        <v>4068.6896969858799</v>
      </c>
      <c r="O100" s="8">
        <f t="shared" si="56"/>
        <v>6.8620353649299532E-5</v>
      </c>
      <c r="P100" s="8">
        <f t="shared" si="57"/>
        <v>2.9365094851634514E-2</v>
      </c>
      <c r="Q100" s="8">
        <v>9.3472E-3</v>
      </c>
      <c r="R100">
        <v>1.524</v>
      </c>
      <c r="S100" s="15">
        <v>2321258.04296875</v>
      </c>
      <c r="T100">
        <v>507.70933491723503</v>
      </c>
      <c r="U100" s="12">
        <f>+T100+BG100*S100*テーブル2[[#This Row],[Pw]]*R100/(N100*O100*K100)</f>
        <v>565.54754335660778</v>
      </c>
      <c r="V100">
        <v>0.03</v>
      </c>
      <c r="W100" s="8">
        <f t="shared" si="28"/>
        <v>480462.26878198504</v>
      </c>
      <c r="X100">
        <v>2.202552059223345E-2</v>
      </c>
      <c r="Y100">
        <f t="shared" si="29"/>
        <v>6.7380915735687354</v>
      </c>
      <c r="Z100">
        <f t="shared" si="30"/>
        <v>6.7380916019165955</v>
      </c>
      <c r="AA100">
        <f t="shared" si="31"/>
        <v>-2.8347860059341201E-8</v>
      </c>
      <c r="AB100">
        <f t="shared" si="32"/>
        <v>1.8161648258494195E-5</v>
      </c>
      <c r="AC100">
        <v>624.24978069358474</v>
      </c>
      <c r="AD100">
        <f t="shared" si="33"/>
        <v>12605.131759142809</v>
      </c>
      <c r="AE100">
        <f>+gettm2(AD100,AC100,AK100,AL100,テーブル2[[#This Row],[Fcorr]])</f>
        <v>565.54754359910555</v>
      </c>
      <c r="AF100" s="14">
        <f t="shared" si="34"/>
        <v>2.424977765258518E-7</v>
      </c>
      <c r="AG100">
        <v>1.8197154459428841E-5</v>
      </c>
      <c r="AH100">
        <f t="shared" si="35"/>
        <v>67.780077940289715</v>
      </c>
      <c r="AI100">
        <f t="shared" si="36"/>
        <v>0.3174895221161691</v>
      </c>
      <c r="AJ100">
        <f t="shared" si="37"/>
        <v>49.079409791718092</v>
      </c>
      <c r="AK100">
        <f t="array" ref="AK100">+S100*テーブル2[[#This Row],[F_form]]/(E100*CpFromTP((テーブル2[[#This Row],[Tin]]+テーブル2[[#This Row],[Tf]])/2,テーブル2[[#This Row],[P]])*AI100)</f>
        <v>2.2321682627030182</v>
      </c>
      <c r="AL100">
        <f t="shared" si="38"/>
        <v>0.97207878026562056</v>
      </c>
      <c r="AM100">
        <f t="shared" si="39"/>
        <v>590.91885773530942</v>
      </c>
      <c r="AN100">
        <f t="shared" si="40"/>
        <v>1.4447323337662965E-9</v>
      </c>
      <c r="AO100">
        <f t="shared" si="41"/>
        <v>3.5506200934646182E-8</v>
      </c>
      <c r="AP100">
        <v>4.4466260218321008</v>
      </c>
      <c r="AQ100">
        <f t="shared" si="42"/>
        <v>5.7147774523518617E-5</v>
      </c>
      <c r="AR100">
        <f t="shared" si="43"/>
        <v>9.1163303301817436E-6</v>
      </c>
      <c r="AS100">
        <f t="shared" si="44"/>
        <v>24.587586650935201</v>
      </c>
      <c r="AT100">
        <f t="shared" si="45"/>
        <v>12.961208539477262</v>
      </c>
      <c r="AU100">
        <f t="shared" si="46"/>
        <v>4.1150479052466462</v>
      </c>
      <c r="AV100">
        <f t="shared" si="47"/>
        <v>0.33157811658545455</v>
      </c>
      <c r="AW100">
        <f t="shared" si="48"/>
        <v>9.2435240960315589E-3</v>
      </c>
      <c r="AX100">
        <f t="shared" si="49"/>
        <v>0.33157810941410831</v>
      </c>
      <c r="AY100">
        <f t="shared" si="50"/>
        <v>7.171346239065457E-9</v>
      </c>
      <c r="AZ100">
        <f t="shared" si="51"/>
        <v>1258135.7781771177</v>
      </c>
      <c r="BA100">
        <f t="shared" si="52"/>
        <v>1.2851940829503932E-5</v>
      </c>
      <c r="BB100" s="15">
        <f t="shared" si="53"/>
        <v>2337255.9360081926</v>
      </c>
      <c r="BC100" s="20">
        <f t="shared" si="54"/>
        <v>15997.893039442599</v>
      </c>
      <c r="BD100" s="19">
        <f t="shared" si="55"/>
        <v>0.68919063470350983</v>
      </c>
      <c r="BE100" s="15">
        <v>3141972.3820827999</v>
      </c>
      <c r="BF100" s="16">
        <f>テーブル2[[#This Row],[q_P]]/テーブル2[[#This Row],[q_M]]</f>
        <v>0.74388175699330483</v>
      </c>
      <c r="BG100">
        <v>1</v>
      </c>
      <c r="BH100">
        <v>5.3999999999999999E-2</v>
      </c>
      <c r="BI100">
        <v>4.5999999999999999E-2</v>
      </c>
      <c r="BJ100">
        <v>5625</v>
      </c>
      <c r="BK100" s="22">
        <v>1</v>
      </c>
      <c r="BL100">
        <f>テーブル2[[#This Row],[Ts]]-テーブル2[[#This Row],[Tin]]</f>
        <v>83.209522819519123</v>
      </c>
      <c r="BM100">
        <f>テーブル2[[#This Row],[q_P]]*0.000001</f>
        <v>2.3372559360081926</v>
      </c>
      <c r="BN100">
        <f>テーブル2[[#This Row],[Tsub]]</f>
        <v>83.209522819519123</v>
      </c>
      <c r="BO100">
        <f>テーブル2[[#This Row],[Fcorr]]</f>
        <v>1</v>
      </c>
      <c r="BP100">
        <f>(テーブル2[[#This Row],[Tsub]]-40)^2</f>
        <v>1867.0628622905438</v>
      </c>
      <c r="BQ100">
        <v>1</v>
      </c>
      <c r="BR100">
        <v>1.524</v>
      </c>
    </row>
    <row r="101" spans="1:70" x14ac:dyDescent="0.15">
      <c r="A101" s="9" t="s">
        <v>169</v>
      </c>
      <c r="B101">
        <v>11066085.455535199</v>
      </c>
      <c r="C101" s="22">
        <f t="array" ref="C101">TsatFromP(テーブル2[[#This Row],[P]])</f>
        <v>591.59844217507987</v>
      </c>
      <c r="D101">
        <f t="array" ref="D101">RhoGFromP(テーブル2[[#This Row],[P]])</f>
        <v>63.116059220916618</v>
      </c>
      <c r="E101">
        <f t="array" ref="E101">RhoFFromP(テーブル2[[#This Row],[P]])</f>
        <v>670.70218150320568</v>
      </c>
      <c r="F101">
        <f t="array" ref="F101">HgFromP(テーブル2[[#This Row],[P]])</f>
        <v>2704704.3928635395</v>
      </c>
      <c r="G101">
        <f t="array" ref="G101">HfFromP(テーブル2[[#This Row],[P]])</f>
        <v>1452979.6039176662</v>
      </c>
      <c r="H101">
        <f t="array" ref="H101">MuGFromP(テーブル2[[#This Row],[P]])</f>
        <v>2.0676471173980647E-5</v>
      </c>
      <c r="I101">
        <f t="array" ref="I101">MuFFromP(テーブル2[[#This Row],[P]])</f>
        <v>7.8893761069449763E-5</v>
      </c>
      <c r="J101">
        <f t="array" ref="J101">KfFromP(テーブル2[[#This Row],[P]])</f>
        <v>0.52262372288993442</v>
      </c>
      <c r="K101">
        <f t="array" ref="K101">CpFFromP(テーブル2[[#This Row],[P]])</f>
        <v>6471.9652427384026</v>
      </c>
      <c r="L101">
        <f t="array" ref="L101">SigmaFromP(テーブル2[[#This Row],[P]])</f>
        <v>1.0111785142293607E-2</v>
      </c>
      <c r="M101">
        <v>100</v>
      </c>
      <c r="N101">
        <v>4068.6896969858799</v>
      </c>
      <c r="O101" s="8">
        <f t="shared" si="56"/>
        <v>6.8620353649299532E-5</v>
      </c>
      <c r="P101" s="8">
        <f t="shared" si="57"/>
        <v>2.9365094851634514E-2</v>
      </c>
      <c r="Q101" s="8">
        <v>9.3472E-3</v>
      </c>
      <c r="R101">
        <v>1.524</v>
      </c>
      <c r="S101" s="15">
        <v>814219.75390625</v>
      </c>
      <c r="T101">
        <v>563.49230128878798</v>
      </c>
      <c r="U101" s="12">
        <f>+T101+BG101*S101*テーブル2[[#This Row],[Pw]]*R101/(N101*O101*K101)</f>
        <v>583.65804819758341</v>
      </c>
      <c r="V101">
        <v>0.03</v>
      </c>
      <c r="W101" s="8">
        <f t="shared" si="28"/>
        <v>482051.50597634778</v>
      </c>
      <c r="X101">
        <v>2.19536601587824E-2</v>
      </c>
      <c r="Y101">
        <f t="shared" si="29"/>
        <v>6.7491103875770921</v>
      </c>
      <c r="Z101">
        <f t="shared" si="30"/>
        <v>6.7491104089474563</v>
      </c>
      <c r="AA101">
        <f t="shared" si="31"/>
        <v>-2.1370364144956966E-8</v>
      </c>
      <c r="AB101">
        <f t="shared" si="32"/>
        <v>1.7914830751301113E-5</v>
      </c>
      <c r="AC101">
        <v>602.00428867084236</v>
      </c>
      <c r="AD101">
        <f t="shared" si="33"/>
        <v>12626.178458440925</v>
      </c>
      <c r="AE101">
        <f>+gettm2(AD101,AC101,AK101,AL101,テーブル2[[#This Row],[Fcorr]])</f>
        <v>583.65804819758341</v>
      </c>
      <c r="AF101" s="14">
        <f t="shared" si="34"/>
        <v>0</v>
      </c>
      <c r="AG101">
        <v>1.7927129864331101E-5</v>
      </c>
      <c r="AH101">
        <f t="shared" si="35"/>
        <v>67.732385190806511</v>
      </c>
      <c r="AI101">
        <f t="shared" si="36"/>
        <v>0.3177849498017124</v>
      </c>
      <c r="AJ101">
        <f t="shared" si="37"/>
        <v>48.431860003999127</v>
      </c>
      <c r="AK101">
        <f t="array" ref="AK101">+S101*テーブル2[[#This Row],[F_form]]/(E101*CpFromTP((テーブル2[[#This Row],[Tin]]+テーブル2[[#This Row],[Tf]])/2,テーブル2[[#This Row],[P]])*AI101)</f>
        <v>0.69630713858187576</v>
      </c>
      <c r="AL101">
        <f t="shared" si="38"/>
        <v>0.97698909779095466</v>
      </c>
      <c r="AM101">
        <f t="shared" si="39"/>
        <v>591.59844217037551</v>
      </c>
      <c r="AN101">
        <f t="shared" si="40"/>
        <v>4.7043613449204713E-9</v>
      </c>
      <c r="AO101">
        <f t="shared" si="41"/>
        <v>1.2299113029987861E-8</v>
      </c>
      <c r="AP101">
        <v>4.4258123043440074</v>
      </c>
      <c r="AQ101">
        <f t="shared" si="42"/>
        <v>5.6226445162387225E-5</v>
      </c>
      <c r="AR101">
        <f t="shared" si="43"/>
        <v>8.9697144886805443E-6</v>
      </c>
      <c r="AS101">
        <f t="shared" si="44"/>
        <v>24.232543618483337</v>
      </c>
      <c r="AT101">
        <f t="shared" si="45"/>
        <v>12.888482536911592</v>
      </c>
      <c r="AU101">
        <f t="shared" si="46"/>
        <v>4.0957657760126969</v>
      </c>
      <c r="AV101">
        <f t="shared" si="47"/>
        <v>0.33004652833131054</v>
      </c>
      <c r="AW101">
        <f t="shared" si="48"/>
        <v>9.164831711711386E-3</v>
      </c>
      <c r="AX101">
        <f t="shared" si="49"/>
        <v>0.33004652544414015</v>
      </c>
      <c r="AY101">
        <f t="shared" si="50"/>
        <v>2.8871703916522051E-9</v>
      </c>
      <c r="AZ101">
        <f t="shared" si="51"/>
        <v>1251724.7889458733</v>
      </c>
      <c r="BA101">
        <f t="shared" si="52"/>
        <v>1.2704209147595356E-5</v>
      </c>
      <c r="BB101" s="15">
        <f t="shared" si="53"/>
        <v>812764.50671589933</v>
      </c>
      <c r="BC101" s="20">
        <f t="shared" si="54"/>
        <v>-1455.2471903506666</v>
      </c>
      <c r="BD101" s="19">
        <f t="shared" si="55"/>
        <v>-0.17872904499910047</v>
      </c>
      <c r="BE101" s="15">
        <v>1832501.76380712</v>
      </c>
      <c r="BF101" s="16">
        <f>テーブル2[[#This Row],[q_P]]/テーブル2[[#This Row],[q_M]]</f>
        <v>0.44352727117017215</v>
      </c>
      <c r="BG101">
        <v>1</v>
      </c>
      <c r="BH101">
        <v>0.104</v>
      </c>
      <c r="BI101">
        <v>4.5999999999999999E-2</v>
      </c>
      <c r="BJ101">
        <v>5625</v>
      </c>
      <c r="BK101" s="22">
        <v>1</v>
      </c>
      <c r="BL101">
        <f>テーブル2[[#This Row],[Ts]]-テーブル2[[#This Row],[Tin]]</f>
        <v>28.106140886291882</v>
      </c>
      <c r="BM101">
        <f>テーブル2[[#This Row],[q_P]]*0.000001</f>
        <v>0.81276450671589928</v>
      </c>
      <c r="BN101">
        <f>テーブル2[[#This Row],[Tsub]]</f>
        <v>28.106140886291882</v>
      </c>
      <c r="BO101">
        <f>テーブル2[[#This Row],[Fcorr]]</f>
        <v>1</v>
      </c>
      <c r="BP101">
        <f>(テーブル2[[#This Row],[Tsub]]-40)^2</f>
        <v>141.46388461673766</v>
      </c>
      <c r="BQ101">
        <v>1</v>
      </c>
      <c r="BR101">
        <v>1.524</v>
      </c>
    </row>
    <row r="102" spans="1:70" x14ac:dyDescent="0.15">
      <c r="A102" s="9" t="s">
        <v>170</v>
      </c>
      <c r="B102">
        <v>11066085.455535199</v>
      </c>
      <c r="C102" s="22">
        <f t="array" ref="C102">TsatFromP(テーブル2[[#This Row],[P]])</f>
        <v>591.59844217507987</v>
      </c>
      <c r="D102">
        <f t="array" ref="D102">RhoGFromP(テーブル2[[#This Row],[P]])</f>
        <v>63.116059220916618</v>
      </c>
      <c r="E102">
        <f t="array" ref="E102">RhoFFromP(テーブル2[[#This Row],[P]])</f>
        <v>670.70218150320568</v>
      </c>
      <c r="F102">
        <f t="array" ref="F102">HgFromP(テーブル2[[#This Row],[P]])</f>
        <v>2704704.3928635395</v>
      </c>
      <c r="G102">
        <f t="array" ref="G102">HfFromP(テーブル2[[#This Row],[P]])</f>
        <v>1452979.6039176662</v>
      </c>
      <c r="H102">
        <f t="array" ref="H102">MuGFromP(テーブル2[[#This Row],[P]])</f>
        <v>2.0676471173980647E-5</v>
      </c>
      <c r="I102">
        <f t="array" ref="I102">MuFFromP(テーブル2[[#This Row],[P]])</f>
        <v>7.8893761069449763E-5</v>
      </c>
      <c r="J102">
        <f t="array" ref="J102">KfFromP(テーブル2[[#This Row],[P]])</f>
        <v>0.52262372288993442</v>
      </c>
      <c r="K102">
        <f t="array" ref="K102">CpFFromP(テーブル2[[#This Row],[P]])</f>
        <v>6471.9652427384026</v>
      </c>
      <c r="L102">
        <f t="array" ref="L102">SigmaFromP(テーブル2[[#This Row],[P]])</f>
        <v>1.0111785142293607E-2</v>
      </c>
      <c r="M102">
        <v>101</v>
      </c>
      <c r="N102">
        <v>4068.6896969858799</v>
      </c>
      <c r="O102" s="8">
        <f t="shared" si="56"/>
        <v>6.8620353649299532E-5</v>
      </c>
      <c r="P102" s="8">
        <f t="shared" si="57"/>
        <v>2.9365094851634514E-2</v>
      </c>
      <c r="Q102" s="8">
        <v>9.3472E-3</v>
      </c>
      <c r="R102">
        <v>1.524</v>
      </c>
      <c r="S102" s="15">
        <v>2338283.68359375</v>
      </c>
      <c r="T102">
        <v>508.03105271669699</v>
      </c>
      <c r="U102" s="12">
        <f>+T102+BG102*S102*テーブル2[[#This Row],[Pw]]*R102/(N102*O102*K102)</f>
        <v>565.94322782433596</v>
      </c>
      <c r="V102">
        <v>0.03</v>
      </c>
      <c r="W102" s="8">
        <f t="shared" si="28"/>
        <v>482051.50597634778</v>
      </c>
      <c r="X102">
        <v>2.19536601587824E-2</v>
      </c>
      <c r="Y102">
        <f t="shared" si="29"/>
        <v>6.7491103875770921</v>
      </c>
      <c r="Z102">
        <f t="shared" si="30"/>
        <v>6.7491104089474563</v>
      </c>
      <c r="AA102">
        <f t="shared" si="31"/>
        <v>-2.1370364144956966E-8</v>
      </c>
      <c r="AB102">
        <f t="shared" si="32"/>
        <v>1.7914830751301113E-5</v>
      </c>
      <c r="AC102">
        <v>625.23613909343067</v>
      </c>
      <c r="AD102">
        <f t="shared" si="33"/>
        <v>12626.178458440925</v>
      </c>
      <c r="AE102">
        <f>+gettm2(AD102,AC102,AK102,AL102,テーブル2[[#This Row],[Fcorr]])</f>
        <v>565.94322782433596</v>
      </c>
      <c r="AF102" s="14">
        <f t="shared" si="34"/>
        <v>0</v>
      </c>
      <c r="AG102">
        <v>1.7950130975970469E-5</v>
      </c>
      <c r="AH102">
        <f t="shared" si="35"/>
        <v>67.732385190806511</v>
      </c>
      <c r="AI102">
        <f t="shared" si="36"/>
        <v>0.3177849498017124</v>
      </c>
      <c r="AJ102">
        <f t="shared" si="37"/>
        <v>48.493999712211476</v>
      </c>
      <c r="AK102">
        <f t="array" ref="AK102">+S102*テーブル2[[#This Row],[F_form]]/(E102*CpFromTP((テーブル2[[#This Row],[Tin]]+テーブル2[[#This Row],[Tf]])/2,テーブル2[[#This Row],[P]])*AI102)</f>
        <v>2.2503835292113301</v>
      </c>
      <c r="AL102">
        <f t="shared" si="38"/>
        <v>0.97698909779095466</v>
      </c>
      <c r="AM102">
        <f t="shared" si="39"/>
        <v>591.59844215929252</v>
      </c>
      <c r="AN102">
        <f t="shared" si="40"/>
        <v>1.5787350093887653E-8</v>
      </c>
      <c r="AO102">
        <f t="shared" si="41"/>
        <v>3.5300224669356216E-8</v>
      </c>
      <c r="AP102">
        <v>4.4295994078993708</v>
      </c>
      <c r="AQ102">
        <f t="shared" si="42"/>
        <v>5.6130344216991898E-5</v>
      </c>
      <c r="AR102">
        <f t="shared" si="43"/>
        <v>8.9927156003199126E-6</v>
      </c>
      <c r="AS102">
        <f t="shared" si="44"/>
        <v>24.294683326695683</v>
      </c>
      <c r="AT102">
        <f t="shared" si="45"/>
        <v>12.901287666338483</v>
      </c>
      <c r="AU102">
        <f t="shared" si="46"/>
        <v>4.099835053424826</v>
      </c>
      <c r="AV102">
        <f t="shared" si="47"/>
        <v>0.32976435447454477</v>
      </c>
      <c r="AW102">
        <f t="shared" si="48"/>
        <v>9.164831711711386E-3</v>
      </c>
      <c r="AX102">
        <f t="shared" si="49"/>
        <v>0.32976435086020017</v>
      </c>
      <c r="AY102">
        <f t="shared" si="50"/>
        <v>3.6143446013880975E-9</v>
      </c>
      <c r="AZ102">
        <f t="shared" si="51"/>
        <v>1251724.7889458733</v>
      </c>
      <c r="BA102">
        <f t="shared" si="52"/>
        <v>1.2671652456177825E-5</v>
      </c>
      <c r="BB102" s="15">
        <f t="shared" si="53"/>
        <v>2338744.5492778909</v>
      </c>
      <c r="BC102" s="20">
        <f t="shared" si="54"/>
        <v>460.86568414093927</v>
      </c>
      <c r="BD102" s="19">
        <f t="shared" si="55"/>
        <v>1.9709571057376005E-2</v>
      </c>
      <c r="BE102" s="15">
        <v>3154590.7450630502</v>
      </c>
      <c r="BF102" s="16">
        <f>テーブル2[[#This Row],[q_P]]/テーブル2[[#This Row],[q_M]]</f>
        <v>0.74137811788677743</v>
      </c>
      <c r="BG102">
        <v>1</v>
      </c>
      <c r="BH102">
        <v>5.3999999999999999E-2</v>
      </c>
      <c r="BI102">
        <v>4.5999999999999999E-2</v>
      </c>
      <c r="BJ102">
        <v>5625</v>
      </c>
      <c r="BK102" s="22">
        <v>1</v>
      </c>
      <c r="BL102">
        <f>テーブル2[[#This Row],[Ts]]-テーブル2[[#This Row],[Tin]]</f>
        <v>83.567389458382877</v>
      </c>
      <c r="BM102">
        <f>テーブル2[[#This Row],[q_P]]*0.000001</f>
        <v>2.3387445492778909</v>
      </c>
      <c r="BN102">
        <f>テーブル2[[#This Row],[Tsub]]</f>
        <v>83.567389458382877</v>
      </c>
      <c r="BO102">
        <f>テーブル2[[#This Row],[Fcorr]]</f>
        <v>1</v>
      </c>
      <c r="BP102">
        <f>(テーブル2[[#This Row],[Tsub]]-40)^2</f>
        <v>1898.1174242184113</v>
      </c>
      <c r="BQ102">
        <v>1</v>
      </c>
      <c r="BR102">
        <v>1.524</v>
      </c>
    </row>
    <row r="103" spans="1:70" x14ac:dyDescent="0.15">
      <c r="A103" s="9" t="s">
        <v>171</v>
      </c>
      <c r="B103">
        <v>11100559.2420011</v>
      </c>
      <c r="C103" s="22">
        <f t="array" ref="C103">TsatFromP(テーブル2[[#This Row],[P]])</f>
        <v>591.82497032118886</v>
      </c>
      <c r="D103">
        <f t="array" ref="D103">RhoGFromP(テーブル2[[#This Row],[P]])</f>
        <v>63.378233975119002</v>
      </c>
      <c r="E103">
        <f t="array" ref="E103">RhoFFromP(テーブル2[[#This Row],[P]])</f>
        <v>670.12820906723414</v>
      </c>
      <c r="F103">
        <f t="array" ref="F103">HgFromP(テーブル2[[#This Row],[P]])</f>
        <v>2703979.5892605507</v>
      </c>
      <c r="G103">
        <f t="array" ref="G103">HfFromP(テーブル2[[#This Row],[P]])</f>
        <v>1454391.7967250969</v>
      </c>
      <c r="H103">
        <f t="array" ref="H103">MuGFromP(テーブル2[[#This Row],[P]])</f>
        <v>2.0692641283812112E-5</v>
      </c>
      <c r="I103">
        <f t="array" ref="I103">MuFFromP(テーブル2[[#This Row],[P]])</f>
        <v>7.8806774773375072E-5</v>
      </c>
      <c r="J103">
        <f t="array" ref="J103">KfFromP(テーブル2[[#This Row],[P]])</f>
        <v>0.52222065348031665</v>
      </c>
      <c r="K103">
        <f t="array" ref="K103">CpFFromP(テーブル2[[#This Row],[P]])</f>
        <v>6484.9344403701325</v>
      </c>
      <c r="L103">
        <f t="array" ref="L103">SigmaFromP(テーブル2[[#This Row],[P]])</f>
        <v>1.0062941482822316E-2</v>
      </c>
      <c r="M103">
        <v>102</v>
      </c>
      <c r="N103">
        <v>4068.6896969858799</v>
      </c>
      <c r="O103" s="8">
        <f t="shared" si="56"/>
        <v>6.8620353649299532E-5</v>
      </c>
      <c r="P103" s="8">
        <f t="shared" si="57"/>
        <v>2.9365094851634514E-2</v>
      </c>
      <c r="Q103" s="8">
        <v>9.3472E-3</v>
      </c>
      <c r="R103">
        <v>1.524</v>
      </c>
      <c r="S103" s="15">
        <v>829931.21953124984</v>
      </c>
      <c r="T103">
        <v>563.20065007780795</v>
      </c>
      <c r="U103" s="12">
        <f>+T103+BG103*S103*テーブル2[[#This Row],[Pw]]*R103/(N103*O103*K103)</f>
        <v>583.7144145881125</v>
      </c>
      <c r="V103">
        <v>0.03</v>
      </c>
      <c r="W103" s="8">
        <f t="shared" si="28"/>
        <v>482583.59062443406</v>
      </c>
      <c r="X103">
        <v>2.1929591494646621E-2</v>
      </c>
      <c r="Y103">
        <f t="shared" si="29"/>
        <v>6.7528130904714239</v>
      </c>
      <c r="Z103">
        <f t="shared" si="30"/>
        <v>6.752813109732573</v>
      </c>
      <c r="AA103">
        <f t="shared" si="31"/>
        <v>-1.9261149120097798E-8</v>
      </c>
      <c r="AB103">
        <f t="shared" si="32"/>
        <v>1.7832588998666525E-5</v>
      </c>
      <c r="AC103">
        <v>602.44673908530535</v>
      </c>
      <c r="AD103">
        <f t="shared" si="33"/>
        <v>12633.184305863404</v>
      </c>
      <c r="AE103">
        <f>+gettm2(AD103,AC103,AK103,AL103,テーブル2[[#This Row],[Fcorr]])</f>
        <v>583.71441461257984</v>
      </c>
      <c r="AF103" s="14">
        <f t="shared" si="34"/>
        <v>2.4467340153933037E-8</v>
      </c>
      <c r="AG103">
        <v>1.7845233036161629E-5</v>
      </c>
      <c r="AH103">
        <f t="shared" si="35"/>
        <v>67.716077459586799</v>
      </c>
      <c r="AI103">
        <f t="shared" si="36"/>
        <v>0.31788273911831866</v>
      </c>
      <c r="AJ103">
        <f t="shared" si="37"/>
        <v>48.237358337665235</v>
      </c>
      <c r="AK103">
        <f t="array" ref="AK103">+S103*テーブル2[[#This Row],[F_form]]/(E103*CpFromTP((テーブル2[[#This Row],[Tin]]+テーブル2[[#This Row],[Tf]])/2,テーブル2[[#This Row],[P]])*AI103)</f>
        <v>0.7105160045518808</v>
      </c>
      <c r="AL103">
        <f t="shared" si="38"/>
        <v>0.97862228247089933</v>
      </c>
      <c r="AM103">
        <f t="shared" si="39"/>
        <v>591.82497031703031</v>
      </c>
      <c r="AN103">
        <f t="shared" si="40"/>
        <v>4.1585508370189928E-9</v>
      </c>
      <c r="AO103">
        <f t="shared" si="41"/>
        <v>1.2644037495103535E-8</v>
      </c>
      <c r="AP103">
        <v>4.4201137040995082</v>
      </c>
      <c r="AQ103">
        <f t="shared" si="42"/>
        <v>5.5891251248146526E-5</v>
      </c>
      <c r="AR103">
        <f t="shared" si="43"/>
        <v>8.9289385368283662E-6</v>
      </c>
      <c r="AS103">
        <f t="shared" si="44"/>
        <v>24.135768185441425</v>
      </c>
      <c r="AT103">
        <f t="shared" si="45"/>
        <v>12.868474486481384</v>
      </c>
      <c r="AU103">
        <f t="shared" si="46"/>
        <v>4.0906659180369012</v>
      </c>
      <c r="AV103">
        <f t="shared" si="47"/>
        <v>0.32944778606260705</v>
      </c>
      <c r="AW103">
        <f t="shared" si="48"/>
        <v>9.1385772832399698E-3</v>
      </c>
      <c r="AX103">
        <f t="shared" si="49"/>
        <v>0.32944778426206855</v>
      </c>
      <c r="AY103">
        <f t="shared" si="50"/>
        <v>1.8005384960773085E-9</v>
      </c>
      <c r="AZ103">
        <f t="shared" si="51"/>
        <v>1249587.7925354538</v>
      </c>
      <c r="BA103">
        <f t="shared" si="52"/>
        <v>1.2644754182750832E-5</v>
      </c>
      <c r="BB103" s="15">
        <f t="shared" si="53"/>
        <v>837336.56768438604</v>
      </c>
      <c r="BC103" s="20">
        <f t="shared" si="54"/>
        <v>7405.3481531362049</v>
      </c>
      <c r="BD103" s="19">
        <f t="shared" si="55"/>
        <v>0.89228456272783552</v>
      </c>
      <c r="BE103" s="15">
        <v>1868148.63922634</v>
      </c>
      <c r="BF103" s="16">
        <f>テーブル2[[#This Row],[q_P]]/テーブル2[[#This Row],[q_M]]</f>
        <v>0.4482173153155275</v>
      </c>
      <c r="BG103">
        <v>1</v>
      </c>
      <c r="BH103">
        <v>0.106</v>
      </c>
      <c r="BI103">
        <v>4.5999999999999999E-2</v>
      </c>
      <c r="BJ103">
        <v>5625</v>
      </c>
      <c r="BK103" s="22">
        <v>1</v>
      </c>
      <c r="BL103">
        <f>テーブル2[[#This Row],[Ts]]-テーブル2[[#This Row],[Tin]]</f>
        <v>28.624320243380907</v>
      </c>
      <c r="BM103">
        <f>テーブル2[[#This Row],[q_P]]*0.000001</f>
        <v>0.83733656768438602</v>
      </c>
      <c r="BN103">
        <f>テーブル2[[#This Row],[Tsub]]</f>
        <v>28.624320243380907</v>
      </c>
      <c r="BO103">
        <f>テーブル2[[#This Row],[Fcorr]]</f>
        <v>1</v>
      </c>
      <c r="BP103">
        <f>(テーブル2[[#This Row],[Tsub]]-40)^2</f>
        <v>129.40608992515342</v>
      </c>
      <c r="BQ103">
        <v>1</v>
      </c>
      <c r="BR103">
        <v>1.524</v>
      </c>
    </row>
    <row r="104" spans="1:70" x14ac:dyDescent="0.15">
      <c r="A104" s="9" t="s">
        <v>172</v>
      </c>
      <c r="B104">
        <v>12065825.263044599</v>
      </c>
      <c r="C104" s="22">
        <f t="array" ref="C104">TsatFromP(テーブル2[[#This Row],[P]])</f>
        <v>598.16775841223</v>
      </c>
      <c r="D104">
        <f t="array" ref="D104">RhoGFromP(テーブル2[[#This Row],[P]])</f>
        <v>70.719127092772837</v>
      </c>
      <c r="E104">
        <f t="array" ref="E104">RhoFFromP(テーブル2[[#This Row],[P]])</f>
        <v>654.05698086006123</v>
      </c>
      <c r="F104">
        <f t="array" ref="F104">HgFromP(テーブル2[[#This Row],[P]])</f>
        <v>2683685.0883769058</v>
      </c>
      <c r="G104">
        <f t="array" ref="G104">HfFromP(テーブル2[[#This Row],[P]])</f>
        <v>1493933.1953330804</v>
      </c>
      <c r="H104">
        <f t="array" ref="H104">MuGFromP(テーブル2[[#This Row],[P]])</f>
        <v>2.1145404359092259E-5</v>
      </c>
      <c r="I104">
        <f t="array" ref="I104">MuFFromP(テーブル2[[#This Row],[P]])</f>
        <v>7.6371158483287791E-5</v>
      </c>
      <c r="J104">
        <f t="array" ref="J104">KfFromP(テーブル2[[#This Row],[P]])</f>
        <v>0.51093471001103663</v>
      </c>
      <c r="K104">
        <f t="array" ref="K104">CpFFromP(テーブル2[[#This Row],[P]])</f>
        <v>6848.0719740579098</v>
      </c>
      <c r="L104">
        <f t="array" ref="L104">SigmaFromP(テーブル2[[#This Row],[P]])</f>
        <v>8.6953190176285583E-3</v>
      </c>
      <c r="M104">
        <v>103</v>
      </c>
      <c r="N104">
        <v>2305.590828292</v>
      </c>
      <c r="O104" s="8">
        <f t="shared" si="56"/>
        <v>2.8502295699234246E-6</v>
      </c>
      <c r="P104" s="8">
        <f t="shared" si="57"/>
        <v>5.9847340050885557E-3</v>
      </c>
      <c r="Q104" s="8">
        <v>1.905E-3</v>
      </c>
      <c r="R104">
        <v>0.15240000000000001</v>
      </c>
      <c r="S104" s="15">
        <v>3116361.46484375</v>
      </c>
      <c r="T104">
        <v>509.74524427840402</v>
      </c>
      <c r="U104" s="12">
        <f>+T104+BG104*S104*テーブル2[[#This Row],[Pw]]*R104/(N104*O104*K104)</f>
        <v>572.90599040887446</v>
      </c>
      <c r="V104">
        <v>0.03</v>
      </c>
      <c r="W104" s="8">
        <f t="shared" si="28"/>
        <v>57510.59189258454</v>
      </c>
      <c r="X104">
        <v>3.9249802747889043E-2</v>
      </c>
      <c r="Y104">
        <f t="shared" si="29"/>
        <v>5.0475573345957878</v>
      </c>
      <c r="Z104">
        <f t="shared" si="30"/>
        <v>5.0475573462201444</v>
      </c>
      <c r="AA104">
        <f t="shared" si="31"/>
        <v>-1.162435658841332E-8</v>
      </c>
      <c r="AB104">
        <f t="shared" si="32"/>
        <v>2.6167991399821489E-5</v>
      </c>
      <c r="AC104">
        <v>659.72297118324286</v>
      </c>
      <c r="AD104">
        <f t="shared" si="33"/>
        <v>2014.148964617714</v>
      </c>
      <c r="AE104">
        <f>+gettm2(AD104,AC104,AK104,AL104,テーブル2[[#This Row],[Fcorr]])</f>
        <v>572.90599040887446</v>
      </c>
      <c r="AF104" s="14">
        <f t="shared" si="34"/>
        <v>0</v>
      </c>
      <c r="AG104">
        <v>2.6239293574199541E-5</v>
      </c>
      <c r="AH104">
        <f t="shared" si="35"/>
        <v>39.874603525073958</v>
      </c>
      <c r="AI104">
        <f t="shared" si="36"/>
        <v>0.2469109760616825</v>
      </c>
      <c r="AJ104">
        <f t="shared" si="37"/>
        <v>55.485402608686869</v>
      </c>
      <c r="AK104">
        <f t="array" ref="AK104">+S104*テーブル2[[#This Row],[F_form]]/(E104*CpFromTP((テーブル2[[#This Row],[Tin]]+テーブル2[[#This Row],[Tf]])/2,テーブル2[[#This Row],[P]])*AI104)</f>
        <v>3.9178380092004685</v>
      </c>
      <c r="AL104">
        <f t="shared" si="38"/>
        <v>1.023604738117011</v>
      </c>
      <c r="AM104">
        <f t="shared" si="39"/>
        <v>598.16775841085382</v>
      </c>
      <c r="AN104">
        <f t="shared" si="40"/>
        <v>1.376179170620162E-9</v>
      </c>
      <c r="AO104">
        <f t="shared" si="41"/>
        <v>7.1302174378052094E-8</v>
      </c>
      <c r="AP104">
        <v>3.6355816830110541</v>
      </c>
      <c r="AQ104">
        <f t="shared" si="42"/>
        <v>6.476926474460489E-5</v>
      </c>
      <c r="AR104">
        <f t="shared" si="43"/>
        <v>1.3155297874288796E-5</v>
      </c>
      <c r="AS104">
        <f t="shared" si="44"/>
        <v>27.818088811271803</v>
      </c>
      <c r="AT104">
        <f t="shared" si="45"/>
        <v>13.578432428813835</v>
      </c>
      <c r="AU104">
        <f t="shared" si="46"/>
        <v>3.3526640043860261</v>
      </c>
      <c r="AV104">
        <f t="shared" si="47"/>
        <v>0.28291767862502804</v>
      </c>
      <c r="AW104">
        <f t="shared" si="48"/>
        <v>1.414521284679595E-2</v>
      </c>
      <c r="AX104">
        <f t="shared" si="49"/>
        <v>0.28291766355242642</v>
      </c>
      <c r="AY104">
        <f t="shared" si="50"/>
        <v>1.5072601611265668E-8</v>
      </c>
      <c r="AZ104">
        <f t="shared" si="51"/>
        <v>1189751.8930438254</v>
      </c>
      <c r="BA104">
        <f t="shared" si="52"/>
        <v>1.7815378773435182E-5</v>
      </c>
      <c r="BB104" s="15">
        <f t="shared" si="53"/>
        <v>3114438.0987756033</v>
      </c>
      <c r="BC104" s="20">
        <f t="shared" si="54"/>
        <v>-1923.3660681466572</v>
      </c>
      <c r="BD104" s="19">
        <f t="shared" si="55"/>
        <v>-6.1718324072624613E-2</v>
      </c>
      <c r="BE104" s="15">
        <v>3217681.8</v>
      </c>
      <c r="BF104" s="16">
        <f>テーブル2[[#This Row],[q_P]]/テーブル2[[#This Row],[q_M]]</f>
        <v>0.96791363856289436</v>
      </c>
      <c r="BG104">
        <v>1</v>
      </c>
      <c r="BH104">
        <v>-2.1000000000000001E-2</v>
      </c>
      <c r="BI104">
        <v>4.5999999999999999E-2</v>
      </c>
      <c r="BJ104">
        <v>5625</v>
      </c>
      <c r="BK104" s="22">
        <v>1</v>
      </c>
      <c r="BL104">
        <f>テーブル2[[#This Row],[Ts]]-テーブル2[[#This Row],[Tin]]</f>
        <v>88.422514133825985</v>
      </c>
      <c r="BM104">
        <f>テーブル2[[#This Row],[q_P]]*0.000001</f>
        <v>3.1144380987756031</v>
      </c>
      <c r="BN104">
        <f>テーブル2[[#This Row],[Tsub]]</f>
        <v>88.422514133825985</v>
      </c>
      <c r="BO104">
        <f>テーブル2[[#This Row],[Fcorr]]</f>
        <v>1</v>
      </c>
      <c r="BP104">
        <f>(テーブル2[[#This Row],[Tsub]]-40)^2</f>
        <v>2344.7398750405773</v>
      </c>
      <c r="BQ104">
        <v>1</v>
      </c>
      <c r="BR104">
        <v>0.15240000000000001</v>
      </c>
    </row>
    <row r="105" spans="1:70" x14ac:dyDescent="0.15">
      <c r="A105" s="9" t="s">
        <v>173</v>
      </c>
      <c r="B105">
        <v>12065825.263044599</v>
      </c>
      <c r="C105" s="22">
        <f t="array" ref="C105">TsatFromP(テーブル2[[#This Row],[P]])</f>
        <v>598.16775841223</v>
      </c>
      <c r="D105">
        <f t="array" ref="D105">RhoGFromP(テーブル2[[#This Row],[P]])</f>
        <v>70.719127092772837</v>
      </c>
      <c r="E105">
        <f t="array" ref="E105">RhoFFromP(テーブル2[[#This Row],[P]])</f>
        <v>654.05698086006123</v>
      </c>
      <c r="F105">
        <f t="array" ref="F105">HgFromP(テーブル2[[#This Row],[P]])</f>
        <v>2683685.0883769058</v>
      </c>
      <c r="G105">
        <f t="array" ref="G105">HfFromP(テーブル2[[#This Row],[P]])</f>
        <v>1493933.1953330804</v>
      </c>
      <c r="H105">
        <f t="array" ref="H105">MuGFromP(テーブル2[[#This Row],[P]])</f>
        <v>2.1145404359092259E-5</v>
      </c>
      <c r="I105">
        <f t="array" ref="I105">MuFFromP(テーブル2[[#This Row],[P]])</f>
        <v>7.6371158483287791E-5</v>
      </c>
      <c r="J105">
        <f t="array" ref="J105">KfFromP(テーブル2[[#This Row],[P]])</f>
        <v>0.51093471001103663</v>
      </c>
      <c r="K105">
        <f t="array" ref="K105">CpFFromP(テーブル2[[#This Row],[P]])</f>
        <v>6848.0719740579098</v>
      </c>
      <c r="L105">
        <f t="array" ref="L105">SigmaFromP(テーブル2[[#This Row],[P]])</f>
        <v>8.6953190176285583E-3</v>
      </c>
      <c r="M105">
        <v>104</v>
      </c>
      <c r="N105">
        <v>2359.8400242518101</v>
      </c>
      <c r="O105" s="8">
        <f t="shared" si="56"/>
        <v>2.8502295699234246E-6</v>
      </c>
      <c r="P105" s="8">
        <f t="shared" si="57"/>
        <v>5.9847340050885557E-3</v>
      </c>
      <c r="Q105" s="8">
        <v>1.905E-3</v>
      </c>
      <c r="R105">
        <v>0.15240000000000001</v>
      </c>
      <c r="S105" s="15">
        <v>3323367.87890625</v>
      </c>
      <c r="T105">
        <v>505.32839124330701</v>
      </c>
      <c r="U105" s="12">
        <f>+T105+BG105*S105*テーブル2[[#This Row],[Pw]]*R105/(N105*O105*K105)</f>
        <v>571.13621323245957</v>
      </c>
      <c r="V105">
        <v>0.03</v>
      </c>
      <c r="W105" s="8">
        <f t="shared" si="28"/>
        <v>58863.782290057075</v>
      </c>
      <c r="X105">
        <v>3.8799010040635622E-2</v>
      </c>
      <c r="Y105">
        <f t="shared" si="29"/>
        <v>5.0767955918200967</v>
      </c>
      <c r="Z105">
        <f t="shared" si="30"/>
        <v>5.076795648350104</v>
      </c>
      <c r="AA105">
        <f t="shared" si="31"/>
        <v>-5.6530007341848432E-8</v>
      </c>
      <c r="AB105">
        <f t="shared" si="32"/>
        <v>2.5268913480376843E-5</v>
      </c>
      <c r="AC105">
        <v>662.97487868833946</v>
      </c>
      <c r="AD105">
        <f t="shared" si="33"/>
        <v>2049.6678894582788</v>
      </c>
      <c r="AE105">
        <f>+gettm2(AD105,AC105,AK105,AL105,テーブル2[[#This Row],[Fcorr]])</f>
        <v>571.13621386220825</v>
      </c>
      <c r="AF105" s="14">
        <f t="shared" si="34"/>
        <v>6.2974868342280388E-7</v>
      </c>
      <c r="AG105">
        <v>2.5342561666786881E-5</v>
      </c>
      <c r="AH105">
        <f t="shared" si="35"/>
        <v>41.29335766358664</v>
      </c>
      <c r="AI105">
        <f t="shared" si="36"/>
        <v>0.25126517853384667</v>
      </c>
      <c r="AJ105">
        <f t="shared" si="37"/>
        <v>54.534209853049177</v>
      </c>
      <c r="AK105">
        <f t="array" ref="AK105">+S105*テーブル2[[#This Row],[F_form]]/(E105*CpFromTP((テーブル2[[#This Row],[Tin]]+テーブル2[[#This Row],[Tf]])/2,テーブル2[[#This Row],[P]])*AI105)</f>
        <v>4.1361944496332264</v>
      </c>
      <c r="AL105">
        <f t="shared" si="38"/>
        <v>1.023604738117011</v>
      </c>
      <c r="AM105">
        <f t="shared" si="39"/>
        <v>598.16775830021106</v>
      </c>
      <c r="AN105">
        <f t="shared" si="40"/>
        <v>1.120189381254022E-7</v>
      </c>
      <c r="AO105">
        <f t="shared" si="41"/>
        <v>7.3648186410037332E-8</v>
      </c>
      <c r="AP105">
        <v>3.6751098206559059</v>
      </c>
      <c r="AQ105">
        <f t="shared" si="42"/>
        <v>6.3383488425854923E-5</v>
      </c>
      <c r="AR105">
        <f t="shared" si="43"/>
        <v>1.2708104926598459E-5</v>
      </c>
      <c r="AS105">
        <f t="shared" si="44"/>
        <v>27.34634604085608</v>
      </c>
      <c r="AT105">
        <f t="shared" si="45"/>
        <v>13.492914599870103</v>
      </c>
      <c r="AU105">
        <f t="shared" si="46"/>
        <v>3.3902995958783078</v>
      </c>
      <c r="AV105">
        <f t="shared" si="47"/>
        <v>0.2848102247775981</v>
      </c>
      <c r="AW105">
        <f t="shared" si="48"/>
        <v>1.3659212666572497E-2</v>
      </c>
      <c r="AX105">
        <f t="shared" si="49"/>
        <v>0.28481021272900647</v>
      </c>
      <c r="AY105">
        <f t="shared" si="50"/>
        <v>1.204859162440286E-8</v>
      </c>
      <c r="AZ105">
        <f t="shared" si="51"/>
        <v>1189751.8930438254</v>
      </c>
      <c r="BA105">
        <f t="shared" si="52"/>
        <v>1.7246692349058215E-5</v>
      </c>
      <c r="BB105" s="15">
        <f t="shared" si="53"/>
        <v>3322983.8472857857</v>
      </c>
      <c r="BC105" s="20">
        <f t="shared" si="54"/>
        <v>-384.0316204642877</v>
      </c>
      <c r="BD105" s="19">
        <f t="shared" si="55"/>
        <v>-1.155549534259433E-2</v>
      </c>
      <c r="BE105" s="15">
        <v>3438503.1</v>
      </c>
      <c r="BF105" s="16">
        <f>テーブル2[[#This Row],[q_P]]/テーブル2[[#This Row],[q_M]]</f>
        <v>0.96640420283052397</v>
      </c>
      <c r="BG105">
        <v>1</v>
      </c>
      <c r="BH105">
        <v>-2.1000000000000001E-2</v>
      </c>
      <c r="BI105">
        <v>4.5999999999999999E-2</v>
      </c>
      <c r="BJ105">
        <v>5625</v>
      </c>
      <c r="BK105" s="22">
        <v>1</v>
      </c>
      <c r="BL105">
        <f>テーブル2[[#This Row],[Ts]]-テーブル2[[#This Row],[Tin]]</f>
        <v>92.83936716892299</v>
      </c>
      <c r="BM105">
        <f>テーブル2[[#This Row],[q_P]]*0.000001</f>
        <v>3.3229838472857858</v>
      </c>
      <c r="BN105">
        <f>テーブル2[[#This Row],[Tsub]]</f>
        <v>92.83936716892299</v>
      </c>
      <c r="BO105">
        <f>テーブル2[[#This Row],[Fcorr]]</f>
        <v>1</v>
      </c>
      <c r="BP105">
        <f>(テーブル2[[#This Row],[Tsub]]-40)^2</f>
        <v>2791.9987228122568</v>
      </c>
      <c r="BQ105">
        <v>1</v>
      </c>
      <c r="BR105">
        <v>0.15240000000000001</v>
      </c>
    </row>
    <row r="106" spans="1:70" x14ac:dyDescent="0.15">
      <c r="A106" s="9" t="s">
        <v>174</v>
      </c>
      <c r="B106">
        <v>12065825.263044599</v>
      </c>
      <c r="C106" s="22">
        <f t="array" ref="C106">TsatFromP(テーブル2[[#This Row],[P]])</f>
        <v>598.16775841223</v>
      </c>
      <c r="D106">
        <f t="array" ref="D106">RhoGFromP(テーブル2[[#This Row],[P]])</f>
        <v>70.719127092772837</v>
      </c>
      <c r="E106">
        <f t="array" ref="E106">RhoFFromP(テーブル2[[#This Row],[P]])</f>
        <v>654.05698086006123</v>
      </c>
      <c r="F106">
        <f t="array" ref="F106">HgFromP(テーブル2[[#This Row],[P]])</f>
        <v>2683685.0883769058</v>
      </c>
      <c r="G106">
        <f t="array" ref="G106">HfFromP(テーブル2[[#This Row],[P]])</f>
        <v>1493933.1953330804</v>
      </c>
      <c r="H106">
        <f t="array" ref="H106">MuGFromP(テーブル2[[#This Row],[P]])</f>
        <v>2.1145404359092259E-5</v>
      </c>
      <c r="I106">
        <f t="array" ref="I106">MuFFromP(テーブル2[[#This Row],[P]])</f>
        <v>7.6371158483287791E-5</v>
      </c>
      <c r="J106">
        <f t="array" ref="J106">KfFromP(テーブル2[[#This Row],[P]])</f>
        <v>0.51093471001103663</v>
      </c>
      <c r="K106">
        <f t="array" ref="K106">CpFFromP(テーブル2[[#This Row],[P]])</f>
        <v>6848.0719740579098</v>
      </c>
      <c r="L106">
        <f t="array" ref="L106">SigmaFromP(テーブル2[[#This Row],[P]])</f>
        <v>8.6953190176285583E-3</v>
      </c>
      <c r="M106">
        <v>105</v>
      </c>
      <c r="N106">
        <v>2373.4023232417599</v>
      </c>
      <c r="O106" s="8">
        <f t="shared" si="56"/>
        <v>2.8502295699234246E-6</v>
      </c>
      <c r="P106" s="8">
        <f t="shared" si="57"/>
        <v>5.9847340050885557E-3</v>
      </c>
      <c r="Q106" s="8">
        <v>1.905E-3</v>
      </c>
      <c r="R106">
        <v>0.15240000000000001</v>
      </c>
      <c r="S106" s="15">
        <v>3872772.55859375</v>
      </c>
      <c r="T106">
        <v>489.74374548652298</v>
      </c>
      <c r="U106" s="12">
        <f>+T106+BG106*S106*テーブル2[[#This Row],[Pw]]*R106/(N106*O106*K106)</f>
        <v>565.99241875713005</v>
      </c>
      <c r="V106">
        <v>0.03</v>
      </c>
      <c r="W106" s="8">
        <f t="shared" si="28"/>
        <v>59202.079889425142</v>
      </c>
      <c r="X106">
        <v>3.8689057939631663E-2</v>
      </c>
      <c r="Y106">
        <f t="shared" si="29"/>
        <v>5.0840044557431749</v>
      </c>
      <c r="Z106">
        <f t="shared" si="30"/>
        <v>5.0840044978888566</v>
      </c>
      <c r="AA106">
        <f t="shared" si="31"/>
        <v>-4.2145681611316377E-8</v>
      </c>
      <c r="AB106">
        <f t="shared" si="32"/>
        <v>2.505194544630002E-5</v>
      </c>
      <c r="AC106">
        <v>675.01812988454321</v>
      </c>
      <c r="AD106">
        <f t="shared" si="33"/>
        <v>2058.5245604412471</v>
      </c>
      <c r="AE106">
        <f>+gettm2(AD106,AC106,AK106,AL106,テーブル2[[#This Row],[Fcorr]])</f>
        <v>565.99241875712983</v>
      </c>
      <c r="AF106" s="14">
        <f t="shared" si="34"/>
        <v>0</v>
      </c>
      <c r="AG106">
        <v>2.5136620968882202E-5</v>
      </c>
      <c r="AH106">
        <f t="shared" si="35"/>
        <v>41.650988117952117</v>
      </c>
      <c r="AI106">
        <f t="shared" si="36"/>
        <v>0.25235090223923162</v>
      </c>
      <c r="AJ106">
        <f t="shared" si="37"/>
        <v>54.324778615166899</v>
      </c>
      <c r="AK106">
        <f t="array" ref="AK106">+S106*テーブル2[[#This Row],[F_form]]/(E106*CpFromTP((テーブル2[[#This Row],[Tin]]+テーブル2[[#This Row],[Tf]])/2,テーブル2[[#This Row],[P]])*AI106)</f>
        <v>4.9078457773538142</v>
      </c>
      <c r="AL106">
        <f t="shared" si="38"/>
        <v>1.023604738117011</v>
      </c>
      <c r="AM106">
        <f t="shared" si="39"/>
        <v>598.16775831803398</v>
      </c>
      <c r="AN106">
        <f t="shared" si="40"/>
        <v>9.4196025202109013E-8</v>
      </c>
      <c r="AO106">
        <f t="shared" si="41"/>
        <v>8.4675522582181994E-8</v>
      </c>
      <c r="AP106">
        <v>3.685881000590622</v>
      </c>
      <c r="AQ106">
        <f t="shared" si="42"/>
        <v>6.3013580978410456E-5</v>
      </c>
      <c r="AR106">
        <f t="shared" si="43"/>
        <v>1.2610648245732192E-5</v>
      </c>
      <c r="AS106">
        <f t="shared" si="44"/>
        <v>27.253888857664094</v>
      </c>
      <c r="AT106">
        <f t="shared" si="45"/>
        <v>13.475981106500454</v>
      </c>
      <c r="AU106">
        <f t="shared" si="46"/>
        <v>3.4006759907842286</v>
      </c>
      <c r="AV106">
        <f t="shared" si="47"/>
        <v>0.28520500980639341</v>
      </c>
      <c r="AW106">
        <f t="shared" si="48"/>
        <v>1.3541929724367446E-2</v>
      </c>
      <c r="AX106">
        <f t="shared" si="49"/>
        <v>0.28520499360575668</v>
      </c>
      <c r="AY106">
        <f t="shared" si="50"/>
        <v>1.6200636721031003E-8</v>
      </c>
      <c r="AZ106">
        <f t="shared" si="51"/>
        <v>1189751.8930438254</v>
      </c>
      <c r="BA106">
        <f t="shared" si="52"/>
        <v>1.7095934721797374E-5</v>
      </c>
      <c r="BB106" s="15">
        <f t="shared" si="53"/>
        <v>3854224.6491171182</v>
      </c>
      <c r="BC106" s="20">
        <f t="shared" si="54"/>
        <v>-18547.909476631787</v>
      </c>
      <c r="BD106" s="19">
        <f t="shared" si="55"/>
        <v>-0.47893102928220382</v>
      </c>
      <c r="BE106" s="15">
        <v>3974783.4</v>
      </c>
      <c r="BF106" s="16">
        <f>テーブル2[[#This Row],[q_P]]/テーブル2[[#This Row],[q_M]]</f>
        <v>0.96966910174705834</v>
      </c>
      <c r="BG106">
        <v>1</v>
      </c>
      <c r="BH106">
        <v>-2.3E-2</v>
      </c>
      <c r="BI106">
        <v>4.5999999999999999E-2</v>
      </c>
      <c r="BJ106">
        <v>5625</v>
      </c>
      <c r="BK106" s="22">
        <v>1</v>
      </c>
      <c r="BL106">
        <f>テーブル2[[#This Row],[Ts]]-テーブル2[[#This Row],[Tin]]</f>
        <v>108.42401292570702</v>
      </c>
      <c r="BM106">
        <f>テーブル2[[#This Row],[q_P]]*0.000001</f>
        <v>3.8542246491171182</v>
      </c>
      <c r="BN106">
        <f>テーブル2[[#This Row],[Tsub]]</f>
        <v>108.42401292570702</v>
      </c>
      <c r="BO106">
        <f>テーブル2[[#This Row],[Fcorr]]</f>
        <v>1</v>
      </c>
      <c r="BP106">
        <f>(テーブル2[[#This Row],[Tsub]]-40)^2</f>
        <v>4681.8455448573213</v>
      </c>
      <c r="BQ106">
        <v>1</v>
      </c>
      <c r="BR106">
        <v>0.15240000000000001</v>
      </c>
    </row>
    <row r="107" spans="1:70" x14ac:dyDescent="0.15">
      <c r="A107" s="9" t="s">
        <v>175</v>
      </c>
      <c r="B107">
        <v>12065825.263044599</v>
      </c>
      <c r="C107" s="22">
        <f t="array" ref="C107">TsatFromP(テーブル2[[#This Row],[P]])</f>
        <v>598.16775841223</v>
      </c>
      <c r="D107">
        <f t="array" ref="D107">RhoGFromP(テーブル2[[#This Row],[P]])</f>
        <v>70.719127092772837</v>
      </c>
      <c r="E107">
        <f t="array" ref="E107">RhoFFromP(テーブル2[[#This Row],[P]])</f>
        <v>654.05698086006123</v>
      </c>
      <c r="F107">
        <f t="array" ref="F107">HgFromP(テーブル2[[#This Row],[P]])</f>
        <v>2683685.0883769058</v>
      </c>
      <c r="G107">
        <f t="array" ref="G107">HfFromP(テーブル2[[#This Row],[P]])</f>
        <v>1493933.1953330804</v>
      </c>
      <c r="H107">
        <f t="array" ref="H107">MuGFromP(テーブル2[[#This Row],[P]])</f>
        <v>2.1145404359092259E-5</v>
      </c>
      <c r="I107">
        <f t="array" ref="I107">MuFFromP(テーブル2[[#This Row],[P]])</f>
        <v>7.6371158483287791E-5</v>
      </c>
      <c r="J107">
        <f t="array" ref="J107">KfFromP(テーブル2[[#This Row],[P]])</f>
        <v>0.51093471001103663</v>
      </c>
      <c r="K107">
        <f t="array" ref="K107">CpFFromP(テーブル2[[#This Row],[P]])</f>
        <v>6848.0719740579098</v>
      </c>
      <c r="L107">
        <f t="array" ref="L107">SigmaFromP(テーブル2[[#This Row],[P]])</f>
        <v>8.6953190176285583E-3</v>
      </c>
      <c r="M107">
        <v>106</v>
      </c>
      <c r="N107">
        <v>2427.65151920157</v>
      </c>
      <c r="O107" s="8">
        <f t="shared" si="56"/>
        <v>2.8502295699234246E-6</v>
      </c>
      <c r="P107" s="8">
        <f t="shared" si="57"/>
        <v>5.9847340050885557E-3</v>
      </c>
      <c r="Q107" s="8">
        <v>1.905E-3</v>
      </c>
      <c r="R107">
        <v>0.15240000000000001</v>
      </c>
      <c r="S107" s="15">
        <v>3996234.31640625</v>
      </c>
      <c r="T107">
        <v>488.095222083176</v>
      </c>
      <c r="U107" s="12">
        <f>+T107+BG107*S107*テーブル2[[#This Row],[Pw]]*R107/(N107*O107*K107)</f>
        <v>565.01645941539311</v>
      </c>
      <c r="V107">
        <v>0.03</v>
      </c>
      <c r="W107" s="8">
        <f t="shared" si="28"/>
        <v>60555.270286897678</v>
      </c>
      <c r="X107">
        <v>3.8259725010977207E-2</v>
      </c>
      <c r="Y107">
        <f t="shared" si="29"/>
        <v>5.1124500501846093</v>
      </c>
      <c r="Z107">
        <f t="shared" si="30"/>
        <v>5.1124500834252942</v>
      </c>
      <c r="AA107">
        <f t="shared" si="31"/>
        <v>-3.3240684871316262E-8</v>
      </c>
      <c r="AB107">
        <f t="shared" si="32"/>
        <v>2.4213513007879937E-5</v>
      </c>
      <c r="AC107">
        <v>676.12142444050983</v>
      </c>
      <c r="AD107">
        <f t="shared" si="33"/>
        <v>2093.8611544431333</v>
      </c>
      <c r="AE107">
        <f>+gettm2(AD107,AC107,AK107,AL107,テーブル2[[#This Row],[Fcorr]])</f>
        <v>565.01646017660732</v>
      </c>
      <c r="AF107" s="14">
        <f t="shared" si="34"/>
        <v>7.6121420988783939E-7</v>
      </c>
      <c r="AG107">
        <v>2.429852627474098E-5</v>
      </c>
      <c r="AH107">
        <f t="shared" si="35"/>
        <v>43.093221614552789</v>
      </c>
      <c r="AI107">
        <f t="shared" si="36"/>
        <v>0.25668275309483951</v>
      </c>
      <c r="AJ107">
        <f t="shared" si="37"/>
        <v>53.414950421938009</v>
      </c>
      <c r="AK107">
        <f t="array" ref="AK107">+S107*テーブル2[[#This Row],[F_form]]/(E107*CpFromTP((テーブル2[[#This Row],[Tin]]+テーブル2[[#This Row],[Tf]])/2,テーブル2[[#This Row],[P]])*AI107)</f>
        <v>4.991765323732519</v>
      </c>
      <c r="AL107">
        <f t="shared" si="38"/>
        <v>1.023604738117011</v>
      </c>
      <c r="AM107">
        <f t="shared" si="39"/>
        <v>598.16775827399852</v>
      </c>
      <c r="AN107">
        <f t="shared" si="40"/>
        <v>1.3823148492519977E-7</v>
      </c>
      <c r="AO107">
        <f t="shared" si="41"/>
        <v>8.5013266861042535E-8</v>
      </c>
      <c r="AP107">
        <v>3.7246249403448068</v>
      </c>
      <c r="AQ107">
        <f t="shared" si="42"/>
        <v>6.1709451513758837E-5</v>
      </c>
      <c r="AR107">
        <f t="shared" si="43"/>
        <v>1.2191769770801011E-5</v>
      </c>
      <c r="AS107">
        <f t="shared" si="44"/>
        <v>26.800916668760415</v>
      </c>
      <c r="AT107">
        <f t="shared" si="45"/>
        <v>13.39218045495045</v>
      </c>
      <c r="AU107">
        <f t="shared" si="46"/>
        <v>3.4375417491195819</v>
      </c>
      <c r="AV107">
        <f t="shared" si="47"/>
        <v>0.28708319122522497</v>
      </c>
      <c r="AW107">
        <f t="shared" si="48"/>
        <v>1.3088711702475589E-2</v>
      </c>
      <c r="AX107">
        <f t="shared" si="49"/>
        <v>0.28708315801375012</v>
      </c>
      <c r="AY107">
        <f t="shared" si="50"/>
        <v>3.3211474848027223E-8</v>
      </c>
      <c r="AZ107">
        <f t="shared" si="51"/>
        <v>1189751.8930438254</v>
      </c>
      <c r="BA107">
        <f t="shared" si="52"/>
        <v>1.6567963889552351E-5</v>
      </c>
      <c r="BB107" s="15">
        <f t="shared" si="53"/>
        <v>3992910.3178642914</v>
      </c>
      <c r="BC107" s="20">
        <f t="shared" si="54"/>
        <v>-3323.9985419586301</v>
      </c>
      <c r="BD107" s="19">
        <f t="shared" si="55"/>
        <v>-8.3178269309990033E-2</v>
      </c>
      <c r="BE107" s="15">
        <v>4069421.1</v>
      </c>
      <c r="BF107" s="16">
        <f>テーブル2[[#This Row],[q_P]]/テーブル2[[#This Row],[q_M]]</f>
        <v>0.98119860779811929</v>
      </c>
      <c r="BG107">
        <v>1</v>
      </c>
      <c r="BH107">
        <v>-2.9000000000000001E-2</v>
      </c>
      <c r="BI107">
        <v>4.5999999999999999E-2</v>
      </c>
      <c r="BJ107">
        <v>5625</v>
      </c>
      <c r="BK107" s="22">
        <v>1</v>
      </c>
      <c r="BL107">
        <f>テーブル2[[#This Row],[Ts]]-テーブル2[[#This Row],[Tin]]</f>
        <v>110.072536329054</v>
      </c>
      <c r="BM107">
        <f>テーブル2[[#This Row],[q_P]]*0.000001</f>
        <v>3.9929103178642911</v>
      </c>
      <c r="BN107">
        <f>テーブル2[[#This Row],[Tsub]]</f>
        <v>110.072536329054</v>
      </c>
      <c r="BO107">
        <f>テーブル2[[#This Row],[Fcorr]]</f>
        <v>1</v>
      </c>
      <c r="BP107">
        <f>(テーブル2[[#This Row],[Tsub]]-40)^2</f>
        <v>4910.1603475865932</v>
      </c>
      <c r="BQ107">
        <v>1</v>
      </c>
      <c r="BR107">
        <v>0.15240000000000001</v>
      </c>
    </row>
    <row r="108" spans="1:70" x14ac:dyDescent="0.15">
      <c r="A108" s="9" t="s">
        <v>176</v>
      </c>
      <c r="B108">
        <v>12065825.263044599</v>
      </c>
      <c r="C108" s="22">
        <f t="array" ref="C108">TsatFromP(テーブル2[[#This Row],[P]])</f>
        <v>598.16775841223</v>
      </c>
      <c r="D108">
        <f t="array" ref="D108">RhoGFromP(テーブル2[[#This Row],[P]])</f>
        <v>70.719127092772837</v>
      </c>
      <c r="E108">
        <f t="array" ref="E108">RhoFFromP(テーブル2[[#This Row],[P]])</f>
        <v>654.05698086006123</v>
      </c>
      <c r="F108">
        <f t="array" ref="F108">HgFromP(テーブル2[[#This Row],[P]])</f>
        <v>2683685.0883769058</v>
      </c>
      <c r="G108">
        <f t="array" ref="G108">HfFromP(テーブル2[[#This Row],[P]])</f>
        <v>1493933.1953330804</v>
      </c>
      <c r="H108">
        <f t="array" ref="H108">MuGFromP(テーブル2[[#This Row],[P]])</f>
        <v>2.1145404359092259E-5</v>
      </c>
      <c r="I108">
        <f t="array" ref="I108">MuFFromP(テーブル2[[#This Row],[P]])</f>
        <v>7.6371158483287791E-5</v>
      </c>
      <c r="J108">
        <f t="array" ref="J108">KfFromP(テーブル2[[#This Row],[P]])</f>
        <v>0.51093471001103663</v>
      </c>
      <c r="K108">
        <f t="array" ref="K108">CpFFromP(テーブル2[[#This Row],[P]])</f>
        <v>6848.0719740579098</v>
      </c>
      <c r="L108">
        <f t="array" ref="L108">SigmaFromP(テーブル2[[#This Row],[P]])</f>
        <v>8.6953190176285583E-3</v>
      </c>
      <c r="M108">
        <v>107</v>
      </c>
      <c r="N108">
        <v>2509.0253131412901</v>
      </c>
      <c r="O108" s="8">
        <f t="shared" si="56"/>
        <v>2.8502295699234246E-6</v>
      </c>
      <c r="P108" s="8">
        <f t="shared" si="57"/>
        <v>5.9847340050885557E-3</v>
      </c>
      <c r="Q108" s="8">
        <v>1.905E-3</v>
      </c>
      <c r="R108">
        <v>0.15240000000000001</v>
      </c>
      <c r="S108" s="15">
        <v>5177421.33203125</v>
      </c>
      <c r="T108">
        <v>457.53598356801803</v>
      </c>
      <c r="U108" s="12">
        <f>+T108+BG108*S108*テーブル2[[#This Row],[Pw]]*R108/(N108*O108*K108)</f>
        <v>553.96109025150349</v>
      </c>
      <c r="V108">
        <v>0.03</v>
      </c>
      <c r="W108" s="8">
        <f t="shared" si="28"/>
        <v>62585.055883106616</v>
      </c>
      <c r="X108">
        <v>3.7645423118246292E-2</v>
      </c>
      <c r="Y108">
        <f t="shared" si="29"/>
        <v>5.1539939996903605</v>
      </c>
      <c r="Z108">
        <f t="shared" si="30"/>
        <v>5.1539940048134589</v>
      </c>
      <c r="AA108">
        <f t="shared" si="31"/>
        <v>-5.1230983899586136E-9</v>
      </c>
      <c r="AB108">
        <f t="shared" si="32"/>
        <v>2.3038280944948389E-5</v>
      </c>
      <c r="AC108">
        <v>699.84347499628984</v>
      </c>
      <c r="AD108">
        <f t="shared" si="33"/>
        <v>2146.603072226239</v>
      </c>
      <c r="AE108">
        <f>+gettm2(AD108,AC108,AK108,AL108,テーブル2[[#This Row],[Fcorr]])</f>
        <v>553.96109025150361</v>
      </c>
      <c r="AF108" s="14">
        <f t="shared" si="34"/>
        <v>0</v>
      </c>
      <c r="AG108">
        <v>2.314260095332363E-5</v>
      </c>
      <c r="AH108">
        <f t="shared" si="35"/>
        <v>45.291499162146557</v>
      </c>
      <c r="AI108">
        <f t="shared" si="36"/>
        <v>0.26314829195415784</v>
      </c>
      <c r="AJ108">
        <f t="shared" si="37"/>
        <v>52.155357801270753</v>
      </c>
      <c r="AK108">
        <f t="array" ref="AK108">+S108*テーブル2[[#This Row],[F_form]]/(E108*CpFromTP((テーブル2[[#This Row],[Tin]]+テーブル2[[#This Row],[Tf]])/2,テーブル2[[#This Row],[P]])*AI108)</f>
        <v>6.5357761019731146</v>
      </c>
      <c r="AL108">
        <f t="shared" si="38"/>
        <v>1.023604738117011</v>
      </c>
      <c r="AM108">
        <f t="shared" si="39"/>
        <v>598.16775834802047</v>
      </c>
      <c r="AN108">
        <f t="shared" si="40"/>
        <v>6.4209530137304682E-8</v>
      </c>
      <c r="AO108">
        <f t="shared" si="41"/>
        <v>1.0432000837524126E-7</v>
      </c>
      <c r="AP108">
        <v>3.7837673198526769</v>
      </c>
      <c r="AQ108">
        <f t="shared" si="42"/>
        <v>5.9795422178840497E-5</v>
      </c>
      <c r="AR108">
        <f t="shared" si="43"/>
        <v>1.1623460480849436E-5</v>
      </c>
      <c r="AS108">
        <f t="shared" si="44"/>
        <v>26.195229373324594</v>
      </c>
      <c r="AT108">
        <f t="shared" si="45"/>
        <v>13.277886545999781</v>
      </c>
      <c r="AU108">
        <f t="shared" si="46"/>
        <v>3.4940531653409348</v>
      </c>
      <c r="AV108">
        <f t="shared" si="47"/>
        <v>0.28971415451174209</v>
      </c>
      <c r="AW108">
        <f t="shared" si="48"/>
        <v>1.2453435290902813E-2</v>
      </c>
      <c r="AX108">
        <f t="shared" si="49"/>
        <v>0.28971414970586518</v>
      </c>
      <c r="AY108">
        <f t="shared" si="50"/>
        <v>4.8058769186454242E-9</v>
      </c>
      <c r="AZ108">
        <f t="shared" si="51"/>
        <v>1189751.8930438254</v>
      </c>
      <c r="BA108">
        <f t="shared" si="52"/>
        <v>1.5803144623905856E-5</v>
      </c>
      <c r="BB108" s="15">
        <f t="shared" si="53"/>
        <v>5136840.5882151509</v>
      </c>
      <c r="BC108" s="20">
        <f t="shared" si="54"/>
        <v>-40580.74381609913</v>
      </c>
      <c r="BD108" s="19">
        <f t="shared" si="55"/>
        <v>-0.78380222921085219</v>
      </c>
      <c r="BE108" s="15">
        <v>5110435.8000000007</v>
      </c>
      <c r="BF108" s="16">
        <f>テーブル2[[#This Row],[q_P]]/テーブル2[[#This Row],[q_M]]</f>
        <v>1.0051668368899478</v>
      </c>
      <c r="BG108">
        <v>1</v>
      </c>
      <c r="BH108">
        <v>-4.5999999999999999E-2</v>
      </c>
      <c r="BI108">
        <v>4.5999999999999999E-2</v>
      </c>
      <c r="BJ108">
        <v>5625</v>
      </c>
      <c r="BK108" s="22">
        <v>1</v>
      </c>
      <c r="BL108">
        <f>テーブル2[[#This Row],[Ts]]-テーブル2[[#This Row],[Tin]]</f>
        <v>140.63177484421198</v>
      </c>
      <c r="BM108">
        <f>テーブル2[[#This Row],[q_P]]*0.000001</f>
        <v>5.1368405882151507</v>
      </c>
      <c r="BN108">
        <f>テーブル2[[#This Row],[Tsub]]</f>
        <v>140.63177484421198</v>
      </c>
      <c r="BO108">
        <f>テーブル2[[#This Row],[Fcorr]]</f>
        <v>1</v>
      </c>
      <c r="BP108">
        <f>(テーブル2[[#This Row],[Tsub]]-40)^2</f>
        <v>10126.754108296174</v>
      </c>
      <c r="BQ108">
        <v>1</v>
      </c>
      <c r="BR108">
        <v>0.15240000000000001</v>
      </c>
    </row>
    <row r="109" spans="1:70" x14ac:dyDescent="0.15">
      <c r="A109" s="9" t="s">
        <v>177</v>
      </c>
      <c r="B109">
        <v>12065825.263044599</v>
      </c>
      <c r="C109" s="22">
        <f t="array" ref="C109">TsatFromP(テーブル2[[#This Row],[P]])</f>
        <v>598.16775841223</v>
      </c>
      <c r="D109">
        <f t="array" ref="D109">RhoGFromP(テーブル2[[#This Row],[P]])</f>
        <v>70.719127092772837</v>
      </c>
      <c r="E109">
        <f t="array" ref="E109">RhoFFromP(テーブル2[[#This Row],[P]])</f>
        <v>654.05698086006123</v>
      </c>
      <c r="F109">
        <f t="array" ref="F109">HgFromP(テーブル2[[#This Row],[P]])</f>
        <v>2683685.0883769058</v>
      </c>
      <c r="G109">
        <f t="array" ref="G109">HfFromP(テーブル2[[#This Row],[P]])</f>
        <v>1493933.1953330804</v>
      </c>
      <c r="H109">
        <f t="array" ref="H109">MuGFromP(テーブル2[[#This Row],[P]])</f>
        <v>2.1145404359092259E-5</v>
      </c>
      <c r="I109">
        <f t="array" ref="I109">MuFFromP(テーブル2[[#This Row],[P]])</f>
        <v>7.6371158483287791E-5</v>
      </c>
      <c r="J109">
        <f t="array" ref="J109">KfFromP(テーブル2[[#This Row],[P]])</f>
        <v>0.51093471001103663</v>
      </c>
      <c r="K109">
        <f t="array" ref="K109">CpFFromP(テーブル2[[#This Row],[P]])</f>
        <v>6848.0719740579098</v>
      </c>
      <c r="L109">
        <f t="array" ref="L109">SigmaFromP(テーブル2[[#This Row],[P]])</f>
        <v>8.6953190176285583E-3</v>
      </c>
      <c r="M109">
        <v>108</v>
      </c>
      <c r="N109">
        <v>2509.0253131412901</v>
      </c>
      <c r="O109" s="8">
        <f t="shared" si="56"/>
        <v>2.8502295699234246E-6</v>
      </c>
      <c r="P109" s="8">
        <f t="shared" si="57"/>
        <v>5.9847340050885557E-3</v>
      </c>
      <c r="Q109" s="8">
        <v>1.905E-3</v>
      </c>
      <c r="R109">
        <v>0.15240000000000001</v>
      </c>
      <c r="S109" s="15">
        <v>5156818.41796875</v>
      </c>
      <c r="T109">
        <v>458.12079612380802</v>
      </c>
      <c r="U109" s="12">
        <f>+T109+BG109*S109*テーブル2[[#This Row],[Pw]]*R109/(N109*O109*K109)</f>
        <v>554.16219090535185</v>
      </c>
      <c r="V109">
        <v>0.03</v>
      </c>
      <c r="W109" s="8">
        <f t="shared" si="28"/>
        <v>62585.055883106616</v>
      </c>
      <c r="X109">
        <v>3.7645423118246292E-2</v>
      </c>
      <c r="Y109">
        <f t="shared" si="29"/>
        <v>5.1539939996903605</v>
      </c>
      <c r="Z109">
        <f t="shared" si="30"/>
        <v>5.1539940048134589</v>
      </c>
      <c r="AA109">
        <f t="shared" si="31"/>
        <v>-5.1230983899586136E-9</v>
      </c>
      <c r="AB109">
        <f t="shared" si="32"/>
        <v>2.3038280944948389E-5</v>
      </c>
      <c r="AC109">
        <v>699.37960283900463</v>
      </c>
      <c r="AD109">
        <f t="shared" si="33"/>
        <v>2146.603072226239</v>
      </c>
      <c r="AE109">
        <f>+gettm2(AD109,AC109,AK109,AL109,テーブル2[[#This Row],[Fcorr]])</f>
        <v>554.16219090535174</v>
      </c>
      <c r="AF109" s="14">
        <f t="shared" si="34"/>
        <v>0</v>
      </c>
      <c r="AG109">
        <v>2.31420236618074E-5</v>
      </c>
      <c r="AH109">
        <f t="shared" si="35"/>
        <v>45.291499162146557</v>
      </c>
      <c r="AI109">
        <f t="shared" si="36"/>
        <v>0.26314829195415784</v>
      </c>
      <c r="AJ109">
        <f t="shared" si="37"/>
        <v>52.154056787368063</v>
      </c>
      <c r="AK109">
        <f t="array" ref="AK109">+S109*テーブル2[[#This Row],[F_form]]/(E109*CpFromTP((テーブル2[[#This Row],[Tin]]+テーブル2[[#This Row],[Tf]])/2,テーブル2[[#This Row],[P]])*AI109)</f>
        <v>6.5059842020458394</v>
      </c>
      <c r="AL109">
        <f t="shared" si="38"/>
        <v>1.023604738117011</v>
      </c>
      <c r="AM109">
        <f t="shared" si="39"/>
        <v>598.16775834836653</v>
      </c>
      <c r="AN109">
        <f t="shared" si="40"/>
        <v>6.3863467403280083E-8</v>
      </c>
      <c r="AO109">
        <f t="shared" si="41"/>
        <v>1.0374271685901159E-7</v>
      </c>
      <c r="AP109">
        <v>3.7837066183736101</v>
      </c>
      <c r="AQ109">
        <f t="shared" si="42"/>
        <v>5.9797340773514411E-5</v>
      </c>
      <c r="AR109">
        <f t="shared" si="43"/>
        <v>1.1622883189333206E-5</v>
      </c>
      <c r="AS109">
        <f t="shared" si="44"/>
        <v>26.193928359421903</v>
      </c>
      <c r="AT109">
        <f t="shared" si="45"/>
        <v>13.277638209519628</v>
      </c>
      <c r="AU109">
        <f t="shared" si="46"/>
        <v>3.4939878160203528</v>
      </c>
      <c r="AV109">
        <f t="shared" si="47"/>
        <v>0.28971880235325731</v>
      </c>
      <c r="AW109">
        <f t="shared" si="48"/>
        <v>1.2453435290902813E-2</v>
      </c>
      <c r="AX109">
        <f t="shared" si="49"/>
        <v>0.2897187975496775</v>
      </c>
      <c r="AY109">
        <f t="shared" si="50"/>
        <v>4.8035798116963235E-9</v>
      </c>
      <c r="AZ109">
        <f t="shared" si="51"/>
        <v>1189751.8930438254</v>
      </c>
      <c r="BA109">
        <f t="shared" si="52"/>
        <v>1.5803905219062076E-5</v>
      </c>
      <c r="BB109" s="15">
        <f t="shared" si="53"/>
        <v>5108168.2183713522</v>
      </c>
      <c r="BC109" s="20">
        <f t="shared" si="54"/>
        <v>-48650.199597397819</v>
      </c>
      <c r="BD109" s="19">
        <f t="shared" si="55"/>
        <v>-0.94341502170946989</v>
      </c>
      <c r="BE109" s="15">
        <v>5110435.8000000007</v>
      </c>
      <c r="BF109" s="16">
        <f>テーブル2[[#This Row],[q_P]]/テーブル2[[#This Row],[q_M]]</f>
        <v>0.99955628409838382</v>
      </c>
      <c r="BG109">
        <v>1</v>
      </c>
      <c r="BH109">
        <v>-4.2999999999999997E-2</v>
      </c>
      <c r="BI109">
        <v>4.5999999999999999E-2</v>
      </c>
      <c r="BJ109">
        <v>5625</v>
      </c>
      <c r="BK109" s="22">
        <v>1</v>
      </c>
      <c r="BL109">
        <f>テーブル2[[#This Row],[Ts]]-テーブル2[[#This Row],[Tin]]</f>
        <v>140.04696228842198</v>
      </c>
      <c r="BM109">
        <f>テーブル2[[#This Row],[q_P]]*0.000001</f>
        <v>5.1081682183713522</v>
      </c>
      <c r="BN109">
        <f>テーブル2[[#This Row],[Tsub]]</f>
        <v>140.04696228842198</v>
      </c>
      <c r="BO109">
        <f>テーブル2[[#This Row],[Fcorr]]</f>
        <v>1</v>
      </c>
      <c r="BP109">
        <f>(テーブル2[[#This Row],[Tsub]]-40)^2</f>
        <v>10009.394663140931</v>
      </c>
      <c r="BQ109">
        <v>1</v>
      </c>
      <c r="BR109">
        <v>0.15240000000000001</v>
      </c>
    </row>
    <row r="110" spans="1:70" x14ac:dyDescent="0.15">
      <c r="A110" s="9" t="s">
        <v>178</v>
      </c>
      <c r="B110">
        <v>12065825.263044599</v>
      </c>
      <c r="C110" s="22">
        <f t="array" ref="C110">TsatFromP(テーブル2[[#This Row],[P]])</f>
        <v>598.16775841223</v>
      </c>
      <c r="D110">
        <f t="array" ref="D110">RhoGFromP(テーブル2[[#This Row],[P]])</f>
        <v>70.719127092772837</v>
      </c>
      <c r="E110">
        <f t="array" ref="E110">RhoFFromP(テーブル2[[#This Row],[P]])</f>
        <v>654.05698086006123</v>
      </c>
      <c r="F110">
        <f t="array" ref="F110">HgFromP(テーブル2[[#This Row],[P]])</f>
        <v>2683685.0883769058</v>
      </c>
      <c r="G110">
        <f t="array" ref="G110">HfFromP(テーブル2[[#This Row],[P]])</f>
        <v>1493933.1953330804</v>
      </c>
      <c r="H110">
        <f t="array" ref="H110">MuGFromP(テーブル2[[#This Row],[P]])</f>
        <v>2.1145404359092259E-5</v>
      </c>
      <c r="I110">
        <f t="array" ref="I110">MuFFromP(テーブル2[[#This Row],[P]])</f>
        <v>7.6371158483287791E-5</v>
      </c>
      <c r="J110">
        <f t="array" ref="J110">KfFromP(テーブル2[[#This Row],[P]])</f>
        <v>0.51093471001103663</v>
      </c>
      <c r="K110">
        <f t="array" ref="K110">CpFFromP(テーブル2[[#This Row],[P]])</f>
        <v>6848.0719740579098</v>
      </c>
      <c r="L110">
        <f t="array" ref="L110">SigmaFromP(テーブル2[[#This Row],[P]])</f>
        <v>8.6953190176285583E-3</v>
      </c>
      <c r="M110">
        <v>109</v>
      </c>
      <c r="N110">
        <v>2563.2745091011002</v>
      </c>
      <c r="O110" s="8">
        <f t="shared" si="56"/>
        <v>2.8502295699234246E-6</v>
      </c>
      <c r="P110" s="8">
        <f t="shared" si="57"/>
        <v>5.9847340050885557E-3</v>
      </c>
      <c r="Q110" s="8">
        <v>1.905E-3</v>
      </c>
      <c r="R110">
        <v>0.15240000000000001</v>
      </c>
      <c r="S110" s="15">
        <v>4541772.94921875</v>
      </c>
      <c r="T110">
        <v>477.56256686264697</v>
      </c>
      <c r="U110" s="12">
        <f>+T110+BG110*S110*テーブル2[[#This Row],[Pw]]*R110/(N110*O110*K110)</f>
        <v>560.35906386805732</v>
      </c>
      <c r="V110">
        <v>0.03</v>
      </c>
      <c r="W110" s="8">
        <f t="shared" si="28"/>
        <v>63938.246280579144</v>
      </c>
      <c r="X110">
        <v>3.7254333224781548E-2</v>
      </c>
      <c r="Y110">
        <f t="shared" si="29"/>
        <v>5.1809762634966674</v>
      </c>
      <c r="Z110">
        <f t="shared" si="30"/>
        <v>5.1809763082277911</v>
      </c>
      <c r="AA110">
        <f t="shared" si="31"/>
        <v>-4.4731123693964037E-8</v>
      </c>
      <c r="AB110">
        <f t="shared" si="32"/>
        <v>2.2305158130225816E-5</v>
      </c>
      <c r="AC110">
        <v>683.84871322237086</v>
      </c>
      <c r="AD110">
        <f t="shared" si="33"/>
        <v>2181.5949940127603</v>
      </c>
      <c r="AE110">
        <f>+gettm2(AD110,AC110,AK110,AL110,テーブル2[[#This Row],[Fcorr]])</f>
        <v>560.35906470654436</v>
      </c>
      <c r="AF110" s="14">
        <f t="shared" si="34"/>
        <v>8.3848703980038408E-7</v>
      </c>
      <c r="AG110">
        <v>2.2394769029829261E-5</v>
      </c>
      <c r="AH110">
        <f t="shared" si="35"/>
        <v>46.780133815839633</v>
      </c>
      <c r="AI110">
        <f t="shared" si="36"/>
        <v>0.26743789004961149</v>
      </c>
      <c r="AJ110">
        <f t="shared" si="37"/>
        <v>51.292720217897653</v>
      </c>
      <c r="AK110">
        <f t="array" ref="AK110">+S110*テーブル2[[#This Row],[F_form]]/(E110*CpFromTP((テーブル2[[#This Row],[Tin]]+テーブル2[[#This Row],[Tf]])/2,テーブル2[[#This Row],[P]])*AI110)</f>
        <v>5.5224243725919182</v>
      </c>
      <c r="AL110">
        <f t="shared" si="38"/>
        <v>1.023604738117011</v>
      </c>
      <c r="AM110">
        <f t="shared" si="39"/>
        <v>598.16775834528346</v>
      </c>
      <c r="AN110">
        <f t="shared" si="40"/>
        <v>6.6946540755452588E-8</v>
      </c>
      <c r="AO110">
        <f t="shared" si="41"/>
        <v>8.9610899603444693E-8</v>
      </c>
      <c r="AP110">
        <v>3.819700987961856</v>
      </c>
      <c r="AQ110">
        <f t="shared" si="42"/>
        <v>5.8675668507989982E-5</v>
      </c>
      <c r="AR110">
        <f t="shared" si="43"/>
        <v>1.1242189964716353E-5</v>
      </c>
      <c r="AS110">
        <f t="shared" si="44"/>
        <v>25.748981993454787</v>
      </c>
      <c r="AT110">
        <f t="shared" si="45"/>
        <v>13.191975460467406</v>
      </c>
      <c r="AU110">
        <f t="shared" si="46"/>
        <v>3.5280340827336549</v>
      </c>
      <c r="AV110">
        <f t="shared" si="47"/>
        <v>0.29166690522820105</v>
      </c>
      <c r="AW110">
        <f t="shared" si="48"/>
        <v>1.2057142809044094E-2</v>
      </c>
      <c r="AX110">
        <f t="shared" si="49"/>
        <v>0.29166689847382071</v>
      </c>
      <c r="AY110">
        <f t="shared" si="50"/>
        <v>6.7543803328184993E-9</v>
      </c>
      <c r="AZ110">
        <f t="shared" si="51"/>
        <v>1189751.8930438254</v>
      </c>
      <c r="BA110">
        <f t="shared" si="52"/>
        <v>1.5361325059975069E-5</v>
      </c>
      <c r="BB110" s="15">
        <f t="shared" si="53"/>
        <v>4539459.5201459145</v>
      </c>
      <c r="BC110" s="20">
        <f t="shared" si="54"/>
        <v>-2313.4290728354827</v>
      </c>
      <c r="BD110" s="19">
        <f t="shared" si="55"/>
        <v>-5.0936695838866751E-2</v>
      </c>
      <c r="BE110" s="15">
        <v>4605701.4000000004</v>
      </c>
      <c r="BF110" s="16">
        <f>テーブル2[[#This Row],[q_P]]/テーブル2[[#This Row],[q_M]]</f>
        <v>0.9856174176089475</v>
      </c>
      <c r="BG110">
        <v>1</v>
      </c>
      <c r="BH110">
        <v>-3.5999999999999997E-2</v>
      </c>
      <c r="BI110">
        <v>4.5999999999999999E-2</v>
      </c>
      <c r="BJ110">
        <v>5625</v>
      </c>
      <c r="BK110" s="22">
        <v>1</v>
      </c>
      <c r="BL110">
        <f>テーブル2[[#This Row],[Ts]]-テーブル2[[#This Row],[Tin]]</f>
        <v>120.60519154958303</v>
      </c>
      <c r="BM110">
        <f>テーブル2[[#This Row],[q_P]]*0.000001</f>
        <v>4.5394595201459147</v>
      </c>
      <c r="BN110">
        <f>テーブル2[[#This Row],[Tsub]]</f>
        <v>120.60519154958303</v>
      </c>
      <c r="BO110">
        <f>テーブル2[[#This Row],[Fcorr]]</f>
        <v>1</v>
      </c>
      <c r="BP110">
        <f>(テーブル2[[#This Row],[Tsub]]-40)^2</f>
        <v>6497.1969047449711</v>
      </c>
      <c r="BQ110">
        <v>1</v>
      </c>
      <c r="BR110">
        <v>0.15240000000000001</v>
      </c>
    </row>
    <row r="111" spans="1:70" x14ac:dyDescent="0.15">
      <c r="A111" s="9" t="s">
        <v>179</v>
      </c>
      <c r="B111">
        <v>12065825.263044599</v>
      </c>
      <c r="C111" s="22">
        <f t="array" ref="C111">TsatFromP(テーブル2[[#This Row],[P]])</f>
        <v>598.16775841223</v>
      </c>
      <c r="D111">
        <f t="array" ref="D111">RhoGFromP(テーブル2[[#This Row],[P]])</f>
        <v>70.719127092772837</v>
      </c>
      <c r="E111">
        <f t="array" ref="E111">RhoFFromP(テーブル2[[#This Row],[P]])</f>
        <v>654.05698086006123</v>
      </c>
      <c r="F111">
        <f t="array" ref="F111">HgFromP(テーブル2[[#This Row],[P]])</f>
        <v>2683685.0883769058</v>
      </c>
      <c r="G111">
        <f t="array" ref="G111">HfFromP(テーブル2[[#This Row],[P]])</f>
        <v>1493933.1953330804</v>
      </c>
      <c r="H111">
        <f t="array" ref="H111">MuGFromP(テーブル2[[#This Row],[P]])</f>
        <v>2.1145404359092259E-5</v>
      </c>
      <c r="I111">
        <f t="array" ref="I111">MuFFromP(テーブル2[[#This Row],[P]])</f>
        <v>7.6371158483287791E-5</v>
      </c>
      <c r="J111">
        <f t="array" ref="J111">KfFromP(テーブル2[[#This Row],[P]])</f>
        <v>0.51093471001103663</v>
      </c>
      <c r="K111">
        <f t="array" ref="K111">CpFFromP(テーブル2[[#This Row],[P]])</f>
        <v>6848.0719740579098</v>
      </c>
      <c r="L111">
        <f t="array" ref="L111">SigmaFromP(テーブル2[[#This Row],[P]])</f>
        <v>8.6953190176285583E-3</v>
      </c>
      <c r="M111">
        <v>110</v>
      </c>
      <c r="N111">
        <v>2576.83680809105</v>
      </c>
      <c r="O111" s="8">
        <f t="shared" si="56"/>
        <v>2.8502295699234246E-6</v>
      </c>
      <c r="P111" s="8">
        <f t="shared" si="57"/>
        <v>5.9847340050885557E-3</v>
      </c>
      <c r="Q111" s="8">
        <v>1.905E-3</v>
      </c>
      <c r="R111">
        <v>0.15240000000000001</v>
      </c>
      <c r="S111" s="15">
        <v>4077429.4766562502</v>
      </c>
      <c r="T111">
        <v>490.87515158354</v>
      </c>
      <c r="U111" s="12">
        <f>+T111+BG111*S111*テーブル2[[#This Row],[Pw]]*R111/(N111*O111*K111)</f>
        <v>564.81545100795267</v>
      </c>
      <c r="V111">
        <v>0.03</v>
      </c>
      <c r="W111" s="8">
        <f t="shared" si="28"/>
        <v>64276.543879947218</v>
      </c>
      <c r="X111">
        <v>3.7158742995459342E-2</v>
      </c>
      <c r="Y111">
        <f t="shared" si="29"/>
        <v>5.1876359695613941</v>
      </c>
      <c r="Z111">
        <f t="shared" si="30"/>
        <v>5.1876360006330158</v>
      </c>
      <c r="AA111">
        <f t="shared" si="31"/>
        <v>-3.107162172000244E-8</v>
      </c>
      <c r="AB111">
        <f t="shared" si="32"/>
        <v>2.212776209361495E-5</v>
      </c>
      <c r="AC111">
        <v>673.46298451091093</v>
      </c>
      <c r="AD111">
        <f t="shared" si="33"/>
        <v>2190.3223508466467</v>
      </c>
      <c r="AE111">
        <f>+gettm2(AD111,AC111,AK111,AL111,テーブル2[[#This Row],[Fcorr]])</f>
        <v>564.81545100795267</v>
      </c>
      <c r="AF111" s="14">
        <f t="shared" si="34"/>
        <v>0</v>
      </c>
      <c r="AG111">
        <v>2.220694701183174E-5</v>
      </c>
      <c r="AH111">
        <f t="shared" si="35"/>
        <v>47.155165429788987</v>
      </c>
      <c r="AI111">
        <f t="shared" si="36"/>
        <v>0.26850776136109245</v>
      </c>
      <c r="AJ111">
        <f t="shared" si="37"/>
        <v>51.066007752317283</v>
      </c>
      <c r="AK111">
        <f t="array" ref="AK111">+S111*テーブル2[[#This Row],[F_form]]/(E111*CpFromTP((テーブル2[[#This Row],[Tin]]+テーブル2[[#This Row],[Tf]])/2,テーブル2[[#This Row],[P]])*AI111)</f>
        <v>4.8564958755838497</v>
      </c>
      <c r="AL111">
        <f t="shared" si="38"/>
        <v>1.023604738117011</v>
      </c>
      <c r="AM111">
        <f t="shared" si="39"/>
        <v>598.16775837556781</v>
      </c>
      <c r="AN111">
        <f t="shared" si="40"/>
        <v>3.6662186175817624E-8</v>
      </c>
      <c r="AO111">
        <f t="shared" si="41"/>
        <v>7.9184918216790193E-8</v>
      </c>
      <c r="AP111">
        <v>3.8278298271159139</v>
      </c>
      <c r="AQ111">
        <f t="shared" si="42"/>
        <v>5.8426723989637263E-5</v>
      </c>
      <c r="AR111">
        <f t="shared" si="43"/>
        <v>1.1143065965024265E-5</v>
      </c>
      <c r="AS111">
        <f t="shared" si="44"/>
        <v>25.624048756064258</v>
      </c>
      <c r="AT111">
        <f t="shared" si="45"/>
        <v>13.167656575274895</v>
      </c>
      <c r="AU111">
        <f t="shared" si="46"/>
        <v>3.5356179893987316</v>
      </c>
      <c r="AV111">
        <f t="shared" si="47"/>
        <v>0.29221183771718229</v>
      </c>
      <c r="AW111">
        <f t="shared" si="48"/>
        <v>1.1961250668997921E-2</v>
      </c>
      <c r="AX111">
        <f t="shared" si="49"/>
        <v>0.29221183046017041</v>
      </c>
      <c r="AY111">
        <f t="shared" si="50"/>
        <v>7.2570118803128025E-9</v>
      </c>
      <c r="AZ111">
        <f t="shared" si="51"/>
        <v>1189751.8930438254</v>
      </c>
      <c r="BA111">
        <f t="shared" si="52"/>
        <v>1.526366809092425E-5</v>
      </c>
      <c r="BB111" s="15">
        <f t="shared" si="53"/>
        <v>4036970.2469375697</v>
      </c>
      <c r="BC111" s="20">
        <f t="shared" si="54"/>
        <v>-40459.229718680494</v>
      </c>
      <c r="BD111" s="19">
        <f t="shared" si="55"/>
        <v>-0.9922729491782557</v>
      </c>
      <c r="BE111" s="15">
        <v>3974783.4</v>
      </c>
      <c r="BF111" s="16">
        <f>テーブル2[[#This Row],[q_P]]/テーブル2[[#This Row],[q_M]]</f>
        <v>1.0156453423191738</v>
      </c>
      <c r="BG111">
        <v>1</v>
      </c>
      <c r="BH111">
        <v>-5.3999999999999999E-2</v>
      </c>
      <c r="BI111">
        <v>4.5999999999999999E-2</v>
      </c>
      <c r="BJ111">
        <v>5625</v>
      </c>
      <c r="BK111" s="22">
        <v>1</v>
      </c>
      <c r="BL111">
        <f>テーブル2[[#This Row],[Ts]]-テーブル2[[#This Row],[Tin]]</f>
        <v>107.29260682869</v>
      </c>
      <c r="BM111">
        <f>テーブル2[[#This Row],[q_P]]*0.000001</f>
        <v>4.0369702469375692</v>
      </c>
      <c r="BN111">
        <f>テーブル2[[#This Row],[Tsub]]</f>
        <v>107.29260682869</v>
      </c>
      <c r="BO111">
        <f>テーブル2[[#This Row],[Fcorr]]</f>
        <v>1</v>
      </c>
      <c r="BP111">
        <f>(テーブル2[[#This Row],[Tsub]]-40)^2</f>
        <v>4528.2949338006556</v>
      </c>
      <c r="BQ111">
        <v>1</v>
      </c>
      <c r="BR111">
        <v>0.15240000000000001</v>
      </c>
    </row>
    <row r="112" spans="1:70" x14ac:dyDescent="0.15">
      <c r="A112" s="9" t="s">
        <v>180</v>
      </c>
      <c r="B112">
        <v>12065825.263044599</v>
      </c>
      <c r="C112" s="22">
        <f t="array" ref="C112">TsatFromP(テーブル2[[#This Row],[P]])</f>
        <v>598.16775841223</v>
      </c>
      <c r="D112">
        <f t="array" ref="D112">RhoGFromP(テーブル2[[#This Row],[P]])</f>
        <v>70.719127092772837</v>
      </c>
      <c r="E112">
        <f t="array" ref="E112">RhoFFromP(テーブル2[[#This Row],[P]])</f>
        <v>654.05698086006123</v>
      </c>
      <c r="F112">
        <f t="array" ref="F112">HgFromP(テーブル2[[#This Row],[P]])</f>
        <v>2683685.0883769058</v>
      </c>
      <c r="G112">
        <f t="array" ref="G112">HfFromP(テーブル2[[#This Row],[P]])</f>
        <v>1493933.1953330804</v>
      </c>
      <c r="H112">
        <f t="array" ref="H112">MuGFromP(テーブル2[[#This Row],[P]])</f>
        <v>2.1145404359092259E-5</v>
      </c>
      <c r="I112">
        <f t="array" ref="I112">MuFFromP(テーブル2[[#This Row],[P]])</f>
        <v>7.6371158483287791E-5</v>
      </c>
      <c r="J112">
        <f t="array" ref="J112">KfFromP(テーブル2[[#This Row],[P]])</f>
        <v>0.51093471001103663</v>
      </c>
      <c r="K112">
        <f t="array" ref="K112">CpFFromP(テーブル2[[#This Row],[P]])</f>
        <v>6848.0719740579098</v>
      </c>
      <c r="L112">
        <f t="array" ref="L112">SigmaFromP(テーブル2[[#This Row],[P]])</f>
        <v>8.6953190176285583E-3</v>
      </c>
      <c r="M112">
        <v>111</v>
      </c>
      <c r="N112">
        <v>2590.3991070810098</v>
      </c>
      <c r="O112" s="8">
        <f t="shared" si="56"/>
        <v>2.8502295699234246E-6</v>
      </c>
      <c r="P112" s="8">
        <f t="shared" si="57"/>
        <v>5.9847340050885557E-3</v>
      </c>
      <c r="Q112" s="8">
        <v>1.905E-3</v>
      </c>
      <c r="R112">
        <v>0.15240000000000001</v>
      </c>
      <c r="S112" s="15">
        <v>4577493.00390625</v>
      </c>
      <c r="T112">
        <v>477.56256686264697</v>
      </c>
      <c r="U112" s="12">
        <f>+T112+BG112*S112*テーブル2[[#This Row],[Pw]]*R112/(N112*O112*K112)</f>
        <v>560.13644264998641</v>
      </c>
      <c r="V112">
        <v>0.03</v>
      </c>
      <c r="W112" s="8">
        <f t="shared" si="28"/>
        <v>64614.841479315524</v>
      </c>
      <c r="X112">
        <v>3.7064000565584669E-2</v>
      </c>
      <c r="Y112">
        <f t="shared" si="29"/>
        <v>5.194262015671395</v>
      </c>
      <c r="Z112">
        <f t="shared" si="30"/>
        <v>5.1942620358384497</v>
      </c>
      <c r="AA112">
        <f t="shared" si="31"/>
        <v>-2.0167054692876718E-8</v>
      </c>
      <c r="AB112">
        <f t="shared" si="32"/>
        <v>2.195263625188634E-5</v>
      </c>
      <c r="AC112">
        <v>683.74516302586255</v>
      </c>
      <c r="AD112">
        <f t="shared" si="33"/>
        <v>2199.0415788359164</v>
      </c>
      <c r="AE112">
        <f>+gettm2(AD112,AC112,AK112,AL112,テーブル2[[#This Row],[Fcorr]])</f>
        <v>560.13644348743799</v>
      </c>
      <c r="AF112" s="14">
        <f t="shared" si="34"/>
        <v>8.374515800824156E-7</v>
      </c>
      <c r="AG112">
        <v>2.2042438728113169E-5</v>
      </c>
      <c r="AH112">
        <f t="shared" si="35"/>
        <v>47.531342939541787</v>
      </c>
      <c r="AI112">
        <f t="shared" si="36"/>
        <v>0.26957663617182098</v>
      </c>
      <c r="AJ112">
        <f t="shared" si="37"/>
        <v>50.889490038912264</v>
      </c>
      <c r="AK112">
        <f t="array" ref="AK112">+S112*テーブル2[[#This Row],[F_form]]/(E112*CpFromTP((テーブル2[[#This Row],[Tin]]+テーブル2[[#This Row],[Tf]])/2,テーブル2[[#This Row],[P]])*AI112)</f>
        <v>5.5227737062762383</v>
      </c>
      <c r="AL112">
        <f t="shared" si="38"/>
        <v>1.023604738117011</v>
      </c>
      <c r="AM112">
        <f t="shared" si="39"/>
        <v>598.16775827583092</v>
      </c>
      <c r="AN112">
        <f t="shared" si="40"/>
        <v>1.3639908047480276E-7</v>
      </c>
      <c r="AO112">
        <f t="shared" si="41"/>
        <v>8.9802476226828282E-8</v>
      </c>
      <c r="AP112">
        <v>3.838283875131816</v>
      </c>
      <c r="AQ112">
        <f t="shared" si="42"/>
        <v>5.8108892370949948E-5</v>
      </c>
      <c r="AR112">
        <f t="shared" si="43"/>
        <v>1.1066120602169998E-5</v>
      </c>
      <c r="AS112">
        <f t="shared" si="44"/>
        <v>25.548408735521864</v>
      </c>
      <c r="AT112">
        <f t="shared" si="45"/>
        <v>13.152875171500526</v>
      </c>
      <c r="AU112">
        <f t="shared" si="46"/>
        <v>3.5457078447209747</v>
      </c>
      <c r="AV112">
        <f t="shared" si="47"/>
        <v>0.29257603041084135</v>
      </c>
      <c r="AW112">
        <f t="shared" si="48"/>
        <v>1.1866585691912887E-2</v>
      </c>
      <c r="AX112">
        <f t="shared" si="49"/>
        <v>0.29257602252564491</v>
      </c>
      <c r="AY112">
        <f t="shared" si="50"/>
        <v>7.885196440238218E-9</v>
      </c>
      <c r="AZ112">
        <f t="shared" si="51"/>
        <v>1189751.8930438254</v>
      </c>
      <c r="BA112">
        <f t="shared" si="52"/>
        <v>1.5139289917412465E-5</v>
      </c>
      <c r="BB112" s="15">
        <f t="shared" si="53"/>
        <v>4615883.0428416999</v>
      </c>
      <c r="BC112" s="20">
        <f t="shared" si="54"/>
        <v>38390.038935449906</v>
      </c>
      <c r="BD112" s="19">
        <f t="shared" si="55"/>
        <v>0.83866952724317378</v>
      </c>
      <c r="BE112" s="15">
        <v>4542609.5999999996</v>
      </c>
      <c r="BF112" s="16">
        <f>テーブル2[[#This Row],[q_P]]/テーブル2[[#This Row],[q_M]]</f>
        <v>1.016130253157062</v>
      </c>
      <c r="BG112">
        <v>1</v>
      </c>
      <c r="BH112">
        <v>-4.7E-2</v>
      </c>
      <c r="BI112">
        <v>4.5999999999999999E-2</v>
      </c>
      <c r="BJ112">
        <v>5625</v>
      </c>
      <c r="BK112" s="22">
        <v>1</v>
      </c>
      <c r="BL112">
        <f>テーブル2[[#This Row],[Ts]]-テーブル2[[#This Row],[Tin]]</f>
        <v>120.60519154958303</v>
      </c>
      <c r="BM112">
        <f>テーブル2[[#This Row],[q_P]]*0.000001</f>
        <v>4.6158830428416993</v>
      </c>
      <c r="BN112">
        <f>テーブル2[[#This Row],[Tsub]]</f>
        <v>120.60519154958303</v>
      </c>
      <c r="BO112">
        <f>テーブル2[[#This Row],[Fcorr]]</f>
        <v>1</v>
      </c>
      <c r="BP112">
        <f>(テーブル2[[#This Row],[Tsub]]-40)^2</f>
        <v>6497.1969047449711</v>
      </c>
      <c r="BQ112">
        <v>1</v>
      </c>
      <c r="BR112">
        <v>0.15240000000000001</v>
      </c>
    </row>
    <row r="113" spans="1:70" x14ac:dyDescent="0.15">
      <c r="A113" s="9" t="s">
        <v>181</v>
      </c>
      <c r="B113">
        <v>12065825.263044599</v>
      </c>
      <c r="C113" s="22">
        <f t="array" ref="C113">TsatFromP(テーブル2[[#This Row],[P]])</f>
        <v>598.16775841223</v>
      </c>
      <c r="D113">
        <f t="array" ref="D113">RhoGFromP(テーブル2[[#This Row],[P]])</f>
        <v>70.719127092772837</v>
      </c>
      <c r="E113">
        <f t="array" ref="E113">RhoFFromP(テーブル2[[#This Row],[P]])</f>
        <v>654.05698086006123</v>
      </c>
      <c r="F113">
        <f t="array" ref="F113">HgFromP(テーブル2[[#This Row],[P]])</f>
        <v>2683685.0883769058</v>
      </c>
      <c r="G113">
        <f t="array" ref="G113">HfFromP(テーブル2[[#This Row],[P]])</f>
        <v>1493933.1953330804</v>
      </c>
      <c r="H113">
        <f t="array" ref="H113">MuGFromP(テーブル2[[#This Row],[P]])</f>
        <v>2.1145404359092259E-5</v>
      </c>
      <c r="I113">
        <f t="array" ref="I113">MuFFromP(テーブル2[[#This Row],[P]])</f>
        <v>7.6371158483287791E-5</v>
      </c>
      <c r="J113">
        <f t="array" ref="J113">KfFromP(テーブル2[[#This Row],[P]])</f>
        <v>0.51093471001103663</v>
      </c>
      <c r="K113">
        <f t="array" ref="K113">CpFFromP(テーブル2[[#This Row],[P]])</f>
        <v>6848.0719740579098</v>
      </c>
      <c r="L113">
        <f t="array" ref="L113">SigmaFromP(テーブル2[[#This Row],[P]])</f>
        <v>8.6953190176285583E-3</v>
      </c>
      <c r="M113">
        <v>112</v>
      </c>
      <c r="N113">
        <v>2590.3991070810098</v>
      </c>
      <c r="O113" s="8">
        <f t="shared" si="56"/>
        <v>2.8502295699234246E-6</v>
      </c>
      <c r="P113" s="8">
        <f t="shared" si="57"/>
        <v>5.9847340050885557E-3</v>
      </c>
      <c r="Q113" s="8">
        <v>1.905E-3</v>
      </c>
      <c r="R113">
        <v>0.15240000000000001</v>
      </c>
      <c r="S113" s="15">
        <v>4093466.7398437499</v>
      </c>
      <c r="T113">
        <v>490.87515158354</v>
      </c>
      <c r="U113" s="12">
        <f>+T113+BG113*S113*テーブル2[[#This Row],[Pw]]*R113/(N113*O113*K113)</f>
        <v>564.71762689197101</v>
      </c>
      <c r="V113">
        <v>0.03</v>
      </c>
      <c r="W113" s="8">
        <f t="shared" si="28"/>
        <v>64614.841479315524</v>
      </c>
      <c r="X113">
        <v>3.7064000565584669E-2</v>
      </c>
      <c r="Y113">
        <f t="shared" si="29"/>
        <v>5.194262015671395</v>
      </c>
      <c r="Z113">
        <f t="shared" si="30"/>
        <v>5.1942620358384497</v>
      </c>
      <c r="AA113">
        <f t="shared" si="31"/>
        <v>-2.0167054692876718E-8</v>
      </c>
      <c r="AB113">
        <f t="shared" si="32"/>
        <v>2.195263625188634E-5</v>
      </c>
      <c r="AC113">
        <v>673.41935335890116</v>
      </c>
      <c r="AD113">
        <f t="shared" si="33"/>
        <v>2199.0415788359164</v>
      </c>
      <c r="AE113">
        <f>+gettm2(AD113,AC113,AK113,AL113,テーブル2[[#This Row],[Fcorr]])</f>
        <v>564.71762689197089</v>
      </c>
      <c r="AF113" s="14">
        <f t="shared" si="34"/>
        <v>0</v>
      </c>
      <c r="AG113">
        <v>2.2032772056932751E-5</v>
      </c>
      <c r="AH113">
        <f t="shared" si="35"/>
        <v>47.531342939541787</v>
      </c>
      <c r="AI113">
        <f t="shared" si="36"/>
        <v>0.26957663617182098</v>
      </c>
      <c r="AJ113">
        <f t="shared" si="37"/>
        <v>50.867172546151451</v>
      </c>
      <c r="AK113">
        <f t="array" ref="AK113">+S113*テーブル2[[#This Row],[F_form]]/(E113*CpFromTP((テーブル2[[#This Row],[Tin]]+テーブル2[[#This Row],[Tf]])/2,テーブル2[[#This Row],[P]])*AI113)</f>
        <v>4.8567369599826309</v>
      </c>
      <c r="AL113">
        <f t="shared" si="38"/>
        <v>1.023604738117011</v>
      </c>
      <c r="AM113">
        <f t="shared" si="39"/>
        <v>598.16775829606479</v>
      </c>
      <c r="AN113">
        <f t="shared" si="40"/>
        <v>1.1616521078394726E-7</v>
      </c>
      <c r="AO113">
        <f t="shared" si="41"/>
        <v>8.0135805046410263E-8</v>
      </c>
      <c r="AP113">
        <v>3.837189386066441</v>
      </c>
      <c r="AQ113">
        <f t="shared" si="42"/>
        <v>5.8142046125541226E-5</v>
      </c>
      <c r="AR113">
        <f t="shared" si="43"/>
        <v>1.105645393098958E-5</v>
      </c>
      <c r="AS113">
        <f t="shared" si="44"/>
        <v>25.526091242761051</v>
      </c>
      <c r="AT113">
        <f t="shared" si="45"/>
        <v>13.148505575285059</v>
      </c>
      <c r="AU113">
        <f t="shared" si="46"/>
        <v>3.5445299036717799</v>
      </c>
      <c r="AV113">
        <f t="shared" si="47"/>
        <v>0.29265948239466111</v>
      </c>
      <c r="AW113">
        <f t="shared" si="48"/>
        <v>1.1866585691912887E-2</v>
      </c>
      <c r="AX113">
        <f t="shared" si="49"/>
        <v>0.29265947455921093</v>
      </c>
      <c r="AY113">
        <f t="shared" si="50"/>
        <v>7.8354501775734775E-9</v>
      </c>
      <c r="AZ113">
        <f t="shared" si="51"/>
        <v>1189751.8930438254</v>
      </c>
      <c r="BA113">
        <f t="shared" si="52"/>
        <v>1.5152248241034433E-5</v>
      </c>
      <c r="BB113" s="15">
        <f t="shared" si="53"/>
        <v>4115489.6821276373</v>
      </c>
      <c r="BC113" s="20">
        <f t="shared" si="54"/>
        <v>22022.942283887416</v>
      </c>
      <c r="BD113" s="19">
        <f t="shared" si="55"/>
        <v>0.53800222851518875</v>
      </c>
      <c r="BE113" s="15">
        <v>3974783.4</v>
      </c>
      <c r="BF113" s="16">
        <f>テーブル2[[#This Row],[q_P]]/テーブル2[[#This Row],[q_M]]</f>
        <v>1.0353997357762028</v>
      </c>
      <c r="BG113">
        <v>1</v>
      </c>
      <c r="BH113">
        <v>-5.6000000000000001E-2</v>
      </c>
      <c r="BI113">
        <v>4.5999999999999999E-2</v>
      </c>
      <c r="BJ113">
        <v>5625</v>
      </c>
      <c r="BK113" s="22">
        <v>1</v>
      </c>
      <c r="BL113">
        <f>テーブル2[[#This Row],[Ts]]-テーブル2[[#This Row],[Tin]]</f>
        <v>107.29260682869</v>
      </c>
      <c r="BM113">
        <f>テーブル2[[#This Row],[q_P]]*0.000001</f>
        <v>4.1154896821276372</v>
      </c>
      <c r="BN113">
        <f>テーブル2[[#This Row],[Tsub]]</f>
        <v>107.29260682869</v>
      </c>
      <c r="BO113">
        <f>テーブル2[[#This Row],[Fcorr]]</f>
        <v>1</v>
      </c>
      <c r="BP113">
        <f>(テーブル2[[#This Row],[Tsub]]-40)^2</f>
        <v>4528.2949338006556</v>
      </c>
      <c r="BQ113">
        <v>1</v>
      </c>
      <c r="BR113">
        <v>0.15240000000000001</v>
      </c>
    </row>
    <row r="114" spans="1:70" x14ac:dyDescent="0.15">
      <c r="A114" s="9" t="s">
        <v>182</v>
      </c>
      <c r="B114">
        <v>12065825.263044599</v>
      </c>
      <c r="C114" s="22">
        <f t="array" ref="C114">TsatFromP(テーブル2[[#This Row],[P]])</f>
        <v>598.16775841223</v>
      </c>
      <c r="D114">
        <f t="array" ref="D114">RhoGFromP(テーブル2[[#This Row],[P]])</f>
        <v>70.719127092772837</v>
      </c>
      <c r="E114">
        <f t="array" ref="E114">RhoFFromP(テーブル2[[#This Row],[P]])</f>
        <v>654.05698086006123</v>
      </c>
      <c r="F114">
        <f t="array" ref="F114">HgFromP(テーブル2[[#This Row],[P]])</f>
        <v>2683685.0883769058</v>
      </c>
      <c r="G114">
        <f t="array" ref="G114">HfFromP(テーブル2[[#This Row],[P]])</f>
        <v>1493933.1953330804</v>
      </c>
      <c r="H114">
        <f t="array" ref="H114">MuGFromP(テーブル2[[#This Row],[P]])</f>
        <v>2.1145404359092259E-5</v>
      </c>
      <c r="I114">
        <f t="array" ref="I114">MuFFromP(テーブル2[[#This Row],[P]])</f>
        <v>7.6371158483287791E-5</v>
      </c>
      <c r="J114">
        <f t="array" ref="J114">KfFromP(テーブル2[[#This Row],[P]])</f>
        <v>0.51093471001103663</v>
      </c>
      <c r="K114">
        <f t="array" ref="K114">CpFFromP(テーブル2[[#This Row],[P]])</f>
        <v>6848.0719740579098</v>
      </c>
      <c r="L114">
        <f t="array" ref="L114">SigmaFromP(テーブル2[[#This Row],[P]])</f>
        <v>8.6953190176285583E-3</v>
      </c>
      <c r="M114">
        <v>113</v>
      </c>
      <c r="N114">
        <v>3200.7025616288902</v>
      </c>
      <c r="O114" s="8">
        <f t="shared" si="56"/>
        <v>2.8502295699234246E-6</v>
      </c>
      <c r="P114" s="8">
        <f t="shared" si="57"/>
        <v>5.9847340050885557E-3</v>
      </c>
      <c r="Q114" s="8">
        <v>1.905E-3</v>
      </c>
      <c r="R114">
        <v>0.15240000000000001</v>
      </c>
      <c r="S114" s="15">
        <v>6357331.34765625</v>
      </c>
      <c r="T114">
        <v>453.64790590713602</v>
      </c>
      <c r="U114" s="12">
        <f>+T114+BG114*S114*テーブル2[[#This Row],[Pw]]*R114/(N114*O114*K114)</f>
        <v>546.4614149177321</v>
      </c>
      <c r="V114">
        <v>0.03</v>
      </c>
      <c r="W114" s="8">
        <f t="shared" si="28"/>
        <v>79838.233450881977</v>
      </c>
      <c r="X114">
        <v>3.3515797014276462E-2</v>
      </c>
      <c r="Y114">
        <f t="shared" si="29"/>
        <v>5.4622959187728934</v>
      </c>
      <c r="Z114">
        <f t="shared" si="30"/>
        <v>5.4622959290082331</v>
      </c>
      <c r="AA114">
        <f t="shared" si="31"/>
        <v>-1.0235339686914813E-8</v>
      </c>
      <c r="AB114">
        <f t="shared" si="32"/>
        <v>1.5901282462099238E-5</v>
      </c>
      <c r="AC114">
        <v>699.64097322901466</v>
      </c>
      <c r="AD114">
        <f t="shared" si="33"/>
        <v>2583.81077803982</v>
      </c>
      <c r="AE114">
        <f>+gettm2(AD114,AC114,AK114,AL114,テーブル2[[#This Row],[Fcorr]])</f>
        <v>546.46141591414175</v>
      </c>
      <c r="AF114" s="14">
        <f t="shared" si="34"/>
        <v>9.9640965345315635E-7</v>
      </c>
      <c r="AG114">
        <v>1.5993657290192679E-5</v>
      </c>
      <c r="AH114">
        <f t="shared" si="35"/>
        <v>65.619756431751057</v>
      </c>
      <c r="AI114">
        <f t="shared" si="36"/>
        <v>0.31674481499216933</v>
      </c>
      <c r="AJ114">
        <f t="shared" si="37"/>
        <v>43.385390117244079</v>
      </c>
      <c r="AK114">
        <f t="array" ref="AK114">+S114*テーブル2[[#This Row],[F_form]]/(E114*CpFromTP((テーブル2[[#This Row],[Tin]]+テーブル2[[#This Row],[Tf]])/2,テーブル2[[#This Row],[P]])*AI114)</f>
        <v>6.7216238866612184</v>
      </c>
      <c r="AL114">
        <f t="shared" si="38"/>
        <v>1.023604738117011</v>
      </c>
      <c r="AM114">
        <f t="shared" si="39"/>
        <v>598.16775839742627</v>
      </c>
      <c r="AN114">
        <f t="shared" si="40"/>
        <v>1.4803731573920231E-8</v>
      </c>
      <c r="AO114">
        <f t="shared" si="41"/>
        <v>9.2374828093441197E-8</v>
      </c>
      <c r="AP114">
        <v>4.2281964881233698</v>
      </c>
      <c r="AQ114">
        <f t="shared" si="42"/>
        <v>4.7885768101605845E-5</v>
      </c>
      <c r="AR114">
        <f t="shared" si="43"/>
        <v>8.0430160591430603E-6</v>
      </c>
      <c r="AS114">
        <f t="shared" si="44"/>
        <v>21.817985912400207</v>
      </c>
      <c r="AT114">
        <f t="shared" si="45"/>
        <v>12.363673357441593</v>
      </c>
      <c r="AU114">
        <f t="shared" si="46"/>
        <v>3.9161294302264507</v>
      </c>
      <c r="AV114">
        <f t="shared" si="47"/>
        <v>0.31206705789691913</v>
      </c>
      <c r="AW114">
        <f t="shared" si="48"/>
        <v>8.5955020974575712E-3</v>
      </c>
      <c r="AX114">
        <f t="shared" si="49"/>
        <v>0.31206705782268623</v>
      </c>
      <c r="AY114">
        <f t="shared" si="50"/>
        <v>7.4232897606663073E-11</v>
      </c>
      <c r="AZ114">
        <f t="shared" si="51"/>
        <v>1189751.8930438254</v>
      </c>
      <c r="BA114">
        <f t="shared" si="52"/>
        <v>1.1325341250368267E-5</v>
      </c>
      <c r="BB114" s="15">
        <f t="shared" si="53"/>
        <v>6347085.317598233</v>
      </c>
      <c r="BC114" s="20">
        <f t="shared" si="54"/>
        <v>-10246.030058017001</v>
      </c>
      <c r="BD114" s="19">
        <f t="shared" si="55"/>
        <v>-0.16116872784669925</v>
      </c>
      <c r="BE114" s="15">
        <v>6561547.1999999993</v>
      </c>
      <c r="BF114" s="16">
        <f>テーブル2[[#This Row],[q_P]]/テーブル2[[#This Row],[q_M]]</f>
        <v>0.96731534867237312</v>
      </c>
      <c r="BG114">
        <v>1</v>
      </c>
      <c r="BH114">
        <v>-5.6000000000000001E-2</v>
      </c>
      <c r="BI114">
        <v>4.5999999999999999E-2</v>
      </c>
      <c r="BJ114">
        <v>5625</v>
      </c>
      <c r="BK114" s="22">
        <v>1</v>
      </c>
      <c r="BL114">
        <f>テーブル2[[#This Row],[Ts]]-テーブル2[[#This Row],[Tin]]</f>
        <v>144.51985250509398</v>
      </c>
      <c r="BM114">
        <f>テーブル2[[#This Row],[q_P]]*0.000001</f>
        <v>6.3470853175982329</v>
      </c>
      <c r="BN114">
        <f>テーブル2[[#This Row],[Tsub]]</f>
        <v>144.51985250509398</v>
      </c>
      <c r="BO114">
        <f>テーブル2[[#This Row],[Fcorr]]</f>
        <v>1</v>
      </c>
      <c r="BP114">
        <f>(テーブル2[[#This Row],[Tsub]]-40)^2</f>
        <v>10924.3995676866</v>
      </c>
      <c r="BQ114">
        <v>1</v>
      </c>
      <c r="BR114">
        <v>0.15240000000000001</v>
      </c>
    </row>
    <row r="115" spans="1:70" x14ac:dyDescent="0.15">
      <c r="A115" s="9" t="s">
        <v>183</v>
      </c>
      <c r="B115">
        <v>12065825.263044599</v>
      </c>
      <c r="C115" s="22">
        <f t="array" ref="C115">TsatFromP(テーブル2[[#This Row],[P]])</f>
        <v>598.16775841223</v>
      </c>
      <c r="D115">
        <f t="array" ref="D115">RhoGFromP(テーブル2[[#This Row],[P]])</f>
        <v>70.719127092772837</v>
      </c>
      <c r="E115">
        <f t="array" ref="E115">RhoFFromP(テーブル2[[#This Row],[P]])</f>
        <v>654.05698086006123</v>
      </c>
      <c r="F115">
        <f t="array" ref="F115">HgFromP(テーブル2[[#This Row],[P]])</f>
        <v>2683685.0883769058</v>
      </c>
      <c r="G115">
        <f t="array" ref="G115">HfFromP(テーブル2[[#This Row],[P]])</f>
        <v>1493933.1953330804</v>
      </c>
      <c r="H115">
        <f t="array" ref="H115">MuGFromP(テーブル2[[#This Row],[P]])</f>
        <v>2.1145404359092259E-5</v>
      </c>
      <c r="I115">
        <f t="array" ref="I115">MuFFromP(テーブル2[[#This Row],[P]])</f>
        <v>7.6371158483287791E-5</v>
      </c>
      <c r="J115">
        <f t="array" ref="J115">KfFromP(テーブル2[[#This Row],[P]])</f>
        <v>0.51093471001103663</v>
      </c>
      <c r="K115">
        <f t="array" ref="K115">CpFFromP(テーブル2[[#This Row],[P]])</f>
        <v>6848.0719740579098</v>
      </c>
      <c r="L115">
        <f t="array" ref="L115">SigmaFromP(テーブル2[[#This Row],[P]])</f>
        <v>8.6953190176285583E-3</v>
      </c>
      <c r="M115">
        <v>114</v>
      </c>
      <c r="N115">
        <v>3200.7025616288902</v>
      </c>
      <c r="O115" s="8">
        <f t="shared" si="56"/>
        <v>2.8502295699234246E-6</v>
      </c>
      <c r="P115" s="8">
        <f t="shared" si="57"/>
        <v>5.9847340050885557E-3</v>
      </c>
      <c r="Q115" s="8">
        <v>1.905E-3</v>
      </c>
      <c r="R115">
        <v>0.15240000000000001</v>
      </c>
      <c r="S115" s="15">
        <v>4883532.71484375</v>
      </c>
      <c r="T115">
        <v>488.66227888857202</v>
      </c>
      <c r="U115" s="12">
        <f>+T115+BG115*S115*テーブル2[[#This Row],[Pw]]*R115/(N115*O115*K115)</f>
        <v>559.95914589862537</v>
      </c>
      <c r="V115">
        <v>0.03</v>
      </c>
      <c r="W115" s="8">
        <f t="shared" si="28"/>
        <v>79838.233450881977</v>
      </c>
      <c r="X115">
        <v>3.3515797014276462E-2</v>
      </c>
      <c r="Y115">
        <f t="shared" si="29"/>
        <v>5.4622959187728934</v>
      </c>
      <c r="Z115">
        <f t="shared" si="30"/>
        <v>5.4622959290082331</v>
      </c>
      <c r="AA115">
        <f t="shared" si="31"/>
        <v>-1.0235339686914813E-8</v>
      </c>
      <c r="AB115">
        <f t="shared" si="32"/>
        <v>1.5901282462099238E-5</v>
      </c>
      <c r="AC115">
        <v>673.10301178076327</v>
      </c>
      <c r="AD115">
        <f t="shared" si="33"/>
        <v>2583.81077803982</v>
      </c>
      <c r="AE115">
        <f>+gettm2(AD115,AC115,AK115,AL115,テーブル2[[#This Row],[Fcorr]])</f>
        <v>559.95914589862514</v>
      </c>
      <c r="AF115" s="14">
        <f t="shared" si="34"/>
        <v>0</v>
      </c>
      <c r="AG115">
        <v>1.5972448838284978E-5</v>
      </c>
      <c r="AH115">
        <f t="shared" si="35"/>
        <v>65.619756431751057</v>
      </c>
      <c r="AI115">
        <f t="shared" si="36"/>
        <v>0.31674481499216933</v>
      </c>
      <c r="AJ115">
        <f t="shared" si="37"/>
        <v>43.327858750709005</v>
      </c>
      <c r="AK115">
        <f t="array" ref="AK115">+S115*テーブル2[[#This Row],[F_form]]/(E115*CpFromTP((テーブル2[[#This Row],[Tin]]+テーブル2[[#This Row],[Tf]])/2,テーブル2[[#This Row],[P]])*AI115)</f>
        <v>4.9648303264076112</v>
      </c>
      <c r="AL115">
        <f t="shared" si="38"/>
        <v>1.023604738117011</v>
      </c>
      <c r="AM115">
        <f t="shared" si="39"/>
        <v>598.16775839063894</v>
      </c>
      <c r="AN115">
        <f t="shared" si="40"/>
        <v>2.1591063159576152E-8</v>
      </c>
      <c r="AO115">
        <f t="shared" si="41"/>
        <v>7.1166376185740195E-8</v>
      </c>
      <c r="AP115">
        <v>4.2243025472005149</v>
      </c>
      <c r="AQ115">
        <f t="shared" si="42"/>
        <v>4.7974090512655475E-5</v>
      </c>
      <c r="AR115">
        <f t="shared" si="43"/>
        <v>8.0218076072353593E-6</v>
      </c>
      <c r="AS115">
        <f t="shared" si="44"/>
        <v>21.76045454586513</v>
      </c>
      <c r="AT115">
        <f t="shared" si="45"/>
        <v>12.350471554129353</v>
      </c>
      <c r="AU115">
        <f t="shared" si="46"/>
        <v>3.9119478274787518</v>
      </c>
      <c r="AV115">
        <f t="shared" si="47"/>
        <v>0.3123547197217631</v>
      </c>
      <c r="AW115">
        <f t="shared" si="48"/>
        <v>8.5955020974575712E-3</v>
      </c>
      <c r="AX115">
        <f t="shared" si="49"/>
        <v>0.31235471967302791</v>
      </c>
      <c r="AY115">
        <f t="shared" si="50"/>
        <v>4.873518255621434E-11</v>
      </c>
      <c r="AZ115">
        <f t="shared" si="51"/>
        <v>1189751.8930438254</v>
      </c>
      <c r="BA115">
        <f t="shared" si="52"/>
        <v>1.1356689057332874E-5</v>
      </c>
      <c r="BB115" s="15">
        <f t="shared" si="53"/>
        <v>4876352.662653842</v>
      </c>
      <c r="BC115" s="20">
        <f t="shared" si="54"/>
        <v>-7180.0521899079904</v>
      </c>
      <c r="BD115" s="19">
        <f t="shared" si="55"/>
        <v>-0.14702578254639007</v>
      </c>
      <c r="BE115" s="15">
        <v>5205073.5</v>
      </c>
      <c r="BF115" s="16">
        <f>テーブル2[[#This Row],[q_P]]/テーブル2[[#This Row],[q_M]]</f>
        <v>0.93684607194381442</v>
      </c>
      <c r="BG115">
        <v>1</v>
      </c>
      <c r="BH115">
        <v>-0.04</v>
      </c>
      <c r="BI115">
        <v>4.5999999999999999E-2</v>
      </c>
      <c r="BJ115">
        <v>5625</v>
      </c>
      <c r="BK115" s="22">
        <v>1</v>
      </c>
      <c r="BL115">
        <f>テーブル2[[#This Row],[Ts]]-テーブル2[[#This Row],[Tin]]</f>
        <v>109.50547952365798</v>
      </c>
      <c r="BM115">
        <f>テーブル2[[#This Row],[q_P]]*0.000001</f>
        <v>4.8763526626538418</v>
      </c>
      <c r="BN115">
        <f>テーブル2[[#This Row],[Tsub]]</f>
        <v>109.50547952365798</v>
      </c>
      <c r="BO115">
        <f>テーブル2[[#This Row],[Fcorr]]</f>
        <v>1</v>
      </c>
      <c r="BP115">
        <f>(テーブル2[[#This Row],[Tsub]]-40)^2</f>
        <v>4831.0116838136391</v>
      </c>
      <c r="BQ115">
        <v>1</v>
      </c>
      <c r="BR115">
        <v>0.15240000000000001</v>
      </c>
    </row>
    <row r="116" spans="1:70" x14ac:dyDescent="0.15">
      <c r="A116" s="9" t="s">
        <v>184</v>
      </c>
      <c r="B116">
        <v>12065825.263044599</v>
      </c>
      <c r="C116" s="22">
        <f t="array" ref="C116">TsatFromP(テーブル2[[#This Row],[P]])</f>
        <v>598.16775841223</v>
      </c>
      <c r="D116">
        <f t="array" ref="D116">RhoGFromP(テーブル2[[#This Row],[P]])</f>
        <v>70.719127092772837</v>
      </c>
      <c r="E116">
        <f t="array" ref="E116">RhoFFromP(テーブル2[[#This Row],[P]])</f>
        <v>654.05698086006123</v>
      </c>
      <c r="F116">
        <f t="array" ref="F116">HgFromP(テーブル2[[#This Row],[P]])</f>
        <v>2683685.0883769058</v>
      </c>
      <c r="G116">
        <f t="array" ref="G116">HfFromP(テーブル2[[#This Row],[P]])</f>
        <v>1493933.1953330804</v>
      </c>
      <c r="H116">
        <f t="array" ref="H116">MuGFromP(テーブル2[[#This Row],[P]])</f>
        <v>2.1145404359092259E-5</v>
      </c>
      <c r="I116">
        <f t="array" ref="I116">MuFFromP(テーブル2[[#This Row],[P]])</f>
        <v>7.6371158483287791E-5</v>
      </c>
      <c r="J116">
        <f t="array" ref="J116">KfFromP(テーブル2[[#This Row],[P]])</f>
        <v>0.51093471001103663</v>
      </c>
      <c r="K116">
        <f t="array" ref="K116">CpFFromP(テーブル2[[#This Row],[P]])</f>
        <v>6848.0719740579098</v>
      </c>
      <c r="L116">
        <f t="array" ref="L116">SigmaFromP(テーブル2[[#This Row],[P]])</f>
        <v>8.6953190176285583E-3</v>
      </c>
      <c r="M116">
        <v>115</v>
      </c>
      <c r="N116">
        <v>3200.7025616288902</v>
      </c>
      <c r="O116" s="8">
        <f t="shared" si="56"/>
        <v>2.8502295699234246E-6</v>
      </c>
      <c r="P116" s="8">
        <f t="shared" si="57"/>
        <v>5.9847340050885557E-3</v>
      </c>
      <c r="Q116" s="8">
        <v>1.905E-3</v>
      </c>
      <c r="R116">
        <v>0.15240000000000001</v>
      </c>
      <c r="S116" s="15">
        <v>4953449.27734375</v>
      </c>
      <c r="T116">
        <v>487.01157338752699</v>
      </c>
      <c r="U116" s="12">
        <f>+T116+BG116*S116*テーブル2[[#This Row],[Pw]]*R116/(N116*O116*K116)</f>
        <v>559.32918340257982</v>
      </c>
      <c r="V116">
        <v>0.03</v>
      </c>
      <c r="W116" s="8">
        <f t="shared" si="28"/>
        <v>79838.233450881977</v>
      </c>
      <c r="X116">
        <v>3.3515797014276462E-2</v>
      </c>
      <c r="Y116">
        <f t="shared" si="29"/>
        <v>5.4622959187728934</v>
      </c>
      <c r="Z116">
        <f t="shared" si="30"/>
        <v>5.4622959290082331</v>
      </c>
      <c r="AA116">
        <f t="shared" si="31"/>
        <v>-1.0235339686914813E-8</v>
      </c>
      <c r="AB116">
        <f t="shared" si="32"/>
        <v>1.5901282462099238E-5</v>
      </c>
      <c r="AC116">
        <v>674.33957684745451</v>
      </c>
      <c r="AD116">
        <f t="shared" si="33"/>
        <v>2583.81077803982</v>
      </c>
      <c r="AE116">
        <f>+gettm2(AD116,AC116,AK116,AL116,テーブル2[[#This Row],[Fcorr]])</f>
        <v>559.32918414597555</v>
      </c>
      <c r="AF116" s="14">
        <f t="shared" si="34"/>
        <v>7.4339573075121734E-7</v>
      </c>
      <c r="AG116">
        <v>1.5972908620923109E-5</v>
      </c>
      <c r="AH116">
        <f t="shared" si="35"/>
        <v>65.619756431751057</v>
      </c>
      <c r="AI116">
        <f t="shared" si="36"/>
        <v>0.31674481499216933</v>
      </c>
      <c r="AJ116">
        <f t="shared" si="37"/>
        <v>43.329105985707386</v>
      </c>
      <c r="AK116">
        <f t="array" ref="AK116">+S116*テーブル2[[#This Row],[F_form]]/(E116*CpFromTP((テーブル2[[#This Row],[Tin]]+テーブル2[[#This Row],[Tf]])/2,テーブル2[[#This Row],[P]])*AI116)</f>
        <v>5.0467348016123861</v>
      </c>
      <c r="AL116">
        <f t="shared" si="38"/>
        <v>1.023604738117011</v>
      </c>
      <c r="AM116">
        <f t="shared" si="39"/>
        <v>598.16775839050206</v>
      </c>
      <c r="AN116">
        <f t="shared" si="40"/>
        <v>2.1727942112192977E-8</v>
      </c>
      <c r="AO116">
        <f t="shared" si="41"/>
        <v>7.1626158823870513E-8</v>
      </c>
      <c r="AP116">
        <v>4.2243870686709588</v>
      </c>
      <c r="AQ116">
        <f t="shared" si="42"/>
        <v>4.7972170802154125E-5</v>
      </c>
      <c r="AR116">
        <f t="shared" si="43"/>
        <v>8.0222673898734896E-6</v>
      </c>
      <c r="AS116">
        <f t="shared" si="44"/>
        <v>21.761701780863511</v>
      </c>
      <c r="AT116">
        <f t="shared" si="45"/>
        <v>12.350758128854501</v>
      </c>
      <c r="AU116">
        <f t="shared" si="46"/>
        <v>3.9120385985370505</v>
      </c>
      <c r="AV116">
        <f t="shared" si="47"/>
        <v>0.31234847013390832</v>
      </c>
      <c r="AW116">
        <f t="shared" si="48"/>
        <v>8.5955020974575712E-3</v>
      </c>
      <c r="AX116">
        <f t="shared" si="49"/>
        <v>0.3123484700846787</v>
      </c>
      <c r="AY116">
        <f t="shared" si="50"/>
        <v>4.9229620380231154E-11</v>
      </c>
      <c r="AZ116">
        <f t="shared" si="51"/>
        <v>1189751.8930438254</v>
      </c>
      <c r="BA116">
        <f t="shared" si="52"/>
        <v>1.1356007397600222E-5</v>
      </c>
      <c r="BB116" s="15">
        <f t="shared" si="53"/>
        <v>4908151.7801972842</v>
      </c>
      <c r="BC116" s="20">
        <f t="shared" si="54"/>
        <v>-45297.497146465816</v>
      </c>
      <c r="BD116" s="19">
        <f t="shared" si="55"/>
        <v>-0.91446373244698409</v>
      </c>
      <c r="BE116" s="15">
        <v>5394348.8999999994</v>
      </c>
      <c r="BF116" s="16">
        <f>テーブル2[[#This Row],[q_P]]/テーブル2[[#This Row],[q_M]]</f>
        <v>0.90986917442386506</v>
      </c>
      <c r="BG116">
        <v>1</v>
      </c>
      <c r="BH116">
        <v>-0.03</v>
      </c>
      <c r="BI116">
        <v>4.5999999999999999E-2</v>
      </c>
      <c r="BJ116">
        <v>5625</v>
      </c>
      <c r="BK116" s="22">
        <v>1</v>
      </c>
      <c r="BL116">
        <f>テーブル2[[#This Row],[Ts]]-テーブル2[[#This Row],[Tin]]</f>
        <v>111.15618502470301</v>
      </c>
      <c r="BM116">
        <f>テーブル2[[#This Row],[q_P]]*0.000001</f>
        <v>4.9081517801972838</v>
      </c>
      <c r="BN116">
        <f>テーブル2[[#This Row],[Tsub]]</f>
        <v>111.15618502470301</v>
      </c>
      <c r="BO116">
        <f>テーブル2[[#This Row],[Fcorr]]</f>
        <v>1</v>
      </c>
      <c r="BP116">
        <f>(テーブル2[[#This Row],[Tsub]]-40)^2</f>
        <v>5063.2026672697684</v>
      </c>
      <c r="BQ116">
        <v>1</v>
      </c>
      <c r="BR116">
        <v>0.15240000000000001</v>
      </c>
    </row>
    <row r="117" spans="1:70" x14ac:dyDescent="0.15">
      <c r="A117" s="9" t="s">
        <v>185</v>
      </c>
      <c r="B117">
        <v>12065825.263044599</v>
      </c>
      <c r="C117" s="22">
        <f t="array" ref="C117">TsatFromP(テーブル2[[#This Row],[P]])</f>
        <v>598.16775841223</v>
      </c>
      <c r="D117">
        <f t="array" ref="D117">RhoGFromP(テーブル2[[#This Row],[P]])</f>
        <v>70.719127092772837</v>
      </c>
      <c r="E117">
        <f t="array" ref="E117">RhoFFromP(テーブル2[[#This Row],[P]])</f>
        <v>654.05698086006123</v>
      </c>
      <c r="F117">
        <f t="array" ref="F117">HgFromP(テーブル2[[#This Row],[P]])</f>
        <v>2683685.0883769058</v>
      </c>
      <c r="G117">
        <f t="array" ref="G117">HfFromP(テーブル2[[#This Row],[P]])</f>
        <v>1493933.1953330804</v>
      </c>
      <c r="H117">
        <f t="array" ref="H117">MuGFromP(テーブル2[[#This Row],[P]])</f>
        <v>2.1145404359092259E-5</v>
      </c>
      <c r="I117">
        <f t="array" ref="I117">MuFFromP(テーブル2[[#This Row],[P]])</f>
        <v>7.6371158483287791E-5</v>
      </c>
      <c r="J117">
        <f t="array" ref="J117">KfFromP(テーブル2[[#This Row],[P]])</f>
        <v>0.51093471001103663</v>
      </c>
      <c r="K117">
        <f t="array" ref="K117">CpFFromP(テーブル2[[#This Row],[P]])</f>
        <v>6848.0719740579098</v>
      </c>
      <c r="L117">
        <f t="array" ref="L117">SigmaFromP(テーブル2[[#This Row],[P]])</f>
        <v>8.6953190176285583E-3</v>
      </c>
      <c r="M117">
        <v>116</v>
      </c>
      <c r="N117">
        <v>3200.7025616288902</v>
      </c>
      <c r="O117" s="8">
        <f t="shared" si="56"/>
        <v>2.8502295699234246E-6</v>
      </c>
      <c r="P117" s="8">
        <f t="shared" si="57"/>
        <v>5.9847340050885557E-3</v>
      </c>
      <c r="Q117" s="8">
        <v>1.905E-3</v>
      </c>
      <c r="R117">
        <v>0.15240000000000001</v>
      </c>
      <c r="S117" s="15">
        <v>3264593.3301562499</v>
      </c>
      <c r="T117">
        <v>526.45012634417299</v>
      </c>
      <c r="U117" s="12">
        <f>+T117+BG117*S117*テーブル2[[#This Row],[Pw]]*R117/(N117*O117*K117)</f>
        <v>574.1113769373319</v>
      </c>
      <c r="V117">
        <v>0.03</v>
      </c>
      <c r="W117" s="8">
        <f t="shared" si="28"/>
        <v>79838.233450881977</v>
      </c>
      <c r="X117">
        <v>3.3515797014276462E-2</v>
      </c>
      <c r="Y117">
        <f t="shared" si="29"/>
        <v>5.4622959187728934</v>
      </c>
      <c r="Z117">
        <f t="shared" si="30"/>
        <v>5.4622959290082331</v>
      </c>
      <c r="AA117">
        <f t="shared" si="31"/>
        <v>-1.0235339686914813E-8</v>
      </c>
      <c r="AB117">
        <f t="shared" si="32"/>
        <v>1.5901282462099238E-5</v>
      </c>
      <c r="AC117">
        <v>645.31394943649877</v>
      </c>
      <c r="AD117">
        <f t="shared" si="33"/>
        <v>2583.81077803982</v>
      </c>
      <c r="AE117">
        <f>+gettm2(AD117,AC117,AK117,AL117,テーブル2[[#This Row],[Fcorr]])</f>
        <v>574.11137739047149</v>
      </c>
      <c r="AF117" s="14">
        <f t="shared" si="34"/>
        <v>4.5313959162740503E-7</v>
      </c>
      <c r="AG117">
        <v>1.5949323744599101E-5</v>
      </c>
      <c r="AH117">
        <f t="shared" si="35"/>
        <v>65.619756431751057</v>
      </c>
      <c r="AI117">
        <f t="shared" si="36"/>
        <v>0.31674481499216933</v>
      </c>
      <c r="AJ117">
        <f t="shared" si="37"/>
        <v>43.265128182405853</v>
      </c>
      <c r="AK117">
        <f t="array" ref="AK117">+S117*テーブル2[[#This Row],[F_form]]/(E117*CpFromTP((テーブル2[[#This Row],[Tin]]+テーブル2[[#This Row],[Tf]])/2,テーブル2[[#This Row],[P]])*AI117)</f>
        <v>3.124417627559132</v>
      </c>
      <c r="AL117">
        <f t="shared" si="38"/>
        <v>1.023604738117011</v>
      </c>
      <c r="AM117">
        <f t="shared" si="39"/>
        <v>598.16775839232457</v>
      </c>
      <c r="AN117">
        <f t="shared" si="40"/>
        <v>1.9905428416677751E-8</v>
      </c>
      <c r="AO117">
        <f t="shared" si="41"/>
        <v>4.8041282499862773E-8</v>
      </c>
      <c r="AP117">
        <v>4.2200455202264084</v>
      </c>
      <c r="AQ117">
        <f t="shared" si="42"/>
        <v>4.8070928333356427E-5</v>
      </c>
      <c r="AR117">
        <f t="shared" si="43"/>
        <v>7.9986825135494819E-6</v>
      </c>
      <c r="AS117">
        <f t="shared" si="44"/>
        <v>21.697723977561985</v>
      </c>
      <c r="AT117">
        <f t="shared" si="45"/>
        <v>12.336036846094371</v>
      </c>
      <c r="AU117">
        <f t="shared" si="46"/>
        <v>3.9073757085527459</v>
      </c>
      <c r="AV117">
        <f t="shared" si="47"/>
        <v>0.31266981167366259</v>
      </c>
      <c r="AW117">
        <f t="shared" si="48"/>
        <v>8.5955020974575712E-3</v>
      </c>
      <c r="AX117">
        <f t="shared" si="49"/>
        <v>0.31266981164555863</v>
      </c>
      <c r="AY117">
        <f t="shared" si="50"/>
        <v>2.8103963600756288E-11</v>
      </c>
      <c r="AZ117">
        <f t="shared" si="51"/>
        <v>1189751.8930438254</v>
      </c>
      <c r="BA117">
        <f t="shared" si="52"/>
        <v>1.1391092371623847E-5</v>
      </c>
      <c r="BB117" s="15">
        <f t="shared" si="53"/>
        <v>3281868.7526514092</v>
      </c>
      <c r="BC117" s="20">
        <f t="shared" si="54"/>
        <v>17275.422495159321</v>
      </c>
      <c r="BD117" s="19">
        <f t="shared" si="55"/>
        <v>0.52917532899365716</v>
      </c>
      <c r="BE117" s="15">
        <v>3974783.4</v>
      </c>
      <c r="BF117" s="16">
        <f>テーブル2[[#This Row],[q_P]]/テーブル2[[#This Row],[q_M]]</f>
        <v>0.82567235051132837</v>
      </c>
      <c r="BG117">
        <v>1</v>
      </c>
      <c r="BH117">
        <v>4.0000000000000001E-3</v>
      </c>
      <c r="BI117">
        <v>4.5999999999999999E-2</v>
      </c>
      <c r="BJ117">
        <v>5625</v>
      </c>
      <c r="BK117" s="22">
        <v>1</v>
      </c>
      <c r="BL117">
        <f>テーブル2[[#This Row],[Ts]]-テーブル2[[#This Row],[Tin]]</f>
        <v>71.717632068057014</v>
      </c>
      <c r="BM117">
        <f>テーブル2[[#This Row],[q_P]]*0.000001</f>
        <v>3.281868752651409</v>
      </c>
      <c r="BN117">
        <f>テーブル2[[#This Row],[Tsub]]</f>
        <v>71.717632068057014</v>
      </c>
      <c r="BO117">
        <f>テーブル2[[#This Row],[Fcorr]]</f>
        <v>1</v>
      </c>
      <c r="BP117">
        <f>(テーブル2[[#This Row],[Tsub]]-40)^2</f>
        <v>1006.0081840046387</v>
      </c>
      <c r="BQ117">
        <v>1</v>
      </c>
      <c r="BR117">
        <v>0.15240000000000001</v>
      </c>
    </row>
    <row r="118" spans="1:70" x14ac:dyDescent="0.15">
      <c r="A118" s="9" t="s">
        <v>186</v>
      </c>
      <c r="B118">
        <v>12065825.263044599</v>
      </c>
      <c r="C118" s="22">
        <f t="array" ref="C118">TsatFromP(テーブル2[[#This Row],[P]])</f>
        <v>598.16775841223</v>
      </c>
      <c r="D118">
        <f t="array" ref="D118">RhoGFromP(テーブル2[[#This Row],[P]])</f>
        <v>70.719127092772837</v>
      </c>
      <c r="E118">
        <f t="array" ref="E118">RhoFFromP(テーブル2[[#This Row],[P]])</f>
        <v>654.05698086006123</v>
      </c>
      <c r="F118">
        <f t="array" ref="F118">HgFromP(テーブル2[[#This Row],[P]])</f>
        <v>2683685.0883769058</v>
      </c>
      <c r="G118">
        <f t="array" ref="G118">HfFromP(テーブル2[[#This Row],[P]])</f>
        <v>1493933.1953330804</v>
      </c>
      <c r="H118">
        <f t="array" ref="H118">MuGFromP(テーブル2[[#This Row],[P]])</f>
        <v>2.1145404359092259E-5</v>
      </c>
      <c r="I118">
        <f t="array" ref="I118">MuFFromP(テーブル2[[#This Row],[P]])</f>
        <v>7.6371158483287791E-5</v>
      </c>
      <c r="J118">
        <f t="array" ref="J118">KfFromP(テーブル2[[#This Row],[P]])</f>
        <v>0.51093471001103663</v>
      </c>
      <c r="K118">
        <f t="array" ref="K118">CpFFromP(テーブル2[[#This Row],[P]])</f>
        <v>6848.0719740579098</v>
      </c>
      <c r="L118">
        <f t="array" ref="L118">SigmaFromP(テーブル2[[#This Row],[P]])</f>
        <v>8.6953190176285583E-3</v>
      </c>
      <c r="M118">
        <v>117</v>
      </c>
      <c r="N118">
        <v>3214.26486061884</v>
      </c>
      <c r="O118" s="8">
        <f t="shared" si="56"/>
        <v>2.8502295699234246E-6</v>
      </c>
      <c r="P118" s="8">
        <f t="shared" si="57"/>
        <v>5.9847340050885557E-3</v>
      </c>
      <c r="Q118" s="8">
        <v>1.905E-3</v>
      </c>
      <c r="R118">
        <v>0.15240000000000001</v>
      </c>
      <c r="S118" s="15">
        <v>4947044.5704687508</v>
      </c>
      <c r="T118">
        <v>487.52777357266399</v>
      </c>
      <c r="U118" s="12">
        <f>+T118+BG118*S118*テーブル2[[#This Row],[Pw]]*R118/(N118*O118*K118)</f>
        <v>559.44713536386575</v>
      </c>
      <c r="V118">
        <v>0.03</v>
      </c>
      <c r="W118" s="8">
        <f t="shared" si="28"/>
        <v>80176.531050250036</v>
      </c>
      <c r="X118">
        <v>3.3449932776735442E-2</v>
      </c>
      <c r="Y118">
        <f t="shared" si="29"/>
        <v>5.4676710122319481</v>
      </c>
      <c r="Z118">
        <f t="shared" si="30"/>
        <v>5.4676710211262467</v>
      </c>
      <c r="AA118">
        <f t="shared" si="31"/>
        <v>-8.8942986309348271E-9</v>
      </c>
      <c r="AB118">
        <f t="shared" si="32"/>
        <v>1.5798424110076485E-5</v>
      </c>
      <c r="AC118">
        <v>673.90977288117267</v>
      </c>
      <c r="AD118">
        <f t="shared" si="33"/>
        <v>2592.2083036275662</v>
      </c>
      <c r="AE118">
        <f>+gettm2(AD118,AC118,AK118,AL118,テーブル2[[#This Row],[Fcorr]])</f>
        <v>559.44713536386553</v>
      </c>
      <c r="AF118" s="14">
        <f t="shared" si="34"/>
        <v>0</v>
      </c>
      <c r="AG118">
        <v>1.5870784299300718E-5</v>
      </c>
      <c r="AH118">
        <f t="shared" si="35"/>
        <v>66.046985119857951</v>
      </c>
      <c r="AI118">
        <f t="shared" si="36"/>
        <v>0.31777425287178862</v>
      </c>
      <c r="AJ118">
        <f t="shared" si="37"/>
        <v>43.191998788167282</v>
      </c>
      <c r="AK118">
        <f t="array" ref="AK118">+S118*テーブル2[[#This Row],[F_form]]/(E118*CpFromTP((テーブル2[[#This Row],[Tin]]+テーブル2[[#This Row],[Tf]])/2,テーブル2[[#This Row],[P]])*AI118)</f>
        <v>5.0208940650482798</v>
      </c>
      <c r="AL118">
        <f t="shared" si="38"/>
        <v>1.023604738117011</v>
      </c>
      <c r="AM118">
        <f t="shared" si="39"/>
        <v>598.16775836189913</v>
      </c>
      <c r="AN118">
        <f t="shared" si="40"/>
        <v>5.0330868361925241E-8</v>
      </c>
      <c r="AO118">
        <f t="shared" si="41"/>
        <v>7.2360189224233171E-8</v>
      </c>
      <c r="AP118">
        <v>4.2325922073177296</v>
      </c>
      <c r="AQ118">
        <f t="shared" si="42"/>
        <v>4.7786357113151956E-5</v>
      </c>
      <c r="AR118">
        <f t="shared" si="43"/>
        <v>7.9715722442624758E-6</v>
      </c>
      <c r="AS118">
        <f t="shared" si="44"/>
        <v>21.694462744928323</v>
      </c>
      <c r="AT118">
        <f t="shared" si="45"/>
        <v>12.335285274697275</v>
      </c>
      <c r="AU118">
        <f t="shared" si="46"/>
        <v>3.9198360621273025</v>
      </c>
      <c r="AV118">
        <f t="shared" si="47"/>
        <v>0.31275614519042705</v>
      </c>
      <c r="AW118">
        <f t="shared" si="48"/>
        <v>8.539901602172998E-3</v>
      </c>
      <c r="AX118">
        <f t="shared" si="49"/>
        <v>0.31275614507799537</v>
      </c>
      <c r="AY118">
        <f t="shared" si="50"/>
        <v>1.1243167508112606E-10</v>
      </c>
      <c r="AZ118">
        <f t="shared" si="51"/>
        <v>1189751.8930438254</v>
      </c>
      <c r="BA118">
        <f t="shared" si="52"/>
        <v>1.1290092400239766E-5</v>
      </c>
      <c r="BB118" s="15">
        <f t="shared" si="53"/>
        <v>4987399.8444545949</v>
      </c>
      <c r="BC118" s="20">
        <f t="shared" si="54"/>
        <v>40355.273985844105</v>
      </c>
      <c r="BD118" s="19">
        <f t="shared" si="55"/>
        <v>0.81574510621440166</v>
      </c>
      <c r="BE118" s="15">
        <v>5425894.7999999998</v>
      </c>
      <c r="BF118" s="16">
        <f>テーブル2[[#This Row],[q_P]]/テーブル2[[#This Row],[q_M]]</f>
        <v>0.91918476643789615</v>
      </c>
      <c r="BG118">
        <v>1</v>
      </c>
      <c r="BH118">
        <v>-2.8000000000000001E-2</v>
      </c>
      <c r="BI118">
        <v>4.5999999999999999E-2</v>
      </c>
      <c r="BJ118">
        <v>5625</v>
      </c>
      <c r="BK118" s="22">
        <v>1</v>
      </c>
      <c r="BL118">
        <f>テーブル2[[#This Row],[Ts]]-テーブル2[[#This Row],[Tin]]</f>
        <v>110.63998483956601</v>
      </c>
      <c r="BM118">
        <f>テーブル2[[#This Row],[q_P]]*0.000001</f>
        <v>4.9873998444545951</v>
      </c>
      <c r="BN118">
        <f>テーブル2[[#This Row],[Tsub]]</f>
        <v>110.63998483956601</v>
      </c>
      <c r="BO118">
        <f>テーブル2[[#This Row],[Fcorr]]</f>
        <v>1</v>
      </c>
      <c r="BP118">
        <f>(テーブル2[[#This Row],[Tsub]]-40)^2</f>
        <v>4990.007458134116</v>
      </c>
      <c r="BQ118">
        <v>1</v>
      </c>
      <c r="BR118">
        <v>0.15240000000000001</v>
      </c>
    </row>
    <row r="119" spans="1:70" x14ac:dyDescent="0.15">
      <c r="A119" s="9" t="s">
        <v>187</v>
      </c>
      <c r="B119">
        <v>12065825.263044599</v>
      </c>
      <c r="C119" s="22">
        <f t="array" ref="C119">TsatFromP(テーブル2[[#This Row],[P]])</f>
        <v>598.16775841223</v>
      </c>
      <c r="D119">
        <f t="array" ref="D119">RhoGFromP(テーブル2[[#This Row],[P]])</f>
        <v>70.719127092772837</v>
      </c>
      <c r="E119">
        <f t="array" ref="E119">RhoFFromP(テーブル2[[#This Row],[P]])</f>
        <v>654.05698086006123</v>
      </c>
      <c r="F119">
        <f t="array" ref="F119">HgFromP(テーブル2[[#This Row],[P]])</f>
        <v>2683685.0883769058</v>
      </c>
      <c r="G119">
        <f t="array" ref="G119">HfFromP(テーブル2[[#This Row],[P]])</f>
        <v>1493933.1953330804</v>
      </c>
      <c r="H119">
        <f t="array" ref="H119">MuGFromP(テーブル2[[#This Row],[P]])</f>
        <v>2.1145404359092259E-5</v>
      </c>
      <c r="I119">
        <f t="array" ref="I119">MuFFromP(テーブル2[[#This Row],[P]])</f>
        <v>7.6371158483287791E-5</v>
      </c>
      <c r="J119">
        <f t="array" ref="J119">KfFromP(テーブル2[[#This Row],[P]])</f>
        <v>0.51093471001103663</v>
      </c>
      <c r="K119">
        <f t="array" ref="K119">CpFFromP(テーブル2[[#This Row],[P]])</f>
        <v>6848.0719740579098</v>
      </c>
      <c r="L119">
        <f t="array" ref="L119">SigmaFromP(テーブル2[[#This Row],[P]])</f>
        <v>8.6953190176285583E-3</v>
      </c>
      <c r="M119">
        <v>118</v>
      </c>
      <c r="N119">
        <v>3254.9517575886998</v>
      </c>
      <c r="O119" s="8">
        <f t="shared" si="56"/>
        <v>2.8502295699234246E-6</v>
      </c>
      <c r="P119" s="8">
        <f t="shared" si="57"/>
        <v>5.9847340050885557E-3</v>
      </c>
      <c r="Q119" s="8">
        <v>1.905E-3</v>
      </c>
      <c r="R119">
        <v>0.15240000000000001</v>
      </c>
      <c r="S119" s="15">
        <v>6246432.3570312494</v>
      </c>
      <c r="T119">
        <v>458.12079612380802</v>
      </c>
      <c r="U119" s="12">
        <f>+T119+BG119*S119*テーブル2[[#This Row],[Pw]]*R119/(N119*O119*K119)</f>
        <v>547.79533400455216</v>
      </c>
      <c r="V119">
        <v>0.03</v>
      </c>
      <c r="W119" s="8">
        <f t="shared" si="28"/>
        <v>81191.42384835449</v>
      </c>
      <c r="X119">
        <v>3.3255093087555303E-2</v>
      </c>
      <c r="Y119">
        <f t="shared" si="29"/>
        <v>5.4836650054080129</v>
      </c>
      <c r="Z119">
        <f t="shared" si="30"/>
        <v>5.4836650106196787</v>
      </c>
      <c r="AA119">
        <f t="shared" si="31"/>
        <v>-5.2116657656142706E-9</v>
      </c>
      <c r="AB119">
        <f t="shared" si="32"/>
        <v>1.549619448597549E-5</v>
      </c>
      <c r="AC119">
        <v>695.98221146749358</v>
      </c>
      <c r="AD119">
        <f t="shared" si="33"/>
        <v>2617.3647697636375</v>
      </c>
      <c r="AE119">
        <f>+gettm2(AD119,AC119,AK119,AL119,テーブル2[[#This Row],[Fcorr]])</f>
        <v>547.79533400455205</v>
      </c>
      <c r="AF119" s="14">
        <f t="shared" si="34"/>
        <v>0</v>
      </c>
      <c r="AG119">
        <v>1.5584471376951549E-5</v>
      </c>
      <c r="AH119">
        <f t="shared" si="35"/>
        <v>67.335130767735862</v>
      </c>
      <c r="AI119">
        <f t="shared" si="36"/>
        <v>0.3208581397724275</v>
      </c>
      <c r="AJ119">
        <f t="shared" si="37"/>
        <v>42.824405603593483</v>
      </c>
      <c r="AK119">
        <f t="array" ref="AK119">+S119*テーブル2[[#This Row],[F_form]]/(E119*CpFromTP((テーブル2[[#This Row],[Tin]]+テーブル2[[#This Row],[Tf]])/2,テーブル2[[#This Row],[P]])*AI119)</f>
        <v>6.4932605917354174</v>
      </c>
      <c r="AL119">
        <f t="shared" si="38"/>
        <v>1.023604738117011</v>
      </c>
      <c r="AM119">
        <f t="shared" si="39"/>
        <v>598.16775834414193</v>
      </c>
      <c r="AN119">
        <f t="shared" si="40"/>
        <v>6.8088070293015335E-8</v>
      </c>
      <c r="AO119">
        <f t="shared" si="41"/>
        <v>8.8276890976059241E-8</v>
      </c>
      <c r="AP119">
        <v>4.2597095136070049</v>
      </c>
      <c r="AQ119">
        <f t="shared" si="42"/>
        <v>4.7179877901942416E-5</v>
      </c>
      <c r="AR119">
        <f t="shared" si="43"/>
        <v>7.8363741339638042E-6</v>
      </c>
      <c r="AS119">
        <f t="shared" si="44"/>
        <v>21.533490373673381</v>
      </c>
      <c r="AT119">
        <f t="shared" si="45"/>
        <v>12.298047074944511</v>
      </c>
      <c r="AU119">
        <f t="shared" si="46"/>
        <v>3.9459285073004393</v>
      </c>
      <c r="AV119">
        <f t="shared" si="47"/>
        <v>0.31378100630656558</v>
      </c>
      <c r="AW119">
        <f t="shared" si="48"/>
        <v>8.3765301650536462E-3</v>
      </c>
      <c r="AX119">
        <f t="shared" si="49"/>
        <v>0.31378100572039597</v>
      </c>
      <c r="AY119">
        <f t="shared" si="50"/>
        <v>5.8616961284840841E-10</v>
      </c>
      <c r="AZ119">
        <f t="shared" si="51"/>
        <v>1189751.8930438254</v>
      </c>
      <c r="BA119">
        <f t="shared" si="52"/>
        <v>1.1075843963357912E-5</v>
      </c>
      <c r="BB119" s="15">
        <f t="shared" si="53"/>
        <v>6202148.9270478226</v>
      </c>
      <c r="BC119" s="20">
        <f t="shared" si="54"/>
        <v>-44283.429983426817</v>
      </c>
      <c r="BD119" s="19">
        <f t="shared" si="55"/>
        <v>-0.70893955865190006</v>
      </c>
      <c r="BE119" s="15">
        <v>6624639</v>
      </c>
      <c r="BF119" s="16">
        <f>テーブル2[[#This Row],[q_P]]/テーブル2[[#This Row],[q_M]]</f>
        <v>0.93622443835019875</v>
      </c>
      <c r="BG119">
        <v>1</v>
      </c>
      <c r="BH119">
        <v>-4.3999999999999997E-2</v>
      </c>
      <c r="BI119">
        <v>4.5999999999999999E-2</v>
      </c>
      <c r="BJ119">
        <v>5625</v>
      </c>
      <c r="BK119" s="22">
        <v>1</v>
      </c>
      <c r="BL119">
        <f>テーブル2[[#This Row],[Ts]]-テーブル2[[#This Row],[Tin]]</f>
        <v>140.04696228842198</v>
      </c>
      <c r="BM119">
        <f>テーブル2[[#This Row],[q_P]]*0.000001</f>
        <v>6.2021489270478227</v>
      </c>
      <c r="BN119">
        <f>テーブル2[[#This Row],[Tsub]]</f>
        <v>140.04696228842198</v>
      </c>
      <c r="BO119">
        <f>テーブル2[[#This Row],[Fcorr]]</f>
        <v>1</v>
      </c>
      <c r="BP119">
        <f>(テーブル2[[#This Row],[Tsub]]-40)^2</f>
        <v>10009.394663140931</v>
      </c>
      <c r="BQ119">
        <v>1</v>
      </c>
      <c r="BR119">
        <v>0.15240000000000001</v>
      </c>
    </row>
    <row r="120" spans="1:70" x14ac:dyDescent="0.15">
      <c r="A120" s="9" t="s">
        <v>188</v>
      </c>
      <c r="B120">
        <v>12065825.263044599</v>
      </c>
      <c r="C120" s="22">
        <f t="array" ref="C120">TsatFromP(テーブル2[[#This Row],[P]])</f>
        <v>598.16775841223</v>
      </c>
      <c r="D120">
        <f t="array" ref="D120">RhoGFromP(テーブル2[[#This Row],[P]])</f>
        <v>70.719127092772837</v>
      </c>
      <c r="E120">
        <f t="array" ref="E120">RhoFFromP(テーブル2[[#This Row],[P]])</f>
        <v>654.05698086006123</v>
      </c>
      <c r="F120">
        <f t="array" ref="F120">HgFromP(テーブル2[[#This Row],[P]])</f>
        <v>2683685.0883769058</v>
      </c>
      <c r="G120">
        <f t="array" ref="G120">HfFromP(テーブル2[[#This Row],[P]])</f>
        <v>1493933.1953330804</v>
      </c>
      <c r="H120">
        <f t="array" ref="H120">MuGFromP(テーブル2[[#This Row],[P]])</f>
        <v>2.1145404359092259E-5</v>
      </c>
      <c r="I120">
        <f t="array" ref="I120">MuFFromP(テーブル2[[#This Row],[P]])</f>
        <v>7.6371158483287791E-5</v>
      </c>
      <c r="J120">
        <f t="array" ref="J120">KfFromP(テーブル2[[#This Row],[P]])</f>
        <v>0.51093471001103663</v>
      </c>
      <c r="K120">
        <f t="array" ref="K120">CpFFromP(テーブル2[[#This Row],[P]])</f>
        <v>6848.0719740579098</v>
      </c>
      <c r="L120">
        <f t="array" ref="L120">SigmaFromP(テーブル2[[#This Row],[P]])</f>
        <v>8.6953190176285583E-3</v>
      </c>
      <c r="M120">
        <v>119</v>
      </c>
      <c r="N120">
        <v>3295.6386545585601</v>
      </c>
      <c r="O120" s="8">
        <f t="shared" ref="O120:O151" si="58">PI()*Q120^2/4</f>
        <v>2.8502295699234246E-6</v>
      </c>
      <c r="P120" s="8">
        <f t="shared" ref="P120:P151" si="59">PI()*Q120</f>
        <v>5.9847340050885557E-3</v>
      </c>
      <c r="Q120" s="8">
        <v>1.905E-3</v>
      </c>
      <c r="R120">
        <v>0.15240000000000001</v>
      </c>
      <c r="S120" s="15">
        <v>3506963.10546875</v>
      </c>
      <c r="T120">
        <v>522.60407503228396</v>
      </c>
      <c r="U120" s="12">
        <f>+T120+BG120*S120*テーブル2[[#This Row],[Pw]]*R120/(N120*O120*K120)</f>
        <v>572.32890091332672</v>
      </c>
      <c r="V120">
        <v>0.03</v>
      </c>
      <c r="W120" s="8">
        <f t="shared" si="28"/>
        <v>82206.316646458974</v>
      </c>
      <c r="X120">
        <v>3.3064274849559552E-2</v>
      </c>
      <c r="Y120">
        <f t="shared" si="29"/>
        <v>5.4994657138155487</v>
      </c>
      <c r="Z120">
        <f t="shared" si="30"/>
        <v>5.4994657451812641</v>
      </c>
      <c r="AA120">
        <f t="shared" si="31"/>
        <v>-3.1365715358333546E-8</v>
      </c>
      <c r="AB120">
        <f t="shared" si="32"/>
        <v>1.5203170290678916E-5</v>
      </c>
      <c r="AC120">
        <v>647.89564415913628</v>
      </c>
      <c r="AD120">
        <f t="shared" si="33"/>
        <v>2642.4677860547035</v>
      </c>
      <c r="AE120">
        <f>+gettm2(AD120,AC120,AK120,AL120,テーブル2[[#This Row],[Fcorr]])</f>
        <v>572.32890139228311</v>
      </c>
      <c r="AF120" s="14">
        <f t="shared" si="34"/>
        <v>4.7895639454509364E-7</v>
      </c>
      <c r="AG120">
        <v>1.525230204098302E-5</v>
      </c>
      <c r="AH120">
        <f t="shared" si="35"/>
        <v>68.63294050946466</v>
      </c>
      <c r="AI120">
        <f t="shared" si="36"/>
        <v>0.32393547435065517</v>
      </c>
      <c r="AJ120">
        <f t="shared" si="37"/>
        <v>42.313613445117113</v>
      </c>
      <c r="AK120">
        <f t="array" ref="AK120">+S120*テーブル2[[#This Row],[F_form]]/(E120*CpFromTP((テーブル2[[#This Row],[Tin]]+テーブル2[[#This Row],[Tf]])/2,テーブル2[[#This Row],[P]])*AI120)</f>
        <v>3.307695384492209</v>
      </c>
      <c r="AL120">
        <f t="shared" si="38"/>
        <v>1.023604738117011</v>
      </c>
      <c r="AM120">
        <f t="shared" si="39"/>
        <v>598.16775839966135</v>
      </c>
      <c r="AN120">
        <f t="shared" si="40"/>
        <v>1.256864834431326E-8</v>
      </c>
      <c r="AO120">
        <f t="shared" si="41"/>
        <v>4.9131750304104587E-8</v>
      </c>
      <c r="AP120">
        <v>4.2759838753735382</v>
      </c>
      <c r="AQ120">
        <f t="shared" si="42"/>
        <v>4.6821428824333842E-5</v>
      </c>
      <c r="AR120">
        <f t="shared" si="43"/>
        <v>7.6507168956435632E-6</v>
      </c>
      <c r="AS120">
        <f t="shared" si="44"/>
        <v>21.224958464002693</v>
      </c>
      <c r="AT120">
        <f t="shared" si="45"/>
        <v>12.225888876290247</v>
      </c>
      <c r="AU120">
        <f t="shared" si="46"/>
        <v>3.9603991124994797</v>
      </c>
      <c r="AV120">
        <f t="shared" si="47"/>
        <v>0.31558476287405846</v>
      </c>
      <c r="AW120">
        <f t="shared" si="48"/>
        <v>8.2181347594452708E-3</v>
      </c>
      <c r="AX120">
        <f t="shared" si="49"/>
        <v>0.31558476178458372</v>
      </c>
      <c r="AY120">
        <f t="shared" si="50"/>
        <v>1.0894747326517518E-9</v>
      </c>
      <c r="AZ120">
        <f t="shared" si="51"/>
        <v>1189751.8930438254</v>
      </c>
      <c r="BA120">
        <f t="shared" si="52"/>
        <v>1.0949860941709854E-5</v>
      </c>
      <c r="BB120" s="15">
        <f t="shared" si="53"/>
        <v>3491609.1423078282</v>
      </c>
      <c r="BC120" s="20">
        <f t="shared" si="54"/>
        <v>-15353.96316092182</v>
      </c>
      <c r="BD120" s="19">
        <f t="shared" si="55"/>
        <v>-0.43781364956417379</v>
      </c>
      <c r="BE120" s="15">
        <v>4037875.2</v>
      </c>
      <c r="BF120" s="16">
        <f>テーブル2[[#This Row],[q_P]]/テーブル2[[#This Row],[q_M]]</f>
        <v>0.86471447713585303</v>
      </c>
      <c r="BG120">
        <v>1</v>
      </c>
      <c r="BH120">
        <v>-1.6E-2</v>
      </c>
      <c r="BI120">
        <v>4.5999999999999999E-2</v>
      </c>
      <c r="BJ120">
        <v>5625</v>
      </c>
      <c r="BK120" s="22">
        <v>1</v>
      </c>
      <c r="BL120">
        <f>テーブル2[[#This Row],[Ts]]-テーブル2[[#This Row],[Tin]]</f>
        <v>75.563683379946042</v>
      </c>
      <c r="BM120">
        <f>テーブル2[[#This Row],[q_P]]*0.000001</f>
        <v>3.4916091423078282</v>
      </c>
      <c r="BN120">
        <f>テーブル2[[#This Row],[Tsub]]</f>
        <v>75.563683379946042</v>
      </c>
      <c r="BO120">
        <f>テーブル2[[#This Row],[Fcorr]]</f>
        <v>1</v>
      </c>
      <c r="BP120">
        <f>(テーブル2[[#This Row],[Tsub]]-40)^2</f>
        <v>1264.7755755490502</v>
      </c>
      <c r="BQ120">
        <v>1</v>
      </c>
      <c r="BR120">
        <v>0.15240000000000001</v>
      </c>
    </row>
    <row r="121" spans="1:70" x14ac:dyDescent="0.15">
      <c r="A121" s="9" t="s">
        <v>189</v>
      </c>
      <c r="B121">
        <v>12065825.263044599</v>
      </c>
      <c r="C121" s="22">
        <f t="array" ref="C121">TsatFromP(テーブル2[[#This Row],[P]])</f>
        <v>598.16775841223</v>
      </c>
      <c r="D121">
        <f t="array" ref="D121">RhoGFromP(テーブル2[[#This Row],[P]])</f>
        <v>70.719127092772837</v>
      </c>
      <c r="E121">
        <f t="array" ref="E121">RhoFFromP(テーブル2[[#This Row],[P]])</f>
        <v>654.05698086006123</v>
      </c>
      <c r="F121">
        <f t="array" ref="F121">HgFromP(テーブル2[[#This Row],[P]])</f>
        <v>2683685.0883769058</v>
      </c>
      <c r="G121">
        <f t="array" ref="G121">HfFromP(テーブル2[[#This Row],[P]])</f>
        <v>1493933.1953330804</v>
      </c>
      <c r="H121">
        <f t="array" ref="H121">MuGFromP(テーブル2[[#This Row],[P]])</f>
        <v>2.1145404359092259E-5</v>
      </c>
      <c r="I121">
        <f t="array" ref="I121">MuFFromP(テーブル2[[#This Row],[P]])</f>
        <v>7.6371158483287791E-5</v>
      </c>
      <c r="J121">
        <f t="array" ref="J121">KfFromP(テーブル2[[#This Row],[P]])</f>
        <v>0.51093471001103663</v>
      </c>
      <c r="K121">
        <f t="array" ref="K121">CpFFromP(テーブル2[[#This Row],[P]])</f>
        <v>6848.0719740579098</v>
      </c>
      <c r="L121">
        <f t="array" ref="L121">SigmaFromP(テーブル2[[#This Row],[P]])</f>
        <v>8.6953190176285583E-3</v>
      </c>
      <c r="M121">
        <v>120</v>
      </c>
      <c r="N121">
        <v>3811.0060161767701</v>
      </c>
      <c r="O121" s="8">
        <f t="shared" si="58"/>
        <v>2.8502295699234246E-6</v>
      </c>
      <c r="P121" s="8">
        <f t="shared" si="59"/>
        <v>5.9847340050885557E-3</v>
      </c>
      <c r="Q121" s="8">
        <v>1.905E-3</v>
      </c>
      <c r="R121">
        <v>0.15240000000000001</v>
      </c>
      <c r="S121" s="15">
        <v>3272268.95703125</v>
      </c>
      <c r="T121">
        <v>535.47689091834604</v>
      </c>
      <c r="U121" s="12">
        <f>+T121+BG121*S121*テーブル2[[#This Row],[Pw]]*R121/(N121*O121*K121)</f>
        <v>575.59967125462265</v>
      </c>
      <c r="V121">
        <v>0.03</v>
      </c>
      <c r="W121" s="8">
        <f t="shared" si="28"/>
        <v>95061.6254224484</v>
      </c>
      <c r="X121">
        <v>3.0945300439482609E-2</v>
      </c>
      <c r="Y121">
        <f t="shared" si="29"/>
        <v>5.6846358323022708</v>
      </c>
      <c r="Z121">
        <f t="shared" si="30"/>
        <v>5.684635867397569</v>
      </c>
      <c r="AA121">
        <f t="shared" si="31"/>
        <v>-3.5095298223097871E-8</v>
      </c>
      <c r="AB121">
        <f t="shared" si="32"/>
        <v>1.2147820509179229E-5</v>
      </c>
      <c r="AC121">
        <v>637.92118866300666</v>
      </c>
      <c r="AD121">
        <f t="shared" si="33"/>
        <v>2956.1577007653841</v>
      </c>
      <c r="AE121">
        <f>+gettm2(AD121,AC121,AK121,AL121,テーブル2[[#This Row],[Fcorr]])</f>
        <v>575.59967125462254</v>
      </c>
      <c r="AF121" s="14">
        <f t="shared" si="34"/>
        <v>0</v>
      </c>
      <c r="AG121">
        <v>1.2185747449607321E-5</v>
      </c>
      <c r="AH121">
        <f t="shared" si="35"/>
        <v>85.89510203307465</v>
      </c>
      <c r="AI121">
        <f t="shared" si="36"/>
        <v>0.36239016880599828</v>
      </c>
      <c r="AJ121">
        <f t="shared" si="37"/>
        <v>37.81941329421398</v>
      </c>
      <c r="AK121">
        <f t="array" ref="AK121">+S121*テーブル2[[#This Row],[F_form]]/(E121*CpFromTP((テーブル2[[#This Row],[Tin]]+テーブル2[[#This Row],[Tf]])/2,テーブル2[[#This Row],[P]])*AI121)</f>
        <v>2.6945482175486029</v>
      </c>
      <c r="AL121">
        <f t="shared" si="38"/>
        <v>1.023604738117011</v>
      </c>
      <c r="AM121">
        <f t="shared" si="39"/>
        <v>598.16775840418336</v>
      </c>
      <c r="AN121">
        <f t="shared" si="40"/>
        <v>8.046640687098261E-9</v>
      </c>
      <c r="AO121">
        <f t="shared" si="41"/>
        <v>3.7926940428092133E-8</v>
      </c>
      <c r="AP121">
        <v>4.5580858608629136</v>
      </c>
      <c r="AQ121">
        <f t="shared" si="42"/>
        <v>4.1205176319700779E-5</v>
      </c>
      <c r="AR121">
        <f t="shared" si="43"/>
        <v>6.1118371950177064E-6</v>
      </c>
      <c r="AS121">
        <f t="shared" si="44"/>
        <v>18.96856124921354</v>
      </c>
      <c r="AT121">
        <f t="shared" si="45"/>
        <v>11.663914687960986</v>
      </c>
      <c r="AU121">
        <f t="shared" si="46"/>
        <v>4.2268880127089448</v>
      </c>
      <c r="AV121">
        <f t="shared" si="47"/>
        <v>0.3311978481539688</v>
      </c>
      <c r="AW121">
        <f t="shared" si="48"/>
        <v>6.5665531641907193E-3</v>
      </c>
      <c r="AX121">
        <f t="shared" si="49"/>
        <v>0.33119782706648743</v>
      </c>
      <c r="AY121">
        <f t="shared" si="50"/>
        <v>2.1087481372195072E-8</v>
      </c>
      <c r="AZ121">
        <f t="shared" si="51"/>
        <v>1189751.8930438254</v>
      </c>
      <c r="BA121">
        <f t="shared" si="52"/>
        <v>9.0400175813932621E-6</v>
      </c>
      <c r="BB121" s="15">
        <f t="shared" si="53"/>
        <v>3264754.4627972869</v>
      </c>
      <c r="BC121" s="20">
        <f t="shared" si="54"/>
        <v>-7514.4942339630798</v>
      </c>
      <c r="BD121" s="19">
        <f t="shared" si="55"/>
        <v>-0.229641705270479</v>
      </c>
      <c r="BE121" s="15">
        <v>4053648.15</v>
      </c>
      <c r="BF121" s="16">
        <f>テーブル2[[#This Row],[q_P]]/テーブル2[[#This Row],[q_M]]</f>
        <v>0.80538673855975562</v>
      </c>
      <c r="BG121">
        <v>1</v>
      </c>
      <c r="BH121">
        <v>-7.0000000000000001E-3</v>
      </c>
      <c r="BI121">
        <v>4.5999999999999999E-2</v>
      </c>
      <c r="BJ121">
        <v>5625</v>
      </c>
      <c r="BK121" s="22">
        <v>1</v>
      </c>
      <c r="BL121">
        <f>テーブル2[[#This Row],[Ts]]-テーブル2[[#This Row],[Tin]]</f>
        <v>62.690867493883957</v>
      </c>
      <c r="BM121">
        <f>テーブル2[[#This Row],[q_P]]*0.000001</f>
        <v>3.2647544627972866</v>
      </c>
      <c r="BN121">
        <f>テーブル2[[#This Row],[Tsub]]</f>
        <v>62.690867493883957</v>
      </c>
      <c r="BO121">
        <f>テーブル2[[#This Row],[Fcorr]]</f>
        <v>1</v>
      </c>
      <c r="BP121">
        <f>(テーブル2[[#This Row],[Tsub]]-40)^2</f>
        <v>514.8754676249996</v>
      </c>
      <c r="BQ121">
        <v>1</v>
      </c>
      <c r="BR121">
        <v>0.15240000000000001</v>
      </c>
    </row>
    <row r="122" spans="1:70" x14ac:dyDescent="0.15">
      <c r="A122" s="9" t="s">
        <v>190</v>
      </c>
      <c r="B122">
        <v>12065825.263044599</v>
      </c>
      <c r="C122" s="22">
        <f t="array" ref="C122">TsatFromP(テーブル2[[#This Row],[P]])</f>
        <v>598.16775841223</v>
      </c>
      <c r="D122">
        <f t="array" ref="D122">RhoGFromP(テーブル2[[#This Row],[P]])</f>
        <v>70.719127092772837</v>
      </c>
      <c r="E122">
        <f t="array" ref="E122">RhoFFromP(テーブル2[[#This Row],[P]])</f>
        <v>654.05698086006123</v>
      </c>
      <c r="F122">
        <f t="array" ref="F122">HgFromP(テーブル2[[#This Row],[P]])</f>
        <v>2683685.0883769058</v>
      </c>
      <c r="G122">
        <f t="array" ref="G122">HfFromP(テーブル2[[#This Row],[P]])</f>
        <v>1493933.1953330804</v>
      </c>
      <c r="H122">
        <f t="array" ref="H122">MuGFromP(テーブル2[[#This Row],[P]])</f>
        <v>2.1145404359092259E-5</v>
      </c>
      <c r="I122">
        <f t="array" ref="I122">MuFFromP(テーブル2[[#This Row],[P]])</f>
        <v>7.6371158483287791E-5</v>
      </c>
      <c r="J122">
        <f t="array" ref="J122">KfFromP(テーブル2[[#This Row],[P]])</f>
        <v>0.51093471001103663</v>
      </c>
      <c r="K122">
        <f t="array" ref="K122">CpFFromP(テーブル2[[#This Row],[P]])</f>
        <v>6848.0719740579098</v>
      </c>
      <c r="L122">
        <f t="array" ref="L122">SigmaFromP(テーブル2[[#This Row],[P]])</f>
        <v>8.6953190176285583E-3</v>
      </c>
      <c r="M122">
        <v>121</v>
      </c>
      <c r="N122">
        <v>4041.5650990059698</v>
      </c>
      <c r="O122" s="8">
        <f t="shared" si="58"/>
        <v>2.8502295699234246E-6</v>
      </c>
      <c r="P122" s="8">
        <f t="shared" si="59"/>
        <v>5.9847340050885557E-3</v>
      </c>
      <c r="Q122" s="8">
        <v>1.905E-3</v>
      </c>
      <c r="R122">
        <v>0.15240000000000001</v>
      </c>
      <c r="S122" s="15">
        <v>3737501.98046875</v>
      </c>
      <c r="T122">
        <v>529.302558596925</v>
      </c>
      <c r="U122" s="12">
        <f>+T122+BG122*S122*テーブル2[[#This Row],[Pw]]*R122/(N122*O122*K122)</f>
        <v>572.51546879104569</v>
      </c>
      <c r="V122">
        <v>0.03</v>
      </c>
      <c r="W122" s="8">
        <f t="shared" si="28"/>
        <v>100812.68461170686</v>
      </c>
      <c r="X122">
        <v>3.0144337567857841E-2</v>
      </c>
      <c r="Y122">
        <f t="shared" si="29"/>
        <v>5.7596637200681835</v>
      </c>
      <c r="Z122">
        <f t="shared" si="30"/>
        <v>5.7596637569575666</v>
      </c>
      <c r="AA122">
        <f t="shared" si="31"/>
        <v>-3.6889383103755335E-8</v>
      </c>
      <c r="AB122">
        <f t="shared" si="32"/>
        <v>1.1088363050011967E-5</v>
      </c>
      <c r="AC122">
        <v>641.82040900582058</v>
      </c>
      <c r="AD122">
        <f t="shared" si="33"/>
        <v>3094.1621066426928</v>
      </c>
      <c r="AE122">
        <f>+gettm2(AD122,AC122,AK122,AL122,テーブル2[[#This Row],[Fcorr]])</f>
        <v>572.51546920924977</v>
      </c>
      <c r="AF122" s="14">
        <f t="shared" si="34"/>
        <v>4.1820408114290331E-7</v>
      </c>
      <c r="AG122">
        <v>1.1128276389613479E-5</v>
      </c>
      <c r="AH122">
        <f t="shared" si="35"/>
        <v>94.102103025414635</v>
      </c>
      <c r="AI122">
        <f t="shared" si="36"/>
        <v>0.37930788599304177</v>
      </c>
      <c r="AJ122">
        <f t="shared" si="37"/>
        <v>36.14980694696964</v>
      </c>
      <c r="AK122">
        <f t="array" ref="AK122">+S122*テーブル2[[#This Row],[F_form]]/(E122*CpFromTP((テーブル2[[#This Row],[Tin]]+テーブル2[[#This Row],[Tf]])/2,テーブル2[[#This Row],[P]])*AI122)</f>
        <v>2.9816559755845886</v>
      </c>
      <c r="AL122">
        <f t="shared" si="38"/>
        <v>1.023604738117011</v>
      </c>
      <c r="AM122">
        <f t="shared" si="39"/>
        <v>598.16775840860521</v>
      </c>
      <c r="AN122">
        <f t="shared" si="40"/>
        <v>3.6247911339160055E-9</v>
      </c>
      <c r="AO122">
        <f t="shared" si="41"/>
        <v>3.9913339601512434E-8</v>
      </c>
      <c r="AP122">
        <v>4.6773042065595281</v>
      </c>
      <c r="AQ122">
        <f t="shared" si="42"/>
        <v>3.9131414485436074E-5</v>
      </c>
      <c r="AR122">
        <f t="shared" si="43"/>
        <v>5.5840948646074959E-6</v>
      </c>
      <c r="AS122">
        <f t="shared" si="44"/>
        <v>18.139731999964905</v>
      </c>
      <c r="AT122">
        <f t="shared" si="45"/>
        <v>11.440523352978825</v>
      </c>
      <c r="AU122">
        <f t="shared" si="46"/>
        <v>4.3394807276724245</v>
      </c>
      <c r="AV122">
        <f t="shared" si="47"/>
        <v>0.33782347888710351</v>
      </c>
      <c r="AW122">
        <f t="shared" si="48"/>
        <v>5.993859179655522E-3</v>
      </c>
      <c r="AX122">
        <f t="shared" si="49"/>
        <v>0.33782347766433907</v>
      </c>
      <c r="AY122">
        <f t="shared" si="50"/>
        <v>1.2227644452522668E-9</v>
      </c>
      <c r="AZ122">
        <f t="shared" si="51"/>
        <v>1189751.8930438254</v>
      </c>
      <c r="BA122">
        <f t="shared" si="52"/>
        <v>8.366232504303983E-6</v>
      </c>
      <c r="BB122" s="15">
        <f t="shared" si="53"/>
        <v>3712445.8463801444</v>
      </c>
      <c r="BC122" s="20">
        <f t="shared" si="54"/>
        <v>-25056.134088605642</v>
      </c>
      <c r="BD122" s="19">
        <f t="shared" si="55"/>
        <v>-0.67039788124642419</v>
      </c>
      <c r="BE122" s="15">
        <v>4653020.25</v>
      </c>
      <c r="BF122" s="16">
        <f>テーブル2[[#This Row],[q_P]]/テーブル2[[#This Row],[q_M]]</f>
        <v>0.79785722969508766</v>
      </c>
      <c r="BG122">
        <v>1</v>
      </c>
      <c r="BH122">
        <v>-8.9999999999999993E-3</v>
      </c>
      <c r="BI122">
        <v>4.5999999999999999E-2</v>
      </c>
      <c r="BJ122">
        <v>5625</v>
      </c>
      <c r="BK122" s="22">
        <v>1</v>
      </c>
      <c r="BL122">
        <f>テーブル2[[#This Row],[Ts]]-テーブル2[[#This Row],[Tin]]</f>
        <v>68.865199815305004</v>
      </c>
      <c r="BM122">
        <f>テーブル2[[#This Row],[q_P]]*0.000001</f>
        <v>3.7124458463801444</v>
      </c>
      <c r="BN122">
        <f>テーブル2[[#This Row],[Tsub]]</f>
        <v>68.865199815305004</v>
      </c>
      <c r="BO122">
        <f>テーブル2[[#This Row],[Fcorr]]</f>
        <v>1</v>
      </c>
      <c r="BP122">
        <f>(テーブル2[[#This Row],[Tsub]]-40)^2</f>
        <v>833.19976037748404</v>
      </c>
      <c r="BQ122">
        <v>1</v>
      </c>
      <c r="BR122">
        <v>0.15240000000000001</v>
      </c>
    </row>
    <row r="123" spans="1:70" x14ac:dyDescent="0.15">
      <c r="A123" s="9" t="s">
        <v>191</v>
      </c>
      <c r="B123">
        <v>12065825.263044599</v>
      </c>
      <c r="C123" s="22">
        <f t="array" ref="C123">TsatFromP(テーブル2[[#This Row],[P]])</f>
        <v>598.16775841223</v>
      </c>
      <c r="D123">
        <f t="array" ref="D123">RhoGFromP(テーブル2[[#This Row],[P]])</f>
        <v>70.719127092772837</v>
      </c>
      <c r="E123">
        <f t="array" ref="E123">RhoFFromP(テーブル2[[#This Row],[P]])</f>
        <v>654.05698086006123</v>
      </c>
      <c r="F123">
        <f t="array" ref="F123">HgFromP(テーブル2[[#This Row],[P]])</f>
        <v>2683685.0883769058</v>
      </c>
      <c r="G123">
        <f t="array" ref="G123">HfFromP(テーブル2[[#This Row],[P]])</f>
        <v>1493933.1953330804</v>
      </c>
      <c r="H123">
        <f t="array" ref="H123">MuGFromP(テーブル2[[#This Row],[P]])</f>
        <v>2.1145404359092259E-5</v>
      </c>
      <c r="I123">
        <f t="array" ref="I123">MuFFromP(テーブル2[[#This Row],[P]])</f>
        <v>7.6371158483287791E-5</v>
      </c>
      <c r="J123">
        <f t="array" ref="J123">KfFromP(テーブル2[[#This Row],[P]])</f>
        <v>0.51093471001103663</v>
      </c>
      <c r="K123">
        <f t="array" ref="K123">CpFFromP(テーブル2[[#This Row],[P]])</f>
        <v>6848.0719740579098</v>
      </c>
      <c r="L123">
        <f t="array" ref="L123">SigmaFromP(テーブル2[[#This Row],[P]])</f>
        <v>8.6953190176285583E-3</v>
      </c>
      <c r="M123">
        <v>122</v>
      </c>
      <c r="N123">
        <v>4041.5650990059698</v>
      </c>
      <c r="O123" s="8">
        <f t="shared" si="58"/>
        <v>2.8502295699234246E-6</v>
      </c>
      <c r="P123" s="8">
        <f t="shared" si="59"/>
        <v>5.9847340050885557E-3</v>
      </c>
      <c r="Q123" s="8">
        <v>1.905E-3</v>
      </c>
      <c r="R123">
        <v>0.15240000000000001</v>
      </c>
      <c r="S123" s="15">
        <v>3911523.07328125</v>
      </c>
      <c r="T123">
        <v>525.91640840595801</v>
      </c>
      <c r="U123" s="12">
        <f>+T123+BG123*S123*テーブル2[[#This Row],[Pw]]*R123/(N123*O123*K123)</f>
        <v>571.14134639160545</v>
      </c>
      <c r="V123">
        <v>0.03</v>
      </c>
      <c r="W123" s="8">
        <f t="shared" si="28"/>
        <v>100812.68461170686</v>
      </c>
      <c r="X123">
        <v>3.0144337567857841E-2</v>
      </c>
      <c r="Y123">
        <f t="shared" si="29"/>
        <v>5.7596637200681835</v>
      </c>
      <c r="Z123">
        <f t="shared" si="30"/>
        <v>5.7596637569575666</v>
      </c>
      <c r="AA123">
        <f t="shared" si="31"/>
        <v>-3.6889383103755335E-8</v>
      </c>
      <c r="AB123">
        <f t="shared" si="32"/>
        <v>1.1088363050011967E-5</v>
      </c>
      <c r="AC123">
        <v>644.1623943045953</v>
      </c>
      <c r="AD123">
        <f t="shared" si="33"/>
        <v>3094.1621066426928</v>
      </c>
      <c r="AE123">
        <f>+gettm2(AD123,AC123,AK123,AL123,テーブル2[[#This Row],[Fcorr]])</f>
        <v>571.14134639160534</v>
      </c>
      <c r="AF123" s="14">
        <f t="shared" si="34"/>
        <v>0</v>
      </c>
      <c r="AG123">
        <v>1.113018161645498E-5</v>
      </c>
      <c r="AH123">
        <f t="shared" si="35"/>
        <v>94.102103025414635</v>
      </c>
      <c r="AI123">
        <f t="shared" si="36"/>
        <v>0.37930788599304177</v>
      </c>
      <c r="AJ123">
        <f t="shared" si="37"/>
        <v>36.155996008069408</v>
      </c>
      <c r="AK123">
        <f t="array" ref="AK123">+S123*テーブル2[[#This Row],[F_form]]/(E123*CpFromTP((テーブル2[[#This Row],[Tin]]+テーブル2[[#This Row],[Tf]])/2,テーブル2[[#This Row],[P]])*AI123)</f>
        <v>3.1415313900032835</v>
      </c>
      <c r="AL123">
        <f t="shared" si="38"/>
        <v>1.023604738117011</v>
      </c>
      <c r="AM123">
        <f t="shared" si="39"/>
        <v>598.16775840832838</v>
      </c>
      <c r="AN123">
        <f t="shared" si="40"/>
        <v>3.9016185837681405E-9</v>
      </c>
      <c r="AO123">
        <f t="shared" si="41"/>
        <v>4.1818566443013451E-8</v>
      </c>
      <c r="AP123">
        <v>4.6779075979486118</v>
      </c>
      <c r="AQ123">
        <f t="shared" si="42"/>
        <v>3.912132021347733E-5</v>
      </c>
      <c r="AR123">
        <f t="shared" si="43"/>
        <v>5.5860000914489969E-6</v>
      </c>
      <c r="AS123">
        <f t="shared" si="44"/>
        <v>18.145921061064673</v>
      </c>
      <c r="AT123">
        <f t="shared" si="45"/>
        <v>11.442229002633079</v>
      </c>
      <c r="AU123">
        <f t="shared" si="46"/>
        <v>4.3401276940370241</v>
      </c>
      <c r="AV123">
        <f t="shared" si="47"/>
        <v>0.33777990391158763</v>
      </c>
      <c r="AW123">
        <f t="shared" si="48"/>
        <v>5.993859179655522E-3</v>
      </c>
      <c r="AX123">
        <f t="shared" si="49"/>
        <v>0.33777990267419972</v>
      </c>
      <c r="AY123">
        <f t="shared" si="50"/>
        <v>1.2373879143545707E-9</v>
      </c>
      <c r="AZ123">
        <f t="shared" si="51"/>
        <v>1189751.8930438254</v>
      </c>
      <c r="BA123">
        <f t="shared" si="52"/>
        <v>8.3629955047921605E-6</v>
      </c>
      <c r="BB123" s="15">
        <f t="shared" si="53"/>
        <v>3891161.5997951338</v>
      </c>
      <c r="BC123" s="20">
        <f t="shared" si="54"/>
        <v>-20361.473486116156</v>
      </c>
      <c r="BD123" s="19">
        <f t="shared" si="55"/>
        <v>-0.52055102589579194</v>
      </c>
      <c r="BE123" s="15">
        <v>5173527.5999999996</v>
      </c>
      <c r="BF123" s="16">
        <f>テーブル2[[#This Row],[q_P]]/テーブル2[[#This Row],[q_M]]</f>
        <v>0.75212928211596553</v>
      </c>
      <c r="BG123">
        <v>1</v>
      </c>
      <c r="BH123">
        <v>-1.2E-2</v>
      </c>
      <c r="BI123">
        <v>4.5999999999999999E-2</v>
      </c>
      <c r="BJ123">
        <v>5625</v>
      </c>
      <c r="BK123" s="22">
        <v>1</v>
      </c>
      <c r="BL123">
        <f>テーブル2[[#This Row],[Ts]]-テーブル2[[#This Row],[Tin]]</f>
        <v>72.251350006271991</v>
      </c>
      <c r="BM123">
        <f>テーブル2[[#This Row],[q_P]]*0.000001</f>
        <v>3.8911615997951334</v>
      </c>
      <c r="BN123">
        <f>テーブル2[[#This Row],[Tsub]]</f>
        <v>72.251350006271991</v>
      </c>
      <c r="BO123">
        <f>テーブル2[[#This Row],[Fcorr]]</f>
        <v>1</v>
      </c>
      <c r="BP123">
        <f>(テーブル2[[#This Row],[Tsub]]-40)^2</f>
        <v>1040.1495772270603</v>
      </c>
      <c r="BQ123">
        <v>1</v>
      </c>
      <c r="BR123">
        <v>0.15240000000000001</v>
      </c>
    </row>
    <row r="124" spans="1:70" x14ac:dyDescent="0.15">
      <c r="A124" s="9" t="s">
        <v>192</v>
      </c>
      <c r="B124">
        <v>12065825.263044599</v>
      </c>
      <c r="C124" s="22">
        <f t="array" ref="C124">TsatFromP(テーブル2[[#This Row],[P]])</f>
        <v>598.16775841223</v>
      </c>
      <c r="D124">
        <f t="array" ref="D124">RhoGFromP(テーブル2[[#This Row],[P]])</f>
        <v>70.719127092772837</v>
      </c>
      <c r="E124">
        <f t="array" ref="E124">RhoFFromP(テーブル2[[#This Row],[P]])</f>
        <v>654.05698086006123</v>
      </c>
      <c r="F124">
        <f t="array" ref="F124">HgFromP(テーブル2[[#This Row],[P]])</f>
        <v>2683685.0883769058</v>
      </c>
      <c r="G124">
        <f t="array" ref="G124">HfFromP(テーブル2[[#This Row],[P]])</f>
        <v>1493933.1953330804</v>
      </c>
      <c r="H124">
        <f t="array" ref="H124">MuGFromP(テーブル2[[#This Row],[P]])</f>
        <v>2.1145404359092259E-5</v>
      </c>
      <c r="I124">
        <f t="array" ref="I124">MuFFromP(テーブル2[[#This Row],[P]])</f>
        <v>7.6371158483287791E-5</v>
      </c>
      <c r="J124">
        <f t="array" ref="J124">KfFromP(テーブル2[[#This Row],[P]])</f>
        <v>0.51093471001103663</v>
      </c>
      <c r="K124">
        <f t="array" ref="K124">CpFFromP(テーブル2[[#This Row],[P]])</f>
        <v>6848.0719740579098</v>
      </c>
      <c r="L124">
        <f t="array" ref="L124">SigmaFromP(テーブル2[[#This Row],[P]])</f>
        <v>8.6953190176285583E-3</v>
      </c>
      <c r="M124">
        <v>123</v>
      </c>
      <c r="N124">
        <v>4082.2519959758301</v>
      </c>
      <c r="O124" s="8">
        <f t="shared" si="58"/>
        <v>2.8502295699234246E-6</v>
      </c>
      <c r="P124" s="8">
        <f t="shared" si="59"/>
        <v>5.9847340050885557E-3</v>
      </c>
      <c r="Q124" s="8">
        <v>1.905E-3</v>
      </c>
      <c r="R124">
        <v>0.15240000000000001</v>
      </c>
      <c r="S124" s="15">
        <v>3913093.38671875</v>
      </c>
      <c r="T124">
        <v>526.45012634417299</v>
      </c>
      <c r="U124" s="12">
        <f>+T124+BG124*S124*テーブル2[[#This Row],[Pw]]*R124/(N124*O124*K124)</f>
        <v>571.24229241062926</v>
      </c>
      <c r="V124">
        <v>0.03</v>
      </c>
      <c r="W124" s="8">
        <f t="shared" si="28"/>
        <v>101827.57740981132</v>
      </c>
      <c r="X124">
        <v>3.001077046922809E-2</v>
      </c>
      <c r="Y124">
        <f t="shared" si="29"/>
        <v>5.7724665819879704</v>
      </c>
      <c r="Z124">
        <f t="shared" si="30"/>
        <v>5.7724666136455927</v>
      </c>
      <c r="AA124">
        <f t="shared" si="31"/>
        <v>-3.1657622301395349E-8</v>
      </c>
      <c r="AB124">
        <f t="shared" si="32"/>
        <v>1.0916805512103191E-5</v>
      </c>
      <c r="AC124">
        <v>643.72299703381736</v>
      </c>
      <c r="AD124">
        <f t="shared" si="33"/>
        <v>3118.3797028357458</v>
      </c>
      <c r="AE124">
        <f>+gettm2(AD124,AC124,AK124,AL124,テーブル2[[#This Row],[Fcorr]])</f>
        <v>571.24229284785918</v>
      </c>
      <c r="AF124" s="14">
        <f t="shared" si="34"/>
        <v>4.3722991449612891E-7</v>
      </c>
      <c r="AG124">
        <v>1.0958325875093449E-5</v>
      </c>
      <c r="AH124">
        <f t="shared" si="35"/>
        <v>95.580917051109239</v>
      </c>
      <c r="AI124">
        <f t="shared" si="36"/>
        <v>0.38227667848006092</v>
      </c>
      <c r="AJ124">
        <f t="shared" si="37"/>
        <v>35.876347491812261</v>
      </c>
      <c r="AK124">
        <f t="array" ref="AK124">+S124*テーブル2[[#This Row],[F_form]]/(E124*CpFromTP((テーブル2[[#This Row],[Tin]]+テーブル2[[#This Row],[Tf]])/2,テーブル2[[#This Row],[P]])*AI124)</f>
        <v>3.115650478978786</v>
      </c>
      <c r="AL124">
        <f t="shared" si="38"/>
        <v>1.023604738117011</v>
      </c>
      <c r="AM124">
        <f t="shared" si="39"/>
        <v>598.16775840903949</v>
      </c>
      <c r="AN124">
        <f t="shared" si="40"/>
        <v>3.1905074138194323E-9</v>
      </c>
      <c r="AO124">
        <f t="shared" si="41"/>
        <v>4.1520362990258073E-8</v>
      </c>
      <c r="AP124">
        <v>4.6982652238709646</v>
      </c>
      <c r="AQ124">
        <f t="shared" si="42"/>
        <v>3.8783028642806549E-5</v>
      </c>
      <c r="AR124">
        <f t="shared" si="43"/>
        <v>5.4999231190418538E-6</v>
      </c>
      <c r="AS124">
        <f t="shared" si="44"/>
        <v>18.006140285120402</v>
      </c>
      <c r="AT124">
        <f t="shared" si="45"/>
        <v>11.403564133383643</v>
      </c>
      <c r="AU124">
        <f t="shared" si="46"/>
        <v>4.359316619744253</v>
      </c>
      <c r="AV124">
        <f t="shared" si="47"/>
        <v>0.33894860412671157</v>
      </c>
      <c r="AW124">
        <f t="shared" si="48"/>
        <v>5.9011230635312847E-3</v>
      </c>
      <c r="AX124">
        <f t="shared" si="49"/>
        <v>0.3389486023286119</v>
      </c>
      <c r="AY124">
        <f t="shared" si="50"/>
        <v>1.7980996691591145E-9</v>
      </c>
      <c r="AZ124">
        <f t="shared" si="51"/>
        <v>1189751.8930438254</v>
      </c>
      <c r="BA124">
        <f t="shared" si="52"/>
        <v>8.2547550627320016E-6</v>
      </c>
      <c r="BB124" s="15">
        <f t="shared" si="53"/>
        <v>3914073.1704052659</v>
      </c>
      <c r="BC124" s="20">
        <f t="shared" si="54"/>
        <v>979.78368651587516</v>
      </c>
      <c r="BD124" s="19">
        <f t="shared" si="55"/>
        <v>2.5038597081309479E-2</v>
      </c>
      <c r="BE124" s="15">
        <v>4700339.0999999996</v>
      </c>
      <c r="BF124" s="16">
        <f>テーブル2[[#This Row],[q_P]]/テーブル2[[#This Row],[q_M]]</f>
        <v>0.8327214456517118</v>
      </c>
      <c r="BG124">
        <v>1</v>
      </c>
      <c r="BH124">
        <v>-0.02</v>
      </c>
      <c r="BI124">
        <v>4.5999999999999999E-2</v>
      </c>
      <c r="BJ124">
        <v>5625</v>
      </c>
      <c r="BK124" s="22">
        <v>1</v>
      </c>
      <c r="BL124">
        <f>テーブル2[[#This Row],[Ts]]-テーブル2[[#This Row],[Tin]]</f>
        <v>71.717632068057014</v>
      </c>
      <c r="BM124">
        <f>テーブル2[[#This Row],[q_P]]*0.000001</f>
        <v>3.9140731704052656</v>
      </c>
      <c r="BN124">
        <f>テーブル2[[#This Row],[Tsub]]</f>
        <v>71.717632068057014</v>
      </c>
      <c r="BO124">
        <f>テーブル2[[#This Row],[Fcorr]]</f>
        <v>1</v>
      </c>
      <c r="BP124">
        <f>(テーブル2[[#This Row],[Tsub]]-40)^2</f>
        <v>1006.0081840046387</v>
      </c>
      <c r="BQ124">
        <v>1</v>
      </c>
      <c r="BR124">
        <v>0.15240000000000001</v>
      </c>
    </row>
    <row r="125" spans="1:70" x14ac:dyDescent="0.15">
      <c r="A125" s="9" t="s">
        <v>193</v>
      </c>
      <c r="B125">
        <v>12065825.263044599</v>
      </c>
      <c r="C125" s="22">
        <f t="array" ref="C125">TsatFromP(テーブル2[[#This Row],[P]])</f>
        <v>598.16775841223</v>
      </c>
      <c r="D125">
        <f t="array" ref="D125">RhoGFromP(テーブル2[[#This Row],[P]])</f>
        <v>70.719127092772837</v>
      </c>
      <c r="E125">
        <f t="array" ref="E125">RhoFFromP(テーブル2[[#This Row],[P]])</f>
        <v>654.05698086006123</v>
      </c>
      <c r="F125">
        <f t="array" ref="F125">HgFromP(テーブル2[[#This Row],[P]])</f>
        <v>2683685.0883769058</v>
      </c>
      <c r="G125">
        <f t="array" ref="G125">HfFromP(テーブル2[[#This Row],[P]])</f>
        <v>1493933.1953330804</v>
      </c>
      <c r="H125">
        <f t="array" ref="H125">MuGFromP(テーブル2[[#This Row],[P]])</f>
        <v>2.1145404359092259E-5</v>
      </c>
      <c r="I125">
        <f t="array" ref="I125">MuFFromP(テーブル2[[#This Row],[P]])</f>
        <v>7.6371158483287791E-5</v>
      </c>
      <c r="J125">
        <f t="array" ref="J125">KfFromP(テーブル2[[#This Row],[P]])</f>
        <v>0.51093471001103663</v>
      </c>
      <c r="K125">
        <f t="array" ref="K125">CpFFromP(テーブル2[[#This Row],[P]])</f>
        <v>6848.0719740579098</v>
      </c>
      <c r="L125">
        <f t="array" ref="L125">SigmaFromP(テーブル2[[#This Row],[P]])</f>
        <v>8.6953190176285583E-3</v>
      </c>
      <c r="M125">
        <v>124</v>
      </c>
      <c r="N125">
        <v>2325.9342767769299</v>
      </c>
      <c r="O125" s="8">
        <f t="shared" si="58"/>
        <v>2.8502295699234246E-6</v>
      </c>
      <c r="P125" s="8">
        <f t="shared" si="59"/>
        <v>5.9847340050885557E-3</v>
      </c>
      <c r="Q125" s="8">
        <v>1.905E-3</v>
      </c>
      <c r="R125">
        <v>0.69596000000000002</v>
      </c>
      <c r="S125" s="15">
        <v>2963578.97265625</v>
      </c>
      <c r="T125">
        <v>298.737706474898</v>
      </c>
      <c r="U125" s="12">
        <f>+T125+BG125*S125*テーブル2[[#This Row],[Pw]]*R125/(N125*O125*K125)</f>
        <v>570.63196722715452</v>
      </c>
      <c r="V125">
        <v>0.03</v>
      </c>
      <c r="W125" s="8">
        <f t="shared" si="28"/>
        <v>58018.038291636774</v>
      </c>
      <c r="X125">
        <v>3.9078656698317407E-2</v>
      </c>
      <c r="Y125">
        <f t="shared" si="29"/>
        <v>5.0585982172817463</v>
      </c>
      <c r="Z125">
        <f t="shared" si="30"/>
        <v>5.0585982262515321</v>
      </c>
      <c r="AA125">
        <f t="shared" si="31"/>
        <v>-8.9697858030035604E-9</v>
      </c>
      <c r="AB125">
        <f t="shared" si="32"/>
        <v>2.582485157616558E-5</v>
      </c>
      <c r="AC125">
        <v>664.84625901754418</v>
      </c>
      <c r="AD125">
        <f t="shared" si="33"/>
        <v>2027.4860022981834</v>
      </c>
      <c r="AE125">
        <f>+gettm2(AD125,AC125,AK125,AL125,テーブル2[[#This Row],[Fcorr]])</f>
        <v>570.63196722715418</v>
      </c>
      <c r="AF125" s="14">
        <f t="shared" si="34"/>
        <v>0</v>
      </c>
      <c r="AG125">
        <v>2.5892422966480331E-5</v>
      </c>
      <c r="AH125">
        <f t="shared" si="35"/>
        <v>40.404425134371074</v>
      </c>
      <c r="AI125">
        <f t="shared" si="36"/>
        <v>0.2485459400337148</v>
      </c>
      <c r="AJ125">
        <f t="shared" si="37"/>
        <v>55.11446207886916</v>
      </c>
      <c r="AK125">
        <f t="array" ref="AK125">+S125*テーブル2[[#This Row],[F_form]]/(E125*CpFromTP((テーブル2[[#This Row],[Tin]]+テーブル2[[#This Row],[Tf]])/2,テーブル2[[#This Row],[P]])*AI125)</f>
        <v>4.2484572423270777</v>
      </c>
      <c r="AL125">
        <f t="shared" si="38"/>
        <v>1.023604738117011</v>
      </c>
      <c r="AM125">
        <f t="shared" si="39"/>
        <v>598.16775835230942</v>
      </c>
      <c r="AN125">
        <f t="shared" si="40"/>
        <v>5.9920580497418996E-8</v>
      </c>
      <c r="AO125">
        <f t="shared" si="41"/>
        <v>6.7571390314750431E-8</v>
      </c>
      <c r="AP125">
        <v>3.650056458981767</v>
      </c>
      <c r="AQ125">
        <f t="shared" si="42"/>
        <v>6.4256581350664321E-5</v>
      </c>
      <c r="AR125">
        <f t="shared" si="43"/>
        <v>1.297999717839754E-5</v>
      </c>
      <c r="AS125">
        <f t="shared" si="44"/>
        <v>27.629147075140086</v>
      </c>
      <c r="AT125">
        <f t="shared" si="45"/>
        <v>13.54435634469022</v>
      </c>
      <c r="AU125">
        <f t="shared" si="46"/>
        <v>3.3663947798426399</v>
      </c>
      <c r="AV125">
        <f t="shared" si="47"/>
        <v>0.2836616791391271</v>
      </c>
      <c r="AW125">
        <f t="shared" si="48"/>
        <v>1.3959727237004059E-2</v>
      </c>
      <c r="AX125">
        <f t="shared" si="49"/>
        <v>0.28366167592740277</v>
      </c>
      <c r="AY125">
        <f t="shared" si="50"/>
        <v>3.2117243309315313E-9</v>
      </c>
      <c r="AZ125">
        <f t="shared" si="51"/>
        <v>1189751.8930438254</v>
      </c>
      <c r="BA125">
        <f t="shared" si="52"/>
        <v>1.7604270529171367E-5</v>
      </c>
      <c r="BB125" s="15">
        <f t="shared" si="53"/>
        <v>2986873.369549606</v>
      </c>
      <c r="BC125" s="20">
        <f t="shared" si="54"/>
        <v>23294.396893355995</v>
      </c>
      <c r="BD125" s="19">
        <f t="shared" si="55"/>
        <v>0.78602247850602314</v>
      </c>
      <c r="BE125" s="15">
        <v>2104111.5299999998</v>
      </c>
      <c r="BF125" s="16">
        <f>テーブル2[[#This Row],[q_P]]/テーブル2[[#This Row],[q_M]]</f>
        <v>1.4195413726712511</v>
      </c>
      <c r="BG125">
        <v>1</v>
      </c>
      <c r="BH125">
        <v>-4.4999999999999998E-2</v>
      </c>
      <c r="BI125">
        <v>4.5999999999999999E-2</v>
      </c>
      <c r="BJ125">
        <v>5625</v>
      </c>
      <c r="BK125" s="22">
        <v>1</v>
      </c>
      <c r="BL125">
        <f>テーブル2[[#This Row],[Ts]]-テーブル2[[#This Row],[Tin]]</f>
        <v>299.430051937332</v>
      </c>
      <c r="BM125">
        <f>テーブル2[[#This Row],[q_P]]*0.000001</f>
        <v>2.9868733695496057</v>
      </c>
      <c r="BN125">
        <f>テーブル2[[#This Row],[Tsub]]</f>
        <v>299.430051937332</v>
      </c>
      <c r="BO125">
        <f>テーブル2[[#This Row],[Fcorr]]</f>
        <v>1</v>
      </c>
      <c r="BP125">
        <f>(テーブル2[[#This Row],[Tsub]]-40)^2</f>
        <v>67303.95184820678</v>
      </c>
      <c r="BQ125">
        <v>1</v>
      </c>
      <c r="BR125">
        <v>0.69596000000000002</v>
      </c>
    </row>
    <row r="126" spans="1:70" x14ac:dyDescent="0.15">
      <c r="A126" s="9" t="s">
        <v>194</v>
      </c>
      <c r="B126">
        <v>12065825.263044599</v>
      </c>
      <c r="C126" s="22">
        <f t="array" ref="C126">TsatFromP(テーブル2[[#This Row],[P]])</f>
        <v>598.16775841223</v>
      </c>
      <c r="D126">
        <f t="array" ref="D126">RhoGFromP(テーブル2[[#This Row],[P]])</f>
        <v>70.719127092772837</v>
      </c>
      <c r="E126">
        <f t="array" ref="E126">RhoFFromP(テーブル2[[#This Row],[P]])</f>
        <v>654.05698086006123</v>
      </c>
      <c r="F126">
        <f t="array" ref="F126">HgFromP(テーブル2[[#This Row],[P]])</f>
        <v>2683685.0883769058</v>
      </c>
      <c r="G126">
        <f t="array" ref="G126">HfFromP(テーブル2[[#This Row],[P]])</f>
        <v>1493933.1953330804</v>
      </c>
      <c r="H126">
        <f t="array" ref="H126">MuGFromP(テーブル2[[#This Row],[P]])</f>
        <v>2.1145404359092259E-5</v>
      </c>
      <c r="I126">
        <f t="array" ref="I126">MuFFromP(テーブル2[[#This Row],[P]])</f>
        <v>7.6371158483287791E-5</v>
      </c>
      <c r="J126">
        <f t="array" ref="J126">KfFromP(テーブル2[[#This Row],[P]])</f>
        <v>0.51093471001103663</v>
      </c>
      <c r="K126">
        <f t="array" ref="K126">CpFFromP(テーブル2[[#This Row],[P]])</f>
        <v>6848.0719740579098</v>
      </c>
      <c r="L126">
        <f t="array" ref="L126">SigmaFromP(テーブル2[[#This Row],[P]])</f>
        <v>8.6953190176285583E-3</v>
      </c>
      <c r="M126">
        <v>125</v>
      </c>
      <c r="N126">
        <v>2454.77611718148</v>
      </c>
      <c r="O126" s="8">
        <f t="shared" si="58"/>
        <v>2.8502295699234246E-6</v>
      </c>
      <c r="P126" s="8">
        <f t="shared" si="59"/>
        <v>5.9847340050885557E-3</v>
      </c>
      <c r="Q126" s="8">
        <v>1.905E-3</v>
      </c>
      <c r="R126">
        <v>0.69596000000000002</v>
      </c>
      <c r="S126" s="15">
        <v>3126217.28515625</v>
      </c>
      <c r="T126">
        <v>297.61642558059998</v>
      </c>
      <c r="U126" s="12">
        <f>+T126+BG126*S126*テーブル2[[#This Row],[Pw]]*R126/(N126*O126*K126)</f>
        <v>569.3781222450782</v>
      </c>
      <c r="V126">
        <v>0.03</v>
      </c>
      <c r="W126" s="8">
        <f t="shared" si="28"/>
        <v>61231.865485634073</v>
      </c>
      <c r="X126">
        <v>3.8051118795571243E-2</v>
      </c>
      <c r="Y126">
        <f t="shared" si="29"/>
        <v>5.1264447918666685</v>
      </c>
      <c r="Z126">
        <f t="shared" si="30"/>
        <v>5.1264447975649539</v>
      </c>
      <c r="AA126">
        <f t="shared" si="31"/>
        <v>-5.6982853990916738E-9</v>
      </c>
      <c r="AB126">
        <f t="shared" si="32"/>
        <v>2.3811191581321038E-5</v>
      </c>
      <c r="AC126">
        <v>665.32160269393717</v>
      </c>
      <c r="AD126">
        <f t="shared" si="33"/>
        <v>2111.476328501953</v>
      </c>
      <c r="AE126">
        <f>+gettm2(AD126,AC126,AK126,AL126,テーブル2[[#This Row],[Fcorr]])</f>
        <v>569.37812224507832</v>
      </c>
      <c r="AF126" s="14">
        <f t="shared" si="34"/>
        <v>0</v>
      </c>
      <c r="AG126">
        <v>2.387715852129293E-5</v>
      </c>
      <c r="AH126">
        <f t="shared" si="35"/>
        <v>43.821338321176839</v>
      </c>
      <c r="AI126">
        <f t="shared" si="36"/>
        <v>0.25884216627468104</v>
      </c>
      <c r="AJ126">
        <f t="shared" si="37"/>
        <v>52.930241479893667</v>
      </c>
      <c r="AK126">
        <f t="array" ref="AK126">+S126*テーブル2[[#This Row],[F_form]]/(E126*CpFromTP((テーブル2[[#This Row],[Tin]]+テーブル2[[#This Row],[Tf]])/2,テーブル2[[#This Row],[P]])*AI126)</f>
        <v>4.30648299933471</v>
      </c>
      <c r="AL126">
        <f t="shared" si="38"/>
        <v>1.023604738117011</v>
      </c>
      <c r="AM126">
        <f t="shared" si="39"/>
        <v>598.16775831666143</v>
      </c>
      <c r="AN126">
        <f t="shared" si="40"/>
        <v>9.5568566393922083E-8</v>
      </c>
      <c r="AO126">
        <f t="shared" si="41"/>
        <v>6.5966939971891865E-8</v>
      </c>
      <c r="AP126">
        <v>3.741877272387689</v>
      </c>
      <c r="AQ126">
        <f t="shared" si="42"/>
        <v>6.1141727043018986E-5</v>
      </c>
      <c r="AR126">
        <f t="shared" si="43"/>
        <v>1.1971562730632411E-5</v>
      </c>
      <c r="AS126">
        <f t="shared" si="44"/>
        <v>26.538237607250959</v>
      </c>
      <c r="AT126">
        <f t="shared" si="45"/>
        <v>13.34293310773289</v>
      </c>
      <c r="AU126">
        <f t="shared" si="46"/>
        <v>3.4537137100637434</v>
      </c>
      <c r="AV126">
        <f t="shared" si="47"/>
        <v>0.28816356232394558</v>
      </c>
      <c r="AW126">
        <f t="shared" si="48"/>
        <v>1.2871235239549932E-2</v>
      </c>
      <c r="AX126">
        <f t="shared" si="49"/>
        <v>0.28816355933710458</v>
      </c>
      <c r="AY126">
        <f t="shared" si="50"/>
        <v>2.9868409967548359E-9</v>
      </c>
      <c r="AZ126">
        <f t="shared" si="51"/>
        <v>1189751.8930438254</v>
      </c>
      <c r="BA126">
        <f t="shared" si="52"/>
        <v>1.6339853659605597E-5</v>
      </c>
      <c r="BB126" s="15">
        <f t="shared" si="53"/>
        <v>3141594.7749641491</v>
      </c>
      <c r="BC126" s="20">
        <f t="shared" si="54"/>
        <v>15377.48980789911</v>
      </c>
      <c r="BD126" s="19">
        <f t="shared" si="55"/>
        <v>0.49188806807875274</v>
      </c>
      <c r="BE126" s="15">
        <v>2161840.5269999998</v>
      </c>
      <c r="BF126" s="16">
        <f>テーブル2[[#This Row],[q_P]]/テーブル2[[#This Row],[q_M]]</f>
        <v>1.453203756580399</v>
      </c>
      <c r="BG126">
        <v>1</v>
      </c>
      <c r="BH126">
        <v>-7.9000000000000001E-2</v>
      </c>
      <c r="BI126">
        <v>4.5999999999999999E-2</v>
      </c>
      <c r="BJ126">
        <v>5625</v>
      </c>
      <c r="BK126" s="22">
        <v>1</v>
      </c>
      <c r="BL126">
        <f>テーブル2[[#This Row],[Ts]]-テーブル2[[#This Row],[Tin]]</f>
        <v>300.55133283163002</v>
      </c>
      <c r="BM126">
        <f>テーブル2[[#This Row],[q_P]]*0.000001</f>
        <v>3.1415947749641489</v>
      </c>
      <c r="BN126">
        <f>テーブル2[[#This Row],[Tsub]]</f>
        <v>300.55133283163002</v>
      </c>
      <c r="BO126">
        <f>テーブル2[[#This Row],[Fcorr]]</f>
        <v>1</v>
      </c>
      <c r="BP126">
        <f>(テーブル2[[#This Row],[Tsub]]-40)^2</f>
        <v>67886.997040338843</v>
      </c>
      <c r="BQ126">
        <v>1</v>
      </c>
      <c r="BR126">
        <v>0.69596000000000002</v>
      </c>
    </row>
    <row r="127" spans="1:70" x14ac:dyDescent="0.15">
      <c r="A127" s="9" t="s">
        <v>195</v>
      </c>
      <c r="B127">
        <v>12065825.263044599</v>
      </c>
      <c r="C127" s="22">
        <f t="array" ref="C127">TsatFromP(テーブル2[[#This Row],[P]])</f>
        <v>598.16775841223</v>
      </c>
      <c r="D127">
        <f t="array" ref="D127">RhoGFromP(テーブル2[[#This Row],[P]])</f>
        <v>70.719127092772837</v>
      </c>
      <c r="E127">
        <f t="array" ref="E127">RhoFFromP(テーブル2[[#This Row],[P]])</f>
        <v>654.05698086006123</v>
      </c>
      <c r="F127">
        <f t="array" ref="F127">HgFromP(テーブル2[[#This Row],[P]])</f>
        <v>2683685.0883769058</v>
      </c>
      <c r="G127">
        <f t="array" ref="G127">HfFromP(テーブル2[[#This Row],[P]])</f>
        <v>1493933.1953330804</v>
      </c>
      <c r="H127">
        <f t="array" ref="H127">MuGFromP(テーブル2[[#This Row],[P]])</f>
        <v>2.1145404359092259E-5</v>
      </c>
      <c r="I127">
        <f t="array" ref="I127">MuFFromP(テーブル2[[#This Row],[P]])</f>
        <v>7.6371158483287791E-5</v>
      </c>
      <c r="J127">
        <f t="array" ref="J127">KfFromP(テーブル2[[#This Row],[P]])</f>
        <v>0.51093471001103663</v>
      </c>
      <c r="K127">
        <f t="array" ref="K127">CpFFromP(テーブル2[[#This Row],[P]])</f>
        <v>6848.0719740579098</v>
      </c>
      <c r="L127">
        <f t="array" ref="L127">SigmaFromP(テーブル2[[#This Row],[P]])</f>
        <v>8.6953190176285583E-3</v>
      </c>
      <c r="M127">
        <v>126</v>
      </c>
      <c r="N127">
        <v>2739.5843959704898</v>
      </c>
      <c r="O127" s="8">
        <f t="shared" si="58"/>
        <v>2.8502295699234246E-6</v>
      </c>
      <c r="P127" s="8">
        <f t="shared" si="59"/>
        <v>5.9847340050885557E-3</v>
      </c>
      <c r="Q127" s="8">
        <v>1.905E-3</v>
      </c>
      <c r="R127">
        <v>0.69596000000000002</v>
      </c>
      <c r="S127" s="15">
        <v>3426558.8026562501</v>
      </c>
      <c r="T127">
        <v>300.41963647945403</v>
      </c>
      <c r="U127" s="12">
        <f>+T127+BG127*S127*テーブル2[[#This Row],[Pw]]*R127/(N127*O127*K127)</f>
        <v>567.32326607227935</v>
      </c>
      <c r="V127">
        <v>0.03</v>
      </c>
      <c r="W127" s="8">
        <f t="shared" si="28"/>
        <v>68336.11507236505</v>
      </c>
      <c r="X127">
        <v>3.6074469187045377E-2</v>
      </c>
      <c r="Y127">
        <f t="shared" si="29"/>
        <v>5.2650200002155882</v>
      </c>
      <c r="Z127">
        <f t="shared" si="30"/>
        <v>5.2650200301068129</v>
      </c>
      <c r="AA127">
        <f t="shared" si="31"/>
        <v>-2.9891224606615197E-8</v>
      </c>
      <c r="AB127">
        <f t="shared" si="32"/>
        <v>2.0165222639742553E-5</v>
      </c>
      <c r="AC127">
        <v>664.98934447875479</v>
      </c>
      <c r="AD127">
        <f t="shared" si="33"/>
        <v>2294.4324221766942</v>
      </c>
      <c r="AE127">
        <f>+gettm2(AD127,AC127,AK127,AL127,テーブル2[[#This Row],[Fcorr]])</f>
        <v>567.32326672217278</v>
      </c>
      <c r="AF127" s="14">
        <f t="shared" si="34"/>
        <v>6.4989342263288563E-7</v>
      </c>
      <c r="AG127">
        <v>2.022677924799637E-5</v>
      </c>
      <c r="AH127">
        <f t="shared" si="35"/>
        <v>51.744446404423556</v>
      </c>
      <c r="AI127">
        <f t="shared" si="36"/>
        <v>0.28127043174025795</v>
      </c>
      <c r="AJ127">
        <f t="shared" si="37"/>
        <v>48.723336590880429</v>
      </c>
      <c r="AK127">
        <f t="array" ref="AK127">+S127*テーブル2[[#This Row],[F_form]]/(E127*CpFromTP((テーブル2[[#This Row],[Tin]]+テーブル2[[#This Row],[Tf]])/2,テーブル2[[#This Row],[P]])*AI127)</f>
        <v>4.3428369154160995</v>
      </c>
      <c r="AL127">
        <f t="shared" si="38"/>
        <v>1.023604738117011</v>
      </c>
      <c r="AM127">
        <f t="shared" si="39"/>
        <v>598.16775839844331</v>
      </c>
      <c r="AN127">
        <f t="shared" si="40"/>
        <v>1.3786689123662654E-8</v>
      </c>
      <c r="AO127">
        <f t="shared" si="41"/>
        <v>6.15566082538165E-8</v>
      </c>
      <c r="AP127">
        <v>3.934684838395631</v>
      </c>
      <c r="AQ127">
        <f t="shared" si="42"/>
        <v>5.5296402371884171E-5</v>
      </c>
      <c r="AR127">
        <f t="shared" si="43"/>
        <v>1.0144167928125093E-5</v>
      </c>
      <c r="AS127">
        <f t="shared" si="44"/>
        <v>24.435808703721989</v>
      </c>
      <c r="AT127">
        <f t="shared" si="45"/>
        <v>12.930248131478363</v>
      </c>
      <c r="AU127">
        <f t="shared" si="46"/>
        <v>3.6368964744495829</v>
      </c>
      <c r="AV127">
        <f t="shared" si="47"/>
        <v>0.29778836394604813</v>
      </c>
      <c r="AW127">
        <f t="shared" si="48"/>
        <v>1.0900392085276088E-2</v>
      </c>
      <c r="AX127">
        <f t="shared" si="49"/>
        <v>0.29778834850896141</v>
      </c>
      <c r="AY127">
        <f t="shared" si="50"/>
        <v>1.5437086720027082E-8</v>
      </c>
      <c r="AZ127">
        <f t="shared" si="51"/>
        <v>1189751.8930438254</v>
      </c>
      <c r="BA127">
        <f t="shared" si="52"/>
        <v>1.4053578531192169E-5</v>
      </c>
      <c r="BB127" s="15">
        <f t="shared" si="53"/>
        <v>3408472.1304607652</v>
      </c>
      <c r="BC127" s="20">
        <f t="shared" si="54"/>
        <v>-18086.672195484862</v>
      </c>
      <c r="BD127" s="19">
        <f t="shared" si="55"/>
        <v>-0.52783778820501104</v>
      </c>
      <c r="BE127" s="15">
        <v>2460580.2000000002</v>
      </c>
      <c r="BF127" s="16">
        <f>テーブル2[[#This Row],[q_P]]/テーブル2[[#This Row],[q_M]]</f>
        <v>1.3852310647955166</v>
      </c>
      <c r="BG127">
        <v>1</v>
      </c>
      <c r="BH127">
        <v>-4.7E-2</v>
      </c>
      <c r="BI127">
        <v>4.5999999999999999E-2</v>
      </c>
      <c r="BJ127">
        <v>5625</v>
      </c>
      <c r="BK127" s="22">
        <v>1</v>
      </c>
      <c r="BL127">
        <f>テーブル2[[#This Row],[Ts]]-テーブル2[[#This Row],[Tin]]</f>
        <v>297.74812193277597</v>
      </c>
      <c r="BM127">
        <f>テーブル2[[#This Row],[q_P]]*0.000001</f>
        <v>3.408472130460765</v>
      </c>
      <c r="BN127">
        <f>テーブル2[[#This Row],[Tsub]]</f>
        <v>297.74812193277597</v>
      </c>
      <c r="BO127">
        <f>テーブル2[[#This Row],[Fcorr]]</f>
        <v>1</v>
      </c>
      <c r="BP127">
        <f>(テーブル2[[#This Row],[Tsub]]-40)^2</f>
        <v>66434.094359873154</v>
      </c>
      <c r="BQ127">
        <v>1</v>
      </c>
      <c r="BR127">
        <v>0.69596000000000002</v>
      </c>
    </row>
    <row r="128" spans="1:70" x14ac:dyDescent="0.15">
      <c r="A128" s="9" t="s">
        <v>196</v>
      </c>
      <c r="B128">
        <v>12065825.263044599</v>
      </c>
      <c r="C128" s="22">
        <f t="array" ref="C128">TsatFromP(テーブル2[[#This Row],[P]])</f>
        <v>598.16775841223</v>
      </c>
      <c r="D128">
        <f t="array" ref="D128">RhoGFromP(テーブル2[[#This Row],[P]])</f>
        <v>70.719127092772837</v>
      </c>
      <c r="E128">
        <f t="array" ref="E128">RhoFFromP(テーブル2[[#This Row],[P]])</f>
        <v>654.05698086006123</v>
      </c>
      <c r="F128">
        <f t="array" ref="F128">HgFromP(テーブル2[[#This Row],[P]])</f>
        <v>2683685.0883769058</v>
      </c>
      <c r="G128">
        <f t="array" ref="G128">HfFromP(テーブル2[[#This Row],[P]])</f>
        <v>1493933.1953330804</v>
      </c>
      <c r="H128">
        <f t="array" ref="H128">MuGFromP(テーブル2[[#This Row],[P]])</f>
        <v>2.1145404359092259E-5</v>
      </c>
      <c r="I128">
        <f t="array" ref="I128">MuFFromP(テーブル2[[#This Row],[P]])</f>
        <v>7.6371158483287791E-5</v>
      </c>
      <c r="J128">
        <f t="array" ref="J128">KfFromP(テーブル2[[#This Row],[P]])</f>
        <v>0.51093471001103663</v>
      </c>
      <c r="K128">
        <f t="array" ref="K128">CpFFromP(テーブル2[[#This Row],[P]])</f>
        <v>6848.0719740579098</v>
      </c>
      <c r="L128">
        <f t="array" ref="L128">SigmaFromP(テーブル2[[#This Row],[P]])</f>
        <v>8.6953190176285583E-3</v>
      </c>
      <c r="M128">
        <v>127</v>
      </c>
      <c r="N128">
        <v>2834.5204889001602</v>
      </c>
      <c r="O128" s="8">
        <f t="shared" si="58"/>
        <v>2.8502295699234246E-6</v>
      </c>
      <c r="P128" s="8">
        <f t="shared" si="59"/>
        <v>5.9847340050885557E-3</v>
      </c>
      <c r="Q128" s="8">
        <v>1.905E-3</v>
      </c>
      <c r="R128">
        <v>0.69596000000000002</v>
      </c>
      <c r="S128" s="15">
        <v>3568393.84765625</v>
      </c>
      <c r="T128">
        <v>297.61642558059998</v>
      </c>
      <c r="U128" s="12">
        <f>+T128+BG128*S128*テーブル2[[#This Row],[Pw]]*R128/(N128*O128*K128)</f>
        <v>566.25857642779761</v>
      </c>
      <c r="V128">
        <v>0.03</v>
      </c>
      <c r="W128" s="8">
        <f t="shared" si="28"/>
        <v>70704.198267942062</v>
      </c>
      <c r="X128">
        <v>3.5490800697075997E-2</v>
      </c>
      <c r="Y128">
        <f t="shared" si="29"/>
        <v>5.3081367316897365</v>
      </c>
      <c r="Z128">
        <f t="shared" si="30"/>
        <v>5.3081367455630755</v>
      </c>
      <c r="AA128">
        <f t="shared" si="31"/>
        <v>-1.3873338922110179E-8</v>
      </c>
      <c r="AB128">
        <f t="shared" si="32"/>
        <v>1.9146850222054113E-5</v>
      </c>
      <c r="AC128">
        <v>665.77099227354267</v>
      </c>
      <c r="AD128">
        <f t="shared" si="33"/>
        <v>2354.65948696959</v>
      </c>
      <c r="AE128">
        <f>+gettm2(AD128,AC128,AK128,AL128,テーブル2[[#This Row],[Fcorr]])</f>
        <v>566.25857708550745</v>
      </c>
      <c r="AF128" s="14">
        <f t="shared" si="34"/>
        <v>6.5770984747359762E-7</v>
      </c>
      <c r="AG128">
        <v>1.9208608203278501E-5</v>
      </c>
      <c r="AH128">
        <f t="shared" si="35"/>
        <v>54.496602313917549</v>
      </c>
      <c r="AI128">
        <f t="shared" si="36"/>
        <v>0.28865356159538591</v>
      </c>
      <c r="AJ128">
        <f t="shared" si="37"/>
        <v>47.485282453891465</v>
      </c>
      <c r="AK128">
        <f t="array" ref="AK128">+S128*テーブル2[[#This Row],[F_form]]/(E128*CpFromTP((テーブル2[[#This Row],[Tin]]+テーブル2[[#This Row],[Tf]])/2,テーブル2[[#This Row],[P]])*AI128)</f>
        <v>4.4120884296742533</v>
      </c>
      <c r="AL128">
        <f t="shared" si="38"/>
        <v>1.023604738117011</v>
      </c>
      <c r="AM128">
        <f t="shared" si="39"/>
        <v>598.16775836948898</v>
      </c>
      <c r="AN128">
        <f t="shared" si="40"/>
        <v>4.2741021388792433E-8</v>
      </c>
      <c r="AO128">
        <f t="shared" si="41"/>
        <v>6.1757981224388266E-8</v>
      </c>
      <c r="AP128">
        <v>3.996351483768052</v>
      </c>
      <c r="AQ128">
        <f t="shared" si="42"/>
        <v>5.3603040474718034E-5</v>
      </c>
      <c r="AR128">
        <f t="shared" si="43"/>
        <v>9.6351830922514449E-6</v>
      </c>
      <c r="AS128">
        <f t="shared" si="44"/>
        <v>23.81897666861822</v>
      </c>
      <c r="AT128">
        <f t="shared" si="45"/>
        <v>12.802413009945576</v>
      </c>
      <c r="AU128">
        <f t="shared" si="46"/>
        <v>3.6954621123358953</v>
      </c>
      <c r="AV128">
        <f t="shared" si="47"/>
        <v>0.30088937143215677</v>
      </c>
      <c r="AW128">
        <f t="shared" si="48"/>
        <v>1.0349906784917595E-2</v>
      </c>
      <c r="AX128">
        <f t="shared" si="49"/>
        <v>0.30088934975505488</v>
      </c>
      <c r="AY128">
        <f t="shared" si="50"/>
        <v>2.1677101891270922E-8</v>
      </c>
      <c r="AZ128">
        <f t="shared" si="51"/>
        <v>1189751.8930438254</v>
      </c>
      <c r="BA128">
        <f t="shared" si="52"/>
        <v>1.3412994500718233E-5</v>
      </c>
      <c r="BB128" s="15">
        <f t="shared" si="53"/>
        <v>3582938.3407887351</v>
      </c>
      <c r="BC128" s="20">
        <f t="shared" si="54"/>
        <v>14544.493132485077</v>
      </c>
      <c r="BD128" s="19">
        <f t="shared" si="55"/>
        <v>0.40759214799224081</v>
      </c>
      <c r="BE128" s="15">
        <v>2523672</v>
      </c>
      <c r="BF128" s="16">
        <f>テーブル2[[#This Row],[q_P]]/テーブル2[[#This Row],[q_M]]</f>
        <v>1.4197321762846895</v>
      </c>
      <c r="BG128">
        <v>1</v>
      </c>
      <c r="BH128">
        <v>-5.6000000000000001E-2</v>
      </c>
      <c r="BI128">
        <v>4.5999999999999999E-2</v>
      </c>
      <c r="BJ128">
        <v>5625</v>
      </c>
      <c r="BK128" s="22">
        <v>1</v>
      </c>
      <c r="BL128">
        <f>テーブル2[[#This Row],[Ts]]-テーブル2[[#This Row],[Tin]]</f>
        <v>300.55133283163002</v>
      </c>
      <c r="BM128">
        <f>テーブル2[[#This Row],[q_P]]*0.000001</f>
        <v>3.582938340788735</v>
      </c>
      <c r="BN128">
        <f>テーブル2[[#This Row],[Tsub]]</f>
        <v>300.55133283163002</v>
      </c>
      <c r="BO128">
        <f>テーブル2[[#This Row],[Fcorr]]</f>
        <v>1</v>
      </c>
      <c r="BP128">
        <f>(テーブル2[[#This Row],[Tsub]]-40)^2</f>
        <v>67886.997040338843</v>
      </c>
      <c r="BQ128">
        <v>1</v>
      </c>
      <c r="BR128">
        <v>0.69596000000000002</v>
      </c>
    </row>
    <row r="129" spans="1:70" x14ac:dyDescent="0.15">
      <c r="A129" s="9" t="s">
        <v>197</v>
      </c>
      <c r="B129">
        <v>12065825.263044599</v>
      </c>
      <c r="C129" s="22">
        <f t="array" ref="C129">TsatFromP(テーブル2[[#This Row],[P]])</f>
        <v>598.16775841223</v>
      </c>
      <c r="D129">
        <f t="array" ref="D129">RhoGFromP(テーブル2[[#This Row],[P]])</f>
        <v>70.719127092772837</v>
      </c>
      <c r="E129">
        <f t="array" ref="E129">RhoFFromP(テーブル2[[#This Row],[P]])</f>
        <v>654.05698086006123</v>
      </c>
      <c r="F129">
        <f t="array" ref="F129">HgFromP(テーブル2[[#This Row],[P]])</f>
        <v>2683685.0883769058</v>
      </c>
      <c r="G129">
        <f t="array" ref="G129">HfFromP(テーブル2[[#This Row],[P]])</f>
        <v>1493933.1953330804</v>
      </c>
      <c r="H129">
        <f t="array" ref="H129">MuGFromP(テーブル2[[#This Row],[P]])</f>
        <v>2.1145404359092259E-5</v>
      </c>
      <c r="I129">
        <f t="array" ref="I129">MuFFromP(テーブル2[[#This Row],[P]])</f>
        <v>7.6371158483287791E-5</v>
      </c>
      <c r="J129">
        <f t="array" ref="J129">KfFromP(テーブル2[[#This Row],[P]])</f>
        <v>0.51093471001103663</v>
      </c>
      <c r="K129">
        <f t="array" ref="K129">CpFFromP(テーブル2[[#This Row],[P]])</f>
        <v>6848.0719740579098</v>
      </c>
      <c r="L129">
        <f t="array" ref="L129">SigmaFromP(テーブル2[[#This Row],[P]])</f>
        <v>8.6953190176285583E-3</v>
      </c>
      <c r="M129">
        <v>128</v>
      </c>
      <c r="N129">
        <v>3295.6386545585601</v>
      </c>
      <c r="O129" s="8">
        <f t="shared" si="58"/>
        <v>2.8502295699234246E-6</v>
      </c>
      <c r="P129" s="8">
        <f t="shared" si="59"/>
        <v>5.9847340050885557E-3</v>
      </c>
      <c r="Q129" s="8">
        <v>1.905E-3</v>
      </c>
      <c r="R129">
        <v>0.69596000000000002</v>
      </c>
      <c r="S129" s="15">
        <v>4103513.5135937501</v>
      </c>
      <c r="T129">
        <v>297.11185267539003</v>
      </c>
      <c r="U129" s="12">
        <f>+T129+BG129*S129*テーブル2[[#This Row],[Pw]]*R129/(N129*O129*K129)</f>
        <v>562.81533998867167</v>
      </c>
      <c r="V129">
        <v>0.03</v>
      </c>
      <c r="W129" s="8">
        <f t="shared" si="28"/>
        <v>82206.316646458974</v>
      </c>
      <c r="X129">
        <v>3.3064274849559552E-2</v>
      </c>
      <c r="Y129">
        <f t="shared" si="29"/>
        <v>5.4994657138155487</v>
      </c>
      <c r="Z129">
        <f t="shared" si="30"/>
        <v>5.4994657451812641</v>
      </c>
      <c r="AA129">
        <f t="shared" si="31"/>
        <v>-3.1365715358333546E-8</v>
      </c>
      <c r="AB129">
        <f t="shared" si="32"/>
        <v>1.5203170290678916E-5</v>
      </c>
      <c r="AC129">
        <v>666.22411188559533</v>
      </c>
      <c r="AD129">
        <f t="shared" si="33"/>
        <v>2642.4677860547035</v>
      </c>
      <c r="AE129">
        <f>+gettm2(AD129,AC129,AK129,AL129,テーブル2[[#This Row],[Fcorr]])</f>
        <v>562.81534065091262</v>
      </c>
      <c r="AF129" s="14">
        <f t="shared" si="34"/>
        <v>6.6224095007783035E-7</v>
      </c>
      <c r="AG129">
        <v>1.5261176473988111E-5</v>
      </c>
      <c r="AH129">
        <f t="shared" si="35"/>
        <v>68.63294050946466</v>
      </c>
      <c r="AI129">
        <f t="shared" si="36"/>
        <v>0.32393547435065517</v>
      </c>
      <c r="AJ129">
        <f t="shared" si="37"/>
        <v>42.338233291138586</v>
      </c>
      <c r="AK129">
        <f t="array" ref="AK129">+S129*テーブル2[[#This Row],[F_form]]/(E129*CpFromTP((テーブル2[[#This Row],[Tin]]+テーブル2[[#This Row],[Tf]])/2,テーブル2[[#This Row],[P]])*AI129)</f>
        <v>4.5263922038334252</v>
      </c>
      <c r="AL129">
        <f t="shared" si="38"/>
        <v>1.023604738117011</v>
      </c>
      <c r="AM129">
        <f t="shared" si="39"/>
        <v>598.16775839434899</v>
      </c>
      <c r="AN129">
        <f t="shared" si="40"/>
        <v>1.7881006897368934E-8</v>
      </c>
      <c r="AO129">
        <f t="shared" si="41"/>
        <v>5.8006183309195188E-8</v>
      </c>
      <c r="AP129">
        <v>4.2777325235297852</v>
      </c>
      <c r="AQ129">
        <f t="shared" si="42"/>
        <v>4.6783157394084537E-5</v>
      </c>
      <c r="AR129">
        <f t="shared" si="43"/>
        <v>7.6595913286486538E-6</v>
      </c>
      <c r="AS129">
        <f t="shared" si="44"/>
        <v>21.249578310024166</v>
      </c>
      <c r="AT129">
        <f t="shared" si="45"/>
        <v>12.231685254696849</v>
      </c>
      <c r="AU129">
        <f t="shared" si="46"/>
        <v>3.9622767650881383</v>
      </c>
      <c r="AV129">
        <f t="shared" si="47"/>
        <v>0.31545575844164686</v>
      </c>
      <c r="AW129">
        <f t="shared" si="48"/>
        <v>8.2181347594452708E-3</v>
      </c>
      <c r="AX129">
        <f t="shared" si="49"/>
        <v>0.31545575729241437</v>
      </c>
      <c r="AY129">
        <f t="shared" si="50"/>
        <v>1.1492324869522008E-9</v>
      </c>
      <c r="AZ129">
        <f t="shared" si="51"/>
        <v>1189751.8930438254</v>
      </c>
      <c r="BA129">
        <f t="shared" si="52"/>
        <v>1.093643820335949E-5</v>
      </c>
      <c r="BB129" s="15">
        <f t="shared" si="53"/>
        <v>4127341.2426133342</v>
      </c>
      <c r="BC129" s="20">
        <f t="shared" si="54"/>
        <v>23827.729019584134</v>
      </c>
      <c r="BD129" s="19">
        <f t="shared" si="55"/>
        <v>0.58066651762324595</v>
      </c>
      <c r="BE129" s="15">
        <v>3006324.27</v>
      </c>
      <c r="BF129" s="16">
        <f>テーブル2[[#This Row],[q_P]]/テーブル2[[#This Row],[q_M]]</f>
        <v>1.3728862464371929</v>
      </c>
      <c r="BG129">
        <v>1</v>
      </c>
      <c r="BH129">
        <v>-4.2000000000000003E-2</v>
      </c>
      <c r="BI129">
        <v>4.5999999999999999E-2</v>
      </c>
      <c r="BJ129">
        <v>5625</v>
      </c>
      <c r="BK129" s="22">
        <v>1</v>
      </c>
      <c r="BL129">
        <f>テーブル2[[#This Row],[Ts]]-テーブル2[[#This Row],[Tin]]</f>
        <v>301.05590573683997</v>
      </c>
      <c r="BM129">
        <f>テーブル2[[#This Row],[q_P]]*0.000001</f>
        <v>4.1273412426133342</v>
      </c>
      <c r="BN129">
        <f>テーブル2[[#This Row],[Tsub]]</f>
        <v>301.05590573683997</v>
      </c>
      <c r="BO129">
        <f>テーブル2[[#This Row],[Fcorr]]</f>
        <v>1</v>
      </c>
      <c r="BP129">
        <f>(テーブル2[[#This Row],[Tsub]]-40)^2</f>
        <v>68150.185920081873</v>
      </c>
      <c r="BQ129">
        <v>1</v>
      </c>
      <c r="BR129">
        <v>0.69596000000000002</v>
      </c>
    </row>
    <row r="130" spans="1:70" x14ac:dyDescent="0.15">
      <c r="A130" s="9" t="s">
        <v>198</v>
      </c>
      <c r="B130">
        <v>12065825.263044599</v>
      </c>
      <c r="C130" s="22">
        <f t="array" ref="C130">TsatFromP(テーブル2[[#This Row],[P]])</f>
        <v>598.16775841223</v>
      </c>
      <c r="D130">
        <f t="array" ref="D130">RhoGFromP(テーブル2[[#This Row],[P]])</f>
        <v>70.719127092772837</v>
      </c>
      <c r="E130">
        <f t="array" ref="E130">RhoFFromP(テーブル2[[#This Row],[P]])</f>
        <v>654.05698086006123</v>
      </c>
      <c r="F130">
        <f t="array" ref="F130">HgFromP(テーブル2[[#This Row],[P]])</f>
        <v>2683685.0883769058</v>
      </c>
      <c r="G130">
        <f t="array" ref="G130">HfFromP(テーブル2[[#This Row],[P]])</f>
        <v>1493933.1953330804</v>
      </c>
      <c r="H130">
        <f t="array" ref="H130">MuGFromP(テーブル2[[#This Row],[P]])</f>
        <v>2.1145404359092259E-5</v>
      </c>
      <c r="I130">
        <f t="array" ref="I130">MuFFromP(テーブル2[[#This Row],[P]])</f>
        <v>7.6371158483287791E-5</v>
      </c>
      <c r="J130">
        <f t="array" ref="J130">KfFromP(テーブル2[[#This Row],[P]])</f>
        <v>0.51093471001103663</v>
      </c>
      <c r="K130">
        <f t="array" ref="K130">CpFFromP(テーブル2[[#This Row],[P]])</f>
        <v>6848.0719740579098</v>
      </c>
      <c r="L130">
        <f t="array" ref="L130">SigmaFromP(テーブル2[[#This Row],[P]])</f>
        <v>8.6953190176285583E-3</v>
      </c>
      <c r="M130">
        <v>129</v>
      </c>
      <c r="N130">
        <v>3471.9485414279502</v>
      </c>
      <c r="O130" s="8">
        <f t="shared" si="58"/>
        <v>2.8502295699234246E-6</v>
      </c>
      <c r="P130" s="8">
        <f t="shared" si="59"/>
        <v>5.9847340050885557E-3</v>
      </c>
      <c r="Q130" s="8">
        <v>1.905E-3</v>
      </c>
      <c r="R130">
        <v>0.69596000000000002</v>
      </c>
      <c r="S130" s="15">
        <v>4343195.60546875</v>
      </c>
      <c r="T130">
        <v>294.30874222031798</v>
      </c>
      <c r="U130" s="12">
        <f>+T130+BG130*S130*テーブル2[[#This Row],[Pw]]*R130/(N130*O130*K130)</f>
        <v>561.25084919084793</v>
      </c>
      <c r="V130">
        <v>0.03</v>
      </c>
      <c r="W130" s="8">
        <f t="shared" ref="W130:W193" si="60">+N130*Q130/I130</f>
        <v>86604.185438244895</v>
      </c>
      <c r="X130">
        <v>3.2280713915647422E-2</v>
      </c>
      <c r="Y130">
        <f t="shared" ref="Y130:Y193" si="61">IF(X130&gt;0,1/X130^0.5,1)</f>
        <v>5.5658107404926085</v>
      </c>
      <c r="Z130">
        <f t="shared" ref="Z130:Z193" si="62">IF(X130&gt;0,1.14-2*LOG((0.72*L130*E130)/(X130*Q130*N130^2)+9.35/(W130*X130^0.5)),0)</f>
        <v>5.5658107462575783</v>
      </c>
      <c r="AA130">
        <f t="shared" ref="AA130:AA193" si="63">+Y130-Z130</f>
        <v>-5.7649698348427592E-9</v>
      </c>
      <c r="AB130">
        <f t="shared" ref="AB130:AB193" si="64">32/X130*L130*V130*E130/N130^2</f>
        <v>1.4030806913641187E-5</v>
      </c>
      <c r="AC130">
        <v>666.99369060809352</v>
      </c>
      <c r="AD130">
        <f t="shared" ref="AD130:AD193" si="65">+Q130/2*AI130/I130*E130</f>
        <v>2750.6507882578589</v>
      </c>
      <c r="AE130">
        <f>+gettm2(AD130,AC130,AK130,AL130,テーブル2[[#This Row],[Fcorr]])</f>
        <v>561.25084986078468</v>
      </c>
      <c r="AF130" s="14">
        <f t="shared" ref="AF130:AF193" si="66">+AE130-U130</f>
        <v>6.699367531837197E-7</v>
      </c>
      <c r="AG130">
        <v>1.408776719755435E-5</v>
      </c>
      <c r="AH130">
        <f t="shared" ref="AH130:AH193" si="67">+X130*N130^2/(8*E130)</f>
        <v>74.36766028766057</v>
      </c>
      <c r="AI130">
        <f t="shared" ref="AI130:AI193" si="68">+(AH130/E130)^0.5</f>
        <v>0.33719743815596592</v>
      </c>
      <c r="AJ130">
        <f t="shared" ref="AJ130:AJ193" si="69">+AG130*AI130/I130*E130</f>
        <v>40.682968972961781</v>
      </c>
      <c r="AK130">
        <f t="array" ref="AK130">+S130*テーブル2[[#This Row],[F_form]]/(E130*CpFromTP((テーブル2[[#This Row],[Tin]]+テーブル2[[#This Row],[Tf]])/2,テーブル2[[#This Row],[P]])*AI130)</f>
        <v>4.6081337432180227</v>
      </c>
      <c r="AL130">
        <f t="shared" ref="AL130:AL193" si="70">+K130*I130/J130</f>
        <v>1.023604738117011</v>
      </c>
      <c r="AM130">
        <f t="shared" ref="AM130:AM193" si="71">+gettyp(AC130,AJ130,AK130,AL130)</f>
        <v>598.16775840431637</v>
      </c>
      <c r="AN130">
        <f t="shared" ref="AN130:AN193" si="72">+C130-AM130</f>
        <v>7.9136270869639702E-9</v>
      </c>
      <c r="AO130">
        <f t="shared" ref="AO130:AO193" si="73">+AG130-AB130</f>
        <v>5.696028391316385E-8</v>
      </c>
      <c r="AP130">
        <v>4.3784762305645311</v>
      </c>
      <c r="AQ130">
        <f t="shared" ref="AQ130:AQ193" si="74">2*PI()*L130*(D130+E130)/(D130*E130*AP130^2)</f>
        <v>4.4655071343375088E-5</v>
      </c>
      <c r="AR130">
        <f t="shared" ref="AR130:AR193" si="75">+AO130+AB130/2</f>
        <v>7.0723637407337571E-6</v>
      </c>
      <c r="AS130">
        <f t="shared" ref="AS130:AS193" si="76">+AR130*AI130/I130*E130</f>
        <v>20.423730076950772</v>
      </c>
      <c r="AT130">
        <f t="shared" ref="AT130:AT193" si="77">+getublp(AS130)</f>
        <v>12.033487319390172</v>
      </c>
      <c r="AU130">
        <f t="shared" ref="AU130:AU193" si="78">+AT130*AI130</f>
        <v>4.0576610961806674</v>
      </c>
      <c r="AV130">
        <f t="shared" ref="AV130:AV193" si="79">+AP130-AU130</f>
        <v>0.32081513438386366</v>
      </c>
      <c r="AW130">
        <f t="shared" ref="AW130:AW193" si="80">2/3*AB130/(L130/(9.8*(E130-D130)))^0.5</f>
        <v>7.5844090275535882E-3</v>
      </c>
      <c r="AX130">
        <f t="shared" ref="AX130:AX193" si="81">+(2*AQ130*9.8*(E130-D130)/(E130*AW130))^0.5</f>
        <v>0.32081513100826758</v>
      </c>
      <c r="AY130">
        <f t="shared" ref="AY130:AY193" si="82">+AV130-AX130</f>
        <v>3.3755960804349172E-9</v>
      </c>
      <c r="AZ130">
        <f t="shared" ref="AZ130:AZ193" si="83">+F130-G130</f>
        <v>1189751.8930438254</v>
      </c>
      <c r="BA130">
        <f t="shared" ref="BA130:BA193" si="84">+AQ130/AP130</f>
        <v>1.0198769844096553E-5</v>
      </c>
      <c r="BB130" s="15">
        <f t="shared" ref="BB130:BB193" si="85">+E130*AO130*AZ130/BA130</f>
        <v>4346066.2670651497</v>
      </c>
      <c r="BC130" s="20">
        <f t="shared" ref="BC130:BC193" si="86">BB130-S130</f>
        <v>2870.6615963997319</v>
      </c>
      <c r="BD130" s="19">
        <f t="shared" ref="BD130:BD193" si="87">+(BB130-S130)/S130*100</f>
        <v>6.6095609251057647E-2</v>
      </c>
      <c r="BE130" s="15">
        <v>3091498.2</v>
      </c>
      <c r="BF130" s="16">
        <f>テーブル2[[#This Row],[q_P]]/テーブル2[[#This Row],[q_M]]</f>
        <v>1.4058123233146793</v>
      </c>
      <c r="BG130">
        <v>1</v>
      </c>
      <c r="BH130">
        <v>-7.8E-2</v>
      </c>
      <c r="BI130">
        <v>4.5999999999999999E-2</v>
      </c>
      <c r="BJ130">
        <v>5625</v>
      </c>
      <c r="BK130" s="22">
        <v>1</v>
      </c>
      <c r="BL130">
        <f>テーブル2[[#This Row],[Ts]]-テーブル2[[#This Row],[Tin]]</f>
        <v>303.85901619191202</v>
      </c>
      <c r="BM130">
        <f>テーブル2[[#This Row],[q_P]]*0.000001</f>
        <v>4.3460662670651491</v>
      </c>
      <c r="BN130">
        <f>テーブル2[[#This Row],[Tsub]]</f>
        <v>303.85901619191202</v>
      </c>
      <c r="BO130">
        <f>テーブル2[[#This Row],[Fcorr]]</f>
        <v>1</v>
      </c>
      <c r="BP130">
        <f>(テーブル2[[#This Row],[Tsub]]-40)^2</f>
        <v>69621.580425763692</v>
      </c>
      <c r="BQ130">
        <v>1</v>
      </c>
      <c r="BR130">
        <v>0.69596000000000002</v>
      </c>
    </row>
    <row r="131" spans="1:70" x14ac:dyDescent="0.15">
      <c r="A131" s="9" t="s">
        <v>199</v>
      </c>
      <c r="B131">
        <v>12065825.263044599</v>
      </c>
      <c r="C131" s="22">
        <f t="array" ref="C131">TsatFromP(テーブル2[[#This Row],[P]])</f>
        <v>598.16775841223</v>
      </c>
      <c r="D131">
        <f t="array" ref="D131">RhoGFromP(テーブル2[[#This Row],[P]])</f>
        <v>70.719127092772837</v>
      </c>
      <c r="E131">
        <f t="array" ref="E131">RhoFFromP(テーブル2[[#This Row],[P]])</f>
        <v>654.05698086006123</v>
      </c>
      <c r="F131">
        <f t="array" ref="F131">HgFromP(テーブル2[[#This Row],[P]])</f>
        <v>2683685.0883769058</v>
      </c>
      <c r="G131">
        <f t="array" ref="G131">HfFromP(テーブル2[[#This Row],[P]])</f>
        <v>1493933.1953330804</v>
      </c>
      <c r="H131">
        <f t="array" ref="H131">MuGFromP(テーブル2[[#This Row],[P]])</f>
        <v>2.1145404359092259E-5</v>
      </c>
      <c r="I131">
        <f t="array" ref="I131">MuFFromP(テーブル2[[#This Row],[P]])</f>
        <v>7.6371158483287791E-5</v>
      </c>
      <c r="J131">
        <f t="array" ref="J131">KfFromP(テーブル2[[#This Row],[P]])</f>
        <v>0.51093471001103663</v>
      </c>
      <c r="K131">
        <f t="array" ref="K131">CpFFromP(テーブル2[[#This Row],[P]])</f>
        <v>6848.0719740579098</v>
      </c>
      <c r="L131">
        <f t="array" ref="L131">SigmaFromP(テーブル2[[#This Row],[P]])</f>
        <v>8.6953190176285583E-3</v>
      </c>
      <c r="M131">
        <v>130</v>
      </c>
      <c r="N131">
        <v>4000.87820203611</v>
      </c>
      <c r="O131" s="8">
        <f t="shared" si="58"/>
        <v>2.8502295699234246E-6</v>
      </c>
      <c r="P131" s="8">
        <f t="shared" si="59"/>
        <v>5.9847340050885557E-3</v>
      </c>
      <c r="Q131" s="8">
        <v>1.905E-3</v>
      </c>
      <c r="R131">
        <v>0.69596000000000002</v>
      </c>
      <c r="S131" s="15">
        <v>4853035.1804687502</v>
      </c>
      <c r="T131">
        <v>299.85899298833198</v>
      </c>
      <c r="U131" s="12">
        <f>+T131+BG131*S131*テーブル2[[#This Row],[Pw]]*R131/(N131*O131*K131)</f>
        <v>558.70357782108022</v>
      </c>
      <c r="V131">
        <v>0.03</v>
      </c>
      <c r="W131" s="8">
        <f t="shared" si="60"/>
        <v>99797.791813602395</v>
      </c>
      <c r="X131">
        <v>3.0280138556132801E-2</v>
      </c>
      <c r="Y131">
        <f t="shared" si="61"/>
        <v>5.7467336773813669</v>
      </c>
      <c r="Z131">
        <f t="shared" si="62"/>
        <v>5.7467337191382422</v>
      </c>
      <c r="AA131">
        <f t="shared" si="63"/>
        <v>-4.1756875290843709E-8</v>
      </c>
      <c r="AB131">
        <f t="shared" si="64"/>
        <v>1.1264289915258989E-5</v>
      </c>
      <c r="AC131">
        <v>665.75739785602002</v>
      </c>
      <c r="AD131">
        <f t="shared" si="65"/>
        <v>3069.9045449326177</v>
      </c>
      <c r="AE131">
        <f>+gettm2(AD131,AC131,AK131,AL131,テーブル2[[#This Row],[Fcorr]])</f>
        <v>558.70357782108022</v>
      </c>
      <c r="AF131" s="14">
        <f t="shared" si="66"/>
        <v>0</v>
      </c>
      <c r="AG131">
        <v>1.1316655590398E-5</v>
      </c>
      <c r="AH131">
        <f t="shared" si="67"/>
        <v>92.63240647792189</v>
      </c>
      <c r="AI131">
        <f t="shared" si="68"/>
        <v>0.37633419420364228</v>
      </c>
      <c r="AJ131">
        <f t="shared" si="69"/>
        <v>36.473545858687594</v>
      </c>
      <c r="AK131">
        <f t="array" ref="AK131">+S131*テーブル2[[#This Row],[F_form]]/(E131*CpFromTP((テーブル2[[#This Row],[Tin]]+テーブル2[[#This Row],[Tf]])/2,テーブル2[[#This Row],[P]])*AI131)</f>
        <v>4.6096331231952545</v>
      </c>
      <c r="AL131">
        <f t="shared" si="70"/>
        <v>1.023604738117011</v>
      </c>
      <c r="AM131">
        <f t="shared" si="71"/>
        <v>598.16775840942444</v>
      </c>
      <c r="AN131">
        <f t="shared" si="72"/>
        <v>2.8055637812940404E-9</v>
      </c>
      <c r="AO131">
        <f t="shared" si="73"/>
        <v>5.236567513901062E-8</v>
      </c>
      <c r="AP131">
        <v>4.6605653767108697</v>
      </c>
      <c r="AQ131">
        <f t="shared" si="74"/>
        <v>3.941300708465171E-5</v>
      </c>
      <c r="AR131">
        <f t="shared" si="75"/>
        <v>5.6845106327685054E-6</v>
      </c>
      <c r="AS131">
        <f t="shared" si="76"/>
        <v>18.321160133599815</v>
      </c>
      <c r="AT131">
        <f t="shared" si="77"/>
        <v>11.49028341655416</v>
      </c>
      <c r="AU131">
        <f t="shared" si="78"/>
        <v>4.3241865507403832</v>
      </c>
      <c r="AV131">
        <f t="shared" si="79"/>
        <v>0.33637882597048652</v>
      </c>
      <c r="AW131">
        <f t="shared" si="80"/>
        <v>6.0889571532204978E-3</v>
      </c>
      <c r="AX131">
        <f t="shared" si="81"/>
        <v>0.33637882516474449</v>
      </c>
      <c r="AY131">
        <f t="shared" si="82"/>
        <v>8.0574202865335565E-10</v>
      </c>
      <c r="AZ131">
        <f t="shared" si="83"/>
        <v>1189751.8930438254</v>
      </c>
      <c r="BA131">
        <f t="shared" si="84"/>
        <v>8.4567008289597052E-6</v>
      </c>
      <c r="BB131" s="15">
        <f t="shared" si="85"/>
        <v>4818565.0919966819</v>
      </c>
      <c r="BC131" s="20">
        <f t="shared" si="86"/>
        <v>-34470.08847206831</v>
      </c>
      <c r="BD131" s="19">
        <f t="shared" si="87"/>
        <v>-0.71027897367805348</v>
      </c>
      <c r="BE131" s="15">
        <v>3615160.14</v>
      </c>
      <c r="BF131" s="16">
        <f>テーブル2[[#This Row],[q_P]]/テーブル2[[#This Row],[q_M]]</f>
        <v>1.3328773568511081</v>
      </c>
      <c r="BG131">
        <v>1</v>
      </c>
      <c r="BH131">
        <v>-4.2999999999999997E-2</v>
      </c>
      <c r="BI131">
        <v>4.5999999999999999E-2</v>
      </c>
      <c r="BJ131">
        <v>5625</v>
      </c>
      <c r="BK131" s="22">
        <v>1</v>
      </c>
      <c r="BL131">
        <f>テーブル2[[#This Row],[Ts]]-テーブル2[[#This Row],[Tin]]</f>
        <v>298.30876542389802</v>
      </c>
      <c r="BM131">
        <f>テーブル2[[#This Row],[q_P]]*0.000001</f>
        <v>4.8185650919966818</v>
      </c>
      <c r="BN131">
        <f>テーブル2[[#This Row],[Tsub]]</f>
        <v>298.30876542389802</v>
      </c>
      <c r="BO131">
        <f>テーブル2[[#This Row],[Fcorr]]</f>
        <v>1</v>
      </c>
      <c r="BP131">
        <f>(テーブル2[[#This Row],[Tsub]]-40)^2</f>
        <v>66723.418294818373</v>
      </c>
      <c r="BQ131">
        <v>1</v>
      </c>
      <c r="BR131">
        <v>0.69596000000000002</v>
      </c>
    </row>
    <row r="132" spans="1:70" x14ac:dyDescent="0.15">
      <c r="A132" s="9" t="s">
        <v>200</v>
      </c>
      <c r="B132">
        <v>12065825.263044599</v>
      </c>
      <c r="C132" s="22">
        <f t="array" ref="C132">TsatFromP(テーブル2[[#This Row],[P]])</f>
        <v>598.16775841223</v>
      </c>
      <c r="D132">
        <f t="array" ref="D132">RhoGFromP(テーブル2[[#This Row],[P]])</f>
        <v>70.719127092772837</v>
      </c>
      <c r="E132">
        <f t="array" ref="E132">RhoFFromP(テーブル2[[#This Row],[P]])</f>
        <v>654.05698086006123</v>
      </c>
      <c r="F132">
        <f t="array" ref="F132">HgFromP(テーブル2[[#This Row],[P]])</f>
        <v>2683685.0883769058</v>
      </c>
      <c r="G132">
        <f t="array" ref="G132">HfFromP(テーブル2[[#This Row],[P]])</f>
        <v>1493933.1953330804</v>
      </c>
      <c r="H132">
        <f t="array" ref="H132">MuGFromP(テーブル2[[#This Row],[P]])</f>
        <v>2.1145404359092259E-5</v>
      </c>
      <c r="I132">
        <f t="array" ref="I132">MuFFromP(テーブル2[[#This Row],[P]])</f>
        <v>7.6371158483287791E-5</v>
      </c>
      <c r="J132">
        <f t="array" ref="J132">KfFromP(テーブル2[[#This Row],[P]])</f>
        <v>0.51093471001103663</v>
      </c>
      <c r="K132">
        <f t="array" ref="K132">CpFFromP(テーブル2[[#This Row],[P]])</f>
        <v>6848.0719740579098</v>
      </c>
      <c r="L132">
        <f t="array" ref="L132">SigmaFromP(テーブル2[[#This Row],[P]])</f>
        <v>8.6953190176285583E-3</v>
      </c>
      <c r="M132">
        <v>131</v>
      </c>
      <c r="N132">
        <v>4028.00280001602</v>
      </c>
      <c r="O132" s="8">
        <f t="shared" si="58"/>
        <v>2.8502295699234246E-6</v>
      </c>
      <c r="P132" s="8">
        <f t="shared" si="59"/>
        <v>5.9847340050885557E-3</v>
      </c>
      <c r="Q132" s="8">
        <v>1.905E-3</v>
      </c>
      <c r="R132">
        <v>0.69596000000000002</v>
      </c>
      <c r="S132" s="15">
        <v>4927346.81640625</v>
      </c>
      <c r="T132">
        <v>297.11185267539003</v>
      </c>
      <c r="U132" s="12">
        <f>+T132+BG132*S132*テーブル2[[#This Row],[Pw]]*R132/(N132*O132*K132)</f>
        <v>558.15021876330763</v>
      </c>
      <c r="V132">
        <v>0.03</v>
      </c>
      <c r="W132" s="8">
        <f t="shared" si="60"/>
        <v>100474.38701233879</v>
      </c>
      <c r="X132">
        <v>3.0189353342588428E-2</v>
      </c>
      <c r="Y132">
        <f t="shared" si="61"/>
        <v>5.7553679598019443</v>
      </c>
      <c r="Z132">
        <f t="shared" si="62"/>
        <v>5.7553679983791914</v>
      </c>
      <c r="AA132">
        <f t="shared" si="63"/>
        <v>-3.8577247174487184E-8</v>
      </c>
      <c r="AB132">
        <f t="shared" si="64"/>
        <v>1.1146512323351711E-5</v>
      </c>
      <c r="AC132">
        <v>666.43737555555037</v>
      </c>
      <c r="AD132">
        <f t="shared" si="65"/>
        <v>3086.0807201296298</v>
      </c>
      <c r="AE132">
        <f>+gettm2(AD132,AC132,AK132,AL132,テーブル2[[#This Row],[Fcorr]])</f>
        <v>558.15021942768135</v>
      </c>
      <c r="AF132" s="14">
        <f t="shared" si="66"/>
        <v>6.6437371515348786E-7</v>
      </c>
      <c r="AG132">
        <v>1.1199773376919701E-5</v>
      </c>
      <c r="AH132">
        <f t="shared" si="67"/>
        <v>93.611189926148086</v>
      </c>
      <c r="AI132">
        <f t="shared" si="68"/>
        <v>0.37831720304608762</v>
      </c>
      <c r="AJ132">
        <f t="shared" si="69"/>
        <v>36.287039042869289</v>
      </c>
      <c r="AK132">
        <f t="array" ref="AK132">+S132*テーブル2[[#This Row],[F_form]]/(E132*CpFromTP((テーブル2[[#This Row],[Tin]]+テーブル2[[#This Row],[Tf]])/2,テーブル2[[#This Row],[P]])*AI132)</f>
        <v>4.6600811273939593</v>
      </c>
      <c r="AL132">
        <f t="shared" si="70"/>
        <v>1.023604738117011</v>
      </c>
      <c r="AM132">
        <f t="shared" si="71"/>
        <v>598.167758401073</v>
      </c>
      <c r="AN132">
        <f t="shared" si="72"/>
        <v>1.1156998880323954E-8</v>
      </c>
      <c r="AO132">
        <f t="shared" si="73"/>
        <v>5.3261053567989851E-8</v>
      </c>
      <c r="AP132">
        <v>4.67464848359805</v>
      </c>
      <c r="AQ132">
        <f t="shared" si="74"/>
        <v>3.9175889151730965E-5</v>
      </c>
      <c r="AR132">
        <f t="shared" si="75"/>
        <v>5.6265172152438452E-6</v>
      </c>
      <c r="AS132">
        <f t="shared" si="76"/>
        <v>18.229801889177409</v>
      </c>
      <c r="AT132">
        <f t="shared" si="77"/>
        <v>11.465288606673083</v>
      </c>
      <c r="AU132">
        <f t="shared" si="78"/>
        <v>4.3375159177927358</v>
      </c>
      <c r="AV132">
        <f t="shared" si="79"/>
        <v>0.33713256580531414</v>
      </c>
      <c r="AW132">
        <f t="shared" si="80"/>
        <v>6.025292002897845E-3</v>
      </c>
      <c r="AX132">
        <f t="shared" si="81"/>
        <v>0.33713256465785951</v>
      </c>
      <c r="AY132">
        <f t="shared" si="82"/>
        <v>1.1474546313117173E-9</v>
      </c>
      <c r="AZ132">
        <f t="shared" si="83"/>
        <v>1189751.8930438254</v>
      </c>
      <c r="BA132">
        <f t="shared" si="84"/>
        <v>8.3804994726742554E-6</v>
      </c>
      <c r="BB132" s="15">
        <f t="shared" si="85"/>
        <v>4945518.6022956828</v>
      </c>
      <c r="BC132" s="20">
        <f t="shared" si="86"/>
        <v>18171.785889432766</v>
      </c>
      <c r="BD132" s="19">
        <f t="shared" si="87"/>
        <v>0.36879453723304828</v>
      </c>
      <c r="BE132" s="15">
        <v>3671942.76</v>
      </c>
      <c r="BF132" s="16">
        <f>テーブル2[[#This Row],[q_P]]/テーブル2[[#This Row],[q_M]]</f>
        <v>1.3468397863303521</v>
      </c>
      <c r="BG132">
        <v>1</v>
      </c>
      <c r="BH132">
        <v>-4.2000000000000003E-2</v>
      </c>
      <c r="BI132">
        <v>4.5999999999999999E-2</v>
      </c>
      <c r="BJ132">
        <v>5625</v>
      </c>
      <c r="BK132" s="22">
        <v>1</v>
      </c>
      <c r="BL132">
        <f>テーブル2[[#This Row],[Ts]]-テーブル2[[#This Row],[Tin]]</f>
        <v>301.05590573683997</v>
      </c>
      <c r="BM132">
        <f>テーブル2[[#This Row],[q_P]]*0.000001</f>
        <v>4.9455186022956825</v>
      </c>
      <c r="BN132">
        <f>テーブル2[[#This Row],[Tsub]]</f>
        <v>301.05590573683997</v>
      </c>
      <c r="BO132">
        <f>テーブル2[[#This Row],[Fcorr]]</f>
        <v>1</v>
      </c>
      <c r="BP132">
        <f>(テーブル2[[#This Row],[Tsub]]-40)^2</f>
        <v>68150.185920081873</v>
      </c>
      <c r="BQ132">
        <v>1</v>
      </c>
      <c r="BR132">
        <v>0.69596000000000002</v>
      </c>
    </row>
    <row r="133" spans="1:70" x14ac:dyDescent="0.15">
      <c r="A133" s="9" t="s">
        <v>201</v>
      </c>
      <c r="B133">
        <v>12065825.263044599</v>
      </c>
      <c r="C133" s="22">
        <f t="array" ref="C133">TsatFromP(テーブル2[[#This Row],[P]])</f>
        <v>598.16775841223</v>
      </c>
      <c r="D133">
        <f t="array" ref="D133">RhoGFromP(テーブル2[[#This Row],[P]])</f>
        <v>70.719127092772837</v>
      </c>
      <c r="E133">
        <f t="array" ref="E133">RhoFFromP(テーブル2[[#This Row],[P]])</f>
        <v>654.05698086006123</v>
      </c>
      <c r="F133">
        <f t="array" ref="F133">HgFromP(テーブル2[[#This Row],[P]])</f>
        <v>2683685.0883769058</v>
      </c>
      <c r="G133">
        <f t="array" ref="G133">HfFromP(テーブル2[[#This Row],[P]])</f>
        <v>1493933.1953330804</v>
      </c>
      <c r="H133">
        <f t="array" ref="H133">MuGFromP(テーブル2[[#This Row],[P]])</f>
        <v>2.1145404359092259E-5</v>
      </c>
      <c r="I133">
        <f t="array" ref="I133">MuFFromP(テーブル2[[#This Row],[P]])</f>
        <v>7.6371158483287791E-5</v>
      </c>
      <c r="J133">
        <f t="array" ref="J133">KfFromP(テーブル2[[#This Row],[P]])</f>
        <v>0.51093471001103663</v>
      </c>
      <c r="K133">
        <f t="array" ref="K133">CpFFromP(テーブル2[[#This Row],[P]])</f>
        <v>6848.0719740579098</v>
      </c>
      <c r="L133">
        <f t="array" ref="L133">SigmaFromP(テーブル2[[#This Row],[P]])</f>
        <v>8.6953190176285583E-3</v>
      </c>
      <c r="M133">
        <v>132</v>
      </c>
      <c r="N133">
        <v>4109.3765939557297</v>
      </c>
      <c r="O133" s="8">
        <f t="shared" si="58"/>
        <v>2.8502295699234246E-6</v>
      </c>
      <c r="P133" s="8">
        <f t="shared" si="59"/>
        <v>5.9847340050885557E-3</v>
      </c>
      <c r="Q133" s="8">
        <v>1.905E-3</v>
      </c>
      <c r="R133">
        <v>0.69596000000000002</v>
      </c>
      <c r="S133" s="15">
        <v>5009458.43265625</v>
      </c>
      <c r="T133">
        <v>297.61642558059998</v>
      </c>
      <c r="U133" s="12">
        <f>+T133+BG133*S133*テーブル2[[#This Row],[Pw]]*R133/(N133*O133*K133)</f>
        <v>557.74964085065892</v>
      </c>
      <c r="V133">
        <v>0.03</v>
      </c>
      <c r="W133" s="8">
        <f t="shared" si="60"/>
        <v>102504.17260854747</v>
      </c>
      <c r="X133">
        <v>2.9922937230895039E-2</v>
      </c>
      <c r="Y133">
        <f t="shared" si="61"/>
        <v>5.7809323771818422</v>
      </c>
      <c r="Z133">
        <f t="shared" si="62"/>
        <v>5.7809324053556983</v>
      </c>
      <c r="AA133">
        <f t="shared" si="63"/>
        <v>-2.817385613695933E-8</v>
      </c>
      <c r="AB133">
        <f t="shared" si="64"/>
        <v>1.0804787528474191E-5</v>
      </c>
      <c r="AC133">
        <v>666.32049253885225</v>
      </c>
      <c r="AD133">
        <f t="shared" si="65"/>
        <v>3134.5028285365606</v>
      </c>
      <c r="AE133">
        <f>+gettm2(AD133,AC133,AK133,AL133,テーブル2[[#This Row],[Fcorr]])</f>
        <v>557.74964151386382</v>
      </c>
      <c r="AF133" s="14">
        <f t="shared" si="66"/>
        <v>6.6320490077487193E-7</v>
      </c>
      <c r="AG133">
        <v>1.0857536782913491E-5</v>
      </c>
      <c r="AH133">
        <f t="shared" si="67"/>
        <v>96.571846449143194</v>
      </c>
      <c r="AI133">
        <f t="shared" si="68"/>
        <v>0.38425318407815057</v>
      </c>
      <c r="AJ133">
        <f t="shared" si="69"/>
        <v>35.730162474521876</v>
      </c>
      <c r="AK133">
        <f t="array" ref="AK133">+S133*テーブル2[[#This Row],[F_form]]/(E133*CpFromTP((テーブル2[[#This Row],[Tin]]+テーブル2[[#This Row],[Tf]])/2,テーブル2[[#This Row],[P]])*AI133)</f>
        <v>4.6644128762253958</v>
      </c>
      <c r="AL133">
        <f t="shared" si="70"/>
        <v>1.023604738117011</v>
      </c>
      <c r="AM133">
        <f t="shared" si="71"/>
        <v>598.16775840445052</v>
      </c>
      <c r="AN133">
        <f t="shared" si="72"/>
        <v>7.7794766184524633E-9</v>
      </c>
      <c r="AO133">
        <f t="shared" si="73"/>
        <v>5.2749254439299754E-8</v>
      </c>
      <c r="AP133">
        <v>4.7155119710003879</v>
      </c>
      <c r="AQ133">
        <f t="shared" si="74"/>
        <v>3.8499853499744613E-5</v>
      </c>
      <c r="AR133">
        <f t="shared" si="75"/>
        <v>5.4551430186763953E-6</v>
      </c>
      <c r="AS133">
        <f t="shared" si="76"/>
        <v>17.951875298805913</v>
      </c>
      <c r="AT133">
        <f t="shared" si="77"/>
        <v>11.388472914741982</v>
      </c>
      <c r="AU133">
        <f t="shared" si="78"/>
        <v>4.3760569792773829</v>
      </c>
      <c r="AV133">
        <f t="shared" si="79"/>
        <v>0.33945499172300497</v>
      </c>
      <c r="AW133">
        <f t="shared" si="80"/>
        <v>5.8405712925951358E-3</v>
      </c>
      <c r="AX133">
        <f t="shared" si="81"/>
        <v>0.33945498941766583</v>
      </c>
      <c r="AY133">
        <f t="shared" si="82"/>
        <v>2.3053391418059732E-9</v>
      </c>
      <c r="AZ133">
        <f t="shared" si="83"/>
        <v>1189751.8930438254</v>
      </c>
      <c r="BA133">
        <f t="shared" si="84"/>
        <v>8.16451187835219E-6</v>
      </c>
      <c r="BB133" s="15">
        <f t="shared" si="85"/>
        <v>5027569.585226899</v>
      </c>
      <c r="BC133" s="20">
        <f t="shared" si="86"/>
        <v>18111.15257064905</v>
      </c>
      <c r="BD133" s="19">
        <f t="shared" si="87"/>
        <v>0.36153913270512295</v>
      </c>
      <c r="BE133" s="15">
        <v>3653015.22</v>
      </c>
      <c r="BF133" s="16">
        <f>テーブル2[[#This Row],[q_P]]/テーブル2[[#This Row],[q_M]]</f>
        <v>1.3762793972774356</v>
      </c>
      <c r="BG133">
        <v>1</v>
      </c>
      <c r="BH133">
        <v>-6.8000000000000005E-2</v>
      </c>
      <c r="BI133">
        <v>4.5999999999999999E-2</v>
      </c>
      <c r="BJ133">
        <v>5625</v>
      </c>
      <c r="BK133" s="22">
        <v>1</v>
      </c>
      <c r="BL133">
        <f>テーブル2[[#This Row],[Ts]]-テーブル2[[#This Row],[Tin]]</f>
        <v>300.55133283163002</v>
      </c>
      <c r="BM133">
        <f>テーブル2[[#This Row],[q_P]]*0.000001</f>
        <v>5.0275695852268987</v>
      </c>
      <c r="BN133">
        <f>テーブル2[[#This Row],[Tsub]]</f>
        <v>300.55133283163002</v>
      </c>
      <c r="BO133">
        <f>テーブル2[[#This Row],[Fcorr]]</f>
        <v>1</v>
      </c>
      <c r="BP133">
        <f>(テーブル2[[#This Row],[Tsub]]-40)^2</f>
        <v>67886.997040338843</v>
      </c>
      <c r="BQ133">
        <v>1</v>
      </c>
      <c r="BR133">
        <v>0.69596000000000002</v>
      </c>
    </row>
    <row r="134" spans="1:70" x14ac:dyDescent="0.15">
      <c r="A134" s="9" t="s">
        <v>202</v>
      </c>
      <c r="B134">
        <v>15513203.909628799</v>
      </c>
      <c r="C134" s="22">
        <f t="array" ref="C134">TsatFromP(テーブル2[[#This Row],[P]])</f>
        <v>617.97483343502051</v>
      </c>
      <c r="D134">
        <f t="array" ref="D134">RhoGFromP(テーブル2[[#This Row],[P]])</f>
        <v>102.22394330033012</v>
      </c>
      <c r="E134">
        <f t="array" ref="E134">RhoFFromP(テーブル2[[#This Row],[P]])</f>
        <v>593.99780321429478</v>
      </c>
      <c r="F134">
        <f t="array" ref="F134">HgFromP(テーブル2[[#This Row],[P]])</f>
        <v>2595333.5493798093</v>
      </c>
      <c r="G134">
        <f t="array" ref="G134">HfFromP(テーブル2[[#This Row],[P]])</f>
        <v>1630481.3857882055</v>
      </c>
      <c r="H134">
        <f t="array" ref="H134">MuGFromP(テーブル2[[#This Row],[P]])</f>
        <v>2.3048203873610289E-5</v>
      </c>
      <c r="I134">
        <f t="array" ref="I134">MuFFromP(テーブル2[[#This Row],[P]])</f>
        <v>6.8200503236293109E-5</v>
      </c>
      <c r="J134">
        <f t="array" ref="J134">KfFromP(テーブル2[[#This Row],[P]])</f>
        <v>0.47171772328903144</v>
      </c>
      <c r="K134">
        <f t="array" ref="K134">CpFFromP(テーブル2[[#This Row],[P]])</f>
        <v>9005.0430614720299</v>
      </c>
      <c r="L134">
        <f t="array" ref="L134">SigmaFromP(テーブル2[[#This Row],[P]])</f>
        <v>4.6429387983550419E-3</v>
      </c>
      <c r="M134">
        <v>133</v>
      </c>
      <c r="N134">
        <v>2034.345</v>
      </c>
      <c r="O134" s="8">
        <f t="shared" si="58"/>
        <v>2.8502295699234246E-6</v>
      </c>
      <c r="P134" s="8">
        <f t="shared" si="59"/>
        <v>5.9847340050885557E-3</v>
      </c>
      <c r="Q134" s="8">
        <v>1.905E-3</v>
      </c>
      <c r="R134">
        <v>0.15240000000000001</v>
      </c>
      <c r="S134" s="15">
        <v>3055865.72265625</v>
      </c>
      <c r="T134">
        <v>532.51320671869905</v>
      </c>
      <c r="U134" s="12">
        <f>+T134+BG134*S134*テーブル2[[#This Row],[Pw]]*R134/(N134*O134*K134)</f>
        <v>585.89262610251524</v>
      </c>
      <c r="V134">
        <v>0.03</v>
      </c>
      <c r="W134" s="8">
        <f t="shared" si="60"/>
        <v>56824.026819463106</v>
      </c>
      <c r="X134">
        <v>3.5196888733325868E-2</v>
      </c>
      <c r="Y134">
        <f t="shared" si="61"/>
        <v>5.3302534800051387</v>
      </c>
      <c r="Z134">
        <f t="shared" si="62"/>
        <v>5.3302535319536952</v>
      </c>
      <c r="AA134">
        <f t="shared" si="63"/>
        <v>-5.1948556567538162E-8</v>
      </c>
      <c r="AB134">
        <f t="shared" si="64"/>
        <v>1.8175884064821805E-5</v>
      </c>
      <c r="AC134">
        <v>692.46511502385511</v>
      </c>
      <c r="AD134">
        <f t="shared" si="65"/>
        <v>1884.5564685194799</v>
      </c>
      <c r="AE134">
        <f>+gettm2(AD134,AC134,AK134,AL134,テーブル2[[#This Row],[Fcorr]])</f>
        <v>585.89262610251512</v>
      </c>
      <c r="AF134" s="14">
        <f t="shared" si="66"/>
        <v>0</v>
      </c>
      <c r="AG134">
        <v>1.8254897812804101E-5</v>
      </c>
      <c r="AH134">
        <f t="shared" si="67"/>
        <v>30.6534006167511</v>
      </c>
      <c r="AI134">
        <f t="shared" si="68"/>
        <v>0.22716787271669706</v>
      </c>
      <c r="AJ134">
        <f t="shared" si="69"/>
        <v>36.1179902942594</v>
      </c>
      <c r="AK134">
        <f t="array" ref="AK134">+S134*テーブル2[[#This Row],[F_form]]/(E134*CpFromTP((テーブル2[[#This Row],[Tin]]+テーブル2[[#This Row],[Tf]])/2,テーブル2[[#This Row],[P]])*AI134)</f>
        <v>4.3677358962694495</v>
      </c>
      <c r="AL134">
        <f t="shared" si="70"/>
        <v>1.3019406270656069</v>
      </c>
      <c r="AM134">
        <f t="shared" si="71"/>
        <v>617.97483342764679</v>
      </c>
      <c r="AN134">
        <f t="shared" si="72"/>
        <v>7.3737282946240157E-9</v>
      </c>
      <c r="AO134">
        <f t="shared" si="73"/>
        <v>7.9013747982296066E-8</v>
      </c>
      <c r="AP134">
        <v>2.832824390793208</v>
      </c>
      <c r="AQ134">
        <f t="shared" si="74"/>
        <v>4.1681528526361128E-5</v>
      </c>
      <c r="AR134">
        <f t="shared" si="75"/>
        <v>9.1669557803931984E-6</v>
      </c>
      <c r="AS134">
        <f t="shared" si="76"/>
        <v>18.13716095808088</v>
      </c>
      <c r="AT134">
        <f t="shared" si="77"/>
        <v>11.439814625830858</v>
      </c>
      <c r="AU134">
        <f t="shared" si="78"/>
        <v>2.5987583528233538</v>
      </c>
      <c r="AV134">
        <f t="shared" si="79"/>
        <v>0.23406603796985426</v>
      </c>
      <c r="AW134">
        <f t="shared" si="80"/>
        <v>1.2345354442456491E-2</v>
      </c>
      <c r="AX134">
        <f t="shared" si="81"/>
        <v>0.23406602139217045</v>
      </c>
      <c r="AY134">
        <f t="shared" si="82"/>
        <v>1.6577683809027022E-8</v>
      </c>
      <c r="AZ134">
        <f t="shared" si="83"/>
        <v>964852.16359160375</v>
      </c>
      <c r="BA134">
        <f t="shared" si="84"/>
        <v>1.4713770702422555E-5</v>
      </c>
      <c r="BB134" s="15">
        <f t="shared" si="85"/>
        <v>3077685.8864232074</v>
      </c>
      <c r="BC134" s="20">
        <f t="shared" si="86"/>
        <v>21820.163766957354</v>
      </c>
      <c r="BD134" s="19">
        <f t="shared" si="87"/>
        <v>0.71404196870242764</v>
      </c>
      <c r="BE134" s="15">
        <v>3059952.3</v>
      </c>
      <c r="BF134" s="16">
        <f>テーブル2[[#This Row],[q_P]]/テーブル2[[#This Row],[q_M]]</f>
        <v>1.0057953800205341</v>
      </c>
      <c r="BG134">
        <v>1</v>
      </c>
      <c r="BH134">
        <v>-1.9E-2</v>
      </c>
      <c r="BI134">
        <v>4.5999999999999999E-2</v>
      </c>
      <c r="BJ134">
        <v>5625</v>
      </c>
      <c r="BK134" s="22">
        <v>1</v>
      </c>
      <c r="BL134">
        <f>テーブル2[[#This Row],[Ts]]-テーブル2[[#This Row],[Tin]]</f>
        <v>85.461626716321462</v>
      </c>
      <c r="BM134">
        <f>テーブル2[[#This Row],[q_P]]*0.000001</f>
        <v>3.0776858864232071</v>
      </c>
      <c r="BN134">
        <f>テーブル2[[#This Row],[Tsub]]</f>
        <v>85.461626716321462</v>
      </c>
      <c r="BO134">
        <f>テーブル2[[#This Row],[Fcorr]]</f>
        <v>1</v>
      </c>
      <c r="BP134">
        <f>(テーブル2[[#This Row],[Tsub]]-40)^2</f>
        <v>2066.7595036941534</v>
      </c>
      <c r="BQ134">
        <v>1</v>
      </c>
      <c r="BR134">
        <v>0.15240000000000001</v>
      </c>
    </row>
    <row r="135" spans="1:70" x14ac:dyDescent="0.15">
      <c r="A135" s="9" t="s">
        <v>203</v>
      </c>
      <c r="B135">
        <v>15513203.909628799</v>
      </c>
      <c r="C135" s="22">
        <f t="array" ref="C135">TsatFromP(テーブル2[[#This Row],[P]])</f>
        <v>617.97483343502051</v>
      </c>
      <c r="D135">
        <f t="array" ref="D135">RhoGFromP(テーブル2[[#This Row],[P]])</f>
        <v>102.22394330033012</v>
      </c>
      <c r="E135">
        <f t="array" ref="E135">RhoFFromP(テーブル2[[#This Row],[P]])</f>
        <v>593.99780321429478</v>
      </c>
      <c r="F135">
        <f t="array" ref="F135">HgFromP(テーブル2[[#This Row],[P]])</f>
        <v>2595333.5493798093</v>
      </c>
      <c r="G135">
        <f t="array" ref="G135">HfFromP(テーブル2[[#This Row],[P]])</f>
        <v>1630481.3857882055</v>
      </c>
      <c r="H135">
        <f t="array" ref="H135">MuGFromP(テーブル2[[#This Row],[P]])</f>
        <v>2.3048203873610289E-5</v>
      </c>
      <c r="I135">
        <f t="array" ref="I135">MuFFromP(テーブル2[[#This Row],[P]])</f>
        <v>6.8200503236293109E-5</v>
      </c>
      <c r="J135">
        <f t="array" ref="J135">KfFromP(テーブル2[[#This Row],[P]])</f>
        <v>0.47171772328903144</v>
      </c>
      <c r="K135">
        <f t="array" ref="K135">CpFFromP(テーブル2[[#This Row],[P]])</f>
        <v>9005.0430614720299</v>
      </c>
      <c r="L135">
        <f t="array" ref="L135">SigmaFromP(テーブル2[[#This Row],[P]])</f>
        <v>4.6429387983550419E-3</v>
      </c>
      <c r="M135">
        <v>134</v>
      </c>
      <c r="N135">
        <v>2061.4695999999999</v>
      </c>
      <c r="O135" s="8">
        <f t="shared" si="58"/>
        <v>2.8502295699234246E-6</v>
      </c>
      <c r="P135" s="8">
        <f t="shared" si="59"/>
        <v>5.9847340050885557E-3</v>
      </c>
      <c r="Q135" s="8">
        <v>1.905E-3</v>
      </c>
      <c r="R135">
        <v>0.15240000000000001</v>
      </c>
      <c r="S135" s="15">
        <v>3232979.8983437498</v>
      </c>
      <c r="T135">
        <v>528.04902786314199</v>
      </c>
      <c r="U135" s="12">
        <f>+T135+BG135*S135*テーブル2[[#This Row],[Pw]]*R135/(N135*O135*K135)</f>
        <v>583.77918325019346</v>
      </c>
      <c r="V135">
        <v>0.03</v>
      </c>
      <c r="W135" s="8">
        <f t="shared" si="60"/>
        <v>57581.680510389277</v>
      </c>
      <c r="X135">
        <v>3.4978260181261399E-2</v>
      </c>
      <c r="Y135">
        <f t="shared" si="61"/>
        <v>5.3468856722663531</v>
      </c>
      <c r="Z135">
        <f t="shared" si="62"/>
        <v>5.3468857046363132</v>
      </c>
      <c r="AA135">
        <f t="shared" si="63"/>
        <v>-3.2369960045741664E-8</v>
      </c>
      <c r="AB135">
        <f t="shared" si="64"/>
        <v>1.7811354909090326E-5</v>
      </c>
      <c r="AC135">
        <v>696.71605467574113</v>
      </c>
      <c r="AD135">
        <f t="shared" si="65"/>
        <v>1903.743564791582</v>
      </c>
      <c r="AE135">
        <f>+gettm2(AD135,AC135,AK135,AL135,テーブル2[[#This Row],[Fcorr]])</f>
        <v>583.77918421735399</v>
      </c>
      <c r="AF135" s="14">
        <f t="shared" si="66"/>
        <v>9.6716053121781442E-7</v>
      </c>
      <c r="AG135">
        <v>1.789304330498579E-5</v>
      </c>
      <c r="AH135">
        <f t="shared" si="67"/>
        <v>31.280756497544875</v>
      </c>
      <c r="AI135">
        <f t="shared" si="68"/>
        <v>0.22948072028404431</v>
      </c>
      <c r="AJ135">
        <f t="shared" si="69"/>
        <v>35.762484038219213</v>
      </c>
      <c r="AK135">
        <f t="array" ref="AK135">+S135*テーブル2[[#This Row],[F_form]]/(E135*CpFromTP((テーブル2[[#This Row],[Tin]]+テーブル2[[#This Row],[Tf]])/2,テーブル2[[#This Row],[P]])*AI135)</f>
        <v>4.6236939782341961</v>
      </c>
      <c r="AL135">
        <f t="shared" si="70"/>
        <v>1.3019406270656069</v>
      </c>
      <c r="AM135">
        <f t="shared" si="71"/>
        <v>617.97483340397457</v>
      </c>
      <c r="AN135">
        <f t="shared" si="72"/>
        <v>3.104594270553207E-8</v>
      </c>
      <c r="AO135">
        <f t="shared" si="73"/>
        <v>8.1688395895464531E-8</v>
      </c>
      <c r="AP135">
        <v>2.8492258973269848</v>
      </c>
      <c r="AQ135">
        <f t="shared" si="74"/>
        <v>4.1203032115004143E-5</v>
      </c>
      <c r="AR135">
        <f t="shared" si="75"/>
        <v>8.9873658504406275E-6</v>
      </c>
      <c r="AS135">
        <f t="shared" si="76"/>
        <v>17.962876537746947</v>
      </c>
      <c r="AT135">
        <f t="shared" si="77"/>
        <v>11.391536068104472</v>
      </c>
      <c r="AU135">
        <f t="shared" si="78"/>
        <v>2.6141379020502842</v>
      </c>
      <c r="AV135">
        <f t="shared" si="79"/>
        <v>0.23508799527670066</v>
      </c>
      <c r="AW135">
        <f t="shared" si="80"/>
        <v>1.2097760343810998E-2</v>
      </c>
      <c r="AX135">
        <f t="shared" si="81"/>
        <v>0.23508798649997814</v>
      </c>
      <c r="AY135">
        <f t="shared" si="82"/>
        <v>8.7767225154244954E-9</v>
      </c>
      <c r="AZ135">
        <f t="shared" si="83"/>
        <v>964852.16359160375</v>
      </c>
      <c r="BA135">
        <f t="shared" si="84"/>
        <v>1.4461132110886317E-5</v>
      </c>
      <c r="BB135" s="15">
        <f t="shared" si="85"/>
        <v>3237454.6097342651</v>
      </c>
      <c r="BC135" s="20">
        <f t="shared" si="86"/>
        <v>4474.7113905153237</v>
      </c>
      <c r="BD135" s="19">
        <f t="shared" si="87"/>
        <v>0.13840826516761551</v>
      </c>
      <c r="BE135" s="15">
        <v>3217681.8</v>
      </c>
      <c r="BF135" s="16">
        <f>テーブル2[[#This Row],[q_P]]/テーブル2[[#This Row],[q_M]]</f>
        <v>1.0061450481940959</v>
      </c>
      <c r="BG135">
        <v>1</v>
      </c>
      <c r="BH135">
        <v>-2.1999999999999999E-2</v>
      </c>
      <c r="BI135">
        <v>4.5999999999999999E-2</v>
      </c>
      <c r="BJ135">
        <v>5625</v>
      </c>
      <c r="BK135" s="22">
        <v>1</v>
      </c>
      <c r="BL135">
        <f>テーブル2[[#This Row],[Ts]]-テーブル2[[#This Row],[Tin]]</f>
        <v>89.925805571878527</v>
      </c>
      <c r="BM135">
        <f>テーブル2[[#This Row],[q_P]]*0.000001</f>
        <v>3.2374546097342649</v>
      </c>
      <c r="BN135">
        <f>テーブル2[[#This Row],[Tsub]]</f>
        <v>89.925805571878527</v>
      </c>
      <c r="BO135">
        <f>テーブル2[[#This Row],[Fcorr]]</f>
        <v>1</v>
      </c>
      <c r="BP135">
        <f>(テーブル2[[#This Row],[Tsub]]-40)^2</f>
        <v>2492.5860620010171</v>
      </c>
      <c r="BQ135">
        <v>1</v>
      </c>
      <c r="BR135">
        <v>0.15240000000000001</v>
      </c>
    </row>
    <row r="136" spans="1:70" x14ac:dyDescent="0.15">
      <c r="A136" s="9" t="s">
        <v>204</v>
      </c>
      <c r="B136">
        <v>15513203.909628799</v>
      </c>
      <c r="C136" s="22">
        <f t="array" ref="C136">TsatFromP(テーブル2[[#This Row],[P]])</f>
        <v>617.97483343502051</v>
      </c>
      <c r="D136">
        <f t="array" ref="D136">RhoGFromP(テーブル2[[#This Row],[P]])</f>
        <v>102.22394330033012</v>
      </c>
      <c r="E136">
        <f t="array" ref="E136">RhoFFromP(テーブル2[[#This Row],[P]])</f>
        <v>593.99780321429478</v>
      </c>
      <c r="F136">
        <f t="array" ref="F136">HgFromP(テーブル2[[#This Row],[P]])</f>
        <v>2595333.5493798093</v>
      </c>
      <c r="G136">
        <f t="array" ref="G136">HfFromP(テーブル2[[#This Row],[P]])</f>
        <v>1630481.3857882055</v>
      </c>
      <c r="H136">
        <f t="array" ref="H136">MuGFromP(テーブル2[[#This Row],[P]])</f>
        <v>2.3048203873610289E-5</v>
      </c>
      <c r="I136">
        <f t="array" ref="I136">MuFFromP(テーブル2[[#This Row],[P]])</f>
        <v>6.8200503236293109E-5</v>
      </c>
      <c r="J136">
        <f t="array" ref="J136">KfFromP(テーブル2[[#This Row],[P]])</f>
        <v>0.47171772328903144</v>
      </c>
      <c r="K136">
        <f t="array" ref="K136">CpFFromP(テーブル2[[#This Row],[P]])</f>
        <v>9005.0430614720299</v>
      </c>
      <c r="L136">
        <f t="array" ref="L136">SigmaFromP(テーブル2[[#This Row],[P]])</f>
        <v>4.6429387983550419E-3</v>
      </c>
      <c r="M136">
        <v>135</v>
      </c>
      <c r="N136">
        <v>2115.7188000000001</v>
      </c>
      <c r="O136" s="8">
        <f t="shared" si="58"/>
        <v>2.8502295699234246E-6</v>
      </c>
      <c r="P136" s="8">
        <f t="shared" si="59"/>
        <v>5.9847340050885557E-3</v>
      </c>
      <c r="Q136" s="8">
        <v>1.905E-3</v>
      </c>
      <c r="R136">
        <v>0.15240000000000001</v>
      </c>
      <c r="S136" s="15">
        <v>3742000.25390625</v>
      </c>
      <c r="T136">
        <v>514.67337606307899</v>
      </c>
      <c r="U136" s="12">
        <f>+T136+BG136*S136*テーブル2[[#This Row],[Pw]]*R136/(N136*O136*K136)</f>
        <v>577.52406634710485</v>
      </c>
      <c r="V136">
        <v>0.03</v>
      </c>
      <c r="W136" s="8">
        <f t="shared" si="60"/>
        <v>59096.987892241639</v>
      </c>
      <c r="X136">
        <v>3.4555174610075408E-2</v>
      </c>
      <c r="Y136">
        <f t="shared" si="61"/>
        <v>5.3795191032892387</v>
      </c>
      <c r="Z136">
        <f t="shared" si="62"/>
        <v>5.3795191594520224</v>
      </c>
      <c r="AA136">
        <f t="shared" si="63"/>
        <v>-5.6162783756974477E-8</v>
      </c>
      <c r="AB136">
        <f t="shared" si="64"/>
        <v>1.7116700383670199E-5</v>
      </c>
      <c r="AC136">
        <v>709.63670370418276</v>
      </c>
      <c r="AD136">
        <f t="shared" si="65"/>
        <v>1941.9896130098641</v>
      </c>
      <c r="AE136">
        <f>+gettm2(AD136,AC136,AK136,AL136,テーブル2[[#This Row],[Fcorr]])</f>
        <v>577.52406634710462</v>
      </c>
      <c r="AF136" s="14">
        <f t="shared" si="66"/>
        <v>0</v>
      </c>
      <c r="AG136">
        <v>1.7207445615557651E-5</v>
      </c>
      <c r="AH136">
        <f t="shared" si="67"/>
        <v>32.550237096756334</v>
      </c>
      <c r="AI136">
        <f t="shared" si="68"/>
        <v>0.23409096866805426</v>
      </c>
      <c r="AJ136">
        <f t="shared" si="69"/>
        <v>35.083129293275675</v>
      </c>
      <c r="AK136">
        <f t="array" ref="AK136">+S136*テーブル2[[#This Row],[F_form]]/(E136*CpFromTP((テーブル2[[#This Row],[Tin]]+テーブル2[[#This Row],[Tf]])/2,テーブル2[[#This Row],[P]])*AI136)</f>
        <v>5.3975929073325073</v>
      </c>
      <c r="AL136">
        <f t="shared" si="70"/>
        <v>1.3019406270656069</v>
      </c>
      <c r="AM136">
        <f t="shared" si="71"/>
        <v>617.97483341692134</v>
      </c>
      <c r="AN136">
        <f t="shared" si="72"/>
        <v>1.8099171938956715E-8</v>
      </c>
      <c r="AO136">
        <f t="shared" si="73"/>
        <v>9.0745231887451772E-8</v>
      </c>
      <c r="AP136">
        <v>2.8821073289421908</v>
      </c>
      <c r="AQ136">
        <f t="shared" si="74"/>
        <v>4.0268239538943363E-5</v>
      </c>
      <c r="AR136">
        <f t="shared" si="75"/>
        <v>8.6490954237225512E-6</v>
      </c>
      <c r="AS136">
        <f t="shared" si="76"/>
        <v>17.634071889554168</v>
      </c>
      <c r="AT136">
        <f t="shared" si="77"/>
        <v>11.299164667073647</v>
      </c>
      <c r="AU136">
        <f t="shared" si="78"/>
        <v>2.645032402055123</v>
      </c>
      <c r="AV136">
        <f t="shared" si="79"/>
        <v>0.23707492688706777</v>
      </c>
      <c r="AW136">
        <f t="shared" si="80"/>
        <v>1.1625939754463948E-2</v>
      </c>
      <c r="AX136">
        <f t="shared" si="81"/>
        <v>0.23707492618553155</v>
      </c>
      <c r="AY136">
        <f t="shared" si="82"/>
        <v>7.015362180062823E-10</v>
      </c>
      <c r="AZ136">
        <f t="shared" si="83"/>
        <v>964852.16359160375</v>
      </c>
      <c r="BA136">
        <f t="shared" si="84"/>
        <v>1.3971804288677502E-5</v>
      </c>
      <c r="BB136" s="15">
        <f t="shared" si="85"/>
        <v>3722347.6780566778</v>
      </c>
      <c r="BC136" s="20">
        <f t="shared" si="86"/>
        <v>-19652.575849572197</v>
      </c>
      <c r="BD136" s="19">
        <f t="shared" si="87"/>
        <v>-0.52518905708402874</v>
      </c>
      <c r="BE136" s="15">
        <v>3722416.2</v>
      </c>
      <c r="BF136" s="16">
        <f>テーブル2[[#This Row],[q_P]]/テーブル2[[#This Row],[q_M]]</f>
        <v>0.99998159207900439</v>
      </c>
      <c r="BG136">
        <v>1</v>
      </c>
      <c r="BH136">
        <v>-2.1999999999999999E-2</v>
      </c>
      <c r="BI136">
        <v>4.5999999999999999E-2</v>
      </c>
      <c r="BJ136">
        <v>5625</v>
      </c>
      <c r="BK136" s="22">
        <v>1</v>
      </c>
      <c r="BL136">
        <f>テーブル2[[#This Row],[Ts]]-テーブル2[[#This Row],[Tin]]</f>
        <v>103.30145737194152</v>
      </c>
      <c r="BM136">
        <f>テーブル2[[#This Row],[q_P]]*0.000001</f>
        <v>3.7223476780566775</v>
      </c>
      <c r="BN136">
        <f>テーブル2[[#This Row],[Tsub]]</f>
        <v>103.30145737194152</v>
      </c>
      <c r="BO136">
        <f>テーブル2[[#This Row],[Fcorr]]</f>
        <v>1</v>
      </c>
      <c r="BP136">
        <f>(テーブル2[[#This Row],[Tsub]]-40)^2</f>
        <v>4007.0745054117301</v>
      </c>
      <c r="BQ136">
        <v>1</v>
      </c>
      <c r="BR136">
        <v>0.15240000000000001</v>
      </c>
    </row>
    <row r="137" spans="1:70" x14ac:dyDescent="0.15">
      <c r="A137" s="9" t="s">
        <v>205</v>
      </c>
      <c r="B137">
        <v>15513203.909628799</v>
      </c>
      <c r="C137" s="22">
        <f t="array" ref="C137">TsatFromP(テーブル2[[#This Row],[P]])</f>
        <v>617.97483343502051</v>
      </c>
      <c r="D137">
        <f t="array" ref="D137">RhoGFromP(テーブル2[[#This Row],[P]])</f>
        <v>102.22394330033012</v>
      </c>
      <c r="E137">
        <f t="array" ref="E137">RhoFFromP(テーブル2[[#This Row],[P]])</f>
        <v>593.99780321429478</v>
      </c>
      <c r="F137">
        <f t="array" ref="F137">HgFromP(テーブル2[[#This Row],[P]])</f>
        <v>2595333.5493798093</v>
      </c>
      <c r="G137">
        <f t="array" ref="G137">HfFromP(テーブル2[[#This Row],[P]])</f>
        <v>1630481.3857882055</v>
      </c>
      <c r="H137">
        <f t="array" ref="H137">MuGFromP(テーブル2[[#This Row],[P]])</f>
        <v>2.3048203873610289E-5</v>
      </c>
      <c r="I137">
        <f t="array" ref="I137">MuFFromP(テーブル2[[#This Row],[P]])</f>
        <v>6.8200503236293109E-5</v>
      </c>
      <c r="J137">
        <f t="array" ref="J137">KfFromP(テーブル2[[#This Row],[P]])</f>
        <v>0.47171772328903144</v>
      </c>
      <c r="K137">
        <f t="array" ref="K137">CpFFromP(テーブル2[[#This Row],[P]])</f>
        <v>9005.0430614720299</v>
      </c>
      <c r="L137">
        <f t="array" ref="L137">SigmaFromP(テーブル2[[#This Row],[P]])</f>
        <v>4.6429387983550419E-3</v>
      </c>
      <c r="M137">
        <v>136</v>
      </c>
      <c r="N137">
        <v>2156.4056999999998</v>
      </c>
      <c r="O137" s="8">
        <f t="shared" si="58"/>
        <v>2.8502295699234246E-6</v>
      </c>
      <c r="P137" s="8">
        <f t="shared" si="59"/>
        <v>5.9847340050885557E-3</v>
      </c>
      <c r="Q137" s="8">
        <v>1.905E-3</v>
      </c>
      <c r="R137">
        <v>0.15240000000000001</v>
      </c>
      <c r="S137" s="15">
        <v>3829275.9610312502</v>
      </c>
      <c r="T137">
        <v>513.57370580890699</v>
      </c>
      <c r="U137" s="12">
        <f>+T137+BG137*S137*テーブル2[[#This Row],[Pw]]*R137/(N137*O137*K137)</f>
        <v>576.6767598595103</v>
      </c>
      <c r="V137">
        <v>0.03</v>
      </c>
      <c r="W137" s="8">
        <f t="shared" si="60"/>
        <v>60233.468428630891</v>
      </c>
      <c r="X137">
        <v>3.4249617312816838E-2</v>
      </c>
      <c r="Y137">
        <f t="shared" si="61"/>
        <v>5.4034624570516518</v>
      </c>
      <c r="Z137">
        <f t="shared" si="62"/>
        <v>5.4034625052942005</v>
      </c>
      <c r="AA137">
        <f t="shared" si="63"/>
        <v>-4.8242548622567938E-8</v>
      </c>
      <c r="AB137">
        <f t="shared" si="64"/>
        <v>1.6623878854372252E-5</v>
      </c>
      <c r="AC137">
        <v>710.45461029609339</v>
      </c>
      <c r="AD137">
        <f t="shared" si="65"/>
        <v>1970.5649071683551</v>
      </c>
      <c r="AE137">
        <f>+gettm2(AD137,AC137,AK137,AL137,テーブル2[[#This Row],[Fcorr]])</f>
        <v>576.67676096405637</v>
      </c>
      <c r="AF137" s="14">
        <f t="shared" si="66"/>
        <v>1.1045460723835276E-6</v>
      </c>
      <c r="AG137">
        <v>1.671485875793634E-5</v>
      </c>
      <c r="AH137">
        <f t="shared" si="67"/>
        <v>33.515201878174665</v>
      </c>
      <c r="AI137">
        <f t="shared" si="68"/>
        <v>0.23753548672557787</v>
      </c>
      <c r="AJ137">
        <f t="shared" si="69"/>
        <v>34.580277266839886</v>
      </c>
      <c r="AK137">
        <f t="array" ref="AK137">+S137*テーブル2[[#This Row],[F_form]]/(E137*CpFromTP((テーブル2[[#This Row],[Tin]]+テーブル2[[#This Row],[Tf]])/2,テーブル2[[#This Row],[P]])*AI137)</f>
        <v>5.4573547130679234</v>
      </c>
      <c r="AL137">
        <f t="shared" si="70"/>
        <v>1.3019406270656069</v>
      </c>
      <c r="AM137">
        <f t="shared" si="71"/>
        <v>617.97483340140627</v>
      </c>
      <c r="AN137">
        <f t="shared" si="72"/>
        <v>3.3614242056501098E-8</v>
      </c>
      <c r="AO137">
        <f t="shared" si="73"/>
        <v>9.097990356408763E-8</v>
      </c>
      <c r="AP137">
        <v>2.9056228638069861</v>
      </c>
      <c r="AQ137">
        <f t="shared" si="74"/>
        <v>3.9619086202504324E-5</v>
      </c>
      <c r="AR137">
        <f t="shared" si="75"/>
        <v>8.4029193307502138E-6</v>
      </c>
      <c r="AS137">
        <f t="shared" si="76"/>
        <v>17.384249817262965</v>
      </c>
      <c r="AT137">
        <f t="shared" si="77"/>
        <v>11.227823066895578</v>
      </c>
      <c r="AU137">
        <f t="shared" si="78"/>
        <v>2.6670064170637113</v>
      </c>
      <c r="AV137">
        <f t="shared" si="79"/>
        <v>0.23861644674327476</v>
      </c>
      <c r="AW137">
        <f t="shared" si="80"/>
        <v>1.1291207400628578E-2</v>
      </c>
      <c r="AX137">
        <f t="shared" si="81"/>
        <v>0.2386164450690455</v>
      </c>
      <c r="AY137">
        <f t="shared" si="82"/>
        <v>1.6742292552329729E-9</v>
      </c>
      <c r="AZ137">
        <f t="shared" si="83"/>
        <v>964852.16359160375</v>
      </c>
      <c r="BA137">
        <f t="shared" si="84"/>
        <v>1.3635316095563367E-5</v>
      </c>
      <c r="BB137" s="15">
        <f t="shared" si="85"/>
        <v>3824070.3723689271</v>
      </c>
      <c r="BC137" s="20">
        <f t="shared" si="86"/>
        <v>-5205.5886623230763</v>
      </c>
      <c r="BD137" s="19">
        <f t="shared" si="87"/>
        <v>-0.13594185207067647</v>
      </c>
      <c r="BE137" s="15">
        <v>3785508</v>
      </c>
      <c r="BF137" s="16">
        <f>テーブル2[[#This Row],[q_P]]/テーブル2[[#This Row],[q_M]]</f>
        <v>1.0101868421276423</v>
      </c>
      <c r="BG137">
        <v>1</v>
      </c>
      <c r="BH137">
        <v>-2.8000000000000001E-2</v>
      </c>
      <c r="BI137">
        <v>4.5999999999999999E-2</v>
      </c>
      <c r="BJ137">
        <v>5625</v>
      </c>
      <c r="BK137" s="22">
        <v>1</v>
      </c>
      <c r="BL137">
        <f>テーブル2[[#This Row],[Ts]]-テーブル2[[#This Row],[Tin]]</f>
        <v>104.40112762611352</v>
      </c>
      <c r="BM137">
        <f>テーブル2[[#This Row],[q_P]]*0.000001</f>
        <v>3.8240703723689271</v>
      </c>
      <c r="BN137">
        <f>テーブル2[[#This Row],[Tsub]]</f>
        <v>104.40112762611352</v>
      </c>
      <c r="BO137">
        <f>テーブル2[[#This Row],[Fcorr]]</f>
        <v>1</v>
      </c>
      <c r="BP137">
        <f>(テーブル2[[#This Row],[Tsub]]-40)^2</f>
        <v>4147.5052395149623</v>
      </c>
      <c r="BQ137">
        <v>1</v>
      </c>
      <c r="BR137">
        <v>0.15240000000000001</v>
      </c>
    </row>
    <row r="138" spans="1:70" x14ac:dyDescent="0.15">
      <c r="A138" s="9" t="s">
        <v>206</v>
      </c>
      <c r="B138">
        <v>15513203.909628799</v>
      </c>
      <c r="C138" s="22">
        <f t="array" ref="C138">TsatFromP(テーブル2[[#This Row],[P]])</f>
        <v>617.97483343502051</v>
      </c>
      <c r="D138">
        <f t="array" ref="D138">RhoGFromP(テーブル2[[#This Row],[P]])</f>
        <v>102.22394330033012</v>
      </c>
      <c r="E138">
        <f t="array" ref="E138">RhoFFromP(テーブル2[[#This Row],[P]])</f>
        <v>593.99780321429478</v>
      </c>
      <c r="F138">
        <f t="array" ref="F138">HgFromP(テーブル2[[#This Row],[P]])</f>
        <v>2595333.5493798093</v>
      </c>
      <c r="G138">
        <f t="array" ref="G138">HfFromP(テーブル2[[#This Row],[P]])</f>
        <v>1630481.3857882055</v>
      </c>
      <c r="H138">
        <f t="array" ref="H138">MuGFromP(テーブル2[[#This Row],[P]])</f>
        <v>2.3048203873610289E-5</v>
      </c>
      <c r="I138">
        <f t="array" ref="I138">MuFFromP(テーブル2[[#This Row],[P]])</f>
        <v>6.8200503236293109E-5</v>
      </c>
      <c r="J138">
        <f t="array" ref="J138">KfFromP(テーブル2[[#This Row],[P]])</f>
        <v>0.47171772328903144</v>
      </c>
      <c r="K138">
        <f t="array" ref="K138">CpFFromP(テーブル2[[#This Row],[P]])</f>
        <v>9005.0430614720299</v>
      </c>
      <c r="L138">
        <f t="array" ref="L138">SigmaFromP(テーブル2[[#This Row],[P]])</f>
        <v>4.6429387983550419E-3</v>
      </c>
      <c r="M138">
        <v>137</v>
      </c>
      <c r="N138">
        <v>2251.3418000000001</v>
      </c>
      <c r="O138" s="8">
        <f t="shared" si="58"/>
        <v>2.8502295699234246E-6</v>
      </c>
      <c r="P138" s="8">
        <f t="shared" si="59"/>
        <v>5.9847340050885557E-3</v>
      </c>
      <c r="Q138" s="8">
        <v>1.905E-3</v>
      </c>
      <c r="R138">
        <v>0.15240000000000001</v>
      </c>
      <c r="S138" s="15">
        <v>5268560.4820312494</v>
      </c>
      <c r="T138">
        <v>475.20630857768703</v>
      </c>
      <c r="U138" s="12">
        <f>+T138+BG138*S138*テーブル2[[#This Row],[Pw]]*R138/(N138*O138*K138)</f>
        <v>558.36635432724984</v>
      </c>
      <c r="V138">
        <v>0.03</v>
      </c>
      <c r="W138" s="8">
        <f t="shared" si="60"/>
        <v>62885.256346872506</v>
      </c>
      <c r="X138">
        <v>3.357281400257757E-2</v>
      </c>
      <c r="Y138">
        <f t="shared" si="61"/>
        <v>5.4576556165522208</v>
      </c>
      <c r="Z138">
        <f t="shared" si="62"/>
        <v>5.4576556280147015</v>
      </c>
      <c r="AA138">
        <f t="shared" si="63"/>
        <v>-1.1462480742352454E-8</v>
      </c>
      <c r="AB138">
        <f t="shared" si="64"/>
        <v>1.5558883062568597E-5</v>
      </c>
      <c r="AC138">
        <v>748.0677459354248</v>
      </c>
      <c r="AD138">
        <f t="shared" si="65"/>
        <v>2036.8906689837515</v>
      </c>
      <c r="AE138">
        <f>+gettm2(AD138,AC138,AK138,AL138,テーブル2[[#This Row],[Fcorr]])</f>
        <v>558.36635580792722</v>
      </c>
      <c r="AF138" s="14">
        <f t="shared" si="66"/>
        <v>1.4806773833697662E-6</v>
      </c>
      <c r="AG138">
        <v>1.567645819645786E-5</v>
      </c>
      <c r="AH138">
        <f t="shared" si="67"/>
        <v>35.809296436130261</v>
      </c>
      <c r="AI138">
        <f t="shared" si="68"/>
        <v>0.24553051498268005</v>
      </c>
      <c r="AJ138">
        <f t="shared" si="69"/>
        <v>33.523602543914819</v>
      </c>
      <c r="AK138">
        <f t="array" ref="AK138">+S138*テーブル2[[#This Row],[F_form]]/(E138*CpFromTP((テーブル2[[#This Row],[Tin]]+テーブル2[[#This Row],[Tf]])/2,テーブル2[[#This Row],[P]])*AI138)</f>
        <v>7.7122654177971119</v>
      </c>
      <c r="AL138">
        <f t="shared" si="70"/>
        <v>1.3019406270656069</v>
      </c>
      <c r="AM138">
        <f t="shared" si="71"/>
        <v>617.97483337116626</v>
      </c>
      <c r="AN138">
        <f t="shared" si="72"/>
        <v>6.3854258769424632E-8</v>
      </c>
      <c r="AO138">
        <f t="shared" si="73"/>
        <v>1.1757513388926331E-7</v>
      </c>
      <c r="AP138">
        <v>2.9630510890262389</v>
      </c>
      <c r="AQ138">
        <f t="shared" si="74"/>
        <v>3.8098218097777583E-5</v>
      </c>
      <c r="AR138">
        <f t="shared" si="75"/>
        <v>7.8970166651735619E-6</v>
      </c>
      <c r="AS138">
        <f t="shared" si="76"/>
        <v>16.887516596431716</v>
      </c>
      <c r="AT138">
        <f t="shared" si="77"/>
        <v>11.082873430250554</v>
      </c>
      <c r="AU138">
        <f t="shared" si="78"/>
        <v>2.7211836208172806</v>
      </c>
      <c r="AV138">
        <f t="shared" si="79"/>
        <v>0.24186746820895832</v>
      </c>
      <c r="AW138">
        <f t="shared" si="80"/>
        <v>1.0567845033073247E-2</v>
      </c>
      <c r="AX138">
        <f t="shared" si="81"/>
        <v>0.24186746350075236</v>
      </c>
      <c r="AY138">
        <f t="shared" si="82"/>
        <v>4.7082059639880214E-9</v>
      </c>
      <c r="AZ138">
        <f t="shared" si="83"/>
        <v>964852.16359160375</v>
      </c>
      <c r="BA138">
        <f t="shared" si="84"/>
        <v>1.2857766185293139E-5</v>
      </c>
      <c r="BB138" s="15">
        <f t="shared" si="85"/>
        <v>5240775.6896851519</v>
      </c>
      <c r="BC138" s="20">
        <f t="shared" si="86"/>
        <v>-27784.792346097529</v>
      </c>
      <c r="BD138" s="19">
        <f t="shared" si="87"/>
        <v>-0.52736971400175203</v>
      </c>
      <c r="BE138" s="15">
        <v>4889614.5</v>
      </c>
      <c r="BF138" s="16">
        <f>テーブル2[[#This Row],[q_P]]/テーブル2[[#This Row],[q_M]]</f>
        <v>1.0718177659374071</v>
      </c>
      <c r="BG138">
        <v>1</v>
      </c>
      <c r="BH138">
        <v>-7.0999999999999994E-2</v>
      </c>
      <c r="BI138">
        <v>4.5999999999999999E-2</v>
      </c>
      <c r="BJ138">
        <v>5625</v>
      </c>
      <c r="BK138" s="22">
        <v>1</v>
      </c>
      <c r="BL138">
        <f>テーブル2[[#This Row],[Ts]]-テーブル2[[#This Row],[Tin]]</f>
        <v>142.76852485733349</v>
      </c>
      <c r="BM138">
        <f>テーブル2[[#This Row],[q_P]]*0.000001</f>
        <v>5.2407756896851518</v>
      </c>
      <c r="BN138">
        <f>テーブル2[[#This Row],[Tsub]]</f>
        <v>142.76852485733349</v>
      </c>
      <c r="BO138">
        <f>テーブル2[[#This Row],[Fcorr]]</f>
        <v>1</v>
      </c>
      <c r="BP138">
        <f>(テーブル2[[#This Row],[Tsub]]-40)^2</f>
        <v>10561.369701352371</v>
      </c>
      <c r="BQ138">
        <v>1</v>
      </c>
      <c r="BR138">
        <v>0.15240000000000001</v>
      </c>
    </row>
    <row r="139" spans="1:70" x14ac:dyDescent="0.15">
      <c r="A139" s="9" t="s">
        <v>207</v>
      </c>
      <c r="B139">
        <v>15513203.909628799</v>
      </c>
      <c r="C139" s="22">
        <f t="array" ref="C139">TsatFromP(テーブル2[[#This Row],[P]])</f>
        <v>617.97483343502051</v>
      </c>
      <c r="D139">
        <f t="array" ref="D139">RhoGFromP(テーブル2[[#This Row],[P]])</f>
        <v>102.22394330033012</v>
      </c>
      <c r="E139">
        <f t="array" ref="E139">RhoFFromP(テーブル2[[#This Row],[P]])</f>
        <v>593.99780321429478</v>
      </c>
      <c r="F139">
        <f t="array" ref="F139">HgFromP(テーブル2[[#This Row],[P]])</f>
        <v>2595333.5493798093</v>
      </c>
      <c r="G139">
        <f t="array" ref="G139">HfFromP(テーブル2[[#This Row],[P]])</f>
        <v>1630481.3857882055</v>
      </c>
      <c r="H139">
        <f t="array" ref="H139">MuGFromP(テーブル2[[#This Row],[P]])</f>
        <v>2.3048203873610289E-5</v>
      </c>
      <c r="I139">
        <f t="array" ref="I139">MuFFromP(テーブル2[[#This Row],[P]])</f>
        <v>6.8200503236293109E-5</v>
      </c>
      <c r="J139">
        <f t="array" ref="J139">KfFromP(テーブル2[[#This Row],[P]])</f>
        <v>0.47171772328903144</v>
      </c>
      <c r="K139">
        <f t="array" ref="K139">CpFFromP(テーブル2[[#This Row],[P]])</f>
        <v>9005.0430614720299</v>
      </c>
      <c r="L139">
        <f t="array" ref="L139">SigmaFromP(テーブル2[[#This Row],[P]])</f>
        <v>4.6429387983550419E-3</v>
      </c>
      <c r="M139">
        <v>138</v>
      </c>
      <c r="N139">
        <v>2264.9041000000002</v>
      </c>
      <c r="O139" s="8">
        <f t="shared" si="58"/>
        <v>2.8502295699234246E-6</v>
      </c>
      <c r="P139" s="8">
        <f t="shared" si="59"/>
        <v>5.9847340050885557E-3</v>
      </c>
      <c r="Q139" s="8">
        <v>1.905E-3</v>
      </c>
      <c r="R139">
        <v>0.15240000000000001</v>
      </c>
      <c r="S139" s="15">
        <v>5384189.74609375</v>
      </c>
      <c r="T139">
        <v>472.471300672398</v>
      </c>
      <c r="U139" s="12">
        <f>+T139+BG139*S139*テーブル2[[#This Row],[Pw]]*R139/(N139*O139*K139)</f>
        <v>556.94756939946467</v>
      </c>
      <c r="V139">
        <v>0.03</v>
      </c>
      <c r="W139" s="8">
        <f t="shared" si="60"/>
        <v>63264.083192335595</v>
      </c>
      <c r="X139">
        <v>3.348001219959474E-2</v>
      </c>
      <c r="Y139">
        <f t="shared" si="61"/>
        <v>5.4652143024798709</v>
      </c>
      <c r="Z139">
        <f t="shared" si="62"/>
        <v>5.4652143120479932</v>
      </c>
      <c r="AA139">
        <f t="shared" si="63"/>
        <v>-9.5681222944676847E-9</v>
      </c>
      <c r="AB139">
        <f t="shared" si="64"/>
        <v>1.5415719072528481E-5</v>
      </c>
      <c r="AC139">
        <v>750.68728547593764</v>
      </c>
      <c r="AD139">
        <f t="shared" si="65"/>
        <v>2046.3269944671649</v>
      </c>
      <c r="AE139">
        <f>+gettm2(AD139,AC139,AK139,AL139,テーブル2[[#This Row],[Fcorr]])</f>
        <v>556.94756939946478</v>
      </c>
      <c r="AF139" s="14">
        <f t="shared" si="66"/>
        <v>0</v>
      </c>
      <c r="AG139">
        <v>1.5535727609215432E-5</v>
      </c>
      <c r="AH139">
        <f t="shared" si="67"/>
        <v>36.141853207190096</v>
      </c>
      <c r="AI139">
        <f t="shared" si="68"/>
        <v>0.24666798686114988</v>
      </c>
      <c r="AJ139">
        <f t="shared" si="69"/>
        <v>33.37656565399093</v>
      </c>
      <c r="AK139">
        <f t="array" ref="AK139">+S139*テーブル2[[#This Row],[F_form]]/(E139*CpFromTP((テーブル2[[#This Row],[Tin]]+テーブル2[[#This Row],[Tf]])/2,テーブル2[[#This Row],[P]])*AI139)</f>
        <v>7.8726877878269486</v>
      </c>
      <c r="AL139">
        <f t="shared" si="70"/>
        <v>1.3019406270656069</v>
      </c>
      <c r="AM139">
        <f t="shared" si="71"/>
        <v>617.97483332881131</v>
      </c>
      <c r="AN139">
        <f t="shared" si="72"/>
        <v>1.0620919965731446E-7</v>
      </c>
      <c r="AO139">
        <f t="shared" si="73"/>
        <v>1.2000853668695067E-7</v>
      </c>
      <c r="AP139">
        <v>2.970982804204839</v>
      </c>
      <c r="AQ139">
        <f t="shared" si="74"/>
        <v>3.78950659021151E-5</v>
      </c>
      <c r="AR139">
        <f t="shared" si="75"/>
        <v>7.8278680729511912E-6</v>
      </c>
      <c r="AS139">
        <f t="shared" si="76"/>
        <v>16.817194484837469</v>
      </c>
      <c r="AT139">
        <f t="shared" si="77"/>
        <v>11.062009221248552</v>
      </c>
      <c r="AU139">
        <f t="shared" si="78"/>
        <v>2.7286435452448567</v>
      </c>
      <c r="AV139">
        <f t="shared" si="79"/>
        <v>0.24233925895998221</v>
      </c>
      <c r="AW139">
        <f t="shared" si="80"/>
        <v>1.0470605735433675E-2</v>
      </c>
      <c r="AX139">
        <f t="shared" si="81"/>
        <v>0.2423392538112342</v>
      </c>
      <c r="AY139">
        <f t="shared" si="82"/>
        <v>5.1487480112744066E-9</v>
      </c>
      <c r="AZ139">
        <f t="shared" si="83"/>
        <v>964852.16359160375</v>
      </c>
      <c r="BA139">
        <f t="shared" si="84"/>
        <v>1.2755060664936237E-5</v>
      </c>
      <c r="BB139" s="15">
        <f t="shared" si="85"/>
        <v>5392314.6447791234</v>
      </c>
      <c r="BC139" s="20">
        <f t="shared" si="86"/>
        <v>8124.8986853733659</v>
      </c>
      <c r="BD139" s="19">
        <f t="shared" si="87"/>
        <v>0.150902904030602</v>
      </c>
      <c r="BE139" s="15">
        <v>5015798.0999999996</v>
      </c>
      <c r="BF139" s="16">
        <f>テーブル2[[#This Row],[q_P]]/テーブル2[[#This Row],[q_M]]</f>
        <v>1.0750661285148466</v>
      </c>
      <c r="BG139">
        <v>1</v>
      </c>
      <c r="BH139">
        <v>-6.9000000000000006E-2</v>
      </c>
      <c r="BI139">
        <v>4.5999999999999999E-2</v>
      </c>
      <c r="BJ139">
        <v>5625</v>
      </c>
      <c r="BK139" s="22">
        <v>1</v>
      </c>
      <c r="BL139">
        <f>テーブル2[[#This Row],[Ts]]-テーブル2[[#This Row],[Tin]]</f>
        <v>145.50353276262251</v>
      </c>
      <c r="BM139">
        <f>テーブル2[[#This Row],[q_P]]*0.000001</f>
        <v>5.3923146447791233</v>
      </c>
      <c r="BN139">
        <f>テーブル2[[#This Row],[Tsub]]</f>
        <v>145.50353276262251</v>
      </c>
      <c r="BO139">
        <f>テーブル2[[#This Row],[Fcorr]]</f>
        <v>1</v>
      </c>
      <c r="BP139">
        <f>(テーブル2[[#This Row],[Tsub]]-40)^2</f>
        <v>11130.995425393761</v>
      </c>
      <c r="BQ139">
        <v>1</v>
      </c>
      <c r="BR139">
        <v>0.15240000000000001</v>
      </c>
    </row>
    <row r="140" spans="1:70" x14ac:dyDescent="0.15">
      <c r="A140" s="9" t="s">
        <v>208</v>
      </c>
      <c r="B140">
        <v>15513203.909628799</v>
      </c>
      <c r="C140" s="22">
        <f t="array" ref="C140">TsatFromP(テーブル2[[#This Row],[P]])</f>
        <v>617.97483343502051</v>
      </c>
      <c r="D140">
        <f t="array" ref="D140">RhoGFromP(テーブル2[[#This Row],[P]])</f>
        <v>102.22394330033012</v>
      </c>
      <c r="E140">
        <f t="array" ref="E140">RhoFFromP(テーブル2[[#This Row],[P]])</f>
        <v>593.99780321429478</v>
      </c>
      <c r="F140">
        <f t="array" ref="F140">HgFromP(テーブル2[[#This Row],[P]])</f>
        <v>2595333.5493798093</v>
      </c>
      <c r="G140">
        <f t="array" ref="G140">HfFromP(テーブル2[[#This Row],[P]])</f>
        <v>1630481.3857882055</v>
      </c>
      <c r="H140">
        <f t="array" ref="H140">MuGFromP(テーブル2[[#This Row],[P]])</f>
        <v>2.3048203873610289E-5</v>
      </c>
      <c r="I140">
        <f t="array" ref="I140">MuFFromP(テーブル2[[#This Row],[P]])</f>
        <v>6.8200503236293109E-5</v>
      </c>
      <c r="J140">
        <f t="array" ref="J140">KfFromP(テーブル2[[#This Row],[P]])</f>
        <v>0.47171772328903144</v>
      </c>
      <c r="K140">
        <f t="array" ref="K140">CpFFromP(テーブル2[[#This Row],[P]])</f>
        <v>9005.0430614720299</v>
      </c>
      <c r="L140">
        <f t="array" ref="L140">SigmaFromP(テーブル2[[#This Row],[P]])</f>
        <v>4.6429387983550419E-3</v>
      </c>
      <c r="M140">
        <v>139</v>
      </c>
      <c r="N140">
        <v>2305.5909999999999</v>
      </c>
      <c r="O140" s="8">
        <f t="shared" si="58"/>
        <v>2.8502295699234246E-6</v>
      </c>
      <c r="P140" s="8">
        <f t="shared" si="59"/>
        <v>5.9847340050885557E-3</v>
      </c>
      <c r="Q140" s="8">
        <v>1.905E-3</v>
      </c>
      <c r="R140">
        <v>0.15240000000000001</v>
      </c>
      <c r="S140" s="15">
        <v>4587694.82421875</v>
      </c>
      <c r="T140">
        <v>497.21408100250602</v>
      </c>
      <c r="U140" s="12">
        <f>+T140+BG140*S140*テーブル2[[#This Row],[Pw]]*R140/(N140*O140*K140)</f>
        <v>567.92336456300825</v>
      </c>
      <c r="V140">
        <v>0.03</v>
      </c>
      <c r="W140" s="8">
        <f t="shared" si="60"/>
        <v>64400.563728724846</v>
      </c>
      <c r="X140">
        <v>3.3207089835678563E-2</v>
      </c>
      <c r="Y140">
        <f t="shared" si="61"/>
        <v>5.4876270913902703</v>
      </c>
      <c r="Z140">
        <f t="shared" si="62"/>
        <v>5.4876271449188492</v>
      </c>
      <c r="AA140">
        <f t="shared" si="63"/>
        <v>-5.3528578902728441E-8</v>
      </c>
      <c r="AB140">
        <f t="shared" si="64"/>
        <v>1.4998702032369333E-5</v>
      </c>
      <c r="AC140">
        <v>725.58266289322194</v>
      </c>
      <c r="AD140">
        <f t="shared" si="65"/>
        <v>2074.5795298419616</v>
      </c>
      <c r="AE140">
        <f>+gettm2(AD140,AC140,AK140,AL140,テーブル2[[#This Row],[Fcorr]])</f>
        <v>567.92336456300836</v>
      </c>
      <c r="AF140" s="14">
        <f t="shared" si="66"/>
        <v>0</v>
      </c>
      <c r="AG140">
        <v>1.5098848155741961E-5</v>
      </c>
      <c r="AH140">
        <f t="shared" si="67"/>
        <v>37.146724736593228</v>
      </c>
      <c r="AI140">
        <f t="shared" si="68"/>
        <v>0.25007359898641984</v>
      </c>
      <c r="AJ140">
        <f t="shared" si="69"/>
        <v>32.885838643668585</v>
      </c>
      <c r="AK140">
        <f t="array" ref="AK140">+S140*テーブル2[[#This Row],[F_form]]/(E140*CpFromTP((テーブル2[[#This Row],[Tin]]+テーブル2[[#This Row],[Tf]])/2,テーブル2[[#This Row],[P]])*AI140)</f>
        <v>6.3974996595080222</v>
      </c>
      <c r="AL140">
        <f t="shared" si="70"/>
        <v>1.3019406270656069</v>
      </c>
      <c r="AM140">
        <f t="shared" si="71"/>
        <v>617.97483339387452</v>
      </c>
      <c r="AN140">
        <f t="shared" si="72"/>
        <v>4.114599505555816E-8</v>
      </c>
      <c r="AO140">
        <f t="shared" si="73"/>
        <v>1.0014612337262739E-7</v>
      </c>
      <c r="AP140">
        <v>2.9905204849496538</v>
      </c>
      <c r="AQ140">
        <f t="shared" si="74"/>
        <v>3.740153096682221E-5</v>
      </c>
      <c r="AR140">
        <f t="shared" si="75"/>
        <v>7.599497139557294E-6</v>
      </c>
      <c r="AS140">
        <f t="shared" si="76"/>
        <v>16.551980265425829</v>
      </c>
      <c r="AT140">
        <f t="shared" si="77"/>
        <v>10.982528740826066</v>
      </c>
      <c r="AU140">
        <f t="shared" si="78"/>
        <v>2.7464404881901681</v>
      </c>
      <c r="AV140">
        <f t="shared" si="79"/>
        <v>0.24407999675948577</v>
      </c>
      <c r="AW140">
        <f t="shared" si="80"/>
        <v>1.0187361016720221E-2</v>
      </c>
      <c r="AX140">
        <f t="shared" si="81"/>
        <v>0.24407999053290896</v>
      </c>
      <c r="AY140">
        <f t="shared" si="82"/>
        <v>6.2265768097091723E-9</v>
      </c>
      <c r="AZ140">
        <f t="shared" si="83"/>
        <v>964852.16359160375</v>
      </c>
      <c r="BA140">
        <f t="shared" si="84"/>
        <v>1.2506696126996059E-5</v>
      </c>
      <c r="BB140" s="15">
        <f t="shared" si="85"/>
        <v>4589201.8334892411</v>
      </c>
      <c r="BC140" s="20">
        <f t="shared" si="86"/>
        <v>1507.0092704910785</v>
      </c>
      <c r="BD140" s="19">
        <f t="shared" si="87"/>
        <v>3.2848943276162904E-2</v>
      </c>
      <c r="BE140" s="15">
        <v>4416426</v>
      </c>
      <c r="BF140" s="16">
        <f>テーブル2[[#This Row],[q_P]]/テーブル2[[#This Row],[q_M]]</f>
        <v>1.039121188374772</v>
      </c>
      <c r="BG140">
        <v>1</v>
      </c>
      <c r="BH140">
        <v>-5.2999999999999999E-2</v>
      </c>
      <c r="BI140">
        <v>4.5999999999999999E-2</v>
      </c>
      <c r="BJ140">
        <v>5625</v>
      </c>
      <c r="BK140" s="22">
        <v>1</v>
      </c>
      <c r="BL140">
        <f>テーブル2[[#This Row],[Ts]]-テーブル2[[#This Row],[Tin]]</f>
        <v>120.76075243251449</v>
      </c>
      <c r="BM140">
        <f>テーブル2[[#This Row],[q_P]]*0.000001</f>
        <v>4.5892018334892413</v>
      </c>
      <c r="BN140">
        <f>テーブル2[[#This Row],[Tsub]]</f>
        <v>120.76075243251449</v>
      </c>
      <c r="BO140">
        <f>テーブル2[[#This Row],[Fcorr]]</f>
        <v>1</v>
      </c>
      <c r="BP140">
        <f>(テーブル2[[#This Row],[Tsub]]-40)^2</f>
        <v>6522.2991334658955</v>
      </c>
      <c r="BQ140">
        <v>1</v>
      </c>
      <c r="BR140">
        <v>0.15240000000000001</v>
      </c>
    </row>
    <row r="141" spans="1:70" x14ac:dyDescent="0.15">
      <c r="A141" s="9" t="s">
        <v>209</v>
      </c>
      <c r="B141">
        <v>15513203.909628799</v>
      </c>
      <c r="C141" s="22">
        <f t="array" ref="C141">TsatFromP(テーブル2[[#This Row],[P]])</f>
        <v>617.97483343502051</v>
      </c>
      <c r="D141">
        <f t="array" ref="D141">RhoGFromP(テーブル2[[#This Row],[P]])</f>
        <v>102.22394330033012</v>
      </c>
      <c r="E141">
        <f t="array" ref="E141">RhoFFromP(テーブル2[[#This Row],[P]])</f>
        <v>593.99780321429478</v>
      </c>
      <c r="F141">
        <f t="array" ref="F141">HgFromP(テーブル2[[#This Row],[P]])</f>
        <v>2595333.5493798093</v>
      </c>
      <c r="G141">
        <f t="array" ref="G141">HfFromP(テーブル2[[#This Row],[P]])</f>
        <v>1630481.3857882055</v>
      </c>
      <c r="H141">
        <f t="array" ref="H141">MuGFromP(テーブル2[[#This Row],[P]])</f>
        <v>2.3048203873610289E-5</v>
      </c>
      <c r="I141">
        <f t="array" ref="I141">MuFFromP(テーブル2[[#This Row],[P]])</f>
        <v>6.8200503236293109E-5</v>
      </c>
      <c r="J141">
        <f t="array" ref="J141">KfFromP(テーブル2[[#This Row],[P]])</f>
        <v>0.47171772328903144</v>
      </c>
      <c r="K141">
        <f t="array" ref="K141">CpFFromP(テーブル2[[#This Row],[P]])</f>
        <v>9005.0430614720299</v>
      </c>
      <c r="L141">
        <f t="array" ref="L141">SigmaFromP(テーブル2[[#This Row],[P]])</f>
        <v>4.6429387983550419E-3</v>
      </c>
      <c r="M141">
        <v>140</v>
      </c>
      <c r="N141">
        <v>2319.1532999999999</v>
      </c>
      <c r="O141" s="8">
        <f t="shared" si="58"/>
        <v>2.8502295699234246E-6</v>
      </c>
      <c r="P141" s="8">
        <f t="shared" si="59"/>
        <v>5.9847340050885557E-3</v>
      </c>
      <c r="Q141" s="8">
        <v>1.905E-3</v>
      </c>
      <c r="R141">
        <v>0.15240000000000001</v>
      </c>
      <c r="S141" s="15">
        <v>3976631.40234375</v>
      </c>
      <c r="T141">
        <v>515.02285575524695</v>
      </c>
      <c r="U141" s="12">
        <f>+T141+BG141*S141*テーブル2[[#This Row],[Pw]]*R141/(N141*O141*K141)</f>
        <v>575.95550556044316</v>
      </c>
      <c r="V141">
        <v>0.03</v>
      </c>
      <c r="W141" s="8">
        <f t="shared" si="60"/>
        <v>64779.390574187935</v>
      </c>
      <c r="X141">
        <v>3.3117894312529747E-2</v>
      </c>
      <c r="Y141">
        <f t="shared" si="61"/>
        <v>5.4950119606918042</v>
      </c>
      <c r="Z141">
        <f t="shared" si="62"/>
        <v>5.4950120000108633</v>
      </c>
      <c r="AA141">
        <f t="shared" si="63"/>
        <v>-3.9319059119691246E-8</v>
      </c>
      <c r="AB141">
        <f t="shared" si="64"/>
        <v>1.4863716064969792E-5</v>
      </c>
      <c r="AC141">
        <v>707.95557526356708</v>
      </c>
      <c r="AD141">
        <f t="shared" si="65"/>
        <v>2083.9784646425678</v>
      </c>
      <c r="AE141">
        <f>+gettm2(AD141,AC141,AK141,AL141,テーブル2[[#This Row],[Fcorr]])</f>
        <v>575.9555066399987</v>
      </c>
      <c r="AF141" s="14">
        <f t="shared" si="66"/>
        <v>1.0795555454023997E-6</v>
      </c>
      <c r="AG141">
        <v>1.4950249454311011E-5</v>
      </c>
      <c r="AH141">
        <f t="shared" si="67"/>
        <v>37.484075541222154</v>
      </c>
      <c r="AI141">
        <f t="shared" si="68"/>
        <v>0.25120656372381184</v>
      </c>
      <c r="AJ141">
        <f t="shared" si="69"/>
        <v>32.709709085373696</v>
      </c>
      <c r="AK141">
        <f t="array" ref="AK141">+S141*テーブル2[[#This Row],[F_form]]/(E141*CpFromTP((テーブル2[[#This Row],[Tin]]+テーブル2[[#This Row],[Tf]])/2,テーブル2[[#This Row],[P]])*AI141)</f>
        <v>5.3538074604389854</v>
      </c>
      <c r="AL141">
        <f t="shared" si="70"/>
        <v>1.3019406270656069</v>
      </c>
      <c r="AM141">
        <f t="shared" si="71"/>
        <v>617.97483339716996</v>
      </c>
      <c r="AN141">
        <f t="shared" si="72"/>
        <v>3.7850554690521676E-8</v>
      </c>
      <c r="AO141">
        <f t="shared" si="73"/>
        <v>8.6533389341218573E-8</v>
      </c>
      <c r="AP141">
        <v>2.995834749079509</v>
      </c>
      <c r="AQ141">
        <f t="shared" si="74"/>
        <v>3.7268956682189688E-5</v>
      </c>
      <c r="AR141">
        <f t="shared" si="75"/>
        <v>7.5183914218261146E-6</v>
      </c>
      <c r="AS141">
        <f t="shared" si="76"/>
        <v>16.449517912691903</v>
      </c>
      <c r="AT141">
        <f t="shared" si="77"/>
        <v>10.95148085281304</v>
      </c>
      <c r="AU141">
        <f t="shared" si="78"/>
        <v>2.7510838727222842</v>
      </c>
      <c r="AV141">
        <f t="shared" si="79"/>
        <v>0.24475087635722481</v>
      </c>
      <c r="AW141">
        <f t="shared" si="80"/>
        <v>1.0095676364333462E-2</v>
      </c>
      <c r="AX141">
        <f t="shared" si="81"/>
        <v>0.24475086984109634</v>
      </c>
      <c r="AY141">
        <f t="shared" si="82"/>
        <v>6.516128470135385E-9</v>
      </c>
      <c r="AZ141">
        <f t="shared" si="83"/>
        <v>964852.16359160375</v>
      </c>
      <c r="BA141">
        <f t="shared" si="84"/>
        <v>1.2440257825849986E-5</v>
      </c>
      <c r="BB141" s="15">
        <f t="shared" si="85"/>
        <v>3986575.0750578656</v>
      </c>
      <c r="BC141" s="20">
        <f t="shared" si="86"/>
        <v>9943.6727141155861</v>
      </c>
      <c r="BD141" s="19">
        <f t="shared" si="87"/>
        <v>0.25005266287076489</v>
      </c>
      <c r="BE141" s="15">
        <v>3848599.8</v>
      </c>
      <c r="BF141" s="16">
        <f>テーブル2[[#This Row],[q_P]]/テーブル2[[#This Row],[q_M]]</f>
        <v>1.0358507722881101</v>
      </c>
      <c r="BG141">
        <v>1</v>
      </c>
      <c r="BH141">
        <v>-5.2999999999999999E-2</v>
      </c>
      <c r="BI141">
        <v>4.5999999999999999E-2</v>
      </c>
      <c r="BJ141">
        <v>5625</v>
      </c>
      <c r="BK141" s="22">
        <v>1</v>
      </c>
      <c r="BL141">
        <f>テーブル2[[#This Row],[Ts]]-テーブル2[[#This Row],[Tin]]</f>
        <v>102.95197767977356</v>
      </c>
      <c r="BM141">
        <f>テーブル2[[#This Row],[q_P]]*0.000001</f>
        <v>3.9865750750578655</v>
      </c>
      <c r="BN141">
        <f>テーブル2[[#This Row],[Tsub]]</f>
        <v>102.95197767977356</v>
      </c>
      <c r="BO141">
        <f>テーブル2[[#This Row],[Fcorr]]</f>
        <v>1</v>
      </c>
      <c r="BP141">
        <f>(テーブル2[[#This Row],[Tsub]]-40)^2</f>
        <v>3962.9514937947088</v>
      </c>
      <c r="BQ141">
        <v>1</v>
      </c>
      <c r="BR141">
        <v>0.15240000000000001</v>
      </c>
    </row>
    <row r="142" spans="1:70" x14ac:dyDescent="0.15">
      <c r="A142" s="9" t="s">
        <v>210</v>
      </c>
      <c r="B142">
        <v>15513203.909628799</v>
      </c>
      <c r="C142" s="22">
        <f t="array" ref="C142">TsatFromP(テーブル2[[#This Row],[P]])</f>
        <v>617.97483343502051</v>
      </c>
      <c r="D142">
        <f t="array" ref="D142">RhoGFromP(テーブル2[[#This Row],[P]])</f>
        <v>102.22394330033012</v>
      </c>
      <c r="E142">
        <f t="array" ref="E142">RhoFFromP(テーブル2[[#This Row],[P]])</f>
        <v>593.99780321429478</v>
      </c>
      <c r="F142">
        <f t="array" ref="F142">HgFromP(テーブル2[[#This Row],[P]])</f>
        <v>2595333.5493798093</v>
      </c>
      <c r="G142">
        <f t="array" ref="G142">HfFromP(テーブル2[[#This Row],[P]])</f>
        <v>1630481.3857882055</v>
      </c>
      <c r="H142">
        <f t="array" ref="H142">MuGFromP(テーブル2[[#This Row],[P]])</f>
        <v>2.3048203873610289E-5</v>
      </c>
      <c r="I142">
        <f t="array" ref="I142">MuFFromP(テーブル2[[#This Row],[P]])</f>
        <v>6.8200503236293109E-5</v>
      </c>
      <c r="J142">
        <f t="array" ref="J142">KfFromP(テーブル2[[#This Row],[P]])</f>
        <v>0.47171772328903144</v>
      </c>
      <c r="K142">
        <f t="array" ref="K142">CpFFromP(テーブル2[[#This Row],[P]])</f>
        <v>9005.0430614720299</v>
      </c>
      <c r="L142">
        <f t="array" ref="L142">SigmaFromP(テーブル2[[#This Row],[P]])</f>
        <v>4.6429387983550419E-3</v>
      </c>
      <c r="M142">
        <v>141</v>
      </c>
      <c r="N142">
        <v>2319.1532999999999</v>
      </c>
      <c r="O142" s="8">
        <f t="shared" si="58"/>
        <v>2.8502295699234246E-6</v>
      </c>
      <c r="P142" s="8">
        <f t="shared" si="59"/>
        <v>5.9847340050885557E-3</v>
      </c>
      <c r="Q142" s="8">
        <v>1.905E-3</v>
      </c>
      <c r="R142">
        <v>0.15240000000000001</v>
      </c>
      <c r="S142" s="15">
        <v>4040547.41796875</v>
      </c>
      <c r="T142">
        <v>513.223397961415</v>
      </c>
      <c r="U142" s="12">
        <f>+T142+BG142*S142*テーブル2[[#This Row],[Pw]]*R142/(N142*O142*K142)</f>
        <v>575.13541241044663</v>
      </c>
      <c r="V142">
        <v>0.03</v>
      </c>
      <c r="W142" s="8">
        <f t="shared" si="60"/>
        <v>64779.390574187935</v>
      </c>
      <c r="X142">
        <v>3.3117894312529747E-2</v>
      </c>
      <c r="Y142">
        <f t="shared" si="61"/>
        <v>5.4950119606918042</v>
      </c>
      <c r="Z142">
        <f t="shared" si="62"/>
        <v>5.4950120000108633</v>
      </c>
      <c r="AA142">
        <f t="shared" si="63"/>
        <v>-3.9319059119691246E-8</v>
      </c>
      <c r="AB142">
        <f t="shared" si="64"/>
        <v>1.4863716064969792E-5</v>
      </c>
      <c r="AC142">
        <v>709.71482261536221</v>
      </c>
      <c r="AD142">
        <f t="shared" si="65"/>
        <v>2083.9784646425678</v>
      </c>
      <c r="AE142">
        <f>+gettm2(AD142,AC142,AK142,AL142,テーブル2[[#This Row],[Fcorr]])</f>
        <v>575.13541241044652</v>
      </c>
      <c r="AF142" s="14">
        <f t="shared" si="66"/>
        <v>0</v>
      </c>
      <c r="AG142">
        <v>1.495132599444377E-5</v>
      </c>
      <c r="AH142">
        <f t="shared" si="67"/>
        <v>37.484075541222154</v>
      </c>
      <c r="AI142">
        <f t="shared" si="68"/>
        <v>0.25120656372381184</v>
      </c>
      <c r="AJ142">
        <f t="shared" si="69"/>
        <v>32.712064451728544</v>
      </c>
      <c r="AK142">
        <f t="array" ref="AK142">+S142*テーブル2[[#This Row],[F_form]]/(E142*CpFromTP((テーブル2[[#This Row],[Tin]]+テーブル2[[#This Row],[Tf]])/2,テーブル2[[#This Row],[P]])*AI142)</f>
        <v>5.4584233015156931</v>
      </c>
      <c r="AL142">
        <f t="shared" si="70"/>
        <v>1.3019406270656069</v>
      </c>
      <c r="AM142">
        <f t="shared" si="71"/>
        <v>617.97483339634493</v>
      </c>
      <c r="AN142">
        <f t="shared" si="72"/>
        <v>3.8675580071867444E-8</v>
      </c>
      <c r="AO142">
        <f t="shared" si="73"/>
        <v>8.7609929473978179E-8</v>
      </c>
      <c r="AP142">
        <v>2.996001002801028</v>
      </c>
      <c r="AQ142">
        <f t="shared" si="74"/>
        <v>3.7264820548174337E-5</v>
      </c>
      <c r="AR142">
        <f t="shared" si="75"/>
        <v>7.5194679619588742E-6</v>
      </c>
      <c r="AS142">
        <f t="shared" si="76"/>
        <v>16.451873279046751</v>
      </c>
      <c r="AT142">
        <f t="shared" si="77"/>
        <v>10.952196739367851</v>
      </c>
      <c r="AU142">
        <f t="shared" si="78"/>
        <v>2.7512637081237346</v>
      </c>
      <c r="AV142">
        <f t="shared" si="79"/>
        <v>0.24473729467729344</v>
      </c>
      <c r="AW142">
        <f t="shared" si="80"/>
        <v>1.0095676364333462E-2</v>
      </c>
      <c r="AX142">
        <f t="shared" si="81"/>
        <v>0.24473728815573706</v>
      </c>
      <c r="AY142">
        <f t="shared" si="82"/>
        <v>6.521556378258353E-9</v>
      </c>
      <c r="AZ142">
        <f t="shared" si="83"/>
        <v>964852.16359160375</v>
      </c>
      <c r="BA142">
        <f t="shared" si="84"/>
        <v>1.2438186940970523E-5</v>
      </c>
      <c r="BB142" s="15">
        <f t="shared" si="85"/>
        <v>4036843.051614196</v>
      </c>
      <c r="BC142" s="20">
        <f t="shared" si="86"/>
        <v>-3704.3663545539603</v>
      </c>
      <c r="BD142" s="19">
        <f t="shared" si="87"/>
        <v>-9.1679813930168066E-2</v>
      </c>
      <c r="BE142" s="15">
        <v>3911691.6</v>
      </c>
      <c r="BF142" s="16">
        <f>テーブル2[[#This Row],[q_P]]/テーブル2[[#This Row],[q_M]]</f>
        <v>1.0319942021027926</v>
      </c>
      <c r="BG142">
        <v>1</v>
      </c>
      <c r="BH142">
        <v>-5.2999999999999999E-2</v>
      </c>
      <c r="BI142">
        <v>4.5999999999999999E-2</v>
      </c>
      <c r="BJ142">
        <v>5625</v>
      </c>
      <c r="BK142" s="22">
        <v>1</v>
      </c>
      <c r="BL142">
        <f>テーブル2[[#This Row],[Ts]]-テーブル2[[#This Row],[Tin]]</f>
        <v>104.75143547360551</v>
      </c>
      <c r="BM142">
        <f>テーブル2[[#This Row],[q_P]]*0.000001</f>
        <v>4.0368430516141958</v>
      </c>
      <c r="BN142">
        <f>テーブル2[[#This Row],[Tsub]]</f>
        <v>104.75143547360551</v>
      </c>
      <c r="BO142">
        <f>テーブル2[[#This Row],[Fcorr]]</f>
        <v>1</v>
      </c>
      <c r="BP142">
        <f>(テーブル2[[#This Row],[Tsub]]-40)^2</f>
        <v>4192.7483958924986</v>
      </c>
      <c r="BQ142">
        <v>1</v>
      </c>
      <c r="BR142">
        <v>0.15240000000000001</v>
      </c>
    </row>
    <row r="143" spans="1:70" x14ac:dyDescent="0.15">
      <c r="A143" s="9" t="s">
        <v>211</v>
      </c>
      <c r="B143">
        <v>15513203.909628799</v>
      </c>
      <c r="C143" s="22">
        <f t="array" ref="C143">TsatFromP(テーブル2[[#This Row],[P]])</f>
        <v>617.97483343502051</v>
      </c>
      <c r="D143">
        <f t="array" ref="D143">RhoGFromP(テーブル2[[#This Row],[P]])</f>
        <v>102.22394330033012</v>
      </c>
      <c r="E143">
        <f t="array" ref="E143">RhoFFromP(テーブル2[[#This Row],[P]])</f>
        <v>593.99780321429478</v>
      </c>
      <c r="F143">
        <f t="array" ref="F143">HgFromP(テーブル2[[#This Row],[P]])</f>
        <v>2595333.5493798093</v>
      </c>
      <c r="G143">
        <f t="array" ref="G143">HfFromP(テーブル2[[#This Row],[P]])</f>
        <v>1630481.3857882055</v>
      </c>
      <c r="H143">
        <f t="array" ref="H143">MuGFromP(テーブル2[[#This Row],[P]])</f>
        <v>2.3048203873610289E-5</v>
      </c>
      <c r="I143">
        <f t="array" ref="I143">MuFFromP(テーブル2[[#This Row],[P]])</f>
        <v>6.8200503236293109E-5</v>
      </c>
      <c r="J143">
        <f t="array" ref="J143">KfFromP(テーブル2[[#This Row],[P]])</f>
        <v>0.47171772328903144</v>
      </c>
      <c r="K143">
        <f t="array" ref="K143">CpFFromP(テーブル2[[#This Row],[P]])</f>
        <v>9005.0430614720299</v>
      </c>
      <c r="L143">
        <f t="array" ref="L143">SigmaFromP(テーブル2[[#This Row],[P]])</f>
        <v>4.6429387983550419E-3</v>
      </c>
      <c r="M143">
        <v>142</v>
      </c>
      <c r="N143">
        <v>2319.1532999999999</v>
      </c>
      <c r="O143" s="8">
        <f t="shared" si="58"/>
        <v>2.8502295699234246E-6</v>
      </c>
      <c r="P143" s="8">
        <f t="shared" si="59"/>
        <v>5.9847340050885557E-3</v>
      </c>
      <c r="Q143" s="8">
        <v>1.905E-3</v>
      </c>
      <c r="R143">
        <v>0.15240000000000001</v>
      </c>
      <c r="S143" s="15">
        <v>4476734.43359375</v>
      </c>
      <c r="T143">
        <v>500.89394004301198</v>
      </c>
      <c r="U143" s="12">
        <f>+T143+BG143*S143*テーブル2[[#This Row],[Pw]]*R143/(N143*O143*K143)</f>
        <v>569.48950848122843</v>
      </c>
      <c r="V143">
        <v>0.03</v>
      </c>
      <c r="W143" s="8">
        <f t="shared" si="60"/>
        <v>64779.390574187935</v>
      </c>
      <c r="X143">
        <v>3.3117894312529747E-2</v>
      </c>
      <c r="Y143">
        <f t="shared" si="61"/>
        <v>5.4950119606918042</v>
      </c>
      <c r="Z143">
        <f t="shared" si="62"/>
        <v>5.4950120000108633</v>
      </c>
      <c r="AA143">
        <f t="shared" si="63"/>
        <v>-3.9319059119691246E-8</v>
      </c>
      <c r="AB143">
        <f t="shared" si="64"/>
        <v>1.4863716064969792E-5</v>
      </c>
      <c r="AC143">
        <v>721.83828906281917</v>
      </c>
      <c r="AD143">
        <f t="shared" si="65"/>
        <v>2083.9784646425678</v>
      </c>
      <c r="AE143">
        <f>+gettm2(AD143,AC143,AK143,AL143,テーブル2[[#This Row],[Fcorr]])</f>
        <v>569.48950969961129</v>
      </c>
      <c r="AF143" s="14">
        <f t="shared" si="66"/>
        <v>1.2183828630440985E-6</v>
      </c>
      <c r="AG143">
        <v>1.496144984130562E-5</v>
      </c>
      <c r="AH143">
        <f t="shared" si="67"/>
        <v>37.484075541222154</v>
      </c>
      <c r="AI143">
        <f t="shared" si="68"/>
        <v>0.25120656372381184</v>
      </c>
      <c r="AJ143">
        <f t="shared" si="69"/>
        <v>32.734214455759442</v>
      </c>
      <c r="AK143">
        <f t="array" ref="AK143">+S143*テーブル2[[#This Row],[F_form]]/(E143*CpFromTP((テーブル2[[#This Row],[Tin]]+テーブル2[[#This Row],[Tf]])/2,テーブル2[[#This Row],[P]])*AI143)</f>
        <v>6.179133390222221</v>
      </c>
      <c r="AL143">
        <f t="shared" si="70"/>
        <v>1.3019406270656069</v>
      </c>
      <c r="AM143">
        <f t="shared" si="71"/>
        <v>617.97483339039434</v>
      </c>
      <c r="AN143">
        <f t="shared" si="72"/>
        <v>4.462617653189227E-8</v>
      </c>
      <c r="AO143">
        <f t="shared" si="73"/>
        <v>9.7733776335827866E-8</v>
      </c>
      <c r="AP143">
        <v>2.9975633672561228</v>
      </c>
      <c r="AQ143">
        <f t="shared" si="74"/>
        <v>3.7225984966649275E-5</v>
      </c>
      <c r="AR143">
        <f t="shared" si="75"/>
        <v>7.5295918088207239E-6</v>
      </c>
      <c r="AS143">
        <f t="shared" si="76"/>
        <v>16.474023283077653</v>
      </c>
      <c r="AT143">
        <f t="shared" si="77"/>
        <v>10.958923969203637</v>
      </c>
      <c r="AU143">
        <f t="shared" si="78"/>
        <v>2.7529536324141626</v>
      </c>
      <c r="AV143">
        <f t="shared" si="79"/>
        <v>0.24460973484196025</v>
      </c>
      <c r="AW143">
        <f t="shared" si="80"/>
        <v>1.0095676364333462E-2</v>
      </c>
      <c r="AX143">
        <f t="shared" si="81"/>
        <v>0.24460972827025554</v>
      </c>
      <c r="AY143">
        <f t="shared" si="82"/>
        <v>6.5717047081914615E-9</v>
      </c>
      <c r="AZ143">
        <f t="shared" si="83"/>
        <v>964852.16359160375</v>
      </c>
      <c r="BA143">
        <f t="shared" si="84"/>
        <v>1.241874829846376E-5</v>
      </c>
      <c r="BB143" s="15">
        <f t="shared" si="85"/>
        <v>4510373.1035318328</v>
      </c>
      <c r="BC143" s="20">
        <f t="shared" si="86"/>
        <v>33638.669938082807</v>
      </c>
      <c r="BD143" s="19">
        <f t="shared" si="87"/>
        <v>0.75141088749101825</v>
      </c>
      <c r="BE143" s="15">
        <v>4447971.8999999994</v>
      </c>
      <c r="BF143" s="16">
        <f>テーブル2[[#This Row],[q_P]]/テーブル2[[#This Row],[q_M]]</f>
        <v>1.0140291361849281</v>
      </c>
      <c r="BG143">
        <v>1</v>
      </c>
      <c r="BH143">
        <v>-3.5000000000000003E-2</v>
      </c>
      <c r="BI143">
        <v>4.5999999999999999E-2</v>
      </c>
      <c r="BJ143">
        <v>5625</v>
      </c>
      <c r="BK143" s="22">
        <v>1</v>
      </c>
      <c r="BL143">
        <f>テーブル2[[#This Row],[Ts]]-テーブル2[[#This Row],[Tin]]</f>
        <v>117.08089339200853</v>
      </c>
      <c r="BM143">
        <f>テーブル2[[#This Row],[q_P]]*0.000001</f>
        <v>4.5103731035318324</v>
      </c>
      <c r="BN143">
        <f>テーブル2[[#This Row],[Tsub]]</f>
        <v>117.08089339200853</v>
      </c>
      <c r="BO143">
        <f>テーブル2[[#This Row],[Fcorr]]</f>
        <v>1</v>
      </c>
      <c r="BP143">
        <f>(テーブル2[[#This Row],[Tsub]]-40)^2</f>
        <v>5941.4641261101851</v>
      </c>
      <c r="BQ143">
        <v>1</v>
      </c>
      <c r="BR143">
        <v>0.15240000000000001</v>
      </c>
    </row>
    <row r="144" spans="1:70" x14ac:dyDescent="0.15">
      <c r="A144" s="9" t="s">
        <v>212</v>
      </c>
      <c r="B144">
        <v>15513203.909628799</v>
      </c>
      <c r="C144" s="22">
        <f t="array" ref="C144">TsatFromP(テーブル2[[#This Row],[P]])</f>
        <v>617.97483343502051</v>
      </c>
      <c r="D144">
        <f t="array" ref="D144">RhoGFromP(テーブル2[[#This Row],[P]])</f>
        <v>102.22394330033012</v>
      </c>
      <c r="E144">
        <f t="array" ref="E144">RhoFFromP(テーブル2[[#This Row],[P]])</f>
        <v>593.99780321429478</v>
      </c>
      <c r="F144">
        <f t="array" ref="F144">HgFromP(テーブル2[[#This Row],[P]])</f>
        <v>2595333.5493798093</v>
      </c>
      <c r="G144">
        <f t="array" ref="G144">HfFromP(テーブル2[[#This Row],[P]])</f>
        <v>1630481.3857882055</v>
      </c>
      <c r="H144">
        <f t="array" ref="H144">MuGFromP(テーブル2[[#This Row],[P]])</f>
        <v>2.3048203873610289E-5</v>
      </c>
      <c r="I144">
        <f t="array" ref="I144">MuFFromP(テーブル2[[#This Row],[P]])</f>
        <v>6.8200503236293109E-5</v>
      </c>
      <c r="J144">
        <f t="array" ref="J144">KfFromP(テーブル2[[#This Row],[P]])</f>
        <v>0.47171772328903144</v>
      </c>
      <c r="K144">
        <f t="array" ref="K144">CpFFromP(テーブル2[[#This Row],[P]])</f>
        <v>9005.0430614720299</v>
      </c>
      <c r="L144">
        <f t="array" ref="L144">SigmaFromP(テーブル2[[#This Row],[P]])</f>
        <v>4.6429387983550419E-3</v>
      </c>
      <c r="M144">
        <v>143</v>
      </c>
      <c r="N144">
        <v>2875.2076000000002</v>
      </c>
      <c r="O144" s="8">
        <f t="shared" si="58"/>
        <v>2.8502295699234246E-6</v>
      </c>
      <c r="P144" s="8">
        <f t="shared" si="59"/>
        <v>5.9847340050885557E-3</v>
      </c>
      <c r="Q144" s="8">
        <v>1.905E-3</v>
      </c>
      <c r="R144">
        <v>0.15240000000000001</v>
      </c>
      <c r="S144" s="15">
        <v>4713393.58203125</v>
      </c>
      <c r="T144">
        <v>511.31829053055202</v>
      </c>
      <c r="U144" s="12">
        <f>+T144+BG144*S144*テーブル2[[#This Row],[Pw]]*R144/(N144*O144*K144)</f>
        <v>569.57268372305475</v>
      </c>
      <c r="V144">
        <v>0.03</v>
      </c>
      <c r="W144" s="8">
        <f t="shared" si="60"/>
        <v>80311.291238174526</v>
      </c>
      <c r="X144">
        <v>3.007705250927251E-2</v>
      </c>
      <c r="Y144">
        <f t="shared" si="61"/>
        <v>5.766102562650592</v>
      </c>
      <c r="Z144">
        <f t="shared" si="62"/>
        <v>5.7661025972645295</v>
      </c>
      <c r="AA144">
        <f t="shared" si="63"/>
        <v>-3.4613937494043512E-8</v>
      </c>
      <c r="AB144">
        <f t="shared" si="64"/>
        <v>1.0648178955476381E-5</v>
      </c>
      <c r="AC144">
        <v>705.99038471433153</v>
      </c>
      <c r="AD144">
        <f t="shared" si="65"/>
        <v>2462.1769220775036</v>
      </c>
      <c r="AE144">
        <f>+gettm2(AD144,AC144,AK144,AL144,テーブル2[[#This Row],[Fcorr]])</f>
        <v>569.5726847829585</v>
      </c>
      <c r="AF144" s="14">
        <f t="shared" si="66"/>
        <v>1.0599037523206789E-6</v>
      </c>
      <c r="AG144">
        <v>1.072608329483176E-5</v>
      </c>
      <c r="AH144">
        <f t="shared" si="67"/>
        <v>52.32375020482354</v>
      </c>
      <c r="AI144">
        <f t="shared" si="68"/>
        <v>0.29679529533010102</v>
      </c>
      <c r="AJ144">
        <f t="shared" si="69"/>
        <v>27.72652467487222</v>
      </c>
      <c r="AK144">
        <f t="array" ref="AK144">+S144*テーブル2[[#This Row],[F_form]]/(E144*CpFromTP((テーブル2[[#This Row],[Tin]]+テーブル2[[#This Row],[Tf]])/2,テーブル2[[#This Row],[P]])*AI144)</f>
        <v>5.4397300273726223</v>
      </c>
      <c r="AL144">
        <f t="shared" si="70"/>
        <v>1.3019406270656069</v>
      </c>
      <c r="AM144">
        <f t="shared" si="71"/>
        <v>617.97483342096871</v>
      </c>
      <c r="AN144">
        <f t="shared" si="72"/>
        <v>1.4051806829229463E-8</v>
      </c>
      <c r="AO144">
        <f t="shared" si="73"/>
        <v>7.7904339355378913E-8</v>
      </c>
      <c r="AP144">
        <v>3.2720082532854802</v>
      </c>
      <c r="AQ144">
        <f t="shared" si="74"/>
        <v>3.1243103106385787E-5</v>
      </c>
      <c r="AR144">
        <f t="shared" si="75"/>
        <v>5.4019938170935692E-6</v>
      </c>
      <c r="AS144">
        <f t="shared" si="76"/>
        <v>13.96395224110567</v>
      </c>
      <c r="AT144">
        <f t="shared" si="77"/>
        <v>10.132395845463446</v>
      </c>
      <c r="AU144">
        <f t="shared" si="78"/>
        <v>3.0072474173558121</v>
      </c>
      <c r="AV144">
        <f t="shared" si="79"/>
        <v>0.26476083592966804</v>
      </c>
      <c r="AW144">
        <f t="shared" si="80"/>
        <v>7.2324153754086363E-3</v>
      </c>
      <c r="AX144">
        <f t="shared" si="81"/>
        <v>0.2647608319023802</v>
      </c>
      <c r="AY144">
        <f t="shared" si="82"/>
        <v>4.0272878365499309E-9</v>
      </c>
      <c r="AZ144">
        <f t="shared" si="83"/>
        <v>964852.16359160375</v>
      </c>
      <c r="BA144">
        <f t="shared" si="84"/>
        <v>9.5486015583897278E-6</v>
      </c>
      <c r="BB144" s="15">
        <f t="shared" si="85"/>
        <v>4675924.5119666252</v>
      </c>
      <c r="BC144" s="20">
        <f t="shared" si="86"/>
        <v>-37469.070064624771</v>
      </c>
      <c r="BD144" s="19">
        <f t="shared" si="87"/>
        <v>-0.79494889218390641</v>
      </c>
      <c r="BE144" s="15">
        <v>5394348.8999999994</v>
      </c>
      <c r="BF144" s="16">
        <f>テーブル2[[#This Row],[q_P]]/テーブル2[[#This Row],[q_M]]</f>
        <v>0.86681907282019255</v>
      </c>
      <c r="BG144">
        <v>1</v>
      </c>
      <c r="BH144">
        <v>1E-3</v>
      </c>
      <c r="BI144">
        <v>4.5999999999999999E-2</v>
      </c>
      <c r="BJ144">
        <v>5625</v>
      </c>
      <c r="BK144" s="22">
        <v>1</v>
      </c>
      <c r="BL144">
        <f>テーブル2[[#This Row],[Ts]]-テーブル2[[#This Row],[Tin]]</f>
        <v>106.65654290446849</v>
      </c>
      <c r="BM144">
        <f>テーブル2[[#This Row],[q_P]]*0.000001</f>
        <v>4.6759245119666248</v>
      </c>
      <c r="BN144">
        <f>テーブル2[[#This Row],[Tsub]]</f>
        <v>106.65654290446849</v>
      </c>
      <c r="BO144">
        <f>テーブル2[[#This Row],[Fcorr]]</f>
        <v>1</v>
      </c>
      <c r="BP144">
        <f>(テーブル2[[#This Row],[Tsub]]-40)^2</f>
        <v>4443.0947119752491</v>
      </c>
      <c r="BQ144">
        <v>1</v>
      </c>
      <c r="BR144">
        <v>0.15240000000000001</v>
      </c>
    </row>
    <row r="145" spans="1:70" x14ac:dyDescent="0.15">
      <c r="A145" s="9" t="s">
        <v>213</v>
      </c>
      <c r="B145">
        <v>15513203.909628799</v>
      </c>
      <c r="C145" s="22">
        <f t="array" ref="C145">TsatFromP(テーブル2[[#This Row],[P]])</f>
        <v>617.97483343502051</v>
      </c>
      <c r="D145">
        <f t="array" ref="D145">RhoGFromP(テーブル2[[#This Row],[P]])</f>
        <v>102.22394330033012</v>
      </c>
      <c r="E145">
        <f t="array" ref="E145">RhoFFromP(テーブル2[[#This Row],[P]])</f>
        <v>593.99780321429478</v>
      </c>
      <c r="F145">
        <f t="array" ref="F145">HgFromP(テーブル2[[#This Row],[P]])</f>
        <v>2595333.5493798093</v>
      </c>
      <c r="G145">
        <f t="array" ref="G145">HfFromP(テーブル2[[#This Row],[P]])</f>
        <v>1630481.3857882055</v>
      </c>
      <c r="H145">
        <f t="array" ref="H145">MuGFromP(テーブル2[[#This Row],[P]])</f>
        <v>2.3048203873610289E-5</v>
      </c>
      <c r="I145">
        <f t="array" ref="I145">MuFFromP(テーブル2[[#This Row],[P]])</f>
        <v>6.8200503236293109E-5</v>
      </c>
      <c r="J145">
        <f t="array" ref="J145">KfFromP(テーブル2[[#This Row],[P]])</f>
        <v>0.47171772328903144</v>
      </c>
      <c r="K145">
        <f t="array" ref="K145">CpFFromP(テーブル2[[#This Row],[P]])</f>
        <v>9005.0430614720299</v>
      </c>
      <c r="L145">
        <f t="array" ref="L145">SigmaFromP(テーブル2[[#This Row],[P]])</f>
        <v>4.6429387983550419E-3</v>
      </c>
      <c r="M145">
        <v>144</v>
      </c>
      <c r="N145">
        <v>2929.4567999999999</v>
      </c>
      <c r="O145" s="8">
        <f t="shared" si="58"/>
        <v>2.8502295699234246E-6</v>
      </c>
      <c r="P145" s="8">
        <f t="shared" si="59"/>
        <v>5.9847340050885557E-3</v>
      </c>
      <c r="Q145" s="8">
        <v>1.905E-3</v>
      </c>
      <c r="R145">
        <v>0.15240000000000001</v>
      </c>
      <c r="S145" s="15">
        <v>3544605.8201562501</v>
      </c>
      <c r="T145">
        <v>540.88707296318796</v>
      </c>
      <c r="U145" s="12">
        <f>+T145+BG145*S145*テーブル2[[#This Row],[Pw]]*R145/(N145*O145*K145)</f>
        <v>583.88475389804023</v>
      </c>
      <c r="V145">
        <v>0.03</v>
      </c>
      <c r="W145" s="8">
        <f t="shared" si="60"/>
        <v>81826.598620026867</v>
      </c>
      <c r="X145">
        <v>2.9832242040537481E-2</v>
      </c>
      <c r="Y145">
        <f t="shared" si="61"/>
        <v>5.7897132269993108</v>
      </c>
      <c r="Z145">
        <f t="shared" si="62"/>
        <v>5.7897132518930503</v>
      </c>
      <c r="AA145">
        <f t="shared" si="63"/>
        <v>-2.4893739514197932E-8</v>
      </c>
      <c r="AB145">
        <f t="shared" si="64"/>
        <v>1.0341628698207303E-5</v>
      </c>
      <c r="AC145">
        <v>678.80558435211685</v>
      </c>
      <c r="AD145">
        <f t="shared" si="65"/>
        <v>2498.4027920342492</v>
      </c>
      <c r="AE145">
        <f>+gettm2(AD145,AC145,AK145,AL145,テーブル2[[#This Row],[Fcorr]])</f>
        <v>583.88475389804012</v>
      </c>
      <c r="AF145" s="14">
        <f t="shared" si="66"/>
        <v>0</v>
      </c>
      <c r="AG145">
        <v>1.0399852669285069E-5</v>
      </c>
      <c r="AH145">
        <f t="shared" si="67"/>
        <v>53.874749525593217</v>
      </c>
      <c r="AI145">
        <f t="shared" si="68"/>
        <v>0.30116202774319267</v>
      </c>
      <c r="AJ145">
        <f t="shared" si="69"/>
        <v>27.278762147702526</v>
      </c>
      <c r="AK145">
        <f t="array" ref="AK145">+S145*テーブル2[[#This Row],[F_form]]/(E145*CpFromTP((テーブル2[[#This Row],[Tin]]+テーブル2[[#This Row],[Tf]])/2,テーブル2[[#This Row],[P]])*AI145)</f>
        <v>3.7794475851898599</v>
      </c>
      <c r="AL145">
        <f t="shared" si="70"/>
        <v>1.3019406270656069</v>
      </c>
      <c r="AM145">
        <f t="shared" si="71"/>
        <v>617.97483343461909</v>
      </c>
      <c r="AN145">
        <f t="shared" si="72"/>
        <v>4.014282239950262E-10</v>
      </c>
      <c r="AO145">
        <f t="shared" si="73"/>
        <v>5.8223971077766472E-8</v>
      </c>
      <c r="AP145">
        <v>3.2915476613267729</v>
      </c>
      <c r="AQ145">
        <f t="shared" si="74"/>
        <v>3.08732711305876E-5</v>
      </c>
      <c r="AR145">
        <f t="shared" si="75"/>
        <v>5.2290383201814179E-6</v>
      </c>
      <c r="AS145">
        <f t="shared" si="76"/>
        <v>13.715741668026597</v>
      </c>
      <c r="AT145">
        <f t="shared" si="77"/>
        <v>10.042721000356027</v>
      </c>
      <c r="AU145">
        <f t="shared" si="78"/>
        <v>3.0244862205263652</v>
      </c>
      <c r="AV145">
        <f t="shared" si="79"/>
        <v>0.26706144080040772</v>
      </c>
      <c r="AW145">
        <f t="shared" si="80"/>
        <v>7.0242014823778389E-3</v>
      </c>
      <c r="AX145">
        <f t="shared" si="81"/>
        <v>0.26706143585063419</v>
      </c>
      <c r="AY145">
        <f t="shared" si="82"/>
        <v>4.9497735354897543E-9</v>
      </c>
      <c r="AZ145">
        <f t="shared" si="83"/>
        <v>964852.16359160375</v>
      </c>
      <c r="BA145">
        <f t="shared" si="84"/>
        <v>9.3795607134374756E-6</v>
      </c>
      <c r="BB145" s="15">
        <f t="shared" si="85"/>
        <v>3557664.0679743527</v>
      </c>
      <c r="BC145" s="20">
        <f t="shared" si="86"/>
        <v>13058.247818102594</v>
      </c>
      <c r="BD145" s="19">
        <f t="shared" si="87"/>
        <v>0.36839774239063267</v>
      </c>
      <c r="BE145" s="15">
        <v>4164058.8</v>
      </c>
      <c r="BF145" s="16">
        <f>テーブル2[[#This Row],[q_P]]/テーブル2[[#This Row],[q_M]]</f>
        <v>0.85437411882232617</v>
      </c>
      <c r="BG145">
        <v>1</v>
      </c>
      <c r="BH145">
        <v>-4.0000000000000001E-3</v>
      </c>
      <c r="BI145">
        <v>4.5999999999999999E-2</v>
      </c>
      <c r="BJ145">
        <v>5625</v>
      </c>
      <c r="BK145" s="22">
        <v>1</v>
      </c>
      <c r="BL145">
        <f>テーブル2[[#This Row],[Ts]]-テーブル2[[#This Row],[Tin]]</f>
        <v>77.087760471832553</v>
      </c>
      <c r="BM145">
        <f>テーブル2[[#This Row],[q_P]]*0.000001</f>
        <v>3.5576640679743528</v>
      </c>
      <c r="BN145">
        <f>テーブル2[[#This Row],[Tsub]]</f>
        <v>77.087760471832553</v>
      </c>
      <c r="BO145">
        <f>テーブル2[[#This Row],[Fcorr]]</f>
        <v>1</v>
      </c>
      <c r="BP145">
        <f>(テーブル2[[#This Row],[Tsub]]-40)^2</f>
        <v>1375.5019768160253</v>
      </c>
      <c r="BQ145">
        <v>1</v>
      </c>
      <c r="BR145">
        <v>0.15240000000000001</v>
      </c>
    </row>
    <row r="146" spans="1:70" x14ac:dyDescent="0.15">
      <c r="A146" s="9" t="s">
        <v>214</v>
      </c>
      <c r="B146">
        <v>15513203.909628799</v>
      </c>
      <c r="C146" s="22">
        <f t="array" ref="C146">TsatFromP(テーブル2[[#This Row],[P]])</f>
        <v>617.97483343502051</v>
      </c>
      <c r="D146">
        <f t="array" ref="D146">RhoGFromP(テーブル2[[#This Row],[P]])</f>
        <v>102.22394330033012</v>
      </c>
      <c r="E146">
        <f t="array" ref="E146">RhoFFromP(テーブル2[[#This Row],[P]])</f>
        <v>593.99780321429478</v>
      </c>
      <c r="F146">
        <f t="array" ref="F146">HgFromP(テーブル2[[#This Row],[P]])</f>
        <v>2595333.5493798093</v>
      </c>
      <c r="G146">
        <f t="array" ref="G146">HfFromP(テーブル2[[#This Row],[P]])</f>
        <v>1630481.3857882055</v>
      </c>
      <c r="H146">
        <f t="array" ref="H146">MuGFromP(テーブル2[[#This Row],[P]])</f>
        <v>2.3048203873610289E-5</v>
      </c>
      <c r="I146">
        <f t="array" ref="I146">MuFFromP(テーブル2[[#This Row],[P]])</f>
        <v>6.8200503236293109E-5</v>
      </c>
      <c r="J146">
        <f t="array" ref="J146">KfFromP(テーブル2[[#This Row],[P]])</f>
        <v>0.47171772328903144</v>
      </c>
      <c r="K146">
        <f t="array" ref="K146">CpFFromP(テーブル2[[#This Row],[P]])</f>
        <v>9005.0430614720299</v>
      </c>
      <c r="L146">
        <f t="array" ref="L146">SigmaFromP(テーブル2[[#This Row],[P]])</f>
        <v>4.6429387983550419E-3</v>
      </c>
      <c r="M146">
        <v>145</v>
      </c>
      <c r="N146">
        <v>2956.5814</v>
      </c>
      <c r="O146" s="8">
        <f t="shared" si="58"/>
        <v>2.8502295699234246E-6</v>
      </c>
      <c r="P146" s="8">
        <f t="shared" si="59"/>
        <v>5.9847340050885557E-3</v>
      </c>
      <c r="Q146" s="8">
        <v>1.905E-3</v>
      </c>
      <c r="R146">
        <v>0.15240000000000001</v>
      </c>
      <c r="S146" s="15">
        <v>3399087.98828125</v>
      </c>
      <c r="T146">
        <v>544.80126491492899</v>
      </c>
      <c r="U146" s="12">
        <f>+T146+BG146*S146*テーブル2[[#This Row],[Pw]]*R146/(N146*O146*K146)</f>
        <v>585.65546869276977</v>
      </c>
      <c r="V146">
        <v>0.03</v>
      </c>
      <c r="W146" s="8">
        <f t="shared" si="60"/>
        <v>82584.252310953045</v>
      </c>
      <c r="X146">
        <v>2.9712616755100299E-2</v>
      </c>
      <c r="Y146">
        <f t="shared" si="61"/>
        <v>5.8013564355317948</v>
      </c>
      <c r="Z146">
        <f t="shared" si="62"/>
        <v>5.8013564559704935</v>
      </c>
      <c r="AA146">
        <f t="shared" si="63"/>
        <v>-2.0438698733471483E-8</v>
      </c>
      <c r="AB146">
        <f t="shared" si="64"/>
        <v>1.0193620209276483E-5</v>
      </c>
      <c r="AC146">
        <v>675.14618475048269</v>
      </c>
      <c r="AD146">
        <f t="shared" si="65"/>
        <v>2516.4754776415803</v>
      </c>
      <c r="AE146">
        <f>+gettm2(AD146,AC146,AK146,AL146,テーブル2[[#This Row],[Fcorr]])</f>
        <v>585.65546869276977</v>
      </c>
      <c r="AF146" s="14">
        <f t="shared" si="66"/>
        <v>0</v>
      </c>
      <c r="AG146">
        <v>1.0248915798472461E-5</v>
      </c>
      <c r="AH146">
        <f t="shared" si="67"/>
        <v>54.656995685946825</v>
      </c>
      <c r="AI146">
        <f t="shared" si="68"/>
        <v>0.30334054221716883</v>
      </c>
      <c r="AJ146">
        <f t="shared" si="69"/>
        <v>27.077317878497976</v>
      </c>
      <c r="AK146">
        <f t="array" ref="AK146">+S146*テーブル2[[#This Row],[F_form]]/(E146*CpFromTP((テーブル2[[#This Row],[Tin]]+テーブル2[[#This Row],[Tf]])/2,テーブル2[[#This Row],[P]])*AI146)</f>
        <v>3.5606511682164945</v>
      </c>
      <c r="AL146">
        <f t="shared" si="70"/>
        <v>1.3019406270656069</v>
      </c>
      <c r="AM146">
        <f t="shared" si="71"/>
        <v>617.97483343260865</v>
      </c>
      <c r="AN146">
        <f t="shared" si="72"/>
        <v>2.4118662622640841E-9</v>
      </c>
      <c r="AO146">
        <f t="shared" si="73"/>
        <v>5.5295589195978131E-8</v>
      </c>
      <c r="AP146">
        <v>3.3028858052805461</v>
      </c>
      <c r="AQ146">
        <f t="shared" si="74"/>
        <v>3.0661671459949148E-5</v>
      </c>
      <c r="AR146">
        <f t="shared" si="75"/>
        <v>5.1521056938342194E-6</v>
      </c>
      <c r="AS146">
        <f t="shared" si="76"/>
        <v>13.611703555644485</v>
      </c>
      <c r="AT146">
        <f t="shared" si="77"/>
        <v>10.00464989119228</v>
      </c>
      <c r="AU146">
        <f t="shared" si="78"/>
        <v>3.0348159226872053</v>
      </c>
      <c r="AV146">
        <f t="shared" si="79"/>
        <v>0.26806988259334075</v>
      </c>
      <c r="AW146">
        <f t="shared" si="80"/>
        <v>6.9236717227344098E-3</v>
      </c>
      <c r="AX146">
        <f t="shared" si="81"/>
        <v>0.26806987709591751</v>
      </c>
      <c r="AY146">
        <f t="shared" si="82"/>
        <v>5.4974232388538269E-9</v>
      </c>
      <c r="AZ146">
        <f t="shared" si="83"/>
        <v>964852.16359160375</v>
      </c>
      <c r="BA146">
        <f t="shared" si="84"/>
        <v>9.2832974760823607E-6</v>
      </c>
      <c r="BB146" s="15">
        <f t="shared" si="85"/>
        <v>3413766.6910962756</v>
      </c>
      <c r="BC146" s="20">
        <f t="shared" si="86"/>
        <v>14678.702815025579</v>
      </c>
      <c r="BD146" s="19">
        <f t="shared" si="87"/>
        <v>0.43184239024209164</v>
      </c>
      <c r="BE146" s="15">
        <v>4164058.8</v>
      </c>
      <c r="BF146" s="16">
        <f>テーブル2[[#This Row],[q_P]]/テーブル2[[#This Row],[q_M]]</f>
        <v>0.81981711956043357</v>
      </c>
      <c r="BG146">
        <v>1</v>
      </c>
      <c r="BH146">
        <v>1.0999999999999999E-2</v>
      </c>
      <c r="BI146">
        <v>4.5999999999999999E-2</v>
      </c>
      <c r="BJ146">
        <v>5625</v>
      </c>
      <c r="BK146" s="22">
        <v>1</v>
      </c>
      <c r="BL146">
        <f>テーブル2[[#This Row],[Ts]]-テーブル2[[#This Row],[Tin]]</f>
        <v>73.173568520091521</v>
      </c>
      <c r="BM146">
        <f>テーブル2[[#This Row],[q_P]]*0.000001</f>
        <v>3.4137666910962756</v>
      </c>
      <c r="BN146">
        <f>テーブル2[[#This Row],[Tsub]]</f>
        <v>73.173568520091521</v>
      </c>
      <c r="BO146">
        <f>テーブル2[[#This Row],[Fcorr]]</f>
        <v>1</v>
      </c>
      <c r="BP146">
        <f>(テーブル2[[#This Row],[Tsub]]-40)^2</f>
        <v>1100.4856483572071</v>
      </c>
      <c r="BQ146">
        <v>1</v>
      </c>
      <c r="BR146">
        <v>0.15240000000000001</v>
      </c>
    </row>
    <row r="147" spans="1:70" x14ac:dyDescent="0.15">
      <c r="A147" s="9" t="s">
        <v>215</v>
      </c>
      <c r="B147">
        <v>15513203.909628799</v>
      </c>
      <c r="C147" s="22">
        <f t="array" ref="C147">TsatFromP(テーブル2[[#This Row],[P]])</f>
        <v>617.97483343502051</v>
      </c>
      <c r="D147">
        <f t="array" ref="D147">RhoGFromP(テーブル2[[#This Row],[P]])</f>
        <v>102.22394330033012</v>
      </c>
      <c r="E147">
        <f t="array" ref="E147">RhoFFromP(テーブル2[[#This Row],[P]])</f>
        <v>593.99780321429478</v>
      </c>
      <c r="F147">
        <f t="array" ref="F147">HgFromP(テーブル2[[#This Row],[P]])</f>
        <v>2595333.5493798093</v>
      </c>
      <c r="G147">
        <f t="array" ref="G147">HfFromP(テーブル2[[#This Row],[P]])</f>
        <v>1630481.3857882055</v>
      </c>
      <c r="H147">
        <f t="array" ref="H147">MuGFromP(テーブル2[[#This Row],[P]])</f>
        <v>2.3048203873610289E-5</v>
      </c>
      <c r="I147">
        <f t="array" ref="I147">MuFFromP(テーブル2[[#This Row],[P]])</f>
        <v>6.8200503236293109E-5</v>
      </c>
      <c r="J147">
        <f t="array" ref="J147">KfFromP(テーブル2[[#This Row],[P]])</f>
        <v>0.47171772328903144</v>
      </c>
      <c r="K147">
        <f t="array" ref="K147">CpFFromP(テーブル2[[#This Row],[P]])</f>
        <v>9005.0430614720299</v>
      </c>
      <c r="L147">
        <f t="array" ref="L147">SigmaFromP(テーブル2[[#This Row],[P]])</f>
        <v>4.6429387983550419E-3</v>
      </c>
      <c r="M147">
        <v>146</v>
      </c>
      <c r="N147">
        <v>2983.7060000000001</v>
      </c>
      <c r="O147" s="8">
        <f t="shared" si="58"/>
        <v>2.8502295699234246E-6</v>
      </c>
      <c r="P147" s="8">
        <f t="shared" si="59"/>
        <v>5.9847340050885557E-3</v>
      </c>
      <c r="Q147" s="8">
        <v>1.905E-3</v>
      </c>
      <c r="R147">
        <v>0.15240000000000001</v>
      </c>
      <c r="S147" s="15">
        <v>5002398.92578125</v>
      </c>
      <c r="T147">
        <v>506.78358716530897</v>
      </c>
      <c r="U147" s="12">
        <f>+T147+BG147*S147*テーブル2[[#This Row],[Pw]]*R147/(N147*O147*K147)</f>
        <v>566.36166386176149</v>
      </c>
      <c r="V147">
        <v>0.03</v>
      </c>
      <c r="W147" s="8">
        <f t="shared" si="60"/>
        <v>83341.906001879222</v>
      </c>
      <c r="X147">
        <v>2.9594784018131641E-2</v>
      </c>
      <c r="Y147">
        <f t="shared" si="61"/>
        <v>5.8128941210789371</v>
      </c>
      <c r="Z147">
        <f t="shared" si="62"/>
        <v>5.8128941374986907</v>
      </c>
      <c r="AA147">
        <f t="shared" si="63"/>
        <v>-1.6419753556817795E-8</v>
      </c>
      <c r="AB147">
        <f t="shared" si="64"/>
        <v>1.0048975809118475E-5</v>
      </c>
      <c r="AC147">
        <v>708.70983593068502</v>
      </c>
      <c r="AD147">
        <f t="shared" si="65"/>
        <v>2534.5217744995784</v>
      </c>
      <c r="AE147">
        <f>+gettm2(AD147,AC147,AK147,AL147,テーブル2[[#This Row],[Fcorr]])</f>
        <v>566.36166494885958</v>
      </c>
      <c r="AF147" s="14">
        <f t="shared" si="66"/>
        <v>1.0870980986510403E-6</v>
      </c>
      <c r="AG147">
        <v>1.012819253051503E-5</v>
      </c>
      <c r="AH147">
        <f t="shared" si="67"/>
        <v>55.443725448820643</v>
      </c>
      <c r="AI147">
        <f t="shared" si="68"/>
        <v>0.30551587574318734</v>
      </c>
      <c r="AJ147">
        <f t="shared" si="69"/>
        <v>26.950261947416617</v>
      </c>
      <c r="AK147">
        <f t="array" ref="AK147">+S147*テーブル2[[#This Row],[F_form]]/(E147*CpFromTP((テーブル2[[#This Row],[Tin]]+テーブル2[[#This Row],[Tf]])/2,テーブル2[[#This Row],[P]])*AI147)</f>
        <v>5.6596679254299653</v>
      </c>
      <c r="AL147">
        <f t="shared" si="70"/>
        <v>1.3019406270656069</v>
      </c>
      <c r="AM147">
        <f t="shared" si="71"/>
        <v>617.97483343479962</v>
      </c>
      <c r="AN147">
        <f t="shared" si="72"/>
        <v>2.2089352569309995E-10</v>
      </c>
      <c r="AO147">
        <f t="shared" si="73"/>
        <v>7.9216721396554575E-8</v>
      </c>
      <c r="AP147">
        <v>3.3215514313724772</v>
      </c>
      <c r="AQ147">
        <f t="shared" si="74"/>
        <v>3.0318030111609576E-5</v>
      </c>
      <c r="AR147">
        <f t="shared" si="75"/>
        <v>5.1037046259557921E-6</v>
      </c>
      <c r="AS147">
        <f t="shared" si="76"/>
        <v>13.580525464671055</v>
      </c>
      <c r="AT147">
        <f t="shared" si="77"/>
        <v>9.993184076965397</v>
      </c>
      <c r="AU147">
        <f t="shared" si="78"/>
        <v>3.0530763847369586</v>
      </c>
      <c r="AV147">
        <f t="shared" si="79"/>
        <v>0.26847504663551858</v>
      </c>
      <c r="AW147">
        <f t="shared" si="80"/>
        <v>6.8254269065978895E-3</v>
      </c>
      <c r="AX147">
        <f t="shared" si="81"/>
        <v>0.26847504032108882</v>
      </c>
      <c r="AY147">
        <f t="shared" si="82"/>
        <v>6.3144297568484831E-9</v>
      </c>
      <c r="AZ147">
        <f t="shared" si="83"/>
        <v>964852.16359160375</v>
      </c>
      <c r="BA147">
        <f t="shared" si="84"/>
        <v>9.1276714324673449E-6</v>
      </c>
      <c r="BB147" s="15">
        <f t="shared" si="85"/>
        <v>4973962.1873237807</v>
      </c>
      <c r="BC147" s="20">
        <f t="shared" si="86"/>
        <v>-28436.73845746927</v>
      </c>
      <c r="BD147" s="19">
        <f t="shared" si="87"/>
        <v>-0.56846202950573677</v>
      </c>
      <c r="BE147" s="15">
        <v>5520532.5</v>
      </c>
      <c r="BF147" s="16">
        <f>テーブル2[[#This Row],[q_P]]/テーブル2[[#This Row],[q_M]]</f>
        <v>0.90099318993661948</v>
      </c>
      <c r="BG147">
        <v>1</v>
      </c>
      <c r="BH147">
        <v>-0.03</v>
      </c>
      <c r="BI147">
        <v>4.5999999999999999E-2</v>
      </c>
      <c r="BJ147">
        <v>5625</v>
      </c>
      <c r="BK147" s="22">
        <v>1</v>
      </c>
      <c r="BL147">
        <f>テーブル2[[#This Row],[Ts]]-テーブル2[[#This Row],[Tin]]</f>
        <v>111.19124626971154</v>
      </c>
      <c r="BM147">
        <f>テーブル2[[#This Row],[q_P]]*0.000001</f>
        <v>4.9739621873237807</v>
      </c>
      <c r="BN147">
        <f>テーブル2[[#This Row],[Tsub]]</f>
        <v>111.19124626971154</v>
      </c>
      <c r="BO147">
        <f>テーブル2[[#This Row],[Fcorr]]</f>
        <v>1</v>
      </c>
      <c r="BP147">
        <f>(テーブル2[[#This Row],[Tsub]]-40)^2</f>
        <v>5068.1935454347176</v>
      </c>
      <c r="BQ147">
        <v>1</v>
      </c>
      <c r="BR147">
        <v>0.15240000000000001</v>
      </c>
    </row>
    <row r="148" spans="1:70" x14ac:dyDescent="0.15">
      <c r="A148" s="9" t="s">
        <v>216</v>
      </c>
      <c r="B148">
        <v>15513203.909628799</v>
      </c>
      <c r="C148" s="22">
        <f t="array" ref="C148">TsatFromP(テーブル2[[#This Row],[P]])</f>
        <v>617.97483343502051</v>
      </c>
      <c r="D148">
        <f t="array" ref="D148">RhoGFromP(テーブル2[[#This Row],[P]])</f>
        <v>102.22394330033012</v>
      </c>
      <c r="E148">
        <f t="array" ref="E148">RhoFFromP(テーブル2[[#This Row],[P]])</f>
        <v>593.99780321429478</v>
      </c>
      <c r="F148">
        <f t="array" ref="F148">HgFromP(テーブル2[[#This Row],[P]])</f>
        <v>2595333.5493798093</v>
      </c>
      <c r="G148">
        <f t="array" ref="G148">HfFromP(テーブル2[[#This Row],[P]])</f>
        <v>1630481.3857882055</v>
      </c>
      <c r="H148">
        <f t="array" ref="H148">MuGFromP(テーブル2[[#This Row],[P]])</f>
        <v>2.3048203873610289E-5</v>
      </c>
      <c r="I148">
        <f t="array" ref="I148">MuFFromP(テーブル2[[#This Row],[P]])</f>
        <v>6.8200503236293109E-5</v>
      </c>
      <c r="J148">
        <f t="array" ref="J148">KfFromP(テーブル2[[#This Row],[P]])</f>
        <v>0.47171772328903144</v>
      </c>
      <c r="K148">
        <f t="array" ref="K148">CpFFromP(テーブル2[[#This Row],[P]])</f>
        <v>9005.0430614720299</v>
      </c>
      <c r="L148">
        <f t="array" ref="L148">SigmaFromP(テーブル2[[#This Row],[P]])</f>
        <v>4.6429387983550419E-3</v>
      </c>
      <c r="M148">
        <v>147</v>
      </c>
      <c r="N148">
        <v>2997.2683000000002</v>
      </c>
      <c r="O148" s="8">
        <f t="shared" si="58"/>
        <v>2.8502295699234246E-6</v>
      </c>
      <c r="P148" s="8">
        <f t="shared" si="59"/>
        <v>5.9847340050885557E-3</v>
      </c>
      <c r="Q148" s="8">
        <v>1.905E-3</v>
      </c>
      <c r="R148">
        <v>0.15240000000000001</v>
      </c>
      <c r="S148" s="15">
        <v>5076080.76171875</v>
      </c>
      <c r="T148">
        <v>505.31581815094103</v>
      </c>
      <c r="U148" s="12">
        <f>+T148+BG148*S148*テーブル2[[#This Row],[Pw]]*R148/(N148*O148*K148)</f>
        <v>565.4978833876437</v>
      </c>
      <c r="V148">
        <v>0.03</v>
      </c>
      <c r="W148" s="8">
        <f t="shared" si="60"/>
        <v>83720.732847342311</v>
      </c>
      <c r="X148">
        <v>2.9536526159325539E-2</v>
      </c>
      <c r="Y148">
        <f t="shared" si="61"/>
        <v>5.8186239746990411</v>
      </c>
      <c r="Z148">
        <f t="shared" si="62"/>
        <v>5.8186239892910878</v>
      </c>
      <c r="AA148">
        <f t="shared" si="63"/>
        <v>-1.4592046682082582E-8</v>
      </c>
      <c r="AB148">
        <f t="shared" si="64"/>
        <v>9.9778822390283174E-6</v>
      </c>
      <c r="AC148">
        <v>709.86129122428724</v>
      </c>
      <c r="AD148">
        <f t="shared" si="65"/>
        <v>2543.5351287382805</v>
      </c>
      <c r="AE148">
        <f>+gettm2(AD148,AC148,AK148,AL148,テーブル2[[#This Row],[Fcorr]])</f>
        <v>565.49788448625657</v>
      </c>
      <c r="AF148" s="14">
        <f t="shared" si="66"/>
        <v>1.0986128700096742E-6</v>
      </c>
      <c r="AG148">
        <v>1.005861786816685E-5</v>
      </c>
      <c r="AH148">
        <f t="shared" si="67"/>
        <v>55.838768433577201</v>
      </c>
      <c r="AI148">
        <f t="shared" si="68"/>
        <v>0.30660236189664103</v>
      </c>
      <c r="AJ148">
        <f t="shared" si="69"/>
        <v>26.860312749855055</v>
      </c>
      <c r="AK148">
        <f t="array" ref="AK148">+S148*テーブル2[[#This Row],[F_form]]/(E148*CpFromTP((テーブル2[[#This Row],[Tin]]+テーブル2[[#This Row],[Tf]])/2,テーブル2[[#This Row],[P]])*AI148)</f>
        <v>5.7377428808436477</v>
      </c>
      <c r="AL148">
        <f t="shared" si="70"/>
        <v>1.3019406270656069</v>
      </c>
      <c r="AM148">
        <f t="shared" si="71"/>
        <v>617.97483343411091</v>
      </c>
      <c r="AN148">
        <f t="shared" si="72"/>
        <v>9.0960838861064985E-10</v>
      </c>
      <c r="AO148">
        <f t="shared" si="73"/>
        <v>8.073562913853255E-8</v>
      </c>
      <c r="AP148">
        <v>3.3280262779848999</v>
      </c>
      <c r="AQ148">
        <f t="shared" si="74"/>
        <v>3.0200174290873562E-5</v>
      </c>
      <c r="AR148">
        <f t="shared" si="75"/>
        <v>5.0696767486526913E-6</v>
      </c>
      <c r="AS148">
        <f t="shared" si="76"/>
        <v>13.537953702410281</v>
      </c>
      <c r="AT148">
        <f t="shared" si="77"/>
        <v>9.9774856312782596</v>
      </c>
      <c r="AU148">
        <f t="shared" si="78"/>
        <v>3.0591206603397127</v>
      </c>
      <c r="AV148">
        <f t="shared" si="79"/>
        <v>0.26890561764518717</v>
      </c>
      <c r="AW148">
        <f t="shared" si="80"/>
        <v>6.7771390038905161E-3</v>
      </c>
      <c r="AX148">
        <f t="shared" si="81"/>
        <v>0.26890561101057903</v>
      </c>
      <c r="AY148">
        <f t="shared" si="82"/>
        <v>6.6346081406543078E-9</v>
      </c>
      <c r="AZ148">
        <f t="shared" si="83"/>
        <v>964852.16359160375</v>
      </c>
      <c r="BA148">
        <f t="shared" si="84"/>
        <v>9.0744999493091702E-6</v>
      </c>
      <c r="BB148" s="15">
        <f t="shared" si="85"/>
        <v>5099036.7873276975</v>
      </c>
      <c r="BC148" s="20">
        <f t="shared" si="86"/>
        <v>22956.025608947501</v>
      </c>
      <c r="BD148" s="19">
        <f t="shared" si="87"/>
        <v>0.45223917204135733</v>
      </c>
      <c r="BE148" s="15">
        <v>5520532.5</v>
      </c>
      <c r="BF148" s="16">
        <f>テーブル2[[#This Row],[q_P]]/テーブル2[[#This Row],[q_M]]</f>
        <v>0.92364944637635904</v>
      </c>
      <c r="BG148">
        <v>1</v>
      </c>
      <c r="BH148">
        <v>-3.9E-2</v>
      </c>
      <c r="BI148">
        <v>4.5999999999999999E-2</v>
      </c>
      <c r="BJ148">
        <v>5625</v>
      </c>
      <c r="BK148" s="22">
        <v>1</v>
      </c>
      <c r="BL148">
        <f>テーブル2[[#This Row],[Ts]]-テーブル2[[#This Row],[Tin]]</f>
        <v>112.65901528407949</v>
      </c>
      <c r="BM148">
        <f>テーブル2[[#This Row],[q_P]]*0.000001</f>
        <v>5.0990367873276972</v>
      </c>
      <c r="BN148">
        <f>テーブル2[[#This Row],[Tsub]]</f>
        <v>112.65901528407949</v>
      </c>
      <c r="BO148">
        <f>テーブル2[[#This Row],[Fcorr]]</f>
        <v>1</v>
      </c>
      <c r="BP148">
        <f>(テーブル2[[#This Row],[Tsub]]-40)^2</f>
        <v>5279.332502052097</v>
      </c>
      <c r="BQ148">
        <v>1</v>
      </c>
      <c r="BR148">
        <v>0.15240000000000001</v>
      </c>
    </row>
    <row r="149" spans="1:70" x14ac:dyDescent="0.15">
      <c r="A149" s="9" t="s">
        <v>217</v>
      </c>
      <c r="B149">
        <v>15513203.909628799</v>
      </c>
      <c r="C149" s="22">
        <f t="array" ref="C149">TsatFromP(テーブル2[[#This Row],[P]])</f>
        <v>617.97483343502051</v>
      </c>
      <c r="D149">
        <f t="array" ref="D149">RhoGFromP(テーブル2[[#This Row],[P]])</f>
        <v>102.22394330033012</v>
      </c>
      <c r="E149">
        <f t="array" ref="E149">RhoFFromP(テーブル2[[#This Row],[P]])</f>
        <v>593.99780321429478</v>
      </c>
      <c r="F149">
        <f t="array" ref="F149">HgFromP(テーブル2[[#This Row],[P]])</f>
        <v>2595333.5493798093</v>
      </c>
      <c r="G149">
        <f t="array" ref="G149">HfFromP(テーブル2[[#This Row],[P]])</f>
        <v>1630481.3857882055</v>
      </c>
      <c r="H149">
        <f t="array" ref="H149">MuGFromP(テーブル2[[#This Row],[P]])</f>
        <v>2.3048203873610289E-5</v>
      </c>
      <c r="I149">
        <f t="array" ref="I149">MuFFromP(テーブル2[[#This Row],[P]])</f>
        <v>6.8200503236293109E-5</v>
      </c>
      <c r="J149">
        <f t="array" ref="J149">KfFromP(テーブル2[[#This Row],[P]])</f>
        <v>0.47171772328903144</v>
      </c>
      <c r="K149">
        <f t="array" ref="K149">CpFFromP(テーブル2[[#This Row],[P]])</f>
        <v>9005.0430614720299</v>
      </c>
      <c r="L149">
        <f t="array" ref="L149">SigmaFromP(テーブル2[[#This Row],[P]])</f>
        <v>4.6429387983550419E-3</v>
      </c>
      <c r="M149">
        <v>148</v>
      </c>
      <c r="N149">
        <v>3024.3928999999998</v>
      </c>
      <c r="O149" s="8">
        <f t="shared" si="58"/>
        <v>2.8502295699234246E-6</v>
      </c>
      <c r="P149" s="8">
        <f t="shared" si="59"/>
        <v>5.9847340050885557E-3</v>
      </c>
      <c r="Q149" s="8">
        <v>1.905E-3</v>
      </c>
      <c r="R149">
        <v>0.15240000000000001</v>
      </c>
      <c r="S149" s="15">
        <v>6789642.08984375</v>
      </c>
      <c r="T149">
        <v>464.11830000844998</v>
      </c>
      <c r="U149" s="12">
        <f>+T149+BG149*S149*テーブル2[[#This Row],[Pw]]*R149/(N149*O149*K149)</f>
        <v>543.89441006563823</v>
      </c>
      <c r="V149">
        <v>0.03</v>
      </c>
      <c r="W149" s="8">
        <f t="shared" si="60"/>
        <v>84478.386538268489</v>
      </c>
      <c r="X149">
        <v>2.9421300873239079E-2</v>
      </c>
      <c r="Y149">
        <f t="shared" si="61"/>
        <v>5.8300068407870205</v>
      </c>
      <c r="Z149">
        <f t="shared" si="62"/>
        <v>5.8300068521006256</v>
      </c>
      <c r="AA149">
        <f t="shared" si="63"/>
        <v>-1.1313605163820739E-8</v>
      </c>
      <c r="AB149">
        <f t="shared" si="64"/>
        <v>9.8380888363249655E-6</v>
      </c>
      <c r="AC149">
        <v>746.92101927760314</v>
      </c>
      <c r="AD149">
        <f t="shared" si="65"/>
        <v>2561.542448243682</v>
      </c>
      <c r="AE149">
        <f>+gettm2(AD149,AC149,AK149,AL149,テーブル2[[#This Row],[Fcorr]])</f>
        <v>543.89441153484836</v>
      </c>
      <c r="AF149" s="14">
        <f t="shared" si="66"/>
        <v>1.4692101331092999E-6</v>
      </c>
      <c r="AG149">
        <v>9.9435833207945902E-6</v>
      </c>
      <c r="AH149">
        <f t="shared" si="67"/>
        <v>56.632204188423465</v>
      </c>
      <c r="AI149">
        <f t="shared" si="68"/>
        <v>0.3087729970215124</v>
      </c>
      <c r="AJ149">
        <f t="shared" si="69"/>
        <v>26.74111366284852</v>
      </c>
      <c r="AK149">
        <f t="array" ref="AK149">+S149*テーブル2[[#This Row],[F_form]]/(E149*CpFromTP((テーブル2[[#This Row],[Tin]]+テーブル2[[#This Row],[Tf]])/2,テーブル2[[#This Row],[P]])*AI149)</f>
        <v>8.0635982007374132</v>
      </c>
      <c r="AL149">
        <f t="shared" si="70"/>
        <v>1.3019406270656069</v>
      </c>
      <c r="AM149">
        <f t="shared" si="71"/>
        <v>617.97483343617807</v>
      </c>
      <c r="AN149">
        <f t="shared" si="72"/>
        <v>-1.1575593816814944E-9</v>
      </c>
      <c r="AO149">
        <f t="shared" si="73"/>
        <v>1.054944844696247E-7</v>
      </c>
      <c r="AP149">
        <v>3.3471263183201452</v>
      </c>
      <c r="AQ149">
        <f t="shared" si="74"/>
        <v>2.9856489173134122E-5</v>
      </c>
      <c r="AR149">
        <f t="shared" si="75"/>
        <v>5.0245389026321074E-6</v>
      </c>
      <c r="AS149">
        <f t="shared" si="76"/>
        <v>13.512409114901702</v>
      </c>
      <c r="AT149">
        <f t="shared" si="77"/>
        <v>9.9680422847049144</v>
      </c>
      <c r="AU149">
        <f t="shared" si="78"/>
        <v>3.0778622906855002</v>
      </c>
      <c r="AV149">
        <f t="shared" si="79"/>
        <v>0.26926402763464496</v>
      </c>
      <c r="AW149">
        <f t="shared" si="80"/>
        <v>6.682189063687601E-3</v>
      </c>
      <c r="AX149">
        <f t="shared" si="81"/>
        <v>0.26926402014870021</v>
      </c>
      <c r="AY149">
        <f t="shared" si="82"/>
        <v>7.4859447529718182E-9</v>
      </c>
      <c r="AZ149">
        <f t="shared" si="83"/>
        <v>964852.16359160375</v>
      </c>
      <c r="BA149">
        <f t="shared" si="84"/>
        <v>8.9200365727811815E-6</v>
      </c>
      <c r="BB149" s="15">
        <f t="shared" si="85"/>
        <v>6778111.8795138942</v>
      </c>
      <c r="BC149" s="20">
        <f t="shared" si="86"/>
        <v>-11530.210329855792</v>
      </c>
      <c r="BD149" s="19">
        <f t="shared" si="87"/>
        <v>-0.16982059108981895</v>
      </c>
      <c r="BE149" s="15">
        <v>6561547.1999999993</v>
      </c>
      <c r="BF149" s="16">
        <f>テーブル2[[#This Row],[q_P]]/テーブル2[[#This Row],[q_M]]</f>
        <v>1.0330051240832185</v>
      </c>
      <c r="BG149">
        <v>1</v>
      </c>
      <c r="BH149">
        <v>-0.122</v>
      </c>
      <c r="BI149">
        <v>4.5999999999999999E-2</v>
      </c>
      <c r="BJ149">
        <v>5625</v>
      </c>
      <c r="BK149" s="22">
        <v>1</v>
      </c>
      <c r="BL149">
        <f>テーブル2[[#This Row],[Ts]]-テーブル2[[#This Row],[Tin]]</f>
        <v>153.85653342657054</v>
      </c>
      <c r="BM149">
        <f>テーブル2[[#This Row],[q_P]]*0.000001</f>
        <v>6.7781118795138937</v>
      </c>
      <c r="BN149">
        <f>テーブル2[[#This Row],[Tsub]]</f>
        <v>153.85653342657054</v>
      </c>
      <c r="BO149">
        <f>テーブル2[[#This Row],[Fcorr]]</f>
        <v>1</v>
      </c>
      <c r="BP149">
        <f>(テーブル2[[#This Row],[Tsub]]-40)^2</f>
        <v>12963.310203915773</v>
      </c>
      <c r="BQ149">
        <v>1</v>
      </c>
      <c r="BR149">
        <v>0.15240000000000001</v>
      </c>
    </row>
    <row r="150" spans="1:70" x14ac:dyDescent="0.15">
      <c r="A150" s="9" t="s">
        <v>218</v>
      </c>
      <c r="B150">
        <v>15513203.909628799</v>
      </c>
      <c r="C150" s="22">
        <f t="array" ref="C150">TsatFromP(テーブル2[[#This Row],[P]])</f>
        <v>617.97483343502051</v>
      </c>
      <c r="D150">
        <f t="array" ref="D150">RhoGFromP(テーブル2[[#This Row],[P]])</f>
        <v>102.22394330033012</v>
      </c>
      <c r="E150">
        <f t="array" ref="E150">RhoFFromP(テーブル2[[#This Row],[P]])</f>
        <v>593.99780321429478</v>
      </c>
      <c r="F150">
        <f t="array" ref="F150">HgFromP(テーブル2[[#This Row],[P]])</f>
        <v>2595333.5493798093</v>
      </c>
      <c r="G150">
        <f t="array" ref="G150">HfFromP(テーブル2[[#This Row],[P]])</f>
        <v>1630481.3857882055</v>
      </c>
      <c r="H150">
        <f t="array" ref="H150">MuGFromP(テーブル2[[#This Row],[P]])</f>
        <v>2.3048203873610289E-5</v>
      </c>
      <c r="I150">
        <f t="array" ref="I150">MuFFromP(テーブル2[[#This Row],[P]])</f>
        <v>6.8200503236293109E-5</v>
      </c>
      <c r="J150">
        <f t="array" ref="J150">KfFromP(テーブル2[[#This Row],[P]])</f>
        <v>0.47171772328903144</v>
      </c>
      <c r="K150">
        <f t="array" ref="K150">CpFFromP(テーブル2[[#This Row],[P]])</f>
        <v>9005.0430614720299</v>
      </c>
      <c r="L150">
        <f t="array" ref="L150">SigmaFromP(テーブル2[[#This Row],[P]])</f>
        <v>4.6429387983550419E-3</v>
      </c>
      <c r="M150">
        <v>149</v>
      </c>
      <c r="N150">
        <v>3024.3928999999998</v>
      </c>
      <c r="O150" s="8">
        <f t="shared" si="58"/>
        <v>2.8502295699234246E-6</v>
      </c>
      <c r="P150" s="8">
        <f t="shared" si="59"/>
        <v>5.9847340050885557E-3</v>
      </c>
      <c r="Q150" s="8">
        <v>1.905E-3</v>
      </c>
      <c r="R150">
        <v>0.15240000000000001</v>
      </c>
      <c r="S150" s="15">
        <v>6744360.3515625</v>
      </c>
      <c r="T150">
        <v>465.232089236273</v>
      </c>
      <c r="U150" s="12">
        <f>+T150+BG150*S150*テーブル2[[#This Row],[Pw]]*R150/(N150*O150*K150)</f>
        <v>544.47615343759662</v>
      </c>
      <c r="V150">
        <v>0.03</v>
      </c>
      <c r="W150" s="8">
        <f t="shared" si="60"/>
        <v>84478.386538268489</v>
      </c>
      <c r="X150">
        <v>2.9421300873239079E-2</v>
      </c>
      <c r="Y150">
        <f t="shared" si="61"/>
        <v>5.8300068407870205</v>
      </c>
      <c r="Z150">
        <f t="shared" si="62"/>
        <v>5.8300068521006256</v>
      </c>
      <c r="AA150">
        <f t="shared" si="63"/>
        <v>-1.1313605163820739E-8</v>
      </c>
      <c r="AB150">
        <f t="shared" si="64"/>
        <v>9.8380888363249655E-6</v>
      </c>
      <c r="AC150">
        <v>745.90025500633055</v>
      </c>
      <c r="AD150">
        <f t="shared" si="65"/>
        <v>2561.542448243682</v>
      </c>
      <c r="AE150">
        <f>+gettm2(AD150,AC150,AK150,AL150,テーブル2[[#This Row],[Fcorr]])</f>
        <v>544.47615343759674</v>
      </c>
      <c r="AF150" s="14">
        <f t="shared" si="66"/>
        <v>0</v>
      </c>
      <c r="AG150">
        <v>9.9428744009127979E-6</v>
      </c>
      <c r="AH150">
        <f t="shared" si="67"/>
        <v>56.632204188423465</v>
      </c>
      <c r="AI150">
        <f t="shared" si="68"/>
        <v>0.3087729970215124</v>
      </c>
      <c r="AJ150">
        <f t="shared" si="69"/>
        <v>26.739207176371238</v>
      </c>
      <c r="AK150">
        <f t="array" ref="AK150">+S150*テーブル2[[#This Row],[F_form]]/(E150*CpFromTP((テーブル2[[#This Row],[Tin]]+テーブル2[[#This Row],[Tf]])/2,テーブル2[[#This Row],[P]])*AI150)</f>
        <v>7.9999515386315334</v>
      </c>
      <c r="AL150">
        <f t="shared" si="70"/>
        <v>1.3019406270656069</v>
      </c>
      <c r="AM150">
        <f t="shared" si="71"/>
        <v>617.97483343622616</v>
      </c>
      <c r="AN150">
        <f t="shared" si="72"/>
        <v>-1.205648914037738E-9</v>
      </c>
      <c r="AO150">
        <f t="shared" si="73"/>
        <v>1.0478556458783237E-7</v>
      </c>
      <c r="AP150">
        <v>3.3469246973187352</v>
      </c>
      <c r="AQ150">
        <f t="shared" si="74"/>
        <v>2.986008643157602E-5</v>
      </c>
      <c r="AR150">
        <f t="shared" si="75"/>
        <v>5.0238299827503151E-6</v>
      </c>
      <c r="AS150">
        <f t="shared" si="76"/>
        <v>13.510502628424417</v>
      </c>
      <c r="AT150">
        <f t="shared" si="77"/>
        <v>9.9673367772827106</v>
      </c>
      <c r="AU150">
        <f t="shared" si="78"/>
        <v>3.0776444490443255</v>
      </c>
      <c r="AV150">
        <f t="shared" si="79"/>
        <v>0.26928024827440966</v>
      </c>
      <c r="AW150">
        <f t="shared" si="80"/>
        <v>6.682189063687601E-3</v>
      </c>
      <c r="AX150">
        <f t="shared" si="81"/>
        <v>0.26928024079490409</v>
      </c>
      <c r="AY150">
        <f t="shared" si="82"/>
        <v>7.4795055704512947E-9</v>
      </c>
      <c r="AZ150">
        <f t="shared" si="83"/>
        <v>964852.16359160375</v>
      </c>
      <c r="BA150">
        <f t="shared" si="84"/>
        <v>8.9216487169541999E-6</v>
      </c>
      <c r="BB150" s="15">
        <f t="shared" si="85"/>
        <v>6731346.5880341148</v>
      </c>
      <c r="BC150" s="20">
        <f t="shared" si="86"/>
        <v>-13013.7635283852</v>
      </c>
      <c r="BD150" s="19">
        <f t="shared" si="87"/>
        <v>-0.19295771355648628</v>
      </c>
      <c r="BE150" s="15">
        <v>6593093.0999999996</v>
      </c>
      <c r="BF150" s="16">
        <f>テーブル2[[#This Row],[q_P]]/テーブル2[[#This Row],[q_M]]</f>
        <v>1.0209694427087819</v>
      </c>
      <c r="BG150">
        <v>1</v>
      </c>
      <c r="BH150">
        <v>-0.113</v>
      </c>
      <c r="BI150">
        <v>4.5999999999999999E-2</v>
      </c>
      <c r="BJ150">
        <v>5625</v>
      </c>
      <c r="BK150" s="22">
        <v>1</v>
      </c>
      <c r="BL150">
        <f>テーブル2[[#This Row],[Ts]]-テーブル2[[#This Row],[Tin]]</f>
        <v>152.74274419874752</v>
      </c>
      <c r="BM150">
        <f>テーブル2[[#This Row],[q_P]]*0.000001</f>
        <v>6.7313465880341141</v>
      </c>
      <c r="BN150">
        <f>テーブル2[[#This Row],[Tsub]]</f>
        <v>152.74274419874752</v>
      </c>
      <c r="BO150">
        <f>テーブル2[[#This Row],[Fcorr]]</f>
        <v>1</v>
      </c>
      <c r="BP150">
        <f>(テーブル2[[#This Row],[Tsub]]-40)^2</f>
        <v>12710.926369464216</v>
      </c>
      <c r="BQ150">
        <v>1</v>
      </c>
      <c r="BR150">
        <v>0.15240000000000001</v>
      </c>
    </row>
    <row r="151" spans="1:70" x14ac:dyDescent="0.15">
      <c r="A151" s="9" t="s">
        <v>219</v>
      </c>
      <c r="B151">
        <v>15513203.909628799</v>
      </c>
      <c r="C151" s="22">
        <f t="array" ref="C151">TsatFromP(テーブル2[[#This Row],[P]])</f>
        <v>617.97483343502051</v>
      </c>
      <c r="D151">
        <f t="array" ref="D151">RhoGFromP(テーブル2[[#This Row],[P]])</f>
        <v>102.22394330033012</v>
      </c>
      <c r="E151">
        <f t="array" ref="E151">RhoFFromP(テーブル2[[#This Row],[P]])</f>
        <v>593.99780321429478</v>
      </c>
      <c r="F151">
        <f t="array" ref="F151">HgFromP(テーブル2[[#This Row],[P]])</f>
        <v>2595333.5493798093</v>
      </c>
      <c r="G151">
        <f t="array" ref="G151">HfFromP(テーブル2[[#This Row],[P]])</f>
        <v>1630481.3857882055</v>
      </c>
      <c r="H151">
        <f t="array" ref="H151">MuGFromP(テーブル2[[#This Row],[P]])</f>
        <v>2.3048203873610289E-5</v>
      </c>
      <c r="I151">
        <f t="array" ref="I151">MuFFromP(テーブル2[[#This Row],[P]])</f>
        <v>6.8200503236293109E-5</v>
      </c>
      <c r="J151">
        <f t="array" ref="J151">KfFromP(テーブル2[[#This Row],[P]])</f>
        <v>0.47171772328903144</v>
      </c>
      <c r="K151">
        <f t="array" ref="K151">CpFFromP(テーブル2[[#This Row],[P]])</f>
        <v>9005.0430614720299</v>
      </c>
      <c r="L151">
        <f t="array" ref="L151">SigmaFromP(テーブル2[[#This Row],[P]])</f>
        <v>4.6429387983550419E-3</v>
      </c>
      <c r="M151">
        <v>150</v>
      </c>
      <c r="N151">
        <v>3553.3226</v>
      </c>
      <c r="O151" s="8">
        <f t="shared" si="58"/>
        <v>2.8502295699234246E-6</v>
      </c>
      <c r="P151" s="8">
        <f t="shared" si="59"/>
        <v>5.9847340050885557E-3</v>
      </c>
      <c r="Q151" s="8">
        <v>1.905E-3</v>
      </c>
      <c r="R151">
        <v>0.15240000000000001</v>
      </c>
      <c r="S151" s="15">
        <v>3613308.22265625</v>
      </c>
      <c r="T151">
        <v>548.629770529251</v>
      </c>
      <c r="U151" s="12">
        <f>+T151+BG151*S151*テーブル2[[#This Row],[Pw]]*R151/(N151*O151*K151)</f>
        <v>584.76531107436381</v>
      </c>
      <c r="V151">
        <v>0.03</v>
      </c>
      <c r="W151" s="8">
        <f t="shared" si="60"/>
        <v>99252.633511328895</v>
      </c>
      <c r="X151">
        <v>2.7468199435430069E-2</v>
      </c>
      <c r="Y151">
        <f t="shared" si="61"/>
        <v>6.0337165478324737</v>
      </c>
      <c r="Z151">
        <f t="shared" si="62"/>
        <v>6.0337165682810801</v>
      </c>
      <c r="AA151">
        <f t="shared" si="63"/>
        <v>-2.0448606363743238E-8</v>
      </c>
      <c r="AB151">
        <f t="shared" si="64"/>
        <v>7.6339544209671053E-6</v>
      </c>
      <c r="AC151">
        <v>667.8142841403901</v>
      </c>
      <c r="AD151">
        <f t="shared" si="65"/>
        <v>2907.9179329237704</v>
      </c>
      <c r="AE151">
        <f>+gettm2(AD151,AC151,AK151,AL151,テーブル2[[#This Row],[Fcorr]])</f>
        <v>584.76531175250659</v>
      </c>
      <c r="AF151" s="14">
        <f t="shared" si="66"/>
        <v>6.7814278281730367E-7</v>
      </c>
      <c r="AG151">
        <v>7.6808897476370321E-6</v>
      </c>
      <c r="AH151">
        <f t="shared" si="67"/>
        <v>72.983492575270361</v>
      </c>
      <c r="AI151">
        <f t="shared" si="68"/>
        <v>0.3505257294709711</v>
      </c>
      <c r="AJ151">
        <f t="shared" si="69"/>
        <v>23.449235735395341</v>
      </c>
      <c r="AK151">
        <f t="array" ref="AK151">+S151*テーブル2[[#This Row],[F_form]]/(E151*CpFromTP((テーブル2[[#This Row],[Tin]]+テーブル2[[#This Row],[Tf]])/2,テーブル2[[#This Row],[P]])*AI151)</f>
        <v>3.2569680542540387</v>
      </c>
      <c r="AL151">
        <f t="shared" si="70"/>
        <v>1.3019406270656069</v>
      </c>
      <c r="AM151">
        <f t="shared" si="71"/>
        <v>617.97483340313624</v>
      </c>
      <c r="AN151">
        <f t="shared" si="72"/>
        <v>3.1884269446891267E-8</v>
      </c>
      <c r="AO151">
        <f t="shared" si="73"/>
        <v>4.6935326669926783E-8</v>
      </c>
      <c r="AP151">
        <v>3.5446445559082989</v>
      </c>
      <c r="AQ151">
        <f t="shared" si="74"/>
        <v>2.6621808710776569E-5</v>
      </c>
      <c r="AR151">
        <f t="shared" si="75"/>
        <v>3.8639125371534794E-6</v>
      </c>
      <c r="AS151">
        <f t="shared" si="76"/>
        <v>11.796263053057835</v>
      </c>
      <c r="AT151">
        <f t="shared" si="77"/>
        <v>9.2889139544789572</v>
      </c>
      <c r="AU151">
        <f t="shared" si="78"/>
        <v>3.2560033398868193</v>
      </c>
      <c r="AV151">
        <f t="shared" si="79"/>
        <v>0.28864121602147952</v>
      </c>
      <c r="AW151">
        <f t="shared" si="80"/>
        <v>5.185105318029579E-3</v>
      </c>
      <c r="AX151">
        <f t="shared" si="81"/>
        <v>0.28864120212984018</v>
      </c>
      <c r="AY151">
        <f t="shared" si="82"/>
        <v>1.3891639338847739E-8</v>
      </c>
      <c r="AZ151">
        <f t="shared" si="83"/>
        <v>964852.16359160375</v>
      </c>
      <c r="BA151">
        <f t="shared" si="84"/>
        <v>7.5104310998976461E-6</v>
      </c>
      <c r="BB151" s="15">
        <f t="shared" si="85"/>
        <v>3581628.9560783198</v>
      </c>
      <c r="BC151" s="20">
        <f t="shared" si="86"/>
        <v>-31679.26657793019</v>
      </c>
      <c r="BD151" s="19">
        <f t="shared" si="87"/>
        <v>-0.87673856271917538</v>
      </c>
      <c r="BE151" s="15">
        <v>4700339.0999999996</v>
      </c>
      <c r="BF151" s="16">
        <f>テーブル2[[#This Row],[q_P]]/テーブル2[[#This Row],[q_M]]</f>
        <v>0.76199373702172257</v>
      </c>
      <c r="BG151">
        <v>1</v>
      </c>
      <c r="BH151">
        <v>3.0000000000000001E-3</v>
      </c>
      <c r="BI151">
        <v>4.5999999999999999E-2</v>
      </c>
      <c r="BJ151">
        <v>5625</v>
      </c>
      <c r="BK151" s="22">
        <v>1</v>
      </c>
      <c r="BL151">
        <f>テーブル2[[#This Row],[Ts]]-テーブル2[[#This Row],[Tin]]</f>
        <v>69.34506290576951</v>
      </c>
      <c r="BM151">
        <f>テーブル2[[#This Row],[q_P]]*0.000001</f>
        <v>3.5816289560783194</v>
      </c>
      <c r="BN151">
        <f>テーブル2[[#This Row],[Tsub]]</f>
        <v>69.34506290576951</v>
      </c>
      <c r="BO151">
        <f>テーブル2[[#This Row],[Fcorr]]</f>
        <v>1</v>
      </c>
      <c r="BP151">
        <f>(テーブル2[[#This Row],[Tsub]]-40)^2</f>
        <v>861.13271694356968</v>
      </c>
      <c r="BQ151">
        <v>1</v>
      </c>
      <c r="BR151">
        <v>0.15240000000000001</v>
      </c>
    </row>
    <row r="152" spans="1:70" x14ac:dyDescent="0.15">
      <c r="A152" s="9" t="s">
        <v>220</v>
      </c>
      <c r="B152">
        <v>15513203.909628799</v>
      </c>
      <c r="C152" s="22">
        <f t="array" ref="C152">TsatFromP(テーブル2[[#This Row],[P]])</f>
        <v>617.97483343502051</v>
      </c>
      <c r="D152">
        <f t="array" ref="D152">RhoGFromP(テーブル2[[#This Row],[P]])</f>
        <v>102.22394330033012</v>
      </c>
      <c r="E152">
        <f t="array" ref="E152">RhoFFromP(テーブル2[[#This Row],[P]])</f>
        <v>593.99780321429478</v>
      </c>
      <c r="F152">
        <f t="array" ref="F152">HgFromP(テーブル2[[#This Row],[P]])</f>
        <v>2595333.5493798093</v>
      </c>
      <c r="G152">
        <f t="array" ref="G152">HfFromP(テーブル2[[#This Row],[P]])</f>
        <v>1630481.3857882055</v>
      </c>
      <c r="H152">
        <f t="array" ref="H152">MuGFromP(テーブル2[[#This Row],[P]])</f>
        <v>2.3048203873610289E-5</v>
      </c>
      <c r="I152">
        <f t="array" ref="I152">MuFFromP(テーブル2[[#This Row],[P]])</f>
        <v>6.8200503236293109E-5</v>
      </c>
      <c r="J152">
        <f t="array" ref="J152">KfFromP(テーブル2[[#This Row],[P]])</f>
        <v>0.47171772328903144</v>
      </c>
      <c r="K152">
        <f t="array" ref="K152">CpFFromP(テーブル2[[#This Row],[P]])</f>
        <v>9005.0430614720299</v>
      </c>
      <c r="L152">
        <f t="array" ref="L152">SigmaFromP(テーブル2[[#This Row],[P]])</f>
        <v>4.6429387983550419E-3</v>
      </c>
      <c r="M152">
        <v>151</v>
      </c>
      <c r="N152">
        <v>3675.3833</v>
      </c>
      <c r="O152" s="8">
        <f t="shared" ref="O152:O183" si="88">PI()*Q152^2/4</f>
        <v>2.8502295699234246E-6</v>
      </c>
      <c r="P152" s="8">
        <f t="shared" ref="P152:P183" si="89">PI()*Q152</f>
        <v>5.9847340050885557E-3</v>
      </c>
      <c r="Q152" s="8">
        <v>1.905E-3</v>
      </c>
      <c r="R152">
        <v>0.15240000000000001</v>
      </c>
      <c r="S152" s="15">
        <v>4028926.32421875</v>
      </c>
      <c r="T152">
        <v>541.45534065612401</v>
      </c>
      <c r="U152" s="12">
        <f>+T152+BG152*S152*テーブル2[[#This Row],[Pw]]*R152/(N152*O152*K152)</f>
        <v>580.40923413832354</v>
      </c>
      <c r="V152">
        <v>0.03</v>
      </c>
      <c r="W152" s="8">
        <f t="shared" si="60"/>
        <v>102662.07512049668</v>
      </c>
      <c r="X152">
        <v>2.708359145704433E-2</v>
      </c>
      <c r="Y152">
        <f t="shared" si="61"/>
        <v>6.0764072462979852</v>
      </c>
      <c r="Z152">
        <f t="shared" si="62"/>
        <v>6.0764072546537502</v>
      </c>
      <c r="AA152">
        <f t="shared" si="63"/>
        <v>-8.3557649688259517E-9</v>
      </c>
      <c r="AB152">
        <f t="shared" si="64"/>
        <v>7.2366488824017176E-6</v>
      </c>
      <c r="AC152">
        <v>672.75768533763062</v>
      </c>
      <c r="AD152">
        <f t="shared" si="65"/>
        <v>2986.6764416017722</v>
      </c>
      <c r="AE152">
        <f>+gettm2(AD152,AC152,AK152,AL152,テーブル2[[#This Row],[Fcorr]])</f>
        <v>580.40923413832365</v>
      </c>
      <c r="AF152" s="14">
        <f t="shared" si="66"/>
        <v>0</v>
      </c>
      <c r="AG152">
        <v>7.2876711654072331E-6</v>
      </c>
      <c r="AH152">
        <f t="shared" si="67"/>
        <v>76.990422619163439</v>
      </c>
      <c r="AI152">
        <f t="shared" si="68"/>
        <v>0.36001942370279044</v>
      </c>
      <c r="AJ152">
        <f t="shared" si="69"/>
        <v>22.851355153661224</v>
      </c>
      <c r="AK152">
        <f t="array" ref="AK152">+S152*テーブル2[[#This Row],[F_form]]/(E152*CpFromTP((テーブル2[[#This Row],[Tin]]+テーブル2[[#This Row],[Tf]])/2,テーブル2[[#This Row],[P]])*AI152)</f>
        <v>3.6121055554388795</v>
      </c>
      <c r="AL152">
        <f t="shared" si="70"/>
        <v>1.3019406270656069</v>
      </c>
      <c r="AM152">
        <f t="shared" si="71"/>
        <v>617.9748334212976</v>
      </c>
      <c r="AN152">
        <f t="shared" si="72"/>
        <v>1.3722910807700828E-8</v>
      </c>
      <c r="AO152">
        <f t="shared" si="73"/>
        <v>5.1022283005515521E-8</v>
      </c>
      <c r="AP152">
        <v>3.591852487816217</v>
      </c>
      <c r="AQ152">
        <f t="shared" si="74"/>
        <v>2.5926623316764372E-5</v>
      </c>
      <c r="AR152">
        <f t="shared" si="75"/>
        <v>3.6693467242063743E-6</v>
      </c>
      <c r="AS152">
        <f t="shared" si="76"/>
        <v>11.505670779271197</v>
      </c>
      <c r="AT152">
        <f t="shared" si="77"/>
        <v>9.1642001253539185</v>
      </c>
      <c r="AU152">
        <f t="shared" si="78"/>
        <v>3.2992900478269576</v>
      </c>
      <c r="AV152">
        <f t="shared" si="79"/>
        <v>0.29256243998925946</v>
      </c>
      <c r="AW152">
        <f t="shared" si="80"/>
        <v>4.9152489700220649E-3</v>
      </c>
      <c r="AX152">
        <f t="shared" si="81"/>
        <v>0.29256243024165468</v>
      </c>
      <c r="AY152">
        <f t="shared" si="82"/>
        <v>9.7476047788980225E-9</v>
      </c>
      <c r="AZ152">
        <f t="shared" si="83"/>
        <v>964852.16359160375</v>
      </c>
      <c r="BA152">
        <f t="shared" si="84"/>
        <v>7.2181759703966304E-6</v>
      </c>
      <c r="BB152" s="15">
        <f t="shared" si="85"/>
        <v>4051147.3124386272</v>
      </c>
      <c r="BC152" s="20">
        <f t="shared" si="86"/>
        <v>22220.988219877239</v>
      </c>
      <c r="BD152" s="19">
        <f t="shared" si="87"/>
        <v>0.55153622656989432</v>
      </c>
      <c r="BE152" s="15">
        <v>5078889.9000000004</v>
      </c>
      <c r="BF152" s="16">
        <f>テーブル2[[#This Row],[q_P]]/テーブル2[[#This Row],[q_M]]</f>
        <v>0.79764424750350016</v>
      </c>
      <c r="BG152">
        <v>1</v>
      </c>
      <c r="BH152">
        <v>-1.4E-2</v>
      </c>
      <c r="BI152">
        <v>4.5999999999999999E-2</v>
      </c>
      <c r="BJ152">
        <v>5625</v>
      </c>
      <c r="BK152" s="22">
        <v>1</v>
      </c>
      <c r="BL152">
        <f>テーブル2[[#This Row],[Ts]]-テーブル2[[#This Row],[Tin]]</f>
        <v>76.519492778896506</v>
      </c>
      <c r="BM152">
        <f>テーブル2[[#This Row],[q_P]]*0.000001</f>
        <v>4.0511473124386272</v>
      </c>
      <c r="BN152">
        <f>テーブル2[[#This Row],[Tsub]]</f>
        <v>76.519492778896506</v>
      </c>
      <c r="BO152">
        <f>テーブル2[[#This Row],[Fcorr]]</f>
        <v>1</v>
      </c>
      <c r="BP152">
        <f>(テーブル2[[#This Row],[Tsub]]-40)^2</f>
        <v>1333.6733528278739</v>
      </c>
      <c r="BQ152">
        <v>1</v>
      </c>
      <c r="BR152">
        <v>0.15240000000000001</v>
      </c>
    </row>
    <row r="153" spans="1:70" x14ac:dyDescent="0.15">
      <c r="A153" s="9" t="s">
        <v>221</v>
      </c>
      <c r="B153">
        <v>15513203.909628799</v>
      </c>
      <c r="C153" s="22">
        <f t="array" ref="C153">TsatFromP(テーブル2[[#This Row],[P]])</f>
        <v>617.97483343502051</v>
      </c>
      <c r="D153">
        <f t="array" ref="D153">RhoGFromP(テーブル2[[#This Row],[P]])</f>
        <v>102.22394330033012</v>
      </c>
      <c r="E153">
        <f t="array" ref="E153">RhoFFromP(テーブル2[[#This Row],[P]])</f>
        <v>593.99780321429478</v>
      </c>
      <c r="F153">
        <f t="array" ref="F153">HgFromP(テーブル2[[#This Row],[P]])</f>
        <v>2595333.5493798093</v>
      </c>
      <c r="G153">
        <f t="array" ref="G153">HfFromP(テーブル2[[#This Row],[P]])</f>
        <v>1630481.3857882055</v>
      </c>
      <c r="H153">
        <f t="array" ref="H153">MuGFromP(テーブル2[[#This Row],[P]])</f>
        <v>2.3048203873610289E-5</v>
      </c>
      <c r="I153">
        <f t="array" ref="I153">MuFFromP(テーブル2[[#This Row],[P]])</f>
        <v>6.8200503236293109E-5</v>
      </c>
      <c r="J153">
        <f t="array" ref="J153">KfFromP(テーブル2[[#This Row],[P]])</f>
        <v>0.47171772328903144</v>
      </c>
      <c r="K153">
        <f t="array" ref="K153">CpFFromP(テーブル2[[#This Row],[P]])</f>
        <v>9005.0430614720299</v>
      </c>
      <c r="L153">
        <f t="array" ref="L153">SigmaFromP(テーブル2[[#This Row],[P]])</f>
        <v>4.6429387983550419E-3</v>
      </c>
      <c r="M153">
        <v>152</v>
      </c>
      <c r="N153">
        <v>3743.1948000000002</v>
      </c>
      <c r="O153" s="8">
        <f t="shared" si="88"/>
        <v>2.8502295699234246E-6</v>
      </c>
      <c r="P153" s="8">
        <f t="shared" si="89"/>
        <v>5.9847340050885557E-3</v>
      </c>
      <c r="Q153" s="8">
        <v>1.905E-3</v>
      </c>
      <c r="R153">
        <v>0.15240000000000001</v>
      </c>
      <c r="S153" s="15">
        <v>4286578.0601562494</v>
      </c>
      <c r="T153">
        <v>536.98317199257201</v>
      </c>
      <c r="U153" s="12">
        <f>+T153+BG153*S153*テーブル2[[#This Row],[Pw]]*R153/(N153*O153*K153)</f>
        <v>577.67736985044382</v>
      </c>
      <c r="V153">
        <v>0.03</v>
      </c>
      <c r="W153" s="8">
        <f t="shared" si="60"/>
        <v>104556.20934781212</v>
      </c>
      <c r="X153">
        <v>2.6878779410128451E-2</v>
      </c>
      <c r="Y153">
        <f t="shared" si="61"/>
        <v>6.0995139434554897</v>
      </c>
      <c r="Z153">
        <f t="shared" si="62"/>
        <v>6.0995139494937094</v>
      </c>
      <c r="AA153">
        <f t="shared" si="63"/>
        <v>-6.0382197020203421E-9</v>
      </c>
      <c r="AB153">
        <f t="shared" si="64"/>
        <v>7.0299887495018681E-6</v>
      </c>
      <c r="AC153">
        <v>675.83911673614705</v>
      </c>
      <c r="AD153">
        <f t="shared" si="65"/>
        <v>3030.2580390165544</v>
      </c>
      <c r="AE153">
        <f>+gettm2(AD153,AC153,AK153,AL153,テーブル2[[#This Row],[Fcorr]])</f>
        <v>577.67736985044371</v>
      </c>
      <c r="AF153" s="14">
        <f t="shared" si="66"/>
        <v>0</v>
      </c>
      <c r="AG153">
        <v>7.0826251157525323E-6</v>
      </c>
      <c r="AH153">
        <f t="shared" si="67"/>
        <v>79.253705184390782</v>
      </c>
      <c r="AI153">
        <f t="shared" si="68"/>
        <v>0.36527282891494062</v>
      </c>
      <c r="AJ153">
        <f t="shared" si="69"/>
        <v>22.532474219789673</v>
      </c>
      <c r="AK153">
        <f t="array" ref="AK153">+S153*テーブル2[[#This Row],[F_form]]/(E153*CpFromTP((テーブル2[[#This Row],[Tin]]+テーブル2[[#This Row],[Tf]])/2,テーブル2[[#This Row],[P]])*AI153)</f>
        <v>3.8339986564199036</v>
      </c>
      <c r="AL153">
        <f t="shared" si="70"/>
        <v>1.3019406270656069</v>
      </c>
      <c r="AM153">
        <f t="shared" si="71"/>
        <v>617.97483338798406</v>
      </c>
      <c r="AN153">
        <f t="shared" si="72"/>
        <v>4.7036451178428251E-8</v>
      </c>
      <c r="AO153">
        <f t="shared" si="73"/>
        <v>5.2636366250664286E-8</v>
      </c>
      <c r="AP153">
        <v>3.6172923743649958</v>
      </c>
      <c r="AQ153">
        <f t="shared" si="74"/>
        <v>2.556322939834163E-5</v>
      </c>
      <c r="AR153">
        <f t="shared" si="75"/>
        <v>3.5676307410015983E-6</v>
      </c>
      <c r="AS153">
        <f t="shared" si="76"/>
        <v>11.349965074186544</v>
      </c>
      <c r="AT153">
        <f t="shared" si="77"/>
        <v>9.0960733337924804</v>
      </c>
      <c r="AU153">
        <f t="shared" si="78"/>
        <v>3.3225484386521345</v>
      </c>
      <c r="AV153">
        <f t="shared" si="79"/>
        <v>0.29474393571286139</v>
      </c>
      <c r="AW153">
        <f t="shared" si="80"/>
        <v>4.7748820651345248E-3</v>
      </c>
      <c r="AX153">
        <f t="shared" si="81"/>
        <v>0.29474393026351431</v>
      </c>
      <c r="AY153">
        <f t="shared" si="82"/>
        <v>5.44934708468503E-9</v>
      </c>
      <c r="AZ153">
        <f t="shared" si="83"/>
        <v>964852.16359160375</v>
      </c>
      <c r="BA153">
        <f t="shared" si="84"/>
        <v>7.0669513969904557E-6</v>
      </c>
      <c r="BB153" s="15">
        <f t="shared" si="85"/>
        <v>4268737.1093809735</v>
      </c>
      <c r="BC153" s="20">
        <f t="shared" si="86"/>
        <v>-17840.950775275938</v>
      </c>
      <c r="BD153" s="19">
        <f t="shared" si="87"/>
        <v>-0.4162049664068318</v>
      </c>
      <c r="BE153" s="15">
        <v>5552078.4000000004</v>
      </c>
      <c r="BF153" s="16">
        <f>テーブル2[[#This Row],[q_P]]/テーブル2[[#This Row],[q_M]]</f>
        <v>0.76885389611590738</v>
      </c>
      <c r="BG153">
        <v>1</v>
      </c>
      <c r="BH153">
        <v>-3.0000000000000001E-3</v>
      </c>
      <c r="BI153">
        <v>4.5999999999999999E-2</v>
      </c>
      <c r="BJ153">
        <v>5625</v>
      </c>
      <c r="BK153" s="22">
        <v>1</v>
      </c>
      <c r="BL153">
        <f>テーブル2[[#This Row],[Ts]]-テーブル2[[#This Row],[Tin]]</f>
        <v>80.991661442448503</v>
      </c>
      <c r="BM153">
        <f>テーブル2[[#This Row],[q_P]]*0.000001</f>
        <v>4.2687371093809734</v>
      </c>
      <c r="BN153">
        <f>テーブル2[[#This Row],[Tsub]]</f>
        <v>80.991661442448503</v>
      </c>
      <c r="BO153">
        <f>テーブル2[[#This Row],[Fcorr]]</f>
        <v>1</v>
      </c>
      <c r="BP153">
        <f>(テーブル2[[#This Row],[Tsub]]-40)^2</f>
        <v>1680.3163078123193</v>
      </c>
      <c r="BQ153">
        <v>1</v>
      </c>
      <c r="BR153">
        <v>0.15240000000000001</v>
      </c>
    </row>
    <row r="154" spans="1:70" x14ac:dyDescent="0.15">
      <c r="A154" s="9" t="s">
        <v>222</v>
      </c>
      <c r="B154">
        <v>15513203.909628799</v>
      </c>
      <c r="C154" s="22">
        <f t="array" ref="C154">TsatFromP(テーブル2[[#This Row],[P]])</f>
        <v>617.97483343502051</v>
      </c>
      <c r="D154">
        <f t="array" ref="D154">RhoGFromP(テーブル2[[#This Row],[P]])</f>
        <v>102.22394330033012</v>
      </c>
      <c r="E154">
        <f t="array" ref="E154">RhoFFromP(テーブル2[[#This Row],[P]])</f>
        <v>593.99780321429478</v>
      </c>
      <c r="F154">
        <f t="array" ref="F154">HgFromP(テーブル2[[#This Row],[P]])</f>
        <v>2595333.5493798093</v>
      </c>
      <c r="G154">
        <f t="array" ref="G154">HfFromP(テーブル2[[#This Row],[P]])</f>
        <v>1630481.3857882055</v>
      </c>
      <c r="H154">
        <f t="array" ref="H154">MuGFromP(テーブル2[[#This Row],[P]])</f>
        <v>2.3048203873610289E-5</v>
      </c>
      <c r="I154">
        <f t="array" ref="I154">MuFFromP(テーブル2[[#This Row],[P]])</f>
        <v>6.8200503236293109E-5</v>
      </c>
      <c r="J154">
        <f t="array" ref="J154">KfFromP(テーブル2[[#This Row],[P]])</f>
        <v>0.47171772328903144</v>
      </c>
      <c r="K154">
        <f t="array" ref="K154">CpFFromP(テーブル2[[#This Row],[P]])</f>
        <v>9005.0430614720299</v>
      </c>
      <c r="L154">
        <f t="array" ref="L154">SigmaFromP(テーブル2[[#This Row],[P]])</f>
        <v>4.6429387983550419E-3</v>
      </c>
      <c r="M154">
        <v>153</v>
      </c>
      <c r="N154">
        <v>3811.0063</v>
      </c>
      <c r="O154" s="8">
        <f t="shared" si="88"/>
        <v>2.8502295699234246E-6</v>
      </c>
      <c r="P154" s="8">
        <f t="shared" si="89"/>
        <v>5.9847340050885557E-3</v>
      </c>
      <c r="Q154" s="8">
        <v>1.905E-3</v>
      </c>
      <c r="R154">
        <v>0.15240000000000001</v>
      </c>
      <c r="S154" s="15">
        <v>4116640.52734375</v>
      </c>
      <c r="T154">
        <v>541.45534065612401</v>
      </c>
      <c r="U154" s="12">
        <f>+T154+BG154*S154*テーブル2[[#This Row],[Pw]]*R154/(N154*O154*K154)</f>
        <v>579.84086372052525</v>
      </c>
      <c r="V154">
        <v>0.03</v>
      </c>
      <c r="W154" s="8">
        <f t="shared" si="60"/>
        <v>106450.34357512755</v>
      </c>
      <c r="X154">
        <v>2.667991224564829E-2</v>
      </c>
      <c r="Y154">
        <f t="shared" si="61"/>
        <v>6.1222040681412571</v>
      </c>
      <c r="Z154">
        <f t="shared" si="62"/>
        <v>6.1222040707463092</v>
      </c>
      <c r="AA154">
        <f t="shared" si="63"/>
        <v>-2.6050521739762189E-9</v>
      </c>
      <c r="AB154">
        <f t="shared" si="64"/>
        <v>6.8325890505261315E-6</v>
      </c>
      <c r="AC154">
        <v>671.87819721699577</v>
      </c>
      <c r="AD154">
        <f t="shared" si="65"/>
        <v>3073.7198141315603</v>
      </c>
      <c r="AE154">
        <f>+gettm2(AD154,AC154,AK154,AL154,テーブル2[[#This Row],[Fcorr]])</f>
        <v>579.84086372052525</v>
      </c>
      <c r="AF154" s="14">
        <f t="shared" si="66"/>
        <v>0</v>
      </c>
      <c r="AG154">
        <v>6.8819209187382773E-6</v>
      </c>
      <c r="AH154">
        <f t="shared" si="67"/>
        <v>81.543416658389901</v>
      </c>
      <c r="AI154">
        <f t="shared" si="68"/>
        <v>0.37051179052861077</v>
      </c>
      <c r="AJ154">
        <f t="shared" si="69"/>
        <v>22.207975524632353</v>
      </c>
      <c r="AK154">
        <f t="array" ref="AK154">+S154*テーブル2[[#This Row],[F_form]]/(E154*CpFromTP((テーブル2[[#This Row],[Tin]]+テーブル2[[#This Row],[Tf]])/2,テーブル2[[#This Row],[P]])*AI154)</f>
        <v>3.5897488222574236</v>
      </c>
      <c r="AL154">
        <f t="shared" si="70"/>
        <v>1.3019406270656069</v>
      </c>
      <c r="AM154">
        <f t="shared" si="71"/>
        <v>617.9748334183588</v>
      </c>
      <c r="AN154">
        <f t="shared" si="72"/>
        <v>1.6661715562804602E-8</v>
      </c>
      <c r="AO154">
        <f t="shared" si="73"/>
        <v>4.9331868212145839E-8</v>
      </c>
      <c r="AP154">
        <v>3.6399545050422062</v>
      </c>
      <c r="AQ154">
        <f t="shared" si="74"/>
        <v>2.5245910130882246E-5</v>
      </c>
      <c r="AR154">
        <f t="shared" si="75"/>
        <v>3.4656263934752116E-6</v>
      </c>
      <c r="AS154">
        <f t="shared" si="76"/>
        <v>11.183584791603209</v>
      </c>
      <c r="AT154">
        <f t="shared" si="77"/>
        <v>9.0222352979399574</v>
      </c>
      <c r="AU154">
        <f t="shared" si="78"/>
        <v>3.3428445548101675</v>
      </c>
      <c r="AV154">
        <f t="shared" si="79"/>
        <v>0.29710995023203868</v>
      </c>
      <c r="AW154">
        <f t="shared" si="80"/>
        <v>4.6408049967510238E-3</v>
      </c>
      <c r="AX154">
        <f t="shared" si="81"/>
        <v>0.29710994728886525</v>
      </c>
      <c r="AY154">
        <f t="shared" si="82"/>
        <v>2.9431734271945231E-9</v>
      </c>
      <c r="AZ154">
        <f t="shared" si="83"/>
        <v>964852.16359160375</v>
      </c>
      <c r="BA154">
        <f t="shared" si="84"/>
        <v>6.9357762839921849E-6</v>
      </c>
      <c r="BB154" s="15">
        <f t="shared" si="85"/>
        <v>4076412.2699817535</v>
      </c>
      <c r="BC154" s="20">
        <f t="shared" si="86"/>
        <v>-40228.257361996453</v>
      </c>
      <c r="BD154" s="19">
        <f t="shared" si="87"/>
        <v>-0.97721083720549229</v>
      </c>
      <c r="BE154" s="15">
        <v>5236619.4000000004</v>
      </c>
      <c r="BF154" s="16">
        <f>テーブル2[[#This Row],[q_P]]/テーブル2[[#This Row],[q_M]]</f>
        <v>0.7784434877932418</v>
      </c>
      <c r="BG154">
        <v>1</v>
      </c>
      <c r="BH154">
        <v>-1.7000000000000001E-2</v>
      </c>
      <c r="BI154">
        <v>4.5999999999999999E-2</v>
      </c>
      <c r="BJ154">
        <v>5625</v>
      </c>
      <c r="BK154" s="22">
        <v>1</v>
      </c>
      <c r="BL154">
        <f>テーブル2[[#This Row],[Ts]]-テーブル2[[#This Row],[Tin]]</f>
        <v>76.519492778896506</v>
      </c>
      <c r="BM154">
        <f>テーブル2[[#This Row],[q_P]]*0.000001</f>
        <v>4.0764122699817538</v>
      </c>
      <c r="BN154">
        <f>テーブル2[[#This Row],[Tsub]]</f>
        <v>76.519492778896506</v>
      </c>
      <c r="BO154">
        <f>テーブル2[[#This Row],[Fcorr]]</f>
        <v>1</v>
      </c>
      <c r="BP154">
        <f>(テーブル2[[#This Row],[Tsub]]-40)^2</f>
        <v>1333.6733528278739</v>
      </c>
      <c r="BQ154">
        <v>1</v>
      </c>
      <c r="BR154">
        <v>0.15240000000000001</v>
      </c>
    </row>
    <row r="155" spans="1:70" x14ac:dyDescent="0.15">
      <c r="A155" s="9" t="s">
        <v>223</v>
      </c>
      <c r="B155">
        <v>15513203.909628799</v>
      </c>
      <c r="C155" s="22">
        <f t="array" ref="C155">TsatFromP(テーブル2[[#This Row],[P]])</f>
        <v>617.97483343502051</v>
      </c>
      <c r="D155">
        <f t="array" ref="D155">RhoGFromP(テーブル2[[#This Row],[P]])</f>
        <v>102.22394330033012</v>
      </c>
      <c r="E155">
        <f t="array" ref="E155">RhoFFromP(テーブル2[[#This Row],[P]])</f>
        <v>593.99780321429478</v>
      </c>
      <c r="F155">
        <f t="array" ref="F155">HgFromP(テーブル2[[#This Row],[P]])</f>
        <v>2595333.5493798093</v>
      </c>
      <c r="G155">
        <f t="array" ref="G155">HfFromP(テーブル2[[#This Row],[P]])</f>
        <v>1630481.3857882055</v>
      </c>
      <c r="H155">
        <f t="array" ref="H155">MuGFromP(テーブル2[[#This Row],[P]])</f>
        <v>2.3048203873610289E-5</v>
      </c>
      <c r="I155">
        <f t="array" ref="I155">MuFFromP(テーブル2[[#This Row],[P]])</f>
        <v>6.8200503236293109E-5</v>
      </c>
      <c r="J155">
        <f t="array" ref="J155">KfFromP(テーブル2[[#This Row],[P]])</f>
        <v>0.47171772328903144</v>
      </c>
      <c r="K155">
        <f t="array" ref="K155">CpFFromP(テーブル2[[#This Row],[P]])</f>
        <v>9005.0430614720299</v>
      </c>
      <c r="L155">
        <f t="array" ref="L155">SigmaFromP(テーブル2[[#This Row],[P]])</f>
        <v>4.6429387983550419E-3</v>
      </c>
      <c r="M155">
        <v>154</v>
      </c>
      <c r="N155">
        <v>2102.1565000000001</v>
      </c>
      <c r="O155" s="8">
        <f t="shared" si="88"/>
        <v>2.8502295699234246E-6</v>
      </c>
      <c r="P155" s="8">
        <f t="shared" si="89"/>
        <v>5.9847340050885557E-3</v>
      </c>
      <c r="Q155" s="8">
        <v>1.905E-3</v>
      </c>
      <c r="R155">
        <v>0.69596000000000002</v>
      </c>
      <c r="S155" s="15">
        <v>3550235.95703125</v>
      </c>
      <c r="T155">
        <v>299.28719429629098</v>
      </c>
      <c r="U155" s="12">
        <f>+T155+BG155*S155*テーブル2[[#This Row],[Pw]]*R155/(N155*O155*K155)</f>
        <v>573.35351538122916</v>
      </c>
      <c r="V155">
        <v>0.03</v>
      </c>
      <c r="W155" s="8">
        <f t="shared" si="60"/>
        <v>58718.16104677855</v>
      </c>
      <c r="X155">
        <v>3.4659226492567419E-2</v>
      </c>
      <c r="Y155">
        <f t="shared" si="61"/>
        <v>5.3714379963301013</v>
      </c>
      <c r="Z155">
        <f t="shared" si="62"/>
        <v>5.3714380084148781</v>
      </c>
      <c r="AA155">
        <f t="shared" si="63"/>
        <v>-1.2084776734866409E-8</v>
      </c>
      <c r="AB155">
        <f t="shared" si="64"/>
        <v>1.7286221546981502E-5</v>
      </c>
      <c r="AC155">
        <v>719.48438545954878</v>
      </c>
      <c r="AD155">
        <f t="shared" si="65"/>
        <v>1932.4438764511658</v>
      </c>
      <c r="AE155">
        <f>+gettm2(AD155,AC155,AK155,AL155,テーブル2[[#This Row],[Fcorr]])</f>
        <v>573.35351538122916</v>
      </c>
      <c r="AF155" s="14">
        <f t="shared" si="66"/>
        <v>0</v>
      </c>
      <c r="AG155">
        <v>1.7373379540586281E-5</v>
      </c>
      <c r="AH155">
        <f t="shared" si="67"/>
        <v>32.231025981493005</v>
      </c>
      <c r="AI155">
        <f t="shared" si="68"/>
        <v>0.23294030817908676</v>
      </c>
      <c r="AJ155">
        <f t="shared" si="69"/>
        <v>35.247329035661863</v>
      </c>
      <c r="AK155">
        <f t="array" ref="AK155">+S155*テーブル2[[#This Row],[F_form]]/(E155*CpFromTP((テーブル2[[#This Row],[Tin]]+テーブル2[[#This Row],[Tf]])/2,テーブル2[[#This Row],[P]])*AI155)</f>
        <v>5.973376521539322</v>
      </c>
      <c r="AL155">
        <f t="shared" si="70"/>
        <v>1.3019406270656069</v>
      </c>
      <c r="AM155">
        <f t="shared" si="71"/>
        <v>617.97483342564988</v>
      </c>
      <c r="AN155">
        <f t="shared" si="72"/>
        <v>9.3706375992042013E-9</v>
      </c>
      <c r="AO155">
        <f t="shared" si="73"/>
        <v>8.7157993604779162E-8</v>
      </c>
      <c r="AP155">
        <v>2.8737660613968492</v>
      </c>
      <c r="AQ155">
        <f t="shared" si="74"/>
        <v>4.0502340450096499E-5</v>
      </c>
      <c r="AR155">
        <f t="shared" si="75"/>
        <v>8.73026876709553E-6</v>
      </c>
      <c r="AS155">
        <f t="shared" si="76"/>
        <v>17.712078129917717</v>
      </c>
      <c r="AT155">
        <f t="shared" si="77"/>
        <v>11.321233935428005</v>
      </c>
      <c r="AU155">
        <f t="shared" si="78"/>
        <v>2.6371717218861348</v>
      </c>
      <c r="AV155">
        <f t="shared" si="79"/>
        <v>0.2365943395107144</v>
      </c>
      <c r="AW155">
        <f t="shared" si="80"/>
        <v>1.1741081270503106E-2</v>
      </c>
      <c r="AX155">
        <f t="shared" si="81"/>
        <v>0.2365943390983978</v>
      </c>
      <c r="AY155">
        <f t="shared" si="82"/>
        <v>4.1231659753115935E-10</v>
      </c>
      <c r="AZ155">
        <f t="shared" si="83"/>
        <v>964852.16359160375</v>
      </c>
      <c r="BA155">
        <f t="shared" si="84"/>
        <v>1.409381960284184E-5</v>
      </c>
      <c r="BB155" s="15">
        <f t="shared" si="85"/>
        <v>3544248.2180104521</v>
      </c>
      <c r="BC155" s="20">
        <f t="shared" si="86"/>
        <v>-5987.7390207978897</v>
      </c>
      <c r="BD155" s="19">
        <f t="shared" si="87"/>
        <v>-0.16865749469240657</v>
      </c>
      <c r="BE155" s="15">
        <v>2082029.4</v>
      </c>
      <c r="BF155" s="16">
        <f>テーブル2[[#This Row],[q_P]]/テーブル2[[#This Row],[q_M]]</f>
        <v>1.7023045966644141</v>
      </c>
      <c r="BG155">
        <v>1</v>
      </c>
      <c r="BH155">
        <v>-6.0999999999999999E-2</v>
      </c>
      <c r="BI155">
        <v>4.5999999999999999E-2</v>
      </c>
      <c r="BJ155">
        <v>5625</v>
      </c>
      <c r="BK155" s="22">
        <v>1</v>
      </c>
      <c r="BL155">
        <f>テーブル2[[#This Row],[Ts]]-テーブル2[[#This Row],[Tin]]</f>
        <v>318.68763913872954</v>
      </c>
      <c r="BM155">
        <f>テーブル2[[#This Row],[q_P]]*0.000001</f>
        <v>3.544248218010452</v>
      </c>
      <c r="BN155">
        <f>テーブル2[[#This Row],[Tsub]]</f>
        <v>318.68763913872954</v>
      </c>
      <c r="BO155">
        <f>テーブル2[[#This Row],[Fcorr]]</f>
        <v>1</v>
      </c>
      <c r="BP155">
        <f>(テーブル2[[#This Row],[Tsub]]-40)^2</f>
        <v>77666.800208718734</v>
      </c>
      <c r="BQ155">
        <v>1</v>
      </c>
      <c r="BR155">
        <v>0.69596000000000002</v>
      </c>
    </row>
    <row r="156" spans="1:70" x14ac:dyDescent="0.15">
      <c r="A156" s="9" t="s">
        <v>224</v>
      </c>
      <c r="B156">
        <v>15513203.909628799</v>
      </c>
      <c r="C156" s="22">
        <f t="array" ref="C156">TsatFromP(テーブル2[[#This Row],[P]])</f>
        <v>617.97483343502051</v>
      </c>
      <c r="D156">
        <f t="array" ref="D156">RhoGFromP(テーブル2[[#This Row],[P]])</f>
        <v>102.22394330033012</v>
      </c>
      <c r="E156">
        <f t="array" ref="E156">RhoFFromP(テーブル2[[#This Row],[P]])</f>
        <v>593.99780321429478</v>
      </c>
      <c r="F156">
        <f t="array" ref="F156">HgFromP(テーブル2[[#This Row],[P]])</f>
        <v>2595333.5493798093</v>
      </c>
      <c r="G156">
        <f t="array" ref="G156">HfFromP(テーブル2[[#This Row],[P]])</f>
        <v>1630481.3857882055</v>
      </c>
      <c r="H156">
        <f t="array" ref="H156">MuGFromP(テーブル2[[#This Row],[P]])</f>
        <v>2.3048203873610289E-5</v>
      </c>
      <c r="I156">
        <f t="array" ref="I156">MuFFromP(テーブル2[[#This Row],[P]])</f>
        <v>6.8200503236293109E-5</v>
      </c>
      <c r="J156">
        <f t="array" ref="J156">KfFromP(テーブル2[[#This Row],[P]])</f>
        <v>0.47171772328903144</v>
      </c>
      <c r="K156">
        <f t="array" ref="K156">CpFFromP(テーブル2[[#This Row],[P]])</f>
        <v>9005.0430614720299</v>
      </c>
      <c r="L156">
        <f t="array" ref="L156">SigmaFromP(テーブル2[[#This Row],[P]])</f>
        <v>4.6429387983550419E-3</v>
      </c>
      <c r="M156">
        <v>155</v>
      </c>
      <c r="N156">
        <v>2197.0925999999999</v>
      </c>
      <c r="O156" s="8">
        <f t="shared" si="88"/>
        <v>2.8502295699234246E-6</v>
      </c>
      <c r="P156" s="8">
        <f t="shared" si="89"/>
        <v>5.9847340050885557E-3</v>
      </c>
      <c r="Q156" s="8">
        <v>1.905E-3</v>
      </c>
      <c r="R156">
        <v>0.69596000000000002</v>
      </c>
      <c r="S156" s="15">
        <v>3712322.0219312501</v>
      </c>
      <c r="T156">
        <v>297.60162944706502</v>
      </c>
      <c r="U156" s="12">
        <f>+T156+BG156*S156*テーブル2[[#This Row],[Pw]]*R156/(N156*O156*K156)</f>
        <v>571.79741615633861</v>
      </c>
      <c r="V156">
        <v>0.03</v>
      </c>
      <c r="W156" s="8">
        <f t="shared" si="60"/>
        <v>61369.94896502015</v>
      </c>
      <c r="X156">
        <v>3.395356844651478E-2</v>
      </c>
      <c r="Y156">
        <f t="shared" si="61"/>
        <v>5.426968337501763</v>
      </c>
      <c r="Z156">
        <f t="shared" si="62"/>
        <v>5.4269683533117252</v>
      </c>
      <c r="AA156">
        <f t="shared" si="63"/>
        <v>-1.5809962228274799E-8</v>
      </c>
      <c r="AB156">
        <f t="shared" si="64"/>
        <v>1.6153509213842976E-5</v>
      </c>
      <c r="AC156">
        <v>720.17893479896577</v>
      </c>
      <c r="AD156">
        <f t="shared" si="65"/>
        <v>1999.0492101440236</v>
      </c>
      <c r="AE156">
        <f>+gettm2(AD156,AC156,AK156,AL156,テーブル2[[#This Row],[Fcorr]])</f>
        <v>571.79741735812763</v>
      </c>
      <c r="AF156" s="14">
        <f t="shared" si="66"/>
        <v>1.2017890185234137E-6</v>
      </c>
      <c r="AG156">
        <v>1.6239787556377458E-5</v>
      </c>
      <c r="AH156">
        <f t="shared" si="67"/>
        <v>34.491121924463648</v>
      </c>
      <c r="AI156">
        <f t="shared" si="68"/>
        <v>0.24096903654002516</v>
      </c>
      <c r="AJ156">
        <f t="shared" si="69"/>
        <v>34.083080826753914</v>
      </c>
      <c r="AK156">
        <f t="array" ref="AK156">+S156*テーブル2[[#This Row],[F_form]]/(E156*CpFromTP((テーブル2[[#This Row],[Tin]]+テーブル2[[#This Row],[Tf]])/2,テーブル2[[#This Row],[P]])*AI156)</f>
        <v>6.044113680612262</v>
      </c>
      <c r="AL156">
        <f t="shared" si="70"/>
        <v>1.3019406270656069</v>
      </c>
      <c r="AM156">
        <f t="shared" si="71"/>
        <v>617.97483341704879</v>
      </c>
      <c r="AN156">
        <f t="shared" si="72"/>
        <v>1.7971728993870784E-8</v>
      </c>
      <c r="AO156">
        <f t="shared" si="73"/>
        <v>8.6278342534481942E-8</v>
      </c>
      <c r="AP156">
        <v>2.9281554229991809</v>
      </c>
      <c r="AQ156">
        <f t="shared" si="74"/>
        <v>3.9011683604514849E-5</v>
      </c>
      <c r="AR156">
        <f t="shared" si="75"/>
        <v>8.1630329494559701E-6</v>
      </c>
      <c r="AS156">
        <f t="shared" si="76"/>
        <v>17.132078288702992</v>
      </c>
      <c r="AT156">
        <f t="shared" si="77"/>
        <v>11.154763147389284</v>
      </c>
      <c r="AU156">
        <f t="shared" si="78"/>
        <v>2.6879525284585744</v>
      </c>
      <c r="AV156">
        <f t="shared" si="79"/>
        <v>0.2402028945406065</v>
      </c>
      <c r="AW156">
        <f t="shared" si="80"/>
        <v>1.0971724732792707E-2</v>
      </c>
      <c r="AX156">
        <f t="shared" si="81"/>
        <v>0.2402028917407209</v>
      </c>
      <c r="AY156">
        <f t="shared" si="82"/>
        <v>2.7998856011457463E-9</v>
      </c>
      <c r="AZ156">
        <f t="shared" si="83"/>
        <v>964852.16359160375</v>
      </c>
      <c r="BA156">
        <f t="shared" si="84"/>
        <v>1.3322955229117209E-5</v>
      </c>
      <c r="BB156" s="15">
        <f t="shared" si="85"/>
        <v>3711477.5575580467</v>
      </c>
      <c r="BC156" s="20">
        <f t="shared" si="86"/>
        <v>-844.46437320346013</v>
      </c>
      <c r="BD156" s="19">
        <f t="shared" si="87"/>
        <v>-2.2747605628354053E-2</v>
      </c>
      <c r="BE156" s="15">
        <v>2145121.2000000002</v>
      </c>
      <c r="BF156" s="16">
        <f>テーブル2[[#This Row],[q_P]]/テーブル2[[#This Row],[q_M]]</f>
        <v>1.7301948055699818</v>
      </c>
      <c r="BG156">
        <v>1</v>
      </c>
      <c r="BH156">
        <v>-0.09</v>
      </c>
      <c r="BI156">
        <v>4.5999999999999999E-2</v>
      </c>
      <c r="BJ156">
        <v>5625</v>
      </c>
      <c r="BK156" s="22">
        <v>1</v>
      </c>
      <c r="BL156">
        <f>テーブル2[[#This Row],[Ts]]-テーブル2[[#This Row],[Tin]]</f>
        <v>320.37320398795549</v>
      </c>
      <c r="BM156">
        <f>テーブル2[[#This Row],[q_P]]*0.000001</f>
        <v>3.7114775575580463</v>
      </c>
      <c r="BN156">
        <f>テーブル2[[#This Row],[Tsub]]</f>
        <v>320.37320398795549</v>
      </c>
      <c r="BO156">
        <f>テーブル2[[#This Row],[Fcorr]]</f>
        <v>1</v>
      </c>
      <c r="BP156">
        <f>(テーブル2[[#This Row],[Tsub]]-40)^2</f>
        <v>78609.133514471701</v>
      </c>
      <c r="BQ156">
        <v>1</v>
      </c>
      <c r="BR156">
        <v>0.69596000000000002</v>
      </c>
    </row>
    <row r="157" spans="1:70" x14ac:dyDescent="0.15">
      <c r="A157" s="9" t="s">
        <v>225</v>
      </c>
      <c r="B157">
        <v>15513203.909628799</v>
      </c>
      <c r="C157" s="22">
        <f t="array" ref="C157">TsatFromP(テーブル2[[#This Row],[P]])</f>
        <v>617.97483343502051</v>
      </c>
      <c r="D157">
        <f t="array" ref="D157">RhoGFromP(テーブル2[[#This Row],[P]])</f>
        <v>102.22394330033012</v>
      </c>
      <c r="E157">
        <f t="array" ref="E157">RhoFFromP(テーブル2[[#This Row],[P]])</f>
        <v>593.99780321429478</v>
      </c>
      <c r="F157">
        <f t="array" ref="F157">HgFromP(テーブル2[[#This Row],[P]])</f>
        <v>2595333.5493798093</v>
      </c>
      <c r="G157">
        <f t="array" ref="G157">HfFromP(テーブル2[[#This Row],[P]])</f>
        <v>1630481.3857882055</v>
      </c>
      <c r="H157">
        <f t="array" ref="H157">MuGFromP(テーブル2[[#This Row],[P]])</f>
        <v>2.3048203873610289E-5</v>
      </c>
      <c r="I157">
        <f t="array" ref="I157">MuFFromP(テーブル2[[#This Row],[P]])</f>
        <v>6.8200503236293109E-5</v>
      </c>
      <c r="J157">
        <f t="array" ref="J157">KfFromP(テーブル2[[#This Row],[P]])</f>
        <v>0.47171772328903144</v>
      </c>
      <c r="K157">
        <f t="array" ref="K157">CpFFromP(テーブル2[[#This Row],[P]])</f>
        <v>9005.0430614720299</v>
      </c>
      <c r="L157">
        <f t="array" ref="L157">SigmaFromP(テーブル2[[#This Row],[P]])</f>
        <v>4.6429387983550419E-3</v>
      </c>
      <c r="M157">
        <v>156</v>
      </c>
      <c r="N157">
        <v>2454.7763</v>
      </c>
      <c r="O157" s="8">
        <f t="shared" si="88"/>
        <v>2.8502295699234246E-6</v>
      </c>
      <c r="P157" s="8">
        <f t="shared" si="89"/>
        <v>5.9847340050885557E-3</v>
      </c>
      <c r="Q157" s="8">
        <v>1.905E-3</v>
      </c>
      <c r="R157">
        <v>0.69596000000000002</v>
      </c>
      <c r="S157" s="15">
        <v>4097869.2867187499</v>
      </c>
      <c r="T157">
        <v>297.60162944706502</v>
      </c>
      <c r="U157" s="12">
        <f>+T157+BG157*S157*テーブル2[[#This Row],[Pw]]*R157/(N157*O157*K157)</f>
        <v>568.50204821258171</v>
      </c>
      <c r="V157">
        <v>0.03</v>
      </c>
      <c r="W157" s="8">
        <f t="shared" si="60"/>
        <v>68567.659028818816</v>
      </c>
      <c r="X157">
        <v>3.2271405788035647E-2</v>
      </c>
      <c r="Y157">
        <f t="shared" si="61"/>
        <v>5.5666133634366881</v>
      </c>
      <c r="Z157">
        <f t="shared" si="62"/>
        <v>5.56661336910736</v>
      </c>
      <c r="AA157">
        <f t="shared" si="63"/>
        <v>-5.6706719320231969E-9</v>
      </c>
      <c r="AB157">
        <f t="shared" si="64"/>
        <v>1.3614675770691901E-5</v>
      </c>
      <c r="AC157">
        <v>720.35473162469407</v>
      </c>
      <c r="AD157">
        <f t="shared" si="65"/>
        <v>2177.4754911050431</v>
      </c>
      <c r="AE157">
        <f>+gettm2(AD157,AC157,AK157,AL157,テーブル2[[#This Row],[Fcorr]])</f>
        <v>568.50204941612878</v>
      </c>
      <c r="AF157" s="14">
        <f t="shared" si="66"/>
        <v>1.2035470717819408E-6</v>
      </c>
      <c r="AG157">
        <v>1.3697685591680461E-5</v>
      </c>
      <c r="AH157">
        <f t="shared" si="67"/>
        <v>40.922947059964436</v>
      </c>
      <c r="AI157">
        <f t="shared" si="68"/>
        <v>0.26247686576124729</v>
      </c>
      <c r="AJ157">
        <f t="shared" si="69"/>
        <v>31.313779171387804</v>
      </c>
      <c r="AK157">
        <f t="array" ref="AK157">+S157*テーブル2[[#This Row],[F_form]]/(E157*CpFromTP((テーブル2[[#This Row],[Tin]]+テーブル2[[#This Row],[Tf]])/2,テーブル2[[#This Row],[P]])*AI157)</f>
        <v>6.1313277205046326</v>
      </c>
      <c r="AL157">
        <f t="shared" si="70"/>
        <v>1.3019406270656069</v>
      </c>
      <c r="AM157">
        <f t="shared" si="71"/>
        <v>617.97483341916723</v>
      </c>
      <c r="AN157">
        <f t="shared" si="72"/>
        <v>1.585328845976619E-8</v>
      </c>
      <c r="AO157">
        <f t="shared" si="73"/>
        <v>8.30098209885598E-8</v>
      </c>
      <c r="AP157">
        <v>3.0673929998221841</v>
      </c>
      <c r="AQ157">
        <f t="shared" si="74"/>
        <v>3.5550367838739255E-5</v>
      </c>
      <c r="AR157">
        <f t="shared" si="75"/>
        <v>6.8903477063345102E-6</v>
      </c>
      <c r="AS157">
        <f t="shared" si="76"/>
        <v>15.751772446966136</v>
      </c>
      <c r="AT157">
        <f t="shared" si="77"/>
        <v>10.734764476276082</v>
      </c>
      <c r="AU157">
        <f t="shared" si="78"/>
        <v>2.8176273344181233</v>
      </c>
      <c r="AV157">
        <f t="shared" si="79"/>
        <v>0.24976566540406075</v>
      </c>
      <c r="AW157">
        <f t="shared" si="80"/>
        <v>9.2473079938719237E-3</v>
      </c>
      <c r="AX157">
        <f t="shared" si="81"/>
        <v>0.24976565824287233</v>
      </c>
      <c r="AY157">
        <f t="shared" si="82"/>
        <v>7.1611884200351028E-9</v>
      </c>
      <c r="AZ157">
        <f t="shared" si="83"/>
        <v>964852.16359160375</v>
      </c>
      <c r="BA157">
        <f t="shared" si="84"/>
        <v>1.1589766241495662E-5</v>
      </c>
      <c r="BB157" s="15">
        <f t="shared" si="85"/>
        <v>4104879.5169026474</v>
      </c>
      <c r="BC157" s="20">
        <f t="shared" si="86"/>
        <v>7010.23018389754</v>
      </c>
      <c r="BD157" s="19">
        <f t="shared" si="87"/>
        <v>0.17107012677582936</v>
      </c>
      <c r="BE157" s="15">
        <v>2492126.1</v>
      </c>
      <c r="BF157" s="16">
        <f>テーブル2[[#This Row],[q_P]]/テーブル2[[#This Row],[q_M]]</f>
        <v>1.6471395716704091</v>
      </c>
      <c r="BG157">
        <v>1</v>
      </c>
      <c r="BH157">
        <v>-3.1E-2</v>
      </c>
      <c r="BI157">
        <v>4.5999999999999999E-2</v>
      </c>
      <c r="BJ157">
        <v>5625</v>
      </c>
      <c r="BK157" s="22">
        <v>1</v>
      </c>
      <c r="BL157">
        <f>テーブル2[[#This Row],[Ts]]-テーブル2[[#This Row],[Tin]]</f>
        <v>320.37320398795549</v>
      </c>
      <c r="BM157">
        <f>テーブル2[[#This Row],[q_P]]*0.000001</f>
        <v>4.1048795169026473</v>
      </c>
      <c r="BN157">
        <f>テーブル2[[#This Row],[Tsub]]</f>
        <v>320.37320398795549</v>
      </c>
      <c r="BO157">
        <f>テーブル2[[#This Row],[Fcorr]]</f>
        <v>1</v>
      </c>
      <c r="BP157">
        <f>(テーブル2[[#This Row],[Tsub]]-40)^2</f>
        <v>78609.133514471701</v>
      </c>
      <c r="BQ157">
        <v>1</v>
      </c>
      <c r="BR157">
        <v>0.69596000000000002</v>
      </c>
    </row>
    <row r="158" spans="1:70" x14ac:dyDescent="0.15">
      <c r="A158" s="9" t="s">
        <v>226</v>
      </c>
      <c r="B158">
        <v>15513203.909628799</v>
      </c>
      <c r="C158" s="22">
        <f t="array" ref="C158">TsatFromP(テーブル2[[#This Row],[P]])</f>
        <v>617.97483343502051</v>
      </c>
      <c r="D158">
        <f t="array" ref="D158">RhoGFromP(テーブル2[[#This Row],[P]])</f>
        <v>102.22394330033012</v>
      </c>
      <c r="E158">
        <f t="array" ref="E158">RhoFFromP(テーブル2[[#This Row],[P]])</f>
        <v>593.99780321429478</v>
      </c>
      <c r="F158">
        <f t="array" ref="F158">HgFromP(テーブル2[[#This Row],[P]])</f>
        <v>2595333.5493798093</v>
      </c>
      <c r="G158">
        <f t="array" ref="G158">HfFromP(テーブル2[[#This Row],[P]])</f>
        <v>1630481.3857882055</v>
      </c>
      <c r="H158">
        <f t="array" ref="H158">MuGFromP(テーブル2[[#This Row],[P]])</f>
        <v>2.3048203873610289E-5</v>
      </c>
      <c r="I158">
        <f t="array" ref="I158">MuFFromP(テーブル2[[#This Row],[P]])</f>
        <v>6.8200503236293109E-5</v>
      </c>
      <c r="J158">
        <f t="array" ref="J158">KfFromP(テーブル2[[#This Row],[P]])</f>
        <v>0.47171772328903144</v>
      </c>
      <c r="K158">
        <f t="array" ref="K158">CpFFromP(テーブル2[[#This Row],[P]])</f>
        <v>9005.0430614720299</v>
      </c>
      <c r="L158">
        <f t="array" ref="L158">SigmaFromP(テーブル2[[#This Row],[P]])</f>
        <v>4.6429387983550419E-3</v>
      </c>
      <c r="M158">
        <v>157</v>
      </c>
      <c r="N158">
        <v>2495.4632000000001</v>
      </c>
      <c r="O158" s="8">
        <f t="shared" si="88"/>
        <v>2.8502295699234246E-6</v>
      </c>
      <c r="P158" s="8">
        <f t="shared" si="89"/>
        <v>5.9847340050885557E-3</v>
      </c>
      <c r="Q158" s="8">
        <v>1.905E-3</v>
      </c>
      <c r="R158">
        <v>0.69596000000000002</v>
      </c>
      <c r="S158" s="15">
        <v>4136705.8414062499</v>
      </c>
      <c r="T158">
        <v>299.28719429629098</v>
      </c>
      <c r="U158" s="12">
        <f>+T158+BG158*S158*テーブル2[[#This Row],[Pw]]*R158/(N158*O158*K158)</f>
        <v>568.296291261031</v>
      </c>
      <c r="V158">
        <v>0.03</v>
      </c>
      <c r="W158" s="8">
        <f t="shared" si="60"/>
        <v>69704.139565208083</v>
      </c>
      <c r="X158">
        <v>3.2032461781834103E-2</v>
      </c>
      <c r="Y158">
        <f t="shared" si="61"/>
        <v>5.5873366792250394</v>
      </c>
      <c r="Z158">
        <f t="shared" si="62"/>
        <v>5.5873367167956172</v>
      </c>
      <c r="AA158">
        <f t="shared" si="63"/>
        <v>-3.7570577759993284E-8</v>
      </c>
      <c r="AB158">
        <f t="shared" si="64"/>
        <v>1.3272611259668662E-5</v>
      </c>
      <c r="AC158">
        <v>719.77887078297954</v>
      </c>
      <c r="AD158">
        <f t="shared" si="65"/>
        <v>2205.3561738366739</v>
      </c>
      <c r="AE158">
        <f>+gettm2(AD158,AC158,AK158,AL158,テーブル2[[#This Row],[Fcorr]])</f>
        <v>568.29629245881961</v>
      </c>
      <c r="AF158" s="14">
        <f t="shared" si="66"/>
        <v>1.1977886060776655E-6</v>
      </c>
      <c r="AG158">
        <v>1.335424669371587E-5</v>
      </c>
      <c r="AH158">
        <f t="shared" si="67"/>
        <v>41.977621803451655</v>
      </c>
      <c r="AI158">
        <f t="shared" si="68"/>
        <v>0.26583765409093291</v>
      </c>
      <c r="AJ158">
        <f t="shared" si="69"/>
        <v>30.919548968949382</v>
      </c>
      <c r="AK158">
        <f t="array" ref="AK158">+S158*テーブル2[[#This Row],[F_form]]/(E158*CpFromTP((テーブル2[[#This Row],[Tin]]+テーブル2[[#This Row],[Tf]])/2,テーブル2[[#This Row],[P]])*AI158)</f>
        <v>6.1084275885743127</v>
      </c>
      <c r="AL158">
        <f t="shared" si="70"/>
        <v>1.3019406270656069</v>
      </c>
      <c r="AM158">
        <f t="shared" si="71"/>
        <v>617.97483343217152</v>
      </c>
      <c r="AN158">
        <f t="shared" si="72"/>
        <v>2.8489921533036977E-9</v>
      </c>
      <c r="AO158">
        <f t="shared" si="73"/>
        <v>8.1635434047207464E-8</v>
      </c>
      <c r="AP158">
        <v>3.0881940792648139</v>
      </c>
      <c r="AQ158">
        <f t="shared" si="74"/>
        <v>3.5073069108794453E-5</v>
      </c>
      <c r="AR158">
        <f t="shared" si="75"/>
        <v>6.7179410638815386E-6</v>
      </c>
      <c r="AS158">
        <f t="shared" si="76"/>
        <v>15.554281155592722</v>
      </c>
      <c r="AT158">
        <f t="shared" si="77"/>
        <v>10.671679581025471</v>
      </c>
      <c r="AU158">
        <f t="shared" si="78"/>
        <v>2.836934265029921</v>
      </c>
      <c r="AV158">
        <f t="shared" si="79"/>
        <v>0.25125981423489296</v>
      </c>
      <c r="AW158">
        <f t="shared" si="80"/>
        <v>9.0149722452664074E-3</v>
      </c>
      <c r="AX158">
        <f t="shared" si="81"/>
        <v>0.25125980875417403</v>
      </c>
      <c r="AY158">
        <f t="shared" si="82"/>
        <v>5.4807189342476192E-9</v>
      </c>
      <c r="AZ158">
        <f t="shared" si="83"/>
        <v>964852.16359160375</v>
      </c>
      <c r="BA158">
        <f t="shared" si="84"/>
        <v>1.1357145376414965E-5</v>
      </c>
      <c r="BB158" s="15">
        <f t="shared" si="85"/>
        <v>4119600.8121529077</v>
      </c>
      <c r="BC158" s="20">
        <f t="shared" si="86"/>
        <v>-17105.029253342189</v>
      </c>
      <c r="BD158" s="19">
        <f t="shared" si="87"/>
        <v>-0.4134939710271357</v>
      </c>
      <c r="BE158" s="15">
        <v>2429034.2999999998</v>
      </c>
      <c r="BF158" s="16">
        <f>テーブル2[[#This Row],[q_P]]/テーブル2[[#This Row],[q_M]]</f>
        <v>1.6959829723906772</v>
      </c>
      <c r="BG158">
        <v>1</v>
      </c>
      <c r="BH158">
        <v>-8.6999999999999994E-2</v>
      </c>
      <c r="BI158">
        <v>4.5999999999999999E-2</v>
      </c>
      <c r="BJ158">
        <v>5625</v>
      </c>
      <c r="BK158" s="22">
        <v>1</v>
      </c>
      <c r="BL158">
        <f>テーブル2[[#This Row],[Ts]]-テーブル2[[#This Row],[Tin]]</f>
        <v>318.68763913872954</v>
      </c>
      <c r="BM158">
        <f>テーブル2[[#This Row],[q_P]]*0.000001</f>
        <v>4.1196008121529077</v>
      </c>
      <c r="BN158">
        <f>テーブル2[[#This Row],[Tsub]]</f>
        <v>318.68763913872954</v>
      </c>
      <c r="BO158">
        <f>テーブル2[[#This Row],[Fcorr]]</f>
        <v>1</v>
      </c>
      <c r="BP158">
        <f>(テーブル2[[#This Row],[Tsub]]-40)^2</f>
        <v>77666.800208718734</v>
      </c>
      <c r="BQ158">
        <v>1</v>
      </c>
      <c r="BR158">
        <v>0.69596000000000002</v>
      </c>
    </row>
    <row r="159" spans="1:70" x14ac:dyDescent="0.15">
      <c r="A159" s="9" t="s">
        <v>227</v>
      </c>
      <c r="B159">
        <v>15513203.909628799</v>
      </c>
      <c r="C159" s="22">
        <f t="array" ref="C159">TsatFromP(テーブル2[[#This Row],[P]])</f>
        <v>617.97483343502051</v>
      </c>
      <c r="D159">
        <f t="array" ref="D159">RhoGFromP(テーブル2[[#This Row],[P]])</f>
        <v>102.22394330033012</v>
      </c>
      <c r="E159">
        <f t="array" ref="E159">RhoFFromP(テーブル2[[#This Row],[P]])</f>
        <v>593.99780321429478</v>
      </c>
      <c r="F159">
        <f t="array" ref="F159">HgFromP(テーブル2[[#This Row],[P]])</f>
        <v>2595333.5493798093</v>
      </c>
      <c r="G159">
        <f t="array" ref="G159">HfFromP(テーブル2[[#This Row],[P]])</f>
        <v>1630481.3857882055</v>
      </c>
      <c r="H159">
        <f t="array" ref="H159">MuGFromP(テーブル2[[#This Row],[P]])</f>
        <v>2.3048203873610289E-5</v>
      </c>
      <c r="I159">
        <f t="array" ref="I159">MuFFromP(テーブル2[[#This Row],[P]])</f>
        <v>6.8200503236293109E-5</v>
      </c>
      <c r="J159">
        <f t="array" ref="J159">KfFromP(テーブル2[[#This Row],[P]])</f>
        <v>0.47171772328903144</v>
      </c>
      <c r="K159">
        <f t="array" ref="K159">CpFFromP(テーブル2[[#This Row],[P]])</f>
        <v>9005.0430614720299</v>
      </c>
      <c r="L159">
        <f t="array" ref="L159">SigmaFromP(テーブル2[[#This Row],[P]])</f>
        <v>4.6429387983550419E-3</v>
      </c>
      <c r="M159">
        <v>158</v>
      </c>
      <c r="N159">
        <v>3065.0798</v>
      </c>
      <c r="O159" s="8">
        <f t="shared" si="88"/>
        <v>2.8502295699234246E-6</v>
      </c>
      <c r="P159" s="8">
        <f t="shared" si="89"/>
        <v>5.9847340050885557E-3</v>
      </c>
      <c r="Q159" s="8">
        <v>1.905E-3</v>
      </c>
      <c r="R159">
        <v>0.69596000000000002</v>
      </c>
      <c r="S159" s="15">
        <v>4954920.55078125</v>
      </c>
      <c r="T159">
        <v>297.60162944706502</v>
      </c>
      <c r="U159" s="12">
        <f>+T159+BG159*S159*テーブル2[[#This Row],[Pw]]*R159/(N159*O159*K159)</f>
        <v>559.93793981014846</v>
      </c>
      <c r="V159">
        <v>0.03</v>
      </c>
      <c r="W159" s="8">
        <f t="shared" si="60"/>
        <v>85614.867074657741</v>
      </c>
      <c r="X159">
        <v>2.9251612220244621E-2</v>
      </c>
      <c r="Y159">
        <f t="shared" si="61"/>
        <v>5.8468923278880744</v>
      </c>
      <c r="Z159">
        <f t="shared" si="62"/>
        <v>5.8468923760100653</v>
      </c>
      <c r="AA159">
        <f t="shared" si="63"/>
        <v>-4.8121990836591522E-8</v>
      </c>
      <c r="AB159">
        <f t="shared" si="64"/>
        <v>9.6341998605828018E-6</v>
      </c>
      <c r="AC159">
        <v>717.52337276572791</v>
      </c>
      <c r="AD159">
        <f t="shared" si="65"/>
        <v>2588.5055549134036</v>
      </c>
      <c r="AE159">
        <f>+gettm2(AD159,AC159,AK159,AL159,テーブル2[[#This Row],[Fcorr]])</f>
        <v>559.93794098538206</v>
      </c>
      <c r="AF159" s="14">
        <f t="shared" si="66"/>
        <v>1.1752335922210477E-6</v>
      </c>
      <c r="AG159">
        <v>9.7108609667429814E-6</v>
      </c>
      <c r="AH159">
        <f t="shared" si="67"/>
        <v>57.830713901019386</v>
      </c>
      <c r="AI159">
        <f t="shared" si="68"/>
        <v>0.31202317905973276</v>
      </c>
      <c r="AJ159">
        <f t="shared" si="69"/>
        <v>26.39014966446819</v>
      </c>
      <c r="AK159">
        <f t="array" ref="AK159">+S159*テーブル2[[#This Row],[F_form]]/(E159*CpFromTP((テーブル2[[#This Row],[Tin]]+テーブル2[[#This Row],[Tf]])/2,テーブル2[[#This Row],[P]])*AI159)</f>
        <v>6.2522339767116986</v>
      </c>
      <c r="AL159">
        <f t="shared" si="70"/>
        <v>1.3019406270656069</v>
      </c>
      <c r="AM159">
        <f t="shared" si="71"/>
        <v>617.97483343534213</v>
      </c>
      <c r="AN159">
        <f t="shared" si="72"/>
        <v>-3.2162006391445175E-10</v>
      </c>
      <c r="AO159">
        <f t="shared" si="73"/>
        <v>7.6661106160179636E-8</v>
      </c>
      <c r="AP159">
        <v>3.3567688582593882</v>
      </c>
      <c r="AQ159">
        <f t="shared" si="74"/>
        <v>2.968520606935284E-5</v>
      </c>
      <c r="AR159">
        <f t="shared" si="75"/>
        <v>4.8937610364515805E-6</v>
      </c>
      <c r="AS159">
        <f t="shared" si="76"/>
        <v>13.299241603436945</v>
      </c>
      <c r="AT159">
        <f t="shared" si="77"/>
        <v>9.8885350565195047</v>
      </c>
      <c r="AU159">
        <f t="shared" si="78"/>
        <v>3.0854521445788299</v>
      </c>
      <c r="AV159">
        <f t="shared" si="79"/>
        <v>0.27131671368055832</v>
      </c>
      <c r="AW159">
        <f t="shared" si="80"/>
        <v>6.5437043735636106E-3</v>
      </c>
      <c r="AX159">
        <f t="shared" si="81"/>
        <v>0.27131670551443909</v>
      </c>
      <c r="AY159">
        <f t="shared" si="82"/>
        <v>8.1661192252724391E-9</v>
      </c>
      <c r="AZ159">
        <f t="shared" si="83"/>
        <v>964852.16359160375</v>
      </c>
      <c r="BA159">
        <f t="shared" si="84"/>
        <v>8.8433869958939453E-6</v>
      </c>
      <c r="BB159" s="15">
        <f t="shared" si="85"/>
        <v>4968234.2536732154</v>
      </c>
      <c r="BC159" s="20">
        <f t="shared" si="86"/>
        <v>13313.702891965397</v>
      </c>
      <c r="BD159" s="19">
        <f t="shared" si="87"/>
        <v>0.26869659675706009</v>
      </c>
      <c r="BE159" s="15">
        <v>2996860.5</v>
      </c>
      <c r="BF159" s="16">
        <f>テーブル2[[#This Row],[q_P]]/テーブル2[[#This Row],[q_M]]</f>
        <v>1.6578129858474278</v>
      </c>
      <c r="BG159">
        <v>1</v>
      </c>
      <c r="BH159">
        <v>-8.7999999999999995E-2</v>
      </c>
      <c r="BI159">
        <v>4.5999999999999999E-2</v>
      </c>
      <c r="BJ159">
        <v>5625</v>
      </c>
      <c r="BK159" s="22">
        <v>1</v>
      </c>
      <c r="BL159">
        <f>テーブル2[[#This Row],[Ts]]-テーブル2[[#This Row],[Tin]]</f>
        <v>320.37320398795549</v>
      </c>
      <c r="BM159">
        <f>テーブル2[[#This Row],[q_P]]*0.000001</f>
        <v>4.9682342536732156</v>
      </c>
      <c r="BN159">
        <f>テーブル2[[#This Row],[Tsub]]</f>
        <v>320.37320398795549</v>
      </c>
      <c r="BO159">
        <f>テーブル2[[#This Row],[Fcorr]]</f>
        <v>1</v>
      </c>
      <c r="BP159">
        <f>(テーブル2[[#This Row],[Tsub]]-40)^2</f>
        <v>78609.133514471701</v>
      </c>
      <c r="BQ159">
        <v>1</v>
      </c>
      <c r="BR159">
        <v>0.69596000000000002</v>
      </c>
    </row>
    <row r="160" spans="1:70" x14ac:dyDescent="0.15">
      <c r="A160" s="9" t="s">
        <v>228</v>
      </c>
      <c r="B160">
        <v>15513203.909628799</v>
      </c>
      <c r="C160" s="22">
        <f t="array" ref="C160">TsatFromP(テーブル2[[#This Row],[P]])</f>
        <v>617.97483343502051</v>
      </c>
      <c r="D160">
        <f t="array" ref="D160">RhoGFromP(テーブル2[[#This Row],[P]])</f>
        <v>102.22394330033012</v>
      </c>
      <c r="E160">
        <f t="array" ref="E160">RhoFFromP(テーブル2[[#This Row],[P]])</f>
        <v>593.99780321429478</v>
      </c>
      <c r="F160">
        <f t="array" ref="F160">HgFromP(テーブル2[[#This Row],[P]])</f>
        <v>2595333.5493798093</v>
      </c>
      <c r="G160">
        <f t="array" ref="G160">HfFromP(テーブル2[[#This Row],[P]])</f>
        <v>1630481.3857882055</v>
      </c>
      <c r="H160">
        <f t="array" ref="H160">MuGFromP(テーブル2[[#This Row],[P]])</f>
        <v>2.3048203873610289E-5</v>
      </c>
      <c r="I160">
        <f t="array" ref="I160">MuFFromP(テーブル2[[#This Row],[P]])</f>
        <v>6.8200503236293109E-5</v>
      </c>
      <c r="J160">
        <f t="array" ref="J160">KfFromP(テーブル2[[#This Row],[P]])</f>
        <v>0.47171772328903144</v>
      </c>
      <c r="K160">
        <f t="array" ref="K160">CpFFromP(テーブル2[[#This Row],[P]])</f>
        <v>9005.0430614720299</v>
      </c>
      <c r="L160">
        <f t="array" ref="L160">SigmaFromP(テーブル2[[#This Row],[P]])</f>
        <v>4.6429387983550419E-3</v>
      </c>
      <c r="M160">
        <v>159</v>
      </c>
      <c r="N160">
        <v>3173.5781999999999</v>
      </c>
      <c r="O160" s="8">
        <f t="shared" si="88"/>
        <v>2.8502295699234246E-6</v>
      </c>
      <c r="P160" s="8">
        <f t="shared" si="89"/>
        <v>5.9847340050885557E-3</v>
      </c>
      <c r="Q160" s="8">
        <v>1.905E-3</v>
      </c>
      <c r="R160">
        <v>0.69596000000000002</v>
      </c>
      <c r="S160" s="15">
        <v>5110644.04296875</v>
      </c>
      <c r="T160">
        <v>297.03976193416099</v>
      </c>
      <c r="U160" s="12">
        <f>+T160+BG160*S160*テーブル2[[#This Row],[Pw]]*R160/(N160*O160*K160)</f>
        <v>558.37015757476183</v>
      </c>
      <c r="V160">
        <v>0.03</v>
      </c>
      <c r="W160" s="8">
        <f t="shared" si="60"/>
        <v>88645.481838362437</v>
      </c>
      <c r="X160">
        <v>2.8816656506257129E-2</v>
      </c>
      <c r="Y160">
        <f t="shared" si="61"/>
        <v>5.8908532659419297</v>
      </c>
      <c r="Z160">
        <f t="shared" si="62"/>
        <v>5.8908532754526926</v>
      </c>
      <c r="AA160">
        <f t="shared" si="63"/>
        <v>-9.5107628439450309E-9</v>
      </c>
      <c r="AB160">
        <f t="shared" si="64"/>
        <v>9.1223563377912512E-6</v>
      </c>
      <c r="AC160">
        <v>717.06123854595194</v>
      </c>
      <c r="AD160">
        <f t="shared" si="65"/>
        <v>2660.1333669203354</v>
      </c>
      <c r="AE160">
        <f>+gettm2(AD160,AC160,AK160,AL160,テーブル2[[#This Row],[Fcorr]])</f>
        <v>558.37015874537417</v>
      </c>
      <c r="AF160" s="14">
        <f t="shared" si="66"/>
        <v>1.1706123359545018E-6</v>
      </c>
      <c r="AG160">
        <v>9.1977920845103017E-6</v>
      </c>
      <c r="AH160">
        <f t="shared" si="67"/>
        <v>61.075519873575288</v>
      </c>
      <c r="AI160">
        <f t="shared" si="68"/>
        <v>0.32065732611383996</v>
      </c>
      <c r="AJ160">
        <f t="shared" si="69"/>
        <v>25.68751036850561</v>
      </c>
      <c r="AK160">
        <f t="array" ref="AK160">+S160*テーブル2[[#This Row],[F_form]]/(E160*CpFromTP((テーブル2[[#This Row],[Tin]]+テーブル2[[#This Row],[Tf]])/2,テーブル2[[#This Row],[P]])*AI160)</f>
        <v>6.2788993110418039</v>
      </c>
      <c r="AL160">
        <f t="shared" si="70"/>
        <v>1.3019406270656069</v>
      </c>
      <c r="AM160">
        <f t="shared" si="71"/>
        <v>617.97483342798398</v>
      </c>
      <c r="AN160">
        <f t="shared" si="72"/>
        <v>7.0365331339417025E-9</v>
      </c>
      <c r="AO160">
        <f t="shared" si="73"/>
        <v>7.5435746719050524E-8</v>
      </c>
      <c r="AP160">
        <v>3.4030833130258</v>
      </c>
      <c r="AQ160">
        <f t="shared" si="74"/>
        <v>2.8882699383155131E-5</v>
      </c>
      <c r="AR160">
        <f t="shared" si="75"/>
        <v>4.6366139156146761E-6</v>
      </c>
      <c r="AS160">
        <f t="shared" si="76"/>
        <v>12.949093319111544</v>
      </c>
      <c r="AT160">
        <f t="shared" si="77"/>
        <v>9.7551288586311706</v>
      </c>
      <c r="AU160">
        <f t="shared" si="78"/>
        <v>3.1280535357046269</v>
      </c>
      <c r="AV160">
        <f t="shared" si="79"/>
        <v>0.27502977732117317</v>
      </c>
      <c r="AW160">
        <f t="shared" si="80"/>
        <v>6.1960519740763675E-3</v>
      </c>
      <c r="AX160">
        <f t="shared" si="81"/>
        <v>0.2750297666600291</v>
      </c>
      <c r="AY160">
        <f t="shared" si="82"/>
        <v>1.0661144078660811E-8</v>
      </c>
      <c r="AZ160">
        <f t="shared" si="83"/>
        <v>964852.16359160375</v>
      </c>
      <c r="BA160">
        <f t="shared" si="84"/>
        <v>8.4872148949754972E-6</v>
      </c>
      <c r="BB160" s="15">
        <f t="shared" si="85"/>
        <v>5093984.3804119835</v>
      </c>
      <c r="BC160" s="20">
        <f t="shared" si="86"/>
        <v>-16659.662556766532</v>
      </c>
      <c r="BD160" s="19">
        <f t="shared" si="87"/>
        <v>-0.32597970855917818</v>
      </c>
      <c r="BE160" s="15">
        <v>3091498.2</v>
      </c>
      <c r="BF160" s="16">
        <f>テーブル2[[#This Row],[q_P]]/テーブル2[[#This Row],[q_M]]</f>
        <v>1.6477397206351223</v>
      </c>
      <c r="BG160">
        <v>1</v>
      </c>
      <c r="BH160">
        <v>-9.6000000000000002E-2</v>
      </c>
      <c r="BI160">
        <v>4.5999999999999999E-2</v>
      </c>
      <c r="BJ160">
        <v>5625</v>
      </c>
      <c r="BK160" s="22">
        <v>1</v>
      </c>
      <c r="BL160">
        <f>テーブル2[[#This Row],[Ts]]-テーブル2[[#This Row],[Tin]]</f>
        <v>320.93507150085952</v>
      </c>
      <c r="BM160">
        <f>テーブル2[[#This Row],[q_P]]*0.000001</f>
        <v>5.0939843804119835</v>
      </c>
      <c r="BN160">
        <f>テーブル2[[#This Row],[Tsub]]</f>
        <v>320.93507150085952</v>
      </c>
      <c r="BO160">
        <f>テーブル2[[#This Row],[Fcorr]]</f>
        <v>1</v>
      </c>
      <c r="BP160">
        <f>(テーブル2[[#This Row],[Tsub]]-40)^2</f>
        <v>78924.514399193053</v>
      </c>
      <c r="BQ160">
        <v>1</v>
      </c>
      <c r="BR160">
        <v>0.69596000000000002</v>
      </c>
    </row>
    <row r="161" spans="1:70" x14ac:dyDescent="0.15">
      <c r="A161" s="9" t="s">
        <v>229</v>
      </c>
      <c r="B161">
        <v>15513203.909628799</v>
      </c>
      <c r="C161" s="22">
        <f t="array" ref="C161">TsatFromP(テーブル2[[#This Row],[P]])</f>
        <v>617.97483343502051</v>
      </c>
      <c r="D161">
        <f t="array" ref="D161">RhoGFromP(テーブル2[[#This Row],[P]])</f>
        <v>102.22394330033012</v>
      </c>
      <c r="E161">
        <f t="array" ref="E161">RhoFFromP(テーブル2[[#This Row],[P]])</f>
        <v>593.99780321429478</v>
      </c>
      <c r="F161">
        <f t="array" ref="F161">HgFromP(テーブル2[[#This Row],[P]])</f>
        <v>2595333.5493798093</v>
      </c>
      <c r="G161">
        <f t="array" ref="G161">HfFromP(テーブル2[[#This Row],[P]])</f>
        <v>1630481.3857882055</v>
      </c>
      <c r="H161">
        <f t="array" ref="H161">MuGFromP(テーブル2[[#This Row],[P]])</f>
        <v>2.3048203873610289E-5</v>
      </c>
      <c r="I161">
        <f t="array" ref="I161">MuFFromP(テーブル2[[#This Row],[P]])</f>
        <v>6.8200503236293109E-5</v>
      </c>
      <c r="J161">
        <f t="array" ref="J161">KfFromP(テーブル2[[#This Row],[P]])</f>
        <v>0.47171772328903144</v>
      </c>
      <c r="K161">
        <f t="array" ref="K161">CpFFromP(テーブル2[[#This Row],[P]])</f>
        <v>9005.0430614720299</v>
      </c>
      <c r="L161">
        <f t="array" ref="L161">SigmaFromP(テーブル2[[#This Row],[P]])</f>
        <v>4.6429387983550419E-3</v>
      </c>
      <c r="M161">
        <v>160</v>
      </c>
      <c r="N161">
        <v>3688.9456</v>
      </c>
      <c r="O161" s="8">
        <f t="shared" si="88"/>
        <v>2.8502295699234246E-6</v>
      </c>
      <c r="P161" s="8">
        <f t="shared" si="89"/>
        <v>5.9847340050885557E-3</v>
      </c>
      <c r="Q161" s="8">
        <v>1.905E-3</v>
      </c>
      <c r="R161">
        <v>0.69596000000000002</v>
      </c>
      <c r="S161" s="15">
        <v>5747924.19921875</v>
      </c>
      <c r="T161">
        <v>299.79285116759797</v>
      </c>
      <c r="U161" s="12">
        <f>+T161+BG161*S161*テーブル2[[#This Row],[Pw]]*R161/(N161*O161*K161)</f>
        <v>552.64827756438467</v>
      </c>
      <c r="V161">
        <v>0.03</v>
      </c>
      <c r="W161" s="8">
        <f t="shared" si="60"/>
        <v>103040.90196595977</v>
      </c>
      <c r="X161">
        <v>2.7042139441522312E-2</v>
      </c>
      <c r="Y161">
        <f t="shared" si="61"/>
        <v>6.0810626264231198</v>
      </c>
      <c r="Z161">
        <f t="shared" si="62"/>
        <v>6.0810626347094354</v>
      </c>
      <c r="AA161">
        <f t="shared" si="63"/>
        <v>-8.2863156336543398E-9</v>
      </c>
      <c r="AB161">
        <f t="shared" si="64"/>
        <v>7.1945474511830241E-6</v>
      </c>
      <c r="AC161">
        <v>713.16603775011481</v>
      </c>
      <c r="AD161">
        <f t="shared" si="65"/>
        <v>2995.4024894891272</v>
      </c>
      <c r="AE161">
        <f>+gettm2(AD161,AC161,AK161,AL161,テーブル2[[#This Row],[Fcorr]])</f>
        <v>552.64827869604483</v>
      </c>
      <c r="AF161" s="14">
        <f t="shared" si="66"/>
        <v>1.1316601558064576E-6</v>
      </c>
      <c r="AG161">
        <v>7.2656645744083946E-6</v>
      </c>
      <c r="AH161">
        <f t="shared" si="67"/>
        <v>77.440959224056627</v>
      </c>
      <c r="AI161">
        <f t="shared" si="68"/>
        <v>0.36107127742482392</v>
      </c>
      <c r="AJ161">
        <f t="shared" si="69"/>
        <v>22.84891312753372</v>
      </c>
      <c r="AK161">
        <f t="array" ref="AK161">+S161*テーブル2[[#This Row],[F_form]]/(E161*CpFromTP((テーブル2[[#This Row],[Tin]]+テーブル2[[#This Row],[Tf]])/2,テーブル2[[#This Row],[P]])*AI161)</f>
        <v>6.2766619225739886</v>
      </c>
      <c r="AL161">
        <f t="shared" si="70"/>
        <v>1.3019406270656069</v>
      </c>
      <c r="AM161">
        <f t="shared" si="71"/>
        <v>617.97483340516374</v>
      </c>
      <c r="AN161">
        <f t="shared" si="72"/>
        <v>2.9856778382963967E-8</v>
      </c>
      <c r="AO161">
        <f t="shared" si="73"/>
        <v>7.111712322537049E-8</v>
      </c>
      <c r="AP161">
        <v>3.605992657081579</v>
      </c>
      <c r="AQ161">
        <f t="shared" si="74"/>
        <v>2.5723689983414494E-5</v>
      </c>
      <c r="AR161">
        <f t="shared" si="75"/>
        <v>3.6683908488168825E-6</v>
      </c>
      <c r="AS161">
        <f t="shared" si="76"/>
        <v>11.536280399963491</v>
      </c>
      <c r="AT161">
        <f t="shared" si="77"/>
        <v>9.1774844338137687</v>
      </c>
      <c r="AU161">
        <f t="shared" si="78"/>
        <v>3.3137260280635745</v>
      </c>
      <c r="AV161">
        <f t="shared" si="79"/>
        <v>0.29226662901800449</v>
      </c>
      <c r="AW161">
        <f t="shared" si="80"/>
        <v>4.8866529969692086E-3</v>
      </c>
      <c r="AX161">
        <f t="shared" si="81"/>
        <v>0.29226662161707001</v>
      </c>
      <c r="AY161">
        <f t="shared" si="82"/>
        <v>7.4009344763759088E-9</v>
      </c>
      <c r="AZ161">
        <f t="shared" si="83"/>
        <v>964852.16359160375</v>
      </c>
      <c r="BA161">
        <f t="shared" si="84"/>
        <v>7.133594665784296E-6</v>
      </c>
      <c r="BB161" s="15">
        <f t="shared" si="85"/>
        <v>5713620.164557592</v>
      </c>
      <c r="BC161" s="20">
        <f t="shared" si="86"/>
        <v>-34304.034661157988</v>
      </c>
      <c r="BD161" s="19">
        <f t="shared" si="87"/>
        <v>-0.59680735987820688</v>
      </c>
      <c r="BE161" s="15">
        <v>3523677.03</v>
      </c>
      <c r="BF161" s="16">
        <f>テーブル2[[#This Row],[q_P]]/テーブル2[[#This Row],[q_M]]</f>
        <v>1.6214937169078723</v>
      </c>
      <c r="BG161">
        <v>1</v>
      </c>
      <c r="BH161">
        <v>-4.3999999999999997E-2</v>
      </c>
      <c r="BI161">
        <v>4.5999999999999999E-2</v>
      </c>
      <c r="BJ161">
        <v>5625</v>
      </c>
      <c r="BK161" s="22">
        <v>1</v>
      </c>
      <c r="BL161">
        <f>テーブル2[[#This Row],[Ts]]-テーブル2[[#This Row],[Tin]]</f>
        <v>318.18198226742254</v>
      </c>
      <c r="BM161">
        <f>テーブル2[[#This Row],[q_P]]*0.000001</f>
        <v>5.7136201645575921</v>
      </c>
      <c r="BN161">
        <f>テーブル2[[#This Row],[Tsub]]</f>
        <v>318.18198226742254</v>
      </c>
      <c r="BO161">
        <f>テーブル2[[#This Row],[Fcorr]]</f>
        <v>1</v>
      </c>
      <c r="BP161">
        <f>(テーブル2[[#This Row],[Tsub]]-40)^2</f>
        <v>77385.215258232594</v>
      </c>
      <c r="BQ161">
        <v>1</v>
      </c>
      <c r="BR161">
        <v>0.69596000000000002</v>
      </c>
    </row>
    <row r="162" spans="1:70" x14ac:dyDescent="0.15">
      <c r="A162" s="9" t="s">
        <v>230</v>
      </c>
      <c r="B162">
        <v>15513203.909628799</v>
      </c>
      <c r="C162" s="22">
        <f t="array" ref="C162">TsatFromP(テーブル2[[#This Row],[P]])</f>
        <v>617.97483343502051</v>
      </c>
      <c r="D162">
        <f t="array" ref="D162">RhoGFromP(テーブル2[[#This Row],[P]])</f>
        <v>102.22394330033012</v>
      </c>
      <c r="E162">
        <f t="array" ref="E162">RhoFFromP(テーブル2[[#This Row],[P]])</f>
        <v>593.99780321429478</v>
      </c>
      <c r="F162">
        <f t="array" ref="F162">HgFromP(テーブル2[[#This Row],[P]])</f>
        <v>2595333.5493798093</v>
      </c>
      <c r="G162">
        <f t="array" ref="G162">HfFromP(テーブル2[[#This Row],[P]])</f>
        <v>1630481.3857882055</v>
      </c>
      <c r="H162">
        <f t="array" ref="H162">MuGFromP(テーブル2[[#This Row],[P]])</f>
        <v>2.3048203873610289E-5</v>
      </c>
      <c r="I162">
        <f t="array" ref="I162">MuFFromP(テーブル2[[#This Row],[P]])</f>
        <v>6.8200503236293109E-5</v>
      </c>
      <c r="J162">
        <f t="array" ref="J162">KfFromP(テーブル2[[#This Row],[P]])</f>
        <v>0.47171772328903144</v>
      </c>
      <c r="K162">
        <f t="array" ref="K162">CpFFromP(テーブル2[[#This Row],[P]])</f>
        <v>9005.0430614720299</v>
      </c>
      <c r="L162">
        <f t="array" ref="L162">SigmaFromP(テーブル2[[#This Row],[P]])</f>
        <v>4.6429387983550419E-3</v>
      </c>
      <c r="M162">
        <v>161</v>
      </c>
      <c r="N162">
        <v>3743.1948000000002</v>
      </c>
      <c r="O162" s="8">
        <f t="shared" si="88"/>
        <v>2.8502295699234246E-6</v>
      </c>
      <c r="P162" s="8">
        <f t="shared" si="89"/>
        <v>5.9847340050885557E-3</v>
      </c>
      <c r="Q162" s="8">
        <v>1.905E-3</v>
      </c>
      <c r="R162">
        <v>0.69596000000000002</v>
      </c>
      <c r="S162" s="15">
        <v>5818430.76171875</v>
      </c>
      <c r="T162">
        <v>299.79285116759797</v>
      </c>
      <c r="U162" s="12">
        <f>+T162+BG162*S162*テーブル2[[#This Row],[Pw]]*R162/(N162*O162*K162)</f>
        <v>552.04039063001892</v>
      </c>
      <c r="V162">
        <v>0.03</v>
      </c>
      <c r="W162" s="8">
        <f t="shared" si="60"/>
        <v>104556.20934781212</v>
      </c>
      <c r="X162">
        <v>2.6878779410128451E-2</v>
      </c>
      <c r="Y162">
        <f t="shared" si="61"/>
        <v>6.0995139434554897</v>
      </c>
      <c r="Z162">
        <f t="shared" si="62"/>
        <v>6.0995139494937094</v>
      </c>
      <c r="AA162">
        <f t="shared" si="63"/>
        <v>-6.0382197020203421E-9</v>
      </c>
      <c r="AB162">
        <f t="shared" si="64"/>
        <v>7.0299887495018681E-6</v>
      </c>
      <c r="AC162">
        <v>712.86880973518782</v>
      </c>
      <c r="AD162">
        <f t="shared" si="65"/>
        <v>3030.2580390165544</v>
      </c>
      <c r="AE162">
        <f>+gettm2(AD162,AC162,AK162,AL162,テーブル2[[#This Row],[Fcorr]])</f>
        <v>552.04039175870685</v>
      </c>
      <c r="AF162" s="14">
        <f t="shared" si="66"/>
        <v>1.1286879271210637E-6</v>
      </c>
      <c r="AG162">
        <v>7.1016910830762254E-6</v>
      </c>
      <c r="AH162">
        <f t="shared" si="67"/>
        <v>79.253705184390782</v>
      </c>
      <c r="AI162">
        <f t="shared" si="68"/>
        <v>0.36527282891494062</v>
      </c>
      <c r="AJ162">
        <f t="shared" si="69"/>
        <v>22.59313017858679</v>
      </c>
      <c r="AK162">
        <f t="array" ref="AK162">+S162*テーブル2[[#This Row],[F_form]]/(E162*CpFromTP((テーブル2[[#This Row],[Tin]]+テーブル2[[#This Row],[Tf]])/2,テーブル2[[#This Row],[P]])*AI162)</f>
        <v>6.2816316742400273</v>
      </c>
      <c r="AL162">
        <f t="shared" si="70"/>
        <v>1.3019406270656069</v>
      </c>
      <c r="AM162">
        <f t="shared" si="71"/>
        <v>617.97483335695813</v>
      </c>
      <c r="AN162">
        <f t="shared" si="72"/>
        <v>7.8062385000521317E-8</v>
      </c>
      <c r="AO162">
        <f t="shared" si="73"/>
        <v>7.1702333574357351E-8</v>
      </c>
      <c r="AP162">
        <v>3.6262950232636841</v>
      </c>
      <c r="AQ162">
        <f t="shared" si="74"/>
        <v>2.543646028085395E-5</v>
      </c>
      <c r="AR162">
        <f t="shared" si="75"/>
        <v>3.5866967083252914E-6</v>
      </c>
      <c r="AS162">
        <f t="shared" si="76"/>
        <v>11.410621032983654</v>
      </c>
      <c r="AT162">
        <f t="shared" si="77"/>
        <v>9.1227229561285608</v>
      </c>
      <c r="AU162">
        <f t="shared" si="78"/>
        <v>3.332282821592349</v>
      </c>
      <c r="AV162">
        <f t="shared" si="79"/>
        <v>0.29401220167133513</v>
      </c>
      <c r="AW162">
        <f t="shared" si="80"/>
        <v>4.7748820651345248E-3</v>
      </c>
      <c r="AX162">
        <f t="shared" si="81"/>
        <v>0.29401219826097202</v>
      </c>
      <c r="AY162">
        <f t="shared" si="82"/>
        <v>3.4103631030291126E-9</v>
      </c>
      <c r="AZ162">
        <f t="shared" si="83"/>
        <v>964852.16359160375</v>
      </c>
      <c r="BA162">
        <f t="shared" si="84"/>
        <v>7.0144486639040765E-6</v>
      </c>
      <c r="BB162" s="15">
        <f t="shared" si="85"/>
        <v>5858485.5475918157</v>
      </c>
      <c r="BC162" s="20">
        <f t="shared" si="86"/>
        <v>40054.785873065703</v>
      </c>
      <c r="BD162" s="19">
        <f t="shared" si="87"/>
        <v>0.68841217698418766</v>
      </c>
      <c r="BE162" s="15">
        <v>3722416.2</v>
      </c>
      <c r="BF162" s="16">
        <f>テーブル2[[#This Row],[q_P]]/テーブル2[[#This Row],[q_M]]</f>
        <v>1.5738394722201712</v>
      </c>
      <c r="BG162">
        <v>1</v>
      </c>
      <c r="BH162">
        <v>-0.06</v>
      </c>
      <c r="BI162">
        <v>4.5999999999999999E-2</v>
      </c>
      <c r="BJ162">
        <v>5625</v>
      </c>
      <c r="BK162" s="22">
        <v>1</v>
      </c>
      <c r="BL162">
        <f>テーブル2[[#This Row],[Ts]]-テーブル2[[#This Row],[Tin]]</f>
        <v>318.18198226742254</v>
      </c>
      <c r="BM162">
        <f>テーブル2[[#This Row],[q_P]]*0.000001</f>
        <v>5.8584855475918154</v>
      </c>
      <c r="BN162">
        <f>テーブル2[[#This Row],[Tsub]]</f>
        <v>318.18198226742254</v>
      </c>
      <c r="BO162">
        <f>テーブル2[[#This Row],[Fcorr]]</f>
        <v>1</v>
      </c>
      <c r="BP162">
        <f>(テーブル2[[#This Row],[Tsub]]-40)^2</f>
        <v>77385.215258232594</v>
      </c>
      <c r="BQ162">
        <v>1</v>
      </c>
      <c r="BR162">
        <v>0.69596000000000002</v>
      </c>
    </row>
    <row r="163" spans="1:70" x14ac:dyDescent="0.15">
      <c r="A163" s="9" t="s">
        <v>231</v>
      </c>
      <c r="B163">
        <v>15513203.909628799</v>
      </c>
      <c r="C163" s="22">
        <f t="array" ref="C163">TsatFromP(テーブル2[[#This Row],[P]])</f>
        <v>617.97483343502051</v>
      </c>
      <c r="D163">
        <f t="array" ref="D163">RhoGFromP(テーブル2[[#This Row],[P]])</f>
        <v>102.22394330033012</v>
      </c>
      <c r="E163">
        <f t="array" ref="E163">RhoFFromP(テーブル2[[#This Row],[P]])</f>
        <v>593.99780321429478</v>
      </c>
      <c r="F163">
        <f t="array" ref="F163">HgFromP(テーブル2[[#This Row],[P]])</f>
        <v>2595333.5493798093</v>
      </c>
      <c r="G163">
        <f t="array" ref="G163">HfFromP(テーブル2[[#This Row],[P]])</f>
        <v>1630481.3857882055</v>
      </c>
      <c r="H163">
        <f t="array" ref="H163">MuGFromP(テーブル2[[#This Row],[P]])</f>
        <v>2.3048203873610289E-5</v>
      </c>
      <c r="I163">
        <f t="array" ref="I163">MuFFromP(テーブル2[[#This Row],[P]])</f>
        <v>6.8200503236293109E-5</v>
      </c>
      <c r="J163">
        <f t="array" ref="J163">KfFromP(テーブル2[[#This Row],[P]])</f>
        <v>0.47171772328903144</v>
      </c>
      <c r="K163">
        <f t="array" ref="K163">CpFFromP(テーブル2[[#This Row],[P]])</f>
        <v>9005.0430614720299</v>
      </c>
      <c r="L163">
        <f t="array" ref="L163">SigmaFromP(テーブル2[[#This Row],[P]])</f>
        <v>4.6429387983550419E-3</v>
      </c>
      <c r="M163">
        <v>162</v>
      </c>
      <c r="N163">
        <v>3878.8177999999998</v>
      </c>
      <c r="O163" s="8">
        <f t="shared" si="88"/>
        <v>2.8502295699234246E-6</v>
      </c>
      <c r="P163" s="8">
        <f t="shared" si="89"/>
        <v>5.9847340050885557E-3</v>
      </c>
      <c r="Q163" s="8">
        <v>1.905E-3</v>
      </c>
      <c r="R163">
        <v>0.69596000000000002</v>
      </c>
      <c r="S163" s="15">
        <v>5983178.7109375</v>
      </c>
      <c r="T163">
        <v>300.35468451217503</v>
      </c>
      <c r="U163" s="12">
        <f>+T163+BG163*S163*テーブル2[[#This Row],[Pw]]*R163/(N163*O163*K163)</f>
        <v>550.67499673512839</v>
      </c>
      <c r="V163">
        <v>0.03</v>
      </c>
      <c r="W163" s="8">
        <f t="shared" si="60"/>
        <v>108344.477802443</v>
      </c>
      <c r="X163">
        <v>2.648671141585706E-2</v>
      </c>
      <c r="Y163">
        <f t="shared" si="61"/>
        <v>6.1444919577194019</v>
      </c>
      <c r="Z163">
        <f t="shared" si="62"/>
        <v>6.1444919840770256</v>
      </c>
      <c r="AA163">
        <f t="shared" si="63"/>
        <v>-2.6357623639228223E-8</v>
      </c>
      <c r="AB163">
        <f t="shared" si="64"/>
        <v>6.6438869072487288E-6</v>
      </c>
      <c r="AC163">
        <v>711.93507646885996</v>
      </c>
      <c r="AD163">
        <f t="shared" si="65"/>
        <v>3117.064660731442</v>
      </c>
      <c r="AE163">
        <f>+gettm2(AD163,AC163,AK163,AL163,テーブル2[[#This Row],[Fcorr]])</f>
        <v>550.67499673512816</v>
      </c>
      <c r="AF163" s="14">
        <f t="shared" si="66"/>
        <v>0</v>
      </c>
      <c r="AG163">
        <v>6.7140034023537437E-6</v>
      </c>
      <c r="AH163">
        <f t="shared" si="67"/>
        <v>83.85944306106876</v>
      </c>
      <c r="AI163">
        <f t="shared" si="68"/>
        <v>0.37573665736587897</v>
      </c>
      <c r="AJ163">
        <f t="shared" si="69"/>
        <v>21.971635419955405</v>
      </c>
      <c r="AK163">
        <f t="array" ref="AK163">+S163*テーブル2[[#This Row],[F_form]]/(E163*CpFromTP((テーブル2[[#This Row],[Tin]]+テーブル2[[#This Row],[Tf]])/2,テーブル2[[#This Row],[P]])*AI163)</f>
        <v>6.2809935031933817</v>
      </c>
      <c r="AL163">
        <f t="shared" si="70"/>
        <v>1.3019406270656069</v>
      </c>
      <c r="AM163">
        <f t="shared" si="71"/>
        <v>617.97483348010792</v>
      </c>
      <c r="AN163">
        <f t="shared" si="72"/>
        <v>-4.5087404032528866E-8</v>
      </c>
      <c r="AO163">
        <f t="shared" si="73"/>
        <v>7.0116495105014919E-8</v>
      </c>
      <c r="AP163">
        <v>3.6744540006590549</v>
      </c>
      <c r="AQ163">
        <f t="shared" si="74"/>
        <v>2.4774067301422926E-5</v>
      </c>
      <c r="AR163">
        <f t="shared" si="75"/>
        <v>3.3920599487293793E-6</v>
      </c>
      <c r="AS163">
        <f t="shared" si="76"/>
        <v>11.100546134663364</v>
      </c>
      <c r="AT163">
        <f t="shared" si="77"/>
        <v>8.9849715421448337</v>
      </c>
      <c r="AU163">
        <f t="shared" si="78"/>
        <v>3.3759831737730464</v>
      </c>
      <c r="AV163">
        <f t="shared" si="79"/>
        <v>0.29847082688600857</v>
      </c>
      <c r="AW163">
        <f t="shared" si="80"/>
        <v>4.5126354488763485E-3</v>
      </c>
      <c r="AX163">
        <f t="shared" si="81"/>
        <v>0.29847081233000694</v>
      </c>
      <c r="AY163">
        <f t="shared" si="82"/>
        <v>1.455600162625359E-8</v>
      </c>
      <c r="AZ163">
        <f t="shared" si="83"/>
        <v>964852.16359160375</v>
      </c>
      <c r="BA163">
        <f t="shared" si="84"/>
        <v>6.7422445067973137E-6</v>
      </c>
      <c r="BB163" s="15">
        <f t="shared" si="85"/>
        <v>5960206.6097889021</v>
      </c>
      <c r="BC163" s="20">
        <f t="shared" si="86"/>
        <v>-22972.101148597896</v>
      </c>
      <c r="BD163" s="19">
        <f t="shared" si="87"/>
        <v>-0.38394476010893569</v>
      </c>
      <c r="BE163" s="15">
        <v>3753962.1</v>
      </c>
      <c r="BF163" s="16">
        <f>テーブル2[[#This Row],[q_P]]/テーブル2[[#This Row],[q_M]]</f>
        <v>1.5877109174301205</v>
      </c>
      <c r="BG163">
        <v>1</v>
      </c>
      <c r="BH163">
        <v>-0.105</v>
      </c>
      <c r="BI163">
        <v>4.5999999999999999E-2</v>
      </c>
      <c r="BJ163">
        <v>5625</v>
      </c>
      <c r="BK163" s="22">
        <v>1</v>
      </c>
      <c r="BL163">
        <f>テーブル2[[#This Row],[Ts]]-テーブル2[[#This Row],[Tin]]</f>
        <v>317.62014892284549</v>
      </c>
      <c r="BM163">
        <f>テーブル2[[#This Row],[q_P]]*0.000001</f>
        <v>5.9602066097889015</v>
      </c>
      <c r="BN163">
        <f>テーブル2[[#This Row],[Tsub]]</f>
        <v>317.62014892284549</v>
      </c>
      <c r="BO163">
        <f>テーブル2[[#This Row],[Fcorr]]</f>
        <v>1</v>
      </c>
      <c r="BP163">
        <f>(テーブル2[[#This Row],[Tsub]]-40)^2</f>
        <v>77072.947087942914</v>
      </c>
      <c r="BQ163">
        <v>1</v>
      </c>
      <c r="BR163">
        <v>0.69596000000000002</v>
      </c>
    </row>
    <row r="164" spans="1:70" x14ac:dyDescent="0.15">
      <c r="A164" s="9" t="s">
        <v>232</v>
      </c>
      <c r="B164">
        <v>17236893.2329209</v>
      </c>
      <c r="C164" s="22">
        <f t="array" ref="C164">TsatFromP(テーブル2[[#This Row],[P]])</f>
        <v>626.57723583796803</v>
      </c>
      <c r="D164">
        <f t="array" ref="D164">RhoGFromP(テーブル2[[#This Row],[P]])</f>
        <v>122.583590976701</v>
      </c>
      <c r="E164">
        <f t="array" ref="E164">RhoFFromP(テーブル2[[#This Row],[P]])</f>
        <v>560.26337686439001</v>
      </c>
      <c r="F164">
        <f t="array" ref="F164">HgFromP(テーブル2[[#This Row],[P]])</f>
        <v>2538890.6454807199</v>
      </c>
      <c r="G164">
        <f t="array" ref="G164">HfFromP(テーブル2[[#This Row],[P]])</f>
        <v>1699798.64659754</v>
      </c>
      <c r="H164">
        <f t="array" ref="H164">MuGFromP(テーブル2[[#This Row],[P]])</f>
        <v>2.4290890628326198E-5</v>
      </c>
      <c r="I164">
        <f t="array" ref="I164">MuFFromP(テーブル2[[#This Row],[P]])</f>
        <v>6.4066005508525405E-5</v>
      </c>
      <c r="J164">
        <f t="array" ref="J164">KfFromP(テーブル2[[#This Row],[P]])</f>
        <v>0.452884810527584</v>
      </c>
      <c r="K164">
        <f t="array" ref="K164">CpFFromP(テーブル2[[#This Row],[P]])</f>
        <v>11219.515372648901</v>
      </c>
      <c r="L164">
        <f t="array" ref="L164">SigmaFromP(テーブル2[[#This Row],[P]])</f>
        <v>3.02925386118211E-3</v>
      </c>
      <c r="M164">
        <v>163</v>
      </c>
      <c r="N164">
        <v>1939.4088999999999</v>
      </c>
      <c r="O164" s="8">
        <f t="shared" si="88"/>
        <v>2.8502295699234246E-6</v>
      </c>
      <c r="P164" s="8">
        <f t="shared" si="89"/>
        <v>5.9847340050885557E-3</v>
      </c>
      <c r="Q164" s="8">
        <v>1.905E-3</v>
      </c>
      <c r="R164">
        <v>0.15240000000000001</v>
      </c>
      <c r="S164" s="15">
        <v>2969197.51953125</v>
      </c>
      <c r="T164">
        <v>544.38778847281696</v>
      </c>
      <c r="U164" s="12">
        <f>+T164+BG164*S164*テーブル2[[#This Row],[Pw]]*R164/(N164*O164*K164)</f>
        <v>588.05400713064012</v>
      </c>
      <c r="V164">
        <v>0.03</v>
      </c>
      <c r="W164" s="8">
        <f t="shared" si="60"/>
        <v>57668.242700231327</v>
      </c>
      <c r="X164">
        <v>3.2357785104266172E-2</v>
      </c>
      <c r="Y164">
        <f t="shared" si="61"/>
        <v>5.5591783430067494</v>
      </c>
      <c r="Z164">
        <f t="shared" si="62"/>
        <v>5.5591783497804945</v>
      </c>
      <c r="AA164">
        <f t="shared" si="63"/>
        <v>-6.7737451203697674E-9</v>
      </c>
      <c r="AB164">
        <f t="shared" si="64"/>
        <v>1.3386948195257642E-5</v>
      </c>
      <c r="AC164">
        <v>708.54185219529393</v>
      </c>
      <c r="AD164">
        <f t="shared" si="65"/>
        <v>1833.7964244186364</v>
      </c>
      <c r="AE164">
        <f>+gettm2(AD164,AC164,AK164,AL164,テーブル2[[#This Row],[Fcorr]])</f>
        <v>588.05400821605872</v>
      </c>
      <c r="AF164" s="14">
        <f t="shared" si="66"/>
        <v>1.0854186029973789E-6</v>
      </c>
      <c r="AG164">
        <v>1.347637951341768E-5</v>
      </c>
      <c r="AH164">
        <f t="shared" si="67"/>
        <v>27.154095021494712</v>
      </c>
      <c r="AI164">
        <f t="shared" si="68"/>
        <v>0.22015144959272953</v>
      </c>
      <c r="AJ164">
        <f t="shared" si="69"/>
        <v>25.945340226576285</v>
      </c>
      <c r="AK164">
        <f t="array" ref="AK164">+S164*テーブル2[[#This Row],[F_form]]/(E164*CpFromTP((テーブル2[[#This Row],[Tin]]+テーブル2[[#This Row],[Tf]])/2,テーブル2[[#This Row],[P]])*AI164)</f>
        <v>4.5263556408070702</v>
      </c>
      <c r="AL164">
        <f t="shared" si="70"/>
        <v>1.5871354414155836</v>
      </c>
      <c r="AM164">
        <f t="shared" si="71"/>
        <v>626.57723578563912</v>
      </c>
      <c r="AN164">
        <f t="shared" si="72"/>
        <v>5.2328914534882642E-8</v>
      </c>
      <c r="AO164">
        <f t="shared" si="73"/>
        <v>8.9431318160038237E-8</v>
      </c>
      <c r="AP164">
        <v>2.3766704722242471</v>
      </c>
      <c r="AQ164">
        <f t="shared" si="74"/>
        <v>3.3502437731486527E-5</v>
      </c>
      <c r="AR164">
        <f t="shared" si="75"/>
        <v>6.7829054157888593E-6</v>
      </c>
      <c r="AS164">
        <f t="shared" si="76"/>
        <v>13.058758738733246</v>
      </c>
      <c r="AT164">
        <f t="shared" si="77"/>
        <v>9.7972953817770012</v>
      </c>
      <c r="AU164">
        <f t="shared" si="78"/>
        <v>2.1568887803863612</v>
      </c>
      <c r="AV164">
        <f t="shared" si="79"/>
        <v>0.21978169183788587</v>
      </c>
      <c r="AW164">
        <f t="shared" si="80"/>
        <v>1.0619737236195359E-2</v>
      </c>
      <c r="AX164">
        <f t="shared" si="81"/>
        <v>0.21978167647482566</v>
      </c>
      <c r="AY164">
        <f t="shared" si="82"/>
        <v>1.5363060212880697E-8</v>
      </c>
      <c r="AZ164">
        <f t="shared" si="83"/>
        <v>839091.99888317985</v>
      </c>
      <c r="BA164">
        <f t="shared" si="84"/>
        <v>1.409637479113068E-5</v>
      </c>
      <c r="BB164" s="15">
        <f t="shared" si="85"/>
        <v>2982524.4208808709</v>
      </c>
      <c r="BC164" s="20">
        <f t="shared" si="86"/>
        <v>13326.901349620894</v>
      </c>
      <c r="BD164" s="19">
        <f t="shared" si="87"/>
        <v>0.4488384912743974</v>
      </c>
      <c r="BE164" s="15">
        <v>2839131</v>
      </c>
      <c r="BF164" s="16">
        <f>テーブル2[[#This Row],[q_P]]/テーブル2[[#This Row],[q_M]]</f>
        <v>1.0505060953090473</v>
      </c>
      <c r="BG164">
        <v>1</v>
      </c>
      <c r="BH164">
        <v>-5.0999999999999997E-2</v>
      </c>
      <c r="BI164">
        <v>4.5999999999999999E-2</v>
      </c>
      <c r="BJ164">
        <v>5625</v>
      </c>
      <c r="BK164" s="22">
        <v>1</v>
      </c>
      <c r="BL164">
        <f>テーブル2[[#This Row],[Ts]]-テーブル2[[#This Row],[Tin]]</f>
        <v>82.189447365151068</v>
      </c>
      <c r="BM164">
        <f>テーブル2[[#This Row],[q_P]]*0.000001</f>
        <v>2.9825244208808708</v>
      </c>
      <c r="BN164">
        <f>テーブル2[[#This Row],[Tsub]]</f>
        <v>82.189447365151068</v>
      </c>
      <c r="BO164">
        <f>テーブル2[[#This Row],[Fcorr]]</f>
        <v>1</v>
      </c>
      <c r="BP164">
        <f>(テーブル2[[#This Row],[Tsub]]-40)^2</f>
        <v>1779.9494689768524</v>
      </c>
      <c r="BQ164">
        <v>1</v>
      </c>
      <c r="BR164">
        <v>0.15240000000000001</v>
      </c>
    </row>
    <row r="165" spans="1:70" x14ac:dyDescent="0.15">
      <c r="A165" s="9" t="s">
        <v>233</v>
      </c>
      <c r="B165">
        <v>17236893.2329209</v>
      </c>
      <c r="C165" s="22">
        <f t="array" ref="C165">TsatFromP(テーブル2[[#This Row],[P]])</f>
        <v>626.57723583796803</v>
      </c>
      <c r="D165">
        <f t="array" ref="D165">RhoGFromP(テーブル2[[#This Row],[P]])</f>
        <v>122.583590976701</v>
      </c>
      <c r="E165">
        <f t="array" ref="E165">RhoFFromP(テーブル2[[#This Row],[P]])</f>
        <v>560.26337686439001</v>
      </c>
      <c r="F165">
        <f t="array" ref="F165">HgFromP(テーブル2[[#This Row],[P]])</f>
        <v>2538890.6454807199</v>
      </c>
      <c r="G165">
        <f t="array" ref="G165">HfFromP(テーブル2[[#This Row],[P]])</f>
        <v>1699798.64659754</v>
      </c>
      <c r="H165">
        <f t="array" ref="H165">MuGFromP(テーブル2[[#This Row],[P]])</f>
        <v>2.4290890628326198E-5</v>
      </c>
      <c r="I165">
        <f t="array" ref="I165">MuFFromP(テーブル2[[#This Row],[P]])</f>
        <v>6.4066005508525405E-5</v>
      </c>
      <c r="J165">
        <f t="array" ref="J165">KfFromP(テーブル2[[#This Row],[P]])</f>
        <v>0.452884810527584</v>
      </c>
      <c r="K165">
        <f t="array" ref="K165">CpFFromP(テーブル2[[#This Row],[P]])</f>
        <v>11219.515372648901</v>
      </c>
      <c r="L165">
        <f t="array" ref="L165">SigmaFromP(テーブル2[[#This Row],[P]])</f>
        <v>3.02925386118211E-3</v>
      </c>
      <c r="M165">
        <v>164</v>
      </c>
      <c r="N165">
        <v>1952.9712</v>
      </c>
      <c r="O165" s="8">
        <f t="shared" si="88"/>
        <v>2.8502295699234246E-6</v>
      </c>
      <c r="P165" s="8">
        <f t="shared" si="89"/>
        <v>5.9847340050885557E-3</v>
      </c>
      <c r="Q165" s="8">
        <v>1.905E-3</v>
      </c>
      <c r="R165">
        <v>0.15240000000000001</v>
      </c>
      <c r="S165" s="15">
        <v>3088448.73046875</v>
      </c>
      <c r="T165">
        <v>541.02055212223797</v>
      </c>
      <c r="U165" s="12">
        <f>+T165+BG165*S165*テーブル2[[#This Row],[Pw]]*R165/(N165*O165*K165)</f>
        <v>586.12511078669399</v>
      </c>
      <c r="V165">
        <v>0.03</v>
      </c>
      <c r="W165" s="8">
        <f t="shared" si="60"/>
        <v>58071.517124708465</v>
      </c>
      <c r="X165">
        <v>3.2256724925706207E-2</v>
      </c>
      <c r="Y165">
        <f t="shared" si="61"/>
        <v>5.5678799735499487</v>
      </c>
      <c r="Z165">
        <f t="shared" si="62"/>
        <v>5.5678799790447515</v>
      </c>
      <c r="AA165">
        <f t="shared" si="63"/>
        <v>-5.4948028349599554E-9</v>
      </c>
      <c r="AB165">
        <f t="shared" si="64"/>
        <v>1.3243024704516485E-5</v>
      </c>
      <c r="AC165">
        <v>712.09615945868052</v>
      </c>
      <c r="AD165">
        <f t="shared" si="65"/>
        <v>1843.7342286354742</v>
      </c>
      <c r="AE165">
        <f>+gettm2(AD165,AC165,AK165,AL165,テーブル2[[#This Row],[Fcorr]])</f>
        <v>586.12511078669388</v>
      </c>
      <c r="AF165" s="14">
        <f t="shared" si="66"/>
        <v>0</v>
      </c>
      <c r="AG165">
        <v>1.333474752495543E-5</v>
      </c>
      <c r="AH165">
        <f t="shared" si="67"/>
        <v>27.44920223684845</v>
      </c>
      <c r="AI165">
        <f t="shared" si="68"/>
        <v>0.22134450568934569</v>
      </c>
      <c r="AJ165">
        <f t="shared" si="69"/>
        <v>25.811790490259842</v>
      </c>
      <c r="AK165">
        <f t="array" ref="AK165">+S165*テーブル2[[#This Row],[F_form]]/(E165*CpFromTP((テーブル2[[#This Row],[Tin]]+テーブル2[[#This Row],[Tf]])/2,テーブル2[[#This Row],[P]])*AI165)</f>
        <v>4.7298947946878256</v>
      </c>
      <c r="AL165">
        <f t="shared" si="70"/>
        <v>1.5871354414155836</v>
      </c>
      <c r="AM165">
        <f t="shared" si="71"/>
        <v>626.57723581118228</v>
      </c>
      <c r="AN165">
        <f t="shared" si="72"/>
        <v>2.6785755835589953E-8</v>
      </c>
      <c r="AO165">
        <f t="shared" si="73"/>
        <v>9.172282043894485E-8</v>
      </c>
      <c r="AP165">
        <v>2.3834744407135511</v>
      </c>
      <c r="AQ165">
        <f t="shared" si="74"/>
        <v>3.3311435747582406E-5</v>
      </c>
      <c r="AR165">
        <f t="shared" si="75"/>
        <v>6.7132351726971874E-6</v>
      </c>
      <c r="AS165">
        <f t="shared" si="76"/>
        <v>12.99466821289384</v>
      </c>
      <c r="AT165">
        <f t="shared" si="77"/>
        <v>9.7726956793122817</v>
      </c>
      <c r="AU165">
        <f t="shared" si="78"/>
        <v>2.1631324943897812</v>
      </c>
      <c r="AV165">
        <f t="shared" si="79"/>
        <v>0.22034194632376991</v>
      </c>
      <c r="AW165">
        <f t="shared" si="80"/>
        <v>1.0505564115369469E-2</v>
      </c>
      <c r="AX165">
        <f t="shared" si="81"/>
        <v>0.22034193043761352</v>
      </c>
      <c r="AY165">
        <f t="shared" si="82"/>
        <v>1.5886156390365613E-8</v>
      </c>
      <c r="AZ165">
        <f t="shared" si="83"/>
        <v>839091.99888317985</v>
      </c>
      <c r="BA165">
        <f t="shared" si="84"/>
        <v>1.3975998726300507E-5</v>
      </c>
      <c r="BB165" s="15">
        <f t="shared" si="85"/>
        <v>3085292.6369310822</v>
      </c>
      <c r="BC165" s="20">
        <f t="shared" si="86"/>
        <v>-3156.0935376677662</v>
      </c>
      <c r="BD165" s="19">
        <f t="shared" si="87"/>
        <v>-0.10219025190645627</v>
      </c>
      <c r="BE165" s="15">
        <v>3059952.3</v>
      </c>
      <c r="BF165" s="16">
        <f>テーブル2[[#This Row],[q_P]]/テーブル2[[#This Row],[q_M]]</f>
        <v>1.0082812849504492</v>
      </c>
      <c r="BG165">
        <v>1</v>
      </c>
      <c r="BH165">
        <v>-3.1E-2</v>
      </c>
      <c r="BI165">
        <v>4.5999999999999999E-2</v>
      </c>
      <c r="BJ165">
        <v>5625</v>
      </c>
      <c r="BK165" s="22">
        <v>1</v>
      </c>
      <c r="BL165">
        <f>テーブル2[[#This Row],[Ts]]-テーブル2[[#This Row],[Tin]]</f>
        <v>85.55668371573006</v>
      </c>
      <c r="BM165">
        <f>テーブル2[[#This Row],[q_P]]*0.000001</f>
        <v>3.085292636931082</v>
      </c>
      <c r="BN165">
        <f>テーブル2[[#This Row],[Tsub]]</f>
        <v>85.55668371573006</v>
      </c>
      <c r="BO165">
        <f>テーブル2[[#This Row],[Fcorr]]</f>
        <v>1</v>
      </c>
      <c r="BP165">
        <f>(テーブル2[[#This Row],[Tsub]]-40)^2</f>
        <v>2075.4114311750645</v>
      </c>
      <c r="BQ165">
        <v>1</v>
      </c>
      <c r="BR165">
        <v>0.15240000000000001</v>
      </c>
    </row>
    <row r="166" spans="1:70" x14ac:dyDescent="0.15">
      <c r="A166" s="9" t="s">
        <v>234</v>
      </c>
      <c r="B166">
        <v>17236893.2329209</v>
      </c>
      <c r="C166" s="22">
        <f t="array" ref="C166">TsatFromP(テーブル2[[#This Row],[P]])</f>
        <v>626.57723583796803</v>
      </c>
      <c r="D166">
        <f t="array" ref="D166">RhoGFromP(テーブル2[[#This Row],[P]])</f>
        <v>122.583590976701</v>
      </c>
      <c r="E166">
        <f t="array" ref="E166">RhoFFromP(テーブル2[[#This Row],[P]])</f>
        <v>560.26337686439001</v>
      </c>
      <c r="F166">
        <f t="array" ref="F166">HgFromP(テーブル2[[#This Row],[P]])</f>
        <v>2538890.6454807199</v>
      </c>
      <c r="G166">
        <f t="array" ref="G166">HfFromP(テーブル2[[#This Row],[P]])</f>
        <v>1699798.64659754</v>
      </c>
      <c r="H166">
        <f t="array" ref="H166">MuGFromP(テーブル2[[#This Row],[P]])</f>
        <v>2.4290890628326198E-5</v>
      </c>
      <c r="I166">
        <f t="array" ref="I166">MuFFromP(テーブル2[[#This Row],[P]])</f>
        <v>6.4066005508525405E-5</v>
      </c>
      <c r="J166">
        <f t="array" ref="J166">KfFromP(テーブル2[[#This Row],[P]])</f>
        <v>0.452884810527584</v>
      </c>
      <c r="K166">
        <f t="array" ref="K166">CpFFromP(テーブル2[[#This Row],[P]])</f>
        <v>11219.515372648901</v>
      </c>
      <c r="L166">
        <f t="array" ref="L166">SigmaFromP(テーブル2[[#This Row],[P]])</f>
        <v>3.02925386118211E-3</v>
      </c>
      <c r="M166">
        <v>165</v>
      </c>
      <c r="N166">
        <v>2007.2203999999999</v>
      </c>
      <c r="O166" s="8">
        <f t="shared" si="88"/>
        <v>2.8502295699234246E-6</v>
      </c>
      <c r="P166" s="8">
        <f t="shared" si="89"/>
        <v>5.9847340050885557E-3</v>
      </c>
      <c r="Q166" s="8">
        <v>1.905E-3</v>
      </c>
      <c r="R166">
        <v>0.15240000000000001</v>
      </c>
      <c r="S166" s="15">
        <v>3690665.33203125</v>
      </c>
      <c r="T166">
        <v>523.75355252526197</v>
      </c>
      <c r="U166" s="12">
        <f>+T166+BG166*S166*テーブル2[[#This Row],[Pw]]*R166/(N166*O166*K166)</f>
        <v>576.1963057005546</v>
      </c>
      <c r="V166">
        <v>0.03</v>
      </c>
      <c r="W166" s="8">
        <f t="shared" si="60"/>
        <v>59684.614822617033</v>
      </c>
      <c r="X166">
        <v>3.1863876118458423E-2</v>
      </c>
      <c r="Y166">
        <f t="shared" si="61"/>
        <v>5.602097944140076</v>
      </c>
      <c r="Z166">
        <f t="shared" si="62"/>
        <v>5.6020979701971116</v>
      </c>
      <c r="AA166">
        <f t="shared" si="63"/>
        <v>-2.605703564029227E-8</v>
      </c>
      <c r="AB166">
        <f t="shared" si="64"/>
        <v>1.2691425606134011E-5</v>
      </c>
      <c r="AC166">
        <v>730.49172157212945</v>
      </c>
      <c r="AD166">
        <f t="shared" si="65"/>
        <v>1883.3745988735059</v>
      </c>
      <c r="AE166">
        <f>+gettm2(AD166,AC166,AK166,AL166,テーブル2[[#This Row],[Fcorr]])</f>
        <v>576.19630570055449</v>
      </c>
      <c r="AF166" s="14">
        <f t="shared" si="66"/>
        <v>0</v>
      </c>
      <c r="AG166">
        <v>1.279675794529488E-5</v>
      </c>
      <c r="AH166">
        <f t="shared" si="67"/>
        <v>28.642208891502428</v>
      </c>
      <c r="AI166">
        <f t="shared" si="68"/>
        <v>0.22610342268475964</v>
      </c>
      <c r="AJ166">
        <f t="shared" si="69"/>
        <v>25.30298043265207</v>
      </c>
      <c r="AK166">
        <f t="array" ref="AK166">+S166*テーブル2[[#This Row],[F_form]]/(E166*CpFromTP((テーブル2[[#This Row],[Tin]]+テーブル2[[#This Row],[Tf]])/2,テーブル2[[#This Row],[P]])*AI166)</f>
        <v>5.7816352730793641</v>
      </c>
      <c r="AL166">
        <f t="shared" si="70"/>
        <v>1.5871354414155836</v>
      </c>
      <c r="AM166">
        <f t="shared" si="71"/>
        <v>626.57723577304887</v>
      </c>
      <c r="AN166">
        <f t="shared" si="72"/>
        <v>6.491916337836301E-8</v>
      </c>
      <c r="AO166">
        <f t="shared" si="73"/>
        <v>1.0533233916086867E-7</v>
      </c>
      <c r="AP166">
        <v>2.4111461855606469</v>
      </c>
      <c r="AQ166">
        <f t="shared" si="74"/>
        <v>3.2551219650426639E-5</v>
      </c>
      <c r="AR166">
        <f t="shared" si="75"/>
        <v>6.4510451422278741E-6</v>
      </c>
      <c r="AS166">
        <f t="shared" si="76"/>
        <v>12.755626831557272</v>
      </c>
      <c r="AT166">
        <f t="shared" si="77"/>
        <v>9.6798624718674517</v>
      </c>
      <c r="AU166">
        <f t="shared" si="78"/>
        <v>2.1886500360069885</v>
      </c>
      <c r="AV166">
        <f t="shared" si="79"/>
        <v>0.22249614955365837</v>
      </c>
      <c r="AW166">
        <f t="shared" si="80"/>
        <v>1.0067985856373942E-2</v>
      </c>
      <c r="AX166">
        <f t="shared" si="81"/>
        <v>0.22249614846022828</v>
      </c>
      <c r="AY166">
        <f t="shared" si="82"/>
        <v>1.0934300964660082E-9</v>
      </c>
      <c r="AZ166">
        <f t="shared" si="83"/>
        <v>839091.99888317985</v>
      </c>
      <c r="BA166">
        <f t="shared" si="84"/>
        <v>1.350030945670668E-5</v>
      </c>
      <c r="BB166" s="15">
        <f t="shared" si="85"/>
        <v>3667919.7037320295</v>
      </c>
      <c r="BC166" s="20">
        <f t="shared" si="86"/>
        <v>-22745.628299220465</v>
      </c>
      <c r="BD166" s="19">
        <f t="shared" si="87"/>
        <v>-0.61630156768242761</v>
      </c>
      <c r="BE166" s="15">
        <v>3533140.8</v>
      </c>
      <c r="BF166" s="16">
        <f>テーブル2[[#This Row],[q_P]]/テーブル2[[#This Row],[q_M]]</f>
        <v>1.0381470514087721</v>
      </c>
      <c r="BG166">
        <v>1</v>
      </c>
      <c r="BH166">
        <v>-5.6000000000000001E-2</v>
      </c>
      <c r="BI166">
        <v>4.5999999999999999E-2</v>
      </c>
      <c r="BJ166">
        <v>5625</v>
      </c>
      <c r="BK166" s="22">
        <v>1</v>
      </c>
      <c r="BL166">
        <f>テーブル2[[#This Row],[Ts]]-テーブル2[[#This Row],[Tin]]</f>
        <v>102.82368331270607</v>
      </c>
      <c r="BM166">
        <f>テーブル2[[#This Row],[q_P]]*0.000001</f>
        <v>3.6679197037320295</v>
      </c>
      <c r="BN166">
        <f>テーブル2[[#This Row],[Tsub]]</f>
        <v>102.82368331270607</v>
      </c>
      <c r="BO166">
        <f>テーブル2[[#This Row],[Fcorr]]</f>
        <v>1</v>
      </c>
      <c r="BP166">
        <f>(テーブル2[[#This Row],[Tsub]]-40)^2</f>
        <v>3946.8151849751825</v>
      </c>
      <c r="BQ166">
        <v>1</v>
      </c>
      <c r="BR166">
        <v>0.15240000000000001</v>
      </c>
    </row>
    <row r="167" spans="1:70" x14ac:dyDescent="0.15">
      <c r="A167" s="9" t="s">
        <v>235</v>
      </c>
      <c r="B167">
        <v>17236893.2329209</v>
      </c>
      <c r="C167" s="22">
        <f t="array" ref="C167">TsatFromP(テーブル2[[#This Row],[P]])</f>
        <v>626.57723583796803</v>
      </c>
      <c r="D167">
        <f t="array" ref="D167">RhoGFromP(テーブル2[[#This Row],[P]])</f>
        <v>122.583590976701</v>
      </c>
      <c r="E167">
        <f t="array" ref="E167">RhoFFromP(テーブル2[[#This Row],[P]])</f>
        <v>560.26337686439001</v>
      </c>
      <c r="F167">
        <f t="array" ref="F167">HgFromP(テーブル2[[#This Row],[P]])</f>
        <v>2538890.6454807199</v>
      </c>
      <c r="G167">
        <f t="array" ref="G167">HfFromP(テーブル2[[#This Row],[P]])</f>
        <v>1699798.64659754</v>
      </c>
      <c r="H167">
        <f t="array" ref="H167">MuGFromP(テーブル2[[#This Row],[P]])</f>
        <v>2.4290890628326198E-5</v>
      </c>
      <c r="I167">
        <f t="array" ref="I167">MuFFromP(テーブル2[[#This Row],[P]])</f>
        <v>6.4066005508525405E-5</v>
      </c>
      <c r="J167">
        <f t="array" ref="J167">KfFromP(テーブル2[[#This Row],[P]])</f>
        <v>0.452884810527584</v>
      </c>
      <c r="K167">
        <f t="array" ref="K167">CpFFromP(テーブル2[[#This Row],[P]])</f>
        <v>11219.515372648901</v>
      </c>
      <c r="L167">
        <f t="array" ref="L167">SigmaFromP(テーブル2[[#This Row],[P]])</f>
        <v>3.02925386118211E-3</v>
      </c>
      <c r="M167">
        <v>166</v>
      </c>
      <c r="N167">
        <v>2007.2203999999999</v>
      </c>
      <c r="O167" s="8">
        <f t="shared" si="88"/>
        <v>2.8502295699234246E-6</v>
      </c>
      <c r="P167" s="8">
        <f t="shared" si="89"/>
        <v>5.9847340050885557E-3</v>
      </c>
      <c r="Q167" s="8">
        <v>1.905E-3</v>
      </c>
      <c r="R167">
        <v>0.15240000000000001</v>
      </c>
      <c r="S167" s="15">
        <v>3654352.05078125</v>
      </c>
      <c r="T167">
        <v>524.88712944744998</v>
      </c>
      <c r="U167" s="12">
        <f>+T167+BG167*S167*テーブル2[[#This Row],[Pw]]*R167/(N167*O167*K167)</f>
        <v>576.8138866506747</v>
      </c>
      <c r="V167">
        <v>0.03</v>
      </c>
      <c r="W167" s="8">
        <f t="shared" si="60"/>
        <v>59684.614822617033</v>
      </c>
      <c r="X167">
        <v>3.1863876118458423E-2</v>
      </c>
      <c r="Y167">
        <f t="shared" si="61"/>
        <v>5.602097944140076</v>
      </c>
      <c r="Z167">
        <f t="shared" si="62"/>
        <v>5.6020979701971116</v>
      </c>
      <c r="AA167">
        <f t="shared" si="63"/>
        <v>-2.605703564029227E-8</v>
      </c>
      <c r="AB167">
        <f t="shared" si="64"/>
        <v>1.2691425606134011E-5</v>
      </c>
      <c r="AC167">
        <v>729.20850350399155</v>
      </c>
      <c r="AD167">
        <f t="shared" si="65"/>
        <v>1883.3745988735059</v>
      </c>
      <c r="AE167">
        <f>+gettm2(AD167,AC167,AK167,AL167,テーブル2[[#This Row],[Fcorr]])</f>
        <v>576.81388794275972</v>
      </c>
      <c r="AF167" s="14">
        <f t="shared" si="66"/>
        <v>1.2920850167574827E-6</v>
      </c>
      <c r="AG167">
        <v>1.279548186620126E-5</v>
      </c>
      <c r="AH167">
        <f t="shared" si="67"/>
        <v>28.642208891502428</v>
      </c>
      <c r="AI167">
        <f t="shared" si="68"/>
        <v>0.22610342268475964</v>
      </c>
      <c r="AJ167">
        <f t="shared" si="69"/>
        <v>25.300457246351726</v>
      </c>
      <c r="AK167">
        <f t="array" ref="AK167">+S167*テーブル2[[#This Row],[F_form]]/(E167*CpFromTP((テーブル2[[#This Row],[Tin]]+テーブル2[[#This Row],[Tf]])/2,テーブル2[[#This Row],[P]])*AI167)</f>
        <v>5.7104099935771639</v>
      </c>
      <c r="AL167">
        <f t="shared" si="70"/>
        <v>1.5871354414155836</v>
      </c>
      <c r="AM167">
        <f t="shared" si="71"/>
        <v>626.57723577374293</v>
      </c>
      <c r="AN167">
        <f t="shared" si="72"/>
        <v>6.4225105234072544E-8</v>
      </c>
      <c r="AO167">
        <f t="shared" si="73"/>
        <v>1.0405626006724905E-7</v>
      </c>
      <c r="AP167">
        <v>2.410941432104019</v>
      </c>
      <c r="AQ167">
        <f t="shared" si="74"/>
        <v>3.2556748824772804E-5</v>
      </c>
      <c r="AR167">
        <f t="shared" si="75"/>
        <v>6.4497690631342545E-6</v>
      </c>
      <c r="AS167">
        <f t="shared" si="76"/>
        <v>12.75310364525693</v>
      </c>
      <c r="AT167">
        <f t="shared" si="77"/>
        <v>9.6788733256961592</v>
      </c>
      <c r="AU167">
        <f t="shared" si="78"/>
        <v>2.1884263866721239</v>
      </c>
      <c r="AV167">
        <f t="shared" si="79"/>
        <v>0.22251504543189515</v>
      </c>
      <c r="AW167">
        <f t="shared" si="80"/>
        <v>1.0067985856373942E-2</v>
      </c>
      <c r="AX167">
        <f t="shared" si="81"/>
        <v>0.22251504433835992</v>
      </c>
      <c r="AY167">
        <f t="shared" si="82"/>
        <v>1.0935352345864402E-9</v>
      </c>
      <c r="AZ167">
        <f t="shared" si="83"/>
        <v>839091.99888317985</v>
      </c>
      <c r="BA167">
        <f t="shared" si="84"/>
        <v>1.3503749361659382E-5</v>
      </c>
      <c r="BB167" s="15">
        <f t="shared" si="85"/>
        <v>3622560.5939707039</v>
      </c>
      <c r="BC167" s="20">
        <f t="shared" si="86"/>
        <v>-31791.456810546108</v>
      </c>
      <c r="BD167" s="19">
        <f t="shared" si="87"/>
        <v>-0.86996152447188368</v>
      </c>
      <c r="BE167" s="15">
        <v>3501594.9</v>
      </c>
      <c r="BF167" s="16">
        <f>テーブル2[[#This Row],[q_P]]/テーブル2[[#This Row],[q_M]]</f>
        <v>1.0345458847825897</v>
      </c>
      <c r="BG167">
        <v>1</v>
      </c>
      <c r="BH167">
        <v>-5.6000000000000001E-2</v>
      </c>
      <c r="BI167">
        <v>4.5999999999999999E-2</v>
      </c>
      <c r="BJ167">
        <v>5625</v>
      </c>
      <c r="BK167" s="22">
        <v>1</v>
      </c>
      <c r="BL167">
        <f>テーブル2[[#This Row],[Ts]]-テーブル2[[#This Row],[Tin]]</f>
        <v>101.69010639051805</v>
      </c>
      <c r="BM167">
        <f>テーブル2[[#This Row],[q_P]]*0.000001</f>
        <v>3.6225605939707037</v>
      </c>
      <c r="BN167">
        <f>テーブル2[[#This Row],[Tsub]]</f>
        <v>101.69010639051805</v>
      </c>
      <c r="BO167">
        <f>テーブル2[[#This Row],[Fcorr]]</f>
        <v>1</v>
      </c>
      <c r="BP167">
        <f>(テーブル2[[#This Row],[Tsub]]-40)^2</f>
        <v>3805.6692264734365</v>
      </c>
      <c r="BQ167">
        <v>1</v>
      </c>
      <c r="BR167">
        <v>0.15240000000000001</v>
      </c>
    </row>
    <row r="168" spans="1:70" x14ac:dyDescent="0.15">
      <c r="A168" s="9" t="s">
        <v>236</v>
      </c>
      <c r="B168">
        <v>17236893.2329209</v>
      </c>
      <c r="C168" s="22">
        <f t="array" ref="C168">TsatFromP(テーブル2[[#This Row],[P]])</f>
        <v>626.57723583796803</v>
      </c>
      <c r="D168">
        <f t="array" ref="D168">RhoGFromP(テーブル2[[#This Row],[P]])</f>
        <v>122.583590976701</v>
      </c>
      <c r="E168">
        <f t="array" ref="E168">RhoFFromP(テーブル2[[#This Row],[P]])</f>
        <v>560.26337686439001</v>
      </c>
      <c r="F168">
        <f t="array" ref="F168">HgFromP(テーブル2[[#This Row],[P]])</f>
        <v>2538890.6454807199</v>
      </c>
      <c r="G168">
        <f t="array" ref="G168">HfFromP(テーブル2[[#This Row],[P]])</f>
        <v>1699798.64659754</v>
      </c>
      <c r="H168">
        <f t="array" ref="H168">MuGFromP(テーブル2[[#This Row],[P]])</f>
        <v>2.4290890628326198E-5</v>
      </c>
      <c r="I168">
        <f t="array" ref="I168">MuFFromP(テーブル2[[#This Row],[P]])</f>
        <v>6.4066005508525405E-5</v>
      </c>
      <c r="J168">
        <f t="array" ref="J168">KfFromP(テーブル2[[#This Row],[P]])</f>
        <v>0.452884810527584</v>
      </c>
      <c r="K168">
        <f t="array" ref="K168">CpFFromP(テーブル2[[#This Row],[P]])</f>
        <v>11219.515372648901</v>
      </c>
      <c r="L168">
        <f t="array" ref="L168">SigmaFromP(テーブル2[[#This Row],[P]])</f>
        <v>3.02925386118211E-3</v>
      </c>
      <c r="M168">
        <v>167</v>
      </c>
      <c r="N168">
        <v>2183.5302999999999</v>
      </c>
      <c r="O168" s="8">
        <f t="shared" si="88"/>
        <v>2.8502295699234246E-6</v>
      </c>
      <c r="P168" s="8">
        <f t="shared" si="89"/>
        <v>5.9847340050885557E-3</v>
      </c>
      <c r="Q168" s="8">
        <v>1.905E-3</v>
      </c>
      <c r="R168">
        <v>0.15240000000000001</v>
      </c>
      <c r="S168" s="15">
        <v>5398006.11328125</v>
      </c>
      <c r="T168">
        <v>476.97673003740402</v>
      </c>
      <c r="U168" s="12">
        <f>+T168+BG168*S168*テーブル2[[#This Row],[Pw]]*R168/(N168*O168*K168)</f>
        <v>547.48661880958264</v>
      </c>
      <c r="V168">
        <v>0.03</v>
      </c>
      <c r="W168" s="8">
        <f t="shared" si="60"/>
        <v>64927.182340819876</v>
      </c>
      <c r="X168">
        <v>3.0700163138612249E-2</v>
      </c>
      <c r="Y168">
        <f t="shared" si="61"/>
        <v>5.7072862912243698</v>
      </c>
      <c r="Z168">
        <f t="shared" si="62"/>
        <v>5.7072863391106621</v>
      </c>
      <c r="AA168">
        <f t="shared" si="63"/>
        <v>-4.788629226482044E-8</v>
      </c>
      <c r="AB168">
        <f t="shared" si="64"/>
        <v>1.1131149322071773E-5</v>
      </c>
      <c r="AC168">
        <v>778.01270934136153</v>
      </c>
      <c r="AD168">
        <f t="shared" si="65"/>
        <v>2011.0455553597324</v>
      </c>
      <c r="AE168">
        <f>+gettm2(AD168,AC168,AK168,AL168,テーブル2[[#This Row],[Fcorr]])</f>
        <v>547.48662058970979</v>
      </c>
      <c r="AF168" s="14">
        <f t="shared" si="66"/>
        <v>1.7801271496864501E-6</v>
      </c>
      <c r="AG168">
        <v>1.126997378032779E-5</v>
      </c>
      <c r="AH168">
        <f t="shared" si="67"/>
        <v>32.657046709548162</v>
      </c>
      <c r="AI168">
        <f t="shared" si="68"/>
        <v>0.24143061264274185</v>
      </c>
      <c r="AJ168">
        <f t="shared" si="69"/>
        <v>23.794677879211463</v>
      </c>
      <c r="AK168">
        <f t="array" ref="AK168">+S168*テーブル2[[#This Row],[F_form]]/(E168*CpFromTP((テーブル2[[#This Row],[Tin]]+テーブル2[[#This Row],[Tf]])/2,テーブル2[[#This Row],[P]])*AI168)</f>
        <v>8.5843686746535379</v>
      </c>
      <c r="AL168">
        <f t="shared" si="70"/>
        <v>1.5871354414155836</v>
      </c>
      <c r="AM168">
        <f t="shared" si="71"/>
        <v>626.57723582210258</v>
      </c>
      <c r="AN168">
        <f t="shared" si="72"/>
        <v>1.5865452951402403E-8</v>
      </c>
      <c r="AO168">
        <f t="shared" si="73"/>
        <v>1.3882445825601724E-7</v>
      </c>
      <c r="AP168">
        <v>2.4971069189148181</v>
      </c>
      <c r="AQ168">
        <f t="shared" si="74"/>
        <v>3.0348698682702282E-5</v>
      </c>
      <c r="AR168">
        <f t="shared" si="75"/>
        <v>5.7043991192919035E-6</v>
      </c>
      <c r="AS168">
        <f t="shared" si="76"/>
        <v>12.043891333175806</v>
      </c>
      <c r="AT168">
        <f t="shared" si="77"/>
        <v>9.3927879404627568</v>
      </c>
      <c r="AU168">
        <f t="shared" si="78"/>
        <v>2.267706546889281</v>
      </c>
      <c r="AV168">
        <f t="shared" si="79"/>
        <v>0.22940037202553709</v>
      </c>
      <c r="AW168">
        <f t="shared" si="80"/>
        <v>8.8302336882974172E-3</v>
      </c>
      <c r="AX168">
        <f t="shared" si="81"/>
        <v>0.22940036330495284</v>
      </c>
      <c r="AY168">
        <f t="shared" si="82"/>
        <v>8.7205842547177781E-9</v>
      </c>
      <c r="AZ168">
        <f t="shared" si="83"/>
        <v>839091.99888317985</v>
      </c>
      <c r="BA168">
        <f t="shared" si="84"/>
        <v>1.2153543948326845E-5</v>
      </c>
      <c r="BB168" s="15">
        <f t="shared" si="85"/>
        <v>5369883.5286895614</v>
      </c>
      <c r="BC168" s="20">
        <f t="shared" si="86"/>
        <v>-28122.584591688588</v>
      </c>
      <c r="BD168" s="19">
        <f t="shared" si="87"/>
        <v>-0.52098096966759266</v>
      </c>
      <c r="BE168" s="15">
        <v>4763430.9000000004</v>
      </c>
      <c r="BF168" s="16">
        <f>テーブル2[[#This Row],[q_P]]/テーブル2[[#This Row],[q_M]]</f>
        <v>1.1273142492083932</v>
      </c>
      <c r="BG168">
        <v>1</v>
      </c>
      <c r="BH168">
        <v>-0.15</v>
      </c>
      <c r="BI168">
        <v>4.5999999999999999E-2</v>
      </c>
      <c r="BJ168">
        <v>5625</v>
      </c>
      <c r="BK168" s="22">
        <v>1</v>
      </c>
      <c r="BL168">
        <f>テーブル2[[#This Row],[Ts]]-テーブル2[[#This Row],[Tin]]</f>
        <v>149.60050580056401</v>
      </c>
      <c r="BM168">
        <f>テーブル2[[#This Row],[q_P]]*0.000001</f>
        <v>5.3698835286895612</v>
      </c>
      <c r="BN168">
        <f>テーブル2[[#This Row],[Tsub]]</f>
        <v>149.60050580056401</v>
      </c>
      <c r="BO168">
        <f>テーブル2[[#This Row],[Fcorr]]</f>
        <v>1</v>
      </c>
      <c r="BP168">
        <f>(テーブル2[[#This Row],[Tsub]]-40)^2</f>
        <v>12012.270871739465</v>
      </c>
      <c r="BQ168">
        <v>1</v>
      </c>
      <c r="BR168">
        <v>0.15240000000000001</v>
      </c>
    </row>
    <row r="169" spans="1:70" x14ac:dyDescent="0.15">
      <c r="A169" s="9" t="s">
        <v>237</v>
      </c>
      <c r="B169">
        <v>17236893.2329209</v>
      </c>
      <c r="C169" s="22">
        <f t="array" ref="C169">TsatFromP(テーブル2[[#This Row],[P]])</f>
        <v>626.57723583796803</v>
      </c>
      <c r="D169">
        <f t="array" ref="D169">RhoGFromP(テーブル2[[#This Row],[P]])</f>
        <v>122.583590976701</v>
      </c>
      <c r="E169">
        <f t="array" ref="E169">RhoFFromP(テーブル2[[#This Row],[P]])</f>
        <v>560.26337686439001</v>
      </c>
      <c r="F169">
        <f t="array" ref="F169">HgFromP(テーブル2[[#This Row],[P]])</f>
        <v>2538890.6454807199</v>
      </c>
      <c r="G169">
        <f t="array" ref="G169">HfFromP(テーブル2[[#This Row],[P]])</f>
        <v>1699798.64659754</v>
      </c>
      <c r="H169">
        <f t="array" ref="H169">MuGFromP(テーブル2[[#This Row],[P]])</f>
        <v>2.4290890628326198E-5</v>
      </c>
      <c r="I169">
        <f t="array" ref="I169">MuFFromP(テーブル2[[#This Row],[P]])</f>
        <v>6.4066005508525405E-5</v>
      </c>
      <c r="J169">
        <f t="array" ref="J169">KfFromP(テーブル2[[#This Row],[P]])</f>
        <v>0.452884810527584</v>
      </c>
      <c r="K169">
        <f t="array" ref="K169">CpFFromP(テーブル2[[#This Row],[P]])</f>
        <v>11219.515372648901</v>
      </c>
      <c r="L169">
        <f t="array" ref="L169">SigmaFromP(テーブル2[[#This Row],[P]])</f>
        <v>3.02925386118211E-3</v>
      </c>
      <c r="M169">
        <v>168</v>
      </c>
      <c r="N169">
        <v>2183.5302999999999</v>
      </c>
      <c r="O169" s="8">
        <f t="shared" si="88"/>
        <v>2.8502295699234246E-6</v>
      </c>
      <c r="P169" s="8">
        <f t="shared" si="89"/>
        <v>5.9847340050885557E-3</v>
      </c>
      <c r="Q169" s="8">
        <v>1.905E-3</v>
      </c>
      <c r="R169">
        <v>0.15240000000000001</v>
      </c>
      <c r="S169" s="15">
        <v>5339900.64453125</v>
      </c>
      <c r="T169">
        <v>478.76143589818798</v>
      </c>
      <c r="U169" s="12">
        <f>+T169+BG169*S169*テーブル2[[#This Row],[Pw]]*R169/(N169*O169*K169)</f>
        <v>548.51233884251849</v>
      </c>
      <c r="V169">
        <v>0.03</v>
      </c>
      <c r="W169" s="8">
        <f t="shared" si="60"/>
        <v>64927.182340819876</v>
      </c>
      <c r="X169">
        <v>3.0700163138612249E-2</v>
      </c>
      <c r="Y169">
        <f t="shared" si="61"/>
        <v>5.7072862912243698</v>
      </c>
      <c r="Z169">
        <f t="shared" si="62"/>
        <v>5.7072863391106621</v>
      </c>
      <c r="AA169">
        <f t="shared" si="63"/>
        <v>-4.788629226482044E-8</v>
      </c>
      <c r="AB169">
        <f t="shared" si="64"/>
        <v>1.1131149322071773E-5</v>
      </c>
      <c r="AC169">
        <v>776.03732814966133</v>
      </c>
      <c r="AD169">
        <f t="shared" si="65"/>
        <v>2011.0455553597324</v>
      </c>
      <c r="AE169">
        <f>+gettm2(AD169,AC169,AK169,AL169,テーブル2[[#This Row],[Fcorr]])</f>
        <v>548.51234060289164</v>
      </c>
      <c r="AF169" s="14">
        <f t="shared" si="66"/>
        <v>1.7603731521376176E-6</v>
      </c>
      <c r="AG169">
        <v>1.1269011981684499E-5</v>
      </c>
      <c r="AH169">
        <f t="shared" si="67"/>
        <v>32.657046709548162</v>
      </c>
      <c r="AI169">
        <f t="shared" si="68"/>
        <v>0.24143061264274185</v>
      </c>
      <c r="AJ169">
        <f t="shared" si="69"/>
        <v>23.792647201115148</v>
      </c>
      <c r="AK169">
        <f t="array" ref="AK169">+S169*テーブル2[[#This Row],[F_form]]/(E169*CpFromTP((テーブル2[[#This Row],[Tin]]+テーブル2[[#This Row],[Tf]])/2,テーブル2[[#This Row],[P]])*AI169)</f>
        <v>8.4726131709178674</v>
      </c>
      <c r="AL169">
        <f t="shared" si="70"/>
        <v>1.5871354414155836</v>
      </c>
      <c r="AM169">
        <f t="shared" si="71"/>
        <v>626.57723582241465</v>
      </c>
      <c r="AN169">
        <f t="shared" si="72"/>
        <v>1.5553382581856567E-8</v>
      </c>
      <c r="AO169">
        <f t="shared" si="73"/>
        <v>1.3786265961272685E-7</v>
      </c>
      <c r="AP169">
        <v>2.4969204953411959</v>
      </c>
      <c r="AQ169">
        <f t="shared" si="74"/>
        <v>3.0353230604387527E-5</v>
      </c>
      <c r="AR169">
        <f t="shared" si="75"/>
        <v>5.7034373206486131E-6</v>
      </c>
      <c r="AS169">
        <f t="shared" si="76"/>
        <v>12.041860655079491</v>
      </c>
      <c r="AT169">
        <f t="shared" si="77"/>
        <v>9.3919448369955632</v>
      </c>
      <c r="AU169">
        <f t="shared" si="78"/>
        <v>2.2675029959026749</v>
      </c>
      <c r="AV169">
        <f t="shared" si="79"/>
        <v>0.22941749943852097</v>
      </c>
      <c r="AW169">
        <f t="shared" si="80"/>
        <v>8.8302336882974172E-3</v>
      </c>
      <c r="AX169">
        <f t="shared" si="81"/>
        <v>0.22941749065666359</v>
      </c>
      <c r="AY169">
        <f t="shared" si="82"/>
        <v>8.7818573801801136E-9</v>
      </c>
      <c r="AZ169">
        <f t="shared" si="83"/>
        <v>839091.99888317985</v>
      </c>
      <c r="BA169">
        <f t="shared" si="84"/>
        <v>1.2156266353302475E-5</v>
      </c>
      <c r="BB169" s="15">
        <f t="shared" si="85"/>
        <v>5331485.8360989643</v>
      </c>
      <c r="BC169" s="20">
        <f t="shared" si="86"/>
        <v>-8414.8084322856739</v>
      </c>
      <c r="BD169" s="19">
        <f t="shared" si="87"/>
        <v>-0.15758361423640957</v>
      </c>
      <c r="BE169" s="15">
        <v>4763430.9000000004</v>
      </c>
      <c r="BF169" s="16">
        <f>テーブル2[[#This Row],[q_P]]/テーブル2[[#This Row],[q_M]]</f>
        <v>1.1192533172044048</v>
      </c>
      <c r="BG169">
        <v>1</v>
      </c>
      <c r="BH169">
        <v>-0.14000000000000001</v>
      </c>
      <c r="BI169">
        <v>4.5999999999999999E-2</v>
      </c>
      <c r="BJ169">
        <v>5625</v>
      </c>
      <c r="BK169" s="22">
        <v>1</v>
      </c>
      <c r="BL169">
        <f>テーブル2[[#This Row],[Ts]]-テーブル2[[#This Row],[Tin]]</f>
        <v>147.81579993978005</v>
      </c>
      <c r="BM169">
        <f>テーブル2[[#This Row],[q_P]]*0.000001</f>
        <v>5.3314858360989641</v>
      </c>
      <c r="BN169">
        <f>テーブル2[[#This Row],[Tsub]]</f>
        <v>147.81579993978005</v>
      </c>
      <c r="BO169">
        <f>テーブル2[[#This Row],[Fcorr]]</f>
        <v>1</v>
      </c>
      <c r="BP169">
        <f>(テーブル2[[#This Row],[Tsub]]-40)^2</f>
        <v>11624.246716654676</v>
      </c>
      <c r="BQ169">
        <v>1</v>
      </c>
      <c r="BR169">
        <v>0.15240000000000001</v>
      </c>
    </row>
    <row r="170" spans="1:70" x14ac:dyDescent="0.15">
      <c r="A170" s="9" t="s">
        <v>238</v>
      </c>
      <c r="B170">
        <v>17236893.2329209</v>
      </c>
      <c r="C170" s="22">
        <f t="array" ref="C170">TsatFromP(テーブル2[[#This Row],[P]])</f>
        <v>626.57723583796803</v>
      </c>
      <c r="D170">
        <f t="array" ref="D170">RhoGFromP(テーブル2[[#This Row],[P]])</f>
        <v>122.583590976701</v>
      </c>
      <c r="E170">
        <f t="array" ref="E170">RhoFFromP(テーブル2[[#This Row],[P]])</f>
        <v>560.26337686439001</v>
      </c>
      <c r="F170">
        <f t="array" ref="F170">HgFromP(テーブル2[[#This Row],[P]])</f>
        <v>2538890.6454807199</v>
      </c>
      <c r="G170">
        <f t="array" ref="G170">HfFromP(テーブル2[[#This Row],[P]])</f>
        <v>1699798.64659754</v>
      </c>
      <c r="H170">
        <f t="array" ref="H170">MuGFromP(テーブル2[[#This Row],[P]])</f>
        <v>2.4290890628326198E-5</v>
      </c>
      <c r="I170">
        <f t="array" ref="I170">MuFFromP(テーブル2[[#This Row],[P]])</f>
        <v>6.4066005508525405E-5</v>
      </c>
      <c r="J170">
        <f t="array" ref="J170">KfFromP(テーブル2[[#This Row],[P]])</f>
        <v>0.452884810527584</v>
      </c>
      <c r="K170">
        <f t="array" ref="K170">CpFFromP(テーブル2[[#This Row],[P]])</f>
        <v>11219.515372648901</v>
      </c>
      <c r="L170">
        <f t="array" ref="L170">SigmaFromP(テーブル2[[#This Row],[P]])</f>
        <v>3.02925386118211E-3</v>
      </c>
      <c r="M170">
        <v>169</v>
      </c>
      <c r="N170">
        <v>2183.5302999999999</v>
      </c>
      <c r="O170" s="8">
        <f t="shared" si="88"/>
        <v>2.8502295699234246E-6</v>
      </c>
      <c r="P170" s="8">
        <f t="shared" si="89"/>
        <v>5.9847340050885557E-3</v>
      </c>
      <c r="Q170" s="8">
        <v>1.905E-3</v>
      </c>
      <c r="R170">
        <v>0.15240000000000001</v>
      </c>
      <c r="S170" s="15">
        <v>4504947.16796875</v>
      </c>
      <c r="T170">
        <v>504.24977393984398</v>
      </c>
      <c r="U170" s="12">
        <f>+T170+BG170*S170*テーブル2[[#This Row],[Pw]]*R170/(N170*O170*K170)</f>
        <v>563.09433933529408</v>
      </c>
      <c r="V170">
        <v>0.03</v>
      </c>
      <c r="W170" s="8">
        <f t="shared" si="60"/>
        <v>64927.182340819876</v>
      </c>
      <c r="X170">
        <v>3.0700163138612249E-2</v>
      </c>
      <c r="Y170">
        <f t="shared" si="61"/>
        <v>5.7072862912243698</v>
      </c>
      <c r="Z170">
        <f t="shared" si="62"/>
        <v>5.7072863391106621</v>
      </c>
      <c r="AA170">
        <f t="shared" si="63"/>
        <v>-4.788629226482044E-8</v>
      </c>
      <c r="AB170">
        <f t="shared" si="64"/>
        <v>1.1131149322071773E-5</v>
      </c>
      <c r="AC170">
        <v>747.91536386283485</v>
      </c>
      <c r="AD170">
        <f t="shared" si="65"/>
        <v>2011.0455553597324</v>
      </c>
      <c r="AE170">
        <f>+gettm2(AD170,AC170,AK170,AL170,テーブル2[[#This Row],[Fcorr]])</f>
        <v>563.09433933529408</v>
      </c>
      <c r="AF170" s="14">
        <f t="shared" si="66"/>
        <v>0</v>
      </c>
      <c r="AG170">
        <v>1.1247912836838169E-5</v>
      </c>
      <c r="AH170">
        <f t="shared" si="67"/>
        <v>32.657046709548162</v>
      </c>
      <c r="AI170">
        <f t="shared" si="68"/>
        <v>0.24143061264274185</v>
      </c>
      <c r="AJ170">
        <f t="shared" si="69"/>
        <v>23.748099860994309</v>
      </c>
      <c r="AK170">
        <f t="array" ref="AK170">+S170*テーブル2[[#This Row],[F_form]]/(E170*CpFromTP((テーブル2[[#This Row],[Tin]]+テーブル2[[#This Row],[Tf]])/2,テーブル2[[#This Row],[P]])*AI170)</f>
        <v>6.8823959230090646</v>
      </c>
      <c r="AL170">
        <f t="shared" si="70"/>
        <v>1.5871354414155836</v>
      </c>
      <c r="AM170">
        <f t="shared" si="71"/>
        <v>626.57723582712742</v>
      </c>
      <c r="AN170">
        <f t="shared" si="72"/>
        <v>1.0840608410944697E-8</v>
      </c>
      <c r="AO170">
        <f t="shared" si="73"/>
        <v>1.1676351476639698E-7</v>
      </c>
      <c r="AP170">
        <v>2.4928235524922542</v>
      </c>
      <c r="AQ170">
        <f t="shared" si="74"/>
        <v>3.0453083351461134E-5</v>
      </c>
      <c r="AR170">
        <f t="shared" si="75"/>
        <v>5.6823381758022832E-6</v>
      </c>
      <c r="AS170">
        <f t="shared" si="76"/>
        <v>11.997313314958648</v>
      </c>
      <c r="AT170">
        <f t="shared" si="77"/>
        <v>9.37341367150343</v>
      </c>
      <c r="AU170">
        <f t="shared" si="78"/>
        <v>2.2630290052649253</v>
      </c>
      <c r="AV170">
        <f t="shared" si="79"/>
        <v>0.22979454722732884</v>
      </c>
      <c r="AW170">
        <f t="shared" si="80"/>
        <v>8.8302336882974172E-3</v>
      </c>
      <c r="AX170">
        <f t="shared" si="81"/>
        <v>0.22979453713748182</v>
      </c>
      <c r="AY170">
        <f t="shared" si="82"/>
        <v>1.0089847013450282E-8</v>
      </c>
      <c r="AZ170">
        <f t="shared" si="83"/>
        <v>839091.99888317985</v>
      </c>
      <c r="BA170">
        <f t="shared" si="84"/>
        <v>1.2216301198299818E-5</v>
      </c>
      <c r="BB170" s="15">
        <f t="shared" si="85"/>
        <v>4493339.5882711979</v>
      </c>
      <c r="BC170" s="20">
        <f t="shared" si="86"/>
        <v>-11607.579697552137</v>
      </c>
      <c r="BD170" s="19">
        <f t="shared" si="87"/>
        <v>-0.25766294841557297</v>
      </c>
      <c r="BE170" s="15">
        <v>4321788.3</v>
      </c>
      <c r="BF170" s="16">
        <f>テーブル2[[#This Row],[q_P]]/テーブル2[[#This Row],[q_M]]</f>
        <v>1.0396945144840153</v>
      </c>
      <c r="BG170">
        <v>1</v>
      </c>
      <c r="BH170">
        <v>-8.1000000000000003E-2</v>
      </c>
      <c r="BI170">
        <v>4.5999999999999999E-2</v>
      </c>
      <c r="BJ170">
        <v>5625</v>
      </c>
      <c r="BK170" s="22">
        <v>1</v>
      </c>
      <c r="BL170">
        <f>テーブル2[[#This Row],[Ts]]-テーブル2[[#This Row],[Tin]]</f>
        <v>122.32746189812406</v>
      </c>
      <c r="BM170">
        <f>テーブル2[[#This Row],[q_P]]*0.000001</f>
        <v>4.4933395882711977</v>
      </c>
      <c r="BN170">
        <f>テーブル2[[#This Row],[Tsub]]</f>
        <v>122.32746189812406</v>
      </c>
      <c r="BO170">
        <f>テーブル2[[#This Row],[Fcorr]]</f>
        <v>1</v>
      </c>
      <c r="BP170">
        <f>(テーブル2[[#This Row],[Tsub]]-40)^2</f>
        <v>6777.8109825870679</v>
      </c>
      <c r="BQ170">
        <v>1</v>
      </c>
      <c r="BR170">
        <v>0.15240000000000001</v>
      </c>
    </row>
    <row r="171" spans="1:70" x14ac:dyDescent="0.15">
      <c r="A171" s="9" t="s">
        <v>239</v>
      </c>
      <c r="B171">
        <v>17236893.2329209</v>
      </c>
      <c r="C171" s="22">
        <f t="array" ref="C171">TsatFromP(テーブル2[[#This Row],[P]])</f>
        <v>626.57723583796803</v>
      </c>
      <c r="D171">
        <f t="array" ref="D171">RhoGFromP(テーブル2[[#This Row],[P]])</f>
        <v>122.583590976701</v>
      </c>
      <c r="E171">
        <f t="array" ref="E171">RhoFFromP(テーブル2[[#This Row],[P]])</f>
        <v>560.26337686439001</v>
      </c>
      <c r="F171">
        <f t="array" ref="F171">HgFromP(テーブル2[[#This Row],[P]])</f>
        <v>2538890.6454807199</v>
      </c>
      <c r="G171">
        <f t="array" ref="G171">HfFromP(テーブル2[[#This Row],[P]])</f>
        <v>1699798.64659754</v>
      </c>
      <c r="H171">
        <f t="array" ref="H171">MuGFromP(テーブル2[[#This Row],[P]])</f>
        <v>2.4290890628326198E-5</v>
      </c>
      <c r="I171">
        <f t="array" ref="I171">MuFFromP(テーブル2[[#This Row],[P]])</f>
        <v>6.4066005508525405E-5</v>
      </c>
      <c r="J171">
        <f t="array" ref="J171">KfFromP(テーブル2[[#This Row],[P]])</f>
        <v>0.452884810527584</v>
      </c>
      <c r="K171">
        <f t="array" ref="K171">CpFFromP(テーブル2[[#This Row],[P]])</f>
        <v>11219.515372648901</v>
      </c>
      <c r="L171">
        <f t="array" ref="L171">SigmaFromP(テーブル2[[#This Row],[P]])</f>
        <v>3.02925386118211E-3</v>
      </c>
      <c r="M171">
        <v>170</v>
      </c>
      <c r="N171">
        <v>2197.0925999999999</v>
      </c>
      <c r="O171" s="8">
        <f t="shared" si="88"/>
        <v>2.8502295699234246E-6</v>
      </c>
      <c r="P171" s="8">
        <f t="shared" si="89"/>
        <v>5.9847340050885557E-3</v>
      </c>
      <c r="Q171" s="8">
        <v>1.905E-3</v>
      </c>
      <c r="R171">
        <v>0.15240000000000001</v>
      </c>
      <c r="S171" s="15">
        <v>3889929.19921875</v>
      </c>
      <c r="T171">
        <v>523.21058206421105</v>
      </c>
      <c r="U171" s="12">
        <f>+T171+BG171*S171*テーブル2[[#This Row],[Pw]]*R171/(N171*O171*K171)</f>
        <v>573.70800508318132</v>
      </c>
      <c r="V171">
        <v>0.03</v>
      </c>
      <c r="W171" s="8">
        <f t="shared" si="60"/>
        <v>65330.456765297022</v>
      </c>
      <c r="X171">
        <v>3.0617085003356879E-2</v>
      </c>
      <c r="Y171">
        <f t="shared" si="61"/>
        <v>5.7150242827932436</v>
      </c>
      <c r="Z171">
        <f t="shared" si="62"/>
        <v>5.7150243315446012</v>
      </c>
      <c r="AA171">
        <f t="shared" si="63"/>
        <v>-4.8751357617504709E-8</v>
      </c>
      <c r="AB171">
        <f t="shared" si="64"/>
        <v>1.1023984021569312E-5</v>
      </c>
      <c r="AC171">
        <v>726.94150230071614</v>
      </c>
      <c r="AD171">
        <f t="shared" si="65"/>
        <v>2020.7967066667375</v>
      </c>
      <c r="AE171">
        <f>+gettm2(AD171,AC171,AK171,AL171,テーブル2[[#This Row],[Fcorr]])</f>
        <v>573.70800508318109</v>
      </c>
      <c r="AF171" s="14">
        <f t="shared" si="66"/>
        <v>0</v>
      </c>
      <c r="AG171">
        <v>1.1125087009633061E-5</v>
      </c>
      <c r="AH171">
        <f t="shared" si="67"/>
        <v>32.974509272747106</v>
      </c>
      <c r="AI171">
        <f t="shared" si="68"/>
        <v>0.24260126063117154</v>
      </c>
      <c r="AJ171">
        <f t="shared" si="69"/>
        <v>23.602665816742672</v>
      </c>
      <c r="AK171">
        <f t="array" ref="AK171">+S171*テーブル2[[#This Row],[F_form]]/(E171*CpFromTP((テーブル2[[#This Row],[Tin]]+テーブル2[[#This Row],[Tf]])/2,テーブル2[[#This Row],[P]])*AI171)</f>
        <v>5.7035200846190071</v>
      </c>
      <c r="AL171">
        <f t="shared" si="70"/>
        <v>1.5871354414155836</v>
      </c>
      <c r="AM171">
        <f t="shared" si="71"/>
        <v>626.57723581229743</v>
      </c>
      <c r="AN171">
        <f t="shared" si="72"/>
        <v>2.5670601644378621E-8</v>
      </c>
      <c r="AO171">
        <f t="shared" si="73"/>
        <v>1.0110298806374856E-7</v>
      </c>
      <c r="AP171">
        <v>2.4956449915818411</v>
      </c>
      <c r="AQ171">
        <f t="shared" si="74"/>
        <v>3.0384265109298066E-5</v>
      </c>
      <c r="AR171">
        <f t="shared" si="75"/>
        <v>5.6130949988484047E-6</v>
      </c>
      <c r="AS171">
        <f t="shared" si="76"/>
        <v>11.908581509585712</v>
      </c>
      <c r="AT171">
        <f t="shared" si="77"/>
        <v>9.3362963774184706</v>
      </c>
      <c r="AU171">
        <f t="shared" si="78"/>
        <v>2.2649972707879611</v>
      </c>
      <c r="AV171">
        <f t="shared" si="79"/>
        <v>0.23064772079387996</v>
      </c>
      <c r="AW171">
        <f t="shared" si="80"/>
        <v>8.7452204862162129E-3</v>
      </c>
      <c r="AX171">
        <f t="shared" si="81"/>
        <v>0.23064771139980864</v>
      </c>
      <c r="AY171">
        <f t="shared" si="82"/>
        <v>9.394071326385145E-9</v>
      </c>
      <c r="AZ171">
        <f t="shared" si="83"/>
        <v>839091.99888317985</v>
      </c>
      <c r="BA171">
        <f t="shared" si="84"/>
        <v>1.2174914786273061E-5</v>
      </c>
      <c r="BB171" s="15">
        <f t="shared" si="85"/>
        <v>3903910.7056132867</v>
      </c>
      <c r="BC171" s="20">
        <f t="shared" si="86"/>
        <v>13981.5063945367</v>
      </c>
      <c r="BD171" s="19">
        <f t="shared" si="87"/>
        <v>0.35942830006635429</v>
      </c>
      <c r="BE171" s="15">
        <v>3817053.9</v>
      </c>
      <c r="BF171" s="16">
        <f>テーブル2[[#This Row],[q_P]]/テーブル2[[#This Row],[q_M]]</f>
        <v>1.0227549329636887</v>
      </c>
      <c r="BG171">
        <v>1</v>
      </c>
      <c r="BH171">
        <v>-6.8000000000000005E-2</v>
      </c>
      <c r="BI171">
        <v>4.5999999999999999E-2</v>
      </c>
      <c r="BJ171">
        <v>5625</v>
      </c>
      <c r="BK171" s="22">
        <v>1</v>
      </c>
      <c r="BL171">
        <f>テーブル2[[#This Row],[Ts]]-テーブル2[[#This Row],[Tin]]</f>
        <v>103.36665377375698</v>
      </c>
      <c r="BM171">
        <f>テーブル2[[#This Row],[q_P]]*0.000001</f>
        <v>3.9039107056132867</v>
      </c>
      <c r="BN171">
        <f>テーブル2[[#This Row],[Tsub]]</f>
        <v>103.36665377375698</v>
      </c>
      <c r="BO171">
        <f>テーブル2[[#This Row],[Fcorr]]</f>
        <v>1</v>
      </c>
      <c r="BP171">
        <f>(テーブル2[[#This Row],[Tsub]]-40)^2</f>
        <v>4015.3328104831899</v>
      </c>
      <c r="BQ171">
        <v>1</v>
      </c>
      <c r="BR171">
        <v>0.15240000000000001</v>
      </c>
    </row>
    <row r="172" spans="1:70" x14ac:dyDescent="0.15">
      <c r="A172" s="9" t="s">
        <v>240</v>
      </c>
      <c r="B172">
        <v>17236893.2329209</v>
      </c>
      <c r="C172" s="22">
        <f t="array" ref="C172">TsatFromP(テーブル2[[#This Row],[P]])</f>
        <v>626.57723583796803</v>
      </c>
      <c r="D172">
        <f t="array" ref="D172">RhoGFromP(テーブル2[[#This Row],[P]])</f>
        <v>122.583590976701</v>
      </c>
      <c r="E172">
        <f t="array" ref="E172">RhoFFromP(テーブル2[[#This Row],[P]])</f>
        <v>560.26337686439001</v>
      </c>
      <c r="F172">
        <f t="array" ref="F172">HgFromP(テーブル2[[#This Row],[P]])</f>
        <v>2538890.6454807199</v>
      </c>
      <c r="G172">
        <f t="array" ref="G172">HfFromP(テーブル2[[#This Row],[P]])</f>
        <v>1699798.64659754</v>
      </c>
      <c r="H172">
        <f t="array" ref="H172">MuGFromP(テーブル2[[#This Row],[P]])</f>
        <v>2.4290890628326198E-5</v>
      </c>
      <c r="I172">
        <f t="array" ref="I172">MuFFromP(テーブル2[[#This Row],[P]])</f>
        <v>6.4066005508525405E-5</v>
      </c>
      <c r="J172">
        <f t="array" ref="J172">KfFromP(テーブル2[[#This Row],[P]])</f>
        <v>0.452884810527584</v>
      </c>
      <c r="K172">
        <f t="array" ref="K172">CpFFromP(テーブル2[[#This Row],[P]])</f>
        <v>11219.515372648901</v>
      </c>
      <c r="L172">
        <f t="array" ref="L172">SigmaFromP(テーブル2[[#This Row],[P]])</f>
        <v>3.02925386118211E-3</v>
      </c>
      <c r="M172">
        <v>171</v>
      </c>
      <c r="N172">
        <v>2210.6549</v>
      </c>
      <c r="O172" s="8">
        <f t="shared" si="88"/>
        <v>2.8502295699234246E-6</v>
      </c>
      <c r="P172" s="8">
        <f t="shared" si="89"/>
        <v>5.9847340050885557E-3</v>
      </c>
      <c r="Q172" s="8">
        <v>1.905E-3</v>
      </c>
      <c r="R172">
        <v>0.15240000000000001</v>
      </c>
      <c r="S172" s="15">
        <v>4404618.59765625</v>
      </c>
      <c r="T172">
        <v>508.15729880951102</v>
      </c>
      <c r="U172" s="12">
        <f>+T172+BG172*S172*テーブル2[[#This Row],[Pw]]*R172/(N172*O172*K172)</f>
        <v>564.98541206768823</v>
      </c>
      <c r="V172">
        <v>0.03</v>
      </c>
      <c r="W172" s="8">
        <f t="shared" si="60"/>
        <v>65733.73118977416</v>
      </c>
      <c r="X172">
        <v>3.0534849970872351E-2</v>
      </c>
      <c r="Y172">
        <f t="shared" si="61"/>
        <v>5.7227148266235046</v>
      </c>
      <c r="Z172">
        <f t="shared" si="62"/>
        <v>5.7227148750663437</v>
      </c>
      <c r="AA172">
        <f t="shared" si="63"/>
        <v>-4.8442839073459254E-8</v>
      </c>
      <c r="AB172">
        <f t="shared" si="64"/>
        <v>1.091846144392627E-5</v>
      </c>
      <c r="AC172">
        <v>742.96715502209327</v>
      </c>
      <c r="AD172">
        <f t="shared" si="65"/>
        <v>2030.5383233820594</v>
      </c>
      <c r="AE172">
        <f>+gettm2(AD172,AC172,AK172,AL172,テーブル2[[#This Row],[Fcorr]])</f>
        <v>564.98541206768834</v>
      </c>
      <c r="AF172" s="14">
        <f t="shared" si="66"/>
        <v>0</v>
      </c>
      <c r="AG172">
        <v>1.103148532235502E-5</v>
      </c>
      <c r="AH172">
        <f t="shared" si="67"/>
        <v>33.2931947608852</v>
      </c>
      <c r="AI172">
        <f t="shared" si="68"/>
        <v>0.24377076397009029</v>
      </c>
      <c r="AJ172">
        <f t="shared" si="69"/>
        <v>23.516906783064105</v>
      </c>
      <c r="AK172">
        <f t="array" ref="AK172">+S172*テーブル2[[#This Row],[F_form]]/(E172*CpFromTP((テーブル2[[#This Row],[Tin]]+テーブル2[[#This Row],[Tf]])/2,テーブル2[[#This Row],[P]])*AI172)</f>
        <v>6.6216612273928375</v>
      </c>
      <c r="AL172">
        <f t="shared" si="70"/>
        <v>1.5871354414155836</v>
      </c>
      <c r="AM172">
        <f t="shared" si="71"/>
        <v>626.57723583270365</v>
      </c>
      <c r="AN172">
        <f t="shared" si="72"/>
        <v>5.2643827075371519E-9</v>
      </c>
      <c r="AO172">
        <f t="shared" si="73"/>
        <v>1.1302387842875032E-7</v>
      </c>
      <c r="AP172">
        <v>2.503874833350225</v>
      </c>
      <c r="AQ172">
        <f t="shared" si="74"/>
        <v>3.0184856783716305E-5</v>
      </c>
      <c r="AR172">
        <f t="shared" si="75"/>
        <v>5.5722546003918854E-6</v>
      </c>
      <c r="AS172">
        <f t="shared" si="76"/>
        <v>11.878925473740374</v>
      </c>
      <c r="AT172">
        <f t="shared" si="77"/>
        <v>9.3238293075272445</v>
      </c>
      <c r="AU172">
        <f t="shared" si="78"/>
        <v>2.2728769934226345</v>
      </c>
      <c r="AV172">
        <f t="shared" si="79"/>
        <v>0.23099783992759049</v>
      </c>
      <c r="AW172">
        <f t="shared" si="80"/>
        <v>8.6615104403782745E-3</v>
      </c>
      <c r="AX172">
        <f t="shared" si="81"/>
        <v>0.23099783325825934</v>
      </c>
      <c r="AY172">
        <f t="shared" si="82"/>
        <v>6.6693311429055768E-9</v>
      </c>
      <c r="AZ172">
        <f t="shared" si="83"/>
        <v>839091.99888317985</v>
      </c>
      <c r="BA172">
        <f t="shared" si="84"/>
        <v>1.2055257867394466E-5</v>
      </c>
      <c r="BB172" s="15">
        <f t="shared" si="85"/>
        <v>4407532.4253070801</v>
      </c>
      <c r="BC172" s="20">
        <f t="shared" si="86"/>
        <v>2913.8276508301497</v>
      </c>
      <c r="BD172" s="19">
        <f t="shared" si="87"/>
        <v>6.6153915173963809E-2</v>
      </c>
      <c r="BE172" s="15">
        <v>4353334.2</v>
      </c>
      <c r="BF172" s="16">
        <f>テーブル2[[#This Row],[q_P]]/テーブル2[[#This Row],[q_M]]</f>
        <v>1.0124498195675122</v>
      </c>
      <c r="BG172">
        <v>1</v>
      </c>
      <c r="BH172">
        <v>-6.3E-2</v>
      </c>
      <c r="BI172">
        <v>4.5999999999999999E-2</v>
      </c>
      <c r="BJ172">
        <v>5625</v>
      </c>
      <c r="BK172" s="22">
        <v>1</v>
      </c>
      <c r="BL172">
        <f>テーブル2[[#This Row],[Ts]]-テーブル2[[#This Row],[Tin]]</f>
        <v>118.41993702845701</v>
      </c>
      <c r="BM172">
        <f>テーブル2[[#This Row],[q_P]]*0.000001</f>
        <v>4.40753242530708</v>
      </c>
      <c r="BN172">
        <f>テーブル2[[#This Row],[Tsub]]</f>
        <v>118.41993702845701</v>
      </c>
      <c r="BO172">
        <f>テーブル2[[#This Row],[Fcorr]]</f>
        <v>1</v>
      </c>
      <c r="BP172">
        <f>(テーブル2[[#This Row],[Tsub]]-40)^2</f>
        <v>6149.6865235471632</v>
      </c>
      <c r="BQ172">
        <v>1</v>
      </c>
      <c r="BR172">
        <v>0.15240000000000001</v>
      </c>
    </row>
    <row r="173" spans="1:70" x14ac:dyDescent="0.15">
      <c r="A173" s="9" t="s">
        <v>241</v>
      </c>
      <c r="B173">
        <v>17236893.2329209</v>
      </c>
      <c r="C173" s="22">
        <f t="array" ref="C173">TsatFromP(テーブル2[[#This Row],[P]])</f>
        <v>626.57723583796803</v>
      </c>
      <c r="D173">
        <f t="array" ref="D173">RhoGFromP(テーブル2[[#This Row],[P]])</f>
        <v>122.583590976701</v>
      </c>
      <c r="E173">
        <f t="array" ref="E173">RhoFFromP(テーブル2[[#This Row],[P]])</f>
        <v>560.26337686439001</v>
      </c>
      <c r="F173">
        <f t="array" ref="F173">HgFromP(テーブル2[[#This Row],[P]])</f>
        <v>2538890.6454807199</v>
      </c>
      <c r="G173">
        <f t="array" ref="G173">HfFromP(テーブル2[[#This Row],[P]])</f>
        <v>1699798.64659754</v>
      </c>
      <c r="H173">
        <f t="array" ref="H173">MuGFromP(テーブル2[[#This Row],[P]])</f>
        <v>2.4290890628326198E-5</v>
      </c>
      <c r="I173">
        <f t="array" ref="I173">MuFFromP(テーブル2[[#This Row],[P]])</f>
        <v>6.4066005508525405E-5</v>
      </c>
      <c r="J173">
        <f t="array" ref="J173">KfFromP(テーブル2[[#This Row],[P]])</f>
        <v>0.452884810527584</v>
      </c>
      <c r="K173">
        <f t="array" ref="K173">CpFFromP(テーブル2[[#This Row],[P]])</f>
        <v>11219.515372648901</v>
      </c>
      <c r="L173">
        <f t="array" ref="L173">SigmaFromP(テーブル2[[#This Row],[P]])</f>
        <v>3.02925386118211E-3</v>
      </c>
      <c r="M173">
        <v>172</v>
      </c>
      <c r="N173">
        <v>2210.6549</v>
      </c>
      <c r="O173" s="8">
        <f t="shared" si="88"/>
        <v>2.8502295699234246E-6</v>
      </c>
      <c r="P173" s="8">
        <f t="shared" si="89"/>
        <v>5.9847340050885557E-3</v>
      </c>
      <c r="Q173" s="8">
        <v>1.905E-3</v>
      </c>
      <c r="R173">
        <v>0.15240000000000001</v>
      </c>
      <c r="S173" s="15">
        <v>3902650.29296875</v>
      </c>
      <c r="T173">
        <v>523.21058206421105</v>
      </c>
      <c r="U173" s="12">
        <f>+T173+BG173*S173*テーブル2[[#This Row],[Pw]]*R173/(N173*O173*K173)</f>
        <v>573.56233169672146</v>
      </c>
      <c r="V173">
        <v>0.03</v>
      </c>
      <c r="W173" s="8">
        <f t="shared" si="60"/>
        <v>65733.73118977416</v>
      </c>
      <c r="X173">
        <v>3.0534849970872351E-2</v>
      </c>
      <c r="Y173">
        <f t="shared" si="61"/>
        <v>5.7227148266235046</v>
      </c>
      <c r="Z173">
        <f t="shared" si="62"/>
        <v>5.7227148750663437</v>
      </c>
      <c r="AA173">
        <f t="shared" si="63"/>
        <v>-4.8442839073459254E-8</v>
      </c>
      <c r="AB173">
        <f t="shared" si="64"/>
        <v>1.091846144392627E-5</v>
      </c>
      <c r="AC173">
        <v>726.65993029131664</v>
      </c>
      <c r="AD173">
        <f t="shared" si="65"/>
        <v>2030.5383233820594</v>
      </c>
      <c r="AE173">
        <f>+gettm2(AD173,AC173,AK173,AL173,テーブル2[[#This Row],[Fcorr]])</f>
        <v>573.56233296332073</v>
      </c>
      <c r="AF173" s="14">
        <f t="shared" si="66"/>
        <v>1.2665992699112394E-6</v>
      </c>
      <c r="AG173">
        <v>1.10192118964619E-5</v>
      </c>
      <c r="AH173">
        <f t="shared" si="67"/>
        <v>33.2931947608852</v>
      </c>
      <c r="AI173">
        <f t="shared" si="68"/>
        <v>0.24377076397009029</v>
      </c>
      <c r="AJ173">
        <f t="shared" si="69"/>
        <v>23.490742308906444</v>
      </c>
      <c r="AK173">
        <f t="array" ref="AK173">+S173*テーブル2[[#This Row],[F_form]]/(E173*CpFromTP((テーブル2[[#This Row],[Tin]]+テーブル2[[#This Row],[Tf]])/2,テーブル2[[#This Row],[P]])*AI173)</f>
        <v>5.6958674940805389</v>
      </c>
      <c r="AL173">
        <f t="shared" si="70"/>
        <v>1.5871354414155836</v>
      </c>
      <c r="AM173">
        <f t="shared" si="71"/>
        <v>626.57723581179516</v>
      </c>
      <c r="AN173">
        <f t="shared" si="72"/>
        <v>2.6172870093432721E-8</v>
      </c>
      <c r="AO173">
        <f t="shared" si="73"/>
        <v>1.0075045253562996E-7</v>
      </c>
      <c r="AP173">
        <v>2.5014144403560001</v>
      </c>
      <c r="AQ173">
        <f t="shared" si="74"/>
        <v>3.0244265679186361E-5</v>
      </c>
      <c r="AR173">
        <f t="shared" si="75"/>
        <v>5.559981174498765E-6</v>
      </c>
      <c r="AS173">
        <f t="shared" si="76"/>
        <v>11.852760999582713</v>
      </c>
      <c r="AT173">
        <f t="shared" si="77"/>
        <v>9.3128041809361175</v>
      </c>
      <c r="AU173">
        <f t="shared" si="78"/>
        <v>2.2701893898906484</v>
      </c>
      <c r="AV173">
        <f t="shared" si="79"/>
        <v>0.23122505046535169</v>
      </c>
      <c r="AW173">
        <f t="shared" si="80"/>
        <v>8.6615104403782745E-3</v>
      </c>
      <c r="AX173">
        <f t="shared" si="81"/>
        <v>0.231225042888723</v>
      </c>
      <c r="AY173">
        <f t="shared" si="82"/>
        <v>7.5766286855571963E-9</v>
      </c>
      <c r="AZ173">
        <f t="shared" si="83"/>
        <v>839091.99888317985</v>
      </c>
      <c r="BA173">
        <f t="shared" si="84"/>
        <v>1.209086554840629E-5</v>
      </c>
      <c r="BB173" s="15">
        <f t="shared" si="85"/>
        <v>3917341.4525249451</v>
      </c>
      <c r="BC173" s="20">
        <f t="shared" si="86"/>
        <v>14691.15955619514</v>
      </c>
      <c r="BD173" s="19">
        <f t="shared" si="87"/>
        <v>0.37644058404781022</v>
      </c>
      <c r="BE173" s="15">
        <v>3785508</v>
      </c>
      <c r="BF173" s="16">
        <f>テーブル2[[#This Row],[q_P]]/テーブル2[[#This Row],[q_M]]</f>
        <v>1.0348258285347556</v>
      </c>
      <c r="BG173">
        <v>1</v>
      </c>
      <c r="BH173">
        <v>-7.8E-2</v>
      </c>
      <c r="BI173">
        <v>4.5999999999999999E-2</v>
      </c>
      <c r="BJ173">
        <v>5625</v>
      </c>
      <c r="BK173" s="22">
        <v>1</v>
      </c>
      <c r="BL173">
        <f>テーブル2[[#This Row],[Ts]]-テーブル2[[#This Row],[Tin]]</f>
        <v>103.36665377375698</v>
      </c>
      <c r="BM173">
        <f>テーブル2[[#This Row],[q_P]]*0.000001</f>
        <v>3.917341452524945</v>
      </c>
      <c r="BN173">
        <f>テーブル2[[#This Row],[Tsub]]</f>
        <v>103.36665377375698</v>
      </c>
      <c r="BO173">
        <f>テーブル2[[#This Row],[Fcorr]]</f>
        <v>1</v>
      </c>
      <c r="BP173">
        <f>(テーブル2[[#This Row],[Tsub]]-40)^2</f>
        <v>4015.3328104831899</v>
      </c>
      <c r="BQ173">
        <v>1</v>
      </c>
      <c r="BR173">
        <v>0.15240000000000001</v>
      </c>
    </row>
    <row r="174" spans="1:70" x14ac:dyDescent="0.15">
      <c r="A174" s="9" t="s">
        <v>242</v>
      </c>
      <c r="B174">
        <v>17236893.2329209</v>
      </c>
      <c r="C174" s="22">
        <f t="array" ref="C174">TsatFromP(テーブル2[[#This Row],[P]])</f>
        <v>626.57723583796803</v>
      </c>
      <c r="D174">
        <f t="array" ref="D174">RhoGFromP(テーブル2[[#This Row],[P]])</f>
        <v>122.583590976701</v>
      </c>
      <c r="E174">
        <f t="array" ref="E174">RhoFFromP(テーブル2[[#This Row],[P]])</f>
        <v>560.26337686439001</v>
      </c>
      <c r="F174">
        <f t="array" ref="F174">HgFromP(テーブル2[[#This Row],[P]])</f>
        <v>2538890.6454807199</v>
      </c>
      <c r="G174">
        <f t="array" ref="G174">HfFromP(テーブル2[[#This Row],[P]])</f>
        <v>1699798.64659754</v>
      </c>
      <c r="H174">
        <f t="array" ref="H174">MuGFromP(テーブル2[[#This Row],[P]])</f>
        <v>2.4290890628326198E-5</v>
      </c>
      <c r="I174">
        <f t="array" ref="I174">MuFFromP(テーブル2[[#This Row],[P]])</f>
        <v>6.4066005508525405E-5</v>
      </c>
      <c r="J174">
        <f t="array" ref="J174">KfFromP(テーブル2[[#This Row],[P]])</f>
        <v>0.452884810527584</v>
      </c>
      <c r="K174">
        <f t="array" ref="K174">CpFFromP(テーブル2[[#This Row],[P]])</f>
        <v>11219.515372648901</v>
      </c>
      <c r="L174">
        <f t="array" ref="L174">SigmaFromP(テーブル2[[#This Row],[P]])</f>
        <v>3.02925386118211E-3</v>
      </c>
      <c r="M174">
        <v>173</v>
      </c>
      <c r="N174">
        <v>2766.7091999999998</v>
      </c>
      <c r="O174" s="8">
        <f t="shared" si="88"/>
        <v>2.8502295699234246E-6</v>
      </c>
      <c r="P174" s="8">
        <f t="shared" si="89"/>
        <v>5.9847340050885557E-3</v>
      </c>
      <c r="Q174" s="8">
        <v>1.905E-3</v>
      </c>
      <c r="R174">
        <v>0.15240000000000001</v>
      </c>
      <c r="S174" s="15">
        <v>4545068.359375</v>
      </c>
      <c r="T174">
        <v>519.29568547134102</v>
      </c>
      <c r="U174" s="12">
        <f>+T174+BG174*S174*テーブル2[[#This Row],[Pw]]*R174/(N174*O174*K174)</f>
        <v>566.15034492094946</v>
      </c>
      <c r="V174">
        <v>0.03</v>
      </c>
      <c r="W174" s="8">
        <f t="shared" si="60"/>
        <v>82267.982593336987</v>
      </c>
      <c r="X174">
        <v>2.7749153624474179E-2</v>
      </c>
      <c r="Y174">
        <f t="shared" si="61"/>
        <v>6.0030937998120235</v>
      </c>
      <c r="Z174">
        <f t="shared" si="62"/>
        <v>6.0030938065793782</v>
      </c>
      <c r="AA174">
        <f t="shared" si="63"/>
        <v>-6.767354676640025E-9</v>
      </c>
      <c r="AB174">
        <f t="shared" si="64"/>
        <v>7.6704769287397069E-6</v>
      </c>
      <c r="AC174">
        <v>720.37071138322631</v>
      </c>
      <c r="AD174">
        <f t="shared" si="65"/>
        <v>2422.5945115211684</v>
      </c>
      <c r="AE174">
        <f>+gettm2(AD174,AC174,AK174,AL174,テーブル2[[#This Row],[Fcorr]])</f>
        <v>566.15034492094946</v>
      </c>
      <c r="AF174" s="14">
        <f t="shared" si="66"/>
        <v>0</v>
      </c>
      <c r="AG174">
        <v>7.7617947172481563E-6</v>
      </c>
      <c r="AH174">
        <f t="shared" si="67"/>
        <v>47.390855447313051</v>
      </c>
      <c r="AI174">
        <f t="shared" si="68"/>
        <v>0.29083800490878275</v>
      </c>
      <c r="AJ174">
        <f t="shared" si="69"/>
        <v>19.741397670928482</v>
      </c>
      <c r="AK174">
        <f t="array" ref="AK174">+S174*テーブル2[[#This Row],[F_form]]/(E174*CpFromTP((テーブル2[[#This Row],[Tin]]+テーブル2[[#This Row],[Tf]])/2,テーブル2[[#This Row],[P]])*AI174)</f>
        <v>5.6434665135834363</v>
      </c>
      <c r="AL174">
        <f t="shared" si="70"/>
        <v>1.5871354414155836</v>
      </c>
      <c r="AM174">
        <f t="shared" si="71"/>
        <v>626.57723581479127</v>
      </c>
      <c r="AN174">
        <f t="shared" si="72"/>
        <v>2.3176767172117252E-8</v>
      </c>
      <c r="AO174">
        <f t="shared" si="73"/>
        <v>9.1317788508449337E-8</v>
      </c>
      <c r="AP174">
        <v>2.7137118997028788</v>
      </c>
      <c r="AQ174">
        <f t="shared" si="74"/>
        <v>2.5697263135685243E-5</v>
      </c>
      <c r="AR174">
        <f t="shared" si="75"/>
        <v>3.9265562528783028E-6</v>
      </c>
      <c r="AS174">
        <f t="shared" si="76"/>
        <v>9.9868279552777963</v>
      </c>
      <c r="AT174">
        <f t="shared" si="77"/>
        <v>8.4563351012273298</v>
      </c>
      <c r="AU174">
        <f t="shared" si="78"/>
        <v>2.4594236296810661</v>
      </c>
      <c r="AV174">
        <f t="shared" si="79"/>
        <v>0.25428827002181276</v>
      </c>
      <c r="AW174">
        <f t="shared" si="80"/>
        <v>6.0849155663701858E-3</v>
      </c>
      <c r="AX174">
        <f t="shared" si="81"/>
        <v>0.25428826619946304</v>
      </c>
      <c r="AY174">
        <f t="shared" si="82"/>
        <v>3.8223497145217777E-9</v>
      </c>
      <c r="AZ174">
        <f t="shared" si="83"/>
        <v>839091.99888317985</v>
      </c>
      <c r="BA174">
        <f t="shared" si="84"/>
        <v>9.4694146193259519E-6</v>
      </c>
      <c r="BB174" s="15">
        <f t="shared" si="85"/>
        <v>4533504.668405964</v>
      </c>
      <c r="BC174" s="20">
        <f t="shared" si="86"/>
        <v>-11563.690969035961</v>
      </c>
      <c r="BD174" s="19">
        <f t="shared" si="87"/>
        <v>-0.25442281731987199</v>
      </c>
      <c r="BE174" s="15">
        <v>4952706.3</v>
      </c>
      <c r="BF174" s="16">
        <f>テーブル2[[#This Row],[q_P]]/テーブル2[[#This Row],[q_M]]</f>
        <v>0.91535907719905862</v>
      </c>
      <c r="BG174">
        <v>1</v>
      </c>
      <c r="BH174">
        <v>-7.0000000000000007E-2</v>
      </c>
      <c r="BI174">
        <v>4.5999999999999999E-2</v>
      </c>
      <c r="BJ174">
        <v>5625</v>
      </c>
      <c r="BK174" s="22">
        <v>1</v>
      </c>
      <c r="BL174">
        <f>テーブル2[[#This Row],[Ts]]-テーブル2[[#This Row],[Tin]]</f>
        <v>107.28155036662702</v>
      </c>
      <c r="BM174">
        <f>テーブル2[[#This Row],[q_P]]*0.000001</f>
        <v>4.5335046684059641</v>
      </c>
      <c r="BN174">
        <f>テーブル2[[#This Row],[Tsub]]</f>
        <v>107.28155036662702</v>
      </c>
      <c r="BO174">
        <f>テーブル2[[#This Row],[Fcorr]]</f>
        <v>1</v>
      </c>
      <c r="BP174">
        <f>(テーブル2[[#This Row],[Tsub]]-40)^2</f>
        <v>4526.807019736968</v>
      </c>
      <c r="BQ174">
        <v>1</v>
      </c>
      <c r="BR174">
        <v>0.15240000000000001</v>
      </c>
    </row>
    <row r="175" spans="1:70" x14ac:dyDescent="0.15">
      <c r="A175" s="9" t="s">
        <v>243</v>
      </c>
      <c r="B175">
        <v>17236893.2329209</v>
      </c>
      <c r="C175" s="22">
        <f t="array" ref="C175">TsatFromP(テーブル2[[#This Row],[P]])</f>
        <v>626.57723583796803</v>
      </c>
      <c r="D175">
        <f t="array" ref="D175">RhoGFromP(テーブル2[[#This Row],[P]])</f>
        <v>122.583590976701</v>
      </c>
      <c r="E175">
        <f t="array" ref="E175">RhoFFromP(テーブル2[[#This Row],[P]])</f>
        <v>560.26337686439001</v>
      </c>
      <c r="F175">
        <f t="array" ref="F175">HgFromP(テーブル2[[#This Row],[P]])</f>
        <v>2538890.6454807199</v>
      </c>
      <c r="G175">
        <f t="array" ref="G175">HfFromP(テーブル2[[#This Row],[P]])</f>
        <v>1699798.64659754</v>
      </c>
      <c r="H175">
        <f t="array" ref="H175">MuGFromP(テーブル2[[#This Row],[P]])</f>
        <v>2.4290890628326198E-5</v>
      </c>
      <c r="I175">
        <f t="array" ref="I175">MuFFromP(テーブル2[[#This Row],[P]])</f>
        <v>6.4066005508525405E-5</v>
      </c>
      <c r="J175">
        <f t="array" ref="J175">KfFromP(テーブル2[[#This Row],[P]])</f>
        <v>0.452884810527584</v>
      </c>
      <c r="K175">
        <f t="array" ref="K175">CpFFromP(テーブル2[[#This Row],[P]])</f>
        <v>11219.515372648901</v>
      </c>
      <c r="L175">
        <f t="array" ref="L175">SigmaFromP(テーブル2[[#This Row],[P]])</f>
        <v>3.02925386118211E-3</v>
      </c>
      <c r="M175">
        <v>174</v>
      </c>
      <c r="N175">
        <v>2820.9584</v>
      </c>
      <c r="O175" s="8">
        <f t="shared" si="88"/>
        <v>2.8502295699234246E-6</v>
      </c>
      <c r="P175" s="8">
        <f t="shared" si="89"/>
        <v>5.9847340050885557E-3</v>
      </c>
      <c r="Q175" s="8">
        <v>1.905E-3</v>
      </c>
      <c r="R175">
        <v>0.15240000000000001</v>
      </c>
      <c r="S175" s="15">
        <v>3380886.34765625</v>
      </c>
      <c r="T175">
        <v>551.03814075669595</v>
      </c>
      <c r="U175" s="12">
        <f>+T175+BG175*S175*テーブル2[[#This Row],[Pw]]*R175/(N175*O175*K175)</f>
        <v>585.22110890237968</v>
      </c>
      <c r="V175">
        <v>0.03</v>
      </c>
      <c r="W175" s="8">
        <f t="shared" si="60"/>
        <v>83881.080291245555</v>
      </c>
      <c r="X175">
        <v>2.7526308797267519E-2</v>
      </c>
      <c r="Y175">
        <f t="shared" si="61"/>
        <v>6.0273444501828584</v>
      </c>
      <c r="Z175">
        <f t="shared" si="62"/>
        <v>6.0273444803686127</v>
      </c>
      <c r="AA175">
        <f t="shared" si="63"/>
        <v>-3.0185754340550375E-8</v>
      </c>
      <c r="AB175">
        <f t="shared" si="64"/>
        <v>7.4380277893052746E-6</v>
      </c>
      <c r="AC175">
        <v>689.56169051886479</v>
      </c>
      <c r="AD175">
        <f t="shared" si="65"/>
        <v>2460.1580836065191</v>
      </c>
      <c r="AE175">
        <f>+gettm2(AD175,AC175,AK175,AL175,テーブル2[[#This Row],[Fcorr]])</f>
        <v>585.22110890237968</v>
      </c>
      <c r="AF175" s="14">
        <f t="shared" si="66"/>
        <v>0</v>
      </c>
      <c r="AG175">
        <v>7.5056050981652022E-6</v>
      </c>
      <c r="AH175">
        <f t="shared" si="67"/>
        <v>48.871888306806888</v>
      </c>
      <c r="AI175">
        <f t="shared" si="68"/>
        <v>0.29534759754205048</v>
      </c>
      <c r="AJ175">
        <f t="shared" si="69"/>
        <v>19.385800582267109</v>
      </c>
      <c r="AK175">
        <f t="array" ref="AK175">+S175*テーブル2[[#This Row],[F_form]]/(E175*CpFromTP((テーブル2[[#This Row],[Tin]]+テーブル2[[#This Row],[Tf]])/2,テーブル2[[#This Row],[P]])*AI175)</f>
        <v>3.8127433516571965</v>
      </c>
      <c r="AL175">
        <f t="shared" si="70"/>
        <v>1.5871354414155836</v>
      </c>
      <c r="AM175">
        <f t="shared" si="71"/>
        <v>626.57723582204869</v>
      </c>
      <c r="AN175">
        <f t="shared" si="72"/>
        <v>1.5919340512482449E-8</v>
      </c>
      <c r="AO175">
        <f t="shared" si="73"/>
        <v>6.7577308859927597E-8</v>
      </c>
      <c r="AP175">
        <v>2.7239410138607738</v>
      </c>
      <c r="AQ175">
        <f t="shared" si="74"/>
        <v>2.5504625569601364E-5</v>
      </c>
      <c r="AR175">
        <f t="shared" si="75"/>
        <v>3.7865912035125649E-6</v>
      </c>
      <c r="AS175">
        <f t="shared" si="76"/>
        <v>9.7801710851808661</v>
      </c>
      <c r="AT175">
        <f t="shared" si="77"/>
        <v>8.3517848863299768</v>
      </c>
      <c r="AU175">
        <f t="shared" si="78"/>
        <v>2.4666796013655659</v>
      </c>
      <c r="AV175">
        <f t="shared" si="79"/>
        <v>0.25726141249520795</v>
      </c>
      <c r="AW175">
        <f t="shared" si="80"/>
        <v>5.9005158999512249E-3</v>
      </c>
      <c r="AX175">
        <f t="shared" si="81"/>
        <v>0.25726141060186225</v>
      </c>
      <c r="AY175">
        <f t="shared" si="82"/>
        <v>1.8933457024417066E-9</v>
      </c>
      <c r="AZ175">
        <f t="shared" si="83"/>
        <v>839091.99888317985</v>
      </c>
      <c r="BA175">
        <f t="shared" si="84"/>
        <v>9.3631343115805664E-6</v>
      </c>
      <c r="BB175" s="15">
        <f t="shared" si="85"/>
        <v>3392981.2057726914</v>
      </c>
      <c r="BC175" s="20">
        <f t="shared" si="86"/>
        <v>12094.858116441406</v>
      </c>
      <c r="BD175" s="19">
        <f t="shared" si="87"/>
        <v>0.35774222711822273</v>
      </c>
      <c r="BE175" s="15">
        <v>4132512.9</v>
      </c>
      <c r="BF175" s="16">
        <f>テーブル2[[#This Row],[q_P]]/テーブル2[[#This Row],[q_M]]</f>
        <v>0.82104552069823944</v>
      </c>
      <c r="BG175">
        <v>1</v>
      </c>
      <c r="BH175">
        <v>-1.0999999999999999E-2</v>
      </c>
      <c r="BI175">
        <v>4.5999999999999999E-2</v>
      </c>
      <c r="BJ175">
        <v>5625</v>
      </c>
      <c r="BK175" s="22">
        <v>1</v>
      </c>
      <c r="BL175">
        <f>テーブル2[[#This Row],[Ts]]-テーブル2[[#This Row],[Tin]]</f>
        <v>75.53909508127208</v>
      </c>
      <c r="BM175">
        <f>テーブル2[[#This Row],[q_P]]*0.000001</f>
        <v>3.3929812057726911</v>
      </c>
      <c r="BN175">
        <f>テーブル2[[#This Row],[Tsub]]</f>
        <v>75.53909508127208</v>
      </c>
      <c r="BO175">
        <f>テーブル2[[#This Row],[Fcorr]]</f>
        <v>1</v>
      </c>
      <c r="BP175">
        <f>(テーブル2[[#This Row],[Tsub]]-40)^2</f>
        <v>1263.0272791956975</v>
      </c>
      <c r="BQ175">
        <v>1</v>
      </c>
      <c r="BR175">
        <v>0.15240000000000001</v>
      </c>
    </row>
    <row r="176" spans="1:70" x14ac:dyDescent="0.15">
      <c r="A176" s="9" t="s">
        <v>244</v>
      </c>
      <c r="B176">
        <v>17236893.2329209</v>
      </c>
      <c r="C176" s="22">
        <f t="array" ref="C176">TsatFromP(テーブル2[[#This Row],[P]])</f>
        <v>626.57723583796803</v>
      </c>
      <c r="D176">
        <f t="array" ref="D176">RhoGFromP(テーブル2[[#This Row],[P]])</f>
        <v>122.583590976701</v>
      </c>
      <c r="E176">
        <f t="array" ref="E176">RhoFFromP(テーブル2[[#This Row],[P]])</f>
        <v>560.26337686439001</v>
      </c>
      <c r="F176">
        <f t="array" ref="F176">HgFromP(テーブル2[[#This Row],[P]])</f>
        <v>2538890.6454807199</v>
      </c>
      <c r="G176">
        <f t="array" ref="G176">HfFromP(テーブル2[[#This Row],[P]])</f>
        <v>1699798.64659754</v>
      </c>
      <c r="H176">
        <f t="array" ref="H176">MuGFromP(テーブル2[[#This Row],[P]])</f>
        <v>2.4290890628326198E-5</v>
      </c>
      <c r="I176">
        <f t="array" ref="I176">MuFFromP(テーブル2[[#This Row],[P]])</f>
        <v>6.4066005508525405E-5</v>
      </c>
      <c r="J176">
        <f t="array" ref="J176">KfFromP(テーブル2[[#This Row],[P]])</f>
        <v>0.452884810527584</v>
      </c>
      <c r="K176">
        <f t="array" ref="K176">CpFFromP(テーブル2[[#This Row],[P]])</f>
        <v>11219.515372648901</v>
      </c>
      <c r="L176">
        <f t="array" ref="L176">SigmaFromP(テーブル2[[#This Row],[P]])</f>
        <v>3.02925386118211E-3</v>
      </c>
      <c r="M176">
        <v>175</v>
      </c>
      <c r="N176">
        <v>2848.0830000000001</v>
      </c>
      <c r="O176" s="8">
        <f t="shared" si="88"/>
        <v>2.8502295699234246E-6</v>
      </c>
      <c r="P176" s="8">
        <f t="shared" si="89"/>
        <v>5.9847340050885557E-3</v>
      </c>
      <c r="Q176" s="8">
        <v>1.905E-3</v>
      </c>
      <c r="R176">
        <v>0.15240000000000001</v>
      </c>
      <c r="S176" s="15">
        <v>6278063.96484375</v>
      </c>
      <c r="T176">
        <v>474.87307781161599</v>
      </c>
      <c r="U176" s="12">
        <f>+T176+BG176*S176*テーブル2[[#This Row],[Pw]]*R176/(N176*O176*K176)</f>
        <v>537.74387614745763</v>
      </c>
      <c r="V176">
        <v>0.03</v>
      </c>
      <c r="W176" s="8">
        <f t="shared" si="60"/>
        <v>84687.629140199861</v>
      </c>
      <c r="X176">
        <v>2.7417489253573679E-2</v>
      </c>
      <c r="Y176">
        <f t="shared" si="61"/>
        <v>6.0392938184881579</v>
      </c>
      <c r="Z176">
        <f t="shared" si="62"/>
        <v>6.0392938316842111</v>
      </c>
      <c r="AA176">
        <f t="shared" si="63"/>
        <v>-1.319605313909733E-8</v>
      </c>
      <c r="AB176">
        <f t="shared" si="64"/>
        <v>7.3259874902453786E-6</v>
      </c>
      <c r="AC176">
        <v>761.59762223365487</v>
      </c>
      <c r="AD176">
        <f t="shared" si="65"/>
        <v>2478.8989676378092</v>
      </c>
      <c r="AE176">
        <f>+gettm2(AD176,AC176,AK176,AL176,テーブル2[[#This Row],[Fcorr]])</f>
        <v>537.74387614745763</v>
      </c>
      <c r="AF176" s="14">
        <f t="shared" si="66"/>
        <v>0</v>
      </c>
      <c r="AG176">
        <v>7.4468232207589724E-6</v>
      </c>
      <c r="AH176">
        <f t="shared" si="67"/>
        <v>49.619312594496073</v>
      </c>
      <c r="AI176">
        <f t="shared" si="68"/>
        <v>0.29759748347878728</v>
      </c>
      <c r="AJ176">
        <f t="shared" si="69"/>
        <v>19.380495951832735</v>
      </c>
      <c r="AK176">
        <f t="array" ref="AK176">+S176*テーブル2[[#This Row],[F_form]]/(E176*CpFromTP((テーブル2[[#This Row],[Tin]]+テーブル2[[#This Row],[Tf]])/2,テーブル2[[#This Row],[P]])*AI176)</f>
        <v>8.1741634208679059</v>
      </c>
      <c r="AL176">
        <f t="shared" si="70"/>
        <v>1.5871354414155836</v>
      </c>
      <c r="AM176">
        <f t="shared" si="71"/>
        <v>626.57723587827422</v>
      </c>
      <c r="AN176">
        <f t="shared" si="72"/>
        <v>-4.0306190385308582E-8</v>
      </c>
      <c r="AO176">
        <f t="shared" si="73"/>
        <v>1.2083573051359375E-7</v>
      </c>
      <c r="AP176">
        <v>2.752233140949587</v>
      </c>
      <c r="AQ176">
        <f t="shared" si="74"/>
        <v>2.4982960973471004E-5</v>
      </c>
      <c r="AR176">
        <f t="shared" si="75"/>
        <v>3.7838294756362831E-6</v>
      </c>
      <c r="AS176">
        <f t="shared" si="76"/>
        <v>9.8474865940916469</v>
      </c>
      <c r="AT176">
        <f t="shared" si="77"/>
        <v>8.3860812725527634</v>
      </c>
      <c r="AU176">
        <f t="shared" si="78"/>
        <v>2.4956766829602883</v>
      </c>
      <c r="AV176">
        <f t="shared" si="79"/>
        <v>0.25655645798929871</v>
      </c>
      <c r="AW176">
        <f t="shared" si="80"/>
        <v>5.8116354084063087E-3</v>
      </c>
      <c r="AX176">
        <f t="shared" si="81"/>
        <v>0.25655644981672587</v>
      </c>
      <c r="AY176">
        <f t="shared" si="82"/>
        <v>8.1725728406922826E-9</v>
      </c>
      <c r="AZ176">
        <f t="shared" si="83"/>
        <v>839091.99888317985</v>
      </c>
      <c r="BA176">
        <f t="shared" si="84"/>
        <v>9.07734181445518E-6</v>
      </c>
      <c r="BB176" s="15">
        <f t="shared" si="85"/>
        <v>6258042.3378954269</v>
      </c>
      <c r="BC176" s="20">
        <f t="shared" si="86"/>
        <v>-20021.626948323101</v>
      </c>
      <c r="BD176" s="19">
        <f t="shared" si="87"/>
        <v>-0.31891403242211797</v>
      </c>
      <c r="BE176" s="15">
        <v>6056812.8000000007</v>
      </c>
      <c r="BF176" s="16">
        <f>テーブル2[[#This Row],[q_P]]/テーブル2[[#This Row],[q_M]]</f>
        <v>1.0332236680478926</v>
      </c>
      <c r="BG176">
        <v>1</v>
      </c>
      <c r="BH176">
        <v>-0.182</v>
      </c>
      <c r="BI176">
        <v>4.5999999999999999E-2</v>
      </c>
      <c r="BJ176">
        <v>5625</v>
      </c>
      <c r="BK176" s="22">
        <v>1</v>
      </c>
      <c r="BL176">
        <f>テーブル2[[#This Row],[Ts]]-テーブル2[[#This Row],[Tin]]</f>
        <v>151.70415802635205</v>
      </c>
      <c r="BM176">
        <f>テーブル2[[#This Row],[q_P]]*0.000001</f>
        <v>6.2580423378954269</v>
      </c>
      <c r="BN176">
        <f>テーブル2[[#This Row],[Tsub]]</f>
        <v>151.70415802635205</v>
      </c>
      <c r="BO176">
        <f>テーブル2[[#This Row],[Fcorr]]</f>
        <v>1</v>
      </c>
      <c r="BP176">
        <f>(テーブル2[[#This Row],[Tsub]]-40)^2</f>
        <v>12477.81892037623</v>
      </c>
      <c r="BQ176">
        <v>1</v>
      </c>
      <c r="BR176">
        <v>0.15240000000000001</v>
      </c>
    </row>
    <row r="177" spans="1:70" x14ac:dyDescent="0.15">
      <c r="A177" s="9" t="s">
        <v>245</v>
      </c>
      <c r="B177">
        <v>17236893.2329209</v>
      </c>
      <c r="C177" s="22">
        <f t="array" ref="C177">TsatFromP(テーブル2[[#This Row],[P]])</f>
        <v>626.57723583796803</v>
      </c>
      <c r="D177">
        <f t="array" ref="D177">RhoGFromP(テーブル2[[#This Row],[P]])</f>
        <v>122.583590976701</v>
      </c>
      <c r="E177">
        <f t="array" ref="E177">RhoFFromP(テーブル2[[#This Row],[P]])</f>
        <v>560.26337686439001</v>
      </c>
      <c r="F177">
        <f t="array" ref="F177">HgFromP(テーブル2[[#This Row],[P]])</f>
        <v>2538890.6454807199</v>
      </c>
      <c r="G177">
        <f t="array" ref="G177">HfFromP(テーブル2[[#This Row],[P]])</f>
        <v>1699798.64659754</v>
      </c>
      <c r="H177">
        <f t="array" ref="H177">MuGFromP(テーブル2[[#This Row],[P]])</f>
        <v>2.4290890628326198E-5</v>
      </c>
      <c r="I177">
        <f t="array" ref="I177">MuFFromP(テーブル2[[#This Row],[P]])</f>
        <v>6.4066005508525405E-5</v>
      </c>
      <c r="J177">
        <f t="array" ref="J177">KfFromP(テーブル2[[#This Row],[P]])</f>
        <v>0.452884810527584</v>
      </c>
      <c r="K177">
        <f t="array" ref="K177">CpFFromP(テーブル2[[#This Row],[P]])</f>
        <v>11219.515372648901</v>
      </c>
      <c r="L177">
        <f t="array" ref="L177">SigmaFromP(テーブル2[[#This Row],[P]])</f>
        <v>3.02925386118211E-3</v>
      </c>
      <c r="M177">
        <v>176</v>
      </c>
      <c r="N177">
        <v>2848.0830000000001</v>
      </c>
      <c r="O177" s="8">
        <f t="shared" si="88"/>
        <v>2.8502295699234246E-6</v>
      </c>
      <c r="P177" s="8">
        <f t="shared" si="89"/>
        <v>5.9847340050885557E-3</v>
      </c>
      <c r="Q177" s="8">
        <v>1.905E-3</v>
      </c>
      <c r="R177">
        <v>0.15240000000000001</v>
      </c>
      <c r="S177" s="15">
        <v>3378851.07421875</v>
      </c>
      <c r="T177">
        <v>551.548441132118</v>
      </c>
      <c r="U177" s="12">
        <f>+T177+BG177*S177*テーブル2[[#This Row],[Pw]]*R177/(N177*O177*K177)</f>
        <v>585.38547523747786</v>
      </c>
      <c r="V177">
        <v>0.03</v>
      </c>
      <c r="W177" s="8">
        <f t="shared" si="60"/>
        <v>84687.629140199861</v>
      </c>
      <c r="X177">
        <v>2.7417489253573679E-2</v>
      </c>
      <c r="Y177">
        <f t="shared" si="61"/>
        <v>6.0392938184881579</v>
      </c>
      <c r="Z177">
        <f t="shared" si="62"/>
        <v>6.0392938316842111</v>
      </c>
      <c r="AA177">
        <f t="shared" si="63"/>
        <v>-1.319605313909733E-8</v>
      </c>
      <c r="AB177">
        <f t="shared" si="64"/>
        <v>7.3259874902453786E-6</v>
      </c>
      <c r="AC177">
        <v>688.80484788828153</v>
      </c>
      <c r="AD177">
        <f t="shared" si="65"/>
        <v>2478.8989676378092</v>
      </c>
      <c r="AE177">
        <f>+gettm2(AD177,AC177,AK177,AL177,テーブル2[[#This Row],[Fcorr]])</f>
        <v>585.38547523747764</v>
      </c>
      <c r="AF177" s="14">
        <f t="shared" si="66"/>
        <v>0</v>
      </c>
      <c r="AG177">
        <v>7.3931100003053836E-6</v>
      </c>
      <c r="AH177">
        <f t="shared" si="67"/>
        <v>49.619312594496073</v>
      </c>
      <c r="AI177">
        <f t="shared" si="68"/>
        <v>0.29759748347878728</v>
      </c>
      <c r="AJ177">
        <f t="shared" si="69"/>
        <v>19.240706296472208</v>
      </c>
      <c r="AK177">
        <f t="array" ref="AK177">+S177*テーブル2[[#This Row],[F_form]]/(E177*CpFromTP((テーブル2[[#This Row],[Tin]]+テーブル2[[#This Row],[Tf]])/2,テーブル2[[#This Row],[P]])*AI177)</f>
        <v>3.7764248653930994</v>
      </c>
      <c r="AL177">
        <f t="shared" si="70"/>
        <v>1.5871354414155836</v>
      </c>
      <c r="AM177">
        <f t="shared" si="71"/>
        <v>626.57723589312366</v>
      </c>
      <c r="AN177">
        <f t="shared" si="72"/>
        <v>-5.5155624067992903E-8</v>
      </c>
      <c r="AO177">
        <f t="shared" si="73"/>
        <v>6.712251006000496E-8</v>
      </c>
      <c r="AP177">
        <v>2.7327849201010288</v>
      </c>
      <c r="AQ177">
        <f t="shared" si="74"/>
        <v>2.5339815281526499E-5</v>
      </c>
      <c r="AR177">
        <f t="shared" si="75"/>
        <v>3.7301162551826943E-6</v>
      </c>
      <c r="AS177">
        <f t="shared" si="76"/>
        <v>9.7076969387311198</v>
      </c>
      <c r="AT177">
        <f t="shared" si="77"/>
        <v>8.3145953484691706</v>
      </c>
      <c r="AU177">
        <f t="shared" si="78"/>
        <v>2.4744026518488558</v>
      </c>
      <c r="AV177">
        <f t="shared" si="79"/>
        <v>0.25838226825217303</v>
      </c>
      <c r="AW177">
        <f t="shared" si="80"/>
        <v>5.8116354084063087E-3</v>
      </c>
      <c r="AX177">
        <f t="shared" si="81"/>
        <v>0.25838226730402863</v>
      </c>
      <c r="AY177">
        <f t="shared" si="82"/>
        <v>9.4814439632884273E-10</v>
      </c>
      <c r="AZ177">
        <f t="shared" si="83"/>
        <v>839091.99888317985</v>
      </c>
      <c r="BA177">
        <f t="shared" si="84"/>
        <v>9.2725245573258313E-6</v>
      </c>
      <c r="BB177" s="15">
        <f t="shared" si="85"/>
        <v>3403078.842527444</v>
      </c>
      <c r="BC177" s="20">
        <f t="shared" si="86"/>
        <v>24227.768308694009</v>
      </c>
      <c r="BD177" s="19">
        <f t="shared" si="87"/>
        <v>0.71704161493107221</v>
      </c>
      <c r="BE177" s="15">
        <v>4195604.6999999993</v>
      </c>
      <c r="BF177" s="16">
        <f>テーブル2[[#This Row],[q_P]]/テーブル2[[#This Row],[q_M]]</f>
        <v>0.81110568937236738</v>
      </c>
      <c r="BG177">
        <v>1</v>
      </c>
      <c r="BH177">
        <v>-5.0000000000000001E-3</v>
      </c>
      <c r="BI177">
        <v>4.5999999999999999E-2</v>
      </c>
      <c r="BJ177">
        <v>5625</v>
      </c>
      <c r="BK177" s="22">
        <v>1</v>
      </c>
      <c r="BL177">
        <f>テーブル2[[#This Row],[Ts]]-テーブル2[[#This Row],[Tin]]</f>
        <v>75.028794705850032</v>
      </c>
      <c r="BM177">
        <f>テーブル2[[#This Row],[q_P]]*0.000001</f>
        <v>3.4030788425274436</v>
      </c>
      <c r="BN177">
        <f>テーブル2[[#This Row],[Tsub]]</f>
        <v>75.028794705850032</v>
      </c>
      <c r="BO177">
        <f>テーブル2[[#This Row],[Fcorr]]</f>
        <v>1</v>
      </c>
      <c r="BP177">
        <f>(テーブル2[[#This Row],[Tsub]]-40)^2</f>
        <v>1227.0164585445873</v>
      </c>
      <c r="BQ177">
        <v>1</v>
      </c>
      <c r="BR177">
        <v>0.15240000000000001</v>
      </c>
    </row>
    <row r="178" spans="1:70" x14ac:dyDescent="0.15">
      <c r="A178" s="9" t="s">
        <v>246</v>
      </c>
      <c r="B178">
        <v>17236893.2329209</v>
      </c>
      <c r="C178" s="22">
        <f t="array" ref="C178">TsatFromP(テーブル2[[#This Row],[P]])</f>
        <v>626.57723583796803</v>
      </c>
      <c r="D178">
        <f t="array" ref="D178">RhoGFromP(テーブル2[[#This Row],[P]])</f>
        <v>122.583590976701</v>
      </c>
      <c r="E178">
        <f t="array" ref="E178">RhoFFromP(テーブル2[[#This Row],[P]])</f>
        <v>560.26337686439001</v>
      </c>
      <c r="F178">
        <f t="array" ref="F178">HgFromP(テーブル2[[#This Row],[P]])</f>
        <v>2538890.6454807199</v>
      </c>
      <c r="G178">
        <f t="array" ref="G178">HfFromP(テーブル2[[#This Row],[P]])</f>
        <v>1699798.64659754</v>
      </c>
      <c r="H178">
        <f t="array" ref="H178">MuGFromP(テーブル2[[#This Row],[P]])</f>
        <v>2.4290890628326198E-5</v>
      </c>
      <c r="I178">
        <f t="array" ref="I178">MuFFromP(テーブル2[[#This Row],[P]])</f>
        <v>6.4066005508525405E-5</v>
      </c>
      <c r="J178">
        <f t="array" ref="J178">KfFromP(テーブル2[[#This Row],[P]])</f>
        <v>0.452884810527584</v>
      </c>
      <c r="K178">
        <f t="array" ref="K178">CpFFromP(テーブル2[[#This Row],[P]])</f>
        <v>11219.515372648901</v>
      </c>
      <c r="L178">
        <f t="array" ref="L178">SigmaFromP(テーブル2[[#This Row],[P]])</f>
        <v>3.02925386118211E-3</v>
      </c>
      <c r="M178">
        <v>177</v>
      </c>
      <c r="N178">
        <v>2875.2076000000002</v>
      </c>
      <c r="O178" s="8">
        <f t="shared" si="88"/>
        <v>2.8502295699234246E-6</v>
      </c>
      <c r="P178" s="8">
        <f t="shared" si="89"/>
        <v>5.9847340050885557E-3</v>
      </c>
      <c r="Q178" s="8">
        <v>1.905E-3</v>
      </c>
      <c r="R178">
        <v>0.15240000000000001</v>
      </c>
      <c r="S178" s="15">
        <v>4998843.65234375</v>
      </c>
      <c r="T178">
        <v>509.82521111723401</v>
      </c>
      <c r="U178" s="12">
        <f>+T178+BG178*S178*テーブル2[[#This Row],[Pw]]*R178/(N178*O178*K178)</f>
        <v>559.41316929684513</v>
      </c>
      <c r="V178">
        <v>0.03</v>
      </c>
      <c r="W178" s="8">
        <f t="shared" si="60"/>
        <v>85494.177989154137</v>
      </c>
      <c r="X178">
        <v>2.7310346611720542E-2</v>
      </c>
      <c r="Y178">
        <f t="shared" si="61"/>
        <v>6.0511287561987661</v>
      </c>
      <c r="Z178">
        <f t="shared" si="62"/>
        <v>6.0511287704394805</v>
      </c>
      <c r="AA178">
        <f t="shared" si="63"/>
        <v>-1.4240714385493902E-8</v>
      </c>
      <c r="AB178">
        <f t="shared" si="64"/>
        <v>7.2166145598045175E-6</v>
      </c>
      <c r="AC178">
        <v>727.57907428259307</v>
      </c>
      <c r="AD178">
        <f t="shared" si="65"/>
        <v>2497.613067073316</v>
      </c>
      <c r="AE178">
        <f>+gettm2(AD178,AC178,AK178,AL178,テーブル2[[#This Row],[Fcorr]])</f>
        <v>559.41317057263575</v>
      </c>
      <c r="AF178" s="14">
        <f t="shared" si="66"/>
        <v>1.2757906233673566E-6</v>
      </c>
      <c r="AG178">
        <v>7.3132384476773629E-6</v>
      </c>
      <c r="AH178">
        <f t="shared" si="67"/>
        <v>50.371328595897729</v>
      </c>
      <c r="AI178">
        <f t="shared" si="68"/>
        <v>0.29984415386361774</v>
      </c>
      <c r="AJ178">
        <f t="shared" si="69"/>
        <v>19.176524839414125</v>
      </c>
      <c r="AK178">
        <f t="array" ref="AK178">+S178*テーブル2[[#This Row],[F_form]]/(E178*CpFromTP((テーブル2[[#This Row],[Tin]]+テーブル2[[#This Row],[Tf]])/2,テーブル2[[#This Row],[P]])*AI178)</f>
        <v>6.1364118691965155</v>
      </c>
      <c r="AL178">
        <f t="shared" si="70"/>
        <v>1.5871354414155836</v>
      </c>
      <c r="AM178">
        <f t="shared" si="71"/>
        <v>626.57723581205835</v>
      </c>
      <c r="AN178">
        <f t="shared" si="72"/>
        <v>2.590968506410718E-8</v>
      </c>
      <c r="AO178">
        <f t="shared" si="73"/>
        <v>9.6623887872845422E-8</v>
      </c>
      <c r="AP178">
        <v>2.7526553045083459</v>
      </c>
      <c r="AQ178">
        <f t="shared" si="74"/>
        <v>2.4975298490683309E-5</v>
      </c>
      <c r="AR178">
        <f t="shared" si="75"/>
        <v>3.7049311677751041E-6</v>
      </c>
      <c r="AS178">
        <f t="shared" si="76"/>
        <v>9.7149443540601581</v>
      </c>
      <c r="AT178">
        <f t="shared" si="77"/>
        <v>8.318326774878253</v>
      </c>
      <c r="AU178">
        <f t="shared" si="78"/>
        <v>2.494201653374446</v>
      </c>
      <c r="AV178">
        <f t="shared" si="79"/>
        <v>0.25845365113389995</v>
      </c>
      <c r="AW178">
        <f t="shared" si="80"/>
        <v>5.7248709147298413E-3</v>
      </c>
      <c r="AX178">
        <f t="shared" si="81"/>
        <v>0.25845364261977266</v>
      </c>
      <c r="AY178">
        <f t="shared" si="82"/>
        <v>8.5141272920807864E-9</v>
      </c>
      <c r="AZ178">
        <f t="shared" si="83"/>
        <v>839091.99888317985</v>
      </c>
      <c r="BA178">
        <f t="shared" si="84"/>
        <v>9.0731659898638008E-6</v>
      </c>
      <c r="BB178" s="15">
        <f t="shared" si="85"/>
        <v>5006422.1420712713</v>
      </c>
      <c r="BC178" s="20">
        <f t="shared" si="86"/>
        <v>7578.4897275213152</v>
      </c>
      <c r="BD178" s="19">
        <f t="shared" si="87"/>
        <v>0.15160485613443975</v>
      </c>
      <c r="BE178" s="15">
        <v>5078889.9000000004</v>
      </c>
      <c r="BF178" s="16">
        <f>テーブル2[[#This Row],[q_P]]/テーブル2[[#This Row],[q_M]]</f>
        <v>0.98573157533327727</v>
      </c>
      <c r="BG178">
        <v>1</v>
      </c>
      <c r="BH178">
        <v>-0.13100000000000001</v>
      </c>
      <c r="BI178">
        <v>4.5999999999999999E-2</v>
      </c>
      <c r="BJ178">
        <v>5625</v>
      </c>
      <c r="BK178" s="22">
        <v>1</v>
      </c>
      <c r="BL178">
        <f>テーブル2[[#This Row],[Ts]]-テーブル2[[#This Row],[Tin]]</f>
        <v>116.75202472073403</v>
      </c>
      <c r="BM178">
        <f>テーブル2[[#This Row],[q_P]]*0.000001</f>
        <v>5.0064221420712709</v>
      </c>
      <c r="BN178">
        <f>テーブル2[[#This Row],[Tsub]]</f>
        <v>116.75202472073403</v>
      </c>
      <c r="BO178">
        <f>テーブル2[[#This Row],[Fcorr]]</f>
        <v>1</v>
      </c>
      <c r="BP178">
        <f>(テーブル2[[#This Row],[Tsub]]-40)^2</f>
        <v>5890.8732987321673</v>
      </c>
      <c r="BQ178">
        <v>1</v>
      </c>
      <c r="BR178">
        <v>0.15240000000000001</v>
      </c>
    </row>
    <row r="179" spans="1:70" x14ac:dyDescent="0.15">
      <c r="A179" s="9" t="s">
        <v>247</v>
      </c>
      <c r="B179">
        <v>17236893.2329209</v>
      </c>
      <c r="C179" s="22">
        <f t="array" ref="C179">TsatFromP(テーブル2[[#This Row],[P]])</f>
        <v>626.57723583796803</v>
      </c>
      <c r="D179">
        <f t="array" ref="D179">RhoGFromP(テーブル2[[#This Row],[P]])</f>
        <v>122.583590976701</v>
      </c>
      <c r="E179">
        <f t="array" ref="E179">RhoFFromP(テーブル2[[#This Row],[P]])</f>
        <v>560.26337686439001</v>
      </c>
      <c r="F179">
        <f t="array" ref="F179">HgFromP(テーブル2[[#This Row],[P]])</f>
        <v>2538890.6454807199</v>
      </c>
      <c r="G179">
        <f t="array" ref="G179">HfFromP(テーブル2[[#This Row],[P]])</f>
        <v>1699798.64659754</v>
      </c>
      <c r="H179">
        <f t="array" ref="H179">MuGFromP(テーブル2[[#This Row],[P]])</f>
        <v>2.4290890628326198E-5</v>
      </c>
      <c r="I179">
        <f t="array" ref="I179">MuFFromP(テーブル2[[#This Row],[P]])</f>
        <v>6.4066005508525405E-5</v>
      </c>
      <c r="J179">
        <f t="array" ref="J179">KfFromP(テーブル2[[#This Row],[P]])</f>
        <v>0.452884810527584</v>
      </c>
      <c r="K179">
        <f t="array" ref="K179">CpFFromP(テーブル2[[#This Row],[P]])</f>
        <v>11219.515372648901</v>
      </c>
      <c r="L179">
        <f t="array" ref="L179">SigmaFromP(テーブル2[[#This Row],[P]])</f>
        <v>3.02925386118211E-3</v>
      </c>
      <c r="M179">
        <v>178</v>
      </c>
      <c r="N179">
        <v>2888.7698999999998</v>
      </c>
      <c r="O179" s="8">
        <f t="shared" si="88"/>
        <v>2.8502295699234246E-6</v>
      </c>
      <c r="P179" s="8">
        <f t="shared" si="89"/>
        <v>5.9847340050885557E-3</v>
      </c>
      <c r="Q179" s="8">
        <v>1.905E-3</v>
      </c>
      <c r="R179">
        <v>0.15240000000000001</v>
      </c>
      <c r="S179" s="15">
        <v>6305664.0625</v>
      </c>
      <c r="T179">
        <v>475.39939134230099</v>
      </c>
      <c r="U179" s="12">
        <f>+T179+BG179*S179*テーブル2[[#This Row],[Pw]]*R179/(N179*O179*K179)</f>
        <v>537.65718989493678</v>
      </c>
      <c r="V179">
        <v>0.03</v>
      </c>
      <c r="W179" s="8">
        <f t="shared" si="60"/>
        <v>85897.452413631268</v>
      </c>
      <c r="X179">
        <v>2.725739080054396E-2</v>
      </c>
      <c r="Y179">
        <f t="shared" si="61"/>
        <v>6.0570039873577297</v>
      </c>
      <c r="Z179">
        <f t="shared" si="62"/>
        <v>6.0570039906741773</v>
      </c>
      <c r="AA179">
        <f t="shared" si="63"/>
        <v>-3.3164475610192312E-9</v>
      </c>
      <c r="AB179">
        <f t="shared" si="64"/>
        <v>7.1629011260640252E-6</v>
      </c>
      <c r="AC179">
        <v>760.13715317234971</v>
      </c>
      <c r="AD179">
        <f t="shared" si="65"/>
        <v>2506.9601743329754</v>
      </c>
      <c r="AE179">
        <f>+gettm2(AD179,AC179,AK179,AL179,テーブル2[[#This Row],[Fcorr]])</f>
        <v>537.65718989493678</v>
      </c>
      <c r="AF179" s="14">
        <f t="shared" si="66"/>
        <v>0</v>
      </c>
      <c r="AG179">
        <v>7.2831778316785646E-6</v>
      </c>
      <c r="AH179">
        <f t="shared" si="67"/>
        <v>50.749055018940382</v>
      </c>
      <c r="AI179">
        <f t="shared" si="68"/>
        <v>0.30096629544122777</v>
      </c>
      <c r="AJ179">
        <f t="shared" si="69"/>
        <v>19.169172458375808</v>
      </c>
      <c r="AK179">
        <f t="array" ref="AK179">+S179*テーブル2[[#This Row],[F_form]]/(E179*CpFromTP((テーブル2[[#This Row],[Tin]]+テーブル2[[#This Row],[Tf]])/2,テーブル2[[#This Row],[P]])*AI179)</f>
        <v>8.1155388555069994</v>
      </c>
      <c r="AL179">
        <f t="shared" si="70"/>
        <v>1.5871354414155836</v>
      </c>
      <c r="AM179">
        <f t="shared" si="71"/>
        <v>626.57723578996365</v>
      </c>
      <c r="AN179">
        <f t="shared" si="72"/>
        <v>4.800438091479009E-8</v>
      </c>
      <c r="AO179">
        <f t="shared" si="73"/>
        <v>1.2027670561453937E-7</v>
      </c>
      <c r="AP179">
        <v>2.766022505835688</v>
      </c>
      <c r="AQ179">
        <f t="shared" si="74"/>
        <v>2.4734488335482665E-5</v>
      </c>
      <c r="AR179">
        <f t="shared" si="75"/>
        <v>3.701727268646552E-6</v>
      </c>
      <c r="AS179">
        <f t="shared" si="76"/>
        <v>9.7428691220359998</v>
      </c>
      <c r="AT179">
        <f t="shared" si="77"/>
        <v>8.3326782266391692</v>
      </c>
      <c r="AU179">
        <f t="shared" si="78"/>
        <v>2.5078552969753702</v>
      </c>
      <c r="AV179">
        <f t="shared" si="79"/>
        <v>0.25816720886031774</v>
      </c>
      <c r="AW179">
        <f t="shared" si="80"/>
        <v>5.6822605644051951E-3</v>
      </c>
      <c r="AX179">
        <f t="shared" si="81"/>
        <v>0.25816719497561214</v>
      </c>
      <c r="AY179">
        <f t="shared" si="82"/>
        <v>1.3884705607480896E-8</v>
      </c>
      <c r="AZ179">
        <f t="shared" si="83"/>
        <v>839091.99888317985</v>
      </c>
      <c r="BA179">
        <f t="shared" si="84"/>
        <v>8.9422585258429504E-6</v>
      </c>
      <c r="BB179" s="15">
        <f t="shared" si="85"/>
        <v>6323188.3337698299</v>
      </c>
      <c r="BC179" s="20">
        <f t="shared" si="86"/>
        <v>17524.271269829944</v>
      </c>
      <c r="BD179" s="19">
        <f t="shared" si="87"/>
        <v>0.2779131760927035</v>
      </c>
      <c r="BE179" s="15">
        <v>5993721</v>
      </c>
      <c r="BF179" s="16">
        <f>テーブル2[[#This Row],[q_P]]/テーブル2[[#This Row],[q_M]]</f>
        <v>1.0549687470888001</v>
      </c>
      <c r="BG179">
        <v>1</v>
      </c>
      <c r="BH179">
        <v>-0.19900000000000001</v>
      </c>
      <c r="BI179">
        <v>4.5999999999999999E-2</v>
      </c>
      <c r="BJ179">
        <v>5625</v>
      </c>
      <c r="BK179" s="22">
        <v>1</v>
      </c>
      <c r="BL179">
        <f>テーブル2[[#This Row],[Ts]]-テーブル2[[#This Row],[Tin]]</f>
        <v>151.17784449566705</v>
      </c>
      <c r="BM179">
        <f>テーブル2[[#This Row],[q_P]]*0.000001</f>
        <v>6.3231883337698296</v>
      </c>
      <c r="BN179">
        <f>テーブル2[[#This Row],[Tsub]]</f>
        <v>151.17784449566705</v>
      </c>
      <c r="BO179">
        <f>テーブル2[[#This Row],[Fcorr]]</f>
        <v>1</v>
      </c>
      <c r="BP179">
        <f>(テーブル2[[#This Row],[Tsub]]-40)^2</f>
        <v>12360.513106702723</v>
      </c>
      <c r="BQ179">
        <v>1</v>
      </c>
      <c r="BR179">
        <v>0.15240000000000001</v>
      </c>
    </row>
    <row r="180" spans="1:70" x14ac:dyDescent="0.15">
      <c r="A180" s="9" t="s">
        <v>248</v>
      </c>
      <c r="B180">
        <v>17236893.2329209</v>
      </c>
      <c r="C180" s="22">
        <f t="array" ref="C180">TsatFromP(テーブル2[[#This Row],[P]])</f>
        <v>626.57723583796803</v>
      </c>
      <c r="D180">
        <f t="array" ref="D180">RhoGFromP(テーブル2[[#This Row],[P]])</f>
        <v>122.583590976701</v>
      </c>
      <c r="E180">
        <f t="array" ref="E180">RhoFFromP(テーブル2[[#This Row],[P]])</f>
        <v>560.26337686439001</v>
      </c>
      <c r="F180">
        <f t="array" ref="F180">HgFromP(テーブル2[[#This Row],[P]])</f>
        <v>2538890.6454807199</v>
      </c>
      <c r="G180">
        <f t="array" ref="G180">HfFromP(テーブル2[[#This Row],[P]])</f>
        <v>1699798.64659754</v>
      </c>
      <c r="H180">
        <f t="array" ref="H180">MuGFromP(テーブル2[[#This Row],[P]])</f>
        <v>2.4290890628326198E-5</v>
      </c>
      <c r="I180">
        <f t="array" ref="I180">MuFFromP(テーブル2[[#This Row],[P]])</f>
        <v>6.4066005508525405E-5</v>
      </c>
      <c r="J180">
        <f t="array" ref="J180">KfFromP(テーブル2[[#This Row],[P]])</f>
        <v>0.452884810527584</v>
      </c>
      <c r="K180">
        <f t="array" ref="K180">CpFFromP(テーブル2[[#This Row],[P]])</f>
        <v>11219.515372648901</v>
      </c>
      <c r="L180">
        <f t="array" ref="L180">SigmaFromP(テーブル2[[#This Row],[P]])</f>
        <v>3.02925386118211E-3</v>
      </c>
      <c r="M180">
        <v>179</v>
      </c>
      <c r="N180">
        <v>2888.7698999999998</v>
      </c>
      <c r="O180" s="8">
        <f t="shared" si="88"/>
        <v>2.8502295699234246E-6</v>
      </c>
      <c r="P180" s="8">
        <f t="shared" si="89"/>
        <v>5.9847340050885557E-3</v>
      </c>
      <c r="Q180" s="8">
        <v>1.905E-3</v>
      </c>
      <c r="R180">
        <v>0.15240000000000001</v>
      </c>
      <c r="S180" s="15">
        <v>5011364.74609375</v>
      </c>
      <c r="T180">
        <v>509.82521111723401</v>
      </c>
      <c r="U180" s="12">
        <f>+T180+BG180*S180*テーブル2[[#This Row],[Pw]]*R180/(N180*O180*K180)</f>
        <v>559.30398666627411</v>
      </c>
      <c r="V180">
        <v>0.03</v>
      </c>
      <c r="W180" s="8">
        <f t="shared" si="60"/>
        <v>85897.452413631268</v>
      </c>
      <c r="X180">
        <v>2.725739080054396E-2</v>
      </c>
      <c r="Y180">
        <f t="shared" si="61"/>
        <v>6.0570039873577297</v>
      </c>
      <c r="Z180">
        <f t="shared" si="62"/>
        <v>6.0570039906741773</v>
      </c>
      <c r="AA180">
        <f t="shared" si="63"/>
        <v>-3.3164475610192312E-9</v>
      </c>
      <c r="AB180">
        <f t="shared" si="64"/>
        <v>7.1629011260640252E-6</v>
      </c>
      <c r="AC180">
        <v>727.34081168522437</v>
      </c>
      <c r="AD180">
        <f t="shared" si="65"/>
        <v>2506.9601743329754</v>
      </c>
      <c r="AE180">
        <f>+gettm2(AD180,AC180,AK180,AL180,テーブル2[[#This Row],[Fcorr]])</f>
        <v>559.3039879396822</v>
      </c>
      <c r="AF180" s="14">
        <f t="shared" si="66"/>
        <v>1.2734080883092247E-6</v>
      </c>
      <c r="AG180">
        <v>7.2589916374258428E-6</v>
      </c>
      <c r="AH180">
        <f t="shared" si="67"/>
        <v>50.749055018940382</v>
      </c>
      <c r="AI180">
        <f t="shared" si="68"/>
        <v>0.30096629544122777</v>
      </c>
      <c r="AJ180">
        <f t="shared" si="69"/>
        <v>19.105514898522522</v>
      </c>
      <c r="AK180">
        <f t="array" ref="AK180">+S180*テーブル2[[#This Row],[F_form]]/(E180*CpFromTP((テーブル2[[#This Row],[Tin]]+テーブル2[[#This Row],[Tf]])/2,テーブル2[[#This Row],[P]])*AI180)</f>
        <v>6.1295828719753143</v>
      </c>
      <c r="AL180">
        <f t="shared" si="70"/>
        <v>1.5871354414155836</v>
      </c>
      <c r="AM180">
        <f t="shared" si="71"/>
        <v>626.57723579169783</v>
      </c>
      <c r="AN180">
        <f t="shared" si="72"/>
        <v>4.6270201892184559E-8</v>
      </c>
      <c r="AO180">
        <f t="shared" si="73"/>
        <v>9.6090511361817544E-8</v>
      </c>
      <c r="AP180">
        <v>2.757002658031952</v>
      </c>
      <c r="AQ180">
        <f t="shared" si="74"/>
        <v>2.4896596464259274E-5</v>
      </c>
      <c r="AR180">
        <f t="shared" si="75"/>
        <v>3.6775410743938302E-6</v>
      </c>
      <c r="AS180">
        <f t="shared" si="76"/>
        <v>9.6792115621827133</v>
      </c>
      <c r="AT180">
        <f t="shared" si="77"/>
        <v>8.2999022389175128</v>
      </c>
      <c r="AU180">
        <f t="shared" si="78"/>
        <v>2.4979908293713562</v>
      </c>
      <c r="AV180">
        <f t="shared" si="79"/>
        <v>0.2590118286605958</v>
      </c>
      <c r="AW180">
        <f t="shared" si="80"/>
        <v>5.6822605644051951E-3</v>
      </c>
      <c r="AX180">
        <f t="shared" si="81"/>
        <v>0.25901181832039327</v>
      </c>
      <c r="AY180">
        <f t="shared" si="82"/>
        <v>1.0340202527547859E-8</v>
      </c>
      <c r="AZ180">
        <f t="shared" si="83"/>
        <v>839091.99888317985</v>
      </c>
      <c r="BA180">
        <f t="shared" si="84"/>
        <v>9.0303128260425273E-6</v>
      </c>
      <c r="BB180" s="15">
        <f t="shared" si="85"/>
        <v>5002412.7631623624</v>
      </c>
      <c r="BC180" s="20">
        <f t="shared" si="86"/>
        <v>-8951.9829313876107</v>
      </c>
      <c r="BD180" s="19">
        <f t="shared" si="87"/>
        <v>-0.1786336334501592</v>
      </c>
      <c r="BE180" s="15">
        <v>5078889.9000000004</v>
      </c>
      <c r="BF180" s="16">
        <f>テーブル2[[#This Row],[q_P]]/テーブル2[[#This Row],[q_M]]</f>
        <v>0.98494215500957449</v>
      </c>
      <c r="BG180">
        <v>1</v>
      </c>
      <c r="BH180">
        <v>-0.13500000000000001</v>
      </c>
      <c r="BI180">
        <v>4.5999999999999999E-2</v>
      </c>
      <c r="BJ180">
        <v>5625</v>
      </c>
      <c r="BK180" s="22">
        <v>1</v>
      </c>
      <c r="BL180">
        <f>テーブル2[[#This Row],[Ts]]-テーブル2[[#This Row],[Tin]]</f>
        <v>116.75202472073403</v>
      </c>
      <c r="BM180">
        <f>テーブル2[[#This Row],[q_P]]*0.000001</f>
        <v>5.0024127631623623</v>
      </c>
      <c r="BN180">
        <f>テーブル2[[#This Row],[Tsub]]</f>
        <v>116.75202472073403</v>
      </c>
      <c r="BO180">
        <f>テーブル2[[#This Row],[Fcorr]]</f>
        <v>1</v>
      </c>
      <c r="BP180">
        <f>(テーブル2[[#This Row],[Tsub]]-40)^2</f>
        <v>5890.8732987321673</v>
      </c>
      <c r="BQ180">
        <v>1</v>
      </c>
      <c r="BR180">
        <v>0.15240000000000001</v>
      </c>
    </row>
    <row r="181" spans="1:70" x14ac:dyDescent="0.15">
      <c r="A181" s="9" t="s">
        <v>249</v>
      </c>
      <c r="B181">
        <v>17236893.2329209</v>
      </c>
      <c r="C181" s="22">
        <f t="array" ref="C181">TsatFromP(テーブル2[[#This Row],[P]])</f>
        <v>626.57723583796803</v>
      </c>
      <c r="D181">
        <f t="array" ref="D181">RhoGFromP(テーブル2[[#This Row],[P]])</f>
        <v>122.583590976701</v>
      </c>
      <c r="E181">
        <f t="array" ref="E181">RhoFFromP(テーブル2[[#This Row],[P]])</f>
        <v>560.26337686439001</v>
      </c>
      <c r="F181">
        <f t="array" ref="F181">HgFromP(テーブル2[[#This Row],[P]])</f>
        <v>2538890.6454807199</v>
      </c>
      <c r="G181">
        <f t="array" ref="G181">HfFromP(テーブル2[[#This Row],[P]])</f>
        <v>1699798.64659754</v>
      </c>
      <c r="H181">
        <f t="array" ref="H181">MuGFromP(テーブル2[[#This Row],[P]])</f>
        <v>2.4290890628326198E-5</v>
      </c>
      <c r="I181">
        <f t="array" ref="I181">MuFFromP(テーブル2[[#This Row],[P]])</f>
        <v>6.4066005508525405E-5</v>
      </c>
      <c r="J181">
        <f t="array" ref="J181">KfFromP(テーブル2[[#This Row],[P]])</f>
        <v>0.452884810527584</v>
      </c>
      <c r="K181">
        <f t="array" ref="K181">CpFFromP(テーブル2[[#This Row],[P]])</f>
        <v>11219.515372648901</v>
      </c>
      <c r="L181">
        <f t="array" ref="L181">SigmaFromP(テーブル2[[#This Row],[P]])</f>
        <v>3.02925386118211E-3</v>
      </c>
      <c r="M181">
        <v>180</v>
      </c>
      <c r="N181">
        <v>3444.8242</v>
      </c>
      <c r="O181" s="8">
        <f t="shared" si="88"/>
        <v>2.8502295699234246E-6</v>
      </c>
      <c r="P181" s="8">
        <f t="shared" si="89"/>
        <v>5.9847340050885557E-3</v>
      </c>
      <c r="Q181" s="8">
        <v>1.905E-3</v>
      </c>
      <c r="R181">
        <v>0.15240000000000001</v>
      </c>
      <c r="S181" s="15">
        <v>3631959.86328125</v>
      </c>
      <c r="T181">
        <v>554.36509768241604</v>
      </c>
      <c r="U181" s="12">
        <f>+T181+BG181*S181*テーブル2[[#This Row],[Pw]]*R181/(N181*O181*K181)</f>
        <v>584.43623525007581</v>
      </c>
      <c r="V181">
        <v>0.03</v>
      </c>
      <c r="W181" s="8">
        <f t="shared" si="60"/>
        <v>102431.70381719411</v>
      </c>
      <c r="X181">
        <v>2.5384208624571459E-2</v>
      </c>
      <c r="Y181">
        <f t="shared" si="61"/>
        <v>6.2765094318285328</v>
      </c>
      <c r="Z181">
        <f t="shared" si="62"/>
        <v>6.2765094327444357</v>
      </c>
      <c r="AA181">
        <f t="shared" si="63"/>
        <v>-9.1590290907106464E-10</v>
      </c>
      <c r="AB181">
        <f t="shared" si="64"/>
        <v>5.4088057229598882E-6</v>
      </c>
      <c r="AC181">
        <v>680.92368076684011</v>
      </c>
      <c r="AD181">
        <f t="shared" si="65"/>
        <v>2884.969470862759</v>
      </c>
      <c r="AE181">
        <f>+gettm2(AD181,AC181,AK181,AL181,テーブル2[[#This Row],[Fcorr]])</f>
        <v>584.43623605931248</v>
      </c>
      <c r="AF181" s="14">
        <f t="shared" si="66"/>
        <v>8.0923666700982722E-7</v>
      </c>
      <c r="AG181">
        <v>5.4678948822404113E-6</v>
      </c>
      <c r="AH181">
        <f t="shared" si="67"/>
        <v>67.207158467309014</v>
      </c>
      <c r="AI181">
        <f t="shared" si="68"/>
        <v>0.34634717495567147</v>
      </c>
      <c r="AJ181">
        <f t="shared" si="69"/>
        <v>16.561375123517383</v>
      </c>
      <c r="AK181">
        <f t="array" ref="AK181">+S181*テーブル2[[#This Row],[F_form]]/(E181*CpFromTP((テーブル2[[#This Row],[Tin]]+テーブル2[[#This Row],[Tf]])/2,テーブル2[[#This Row],[P]])*AI181)</f>
        <v>3.4745347840698129</v>
      </c>
      <c r="AL181">
        <f t="shared" si="70"/>
        <v>1.5871354414155836</v>
      </c>
      <c r="AM181">
        <f t="shared" si="71"/>
        <v>626.57723592647744</v>
      </c>
      <c r="AN181">
        <f t="shared" si="72"/>
        <v>-8.8509409579273779E-8</v>
      </c>
      <c r="AO181">
        <f t="shared" si="73"/>
        <v>5.9089159280523073E-8</v>
      </c>
      <c r="AP181">
        <v>2.9058181096176119</v>
      </c>
      <c r="AQ181">
        <f t="shared" si="74"/>
        <v>2.2411839189928783E-5</v>
      </c>
      <c r="AR181">
        <f t="shared" si="75"/>
        <v>2.7634920207604672E-6</v>
      </c>
      <c r="AS181">
        <f t="shared" si="76"/>
        <v>8.3701733468417654</v>
      </c>
      <c r="AT181">
        <f t="shared" si="77"/>
        <v>7.5733729739087963</v>
      </c>
      <c r="AU181">
        <f t="shared" si="78"/>
        <v>2.6230163343989439</v>
      </c>
      <c r="AV181">
        <f t="shared" si="79"/>
        <v>0.28280177521866801</v>
      </c>
      <c r="AW181">
        <f t="shared" si="80"/>
        <v>4.2907535535105738E-3</v>
      </c>
      <c r="AX181">
        <f t="shared" si="81"/>
        <v>0.28280177206185142</v>
      </c>
      <c r="AY181">
        <f t="shared" si="82"/>
        <v>3.1568165859141573E-9</v>
      </c>
      <c r="AZ181">
        <f t="shared" si="83"/>
        <v>839091.99888317985</v>
      </c>
      <c r="BA181">
        <f t="shared" si="84"/>
        <v>7.7127467530574529E-6</v>
      </c>
      <c r="BB181" s="15">
        <f t="shared" si="85"/>
        <v>3601642.0963915493</v>
      </c>
      <c r="BC181" s="20">
        <f t="shared" si="86"/>
        <v>-30317.766889700666</v>
      </c>
      <c r="BD181" s="19">
        <f t="shared" si="87"/>
        <v>-0.83474950249891933</v>
      </c>
      <c r="BE181" s="15">
        <v>4921160.3999999994</v>
      </c>
      <c r="BF181" s="16">
        <f>テーブル2[[#This Row],[q_P]]/テーブル2[[#This Row],[q_M]]</f>
        <v>0.73186846264786443</v>
      </c>
      <c r="BG181">
        <v>1</v>
      </c>
      <c r="BH181">
        <v>-5.0000000000000001E-3</v>
      </c>
      <c r="BI181">
        <v>4.5999999999999999E-2</v>
      </c>
      <c r="BJ181">
        <v>5625</v>
      </c>
      <c r="BK181" s="22">
        <v>1</v>
      </c>
      <c r="BL181">
        <f>テーブル2[[#This Row],[Ts]]-テーブル2[[#This Row],[Tin]]</f>
        <v>72.212138155551997</v>
      </c>
      <c r="BM181">
        <f>テーブル2[[#This Row],[q_P]]*0.000001</f>
        <v>3.601642096391549</v>
      </c>
      <c r="BN181">
        <f>テーブル2[[#This Row],[Tsub]]</f>
        <v>72.212138155551997</v>
      </c>
      <c r="BO181">
        <f>テーブル2[[#This Row],[Fcorr]]</f>
        <v>1</v>
      </c>
      <c r="BP181">
        <f>(テーブル2[[#This Row],[Tsub]]-40)^2</f>
        <v>1037.6218445523689</v>
      </c>
      <c r="BQ181">
        <v>1</v>
      </c>
      <c r="BR181">
        <v>0.15240000000000001</v>
      </c>
    </row>
    <row r="182" spans="1:70" x14ac:dyDescent="0.15">
      <c r="A182" s="9" t="s">
        <v>250</v>
      </c>
      <c r="B182">
        <v>17236893.2329209</v>
      </c>
      <c r="C182" s="22">
        <f t="array" ref="C182">TsatFromP(テーブル2[[#This Row],[P]])</f>
        <v>626.57723583796803</v>
      </c>
      <c r="D182">
        <f t="array" ref="D182">RhoGFromP(テーブル2[[#This Row],[P]])</f>
        <v>122.583590976701</v>
      </c>
      <c r="E182">
        <f t="array" ref="E182">RhoFFromP(テーブル2[[#This Row],[P]])</f>
        <v>560.26337686439001</v>
      </c>
      <c r="F182">
        <f t="array" ref="F182">HgFromP(テーブル2[[#This Row],[P]])</f>
        <v>2538890.6454807199</v>
      </c>
      <c r="G182">
        <f t="array" ref="G182">HfFromP(テーブル2[[#This Row],[P]])</f>
        <v>1699798.64659754</v>
      </c>
      <c r="H182">
        <f t="array" ref="H182">MuGFromP(テーブル2[[#This Row],[P]])</f>
        <v>2.4290890628326198E-5</v>
      </c>
      <c r="I182">
        <f t="array" ref="I182">MuFFromP(テーブル2[[#This Row],[P]])</f>
        <v>6.4066005508525405E-5</v>
      </c>
      <c r="J182">
        <f t="array" ref="J182">KfFromP(テーブル2[[#This Row],[P]])</f>
        <v>0.452884810527584</v>
      </c>
      <c r="K182">
        <f t="array" ref="K182">CpFFromP(テーブル2[[#This Row],[P]])</f>
        <v>11219.515372648901</v>
      </c>
      <c r="L182">
        <f t="array" ref="L182">SigmaFromP(テーブル2[[#This Row],[P]])</f>
        <v>3.02925386118211E-3</v>
      </c>
      <c r="M182">
        <v>181</v>
      </c>
      <c r="N182">
        <v>3580.4472000000001</v>
      </c>
      <c r="O182" s="8">
        <f t="shared" si="88"/>
        <v>2.8502295699234246E-6</v>
      </c>
      <c r="P182" s="8">
        <f t="shared" si="89"/>
        <v>5.9847340050885557E-3</v>
      </c>
      <c r="Q182" s="8">
        <v>1.905E-3</v>
      </c>
      <c r="R182">
        <v>0.15240000000000001</v>
      </c>
      <c r="S182" s="15">
        <v>4221380.37109375</v>
      </c>
      <c r="T182">
        <v>542.68385368854695</v>
      </c>
      <c r="U182" s="12">
        <f>+T182+BG182*S182*テーブル2[[#This Row],[Pw]]*R182/(N182*O182*K182)</f>
        <v>576.3112384508081</v>
      </c>
      <c r="V182">
        <v>0.03</v>
      </c>
      <c r="W182" s="8">
        <f t="shared" si="60"/>
        <v>106464.44806196552</v>
      </c>
      <c r="X182">
        <v>2.4999929916971461E-2</v>
      </c>
      <c r="Y182">
        <f t="shared" si="61"/>
        <v>6.324564185235217</v>
      </c>
      <c r="Z182">
        <f t="shared" si="62"/>
        <v>6.324564225480195</v>
      </c>
      <c r="AA182">
        <f t="shared" si="63"/>
        <v>-4.0244978016801269E-8</v>
      </c>
      <c r="AB182">
        <f t="shared" si="64"/>
        <v>5.0837688903806506E-6</v>
      </c>
      <c r="AC182">
        <v>689.4761393360692</v>
      </c>
      <c r="AD182">
        <f t="shared" si="65"/>
        <v>2975.7676171444768</v>
      </c>
      <c r="AE182">
        <f>+gettm2(AD182,AC182,AK182,AL182,テーブル2[[#This Row],[Fcorr]])</f>
        <v>576.31123845080799</v>
      </c>
      <c r="AF182" s="14">
        <f t="shared" si="66"/>
        <v>0</v>
      </c>
      <c r="AG182">
        <v>5.1501890422709151E-6</v>
      </c>
      <c r="AH182">
        <f t="shared" si="67"/>
        <v>71.50412837013036</v>
      </c>
      <c r="AI182">
        <f t="shared" si="68"/>
        <v>0.35724769982205085</v>
      </c>
      <c r="AJ182">
        <f t="shared" si="69"/>
        <v>16.090042807519282</v>
      </c>
      <c r="AK182">
        <f t="array" ref="AK182">+S182*テーブル2[[#This Row],[F_form]]/(E182*CpFromTP((テーブル2[[#This Row],[Tin]]+テーブル2[[#This Row],[Tf]])/2,テーブル2[[#This Row],[P]])*AI182)</f>
        <v>4.0636181127757887</v>
      </c>
      <c r="AL182">
        <f t="shared" si="70"/>
        <v>1.5871354414155836</v>
      </c>
      <c r="AM182">
        <f t="shared" si="71"/>
        <v>626.57723580084667</v>
      </c>
      <c r="AN182">
        <f t="shared" si="72"/>
        <v>3.7121367313375231E-8</v>
      </c>
      <c r="AO182">
        <f t="shared" si="73"/>
        <v>6.6420151890264503E-8</v>
      </c>
      <c r="AP182">
        <v>2.9454626210874451</v>
      </c>
      <c r="AQ182">
        <f t="shared" si="74"/>
        <v>2.1812594117314753E-5</v>
      </c>
      <c r="AR182">
        <f t="shared" si="75"/>
        <v>2.6083045970805898E-6</v>
      </c>
      <c r="AS182">
        <f t="shared" si="76"/>
        <v>8.1487751765265006</v>
      </c>
      <c r="AT182">
        <f t="shared" si="77"/>
        <v>7.4393381543503141</v>
      </c>
      <c r="AU182">
        <f t="shared" si="78"/>
        <v>2.6576864438400709</v>
      </c>
      <c r="AV182">
        <f t="shared" si="79"/>
        <v>0.28777617724737414</v>
      </c>
      <c r="AW182">
        <f t="shared" si="80"/>
        <v>4.0329049607073586E-3</v>
      </c>
      <c r="AX182">
        <f t="shared" si="81"/>
        <v>0.28777617006115402</v>
      </c>
      <c r="AY182">
        <f t="shared" si="82"/>
        <v>7.1862201189709651E-9</v>
      </c>
      <c r="AZ182">
        <f t="shared" si="83"/>
        <v>839091.99888317985</v>
      </c>
      <c r="BA182">
        <f t="shared" si="84"/>
        <v>7.4054900446374325E-6</v>
      </c>
      <c r="BB182" s="15">
        <f t="shared" si="85"/>
        <v>4216458.9490732066</v>
      </c>
      <c r="BC182" s="20">
        <f t="shared" si="86"/>
        <v>-4921.4220205433667</v>
      </c>
      <c r="BD182" s="19">
        <f t="shared" si="87"/>
        <v>-0.11658324026527458</v>
      </c>
      <c r="BE182" s="15">
        <v>5394348.8999999994</v>
      </c>
      <c r="BF182" s="16">
        <f>テーブル2[[#This Row],[q_P]]/テーブル2[[#This Row],[q_M]]</f>
        <v>0.78164372146436567</v>
      </c>
      <c r="BG182">
        <v>1</v>
      </c>
      <c r="BH182">
        <v>-4.4999999999999998E-2</v>
      </c>
      <c r="BI182">
        <v>4.5999999999999999E-2</v>
      </c>
      <c r="BJ182">
        <v>5625</v>
      </c>
      <c r="BK182" s="22">
        <v>1</v>
      </c>
      <c r="BL182">
        <f>テーブル2[[#This Row],[Ts]]-テーブル2[[#This Row],[Tin]]</f>
        <v>83.893382149421086</v>
      </c>
      <c r="BM182">
        <f>テーブル2[[#This Row],[q_P]]*0.000001</f>
        <v>4.2164589490732061</v>
      </c>
      <c r="BN182">
        <f>テーブル2[[#This Row],[Tsub]]</f>
        <v>83.893382149421086</v>
      </c>
      <c r="BO182">
        <f>テーブル2[[#This Row],[Fcorr]]</f>
        <v>1</v>
      </c>
      <c r="BP182">
        <f>(テーブル2[[#This Row],[Tsub]]-40)^2</f>
        <v>1926.6289965151177</v>
      </c>
      <c r="BQ182">
        <v>1</v>
      </c>
      <c r="BR182">
        <v>0.15240000000000001</v>
      </c>
    </row>
    <row r="183" spans="1:70" x14ac:dyDescent="0.15">
      <c r="A183" s="9" t="s">
        <v>251</v>
      </c>
      <c r="B183">
        <v>17236893.2329209</v>
      </c>
      <c r="C183" s="22">
        <f t="array" ref="C183">TsatFromP(テーブル2[[#This Row],[P]])</f>
        <v>626.57723583796803</v>
      </c>
      <c r="D183">
        <f t="array" ref="D183">RhoGFromP(テーブル2[[#This Row],[P]])</f>
        <v>122.583590976701</v>
      </c>
      <c r="E183">
        <f t="array" ref="E183">RhoFFromP(テーブル2[[#This Row],[P]])</f>
        <v>560.26337686439001</v>
      </c>
      <c r="F183">
        <f t="array" ref="F183">HgFromP(テーブル2[[#This Row],[P]])</f>
        <v>2538890.6454807199</v>
      </c>
      <c r="G183">
        <f t="array" ref="G183">HfFromP(テーブル2[[#This Row],[P]])</f>
        <v>1699798.64659754</v>
      </c>
      <c r="H183">
        <f t="array" ref="H183">MuGFromP(テーブル2[[#This Row],[P]])</f>
        <v>2.4290890628326198E-5</v>
      </c>
      <c r="I183">
        <f t="array" ref="I183">MuFFromP(テーブル2[[#This Row],[P]])</f>
        <v>6.4066005508525405E-5</v>
      </c>
      <c r="J183">
        <f t="array" ref="J183">KfFromP(テーブル2[[#This Row],[P]])</f>
        <v>0.452884810527584</v>
      </c>
      <c r="K183">
        <f t="array" ref="K183">CpFFromP(テーブル2[[#This Row],[P]])</f>
        <v>11219.515372648901</v>
      </c>
      <c r="L183">
        <f t="array" ref="L183">SigmaFromP(テーブル2[[#This Row],[P]])</f>
        <v>3.02925386118211E-3</v>
      </c>
      <c r="M183">
        <v>182</v>
      </c>
      <c r="N183">
        <v>3607.5718000000002</v>
      </c>
      <c r="O183" s="8">
        <f t="shared" si="88"/>
        <v>2.8502295699234246E-6</v>
      </c>
      <c r="P183" s="8">
        <f t="shared" si="89"/>
        <v>5.9847340050885557E-3</v>
      </c>
      <c r="Q183" s="8">
        <v>1.905E-3</v>
      </c>
      <c r="R183">
        <v>0.15240000000000001</v>
      </c>
      <c r="S183" s="15">
        <v>4115340.52734375</v>
      </c>
      <c r="T183">
        <v>545.51979880609497</v>
      </c>
      <c r="U183" s="12">
        <f>+T183+BG183*S183*テーブル2[[#This Row],[Pw]]*R183/(N183*O183*K183)</f>
        <v>578.05598719493196</v>
      </c>
      <c r="V183">
        <v>0.03</v>
      </c>
      <c r="W183" s="8">
        <f t="shared" si="60"/>
        <v>107270.99691091981</v>
      </c>
      <c r="X183">
        <v>2.4925881209394141E-2</v>
      </c>
      <c r="Y183">
        <f t="shared" si="61"/>
        <v>6.3339515865322156</v>
      </c>
      <c r="Z183">
        <f t="shared" si="62"/>
        <v>6.3339516227231965</v>
      </c>
      <c r="AA183">
        <f t="shared" si="63"/>
        <v>-3.6190980878814116E-8</v>
      </c>
      <c r="AB183">
        <f t="shared" si="64"/>
        <v>5.0224850177624719E-6</v>
      </c>
      <c r="AC183">
        <v>686.90439531517939</v>
      </c>
      <c r="AD183">
        <f t="shared" si="65"/>
        <v>2993.8675842437615</v>
      </c>
      <c r="AE183">
        <f>+gettm2(AD183,AC183,AK183,AL183,テーブル2[[#This Row],[Fcorr]])</f>
        <v>578.05598719493173</v>
      </c>
      <c r="AF183" s="14">
        <f t="shared" si="66"/>
        <v>0</v>
      </c>
      <c r="AG183">
        <v>5.0868674831858452E-6</v>
      </c>
      <c r="AH183">
        <f t="shared" si="67"/>
        <v>72.376614774611681</v>
      </c>
      <c r="AI183">
        <f t="shared" si="68"/>
        <v>0.35942064221708875</v>
      </c>
      <c r="AJ183">
        <f t="shared" si="69"/>
        <v>15.988879436486876</v>
      </c>
      <c r="AK183">
        <f t="array" ref="AK183">+S183*テーブル2[[#This Row],[F_form]]/(E183*CpFromTP((テーブル2[[#This Row],[Tin]]+テーブル2[[#This Row],[Tf]])/2,テーブル2[[#This Row],[P]])*AI183)</f>
        <v>3.9064656697385924</v>
      </c>
      <c r="AL183">
        <f t="shared" si="70"/>
        <v>1.5871354414155836</v>
      </c>
      <c r="AM183">
        <f t="shared" si="71"/>
        <v>626.57723578871332</v>
      </c>
      <c r="AN183">
        <f t="shared" si="72"/>
        <v>4.9254708756052423E-8</v>
      </c>
      <c r="AO183">
        <f t="shared" si="73"/>
        <v>6.4382465423373318E-8</v>
      </c>
      <c r="AP183">
        <v>2.9510677638246881</v>
      </c>
      <c r="AQ183">
        <f t="shared" si="74"/>
        <v>2.1729812830829328E-5</v>
      </c>
      <c r="AR183">
        <f t="shared" si="75"/>
        <v>2.5756249743046093E-6</v>
      </c>
      <c r="AS183">
        <f t="shared" si="76"/>
        <v>8.0956221729545828</v>
      </c>
      <c r="AT183">
        <f t="shared" si="77"/>
        <v>7.4066172154787742</v>
      </c>
      <c r="AU183">
        <f t="shared" si="78"/>
        <v>2.6620911162435266</v>
      </c>
      <c r="AV183">
        <f t="shared" si="79"/>
        <v>0.28897664758116148</v>
      </c>
      <c r="AW183">
        <f t="shared" si="80"/>
        <v>3.9842890540399906E-3</v>
      </c>
      <c r="AX183">
        <f t="shared" si="81"/>
        <v>0.28897663971192433</v>
      </c>
      <c r="AY183">
        <f t="shared" si="82"/>
        <v>7.869237150792685E-9</v>
      </c>
      <c r="AZ183">
        <f t="shared" si="83"/>
        <v>839091.99888317985</v>
      </c>
      <c r="BA183">
        <f t="shared" si="84"/>
        <v>7.3633730465974534E-6</v>
      </c>
      <c r="BB183" s="15">
        <f t="shared" si="85"/>
        <v>4110480.7085093278</v>
      </c>
      <c r="BC183" s="20">
        <f t="shared" si="86"/>
        <v>-4859.8188344221562</v>
      </c>
      <c r="BD183" s="19">
        <f t="shared" si="87"/>
        <v>-0.11809032088916661</v>
      </c>
      <c r="BE183" s="15">
        <v>4984252.2</v>
      </c>
      <c r="BF183" s="16">
        <f>テーブル2[[#This Row],[q_P]]/テーブル2[[#This Row],[q_M]]</f>
        <v>0.82469356356191759</v>
      </c>
      <c r="BG183">
        <v>1</v>
      </c>
      <c r="BH183">
        <v>-7.5999999999999998E-2</v>
      </c>
      <c r="BI183">
        <v>4.5999999999999999E-2</v>
      </c>
      <c r="BJ183">
        <v>5625</v>
      </c>
      <c r="BK183" s="22">
        <v>1</v>
      </c>
      <c r="BL183">
        <f>テーブル2[[#This Row],[Ts]]-テーブル2[[#This Row],[Tin]]</f>
        <v>81.057437031873064</v>
      </c>
      <c r="BM183">
        <f>テーブル2[[#This Row],[q_P]]*0.000001</f>
        <v>4.1104807085093276</v>
      </c>
      <c r="BN183">
        <f>テーブル2[[#This Row],[Tsub]]</f>
        <v>81.057437031873064</v>
      </c>
      <c r="BO183">
        <f>テーブル2[[#This Row],[Fcorr]]</f>
        <v>1</v>
      </c>
      <c r="BP183">
        <f>(テーブル2[[#This Row],[Tsub]]-40)^2</f>
        <v>1685.7131356262216</v>
      </c>
      <c r="BQ183">
        <v>1</v>
      </c>
      <c r="BR183">
        <v>0.15240000000000001</v>
      </c>
    </row>
    <row r="184" spans="1:70" x14ac:dyDescent="0.15">
      <c r="A184" s="9" t="s">
        <v>252</v>
      </c>
      <c r="B184">
        <v>17236893.2329209</v>
      </c>
      <c r="C184" s="22">
        <f t="array" ref="C184">TsatFromP(テーブル2[[#This Row],[P]])</f>
        <v>626.57723583796803</v>
      </c>
      <c r="D184">
        <f t="array" ref="D184">RhoGFromP(テーブル2[[#This Row],[P]])</f>
        <v>122.583590976701</v>
      </c>
      <c r="E184">
        <f t="array" ref="E184">RhoFFromP(テーブル2[[#This Row],[P]])</f>
        <v>560.26337686439001</v>
      </c>
      <c r="F184">
        <f t="array" ref="F184">HgFromP(テーブル2[[#This Row],[P]])</f>
        <v>2538890.6454807199</v>
      </c>
      <c r="G184">
        <f t="array" ref="G184">HfFromP(テーブル2[[#This Row],[P]])</f>
        <v>1699798.64659754</v>
      </c>
      <c r="H184">
        <f t="array" ref="H184">MuGFromP(テーブル2[[#This Row],[P]])</f>
        <v>2.4290890628326198E-5</v>
      </c>
      <c r="I184">
        <f t="array" ref="I184">MuFFromP(テーブル2[[#This Row],[P]])</f>
        <v>6.4066005508525405E-5</v>
      </c>
      <c r="J184">
        <f t="array" ref="J184">KfFromP(テーブル2[[#This Row],[P]])</f>
        <v>0.452884810527584</v>
      </c>
      <c r="K184">
        <f t="array" ref="K184">CpFFromP(テーブル2[[#This Row],[P]])</f>
        <v>11219.515372648901</v>
      </c>
      <c r="L184">
        <f t="array" ref="L184">SigmaFromP(テーブル2[[#This Row],[P]])</f>
        <v>3.02925386118211E-3</v>
      </c>
      <c r="M184">
        <v>183</v>
      </c>
      <c r="N184">
        <v>3621.1341000000002</v>
      </c>
      <c r="O184" s="8">
        <f t="shared" ref="O184:O215" si="90">PI()*Q184^2/4</f>
        <v>2.8502295699234246E-6</v>
      </c>
      <c r="P184" s="8">
        <f t="shared" ref="P184:P215" si="91">PI()*Q184</f>
        <v>5.9847340050885557E-3</v>
      </c>
      <c r="Q184" s="8">
        <v>1.905E-3</v>
      </c>
      <c r="R184">
        <v>0.15240000000000001</v>
      </c>
      <c r="S184" s="15">
        <v>3801870.99609375</v>
      </c>
      <c r="T184">
        <v>552.84412708824402</v>
      </c>
      <c r="U184" s="12">
        <f>+T184+BG184*S184*テーブル2[[#This Row],[Pw]]*R184/(N184*O184*K184)</f>
        <v>582.78942573032862</v>
      </c>
      <c r="V184">
        <v>0.03</v>
      </c>
      <c r="W184" s="8">
        <f t="shared" si="60"/>
        <v>107674.27133539696</v>
      </c>
      <c r="X184">
        <v>2.4889192575288509E-2</v>
      </c>
      <c r="Y184">
        <f t="shared" si="61"/>
        <v>6.3386182396680733</v>
      </c>
      <c r="Z184">
        <f t="shared" si="62"/>
        <v>6.3386182738389287</v>
      </c>
      <c r="AA184">
        <f t="shared" si="63"/>
        <v>-3.4170855478521389E-8</v>
      </c>
      <c r="AB184">
        <f t="shared" si="64"/>
        <v>4.992282045515813E-6</v>
      </c>
      <c r="AC184">
        <v>680.81293541784623</v>
      </c>
      <c r="AD184">
        <f t="shared" si="65"/>
        <v>3002.9102771997223</v>
      </c>
      <c r="AE184">
        <f>+gettm2(AD184,AC184,AK184,AL184,テーブル2[[#This Row],[Fcorr]])</f>
        <v>582.7894257303285</v>
      </c>
      <c r="AF184" s="14">
        <f t="shared" si="66"/>
        <v>0</v>
      </c>
      <c r="AG184">
        <v>5.05193082825389E-6</v>
      </c>
      <c r="AH184">
        <f t="shared" si="67"/>
        <v>72.81448844989977</v>
      </c>
      <c r="AI184">
        <f t="shared" si="68"/>
        <v>0.36050623816218275</v>
      </c>
      <c r="AJ184">
        <f t="shared" si="69"/>
        <v>15.927028875449565</v>
      </c>
      <c r="AK184">
        <f t="array" ref="AK184">+S184*テーブル2[[#This Row],[F_form]]/(E184*CpFromTP((テーブル2[[#This Row],[Tin]]+テーブル2[[#This Row],[Tf]])/2,テーブル2[[#This Row],[P]])*AI184)</f>
        <v>3.5170072718552894</v>
      </c>
      <c r="AL184">
        <f t="shared" si="70"/>
        <v>1.5871354414155836</v>
      </c>
      <c r="AM184">
        <f t="shared" si="71"/>
        <v>626.57723579623746</v>
      </c>
      <c r="AN184">
        <f t="shared" si="72"/>
        <v>4.173057277512271E-8</v>
      </c>
      <c r="AO184">
        <f t="shared" si="73"/>
        <v>5.9648782738076939E-8</v>
      </c>
      <c r="AP184">
        <v>2.9514450813664541</v>
      </c>
      <c r="AQ184">
        <f t="shared" si="74"/>
        <v>2.172425723670843E-5</v>
      </c>
      <c r="AR184">
        <f t="shared" si="75"/>
        <v>2.5557898054959834E-6</v>
      </c>
      <c r="AS184">
        <f t="shared" si="76"/>
        <v>8.0575406543686796</v>
      </c>
      <c r="AT184">
        <f t="shared" si="77"/>
        <v>7.3830419011302784</v>
      </c>
      <c r="AU184">
        <f t="shared" si="78"/>
        <v>2.6616326619702466</v>
      </c>
      <c r="AV184">
        <f t="shared" si="79"/>
        <v>0.2898124193962075</v>
      </c>
      <c r="AW184">
        <f t="shared" si="80"/>
        <v>3.9603293266747023E-3</v>
      </c>
      <c r="AX184">
        <f t="shared" si="81"/>
        <v>0.28981241140434177</v>
      </c>
      <c r="AY184">
        <f t="shared" si="82"/>
        <v>7.9918657247546321E-9</v>
      </c>
      <c r="AZ184">
        <f t="shared" si="83"/>
        <v>839091.99888317985</v>
      </c>
      <c r="BA184">
        <f t="shared" si="84"/>
        <v>7.360549370835854E-6</v>
      </c>
      <c r="BB184" s="15">
        <f t="shared" si="85"/>
        <v>3809720.9819438104</v>
      </c>
      <c r="BC184" s="20">
        <f t="shared" si="86"/>
        <v>7849.9858500603586</v>
      </c>
      <c r="BD184" s="19">
        <f t="shared" si="87"/>
        <v>0.20647691250244585</v>
      </c>
      <c r="BE184" s="15">
        <v>5110435.8000000007</v>
      </c>
      <c r="BF184" s="16">
        <f>テーブル2[[#This Row],[q_P]]/テーブル2[[#This Row],[q_M]]</f>
        <v>0.74547868930156791</v>
      </c>
      <c r="BG184">
        <v>1</v>
      </c>
      <c r="BH184">
        <v>-2.1000000000000001E-2</v>
      </c>
      <c r="BI184">
        <v>4.5999999999999999E-2</v>
      </c>
      <c r="BJ184">
        <v>5625</v>
      </c>
      <c r="BK184" s="22">
        <v>1</v>
      </c>
      <c r="BL184">
        <f>テーブル2[[#This Row],[Ts]]-テーブル2[[#This Row],[Tin]]</f>
        <v>73.733108749724011</v>
      </c>
      <c r="BM184">
        <f>テーブル2[[#This Row],[q_P]]*0.000001</f>
        <v>3.8097209819438103</v>
      </c>
      <c r="BN184">
        <f>テーブル2[[#This Row],[Tsub]]</f>
        <v>73.733108749724011</v>
      </c>
      <c r="BO184">
        <f>テーブル2[[#This Row],[Fcorr]]</f>
        <v>1</v>
      </c>
      <c r="BP184">
        <f>(テーブル2[[#This Row],[Tsub]]-40)^2</f>
        <v>1137.9226259207067</v>
      </c>
      <c r="BQ184">
        <v>1</v>
      </c>
      <c r="BR184">
        <v>0.15240000000000001</v>
      </c>
    </row>
    <row r="185" spans="1:70" x14ac:dyDescent="0.15">
      <c r="A185" s="9" t="s">
        <v>253</v>
      </c>
      <c r="B185">
        <v>17236893.2329209</v>
      </c>
      <c r="C185" s="22">
        <f t="array" ref="C185">TsatFromP(テーブル2[[#This Row],[P]])</f>
        <v>626.57723583796803</v>
      </c>
      <c r="D185">
        <f t="array" ref="D185">RhoGFromP(テーブル2[[#This Row],[P]])</f>
        <v>122.583590976701</v>
      </c>
      <c r="E185">
        <f t="array" ref="E185">RhoFFromP(テーブル2[[#This Row],[P]])</f>
        <v>560.26337686439001</v>
      </c>
      <c r="F185">
        <f t="array" ref="F185">HgFromP(テーブル2[[#This Row],[P]])</f>
        <v>2538890.6454807199</v>
      </c>
      <c r="G185">
        <f t="array" ref="G185">HfFromP(テーブル2[[#This Row],[P]])</f>
        <v>1699798.64659754</v>
      </c>
      <c r="H185">
        <f t="array" ref="H185">MuGFromP(テーブル2[[#This Row],[P]])</f>
        <v>2.4290890628326198E-5</v>
      </c>
      <c r="I185">
        <f t="array" ref="I185">MuFFromP(テーブル2[[#This Row],[P]])</f>
        <v>6.4066005508525405E-5</v>
      </c>
      <c r="J185">
        <f t="array" ref="J185">KfFromP(テーブル2[[#This Row],[P]])</f>
        <v>0.452884810527584</v>
      </c>
      <c r="K185">
        <f t="array" ref="K185">CpFFromP(テーブル2[[#This Row],[P]])</f>
        <v>11219.515372648901</v>
      </c>
      <c r="L185">
        <f t="array" ref="L185">SigmaFromP(テーブル2[[#This Row],[P]])</f>
        <v>3.02925386118211E-3</v>
      </c>
      <c r="M185">
        <v>184</v>
      </c>
      <c r="N185">
        <v>2088.5942</v>
      </c>
      <c r="O185" s="8">
        <f t="shared" si="90"/>
        <v>2.8502295699234246E-6</v>
      </c>
      <c r="P185" s="8">
        <f t="shared" si="91"/>
        <v>5.9847340050885557E-3</v>
      </c>
      <c r="Q185" s="8">
        <v>1.905E-3</v>
      </c>
      <c r="R185">
        <v>0.69596000000000002</v>
      </c>
      <c r="S185" s="15">
        <v>4209182.8773437506</v>
      </c>
      <c r="T185">
        <v>296.59800912860601</v>
      </c>
      <c r="U185" s="12">
        <f>+T185+BG185*S185*テーブル2[[#This Row],[Pw]]*R185/(N185*O185*K185)</f>
        <v>559.09173068124301</v>
      </c>
      <c r="V185">
        <v>0.03</v>
      </c>
      <c r="W185" s="8">
        <f t="shared" si="60"/>
        <v>62104.261369479893</v>
      </c>
      <c r="X185">
        <v>3.1306557834014398E-2</v>
      </c>
      <c r="Y185">
        <f t="shared" si="61"/>
        <v>5.6517421567611947</v>
      </c>
      <c r="Z185">
        <f t="shared" si="62"/>
        <v>5.6517422024560648</v>
      </c>
      <c r="AA185">
        <f t="shared" si="63"/>
        <v>-4.5694870109969088E-8</v>
      </c>
      <c r="AB185">
        <f t="shared" si="64"/>
        <v>1.1930418629880729E-5</v>
      </c>
      <c r="AC185">
        <v>760.85989092691727</v>
      </c>
      <c r="AD185">
        <f t="shared" si="65"/>
        <v>1942.5136151339686</v>
      </c>
      <c r="AE185">
        <f>+gettm2(AD185,AC185,AK185,AL185,テーブル2[[#This Row],[Fcorr]])</f>
        <v>559.09173068124289</v>
      </c>
      <c r="AF185" s="14">
        <f t="shared" si="66"/>
        <v>0</v>
      </c>
      <c r="AG185">
        <v>1.2045656399718649E-5</v>
      </c>
      <c r="AH185">
        <f t="shared" si="67"/>
        <v>30.469212742578112</v>
      </c>
      <c r="AI185">
        <f t="shared" si="68"/>
        <v>0.23320319667486131</v>
      </c>
      <c r="AJ185">
        <f t="shared" si="69"/>
        <v>24.565723422235276</v>
      </c>
      <c r="AK185">
        <f t="array" ref="AK185">+S185*テーブル2[[#This Row],[F_form]]/(E185*CpFromTP((テーブル2[[#This Row],[Tin]]+テーブル2[[#This Row],[Tf]])/2,テーブル2[[#This Row],[P]])*AI185)</f>
        <v>7.5382518061136228</v>
      </c>
      <c r="AL185">
        <f t="shared" si="70"/>
        <v>1.5871354414155836</v>
      </c>
      <c r="AM185">
        <f t="shared" si="71"/>
        <v>626.57723582087169</v>
      </c>
      <c r="AN185">
        <f t="shared" si="72"/>
        <v>1.709634034341434E-8</v>
      </c>
      <c r="AO185">
        <f t="shared" si="73"/>
        <v>1.1523776983792001E-7</v>
      </c>
      <c r="AP185">
        <v>2.4502587750761191</v>
      </c>
      <c r="AQ185">
        <f t="shared" si="74"/>
        <v>3.1520307331782463E-5</v>
      </c>
      <c r="AR185">
        <f t="shared" si="75"/>
        <v>6.0804470847782847E-6</v>
      </c>
      <c r="AS185">
        <f t="shared" si="76"/>
        <v>12.400368764602065</v>
      </c>
      <c r="AT185">
        <f t="shared" si="77"/>
        <v>9.5386310562480254</v>
      </c>
      <c r="AU185">
        <f t="shared" si="78"/>
        <v>2.2244392542191482</v>
      </c>
      <c r="AV185">
        <f t="shared" si="79"/>
        <v>0.22581952085697088</v>
      </c>
      <c r="AW185">
        <f t="shared" si="80"/>
        <v>9.4642863421273444E-3</v>
      </c>
      <c r="AX185">
        <f t="shared" si="81"/>
        <v>0.22581950392406064</v>
      </c>
      <c r="AY185">
        <f t="shared" si="82"/>
        <v>1.693291024063015E-8</v>
      </c>
      <c r="AZ185">
        <f t="shared" si="83"/>
        <v>839091.99888317985</v>
      </c>
      <c r="BA185">
        <f t="shared" si="84"/>
        <v>1.2864072828717147E-5</v>
      </c>
      <c r="BB185" s="15">
        <f t="shared" si="85"/>
        <v>4211319.2866349528</v>
      </c>
      <c r="BC185" s="20">
        <f t="shared" si="86"/>
        <v>2136.4092912022024</v>
      </c>
      <c r="BD185" s="19">
        <f t="shared" si="87"/>
        <v>5.0755915184906533E-2</v>
      </c>
      <c r="BE185" s="15">
        <v>2113575.2999999998</v>
      </c>
      <c r="BF185" s="16">
        <f>テーブル2[[#This Row],[q_P]]/テーブル2[[#This Row],[q_M]]</f>
        <v>1.9925096998602099</v>
      </c>
      <c r="BG185">
        <v>1</v>
      </c>
      <c r="BH185">
        <v>-0.127</v>
      </c>
      <c r="BI185">
        <v>4.5999999999999999E-2</v>
      </c>
      <c r="BJ185">
        <v>5625</v>
      </c>
      <c r="BK185" s="22">
        <v>1</v>
      </c>
      <c r="BL185">
        <f>テーブル2[[#This Row],[Ts]]-テーブル2[[#This Row],[Tin]]</f>
        <v>329.97922670936202</v>
      </c>
      <c r="BM185">
        <f>テーブル2[[#This Row],[q_P]]*0.000001</f>
        <v>4.2113192866349527</v>
      </c>
      <c r="BN185">
        <f>テーブル2[[#This Row],[Tsub]]</f>
        <v>329.97922670936202</v>
      </c>
      <c r="BO185">
        <f>テーブル2[[#This Row],[Fcorr]]</f>
        <v>1</v>
      </c>
      <c r="BP185">
        <f>(テーブル2[[#This Row],[Tsub]]-40)^2</f>
        <v>84087.951922959575</v>
      </c>
      <c r="BQ185">
        <v>1</v>
      </c>
      <c r="BR185">
        <v>0.69596000000000002</v>
      </c>
    </row>
    <row r="186" spans="1:70" x14ac:dyDescent="0.15">
      <c r="A186" s="9" t="s">
        <v>254</v>
      </c>
      <c r="B186">
        <v>17236893.2329209</v>
      </c>
      <c r="C186" s="22">
        <f t="array" ref="C186">TsatFromP(テーブル2[[#This Row],[P]])</f>
        <v>626.57723583796803</v>
      </c>
      <c r="D186">
        <f t="array" ref="D186">RhoGFromP(テーブル2[[#This Row],[P]])</f>
        <v>122.583590976701</v>
      </c>
      <c r="E186">
        <f t="array" ref="E186">RhoFFromP(テーブル2[[#This Row],[P]])</f>
        <v>560.26337686439001</v>
      </c>
      <c r="F186">
        <f t="array" ref="F186">HgFromP(テーブル2[[#This Row],[P]])</f>
        <v>2538890.6454807199</v>
      </c>
      <c r="G186">
        <f t="array" ref="G186">HfFromP(テーブル2[[#This Row],[P]])</f>
        <v>1699798.64659754</v>
      </c>
      <c r="H186">
        <f t="array" ref="H186">MuGFromP(テーブル2[[#This Row],[P]])</f>
        <v>2.4290890628326198E-5</v>
      </c>
      <c r="I186">
        <f t="array" ref="I186">MuFFromP(テーブル2[[#This Row],[P]])</f>
        <v>6.4066005508525405E-5</v>
      </c>
      <c r="J186">
        <f t="array" ref="J186">KfFromP(テーブル2[[#This Row],[P]])</f>
        <v>0.452884810527584</v>
      </c>
      <c r="K186">
        <f t="array" ref="K186">CpFFromP(テーブル2[[#This Row],[P]])</f>
        <v>11219.515372648901</v>
      </c>
      <c r="L186">
        <f t="array" ref="L186">SigmaFromP(テーブル2[[#This Row],[P]])</f>
        <v>3.02925386118211E-3</v>
      </c>
      <c r="M186">
        <v>185</v>
      </c>
      <c r="N186">
        <v>2088.5942</v>
      </c>
      <c r="O186" s="8">
        <f t="shared" si="90"/>
        <v>2.8502295699234246E-6</v>
      </c>
      <c r="P186" s="8">
        <f t="shared" si="91"/>
        <v>5.9847340050885557E-3</v>
      </c>
      <c r="Q186" s="8">
        <v>1.905E-3</v>
      </c>
      <c r="R186">
        <v>0.69596000000000002</v>
      </c>
      <c r="S186" s="15">
        <v>4174835.99609375</v>
      </c>
      <c r="T186">
        <v>299.35406737670502</v>
      </c>
      <c r="U186" s="12">
        <f>+T186+BG186*S186*テーブル2[[#This Row],[Pw]]*R186/(N186*O186*K186)</f>
        <v>559.70584334375872</v>
      </c>
      <c r="V186">
        <v>0.03</v>
      </c>
      <c r="W186" s="8">
        <f t="shared" si="60"/>
        <v>62104.261369479893</v>
      </c>
      <c r="X186">
        <v>3.1306557834014398E-2</v>
      </c>
      <c r="Y186">
        <f t="shared" si="61"/>
        <v>5.6517421567611947</v>
      </c>
      <c r="Z186">
        <f t="shared" si="62"/>
        <v>5.6517422024560648</v>
      </c>
      <c r="AA186">
        <f t="shared" si="63"/>
        <v>-4.5694870109969088E-8</v>
      </c>
      <c r="AB186">
        <f t="shared" si="64"/>
        <v>1.1930418629880729E-5</v>
      </c>
      <c r="AC186">
        <v>759.63413465095618</v>
      </c>
      <c r="AD186">
        <f t="shared" si="65"/>
        <v>1942.5136151339686</v>
      </c>
      <c r="AE186">
        <f>+gettm2(AD186,AC186,AK186,AL186,テーブル2[[#This Row],[Fcorr]])</f>
        <v>559.7058433437586</v>
      </c>
      <c r="AF186" s="14">
        <f t="shared" si="66"/>
        <v>0</v>
      </c>
      <c r="AG186">
        <v>1.204527784765983E-5</v>
      </c>
      <c r="AH186">
        <f t="shared" si="67"/>
        <v>30.469212742578112</v>
      </c>
      <c r="AI186">
        <f t="shared" si="68"/>
        <v>0.23320319667486131</v>
      </c>
      <c r="AJ186">
        <f t="shared" si="69"/>
        <v>24.564951409082212</v>
      </c>
      <c r="AK186">
        <f t="array" ref="AK186">+S186*テーブル2[[#This Row],[F_form]]/(E186*CpFromTP((テーブル2[[#This Row],[Tin]]+テーブル2[[#This Row],[Tf]])/2,テーブル2[[#This Row],[P]])*AI186)</f>
        <v>7.4695125395633539</v>
      </c>
      <c r="AL186">
        <f t="shared" si="70"/>
        <v>1.5871354414155836</v>
      </c>
      <c r="AM186">
        <f t="shared" si="71"/>
        <v>626.57723582118433</v>
      </c>
      <c r="AN186">
        <f t="shared" si="72"/>
        <v>1.6783701539679896E-8</v>
      </c>
      <c r="AO186">
        <f t="shared" si="73"/>
        <v>1.1485921777910019E-7</v>
      </c>
      <c r="AP186">
        <v>2.450192305911981</v>
      </c>
      <c r="AQ186">
        <f t="shared" si="74"/>
        <v>3.152201752970867E-5</v>
      </c>
      <c r="AR186">
        <f t="shared" si="75"/>
        <v>6.0800685327194649E-6</v>
      </c>
      <c r="AS186">
        <f t="shared" si="76"/>
        <v>12.399596751449002</v>
      </c>
      <c r="AT186">
        <f t="shared" si="77"/>
        <v>9.5383197601888376</v>
      </c>
      <c r="AU186">
        <f t="shared" si="78"/>
        <v>2.2243666589830333</v>
      </c>
      <c r="AV186">
        <f t="shared" si="79"/>
        <v>0.22582564692894769</v>
      </c>
      <c r="AW186">
        <f t="shared" si="80"/>
        <v>9.4642863421273444E-3</v>
      </c>
      <c r="AX186">
        <f t="shared" si="81"/>
        <v>0.22582562998756825</v>
      </c>
      <c r="AY186">
        <f t="shared" si="82"/>
        <v>1.6941379438195625E-8</v>
      </c>
      <c r="AZ186">
        <f t="shared" si="83"/>
        <v>839091.99888317985</v>
      </c>
      <c r="BA186">
        <f t="shared" si="84"/>
        <v>1.2865119792291537E-5</v>
      </c>
      <c r="BB186" s="15">
        <f t="shared" si="85"/>
        <v>4197143.6581179211</v>
      </c>
      <c r="BC186" s="20">
        <f t="shared" si="86"/>
        <v>22307.662024171092</v>
      </c>
      <c r="BD186" s="19">
        <f t="shared" si="87"/>
        <v>0.53433624805965074</v>
      </c>
      <c r="BE186" s="15">
        <v>2082029.4</v>
      </c>
      <c r="BF186" s="16">
        <f>テーブル2[[#This Row],[q_P]]/テーブル2[[#This Row],[q_M]]</f>
        <v>2.0158906776810745</v>
      </c>
      <c r="BG186">
        <v>1</v>
      </c>
      <c r="BH186">
        <v>-0.14000000000000001</v>
      </c>
      <c r="BI186">
        <v>4.5999999999999999E-2</v>
      </c>
      <c r="BJ186">
        <v>5625</v>
      </c>
      <c r="BK186" s="22">
        <v>1</v>
      </c>
      <c r="BL186">
        <f>テーブル2[[#This Row],[Ts]]-テーブル2[[#This Row],[Tin]]</f>
        <v>327.22316846126301</v>
      </c>
      <c r="BM186">
        <f>テーブル2[[#This Row],[q_P]]*0.000001</f>
        <v>4.1971436581179207</v>
      </c>
      <c r="BN186">
        <f>テーブル2[[#This Row],[Tsub]]</f>
        <v>327.22316846126301</v>
      </c>
      <c r="BO186">
        <f>テーブル2[[#This Row],[Fcorr]]</f>
        <v>1</v>
      </c>
      <c r="BP186">
        <f>(テーブル2[[#This Row],[Tsub]]-40)^2</f>
        <v>82497.148500927069</v>
      </c>
      <c r="BQ186">
        <v>1</v>
      </c>
      <c r="BR186">
        <v>0.69596000000000002</v>
      </c>
    </row>
    <row r="187" spans="1:70" x14ac:dyDescent="0.15">
      <c r="A187" s="9" t="s">
        <v>255</v>
      </c>
      <c r="B187">
        <v>17236893.2329209</v>
      </c>
      <c r="C187" s="22">
        <f t="array" ref="C187">TsatFromP(テーブル2[[#This Row],[P]])</f>
        <v>626.57723583796803</v>
      </c>
      <c r="D187">
        <f t="array" ref="D187">RhoGFromP(テーブル2[[#This Row],[P]])</f>
        <v>122.583590976701</v>
      </c>
      <c r="E187">
        <f t="array" ref="E187">RhoFFromP(テーブル2[[#This Row],[P]])</f>
        <v>560.26337686439001</v>
      </c>
      <c r="F187">
        <f t="array" ref="F187">HgFromP(テーブル2[[#This Row],[P]])</f>
        <v>2538890.6454807199</v>
      </c>
      <c r="G187">
        <f t="array" ref="G187">HfFromP(テーブル2[[#This Row],[P]])</f>
        <v>1699798.64659754</v>
      </c>
      <c r="H187">
        <f t="array" ref="H187">MuGFromP(テーブル2[[#This Row],[P]])</f>
        <v>2.4290890628326198E-5</v>
      </c>
      <c r="I187">
        <f t="array" ref="I187">MuFFromP(テーブル2[[#This Row],[P]])</f>
        <v>6.4066005508525405E-5</v>
      </c>
      <c r="J187">
        <f t="array" ref="J187">KfFromP(テーブル2[[#This Row],[P]])</f>
        <v>0.452884810527584</v>
      </c>
      <c r="K187">
        <f t="array" ref="K187">CpFFromP(テーブル2[[#This Row],[P]])</f>
        <v>11219.515372648901</v>
      </c>
      <c r="L187">
        <f t="array" ref="L187">SigmaFromP(テーブル2[[#This Row],[P]])</f>
        <v>3.02925386118211E-3</v>
      </c>
      <c r="M187">
        <v>186</v>
      </c>
      <c r="N187">
        <v>2197.0925999999999</v>
      </c>
      <c r="O187" s="8">
        <f t="shared" si="90"/>
        <v>2.8502295699234246E-6</v>
      </c>
      <c r="P187" s="8">
        <f t="shared" si="91"/>
        <v>5.9847340050885557E-3</v>
      </c>
      <c r="Q187" s="8">
        <v>1.905E-3</v>
      </c>
      <c r="R187">
        <v>0.69596000000000002</v>
      </c>
      <c r="S187" s="15">
        <v>4356434.22265625</v>
      </c>
      <c r="T187">
        <v>298.84787197440301</v>
      </c>
      <c r="U187" s="12">
        <f>+T187+BG187*S187*テーブル2[[#This Row],[Pw]]*R187/(N187*O187*K187)</f>
        <v>557.10837495113583</v>
      </c>
      <c r="V187">
        <v>0.03</v>
      </c>
      <c r="W187" s="8">
        <f t="shared" si="60"/>
        <v>65330.456765297022</v>
      </c>
      <c r="X187">
        <v>3.0617085003356879E-2</v>
      </c>
      <c r="Y187">
        <f t="shared" si="61"/>
        <v>5.7150242827932436</v>
      </c>
      <c r="Z187">
        <f t="shared" si="62"/>
        <v>5.7150243315446012</v>
      </c>
      <c r="AA187">
        <f t="shared" si="63"/>
        <v>-4.8751357617504709E-8</v>
      </c>
      <c r="AB187">
        <f t="shared" si="64"/>
        <v>1.1023984021569312E-5</v>
      </c>
      <c r="AC187">
        <v>758.5844649407918</v>
      </c>
      <c r="AD187">
        <f t="shared" si="65"/>
        <v>2020.7967066667375</v>
      </c>
      <c r="AE187">
        <f>+gettm2(AD187,AC187,AK187,AL187,テーブル2[[#This Row],[Fcorr]])</f>
        <v>557.1083749511356</v>
      </c>
      <c r="AF187" s="14">
        <f t="shared" si="66"/>
        <v>0</v>
      </c>
      <c r="AG187">
        <v>1.1137460209164249E-5</v>
      </c>
      <c r="AH187">
        <f t="shared" si="67"/>
        <v>32.974509272747106</v>
      </c>
      <c r="AI187">
        <f t="shared" si="68"/>
        <v>0.24260126063117154</v>
      </c>
      <c r="AJ187">
        <f t="shared" si="69"/>
        <v>23.628916442321206</v>
      </c>
      <c r="AK187">
        <f t="array" ref="AK187">+S187*テーブル2[[#This Row],[F_form]]/(E187*CpFromTP((テーブル2[[#This Row],[Tin]]+テーブル2[[#This Row],[Tf]])/2,テーブル2[[#This Row],[P]])*AI187)</f>
        <v>7.4991626941410816</v>
      </c>
      <c r="AL187">
        <f t="shared" si="70"/>
        <v>1.5871354414155836</v>
      </c>
      <c r="AM187">
        <f t="shared" si="71"/>
        <v>626.57723579927404</v>
      </c>
      <c r="AN187">
        <f t="shared" si="72"/>
        <v>3.8693997339578345E-8</v>
      </c>
      <c r="AO187">
        <f t="shared" si="73"/>
        <v>1.1347618759493727E-7</v>
      </c>
      <c r="AP187">
        <v>2.4980901703179881</v>
      </c>
      <c r="AQ187">
        <f t="shared" si="74"/>
        <v>3.0324812813161446E-5</v>
      </c>
      <c r="AR187">
        <f t="shared" si="75"/>
        <v>5.6254681983795934E-6</v>
      </c>
      <c r="AS187">
        <f t="shared" si="76"/>
        <v>11.934832135164251</v>
      </c>
      <c r="AT187">
        <f t="shared" si="77"/>
        <v>9.3473059738528939</v>
      </c>
      <c r="AU187">
        <f t="shared" si="78"/>
        <v>2.2676682127619925</v>
      </c>
      <c r="AV187">
        <f t="shared" si="79"/>
        <v>0.23042195755599559</v>
      </c>
      <c r="AW187">
        <f t="shared" si="80"/>
        <v>8.7452204862162129E-3</v>
      </c>
      <c r="AX187">
        <f t="shared" si="81"/>
        <v>0.23042194898091883</v>
      </c>
      <c r="AY187">
        <f t="shared" si="82"/>
        <v>8.5750767597758681E-9</v>
      </c>
      <c r="AZ187">
        <f t="shared" si="83"/>
        <v>839091.99888317985</v>
      </c>
      <c r="BA187">
        <f t="shared" si="84"/>
        <v>1.2139198646020582E-5</v>
      </c>
      <c r="BB187" s="15">
        <f t="shared" si="85"/>
        <v>4394571.478896793</v>
      </c>
      <c r="BC187" s="20">
        <f t="shared" si="86"/>
        <v>38137.256240542978</v>
      </c>
      <c r="BD187" s="19">
        <f t="shared" si="87"/>
        <v>0.8754236674159982</v>
      </c>
      <c r="BE187" s="15">
        <v>2429034.2999999998</v>
      </c>
      <c r="BF187" s="16">
        <f>テーブル2[[#This Row],[q_P]]/テーブル2[[#This Row],[q_M]]</f>
        <v>1.8091846125420268</v>
      </c>
      <c r="BG187">
        <v>1</v>
      </c>
      <c r="BH187">
        <v>-4.7E-2</v>
      </c>
      <c r="BI187">
        <v>4.5999999999999999E-2</v>
      </c>
      <c r="BJ187">
        <v>5625</v>
      </c>
      <c r="BK187" s="22">
        <v>1</v>
      </c>
      <c r="BL187">
        <f>テーブル2[[#This Row],[Ts]]-テーブル2[[#This Row],[Tin]]</f>
        <v>327.72936386356503</v>
      </c>
      <c r="BM187">
        <f>テーブル2[[#This Row],[q_P]]*0.000001</f>
        <v>4.3945714788967924</v>
      </c>
      <c r="BN187">
        <f>テーブル2[[#This Row],[Tsub]]</f>
        <v>327.72936386356503</v>
      </c>
      <c r="BO187">
        <f>テーブル2[[#This Row],[Fcorr]]</f>
        <v>1</v>
      </c>
      <c r="BP187">
        <f>(テーブル2[[#This Row],[Tsub]]-40)^2</f>
        <v>82788.186829331797</v>
      </c>
      <c r="BQ187">
        <v>1</v>
      </c>
      <c r="BR187">
        <v>0.69596000000000002</v>
      </c>
    </row>
    <row r="188" spans="1:70" x14ac:dyDescent="0.15">
      <c r="A188" s="9" t="s">
        <v>256</v>
      </c>
      <c r="B188">
        <v>17236893.2329209</v>
      </c>
      <c r="C188" s="22">
        <f t="array" ref="C188">TsatFromP(テーブル2[[#This Row],[P]])</f>
        <v>626.57723583796803</v>
      </c>
      <c r="D188">
        <f t="array" ref="D188">RhoGFromP(テーブル2[[#This Row],[P]])</f>
        <v>122.583590976701</v>
      </c>
      <c r="E188">
        <f t="array" ref="E188">RhoFFromP(テーブル2[[#This Row],[P]])</f>
        <v>560.26337686439001</v>
      </c>
      <c r="F188">
        <f t="array" ref="F188">HgFromP(テーブル2[[#This Row],[P]])</f>
        <v>2538890.6454807199</v>
      </c>
      <c r="G188">
        <f t="array" ref="G188">HfFromP(テーブル2[[#This Row],[P]])</f>
        <v>1699798.64659754</v>
      </c>
      <c r="H188">
        <f t="array" ref="H188">MuGFromP(テーブル2[[#This Row],[P]])</f>
        <v>2.4290890628326198E-5</v>
      </c>
      <c r="I188">
        <f t="array" ref="I188">MuFFromP(テーブル2[[#This Row],[P]])</f>
        <v>6.4066005508525405E-5</v>
      </c>
      <c r="J188">
        <f t="array" ref="J188">KfFromP(テーブル2[[#This Row],[P]])</f>
        <v>0.452884810527584</v>
      </c>
      <c r="K188">
        <f t="array" ref="K188">CpFFromP(テーブル2[[#This Row],[P]])</f>
        <v>11219.515372648901</v>
      </c>
      <c r="L188">
        <f t="array" ref="L188">SigmaFromP(テーブル2[[#This Row],[P]])</f>
        <v>3.02925386118211E-3</v>
      </c>
      <c r="M188">
        <v>187</v>
      </c>
      <c r="N188">
        <v>2414.0893999999998</v>
      </c>
      <c r="O188" s="8">
        <f t="shared" si="90"/>
        <v>2.8502295699234246E-6</v>
      </c>
      <c r="P188" s="8">
        <f t="shared" si="91"/>
        <v>5.9847340050885557E-3</v>
      </c>
      <c r="Q188" s="8">
        <v>1.905E-3</v>
      </c>
      <c r="R188">
        <v>0.69596000000000002</v>
      </c>
      <c r="S188" s="15">
        <v>4716479.4921875</v>
      </c>
      <c r="T188">
        <v>297.72296123936098</v>
      </c>
      <c r="U188" s="12">
        <f>+T188+BG188*S188*テーブル2[[#This Row],[Pw]]*R188/(N188*O188*K188)</f>
        <v>552.19483876594313</v>
      </c>
      <c r="V188">
        <v>0.03</v>
      </c>
      <c r="W188" s="8">
        <f t="shared" si="60"/>
        <v>71782.847556931287</v>
      </c>
      <c r="X188">
        <v>2.9393729578222751E-2</v>
      </c>
      <c r="Y188">
        <f t="shared" si="61"/>
        <v>5.832740470796443</v>
      </c>
      <c r="Z188">
        <f t="shared" si="62"/>
        <v>5.8327404814836816</v>
      </c>
      <c r="AA188">
        <f t="shared" si="63"/>
        <v>-1.0687238649609299E-8</v>
      </c>
      <c r="AB188">
        <f t="shared" si="64"/>
        <v>9.511253242064767E-6</v>
      </c>
      <c r="AC188">
        <v>756.56315202428323</v>
      </c>
      <c r="AD188">
        <f t="shared" si="65"/>
        <v>2175.5698943971465</v>
      </c>
      <c r="AE188">
        <f>+gettm2(AD188,AC188,AK188,AL188,テーブル2[[#This Row],[Fcorr]])</f>
        <v>552.19483876594302</v>
      </c>
      <c r="AF188" s="14">
        <f t="shared" si="66"/>
        <v>0</v>
      </c>
      <c r="AG188">
        <v>9.6199826835191831E-6</v>
      </c>
      <c r="AH188">
        <f t="shared" si="67"/>
        <v>38.218986929522636</v>
      </c>
      <c r="AI188">
        <f t="shared" si="68"/>
        <v>0.26118213535816825</v>
      </c>
      <c r="AJ188">
        <f t="shared" si="69"/>
        <v>21.972645365759799</v>
      </c>
      <c r="AK188">
        <f t="array" ref="AK188">+S188*テーブル2[[#This Row],[F_form]]/(E188*CpFromTP((テーブル2[[#This Row],[Tin]]+テーブル2[[#This Row],[Tf]])/2,テーブル2[[#This Row],[P]])*AI188)</f>
        <v>7.5540476227608595</v>
      </c>
      <c r="AL188">
        <f t="shared" si="70"/>
        <v>1.5871354414155836</v>
      </c>
      <c r="AM188">
        <f t="shared" si="71"/>
        <v>626.57723583961092</v>
      </c>
      <c r="AN188">
        <f t="shared" si="72"/>
        <v>-1.6428884919150732E-9</v>
      </c>
      <c r="AO188">
        <f t="shared" si="73"/>
        <v>1.0872944145441611E-7</v>
      </c>
      <c r="AP188">
        <v>2.5873920324436628</v>
      </c>
      <c r="AQ188">
        <f t="shared" si="74"/>
        <v>2.8267661157676302E-5</v>
      </c>
      <c r="AR188">
        <f t="shared" si="75"/>
        <v>4.8643560624867996E-6</v>
      </c>
      <c r="AS188">
        <f t="shared" si="76"/>
        <v>11.110495123542808</v>
      </c>
      <c r="AT188">
        <f t="shared" si="77"/>
        <v>8.9894508411696652</v>
      </c>
      <c r="AU188">
        <f t="shared" si="78"/>
        <v>2.347883966393975</v>
      </c>
      <c r="AV188">
        <f t="shared" si="79"/>
        <v>0.23950806604968777</v>
      </c>
      <c r="AW188">
        <f t="shared" si="80"/>
        <v>7.5451857095720307E-3</v>
      </c>
      <c r="AX188">
        <f t="shared" si="81"/>
        <v>0.23950806093247401</v>
      </c>
      <c r="AY188">
        <f t="shared" si="82"/>
        <v>5.1172137638388904E-9</v>
      </c>
      <c r="AZ188">
        <f t="shared" si="83"/>
        <v>839091.99888317985</v>
      </c>
      <c r="BA188">
        <f t="shared" si="84"/>
        <v>1.0925155833837404E-5</v>
      </c>
      <c r="BB188" s="15">
        <f t="shared" si="85"/>
        <v>4678658.3321262561</v>
      </c>
      <c r="BC188" s="20">
        <f t="shared" si="86"/>
        <v>-37821.160061243922</v>
      </c>
      <c r="BD188" s="19">
        <f t="shared" si="87"/>
        <v>-0.80189387283230806</v>
      </c>
      <c r="BE188" s="15">
        <v>2492126.1</v>
      </c>
      <c r="BF188" s="16">
        <f>テーブル2[[#This Row],[q_P]]/テーブル2[[#This Row],[q_M]]</f>
        <v>1.8773762419671525</v>
      </c>
      <c r="BG188">
        <v>1</v>
      </c>
      <c r="BH188">
        <v>-8.5999999999999993E-2</v>
      </c>
      <c r="BI188">
        <v>4.5999999999999999E-2</v>
      </c>
      <c r="BJ188">
        <v>5625</v>
      </c>
      <c r="BK188" s="22">
        <v>1</v>
      </c>
      <c r="BL188">
        <f>テーブル2[[#This Row],[Ts]]-テーブル2[[#This Row],[Tin]]</f>
        <v>328.85427459860705</v>
      </c>
      <c r="BM188">
        <f>テーブル2[[#This Row],[q_P]]*0.000001</f>
        <v>4.6786583321262558</v>
      </c>
      <c r="BN188">
        <f>テーブル2[[#This Row],[Tsub]]</f>
        <v>328.85427459860705</v>
      </c>
      <c r="BO188">
        <f>テーブル2[[#This Row],[Fcorr]]</f>
        <v>1</v>
      </c>
      <c r="BP188">
        <f>(テーブル2[[#This Row],[Tsub]]-40)^2</f>
        <v>83436.791953887485</v>
      </c>
      <c r="BQ188">
        <v>1</v>
      </c>
      <c r="BR188">
        <v>0.69596000000000002</v>
      </c>
    </row>
    <row r="189" spans="1:70" x14ac:dyDescent="0.15">
      <c r="A189" s="9" t="s">
        <v>257</v>
      </c>
      <c r="B189">
        <v>17236893.2329209</v>
      </c>
      <c r="C189" s="22">
        <f t="array" ref="C189">TsatFromP(テーブル2[[#This Row],[P]])</f>
        <v>626.57723583796803</v>
      </c>
      <c r="D189">
        <f t="array" ref="D189">RhoGFromP(テーブル2[[#This Row],[P]])</f>
        <v>122.583590976701</v>
      </c>
      <c r="E189">
        <f t="array" ref="E189">RhoFFromP(テーブル2[[#This Row],[P]])</f>
        <v>560.26337686439001</v>
      </c>
      <c r="F189">
        <f t="array" ref="F189">HgFromP(テーブル2[[#This Row],[P]])</f>
        <v>2538890.6454807199</v>
      </c>
      <c r="G189">
        <f t="array" ref="G189">HfFromP(テーブル2[[#This Row],[P]])</f>
        <v>1699798.64659754</v>
      </c>
      <c r="H189">
        <f t="array" ref="H189">MuGFromP(テーブル2[[#This Row],[P]])</f>
        <v>2.4290890628326198E-5</v>
      </c>
      <c r="I189">
        <f t="array" ref="I189">MuFFromP(テーブル2[[#This Row],[P]])</f>
        <v>6.4066005508525405E-5</v>
      </c>
      <c r="J189">
        <f t="array" ref="J189">KfFromP(テーブル2[[#This Row],[P]])</f>
        <v>0.452884810527584</v>
      </c>
      <c r="K189">
        <f t="array" ref="K189">CpFFromP(テーブル2[[#This Row],[P]])</f>
        <v>11219.515372648901</v>
      </c>
      <c r="L189">
        <f t="array" ref="L189">SigmaFromP(テーブル2[[#This Row],[P]])</f>
        <v>3.02925386118211E-3</v>
      </c>
      <c r="M189">
        <v>188</v>
      </c>
      <c r="N189">
        <v>2983.7060000000001</v>
      </c>
      <c r="O189" s="8">
        <f t="shared" si="90"/>
        <v>2.8502295699234246E-6</v>
      </c>
      <c r="P189" s="8">
        <f t="shared" si="91"/>
        <v>5.9847340050885557E-3</v>
      </c>
      <c r="Q189" s="8">
        <v>1.905E-3</v>
      </c>
      <c r="R189">
        <v>0.69596000000000002</v>
      </c>
      <c r="S189" s="15">
        <v>5580558.33984375</v>
      </c>
      <c r="T189">
        <v>298.28542199983798</v>
      </c>
      <c r="U189" s="12">
        <f>+T189+BG189*S189*テーブル2[[#This Row],[Pw]]*R189/(N189*O189*K189)</f>
        <v>541.89637898541935</v>
      </c>
      <c r="V189">
        <v>0.03</v>
      </c>
      <c r="W189" s="8">
        <f t="shared" si="60"/>
        <v>88720.373384971273</v>
      </c>
      <c r="X189">
        <v>2.68977240407712E-2</v>
      </c>
      <c r="Y189">
        <f t="shared" si="61"/>
        <v>6.0973655573623216</v>
      </c>
      <c r="Z189">
        <f t="shared" si="62"/>
        <v>6.0973655637760196</v>
      </c>
      <c r="AA189">
        <f t="shared" si="63"/>
        <v>-6.4136980171269897E-9</v>
      </c>
      <c r="AB189">
        <f t="shared" si="64"/>
        <v>6.8041134902182196E-6</v>
      </c>
      <c r="AC189">
        <v>750.16719900555916</v>
      </c>
      <c r="AD189">
        <f t="shared" si="65"/>
        <v>2572.2083193029971</v>
      </c>
      <c r="AE189">
        <f>+gettm2(AD189,AC189,AK189,AL189,テーブル2[[#This Row],[Fcorr]])</f>
        <v>541.89637898541935</v>
      </c>
      <c r="AF189" s="14">
        <f t="shared" si="66"/>
        <v>0</v>
      </c>
      <c r="AG189">
        <v>6.9078010527555756E-6</v>
      </c>
      <c r="AH189">
        <f t="shared" si="67"/>
        <v>53.425102897599487</v>
      </c>
      <c r="AI189">
        <f t="shared" si="68"/>
        <v>0.30879948428766191</v>
      </c>
      <c r="AJ189">
        <f t="shared" si="69"/>
        <v>18.65438670444923</v>
      </c>
      <c r="AK189">
        <f t="array" ref="AK189">+S189*テーブル2[[#This Row],[F_form]]/(E189*CpFromTP((テーブル2[[#This Row],[Tin]]+テーブル2[[#This Row],[Tf]])/2,テーブル2[[#This Row],[P]])*AI189)</f>
        <v>7.5792120787916657</v>
      </c>
      <c r="AL189">
        <f t="shared" si="70"/>
        <v>1.5871354414155836</v>
      </c>
      <c r="AM189">
        <f t="shared" si="71"/>
        <v>626.57723580032848</v>
      </c>
      <c r="AN189">
        <f t="shared" si="72"/>
        <v>3.7639551919710357E-8</v>
      </c>
      <c r="AO189">
        <f t="shared" si="73"/>
        <v>1.0368756253735595E-7</v>
      </c>
      <c r="AP189">
        <v>2.7912975824504809</v>
      </c>
      <c r="AQ189">
        <f t="shared" si="74"/>
        <v>2.4288576967285169E-5</v>
      </c>
      <c r="AR189">
        <f t="shared" si="75"/>
        <v>3.5057443076464658E-6</v>
      </c>
      <c r="AS189">
        <f t="shared" si="76"/>
        <v>9.4671965075877846</v>
      </c>
      <c r="AT189">
        <f t="shared" si="77"/>
        <v>8.1891641202211218</v>
      </c>
      <c r="AU189">
        <f t="shared" si="78"/>
        <v>2.528809657071307</v>
      </c>
      <c r="AV189">
        <f t="shared" si="79"/>
        <v>0.26248792537917387</v>
      </c>
      <c r="AW189">
        <f t="shared" si="80"/>
        <v>5.397637784014666E-3</v>
      </c>
      <c r="AX189">
        <f t="shared" si="81"/>
        <v>0.26248792507192842</v>
      </c>
      <c r="AY189">
        <f t="shared" si="82"/>
        <v>3.0724545130311753E-10</v>
      </c>
      <c r="AZ189">
        <f t="shared" si="83"/>
        <v>839091.99888317985</v>
      </c>
      <c r="BA189">
        <f t="shared" si="84"/>
        <v>8.7015362030881073E-6</v>
      </c>
      <c r="BB189" s="15">
        <f t="shared" si="85"/>
        <v>5601863.83726029</v>
      </c>
      <c r="BC189" s="20">
        <f t="shared" si="86"/>
        <v>21305.497416540049</v>
      </c>
      <c r="BD189" s="19">
        <f t="shared" si="87"/>
        <v>0.38178074879039042</v>
      </c>
      <c r="BE189" s="15">
        <v>3028406.4</v>
      </c>
      <c r="BF189" s="16">
        <f>テーブル2[[#This Row],[q_P]]/テーブル2[[#This Row],[q_M]]</f>
        <v>1.8497728169047227</v>
      </c>
      <c r="BG189">
        <v>1</v>
      </c>
      <c r="BH189">
        <v>-0.114</v>
      </c>
      <c r="BI189">
        <v>4.5999999999999999E-2</v>
      </c>
      <c r="BJ189">
        <v>5625</v>
      </c>
      <c r="BK189" s="22">
        <v>1</v>
      </c>
      <c r="BL189">
        <f>テーブル2[[#This Row],[Ts]]-テーブル2[[#This Row],[Tin]]</f>
        <v>328.29181383813005</v>
      </c>
      <c r="BM189">
        <f>テーブル2[[#This Row],[q_P]]*0.000001</f>
        <v>5.6018638372602894</v>
      </c>
      <c r="BN189">
        <f>テーブル2[[#This Row],[Tsub]]</f>
        <v>328.29181383813005</v>
      </c>
      <c r="BO189">
        <f>テーブル2[[#This Row],[Fcorr]]</f>
        <v>1</v>
      </c>
      <c r="BP189">
        <f>(テーブル2[[#This Row],[Tsub]]-40)^2</f>
        <v>83112.169926079034</v>
      </c>
      <c r="BQ189">
        <v>1</v>
      </c>
      <c r="BR189">
        <v>0.69596000000000002</v>
      </c>
    </row>
    <row r="190" spans="1:70" x14ac:dyDescent="0.15">
      <c r="A190" s="9" t="s">
        <v>258</v>
      </c>
      <c r="B190">
        <v>17236893.2329209</v>
      </c>
      <c r="C190" s="22">
        <f t="array" ref="C190">TsatFromP(テーブル2[[#This Row],[P]])</f>
        <v>626.57723583796803</v>
      </c>
      <c r="D190">
        <f t="array" ref="D190">RhoGFromP(テーブル2[[#This Row],[P]])</f>
        <v>122.583590976701</v>
      </c>
      <c r="E190">
        <f t="array" ref="E190">RhoFFromP(テーブル2[[#This Row],[P]])</f>
        <v>560.26337686439001</v>
      </c>
      <c r="F190">
        <f t="array" ref="F190">HgFromP(テーブル2[[#This Row],[P]])</f>
        <v>2538890.6454807199</v>
      </c>
      <c r="G190">
        <f t="array" ref="G190">HfFromP(テーブル2[[#This Row],[P]])</f>
        <v>1699798.64659754</v>
      </c>
      <c r="H190">
        <f t="array" ref="H190">MuGFromP(テーブル2[[#This Row],[P]])</f>
        <v>2.4290890628326198E-5</v>
      </c>
      <c r="I190">
        <f t="array" ref="I190">MuFFromP(テーブル2[[#This Row],[P]])</f>
        <v>6.4066005508525405E-5</v>
      </c>
      <c r="J190">
        <f t="array" ref="J190">KfFromP(テーブル2[[#This Row],[P]])</f>
        <v>0.452884810527584</v>
      </c>
      <c r="K190">
        <f t="array" ref="K190">CpFFromP(テーブル2[[#This Row],[P]])</f>
        <v>11219.515372648901</v>
      </c>
      <c r="L190">
        <f t="array" ref="L190">SigmaFromP(テーブル2[[#This Row],[P]])</f>
        <v>3.02925386118211E-3</v>
      </c>
      <c r="M190">
        <v>189</v>
      </c>
      <c r="N190">
        <v>3051.5174999999999</v>
      </c>
      <c r="O190" s="8">
        <f t="shared" si="90"/>
        <v>2.8502295699234246E-6</v>
      </c>
      <c r="P190" s="8">
        <f t="shared" si="91"/>
        <v>5.9847340050885557E-3</v>
      </c>
      <c r="Q190" s="8">
        <v>1.905E-3</v>
      </c>
      <c r="R190">
        <v>0.69596000000000002</v>
      </c>
      <c r="S190" s="15">
        <v>5690958.73046875</v>
      </c>
      <c r="T190">
        <v>297.72296123936098</v>
      </c>
      <c r="U190" s="12">
        <f>+T190+BG190*S190*テーブル2[[#This Row],[Pw]]*R190/(N190*O190*K190)</f>
        <v>540.63260892440439</v>
      </c>
      <c r="V190">
        <v>0.03</v>
      </c>
      <c r="W190" s="8">
        <f t="shared" si="60"/>
        <v>90736.745507356973</v>
      </c>
      <c r="X190">
        <v>2.6652018899410639E-2</v>
      </c>
      <c r="Y190">
        <f t="shared" si="61"/>
        <v>6.1254069043171313</v>
      </c>
      <c r="Z190">
        <f t="shared" si="62"/>
        <v>6.1254069065535965</v>
      </c>
      <c r="AA190">
        <f t="shared" si="63"/>
        <v>-2.2364652352280245E-9</v>
      </c>
      <c r="AB190">
        <f t="shared" si="64"/>
        <v>6.5650387724955883E-6</v>
      </c>
      <c r="AC190">
        <v>749.7000742647823</v>
      </c>
      <c r="AD190">
        <f t="shared" si="65"/>
        <v>2618.6247319272097</v>
      </c>
      <c r="AE190">
        <f>+gettm2(AD190,AC190,AK190,AL190,テーブル2[[#This Row],[Fcorr]])</f>
        <v>540.63261042140516</v>
      </c>
      <c r="AF190" s="14">
        <f t="shared" si="66"/>
        <v>1.4970007669035112E-6</v>
      </c>
      <c r="AG190">
        <v>6.6681128485160114E-6</v>
      </c>
      <c r="AH190">
        <f t="shared" si="67"/>
        <v>55.370649883255879</v>
      </c>
      <c r="AI190">
        <f t="shared" si="68"/>
        <v>0.31437188064968136</v>
      </c>
      <c r="AJ190">
        <f t="shared" si="69"/>
        <v>18.332057974179133</v>
      </c>
      <c r="AK190">
        <f t="array" ref="AK190">+S190*テーブル2[[#This Row],[F_form]]/(E190*CpFromTP((テーブル2[[#This Row],[Tin]]+テーブル2[[#This Row],[Tf]])/2,テーブル2[[#This Row],[P]])*AI190)</f>
        <v>7.5956723949669067</v>
      </c>
      <c r="AL190">
        <f t="shared" si="70"/>
        <v>1.5871354414155836</v>
      </c>
      <c r="AM190">
        <f t="shared" si="71"/>
        <v>626.57723599291603</v>
      </c>
      <c r="AN190">
        <f t="shared" si="72"/>
        <v>-1.5494799754378619E-7</v>
      </c>
      <c r="AO190">
        <f t="shared" si="73"/>
        <v>1.0307407602042313E-7</v>
      </c>
      <c r="AP190">
        <v>2.8129098029560899</v>
      </c>
      <c r="AQ190">
        <f t="shared" si="74"/>
        <v>2.3916781538561846E-5</v>
      </c>
      <c r="AR190">
        <f t="shared" si="75"/>
        <v>3.3855934622682173E-6</v>
      </c>
      <c r="AS190">
        <f t="shared" si="76"/>
        <v>9.3077152467681099</v>
      </c>
      <c r="AT190">
        <f t="shared" si="77"/>
        <v>8.1042182633048618</v>
      </c>
      <c r="AU190">
        <f t="shared" si="78"/>
        <v>2.5477383366306441</v>
      </c>
      <c r="AV190">
        <f t="shared" si="79"/>
        <v>0.26517146632544586</v>
      </c>
      <c r="AW190">
        <f t="shared" si="80"/>
        <v>5.2079821100701491E-3</v>
      </c>
      <c r="AX190">
        <f t="shared" si="81"/>
        <v>0.26517146592365504</v>
      </c>
      <c r="AY190">
        <f t="shared" si="82"/>
        <v>4.0179082283486878E-10</v>
      </c>
      <c r="AZ190">
        <f t="shared" si="83"/>
        <v>839091.99888317985</v>
      </c>
      <c r="BA190">
        <f t="shared" si="84"/>
        <v>8.5025056663486603E-6</v>
      </c>
      <c r="BB190" s="15">
        <f t="shared" si="85"/>
        <v>5699074.5076451264</v>
      </c>
      <c r="BC190" s="20">
        <f t="shared" si="86"/>
        <v>8115.7771763764322</v>
      </c>
      <c r="BD190" s="19">
        <f t="shared" si="87"/>
        <v>0.14260825918356212</v>
      </c>
      <c r="BE190" s="15">
        <v>3028406.4</v>
      </c>
      <c r="BF190" s="16">
        <f>テーブル2[[#This Row],[q_P]]/テーブル2[[#This Row],[q_M]]</f>
        <v>1.8818724288936672</v>
      </c>
      <c r="BG190">
        <v>1</v>
      </c>
      <c r="BH190">
        <v>-0.156</v>
      </c>
      <c r="BI190">
        <v>4.5999999999999999E-2</v>
      </c>
      <c r="BJ190">
        <v>5625</v>
      </c>
      <c r="BK190" s="22">
        <v>1</v>
      </c>
      <c r="BL190">
        <f>テーブル2[[#This Row],[Ts]]-テーブル2[[#This Row],[Tin]]</f>
        <v>328.85427459860705</v>
      </c>
      <c r="BM190">
        <f>テーブル2[[#This Row],[q_P]]*0.000001</f>
        <v>5.6990745076451264</v>
      </c>
      <c r="BN190">
        <f>テーブル2[[#This Row],[Tsub]]</f>
        <v>328.85427459860705</v>
      </c>
      <c r="BO190">
        <f>テーブル2[[#This Row],[Fcorr]]</f>
        <v>1</v>
      </c>
      <c r="BP190">
        <f>(テーブル2[[#This Row],[Tsub]]-40)^2</f>
        <v>83436.791953887485</v>
      </c>
      <c r="BQ190">
        <v>1</v>
      </c>
      <c r="BR190">
        <v>0.69596000000000002</v>
      </c>
    </row>
    <row r="191" spans="1:70" x14ac:dyDescent="0.15">
      <c r="A191" s="9" t="s">
        <v>259</v>
      </c>
      <c r="B191">
        <v>17236893.2329209</v>
      </c>
      <c r="C191" s="22">
        <f t="array" ref="C191">TsatFromP(テーブル2[[#This Row],[P]])</f>
        <v>626.57723583796803</v>
      </c>
      <c r="D191">
        <f t="array" ref="D191">RhoGFromP(テーブル2[[#This Row],[P]])</f>
        <v>122.583590976701</v>
      </c>
      <c r="E191">
        <f t="array" ref="E191">RhoFFromP(テーブル2[[#This Row],[P]])</f>
        <v>560.26337686439001</v>
      </c>
      <c r="F191">
        <f t="array" ref="F191">HgFromP(テーブル2[[#This Row],[P]])</f>
        <v>2538890.6454807199</v>
      </c>
      <c r="G191">
        <f t="array" ref="G191">HfFromP(テーブル2[[#This Row],[P]])</f>
        <v>1699798.64659754</v>
      </c>
      <c r="H191">
        <f t="array" ref="H191">MuGFromP(テーブル2[[#This Row],[P]])</f>
        <v>2.4290890628326198E-5</v>
      </c>
      <c r="I191">
        <f t="array" ref="I191">MuFFromP(テーブル2[[#This Row],[P]])</f>
        <v>6.4066005508525405E-5</v>
      </c>
      <c r="J191">
        <f t="array" ref="J191">KfFromP(テーブル2[[#This Row],[P]])</f>
        <v>0.452884810527584</v>
      </c>
      <c r="K191">
        <f t="array" ref="K191">CpFFromP(テーブル2[[#This Row],[P]])</f>
        <v>11219.515372648901</v>
      </c>
      <c r="L191">
        <f t="array" ref="L191">SigmaFromP(テーブル2[[#This Row],[P]])</f>
        <v>3.02925386118211E-3</v>
      </c>
      <c r="M191">
        <v>190</v>
      </c>
      <c r="N191">
        <v>3607.5718000000002</v>
      </c>
      <c r="O191" s="8">
        <f t="shared" si="90"/>
        <v>2.8502295699234246E-6</v>
      </c>
      <c r="P191" s="8">
        <f t="shared" si="91"/>
        <v>5.9847340050885557E-3</v>
      </c>
      <c r="Q191" s="8">
        <v>1.905E-3</v>
      </c>
      <c r="R191">
        <v>0.69596000000000002</v>
      </c>
      <c r="S191" s="15">
        <v>6458440.91796875</v>
      </c>
      <c r="T191">
        <v>299.91649569119198</v>
      </c>
      <c r="U191" s="12">
        <f>+T191+BG191*S191*テーブル2[[#This Row],[Pw]]*R191/(N191*O191*K191)</f>
        <v>533.09467146412453</v>
      </c>
      <c r="V191">
        <v>0.03</v>
      </c>
      <c r="W191" s="8">
        <f t="shared" si="60"/>
        <v>107270.99691091981</v>
      </c>
      <c r="X191">
        <v>2.4925881209394141E-2</v>
      </c>
      <c r="Y191">
        <f t="shared" si="61"/>
        <v>6.3339515865322156</v>
      </c>
      <c r="Z191">
        <f t="shared" si="62"/>
        <v>6.3339516227231965</v>
      </c>
      <c r="AA191">
        <f t="shared" si="63"/>
        <v>-3.6190980878814116E-8</v>
      </c>
      <c r="AB191">
        <f t="shared" si="64"/>
        <v>5.0224850177624719E-6</v>
      </c>
      <c r="AC191">
        <v>743.45448910430184</v>
      </c>
      <c r="AD191">
        <f t="shared" si="65"/>
        <v>2993.8675842437615</v>
      </c>
      <c r="AE191">
        <f>+gettm2(AD191,AC191,AK191,AL191,テーブル2[[#This Row],[Fcorr]])</f>
        <v>533.09467289866939</v>
      </c>
      <c r="AF191" s="14">
        <f t="shared" si="66"/>
        <v>1.4345448562380625E-6</v>
      </c>
      <c r="AG191">
        <v>5.1214787246236224E-6</v>
      </c>
      <c r="AH191">
        <f t="shared" si="67"/>
        <v>72.376614774611681</v>
      </c>
      <c r="AI191">
        <f t="shared" si="68"/>
        <v>0.35942064221708875</v>
      </c>
      <c r="AJ191">
        <f t="shared" si="69"/>
        <v>16.097668385348815</v>
      </c>
      <c r="AK191">
        <f t="array" ref="AK191">+S191*テーブル2[[#This Row],[F_form]]/(E191*CpFromTP((テーブル2[[#This Row],[Tin]]+テーブル2[[#This Row],[Tf]])/2,テーブル2[[#This Row],[P]])*AI191)</f>
        <v>7.5496133980388613</v>
      </c>
      <c r="AL191">
        <f t="shared" si="70"/>
        <v>1.5871354414155836</v>
      </c>
      <c r="AM191">
        <f t="shared" si="71"/>
        <v>626.57723575488569</v>
      </c>
      <c r="AN191">
        <f t="shared" si="72"/>
        <v>8.3082341006956995E-8</v>
      </c>
      <c r="AO191">
        <f t="shared" si="73"/>
        <v>9.899370686115051E-8</v>
      </c>
      <c r="AP191">
        <v>2.9729312272618471</v>
      </c>
      <c r="AQ191">
        <f t="shared" si="74"/>
        <v>2.1411378270539368E-5</v>
      </c>
      <c r="AR191">
        <f t="shared" si="75"/>
        <v>2.6102362157423865E-6</v>
      </c>
      <c r="AS191">
        <f t="shared" si="76"/>
        <v>8.2044111218165217</v>
      </c>
      <c r="AT191">
        <f t="shared" si="77"/>
        <v>7.4733597565819494</v>
      </c>
      <c r="AU191">
        <f t="shared" si="78"/>
        <v>2.6860797632300302</v>
      </c>
      <c r="AV191">
        <f t="shared" si="79"/>
        <v>0.28685146403181694</v>
      </c>
      <c r="AW191">
        <f t="shared" si="80"/>
        <v>3.9842890540399906E-3</v>
      </c>
      <c r="AX191">
        <f t="shared" si="81"/>
        <v>0.28685145425906278</v>
      </c>
      <c r="AY191">
        <f t="shared" si="82"/>
        <v>9.772754161474495E-9</v>
      </c>
      <c r="AZ191">
        <f t="shared" si="83"/>
        <v>839091.99888317985</v>
      </c>
      <c r="BA191">
        <f t="shared" si="84"/>
        <v>7.2021101847888517E-6</v>
      </c>
      <c r="BB191" s="15">
        <f t="shared" si="85"/>
        <v>6461742.390108306</v>
      </c>
      <c r="BC191" s="20">
        <f t="shared" si="86"/>
        <v>3301.4721395559609</v>
      </c>
      <c r="BD191" s="19">
        <f t="shared" si="87"/>
        <v>5.1118717063286384E-2</v>
      </c>
      <c r="BE191" s="15">
        <v>3722416.2</v>
      </c>
      <c r="BF191" s="16">
        <f>テーブル2[[#This Row],[q_P]]/テーブル2[[#This Row],[q_M]]</f>
        <v>1.7359000291553388</v>
      </c>
      <c r="BG191">
        <v>1</v>
      </c>
      <c r="BH191">
        <v>-7.5999999999999998E-2</v>
      </c>
      <c r="BI191">
        <v>4.5999999999999999E-2</v>
      </c>
      <c r="BJ191">
        <v>5625</v>
      </c>
      <c r="BK191" s="22">
        <v>1</v>
      </c>
      <c r="BL191">
        <f>テーブル2[[#This Row],[Ts]]-テーブル2[[#This Row],[Tin]]</f>
        <v>326.66074014677605</v>
      </c>
      <c r="BM191">
        <f>テーブル2[[#This Row],[q_P]]*0.000001</f>
        <v>6.4617423901083058</v>
      </c>
      <c r="BN191">
        <f>テーブル2[[#This Row],[Tsub]]</f>
        <v>326.66074014677605</v>
      </c>
      <c r="BO191">
        <f>テーブル2[[#This Row],[Fcorr]]</f>
        <v>1</v>
      </c>
      <c r="BP191">
        <f>(テーブル2[[#This Row],[Tsub]]-40)^2</f>
        <v>82174.379941497464</v>
      </c>
      <c r="BQ191">
        <v>1</v>
      </c>
      <c r="BR191">
        <v>0.69596000000000002</v>
      </c>
    </row>
    <row r="192" spans="1:70" x14ac:dyDescent="0.15">
      <c r="A192" s="9" t="s">
        <v>260</v>
      </c>
      <c r="B192">
        <v>17236893.2329209</v>
      </c>
      <c r="C192" s="22">
        <f t="array" ref="C192">TsatFromP(テーブル2[[#This Row],[P]])</f>
        <v>626.57723583796803</v>
      </c>
      <c r="D192">
        <f t="array" ref="D192">RhoGFromP(テーブル2[[#This Row],[P]])</f>
        <v>122.583590976701</v>
      </c>
      <c r="E192">
        <f t="array" ref="E192">RhoFFromP(テーブル2[[#This Row],[P]])</f>
        <v>560.26337686439001</v>
      </c>
      <c r="F192">
        <f t="array" ref="F192">HgFromP(テーブル2[[#This Row],[P]])</f>
        <v>2538890.6454807199</v>
      </c>
      <c r="G192">
        <f t="array" ref="G192">HfFromP(テーブル2[[#This Row],[P]])</f>
        <v>1699798.64659754</v>
      </c>
      <c r="H192">
        <f t="array" ref="H192">MuGFromP(テーブル2[[#This Row],[P]])</f>
        <v>2.4290890628326198E-5</v>
      </c>
      <c r="I192">
        <f t="array" ref="I192">MuFFromP(テーブル2[[#This Row],[P]])</f>
        <v>6.4066005508525405E-5</v>
      </c>
      <c r="J192">
        <f t="array" ref="J192">KfFromP(テーブル2[[#This Row],[P]])</f>
        <v>0.452884810527584</v>
      </c>
      <c r="K192">
        <f t="array" ref="K192">CpFFromP(テーブル2[[#This Row],[P]])</f>
        <v>11219.515372648901</v>
      </c>
      <c r="L192">
        <f t="array" ref="L192">SigmaFromP(テーブル2[[#This Row],[P]])</f>
        <v>3.02925386118211E-3</v>
      </c>
      <c r="M192">
        <v>191</v>
      </c>
      <c r="N192">
        <v>3648.2586999999999</v>
      </c>
      <c r="O192" s="8">
        <f t="shared" si="90"/>
        <v>2.8502295699234246E-6</v>
      </c>
      <c r="P192" s="8">
        <f t="shared" si="91"/>
        <v>5.9847340050885557E-3</v>
      </c>
      <c r="Q192" s="8">
        <v>1.905E-3</v>
      </c>
      <c r="R192">
        <v>0.69596000000000002</v>
      </c>
      <c r="S192" s="15">
        <v>6580462.40234375</v>
      </c>
      <c r="T192">
        <v>296.59800912860601</v>
      </c>
      <c r="U192" s="12">
        <f>+T192+BG192*S192*テーブル2[[#This Row],[Pw]]*R192/(N192*O192*K192)</f>
        <v>531.53206594622407</v>
      </c>
      <c r="V192">
        <v>0.03</v>
      </c>
      <c r="W192" s="8">
        <f t="shared" si="60"/>
        <v>108480.82018435124</v>
      </c>
      <c r="X192">
        <v>2.481647567960062E-2</v>
      </c>
      <c r="Y192">
        <f t="shared" si="61"/>
        <v>6.3478981126908902</v>
      </c>
      <c r="Z192">
        <f t="shared" si="62"/>
        <v>6.3478981428997647</v>
      </c>
      <c r="AA192">
        <f t="shared" si="63"/>
        <v>-3.0208874512993589E-8</v>
      </c>
      <c r="AB192">
        <f t="shared" si="64"/>
        <v>4.9327349369830435E-6</v>
      </c>
      <c r="AC192">
        <v>744.36519528989686</v>
      </c>
      <c r="AD192">
        <f t="shared" si="65"/>
        <v>3020.981205876536</v>
      </c>
      <c r="AE192">
        <f>+gettm2(AD192,AC192,AK192,AL192,テーブル2[[#This Row],[Fcorr]])</f>
        <v>531.53206594622395</v>
      </c>
      <c r="AF192" s="14">
        <f t="shared" si="66"/>
        <v>0</v>
      </c>
      <c r="AG192">
        <v>5.0325441469783717E-6</v>
      </c>
      <c r="AH192">
        <f t="shared" si="67"/>
        <v>73.693492147012307</v>
      </c>
      <c r="AI192">
        <f t="shared" si="68"/>
        <v>0.36267569442827213</v>
      </c>
      <c r="AJ192">
        <f t="shared" si="69"/>
        <v>15.961387176656824</v>
      </c>
      <c r="AK192">
        <f t="array" ref="AK192">+S192*テーブル2[[#This Row],[F_form]]/(E192*CpFromTP((テーブル2[[#This Row],[Tin]]+テーブル2[[#This Row],[Tf]])/2,テーブル2[[#This Row],[P]])*AI192)</f>
        <v>7.6321306002263558</v>
      </c>
      <c r="AL192">
        <f t="shared" si="70"/>
        <v>1.5871354414155836</v>
      </c>
      <c r="AM192">
        <f t="shared" si="71"/>
        <v>626.57723576589979</v>
      </c>
      <c r="AN192">
        <f t="shared" si="72"/>
        <v>7.2068246481649112E-8</v>
      </c>
      <c r="AO192">
        <f t="shared" si="73"/>
        <v>9.9809209995328228E-8</v>
      </c>
      <c r="AP192">
        <v>2.984237150321718</v>
      </c>
      <c r="AQ192">
        <f t="shared" si="74"/>
        <v>2.1249449559018832E-5</v>
      </c>
      <c r="AR192">
        <f t="shared" si="75"/>
        <v>2.56617667848685E-6</v>
      </c>
      <c r="AS192">
        <f t="shared" si="76"/>
        <v>8.1389727209107061</v>
      </c>
      <c r="AT192">
        <f t="shared" si="77"/>
        <v>7.4333198534403291</v>
      </c>
      <c r="AU192">
        <f t="shared" si="78"/>
        <v>2.6958844397539332</v>
      </c>
      <c r="AV192">
        <f t="shared" si="79"/>
        <v>0.28835271056778478</v>
      </c>
      <c r="AW192">
        <f t="shared" si="80"/>
        <v>3.9130911782506101E-3</v>
      </c>
      <c r="AX192">
        <f t="shared" si="81"/>
        <v>0.28835269958340237</v>
      </c>
      <c r="AY192">
        <f t="shared" si="82"/>
        <v>1.0984382403655957E-8</v>
      </c>
      <c r="AZ192">
        <f t="shared" si="83"/>
        <v>839091.99888317985</v>
      </c>
      <c r="BA192">
        <f t="shared" si="84"/>
        <v>7.1205633093630034E-6</v>
      </c>
      <c r="BB192" s="15">
        <f t="shared" si="85"/>
        <v>6589585.2436905373</v>
      </c>
      <c r="BC192" s="20">
        <f t="shared" si="86"/>
        <v>9122.8413467872888</v>
      </c>
      <c r="BD192" s="19">
        <f t="shared" si="87"/>
        <v>0.1386352628280047</v>
      </c>
      <c r="BE192" s="15">
        <v>3753962.1</v>
      </c>
      <c r="BF192" s="16">
        <f>テーブル2[[#This Row],[q_P]]/テーブル2[[#This Row],[q_M]]</f>
        <v>1.7553680799522555</v>
      </c>
      <c r="BG192">
        <v>1</v>
      </c>
      <c r="BH192">
        <v>-9.7000000000000003E-2</v>
      </c>
      <c r="BI192">
        <v>4.5999999999999999E-2</v>
      </c>
      <c r="BJ192">
        <v>5625</v>
      </c>
      <c r="BK192" s="22">
        <v>1</v>
      </c>
      <c r="BL192">
        <f>テーブル2[[#This Row],[Ts]]-テーブル2[[#This Row],[Tin]]</f>
        <v>329.97922670936202</v>
      </c>
      <c r="BM192">
        <f>テーブル2[[#This Row],[q_P]]*0.000001</f>
        <v>6.5895852436905367</v>
      </c>
      <c r="BN192">
        <f>テーブル2[[#This Row],[Tsub]]</f>
        <v>329.97922670936202</v>
      </c>
      <c r="BO192">
        <f>テーブル2[[#This Row],[Fcorr]]</f>
        <v>1</v>
      </c>
      <c r="BP192">
        <f>(テーブル2[[#This Row],[Tsub]]-40)^2</f>
        <v>84087.951922959575</v>
      </c>
      <c r="BQ192">
        <v>1</v>
      </c>
      <c r="BR192">
        <v>0.69596000000000002</v>
      </c>
    </row>
    <row r="193" spans="1:70" x14ac:dyDescent="0.15">
      <c r="A193" s="9" t="s">
        <v>261</v>
      </c>
      <c r="B193">
        <v>17236893.2329209</v>
      </c>
      <c r="C193" s="22">
        <f t="array" ref="C193">TsatFromP(テーブル2[[#This Row],[P]])</f>
        <v>626.57723583796803</v>
      </c>
      <c r="D193">
        <f t="array" ref="D193">RhoGFromP(テーブル2[[#This Row],[P]])</f>
        <v>122.583590976701</v>
      </c>
      <c r="E193">
        <f t="array" ref="E193">RhoFFromP(テーブル2[[#This Row],[P]])</f>
        <v>560.26337686439001</v>
      </c>
      <c r="F193">
        <f t="array" ref="F193">HgFromP(テーブル2[[#This Row],[P]])</f>
        <v>2538890.6454807199</v>
      </c>
      <c r="G193">
        <f t="array" ref="G193">HfFromP(テーブル2[[#This Row],[P]])</f>
        <v>1699798.64659754</v>
      </c>
      <c r="H193">
        <f t="array" ref="H193">MuGFromP(テーブル2[[#This Row],[P]])</f>
        <v>2.4290890628326198E-5</v>
      </c>
      <c r="I193">
        <f t="array" ref="I193">MuFFromP(テーブル2[[#This Row],[P]])</f>
        <v>6.4066005508525405E-5</v>
      </c>
      <c r="J193">
        <f t="array" ref="J193">KfFromP(テーブル2[[#This Row],[P]])</f>
        <v>0.452884810527584</v>
      </c>
      <c r="K193">
        <f t="array" ref="K193">CpFFromP(テーブル2[[#This Row],[P]])</f>
        <v>11219.515372648901</v>
      </c>
      <c r="L193">
        <f t="array" ref="L193">SigmaFromP(テーブル2[[#This Row],[P]])</f>
        <v>3.02925386118211E-3</v>
      </c>
      <c r="M193">
        <v>192</v>
      </c>
      <c r="N193">
        <v>3661.8209999999999</v>
      </c>
      <c r="O193" s="8">
        <f t="shared" si="90"/>
        <v>2.8502295699234246E-6</v>
      </c>
      <c r="P193" s="8">
        <f t="shared" si="91"/>
        <v>5.9847340050885557E-3</v>
      </c>
      <c r="Q193" s="8">
        <v>1.905E-3</v>
      </c>
      <c r="R193">
        <v>0.69596000000000002</v>
      </c>
      <c r="S193" s="15">
        <v>6556070.21484375</v>
      </c>
      <c r="T193">
        <v>298.84787197440301</v>
      </c>
      <c r="U193" s="12">
        <f>+T193+BG193*S193*テーブル2[[#This Row],[Pw]]*R193/(N193*O193*K193)</f>
        <v>532.04418410014114</v>
      </c>
      <c r="V193">
        <v>0.03</v>
      </c>
      <c r="W193" s="8">
        <f t="shared" si="60"/>
        <v>108884.09460882838</v>
      </c>
      <c r="X193">
        <v>2.4780443082083239E-2</v>
      </c>
      <c r="Y193">
        <f t="shared" si="61"/>
        <v>6.352511592953789</v>
      </c>
      <c r="Z193">
        <f t="shared" si="62"/>
        <v>6.35251162124099</v>
      </c>
      <c r="AA193">
        <f t="shared" si="63"/>
        <v>-2.8287201025989361E-8</v>
      </c>
      <c r="AB193">
        <f t="shared" si="64"/>
        <v>4.9033833539040133E-6</v>
      </c>
      <c r="AC193">
        <v>743.37492086809175</v>
      </c>
      <c r="AD193">
        <f t="shared" si="65"/>
        <v>3030.0094905242086</v>
      </c>
      <c r="AE193">
        <f>+gettm2(AD193,AC193,AK193,AL193,テーブル2[[#This Row],[Fcorr]])</f>
        <v>532.04418410014091</v>
      </c>
      <c r="AF193" s="14">
        <f t="shared" si="66"/>
        <v>0</v>
      </c>
      <c r="AG193">
        <v>5.0026834255610364E-6</v>
      </c>
      <c r="AH193">
        <f t="shared" si="67"/>
        <v>74.134620343814376</v>
      </c>
      <c r="AI193">
        <f t="shared" si="68"/>
        <v>0.36375956062304399</v>
      </c>
      <c r="AJ193">
        <f t="shared" si="69"/>
        <v>15.914097908176482</v>
      </c>
      <c r="AK193">
        <f t="array" ref="AK193">+S193*テーブル2[[#This Row],[F_form]]/(E193*CpFromTP((テーブル2[[#This Row],[Tin]]+テーブル2[[#This Row],[Tf]])/2,テーブル2[[#This Row],[P]])*AI193)</f>
        <v>7.5762043393476137</v>
      </c>
      <c r="AL193">
        <f t="shared" si="70"/>
        <v>1.5871354414155836</v>
      </c>
      <c r="AM193">
        <f t="shared" si="71"/>
        <v>626.57723567066819</v>
      </c>
      <c r="AN193">
        <f t="shared" si="72"/>
        <v>1.6729984508856433E-7</v>
      </c>
      <c r="AO193">
        <f t="shared" si="73"/>
        <v>9.9300071657023117E-8</v>
      </c>
      <c r="AP193">
        <v>2.9874751695952142</v>
      </c>
      <c r="AQ193">
        <f t="shared" si="74"/>
        <v>2.1203411459922706E-5</v>
      </c>
      <c r="AR193">
        <f t="shared" si="75"/>
        <v>2.5509917486090298E-6</v>
      </c>
      <c r="AS193">
        <f t="shared" si="76"/>
        <v>8.1149912950491405</v>
      </c>
      <c r="AT193">
        <f t="shared" si="77"/>
        <v>7.418565641335837</v>
      </c>
      <c r="AU193">
        <f t="shared" si="78"/>
        <v>2.6985741781455346</v>
      </c>
      <c r="AV193">
        <f t="shared" si="79"/>
        <v>0.28890099144967962</v>
      </c>
      <c r="AW193">
        <f t="shared" si="80"/>
        <v>3.8898068497226121E-3</v>
      </c>
      <c r="AX193">
        <f t="shared" si="81"/>
        <v>0.28890098011220278</v>
      </c>
      <c r="AY193">
        <f t="shared" si="82"/>
        <v>1.1337476846229322E-8</v>
      </c>
      <c r="AZ193">
        <f t="shared" si="83"/>
        <v>839091.99888317985</v>
      </c>
      <c r="BA193">
        <f t="shared" si="84"/>
        <v>7.0974352107487632E-6</v>
      </c>
      <c r="BB193" s="15">
        <f t="shared" si="85"/>
        <v>6577334.6594030866</v>
      </c>
      <c r="BC193" s="20">
        <f t="shared" si="86"/>
        <v>21264.44455933664</v>
      </c>
      <c r="BD193" s="19">
        <f t="shared" si="87"/>
        <v>0.32434741945245366</v>
      </c>
      <c r="BE193" s="15">
        <v>3659324.4</v>
      </c>
      <c r="BF193" s="16">
        <f>テーブル2[[#This Row],[q_P]]/テーブル2[[#This Row],[q_M]]</f>
        <v>1.7974177581531408</v>
      </c>
      <c r="BG193">
        <v>1</v>
      </c>
      <c r="BH193">
        <v>-0.13800000000000001</v>
      </c>
      <c r="BI193">
        <v>4.5999999999999999E-2</v>
      </c>
      <c r="BJ193">
        <v>5625</v>
      </c>
      <c r="BK193" s="22">
        <v>1</v>
      </c>
      <c r="BL193">
        <f>テーブル2[[#This Row],[Ts]]-テーブル2[[#This Row],[Tin]]</f>
        <v>327.72936386356503</v>
      </c>
      <c r="BM193">
        <f>テーブル2[[#This Row],[q_P]]*0.000001</f>
        <v>6.5773346594030864</v>
      </c>
      <c r="BN193">
        <f>テーブル2[[#This Row],[Tsub]]</f>
        <v>327.72936386356503</v>
      </c>
      <c r="BO193">
        <f>テーブル2[[#This Row],[Fcorr]]</f>
        <v>1</v>
      </c>
      <c r="BP193">
        <f>(テーブル2[[#This Row],[Tsub]]-40)^2</f>
        <v>82788.186829331797</v>
      </c>
      <c r="BQ193">
        <v>1</v>
      </c>
      <c r="BR193">
        <v>0.69596000000000002</v>
      </c>
    </row>
    <row r="194" spans="1:70" x14ac:dyDescent="0.15">
      <c r="A194" s="9" t="s">
        <v>262</v>
      </c>
      <c r="B194">
        <v>18271106.826896202</v>
      </c>
      <c r="C194" s="22">
        <f t="array" ref="C194">TsatFromP(テーブル2[[#This Row],[P]])</f>
        <v>631.29983468618298</v>
      </c>
      <c r="D194">
        <f t="array" ref="D194">RhoGFromP(テーブル2[[#This Row],[P]])</f>
        <v>138.52318499804184</v>
      </c>
      <c r="E194">
        <f t="array" ref="E194">RhoFFromP(テーブル2[[#This Row],[P]])</f>
        <v>536.33561616438169</v>
      </c>
      <c r="F194">
        <f t="array" ref="F194">HgFromP(テーブル2[[#This Row],[P]])</f>
        <v>2495937.2378505482</v>
      </c>
      <c r="G194">
        <f t="array" ref="G194">HfFromP(テーブル2[[#This Row],[P]])</f>
        <v>1744945.8746917357</v>
      </c>
      <c r="H194">
        <f t="array" ref="H194">MuGFromP(テーブル2[[#This Row],[P]])</f>
        <v>2.5300042817668121E-5</v>
      </c>
      <c r="I194">
        <f t="array" ref="I194">MuFFromP(テーブル2[[#This Row],[P]])</f>
        <v>6.1314866074765293E-5</v>
      </c>
      <c r="J194">
        <f t="array" ref="J194">KfFromP(テーブル2[[#This Row],[P]])</f>
        <v>0.44312471558937161</v>
      </c>
      <c r="K194">
        <f t="array" ref="K194">CpFFromP(テーブル2[[#This Row],[P]])</f>
        <v>14125.954358631279</v>
      </c>
      <c r="L194">
        <f t="array" ref="L194">SigmaFromP(テーブル2[[#This Row],[P]])</f>
        <v>2.2091942860543502E-3</v>
      </c>
      <c r="M194">
        <v>193</v>
      </c>
      <c r="N194">
        <v>2739.5846000000001</v>
      </c>
      <c r="O194" s="8">
        <f t="shared" si="90"/>
        <v>7.0553949389535604E-6</v>
      </c>
      <c r="P194" s="8">
        <f t="shared" si="91"/>
        <v>9.415981501339328E-3</v>
      </c>
      <c r="Q194" s="8">
        <v>2.9972000000000002E-3</v>
      </c>
      <c r="R194">
        <v>0.150114</v>
      </c>
      <c r="S194" s="15">
        <v>1151168.84765625</v>
      </c>
      <c r="T194">
        <v>612.68304621214202</v>
      </c>
      <c r="U194" s="12">
        <f>+T194+BG194*S194*テーブル2[[#This Row],[Pw]]*R194/(N194*O194*K194)</f>
        <v>618.64243855207246</v>
      </c>
      <c r="V194">
        <v>0.03</v>
      </c>
      <c r="W194" s="8">
        <f t="shared" ref="W194:W225" si="92">+N194*Q194/I194</f>
        <v>133916.67451589441</v>
      </c>
      <c r="X194">
        <v>2.358706090902573E-2</v>
      </c>
      <c r="Y194">
        <f t="shared" ref="Y194:Y225" si="93">IF(X194&gt;0,1/X194^0.5,1)</f>
        <v>6.511230738825815</v>
      </c>
      <c r="Z194">
        <f t="shared" ref="Z194:Z225" si="94">IF(X194&gt;0,1.14-2*LOG((0.72*L194*E194)/(X194*Q194*N194^2)+9.35/(W194*X194^0.5)),0)</f>
        <v>6.5112307565456247</v>
      </c>
      <c r="AA194">
        <f t="shared" ref="AA194:AA225" si="95">+Y194-Z194</f>
        <v>-1.7719809619620719E-8</v>
      </c>
      <c r="AB194">
        <f t="shared" ref="AB194:AB225" si="96">32/X194*L194*V194*E194/N194^2</f>
        <v>6.425375621253804E-6</v>
      </c>
      <c r="AC194">
        <v>648.62974004930015</v>
      </c>
      <c r="AD194">
        <f t="shared" ref="AD194:AD225" si="97">+Q194/2*AI194/I194*E194</f>
        <v>3635.7715024401423</v>
      </c>
      <c r="AE194">
        <f>+gettm2(AD194,AC194,AK194,AL194,テーブル2[[#This Row],[Fcorr]])</f>
        <v>618.64243903836984</v>
      </c>
      <c r="AF194" s="14">
        <f t="shared" ref="AF194:AF225" si="98">+AE194-U194</f>
        <v>4.8629738103045383E-7</v>
      </c>
      <c r="AG194">
        <v>6.4566217237366081E-6</v>
      </c>
      <c r="AH194">
        <f t="shared" ref="AH194:AH225" si="99">+X194*N194^2/(8*E194)</f>
        <v>41.258804146735869</v>
      </c>
      <c r="AI194">
        <f t="shared" ref="AI194:AI225" si="100">+(AH194/E194)^0.5</f>
        <v>0.27735755430529702</v>
      </c>
      <c r="AJ194">
        <f t="shared" ref="AJ194:AJ225" si="101">+AG194*AI194/I194*E194</f>
        <v>15.664487698650413</v>
      </c>
      <c r="AK194">
        <f t="array" ref="AK194">+S194*テーブル2[[#This Row],[F_form]]/(E194*CpFromTP((テーブル2[[#This Row],[Tin]]+テーブル2[[#This Row],[Tf]])/2,テーブル2[[#This Row],[P]])*AI194)</f>
        <v>0.96350317887648684</v>
      </c>
      <c r="AL194">
        <f t="shared" ref="AL194:AL225" si="102">+K194*I194/J194</f>
        <v>1.9545987150045083</v>
      </c>
      <c r="AM194">
        <f t="shared" ref="AM194:AM225" si="103">+gettyp(AC194,AJ194,AK194,AL194)</f>
        <v>631.29983470218883</v>
      </c>
      <c r="AN194">
        <f t="shared" ref="AN194:AN225" si="104">+C194-AM194</f>
        <v>-1.6005856195988599E-8</v>
      </c>
      <c r="AO194">
        <f t="shared" ref="AO194:AO225" si="105">+AG194-AB194</f>
        <v>3.1246102482804082E-8</v>
      </c>
      <c r="AP194">
        <v>2.265618810104193</v>
      </c>
      <c r="AQ194">
        <f t="shared" ref="AQ194:AQ225" si="106">2*PI()*L194*(D194+E194)/(D194*E194*AP194^2)</f>
        <v>2.4563706858024477E-5</v>
      </c>
      <c r="AR194">
        <f t="shared" ref="AR194:AR225" si="107">+AO194+AB194/2</f>
        <v>3.2439339131097061E-6</v>
      </c>
      <c r="AS194">
        <f t="shared" ref="AS194:AS225" si="108">+AR194*AI194/I194*E194</f>
        <v>7.8701471220361698</v>
      </c>
      <c r="AT194">
        <f t="shared" ref="AT194:AT225" si="109">+getublp(AS194)</f>
        <v>7.2653837814356539</v>
      </c>
      <c r="AU194">
        <f t="shared" ref="AU194:AU225" si="110">+AT194*AI194</f>
        <v>2.0151090767083635</v>
      </c>
      <c r="AV194">
        <f t="shared" ref="AV194:AV225" si="111">+AP194-AU194</f>
        <v>0.25050973339582949</v>
      </c>
      <c r="AW194">
        <f t="shared" ref="AW194:AW225" si="112">2/3*AB194/(L194/(9.8*(E194-D194)))^0.5</f>
        <v>5.6903963802360158E-3</v>
      </c>
      <c r="AX194">
        <f t="shared" ref="AX194:AX225" si="113">+(2*AQ194*9.8*(E194-D194)/(E194*AW194))^0.5</f>
        <v>0.25050972202862032</v>
      </c>
      <c r="AY194">
        <f t="shared" ref="AY194:AY225" si="114">+AV194-AX194</f>
        <v>1.1367209173940296E-8</v>
      </c>
      <c r="AZ194">
        <f t="shared" ref="AZ194:AZ225" si="115">+F194-G194</f>
        <v>750991.36315881251</v>
      </c>
      <c r="BA194">
        <f t="shared" ref="BA194:BA225" si="116">+AQ194/AP194</f>
        <v>1.0841941613688678E-5</v>
      </c>
      <c r="BB194" s="15">
        <f t="shared" ref="BB194:BB225" si="117">+E194*AO194*AZ194/BA194</f>
        <v>1160807.9371140187</v>
      </c>
      <c r="BC194" s="20">
        <f t="shared" ref="BC194:BC225" si="118">BB194-S194</f>
        <v>9639.0894577687141</v>
      </c>
      <c r="BD194" s="19">
        <f t="shared" ref="BD194:BD225" si="119">+(BB194-S194)/S194*100</f>
        <v>0.83733063810696851</v>
      </c>
      <c r="BE194" s="15">
        <v>1722406.14</v>
      </c>
      <c r="BF194" s="16">
        <f>テーブル2[[#This Row],[q_P]]/テーブル2[[#This Row],[q_M]]</f>
        <v>0.67394554057617262</v>
      </c>
      <c r="BG194">
        <v>1</v>
      </c>
      <c r="BH194">
        <v>-5.7000000000000002E-2</v>
      </c>
      <c r="BI194">
        <v>4.5999999999999999E-2</v>
      </c>
      <c r="BJ194">
        <v>5625</v>
      </c>
      <c r="BK194" s="22">
        <v>1</v>
      </c>
      <c r="BL194">
        <f>テーブル2[[#This Row],[Ts]]-テーブル2[[#This Row],[Tin]]</f>
        <v>18.616788474040959</v>
      </c>
      <c r="BM194">
        <f>テーブル2[[#This Row],[q_P]]*0.000001</f>
        <v>1.1608079371140188</v>
      </c>
      <c r="BN194">
        <f>テーブル2[[#This Row],[Tsub]]</f>
        <v>18.616788474040959</v>
      </c>
      <c r="BO194">
        <f>テーブル2[[#This Row],[Fcorr]]</f>
        <v>1</v>
      </c>
      <c r="BP194">
        <f>(テーブル2[[#This Row],[Tsub]]-40)^2</f>
        <v>457.24173516390755</v>
      </c>
      <c r="BQ194">
        <v>1</v>
      </c>
      <c r="BR194">
        <v>0.150114</v>
      </c>
    </row>
    <row r="195" spans="1:70" x14ac:dyDescent="0.15">
      <c r="A195" s="9" t="s">
        <v>263</v>
      </c>
      <c r="B195">
        <v>18271106.826896202</v>
      </c>
      <c r="C195" s="22">
        <f t="array" ref="C195">TsatFromP(テーブル2[[#This Row],[P]])</f>
        <v>631.29983468618298</v>
      </c>
      <c r="D195">
        <f t="array" ref="D195">RhoGFromP(テーブル2[[#This Row],[P]])</f>
        <v>138.52318499804184</v>
      </c>
      <c r="E195">
        <f t="array" ref="E195">RhoFFromP(テーブル2[[#This Row],[P]])</f>
        <v>536.33561616438169</v>
      </c>
      <c r="F195">
        <f t="array" ref="F195">HgFromP(テーブル2[[#This Row],[P]])</f>
        <v>2495937.2378505482</v>
      </c>
      <c r="G195">
        <f t="array" ref="G195">HfFromP(テーブル2[[#This Row],[P]])</f>
        <v>1744945.8746917357</v>
      </c>
      <c r="H195">
        <f t="array" ref="H195">MuGFromP(テーブル2[[#This Row],[P]])</f>
        <v>2.5300042817668121E-5</v>
      </c>
      <c r="I195">
        <f t="array" ref="I195">MuFFromP(テーブル2[[#This Row],[P]])</f>
        <v>6.1314866074765293E-5</v>
      </c>
      <c r="J195">
        <f t="array" ref="J195">KfFromP(テーブル2[[#This Row],[P]])</f>
        <v>0.44312471558937161</v>
      </c>
      <c r="K195">
        <f t="array" ref="K195">CpFFromP(テーブル2[[#This Row],[P]])</f>
        <v>14125.954358631279</v>
      </c>
      <c r="L195">
        <f t="array" ref="L195">SigmaFromP(テーブル2[[#This Row],[P]])</f>
        <v>2.2091942860543502E-3</v>
      </c>
      <c r="M195">
        <v>194</v>
      </c>
      <c r="N195">
        <v>2753.1469000000002</v>
      </c>
      <c r="O195" s="8">
        <f t="shared" si="90"/>
        <v>7.0553949389535604E-6</v>
      </c>
      <c r="P195" s="8">
        <f t="shared" si="91"/>
        <v>9.415981501339328E-3</v>
      </c>
      <c r="Q195" s="8">
        <v>2.9972000000000002E-3</v>
      </c>
      <c r="R195">
        <v>0.150114</v>
      </c>
      <c r="S195" s="15">
        <v>1154111.62109375</v>
      </c>
      <c r="T195">
        <v>612.68304621214202</v>
      </c>
      <c r="U195" s="12">
        <f>+T195+BG195*S195*テーブル2[[#This Row],[Pw]]*R195/(N195*O195*K195)</f>
        <v>618.62824109858184</v>
      </c>
      <c r="V195">
        <v>0.03</v>
      </c>
      <c r="W195" s="8">
        <f t="shared" si="92"/>
        <v>134579.62835013153</v>
      </c>
      <c r="X195">
        <v>2.3542434183711519E-2</v>
      </c>
      <c r="Y195">
        <f t="shared" si="93"/>
        <v>6.5173991182561126</v>
      </c>
      <c r="Z195">
        <f t="shared" si="94"/>
        <v>6.5173991374830242</v>
      </c>
      <c r="AA195">
        <f t="shared" si="95"/>
        <v>-1.9226911618375198E-8</v>
      </c>
      <c r="AB195">
        <f t="shared" si="96"/>
        <v>6.3742875031969743E-6</v>
      </c>
      <c r="AC195">
        <v>648.58215201655344</v>
      </c>
      <c r="AD195">
        <f t="shared" si="97"/>
        <v>3650.3122675647296</v>
      </c>
      <c r="AE195">
        <f>+gettm2(AD195,AC195,AK195,AL195,テーブル2[[#This Row],[Fcorr]])</f>
        <v>618.62824158440321</v>
      </c>
      <c r="AF195" s="14">
        <f t="shared" si="98"/>
        <v>4.8582137424091343E-7</v>
      </c>
      <c r="AG195">
        <v>6.4053696486596969E-6</v>
      </c>
      <c r="AH195">
        <f t="shared" si="99"/>
        <v>41.589481835195159</v>
      </c>
      <c r="AI195">
        <f t="shared" si="100"/>
        <v>0.2784668074720531</v>
      </c>
      <c r="AJ195">
        <f t="shared" si="101"/>
        <v>15.60229507993412</v>
      </c>
      <c r="AK195">
        <f t="array" ref="AK195">+S195*テーブル2[[#This Row],[F_form]]/(E195*CpFromTP((テーブル2[[#This Row],[Tin]]+テーブル2[[#This Row],[Tf]])/2,テーブル2[[#This Row],[P]])*AI195)</f>
        <v>0.9621183566994298</v>
      </c>
      <c r="AL195">
        <f t="shared" si="102"/>
        <v>1.9545987150045083</v>
      </c>
      <c r="AM195">
        <f t="shared" si="103"/>
        <v>631.29983468052592</v>
      </c>
      <c r="AN195">
        <f t="shared" si="104"/>
        <v>5.6570570450276136E-9</v>
      </c>
      <c r="AO195">
        <f t="shared" si="105"/>
        <v>3.1082145462722595E-8</v>
      </c>
      <c r="AP195">
        <v>2.2688057548090712</v>
      </c>
      <c r="AQ195">
        <f t="shared" si="106"/>
        <v>2.4494747059279634E-5</v>
      </c>
      <c r="AR195">
        <f t="shared" si="107"/>
        <v>3.2182258970612098E-6</v>
      </c>
      <c r="AS195">
        <f t="shared" si="108"/>
        <v>7.8390027170939804</v>
      </c>
      <c r="AT195">
        <f t="shared" si="109"/>
        <v>7.2455581090942278</v>
      </c>
      <c r="AU195">
        <f t="shared" si="110"/>
        <v>2.0176474349927154</v>
      </c>
      <c r="AV195">
        <f t="shared" si="111"/>
        <v>0.25115831981635584</v>
      </c>
      <c r="AW195">
        <f t="shared" si="112"/>
        <v>5.6451520771477973E-3</v>
      </c>
      <c r="AX195">
        <f t="shared" si="113"/>
        <v>0.25115830783988741</v>
      </c>
      <c r="AY195">
        <f t="shared" si="114"/>
        <v>1.1976468428098741E-8</v>
      </c>
      <c r="AZ195">
        <f t="shared" si="115"/>
        <v>750991.36315881251</v>
      </c>
      <c r="BA195">
        <f t="shared" si="116"/>
        <v>1.0796317405030984E-5</v>
      </c>
      <c r="BB195" s="15">
        <f t="shared" si="117"/>
        <v>1159596.577303299</v>
      </c>
      <c r="BC195" s="20">
        <f t="shared" si="118"/>
        <v>5484.9562095489819</v>
      </c>
      <c r="BD195" s="19">
        <f t="shared" si="119"/>
        <v>0.47525352914745767</v>
      </c>
      <c r="BE195" s="15">
        <v>1747642.86</v>
      </c>
      <c r="BF195" s="16">
        <f>テーブル2[[#This Row],[q_P]]/テーブル2[[#This Row],[q_M]]</f>
        <v>0.66352033578719793</v>
      </c>
      <c r="BG195">
        <v>1</v>
      </c>
      <c r="BH195">
        <v>-5.5E-2</v>
      </c>
      <c r="BI195">
        <v>4.5999999999999999E-2</v>
      </c>
      <c r="BJ195">
        <v>5625</v>
      </c>
      <c r="BK195" s="22">
        <v>1</v>
      </c>
      <c r="BL195">
        <f>テーブル2[[#This Row],[Ts]]-テーブル2[[#This Row],[Tin]]</f>
        <v>18.616788474040959</v>
      </c>
      <c r="BM195">
        <f>テーブル2[[#This Row],[q_P]]*0.000001</f>
        <v>1.159596577303299</v>
      </c>
      <c r="BN195">
        <f>テーブル2[[#This Row],[Tsub]]</f>
        <v>18.616788474040959</v>
      </c>
      <c r="BO195">
        <f>テーブル2[[#This Row],[Fcorr]]</f>
        <v>1</v>
      </c>
      <c r="BP195">
        <f>(テーブル2[[#This Row],[Tsub]]-40)^2</f>
        <v>457.24173516390755</v>
      </c>
      <c r="BQ195">
        <v>1</v>
      </c>
      <c r="BR195">
        <v>0.150114</v>
      </c>
    </row>
    <row r="196" spans="1:70" x14ac:dyDescent="0.15">
      <c r="A196" s="9" t="s">
        <v>264</v>
      </c>
      <c r="B196">
        <v>18960582.556212999</v>
      </c>
      <c r="C196" s="22">
        <f t="array" ref="C196">TsatFromP(テーブル2[[#This Row],[P]])</f>
        <v>634.44823391832597</v>
      </c>
      <c r="D196">
        <f t="array" ref="D196">RhoGFromP(テーブル2[[#This Row],[P]])</f>
        <v>149.14958101226799</v>
      </c>
      <c r="E196">
        <f t="array" ref="E196">RhoFFromP(テーブル2[[#This Row],[P]])</f>
        <v>520.38377569771103</v>
      </c>
      <c r="F196">
        <f t="array" ref="F196">HgFromP(テーブル2[[#This Row],[P]])</f>
        <v>2467301.6327637699</v>
      </c>
      <c r="G196">
        <f t="array" ref="G196">HfFromP(テーブル2[[#This Row],[P]])</f>
        <v>1775044.0267545299</v>
      </c>
      <c r="H196">
        <f t="array" ref="H196">MuGFromP(テーブル2[[#This Row],[P]])</f>
        <v>2.5972810943896E-5</v>
      </c>
      <c r="I196">
        <f t="array" ref="I196">MuFFromP(テーブル2[[#This Row],[P]])</f>
        <v>5.9480773118925399E-5</v>
      </c>
      <c r="J196">
        <f t="array" ref="J196">KfFromP(テーブル2[[#This Row],[P]])</f>
        <v>0.43661798563056398</v>
      </c>
      <c r="K196">
        <f t="array" ref="K196">CpFFromP(テーブル2[[#This Row],[P]])</f>
        <v>16063.580349286</v>
      </c>
      <c r="L196">
        <f t="array" ref="L196">SigmaFromP(テーブル2[[#This Row],[P]])</f>
        <v>1.6624879026359001E-3</v>
      </c>
      <c r="M196">
        <v>195</v>
      </c>
      <c r="N196">
        <v>1844.4728</v>
      </c>
      <c r="O196" s="8">
        <f t="shared" si="90"/>
        <v>2.8502295699234246E-6</v>
      </c>
      <c r="P196" s="8">
        <f t="shared" si="91"/>
        <v>5.9847340050885557E-3</v>
      </c>
      <c r="Q196" s="8">
        <v>1.905E-3</v>
      </c>
      <c r="R196">
        <v>0.15240000000000001</v>
      </c>
      <c r="S196" s="15">
        <v>2584217.42578125</v>
      </c>
      <c r="T196">
        <v>558.46565244536998</v>
      </c>
      <c r="U196" s="12">
        <f>+T196+BG196*S196*テーブル2[[#This Row],[Pw]]*R196/(N196*O196*K196)</f>
        <v>586.37594725565225</v>
      </c>
      <c r="V196">
        <v>0.03</v>
      </c>
      <c r="W196" s="8">
        <f t="shared" si="92"/>
        <v>59073.218113266514</v>
      </c>
      <c r="X196">
        <v>2.890389008300534E-2</v>
      </c>
      <c r="Y196">
        <f t="shared" si="93"/>
        <v>5.881957084232539</v>
      </c>
      <c r="Z196">
        <f t="shared" si="94"/>
        <v>5.8819570995297781</v>
      </c>
      <c r="AA196">
        <f t="shared" si="95"/>
        <v>-1.5297239031042409E-8</v>
      </c>
      <c r="AB196">
        <f t="shared" si="96"/>
        <v>8.4460309260993839E-6</v>
      </c>
      <c r="AC196">
        <v>718.69196718017213</v>
      </c>
      <c r="AD196">
        <f t="shared" si="97"/>
        <v>1775.3900834458789</v>
      </c>
      <c r="AE196">
        <f>+gettm2(AD196,AC196,AK196,AL196,テーブル2[[#This Row],[Fcorr]])</f>
        <v>586.37594725565225</v>
      </c>
      <c r="AF196" s="14">
        <f t="shared" si="98"/>
        <v>0</v>
      </c>
      <c r="AG196">
        <v>8.557930864843843E-6</v>
      </c>
      <c r="AH196">
        <f t="shared" si="99"/>
        <v>23.620390460545245</v>
      </c>
      <c r="AI196">
        <f t="shared" si="100"/>
        <v>0.21305006072789628</v>
      </c>
      <c r="AJ196">
        <f t="shared" si="101"/>
        <v>15.951354952503069</v>
      </c>
      <c r="AK196">
        <f t="array" ref="AK196">+S196*テーブル2[[#This Row],[F_form]]/(E196*CpFromTP((テーブル2[[#This Row],[Tin]]+テーブル2[[#This Row],[Tf]])/2,テーブル2[[#This Row],[P]])*AI196)</f>
        <v>4.2708923875409859</v>
      </c>
      <c r="AL196">
        <f t="shared" si="102"/>
        <v>2.1883527698787133</v>
      </c>
      <c r="AM196">
        <f t="shared" si="103"/>
        <v>634.44823394892057</v>
      </c>
      <c r="AN196">
        <f t="shared" si="104"/>
        <v>-3.0594605959777255E-8</v>
      </c>
      <c r="AO196">
        <f t="shared" si="105"/>
        <v>1.1189993874445909E-7</v>
      </c>
      <c r="AP196">
        <v>1.7928478619781869</v>
      </c>
      <c r="AQ196">
        <f t="shared" si="106"/>
        <v>2.8033538538420466E-5</v>
      </c>
      <c r="AR196">
        <f t="shared" si="107"/>
        <v>4.334915401794151E-6</v>
      </c>
      <c r="AS196">
        <f t="shared" si="108"/>
        <v>8.0799641122542187</v>
      </c>
      <c r="AT196">
        <f t="shared" si="109"/>
        <v>7.3969371548522229</v>
      </c>
      <c r="AU196">
        <f t="shared" si="110"/>
        <v>1.5759179100416985</v>
      </c>
      <c r="AV196">
        <f t="shared" si="111"/>
        <v>0.21692995193648845</v>
      </c>
      <c r="AW196">
        <f t="shared" si="112"/>
        <v>8.3295048522171993E-3</v>
      </c>
      <c r="AX196">
        <f t="shared" si="113"/>
        <v>0.21692994960171219</v>
      </c>
      <c r="AY196">
        <f t="shared" si="114"/>
        <v>2.3347762612146994E-9</v>
      </c>
      <c r="AZ196">
        <f t="shared" si="115"/>
        <v>692257.60600924003</v>
      </c>
      <c r="BA196">
        <f t="shared" si="116"/>
        <v>1.5636317577716221E-5</v>
      </c>
      <c r="BB196" s="15">
        <f t="shared" si="117"/>
        <v>2578023.372101312</v>
      </c>
      <c r="BC196" s="20">
        <f t="shared" si="118"/>
        <v>-6194.0536799379624</v>
      </c>
      <c r="BD196" s="19">
        <f t="shared" si="119"/>
        <v>-0.23968779167509105</v>
      </c>
      <c r="BE196" s="15">
        <v>2555217.9</v>
      </c>
      <c r="BF196" s="16">
        <f>テーブル2[[#This Row],[q_P]]/テーブル2[[#This Row],[q_M]]</f>
        <v>1.0089250596206736</v>
      </c>
      <c r="BG196">
        <v>1</v>
      </c>
      <c r="BH196">
        <v>-0.10299999999999999</v>
      </c>
      <c r="BI196">
        <v>4.5999999999999999E-2</v>
      </c>
      <c r="BJ196">
        <v>5625</v>
      </c>
      <c r="BK196" s="22">
        <v>1</v>
      </c>
      <c r="BL196">
        <f>テーブル2[[#This Row],[Ts]]-テーブル2[[#This Row],[Tin]]</f>
        <v>75.982581472955985</v>
      </c>
      <c r="BM196">
        <f>テーブル2[[#This Row],[q_P]]*0.000001</f>
        <v>2.5780233721013119</v>
      </c>
      <c r="BN196">
        <f>テーブル2[[#This Row],[Tsub]]</f>
        <v>75.982581472955985</v>
      </c>
      <c r="BO196">
        <f>テーブル2[[#This Row],[Fcorr]]</f>
        <v>1</v>
      </c>
      <c r="BP196">
        <f>(テーブル2[[#This Row],[Tsub]]-40)^2</f>
        <v>1294.7461694579154</v>
      </c>
      <c r="BQ196">
        <v>1</v>
      </c>
      <c r="BR196">
        <v>0.15240000000000001</v>
      </c>
    </row>
    <row r="197" spans="1:70" x14ac:dyDescent="0.15">
      <c r="A197" s="9" t="s">
        <v>265</v>
      </c>
      <c r="B197">
        <v>18960582.556212999</v>
      </c>
      <c r="C197" s="22">
        <f t="array" ref="C197">TsatFromP(テーブル2[[#This Row],[P]])</f>
        <v>634.44823391832597</v>
      </c>
      <c r="D197">
        <f t="array" ref="D197">RhoGFromP(テーブル2[[#This Row],[P]])</f>
        <v>149.14958101226799</v>
      </c>
      <c r="E197">
        <f t="array" ref="E197">RhoFFromP(テーブル2[[#This Row],[P]])</f>
        <v>520.38377569771103</v>
      </c>
      <c r="F197">
        <f t="array" ref="F197">HgFromP(テーブル2[[#This Row],[P]])</f>
        <v>2467301.6327637699</v>
      </c>
      <c r="G197">
        <f t="array" ref="G197">HfFromP(テーブル2[[#This Row],[P]])</f>
        <v>1775044.0267545299</v>
      </c>
      <c r="H197">
        <f t="array" ref="H197">MuGFromP(テーブル2[[#This Row],[P]])</f>
        <v>2.5972810943896E-5</v>
      </c>
      <c r="I197">
        <f t="array" ref="I197">MuFFromP(テーブル2[[#This Row],[P]])</f>
        <v>5.9480773118925399E-5</v>
      </c>
      <c r="J197">
        <f t="array" ref="J197">KfFromP(テーブル2[[#This Row],[P]])</f>
        <v>0.43661798563056398</v>
      </c>
      <c r="K197">
        <f t="array" ref="K197">CpFFromP(テーブル2[[#This Row],[P]])</f>
        <v>16063.580349286</v>
      </c>
      <c r="L197">
        <f t="array" ref="L197">SigmaFromP(テーブル2[[#This Row],[P]])</f>
        <v>1.6624879026359001E-3</v>
      </c>
      <c r="M197">
        <v>196</v>
      </c>
      <c r="N197">
        <v>1858.0351000000001</v>
      </c>
      <c r="O197" s="8">
        <f t="shared" si="90"/>
        <v>2.8502295699234246E-6</v>
      </c>
      <c r="P197" s="8">
        <f t="shared" si="91"/>
        <v>5.9847340050885557E-3</v>
      </c>
      <c r="Q197" s="8">
        <v>1.905E-3</v>
      </c>
      <c r="R197">
        <v>0.15240000000000001</v>
      </c>
      <c r="S197" s="15">
        <v>2654687.98828125</v>
      </c>
      <c r="T197">
        <v>556.26295808654595</v>
      </c>
      <c r="U197" s="12">
        <f>+T197+BG197*S197*テーブル2[[#This Row],[Pw]]*R197/(N197*O197*K197)</f>
        <v>584.72507505976898</v>
      </c>
      <c r="V197">
        <v>0.03</v>
      </c>
      <c r="W197" s="8">
        <f t="shared" si="92"/>
        <v>59507.580011158185</v>
      </c>
      <c r="X197">
        <v>2.8815898793205751E-2</v>
      </c>
      <c r="Y197">
        <f t="shared" si="93"/>
        <v>5.8909307153231438</v>
      </c>
      <c r="Z197">
        <f t="shared" si="94"/>
        <v>5.8909307249756404</v>
      </c>
      <c r="AA197">
        <f t="shared" si="95"/>
        <v>-9.6524965798039375E-9</v>
      </c>
      <c r="AB197">
        <f t="shared" si="96"/>
        <v>8.3485965985073606E-6</v>
      </c>
      <c r="AC197">
        <v>721.07172439070189</v>
      </c>
      <c r="AD197">
        <f t="shared" si="97"/>
        <v>1785.7200920917137</v>
      </c>
      <c r="AE197">
        <f>+gettm2(AD197,AC197,AK197,AL197,テーブル2[[#This Row],[Fcorr]])</f>
        <v>584.72507505976887</v>
      </c>
      <c r="AF197" s="14">
        <f t="shared" si="98"/>
        <v>0</v>
      </c>
      <c r="AG197">
        <v>8.4620804080939452E-6</v>
      </c>
      <c r="AH197">
        <f t="shared" si="99"/>
        <v>23.896057973621129</v>
      </c>
      <c r="AI197">
        <f t="shared" si="100"/>
        <v>0.21428968067949769</v>
      </c>
      <c r="AJ197">
        <f t="shared" si="101"/>
        <v>15.8644692972483</v>
      </c>
      <c r="AK197">
        <f t="array" ref="AK197">+S197*テーブル2[[#This Row],[F_form]]/(E197*CpFromTP((テーブル2[[#This Row],[Tin]]+テーブル2[[#This Row],[Tf]])/2,テーブル2[[#This Row],[P]])*AI197)</f>
        <v>4.3988821818343338</v>
      </c>
      <c r="AL197">
        <f t="shared" si="102"/>
        <v>2.1883527698787133</v>
      </c>
      <c r="AM197">
        <f t="shared" si="103"/>
        <v>634.44823392881597</v>
      </c>
      <c r="AN197">
        <f t="shared" si="104"/>
        <v>-1.0489998203411233E-8</v>
      </c>
      <c r="AO197">
        <f t="shared" si="105"/>
        <v>1.1348380958658459E-7</v>
      </c>
      <c r="AP197">
        <v>1.7972477854974711</v>
      </c>
      <c r="AQ197">
        <f t="shared" si="106"/>
        <v>2.7896446210047063E-5</v>
      </c>
      <c r="AR197">
        <f t="shared" si="107"/>
        <v>4.2877821088402649E-6</v>
      </c>
      <c r="AS197">
        <f t="shared" si="108"/>
        <v>8.0386127687847129</v>
      </c>
      <c r="AT197">
        <f t="shared" si="109"/>
        <v>7.3712826355399965</v>
      </c>
      <c r="AU197">
        <f t="shared" si="110"/>
        <v>1.579589802168192</v>
      </c>
      <c r="AV197">
        <f t="shared" si="111"/>
        <v>0.2176579833292791</v>
      </c>
      <c r="AW197">
        <f t="shared" si="112"/>
        <v>8.2334147820349573E-3</v>
      </c>
      <c r="AX197">
        <f t="shared" si="113"/>
        <v>0.21765797842260901</v>
      </c>
      <c r="AY197">
        <f t="shared" si="114"/>
        <v>4.9066700980038291E-9</v>
      </c>
      <c r="AZ197">
        <f t="shared" si="115"/>
        <v>692257.60600924003</v>
      </c>
      <c r="BA197">
        <f t="shared" si="116"/>
        <v>1.5521758566154213E-5</v>
      </c>
      <c r="BB197" s="15">
        <f t="shared" si="117"/>
        <v>2633810.1469452311</v>
      </c>
      <c r="BC197" s="20">
        <f t="shared" si="118"/>
        <v>-20877.841336018872</v>
      </c>
      <c r="BD197" s="19">
        <f t="shared" si="119"/>
        <v>-0.7864517950200246</v>
      </c>
      <c r="BE197" s="15">
        <v>2744493.3</v>
      </c>
      <c r="BF197" s="16">
        <f>テーブル2[[#This Row],[q_P]]/テーブル2[[#This Row],[q_M]]</f>
        <v>0.95967082409901727</v>
      </c>
      <c r="BG197">
        <v>1</v>
      </c>
      <c r="BH197">
        <v>-7.6999999999999999E-2</v>
      </c>
      <c r="BI197">
        <v>4.5999999999999999E-2</v>
      </c>
      <c r="BJ197">
        <v>5625</v>
      </c>
      <c r="BK197" s="22">
        <v>1</v>
      </c>
      <c r="BL197">
        <f>テーブル2[[#This Row],[Ts]]-テーブル2[[#This Row],[Tin]]</f>
        <v>78.185275831780018</v>
      </c>
      <c r="BM197">
        <f>テーブル2[[#This Row],[q_P]]*0.000001</f>
        <v>2.6338101469452311</v>
      </c>
      <c r="BN197">
        <f>テーブル2[[#This Row],[Tsub]]</f>
        <v>78.185275831780018</v>
      </c>
      <c r="BO197">
        <f>テーブル2[[#This Row],[Fcorr]]</f>
        <v>1</v>
      </c>
      <c r="BP197">
        <f>(テーブル2[[#This Row],[Tsub]]-40)^2</f>
        <v>1458.1152903491231</v>
      </c>
      <c r="BQ197">
        <v>1</v>
      </c>
      <c r="BR197">
        <v>0.15240000000000001</v>
      </c>
    </row>
    <row r="198" spans="1:70" x14ac:dyDescent="0.15">
      <c r="A198" s="9" t="s">
        <v>266</v>
      </c>
      <c r="B198">
        <v>18960582.556212999</v>
      </c>
      <c r="C198" s="22">
        <f t="array" ref="C198">TsatFromP(テーブル2[[#This Row],[P]])</f>
        <v>634.44823391832597</v>
      </c>
      <c r="D198">
        <f t="array" ref="D198">RhoGFromP(テーブル2[[#This Row],[P]])</f>
        <v>149.14958101226799</v>
      </c>
      <c r="E198">
        <f t="array" ref="E198">RhoFFromP(テーブル2[[#This Row],[P]])</f>
        <v>520.38377569771103</v>
      </c>
      <c r="F198">
        <f t="array" ref="F198">HgFromP(テーブル2[[#This Row],[P]])</f>
        <v>2467301.6327637699</v>
      </c>
      <c r="G198">
        <f t="array" ref="G198">HfFromP(テーブル2[[#This Row],[P]])</f>
        <v>1775044.0267545299</v>
      </c>
      <c r="H198">
        <f t="array" ref="H198">MuGFromP(テーブル2[[#This Row],[P]])</f>
        <v>2.5972810943896E-5</v>
      </c>
      <c r="I198">
        <f t="array" ref="I198">MuFFromP(テーブル2[[#This Row],[P]])</f>
        <v>5.9480773118925399E-5</v>
      </c>
      <c r="J198">
        <f t="array" ref="J198">KfFromP(テーブル2[[#This Row],[P]])</f>
        <v>0.43661798563056398</v>
      </c>
      <c r="K198">
        <f t="array" ref="K198">CpFFromP(テーブル2[[#This Row],[P]])</f>
        <v>16063.580349286</v>
      </c>
      <c r="L198">
        <f t="array" ref="L198">SigmaFromP(テーブル2[[#This Row],[P]])</f>
        <v>1.6624879026359001E-3</v>
      </c>
      <c r="M198">
        <v>197</v>
      </c>
      <c r="N198">
        <v>1871.5974000000001</v>
      </c>
      <c r="O198" s="8">
        <f t="shared" si="90"/>
        <v>2.8502295699234246E-6</v>
      </c>
      <c r="P198" s="8">
        <f t="shared" si="91"/>
        <v>5.9847340050885557E-3</v>
      </c>
      <c r="Q198" s="8">
        <v>1.905E-3</v>
      </c>
      <c r="R198">
        <v>0.15240000000000001</v>
      </c>
      <c r="S198" s="15">
        <v>3157560.29296875</v>
      </c>
      <c r="T198">
        <v>538.50245457174299</v>
      </c>
      <c r="U198" s="12">
        <f>+T198+BG198*S198*テーブル2[[#This Row],[Pw]]*R198/(N198*O198*K198)</f>
        <v>572.110777943789</v>
      </c>
      <c r="V198">
        <v>0.03</v>
      </c>
      <c r="W198" s="8">
        <f t="shared" si="92"/>
        <v>59941.941909049849</v>
      </c>
      <c r="X198">
        <v>2.872895543349727E-2</v>
      </c>
      <c r="Y198">
        <f t="shared" si="93"/>
        <v>5.8998379376894636</v>
      </c>
      <c r="Z198">
        <f t="shared" si="94"/>
        <v>5.8998379765319902</v>
      </c>
      <c r="AA198">
        <f t="shared" si="95"/>
        <v>-3.8842526528526378E-8</v>
      </c>
      <c r="AB198">
        <f t="shared" si="96"/>
        <v>8.252941613511316E-6</v>
      </c>
      <c r="AC198">
        <v>742.63182352334468</v>
      </c>
      <c r="AD198">
        <f t="shared" si="97"/>
        <v>1796.0388933148606</v>
      </c>
      <c r="AE198">
        <f>+gettm2(AD198,AC198,AK198,AL198,テーブル2[[#This Row],[Fcorr]])</f>
        <v>572.110777943789</v>
      </c>
      <c r="AF198" s="14">
        <f t="shared" si="98"/>
        <v>0</v>
      </c>
      <c r="AG198">
        <v>8.3881602138876922E-6</v>
      </c>
      <c r="AH198">
        <f t="shared" si="99"/>
        <v>24.173023106052103</v>
      </c>
      <c r="AI198">
        <f t="shared" si="100"/>
        <v>0.21552795571985592</v>
      </c>
      <c r="AJ198">
        <f t="shared" si="101"/>
        <v>15.81675799212451</v>
      </c>
      <c r="AK198">
        <f t="array" ref="AK198">+S198*テーブル2[[#This Row],[F_form]]/(E198*CpFromTP((テーブル2[[#This Row],[Tin]]+テーブル2[[#This Row],[Tf]])/2,テーブル2[[#This Row],[P]])*AI198)</f>
        <v>5.4988144008337372</v>
      </c>
      <c r="AL198">
        <f t="shared" si="102"/>
        <v>2.1883527698787133</v>
      </c>
      <c r="AM198">
        <f t="shared" si="103"/>
        <v>634.44823391253783</v>
      </c>
      <c r="AN198">
        <f t="shared" si="104"/>
        <v>5.7881379689206369E-9</v>
      </c>
      <c r="AO198">
        <f t="shared" si="105"/>
        <v>1.3521860037637625E-7</v>
      </c>
      <c r="AP198">
        <v>1.80618173777312</v>
      </c>
      <c r="AQ198">
        <f t="shared" si="106"/>
        <v>2.7621159244891151E-5</v>
      </c>
      <c r="AR198">
        <f t="shared" si="107"/>
        <v>4.2616894071320342E-6</v>
      </c>
      <c r="AS198">
        <f t="shared" si="108"/>
        <v>8.0358634398289581</v>
      </c>
      <c r="AT198">
        <f t="shared" si="109"/>
        <v>7.3695722662894632</v>
      </c>
      <c r="AU198">
        <f t="shared" si="110"/>
        <v>1.5883488450831136</v>
      </c>
      <c r="AV198">
        <f t="shared" si="111"/>
        <v>0.21783289269000639</v>
      </c>
      <c r="AW198">
        <f t="shared" si="112"/>
        <v>8.1390795056625696E-3</v>
      </c>
      <c r="AX198">
        <f t="shared" si="113"/>
        <v>0.2178328900844822</v>
      </c>
      <c r="AY198">
        <f t="shared" si="114"/>
        <v>2.6055241852951383E-9</v>
      </c>
      <c r="AZ198">
        <f t="shared" si="115"/>
        <v>692257.60600924003</v>
      </c>
      <c r="BA198">
        <f t="shared" si="116"/>
        <v>1.5292569217838438E-5</v>
      </c>
      <c r="BB198" s="15">
        <f t="shared" si="117"/>
        <v>3185278.9049469265</v>
      </c>
      <c r="BC198" s="20">
        <f t="shared" si="118"/>
        <v>27718.611978176516</v>
      </c>
      <c r="BD198" s="19">
        <f t="shared" si="119"/>
        <v>0.87784901653027103</v>
      </c>
      <c r="BE198" s="15">
        <v>3186135.9</v>
      </c>
      <c r="BF198" s="16">
        <f>テーブル2[[#This Row],[q_P]]/テーブル2[[#This Row],[q_M]]</f>
        <v>0.9997310236976793</v>
      </c>
      <c r="BG198">
        <v>1</v>
      </c>
      <c r="BH198">
        <v>-0.1</v>
      </c>
      <c r="BI198">
        <v>4.5999999999999999E-2</v>
      </c>
      <c r="BJ198">
        <v>5625</v>
      </c>
      <c r="BK198" s="22">
        <v>1</v>
      </c>
      <c r="BL198">
        <f>テーブル2[[#This Row],[Ts]]-テーブル2[[#This Row],[Tin]]</f>
        <v>95.945779346582981</v>
      </c>
      <c r="BM198">
        <f>テーブル2[[#This Row],[q_P]]*0.000001</f>
        <v>3.1852789049469266</v>
      </c>
      <c r="BN198">
        <f>テーブル2[[#This Row],[Tsub]]</f>
        <v>95.945779346582981</v>
      </c>
      <c r="BO198">
        <f>テーブル2[[#This Row],[Fcorr]]</f>
        <v>1</v>
      </c>
      <c r="BP198">
        <f>(テーブル2[[#This Row],[Tsub]]-40)^2</f>
        <v>3129.930226696551</v>
      </c>
      <c r="BQ198">
        <v>1</v>
      </c>
      <c r="BR198">
        <v>0.15240000000000001</v>
      </c>
    </row>
    <row r="199" spans="1:70" x14ac:dyDescent="0.15">
      <c r="A199" s="9" t="s">
        <v>267</v>
      </c>
      <c r="B199">
        <v>18960582.556212999</v>
      </c>
      <c r="C199" s="22">
        <f t="array" ref="C199">TsatFromP(テーブル2[[#This Row],[P]])</f>
        <v>634.44823391832597</v>
      </c>
      <c r="D199">
        <f t="array" ref="D199">RhoGFromP(テーブル2[[#This Row],[P]])</f>
        <v>149.14958101226799</v>
      </c>
      <c r="E199">
        <f t="array" ref="E199">RhoFFromP(テーブル2[[#This Row],[P]])</f>
        <v>520.38377569771103</v>
      </c>
      <c r="F199">
        <f t="array" ref="F199">HgFromP(テーブル2[[#This Row],[P]])</f>
        <v>2467301.6327637699</v>
      </c>
      <c r="G199">
        <f t="array" ref="G199">HfFromP(テーブル2[[#This Row],[P]])</f>
        <v>1775044.0267545299</v>
      </c>
      <c r="H199">
        <f t="array" ref="H199">MuGFromP(テーブル2[[#This Row],[P]])</f>
        <v>2.5972810943896E-5</v>
      </c>
      <c r="I199">
        <f t="array" ref="I199">MuFFromP(テーブル2[[#This Row],[P]])</f>
        <v>5.9480773118925399E-5</v>
      </c>
      <c r="J199">
        <f t="array" ref="J199">KfFromP(テーブル2[[#This Row],[P]])</f>
        <v>0.43661798563056398</v>
      </c>
      <c r="K199">
        <f t="array" ref="K199">CpFFromP(テーブル2[[#This Row],[P]])</f>
        <v>16063.580349286</v>
      </c>
      <c r="L199">
        <f t="array" ref="L199">SigmaFromP(テーブル2[[#This Row],[P]])</f>
        <v>1.6624879026359001E-3</v>
      </c>
      <c r="M199">
        <v>198</v>
      </c>
      <c r="N199">
        <v>1885.1596999999999</v>
      </c>
      <c r="O199" s="8">
        <f t="shared" si="90"/>
        <v>2.8502295699234246E-6</v>
      </c>
      <c r="P199" s="8">
        <f t="shared" si="91"/>
        <v>5.9847340050885557E-3</v>
      </c>
      <c r="Q199" s="8">
        <v>1.905E-3</v>
      </c>
      <c r="R199">
        <v>0.15240000000000001</v>
      </c>
      <c r="S199" s="15">
        <v>3199926.7578125</v>
      </c>
      <c r="T199">
        <v>537.34621978095004</v>
      </c>
      <c r="U199" s="12">
        <f>+T199+BG199*S199*テーブル2[[#This Row],[Pw]]*R199/(N199*O199*K199)</f>
        <v>571.16045110159951</v>
      </c>
      <c r="V199">
        <v>0.03</v>
      </c>
      <c r="W199" s="8">
        <f t="shared" si="92"/>
        <v>60376.303806941512</v>
      </c>
      <c r="X199">
        <v>2.8643038996504239E-2</v>
      </c>
      <c r="Y199">
        <f t="shared" si="93"/>
        <v>5.9086797632693653</v>
      </c>
      <c r="Z199">
        <f t="shared" si="94"/>
        <v>5.9086797749799116</v>
      </c>
      <c r="AA199">
        <f t="shared" si="95"/>
        <v>-1.171054631043944E-8</v>
      </c>
      <c r="AB199">
        <f t="shared" si="96"/>
        <v>8.1590216640322346E-6</v>
      </c>
      <c r="AC199">
        <v>743.62628600811388</v>
      </c>
      <c r="AD199">
        <f t="shared" si="97"/>
        <v>1806.3465763646784</v>
      </c>
      <c r="AE199">
        <f>+gettm2(AD199,AC199,AK199,AL199,テーブル2[[#This Row],[Fcorr]])</f>
        <v>571.16045253786228</v>
      </c>
      <c r="AF199" s="14">
        <f t="shared" si="98"/>
        <v>1.4362627780428738E-6</v>
      </c>
      <c r="AG199">
        <v>8.2938048507331152E-6</v>
      </c>
      <c r="AH199">
        <f t="shared" si="99"/>
        <v>24.45128307426441</v>
      </c>
      <c r="AI199">
        <f t="shared" si="100"/>
        <v>0.21676489655905742</v>
      </c>
      <c r="AJ199">
        <f t="shared" si="101"/>
        <v>15.728594222738607</v>
      </c>
      <c r="AK199">
        <f t="array" ref="AK199">+S199*テーブル2[[#This Row],[F_form]]/(E199*CpFromTP((テーブル2[[#This Row],[Tin]]+テーブル2[[#This Row],[Tf]])/2,テーブル2[[#This Row],[P]])*AI199)</f>
        <v>5.5589003833866952</v>
      </c>
      <c r="AL199">
        <f t="shared" si="102"/>
        <v>2.1883527698787133</v>
      </c>
      <c r="AM199">
        <f t="shared" si="103"/>
        <v>634.44823389710189</v>
      </c>
      <c r="AN199">
        <f t="shared" si="104"/>
        <v>2.1224082047410775E-8</v>
      </c>
      <c r="AO199">
        <f t="shared" si="105"/>
        <v>1.3478318670088055E-7</v>
      </c>
      <c r="AP199">
        <v>1.810148878374978</v>
      </c>
      <c r="AQ199">
        <f t="shared" si="106"/>
        <v>2.7500222289303824E-5</v>
      </c>
      <c r="AR199">
        <f t="shared" si="107"/>
        <v>4.2142940187169979E-6</v>
      </c>
      <c r="AS199">
        <f t="shared" si="108"/>
        <v>7.9921003385864466</v>
      </c>
      <c r="AT199">
        <f t="shared" si="109"/>
        <v>7.3422679807281224</v>
      </c>
      <c r="AU199">
        <f t="shared" si="110"/>
        <v>1.591545959351411</v>
      </c>
      <c r="AV199">
        <f t="shared" si="111"/>
        <v>0.21860291902356699</v>
      </c>
      <c r="AW199">
        <f t="shared" si="112"/>
        <v>8.0464553273057789E-3</v>
      </c>
      <c r="AX199">
        <f t="shared" si="113"/>
        <v>0.21860291456913764</v>
      </c>
      <c r="AY199">
        <f t="shared" si="114"/>
        <v>4.4544293531512125E-9</v>
      </c>
      <c r="AZ199">
        <f t="shared" si="115"/>
        <v>692257.60600924003</v>
      </c>
      <c r="BA199">
        <f t="shared" si="116"/>
        <v>1.5192243366187401E-5</v>
      </c>
      <c r="BB199" s="15">
        <f t="shared" si="117"/>
        <v>3195989.144047997</v>
      </c>
      <c r="BC199" s="20">
        <f t="shared" si="118"/>
        <v>-3937.6137645030394</v>
      </c>
      <c r="BD199" s="19">
        <f t="shared" si="119"/>
        <v>-0.12305324660602011</v>
      </c>
      <c r="BE199" s="15">
        <v>3091498.2</v>
      </c>
      <c r="BF199" s="16">
        <f>テーブル2[[#This Row],[q_P]]/テーブル2[[#This Row],[q_M]]</f>
        <v>1.0337994516859161</v>
      </c>
      <c r="BG199">
        <v>1</v>
      </c>
      <c r="BH199">
        <v>-0.13600000000000001</v>
      </c>
      <c r="BI199">
        <v>4.5999999999999999E-2</v>
      </c>
      <c r="BJ199">
        <v>5625</v>
      </c>
      <c r="BK199" s="22">
        <v>1</v>
      </c>
      <c r="BL199">
        <f>テーブル2[[#This Row],[Ts]]-テーブル2[[#This Row],[Tin]]</f>
        <v>97.102014137375932</v>
      </c>
      <c r="BM199">
        <f>テーブル2[[#This Row],[q_P]]*0.000001</f>
        <v>3.1959891440479966</v>
      </c>
      <c r="BN199">
        <f>テーブル2[[#This Row],[Tsub]]</f>
        <v>97.102014137375932</v>
      </c>
      <c r="BO199">
        <f>テーブル2[[#This Row],[Fcorr]]</f>
        <v>1</v>
      </c>
      <c r="BP199">
        <f>(テーブル2[[#This Row],[Tsub]]-40)^2</f>
        <v>3260.6400185450807</v>
      </c>
      <c r="BQ199">
        <v>1</v>
      </c>
      <c r="BR199">
        <v>0.15240000000000001</v>
      </c>
    </row>
    <row r="200" spans="1:70" x14ac:dyDescent="0.15">
      <c r="A200" s="9" t="s">
        <v>268</v>
      </c>
      <c r="B200">
        <v>18960582.556212999</v>
      </c>
      <c r="C200" s="22">
        <f t="array" ref="C200">TsatFromP(テーブル2[[#This Row],[P]])</f>
        <v>634.44823391832597</v>
      </c>
      <c r="D200">
        <f t="array" ref="D200">RhoGFromP(テーブル2[[#This Row],[P]])</f>
        <v>149.14958101226799</v>
      </c>
      <c r="E200">
        <f t="array" ref="E200">RhoFFromP(テーブル2[[#This Row],[P]])</f>
        <v>520.38377569771103</v>
      </c>
      <c r="F200">
        <f t="array" ref="F200">HgFromP(テーブル2[[#This Row],[P]])</f>
        <v>2467301.6327637699</v>
      </c>
      <c r="G200">
        <f t="array" ref="G200">HfFromP(テーブル2[[#This Row],[P]])</f>
        <v>1775044.0267545299</v>
      </c>
      <c r="H200">
        <f t="array" ref="H200">MuGFromP(テーブル2[[#This Row],[P]])</f>
        <v>2.5972810943896E-5</v>
      </c>
      <c r="I200">
        <f t="array" ref="I200">MuFFromP(テーブル2[[#This Row],[P]])</f>
        <v>5.9480773118925399E-5</v>
      </c>
      <c r="J200">
        <f t="array" ref="J200">KfFromP(テーブル2[[#This Row],[P]])</f>
        <v>0.43661798563056398</v>
      </c>
      <c r="K200">
        <f t="array" ref="K200">CpFFromP(テーブル2[[#This Row],[P]])</f>
        <v>16063.580349286</v>
      </c>
      <c r="L200">
        <f t="array" ref="L200">SigmaFromP(テーブル2[[#This Row],[P]])</f>
        <v>1.6624879026359001E-3</v>
      </c>
      <c r="M200">
        <v>199</v>
      </c>
      <c r="N200">
        <v>2034.345</v>
      </c>
      <c r="O200" s="8">
        <f t="shared" si="90"/>
        <v>2.8502295699234246E-6</v>
      </c>
      <c r="P200" s="8">
        <f t="shared" si="91"/>
        <v>5.9847340050885557E-3</v>
      </c>
      <c r="Q200" s="8">
        <v>1.905E-3</v>
      </c>
      <c r="R200">
        <v>0.15240000000000001</v>
      </c>
      <c r="S200" s="15">
        <v>4617700.1953125</v>
      </c>
      <c r="T200">
        <v>491.16937847279701</v>
      </c>
      <c r="U200" s="12">
        <f>+T200+BG200*S200*テーブル2[[#This Row],[Pw]]*R200/(N200*O200*K200)</f>
        <v>536.38710837813619</v>
      </c>
      <c r="V200">
        <v>0.03</v>
      </c>
      <c r="W200" s="8">
        <f t="shared" si="92"/>
        <v>65154.284683749836</v>
      </c>
      <c r="X200">
        <v>2.7760466389436762E-2</v>
      </c>
      <c r="Y200">
        <f t="shared" si="93"/>
        <v>6.0018705042739482</v>
      </c>
      <c r="Z200">
        <f t="shared" si="94"/>
        <v>6.0018705113914557</v>
      </c>
      <c r="AA200">
        <f t="shared" si="95"/>
        <v>-7.1175074722873433E-9</v>
      </c>
      <c r="AB200">
        <f t="shared" si="96"/>
        <v>7.2289880152804128E-6</v>
      </c>
      <c r="AC200">
        <v>794.18426519942875</v>
      </c>
      <c r="AD200">
        <f t="shared" si="97"/>
        <v>1919.0282633735189</v>
      </c>
      <c r="AE200">
        <f>+gettm2(AD200,AC200,AK200,AL200,テーブル2[[#This Row],[Fcorr]])</f>
        <v>536.38710837813585</v>
      </c>
      <c r="AF200" s="14">
        <f t="shared" si="98"/>
        <v>0</v>
      </c>
      <c r="AG200">
        <v>7.4058109777987824E-6</v>
      </c>
      <c r="AH200">
        <f t="shared" si="99"/>
        <v>27.59702297121175</v>
      </c>
      <c r="AI200">
        <f t="shared" si="100"/>
        <v>0.23028690531870988</v>
      </c>
      <c r="AJ200">
        <f t="shared" si="101"/>
        <v>14.92069352188739</v>
      </c>
      <c r="AK200">
        <f t="array" ref="AK200">+S200*テーブル2[[#This Row],[F_form]]/(E200*CpFromTP((テーブル2[[#This Row],[Tin]]+テーブル2[[#This Row],[Tf]])/2,テーブル2[[#This Row],[P]])*AI200)</f>
        <v>8.2680131689867338</v>
      </c>
      <c r="AL200">
        <f t="shared" si="102"/>
        <v>2.1883527698787133</v>
      </c>
      <c r="AM200">
        <f t="shared" si="103"/>
        <v>634.44823389904138</v>
      </c>
      <c r="AN200">
        <f t="shared" si="104"/>
        <v>1.9284584595880006E-8</v>
      </c>
      <c r="AO200">
        <f t="shared" si="105"/>
        <v>1.7682296251836957E-7</v>
      </c>
      <c r="AP200">
        <v>1.8642221082684549</v>
      </c>
      <c r="AQ200">
        <f t="shared" si="106"/>
        <v>2.592802801282354E-5</v>
      </c>
      <c r="AR200">
        <f t="shared" si="107"/>
        <v>3.791316970158576E-6</v>
      </c>
      <c r="AS200">
        <f t="shared" si="108"/>
        <v>7.6384718332199091</v>
      </c>
      <c r="AT200">
        <f t="shared" si="109"/>
        <v>7.115987806707702</v>
      </c>
      <c r="AU200">
        <f t="shared" si="110"/>
        <v>1.6387188102923906</v>
      </c>
      <c r="AV200">
        <f t="shared" si="111"/>
        <v>0.22550329797606428</v>
      </c>
      <c r="AW200">
        <f t="shared" si="112"/>
        <v>7.1292529327389824E-3</v>
      </c>
      <c r="AX200">
        <f t="shared" si="113"/>
        <v>0.22550328883776638</v>
      </c>
      <c r="AY200">
        <f t="shared" si="114"/>
        <v>9.1382978961718209E-9</v>
      </c>
      <c r="AZ200">
        <f t="shared" si="115"/>
        <v>692257.60600924003</v>
      </c>
      <c r="BA200">
        <f t="shared" si="116"/>
        <v>1.3908229012961479E-5</v>
      </c>
      <c r="BB200" s="15">
        <f t="shared" si="117"/>
        <v>4579924.4434871785</v>
      </c>
      <c r="BC200" s="20">
        <f t="shared" si="118"/>
        <v>-37775.751825321466</v>
      </c>
      <c r="BD200" s="19">
        <f t="shared" si="119"/>
        <v>-0.81806419272667863</v>
      </c>
      <c r="BE200" s="15">
        <v>4164058.8</v>
      </c>
      <c r="BF200" s="16">
        <f>テーブル2[[#This Row],[q_P]]/テーブル2[[#This Row],[q_M]]</f>
        <v>1.0998702620354877</v>
      </c>
      <c r="BG200">
        <v>1</v>
      </c>
      <c r="BH200">
        <v>-0.25700000000000001</v>
      </c>
      <c r="BI200">
        <v>4.5999999999999999E-2</v>
      </c>
      <c r="BJ200">
        <v>5625</v>
      </c>
      <c r="BK200" s="22">
        <v>1</v>
      </c>
      <c r="BL200">
        <f>テーブル2[[#This Row],[Ts]]-テーブル2[[#This Row],[Tin]]</f>
        <v>143.27885544552896</v>
      </c>
      <c r="BM200">
        <f>テーブル2[[#This Row],[q_P]]*0.000001</f>
        <v>4.5799244434871786</v>
      </c>
      <c r="BN200">
        <f>テーブル2[[#This Row],[Tsub]]</f>
        <v>143.27885544552896</v>
      </c>
      <c r="BO200">
        <f>テーブル2[[#This Row],[Fcorr]]</f>
        <v>1</v>
      </c>
      <c r="BP200">
        <f>(テーブル2[[#This Row],[Tsub]]-40)^2</f>
        <v>10666.521982138467</v>
      </c>
      <c r="BQ200">
        <v>1</v>
      </c>
      <c r="BR200">
        <v>0.15240000000000001</v>
      </c>
    </row>
    <row r="201" spans="1:70" x14ac:dyDescent="0.15">
      <c r="A201" s="9" t="s">
        <v>269</v>
      </c>
      <c r="B201">
        <v>18960582.556212999</v>
      </c>
      <c r="C201" s="22">
        <f t="array" ref="C201">TsatFromP(テーブル2[[#This Row],[P]])</f>
        <v>634.44823391832597</v>
      </c>
      <c r="D201">
        <f t="array" ref="D201">RhoGFromP(テーブル2[[#This Row],[P]])</f>
        <v>149.14958101226799</v>
      </c>
      <c r="E201">
        <f t="array" ref="E201">RhoFFromP(テーブル2[[#This Row],[P]])</f>
        <v>520.38377569771103</v>
      </c>
      <c r="F201">
        <f t="array" ref="F201">HgFromP(テーブル2[[#This Row],[P]])</f>
        <v>2467301.6327637699</v>
      </c>
      <c r="G201">
        <f t="array" ref="G201">HfFromP(テーブル2[[#This Row],[P]])</f>
        <v>1775044.0267545299</v>
      </c>
      <c r="H201">
        <f t="array" ref="H201">MuGFromP(テーブル2[[#This Row],[P]])</f>
        <v>2.5972810943896E-5</v>
      </c>
      <c r="I201">
        <f t="array" ref="I201">MuFFromP(テーブル2[[#This Row],[P]])</f>
        <v>5.9480773118925399E-5</v>
      </c>
      <c r="J201">
        <f t="array" ref="J201">KfFromP(テーブル2[[#This Row],[P]])</f>
        <v>0.43661798563056398</v>
      </c>
      <c r="K201">
        <f t="array" ref="K201">CpFFromP(テーブル2[[#This Row],[P]])</f>
        <v>16063.580349286</v>
      </c>
      <c r="L201">
        <f t="array" ref="L201">SigmaFromP(テーブル2[[#This Row],[P]])</f>
        <v>1.6624879026359001E-3</v>
      </c>
      <c r="M201">
        <v>200</v>
      </c>
      <c r="N201">
        <v>2034.345</v>
      </c>
      <c r="O201" s="8">
        <f t="shared" si="90"/>
        <v>2.8502295699234246E-6</v>
      </c>
      <c r="P201" s="8">
        <f t="shared" si="91"/>
        <v>5.9847340050885557E-3</v>
      </c>
      <c r="Q201" s="8">
        <v>1.905E-3</v>
      </c>
      <c r="R201">
        <v>0.15240000000000001</v>
      </c>
      <c r="S201" s="15">
        <v>3898645.01953125</v>
      </c>
      <c r="T201">
        <v>516.78076663997103</v>
      </c>
      <c r="U201" s="12">
        <f>+T201+BG201*S201*テーブル2[[#This Row],[Pw]]*R201/(N201*O201*K201)</f>
        <v>554.95731990969443</v>
      </c>
      <c r="V201">
        <v>0.03</v>
      </c>
      <c r="W201" s="8">
        <f t="shared" si="92"/>
        <v>65154.284683749836</v>
      </c>
      <c r="X201">
        <v>2.7760466389436762E-2</v>
      </c>
      <c r="Y201">
        <f t="shared" si="93"/>
        <v>6.0018705042739482</v>
      </c>
      <c r="Z201">
        <f t="shared" si="94"/>
        <v>6.0018705113914557</v>
      </c>
      <c r="AA201">
        <f t="shared" si="95"/>
        <v>-7.1175074722873433E-9</v>
      </c>
      <c r="AB201">
        <f t="shared" si="96"/>
        <v>7.2289880152804128E-6</v>
      </c>
      <c r="AC201">
        <v>763.56078518722359</v>
      </c>
      <c r="AD201">
        <f t="shared" si="97"/>
        <v>1919.0282633735189</v>
      </c>
      <c r="AE201">
        <f>+gettm2(AD201,AC201,AK201,AL201,テーブル2[[#This Row],[Fcorr]])</f>
        <v>554.95732154530219</v>
      </c>
      <c r="AF201" s="14">
        <f t="shared" si="98"/>
        <v>1.6356077594537055E-6</v>
      </c>
      <c r="AG201">
        <v>7.3801253999512326E-6</v>
      </c>
      <c r="AH201">
        <f t="shared" si="99"/>
        <v>27.59702297121175</v>
      </c>
      <c r="AI201">
        <f t="shared" si="100"/>
        <v>0.23028690531870988</v>
      </c>
      <c r="AJ201">
        <f t="shared" si="101"/>
        <v>14.868944073225418</v>
      </c>
      <c r="AK201">
        <f t="array" ref="AK201">+S201*テーブル2[[#This Row],[F_form]]/(E201*CpFromTP((テーブル2[[#This Row],[Tin]]+テーブル2[[#This Row],[Tf]])/2,テーブル2[[#This Row],[P]])*AI201)</f>
        <v>6.6902839649362518</v>
      </c>
      <c r="AL201">
        <f t="shared" si="102"/>
        <v>2.1883527698787133</v>
      </c>
      <c r="AM201">
        <f t="shared" si="103"/>
        <v>634.44823389356088</v>
      </c>
      <c r="AN201">
        <f t="shared" si="104"/>
        <v>2.4765085981925949E-8</v>
      </c>
      <c r="AO201">
        <f t="shared" si="105"/>
        <v>1.5113738467081981E-7</v>
      </c>
      <c r="AP201">
        <v>1.857242256433528</v>
      </c>
      <c r="AQ201">
        <f t="shared" si="106"/>
        <v>2.6123278642486726E-5</v>
      </c>
      <c r="AR201">
        <f t="shared" si="107"/>
        <v>3.7656313923110262E-6</v>
      </c>
      <c r="AS201">
        <f t="shared" si="108"/>
        <v>7.5867223845579366</v>
      </c>
      <c r="AT201">
        <f t="shared" si="109"/>
        <v>7.0819983237453599</v>
      </c>
      <c r="AU201">
        <f t="shared" si="110"/>
        <v>1.6308914774476098</v>
      </c>
      <c r="AV201">
        <f t="shared" si="111"/>
        <v>0.22635077898591827</v>
      </c>
      <c r="AW201">
        <f t="shared" si="112"/>
        <v>7.1292529327389824E-3</v>
      </c>
      <c r="AX201">
        <f t="shared" si="113"/>
        <v>0.22635077092521297</v>
      </c>
      <c r="AY201">
        <f t="shared" si="114"/>
        <v>8.0607052976855442E-9</v>
      </c>
      <c r="AZ201">
        <f t="shared" si="115"/>
        <v>692257.60600924003</v>
      </c>
      <c r="BA201">
        <f t="shared" si="116"/>
        <v>1.4065627977176975E-5</v>
      </c>
      <c r="BB201" s="15">
        <f t="shared" si="117"/>
        <v>3870831.4433764899</v>
      </c>
      <c r="BC201" s="20">
        <f t="shared" si="118"/>
        <v>-27813.576154760085</v>
      </c>
      <c r="BD201" s="19">
        <f t="shared" si="119"/>
        <v>-0.71341648227578891</v>
      </c>
      <c r="BE201" s="15">
        <v>3722416.2</v>
      </c>
      <c r="BF201" s="16">
        <f>テーブル2[[#This Row],[q_P]]/テーブル2[[#This Row],[q_M]]</f>
        <v>1.0398706741541932</v>
      </c>
      <c r="BG201">
        <v>1</v>
      </c>
      <c r="BH201">
        <v>-0.189</v>
      </c>
      <c r="BI201">
        <v>4.5999999999999999E-2</v>
      </c>
      <c r="BJ201">
        <v>5625</v>
      </c>
      <c r="BK201" s="22">
        <v>1</v>
      </c>
      <c r="BL201">
        <f>テーブル2[[#This Row],[Ts]]-テーブル2[[#This Row],[Tin]]</f>
        <v>117.66746727835493</v>
      </c>
      <c r="BM201">
        <f>テーブル2[[#This Row],[q_P]]*0.000001</f>
        <v>3.8708314433764897</v>
      </c>
      <c r="BN201">
        <f>テーブル2[[#This Row],[Tsub]]</f>
        <v>117.66746727835493</v>
      </c>
      <c r="BO201">
        <f>テーブル2[[#This Row],[Fcorr]]</f>
        <v>1</v>
      </c>
      <c r="BP201">
        <f>(テーブル2[[#This Row],[Tsub]]-40)^2</f>
        <v>6032.2354734343344</v>
      </c>
      <c r="BQ201">
        <v>1</v>
      </c>
      <c r="BR201">
        <v>0.15240000000000001</v>
      </c>
    </row>
    <row r="202" spans="1:70" x14ac:dyDescent="0.15">
      <c r="A202" s="9" t="s">
        <v>270</v>
      </c>
      <c r="B202">
        <v>18960582.556212999</v>
      </c>
      <c r="C202" s="22">
        <f t="array" ref="C202">TsatFromP(テーブル2[[#This Row],[P]])</f>
        <v>634.44823391832597</v>
      </c>
      <c r="D202">
        <f t="array" ref="D202">RhoGFromP(テーブル2[[#This Row],[P]])</f>
        <v>149.14958101226799</v>
      </c>
      <c r="E202">
        <f t="array" ref="E202">RhoFFromP(テーブル2[[#This Row],[P]])</f>
        <v>520.38377569771103</v>
      </c>
      <c r="F202">
        <f t="array" ref="F202">HgFromP(テーブル2[[#This Row],[P]])</f>
        <v>2467301.6327637699</v>
      </c>
      <c r="G202">
        <f t="array" ref="G202">HfFromP(テーブル2[[#This Row],[P]])</f>
        <v>1775044.0267545299</v>
      </c>
      <c r="H202">
        <f t="array" ref="H202">MuGFromP(テーブル2[[#This Row],[P]])</f>
        <v>2.5972810943896E-5</v>
      </c>
      <c r="I202">
        <f t="array" ref="I202">MuFFromP(テーブル2[[#This Row],[P]])</f>
        <v>5.9480773118925399E-5</v>
      </c>
      <c r="J202">
        <f t="array" ref="J202">KfFromP(テーブル2[[#This Row],[P]])</f>
        <v>0.43661798563056398</v>
      </c>
      <c r="K202">
        <f t="array" ref="K202">CpFFromP(テーブル2[[#This Row],[P]])</f>
        <v>16063.580349286</v>
      </c>
      <c r="L202">
        <f t="array" ref="L202">SigmaFromP(テーブル2[[#This Row],[P]])</f>
        <v>1.6624879026359001E-3</v>
      </c>
      <c r="M202">
        <v>201</v>
      </c>
      <c r="N202">
        <v>2047.9073000000001</v>
      </c>
      <c r="O202" s="8">
        <f t="shared" si="90"/>
        <v>2.8502295699234246E-6</v>
      </c>
      <c r="P202" s="8">
        <f t="shared" si="91"/>
        <v>5.9847340050885557E-3</v>
      </c>
      <c r="Q202" s="8">
        <v>1.905E-3</v>
      </c>
      <c r="R202">
        <v>0.15240000000000001</v>
      </c>
      <c r="S202" s="15">
        <v>4632226.5625</v>
      </c>
      <c r="T202">
        <v>491.16937847279701</v>
      </c>
      <c r="U202" s="12">
        <f>+T202+BG202*S202*テーブル2[[#This Row],[Pw]]*R202/(N202*O202*K202)</f>
        <v>536.22895717939764</v>
      </c>
      <c r="V202">
        <v>0.03</v>
      </c>
      <c r="W202" s="8">
        <f t="shared" si="92"/>
        <v>65588.6465816415</v>
      </c>
      <c r="X202">
        <v>2.7685474811265761E-2</v>
      </c>
      <c r="Y202">
        <f t="shared" si="93"/>
        <v>6.0099936332252639</v>
      </c>
      <c r="Z202">
        <f t="shared" si="94"/>
        <v>6.0099936385649277</v>
      </c>
      <c r="AA202">
        <f t="shared" si="95"/>
        <v>-5.3396638222125148E-9</v>
      </c>
      <c r="AB202">
        <f t="shared" si="96"/>
        <v>7.1528795247520302E-6</v>
      </c>
      <c r="AC202">
        <v>793.61708673720523</v>
      </c>
      <c r="AD202">
        <f t="shared" si="97"/>
        <v>1929.210727875502</v>
      </c>
      <c r="AE202">
        <f>+gettm2(AD202,AC202,AK202,AL202,テーブル2[[#This Row],[Fcorr]])</f>
        <v>536.22895911556827</v>
      </c>
      <c r="AF202" s="14">
        <f t="shared" si="98"/>
        <v>1.9361706335985218E-6</v>
      </c>
      <c r="AG202">
        <v>7.3311103597214086E-6</v>
      </c>
      <c r="AH202">
        <f t="shared" si="99"/>
        <v>27.890662442441183</v>
      </c>
      <c r="AI202">
        <f t="shared" si="100"/>
        <v>0.23150881970289783</v>
      </c>
      <c r="AJ202">
        <f t="shared" si="101"/>
        <v>14.848563520434407</v>
      </c>
      <c r="AK202">
        <f t="array" ref="AK202">+S202*テーブル2[[#This Row],[F_form]]/(E202*CpFromTP((テーブル2[[#This Row],[Tin]]+テーブル2[[#This Row],[Tf]])/2,テーブル2[[#This Row],[P]])*AI202)</f>
        <v>8.2513129398966534</v>
      </c>
      <c r="AL202">
        <f t="shared" si="102"/>
        <v>2.1883527698787133</v>
      </c>
      <c r="AM202">
        <f t="shared" si="103"/>
        <v>634.44823385595294</v>
      </c>
      <c r="AN202">
        <f t="shared" si="104"/>
        <v>6.2373032960749697E-8</v>
      </c>
      <c r="AO202">
        <f t="shared" si="105"/>
        <v>1.7823083496937848E-7</v>
      </c>
      <c r="AP202">
        <v>1.8684798425493141</v>
      </c>
      <c r="AQ202">
        <f t="shared" si="106"/>
        <v>2.5809997438255887E-5</v>
      </c>
      <c r="AR202">
        <f t="shared" si="107"/>
        <v>3.7546705973453936E-6</v>
      </c>
      <c r="AS202">
        <f t="shared" si="108"/>
        <v>7.6047777386219977</v>
      </c>
      <c r="AT202">
        <f t="shared" si="109"/>
        <v>7.0938834979672372</v>
      </c>
      <c r="AU202">
        <f t="shared" si="110"/>
        <v>1.6422965957242592</v>
      </c>
      <c r="AV202">
        <f t="shared" si="111"/>
        <v>0.22618324682505486</v>
      </c>
      <c r="AW202">
        <f t="shared" si="112"/>
        <v>7.0541944766786208E-3</v>
      </c>
      <c r="AX202">
        <f t="shared" si="113"/>
        <v>0.22618323666943713</v>
      </c>
      <c r="AY202">
        <f t="shared" si="114"/>
        <v>1.01556177356521E-8</v>
      </c>
      <c r="AZ202">
        <f t="shared" si="115"/>
        <v>692257.60600924003</v>
      </c>
      <c r="BA202">
        <f t="shared" si="116"/>
        <v>1.3813366807875903E-5</v>
      </c>
      <c r="BB202" s="15">
        <f t="shared" si="117"/>
        <v>4648092.7033490408</v>
      </c>
      <c r="BC202" s="20">
        <f t="shared" si="118"/>
        <v>15866.140849040821</v>
      </c>
      <c r="BD202" s="19">
        <f t="shared" si="119"/>
        <v>0.3425165119833411</v>
      </c>
      <c r="BE202" s="15">
        <v>4164058.8</v>
      </c>
      <c r="BF202" s="16">
        <f>テーブル2[[#This Row],[q_P]]/テーブル2[[#This Row],[q_M]]</f>
        <v>1.1162408905822947</v>
      </c>
      <c r="BG202">
        <v>1</v>
      </c>
      <c r="BH202">
        <v>-0.26300000000000001</v>
      </c>
      <c r="BI202">
        <v>4.5999999999999999E-2</v>
      </c>
      <c r="BJ202">
        <v>5625</v>
      </c>
      <c r="BK202" s="22">
        <v>1</v>
      </c>
      <c r="BL202">
        <f>テーブル2[[#This Row],[Ts]]-テーブル2[[#This Row],[Tin]]</f>
        <v>143.27885544552896</v>
      </c>
      <c r="BM202">
        <f>テーブル2[[#This Row],[q_P]]*0.000001</f>
        <v>4.6480927033490405</v>
      </c>
      <c r="BN202">
        <f>テーブル2[[#This Row],[Tsub]]</f>
        <v>143.27885544552896</v>
      </c>
      <c r="BO202">
        <f>テーブル2[[#This Row],[Fcorr]]</f>
        <v>1</v>
      </c>
      <c r="BP202">
        <f>(テーブル2[[#This Row],[Tsub]]-40)^2</f>
        <v>10666.521982138467</v>
      </c>
      <c r="BQ202">
        <v>1</v>
      </c>
      <c r="BR202">
        <v>0.15240000000000001</v>
      </c>
    </row>
    <row r="203" spans="1:70" x14ac:dyDescent="0.15">
      <c r="A203" s="9" t="s">
        <v>271</v>
      </c>
      <c r="B203">
        <v>18960582.556212999</v>
      </c>
      <c r="C203" s="22">
        <f t="array" ref="C203">TsatFromP(テーブル2[[#This Row],[P]])</f>
        <v>634.44823391832597</v>
      </c>
      <c r="D203">
        <f t="array" ref="D203">RhoGFromP(テーブル2[[#This Row],[P]])</f>
        <v>149.14958101226799</v>
      </c>
      <c r="E203">
        <f t="array" ref="E203">RhoFFromP(テーブル2[[#This Row],[P]])</f>
        <v>520.38377569771103</v>
      </c>
      <c r="F203">
        <f t="array" ref="F203">HgFromP(テーブル2[[#This Row],[P]])</f>
        <v>2467301.6327637699</v>
      </c>
      <c r="G203">
        <f t="array" ref="G203">HfFromP(テーブル2[[#This Row],[P]])</f>
        <v>1775044.0267545299</v>
      </c>
      <c r="H203">
        <f t="array" ref="H203">MuGFromP(テーブル2[[#This Row],[P]])</f>
        <v>2.5972810943896E-5</v>
      </c>
      <c r="I203">
        <f t="array" ref="I203">MuFFromP(テーブル2[[#This Row],[P]])</f>
        <v>5.9480773118925399E-5</v>
      </c>
      <c r="J203">
        <f t="array" ref="J203">KfFromP(テーブル2[[#This Row],[P]])</f>
        <v>0.43661798563056398</v>
      </c>
      <c r="K203">
        <f t="array" ref="K203">CpFFromP(テーブル2[[#This Row],[P]])</f>
        <v>16063.580349286</v>
      </c>
      <c r="L203">
        <f t="array" ref="L203">SigmaFromP(テーブル2[[#This Row],[P]])</f>
        <v>1.6624879026359001E-3</v>
      </c>
      <c r="M203">
        <v>202</v>
      </c>
      <c r="N203">
        <v>2047.9073000000001</v>
      </c>
      <c r="O203" s="8">
        <f t="shared" si="90"/>
        <v>2.8502295699234246E-6</v>
      </c>
      <c r="P203" s="8">
        <f t="shared" si="91"/>
        <v>5.9847340050885557E-3</v>
      </c>
      <c r="Q203" s="8">
        <v>1.905E-3</v>
      </c>
      <c r="R203">
        <v>0.15240000000000001</v>
      </c>
      <c r="S203" s="15">
        <v>3879760.7421875</v>
      </c>
      <c r="T203">
        <v>517.88193873595401</v>
      </c>
      <c r="U203" s="12">
        <f>+T203+BG203*S203*テーブル2[[#This Row],[Pw]]*R203/(N203*O203*K203)</f>
        <v>555.62197199353</v>
      </c>
      <c r="V203">
        <v>0.03</v>
      </c>
      <c r="W203" s="8">
        <f t="shared" si="92"/>
        <v>65588.6465816415</v>
      </c>
      <c r="X203">
        <v>2.7685474811265761E-2</v>
      </c>
      <c r="Y203">
        <f t="shared" si="93"/>
        <v>6.0099936332252639</v>
      </c>
      <c r="Z203">
        <f t="shared" si="94"/>
        <v>6.0099936385649277</v>
      </c>
      <c r="AA203">
        <f t="shared" si="95"/>
        <v>-5.3396638222125148E-9</v>
      </c>
      <c r="AB203">
        <f t="shared" si="96"/>
        <v>7.1528795247520302E-6</v>
      </c>
      <c r="AC203">
        <v>761.79574948842162</v>
      </c>
      <c r="AD203">
        <f t="shared" si="97"/>
        <v>1929.210727875502</v>
      </c>
      <c r="AE203">
        <f>+gettm2(AD203,AC203,AK203,AL203,テーブル2[[#This Row],[Fcorr]])</f>
        <v>555.62197361148742</v>
      </c>
      <c r="AF203" s="14">
        <f t="shared" si="98"/>
        <v>1.6179574231500737E-6</v>
      </c>
      <c r="AG203">
        <v>7.3039135526401753E-6</v>
      </c>
      <c r="AH203">
        <f t="shared" si="99"/>
        <v>27.890662442441183</v>
      </c>
      <c r="AI203">
        <f t="shared" si="100"/>
        <v>0.23150881970289783</v>
      </c>
      <c r="AJ203">
        <f t="shared" si="101"/>
        <v>14.793478615463197</v>
      </c>
      <c r="AK203">
        <f t="array" ref="AK203">+S203*テーブル2[[#This Row],[F_form]]/(E203*CpFromTP((テーブル2[[#This Row],[Tin]]+テーブル2[[#This Row],[Tf]])/2,テーブル2[[#This Row],[P]])*AI203)</f>
        <v>6.6094903462738035</v>
      </c>
      <c r="AL203">
        <f t="shared" si="102"/>
        <v>2.1883527698787133</v>
      </c>
      <c r="AM203">
        <f t="shared" si="103"/>
        <v>634.44823384830488</v>
      </c>
      <c r="AN203">
        <f t="shared" si="104"/>
        <v>7.0021087594795972E-8</v>
      </c>
      <c r="AO203">
        <f t="shared" si="105"/>
        <v>1.5103402788814517E-7</v>
      </c>
      <c r="AP203">
        <v>1.8609766419723821</v>
      </c>
      <c r="AQ203">
        <f t="shared" si="106"/>
        <v>2.6018541687124837E-5</v>
      </c>
      <c r="AR203">
        <f t="shared" si="107"/>
        <v>3.7274737902641602E-6</v>
      </c>
      <c r="AS203">
        <f t="shared" si="108"/>
        <v>7.5496928336507887</v>
      </c>
      <c r="AT203">
        <f t="shared" si="109"/>
        <v>7.0575343907432089</v>
      </c>
      <c r="AU203">
        <f t="shared" si="110"/>
        <v>1.6338814568135704</v>
      </c>
      <c r="AV203">
        <f t="shared" si="111"/>
        <v>0.22709518515881166</v>
      </c>
      <c r="AW203">
        <f t="shared" si="112"/>
        <v>7.0541944766786208E-3</v>
      </c>
      <c r="AX203">
        <f t="shared" si="113"/>
        <v>0.22709517621429448</v>
      </c>
      <c r="AY203">
        <f t="shared" si="114"/>
        <v>8.9445171824742431E-9</v>
      </c>
      <c r="AZ203">
        <f t="shared" si="115"/>
        <v>692257.60600924003</v>
      </c>
      <c r="BA203">
        <f t="shared" si="116"/>
        <v>1.3981122116368276E-5</v>
      </c>
      <c r="BB203" s="15">
        <f t="shared" si="117"/>
        <v>3891564.7387400735</v>
      </c>
      <c r="BC203" s="20">
        <f t="shared" si="118"/>
        <v>11803.996552573517</v>
      </c>
      <c r="BD203" s="19">
        <f t="shared" si="119"/>
        <v>0.30424547638260152</v>
      </c>
      <c r="BE203" s="15">
        <v>3722416.2</v>
      </c>
      <c r="BF203" s="16">
        <f>テーブル2[[#This Row],[q_P]]/テーブル2[[#This Row],[q_M]]</f>
        <v>1.0454405229431554</v>
      </c>
      <c r="BG203">
        <v>1</v>
      </c>
      <c r="BH203">
        <v>-0.187</v>
      </c>
      <c r="BI203">
        <v>4.5999999999999999E-2</v>
      </c>
      <c r="BJ203">
        <v>5625</v>
      </c>
      <c r="BK203" s="22">
        <v>1</v>
      </c>
      <c r="BL203">
        <f>テーブル2[[#This Row],[Ts]]-テーブル2[[#This Row],[Tin]]</f>
        <v>116.56629518237196</v>
      </c>
      <c r="BM203">
        <f>テーブル2[[#This Row],[q_P]]*0.000001</f>
        <v>3.8915647387400734</v>
      </c>
      <c r="BN203">
        <f>テーブル2[[#This Row],[Tsub]]</f>
        <v>116.56629518237196</v>
      </c>
      <c r="BO203">
        <f>テーブル2[[#This Row],[Fcorr]]</f>
        <v>1</v>
      </c>
      <c r="BP203">
        <f>(テーブル2[[#This Row],[Tsub]]-40)^2</f>
        <v>5862.3975579541157</v>
      </c>
      <c r="BQ203">
        <v>1</v>
      </c>
      <c r="BR203">
        <v>0.15240000000000001</v>
      </c>
    </row>
    <row r="204" spans="1:70" x14ac:dyDescent="0.15">
      <c r="A204" s="9" t="s">
        <v>272</v>
      </c>
      <c r="B204">
        <v>18960582.556212999</v>
      </c>
      <c r="C204" s="22">
        <f t="array" ref="C204">TsatFromP(テーブル2[[#This Row],[P]])</f>
        <v>634.44823391832597</v>
      </c>
      <c r="D204">
        <f t="array" ref="D204">RhoGFromP(テーブル2[[#This Row],[P]])</f>
        <v>149.14958101226799</v>
      </c>
      <c r="E204">
        <f t="array" ref="E204">RhoFFromP(テーブル2[[#This Row],[P]])</f>
        <v>520.38377569771103</v>
      </c>
      <c r="F204">
        <f t="array" ref="F204">HgFromP(テーブル2[[#This Row],[P]])</f>
        <v>2467301.6327637699</v>
      </c>
      <c r="G204">
        <f t="array" ref="G204">HfFromP(テーブル2[[#This Row],[P]])</f>
        <v>1775044.0267545299</v>
      </c>
      <c r="H204">
        <f t="array" ref="H204">MuGFromP(テーブル2[[#This Row],[P]])</f>
        <v>2.5972810943896E-5</v>
      </c>
      <c r="I204">
        <f t="array" ref="I204">MuFFromP(テーブル2[[#This Row],[P]])</f>
        <v>5.9480773118925399E-5</v>
      </c>
      <c r="J204">
        <f t="array" ref="J204">KfFromP(テーブル2[[#This Row],[P]])</f>
        <v>0.43661798563056398</v>
      </c>
      <c r="K204">
        <f t="array" ref="K204">CpFFromP(テーブル2[[#This Row],[P]])</f>
        <v>16063.580349286</v>
      </c>
      <c r="L204">
        <f t="array" ref="L204">SigmaFromP(テーブル2[[#This Row],[P]])</f>
        <v>1.6624879026359001E-3</v>
      </c>
      <c r="M204">
        <v>203</v>
      </c>
      <c r="N204">
        <v>2061.4695999999999</v>
      </c>
      <c r="O204" s="8">
        <f t="shared" si="90"/>
        <v>2.8502295699234246E-6</v>
      </c>
      <c r="P204" s="8">
        <f t="shared" si="91"/>
        <v>5.9847340050885557E-3</v>
      </c>
      <c r="Q204" s="8">
        <v>1.905E-3</v>
      </c>
      <c r="R204">
        <v>0.15240000000000001</v>
      </c>
      <c r="S204" s="15">
        <v>3430295.99609375</v>
      </c>
      <c r="T204">
        <v>534.05487488333199</v>
      </c>
      <c r="U204" s="12">
        <f>+T204+BG204*S204*テーブル2[[#This Row],[Pw]]*R204/(N204*O204*K204)</f>
        <v>567.20325345200536</v>
      </c>
      <c r="V204">
        <v>0.03</v>
      </c>
      <c r="W204" s="8">
        <f t="shared" si="92"/>
        <v>66023.008479533164</v>
      </c>
      <c r="X204">
        <v>2.761129022690777E-2</v>
      </c>
      <c r="Y204">
        <f t="shared" si="93"/>
        <v>6.0180618873112151</v>
      </c>
      <c r="Z204">
        <f t="shared" si="94"/>
        <v>6.018061934142847</v>
      </c>
      <c r="AA204">
        <f t="shared" si="95"/>
        <v>-4.6831631905774884E-8</v>
      </c>
      <c r="AB204">
        <f t="shared" si="96"/>
        <v>7.0780382335173812E-6</v>
      </c>
      <c r="AC204">
        <v>742.28489107037728</v>
      </c>
      <c r="AD204">
        <f t="shared" si="97"/>
        <v>1939.3833880575614</v>
      </c>
      <c r="AE204">
        <f>+gettm2(AD204,AC204,AK204,AL204,テーブル2[[#This Row],[Fcorr]])</f>
        <v>567.20325345200536</v>
      </c>
      <c r="AF204" s="14">
        <f t="shared" si="98"/>
        <v>0</v>
      </c>
      <c r="AG204">
        <v>7.2109691790268723E-6</v>
      </c>
      <c r="AH204">
        <f t="shared" si="99"/>
        <v>28.185570879174044</v>
      </c>
      <c r="AI204">
        <f t="shared" si="100"/>
        <v>0.23272955755074334</v>
      </c>
      <c r="AJ204">
        <f t="shared" si="101"/>
        <v>14.682240249448595</v>
      </c>
      <c r="AK204">
        <f t="array" ref="AK204">+S204*テーブル2[[#This Row],[F_form]]/(E204*CpFromTP((テーブル2[[#This Row],[Tin]]+テーブル2[[#This Row],[Tf]])/2,テーブル2[[#This Row],[P]])*AI204)</f>
        <v>5.6103239006692807</v>
      </c>
      <c r="AL204">
        <f t="shared" si="102"/>
        <v>2.1883527698787133</v>
      </c>
      <c r="AM204">
        <f t="shared" si="103"/>
        <v>634.44823393768081</v>
      </c>
      <c r="AN204">
        <f t="shared" si="104"/>
        <v>-1.9354843061591964E-8</v>
      </c>
      <c r="AO204">
        <f t="shared" si="105"/>
        <v>1.3293094550949111E-7</v>
      </c>
      <c r="AP204">
        <v>1.8596128204093281</v>
      </c>
      <c r="AQ204">
        <f t="shared" si="106"/>
        <v>2.6056719161324536E-5</v>
      </c>
      <c r="AR204">
        <f t="shared" si="107"/>
        <v>3.6719500622681817E-6</v>
      </c>
      <c r="AS204">
        <f t="shared" si="108"/>
        <v>7.4764503438738474</v>
      </c>
      <c r="AT204">
        <f t="shared" si="109"/>
        <v>7.0087906319622668</v>
      </c>
      <c r="AU204">
        <f t="shared" si="110"/>
        <v>1.6311527427423731</v>
      </c>
      <c r="AV204">
        <f t="shared" si="111"/>
        <v>0.22846007766695497</v>
      </c>
      <c r="AW204">
        <f t="shared" si="112"/>
        <v>6.9803857369356908E-3</v>
      </c>
      <c r="AX204">
        <f t="shared" si="113"/>
        <v>0.22846006862992704</v>
      </c>
      <c r="AY204">
        <f t="shared" si="114"/>
        <v>9.0370279315354907E-9</v>
      </c>
      <c r="AZ204">
        <f t="shared" si="115"/>
        <v>692257.60600924003</v>
      </c>
      <c r="BA204">
        <f t="shared" si="116"/>
        <v>1.401190552966239E-5</v>
      </c>
      <c r="BB204" s="15">
        <f t="shared" si="117"/>
        <v>3417593.2813150208</v>
      </c>
      <c r="BC204" s="20">
        <f t="shared" si="118"/>
        <v>-12702.714778729249</v>
      </c>
      <c r="BD204" s="19">
        <f t="shared" si="119"/>
        <v>-0.37030958241488393</v>
      </c>
      <c r="BE204" s="15">
        <v>3438503.1</v>
      </c>
      <c r="BF204" s="16">
        <f>テーブル2[[#This Row],[q_P]]/テーブル2[[#This Row],[q_M]]</f>
        <v>0.99391891818129252</v>
      </c>
      <c r="BG204">
        <v>1</v>
      </c>
      <c r="BH204">
        <v>-0.14599999999999999</v>
      </c>
      <c r="BI204">
        <v>4.5999999999999999E-2</v>
      </c>
      <c r="BJ204">
        <v>5625</v>
      </c>
      <c r="BK204" s="22">
        <v>1</v>
      </c>
      <c r="BL204">
        <f>テーブル2[[#This Row],[Ts]]-テーブル2[[#This Row],[Tin]]</f>
        <v>100.39335903499398</v>
      </c>
      <c r="BM204">
        <f>テーブル2[[#This Row],[q_P]]*0.000001</f>
        <v>3.4175932813150207</v>
      </c>
      <c r="BN204">
        <f>テーブル2[[#This Row],[Tsub]]</f>
        <v>100.39335903499398</v>
      </c>
      <c r="BO204">
        <f>テーブル2[[#This Row],[Fcorr]]</f>
        <v>1</v>
      </c>
      <c r="BP204">
        <f>(テーブル2[[#This Row],[Tsub]]-40)^2</f>
        <v>3647.3578155296887</v>
      </c>
      <c r="BQ204">
        <v>1</v>
      </c>
      <c r="BR204">
        <v>0.15240000000000001</v>
      </c>
    </row>
    <row r="205" spans="1:70" x14ac:dyDescent="0.15">
      <c r="A205" s="9" t="s">
        <v>273</v>
      </c>
      <c r="B205">
        <v>18960582.556212999</v>
      </c>
      <c r="C205" s="22">
        <f t="array" ref="C205">TsatFromP(テーブル2[[#This Row],[P]])</f>
        <v>634.44823391832597</v>
      </c>
      <c r="D205">
        <f t="array" ref="D205">RhoGFromP(テーブル2[[#This Row],[P]])</f>
        <v>149.14958101226799</v>
      </c>
      <c r="E205">
        <f t="array" ref="E205">RhoFFromP(テーブル2[[#This Row],[P]])</f>
        <v>520.38377569771103</v>
      </c>
      <c r="F205">
        <f t="array" ref="F205">HgFromP(テーブル2[[#This Row],[P]])</f>
        <v>2467301.6327637699</v>
      </c>
      <c r="G205">
        <f t="array" ref="G205">HfFromP(テーブル2[[#This Row],[P]])</f>
        <v>1775044.0267545299</v>
      </c>
      <c r="H205">
        <f t="array" ref="H205">MuGFromP(テーブル2[[#This Row],[P]])</f>
        <v>2.5972810943896E-5</v>
      </c>
      <c r="I205">
        <f t="array" ref="I205">MuFFromP(テーブル2[[#This Row],[P]])</f>
        <v>5.9480773118925399E-5</v>
      </c>
      <c r="J205">
        <f t="array" ref="J205">KfFromP(テーブル2[[#This Row],[P]])</f>
        <v>0.43661798563056398</v>
      </c>
      <c r="K205">
        <f t="array" ref="K205">CpFFromP(テーブル2[[#This Row],[P]])</f>
        <v>16063.580349286</v>
      </c>
      <c r="L205">
        <f t="array" ref="L205">SigmaFromP(テーブル2[[#This Row],[P]])</f>
        <v>1.6624879026359001E-3</v>
      </c>
      <c r="M205">
        <v>204</v>
      </c>
      <c r="N205">
        <v>2075.0319</v>
      </c>
      <c r="O205" s="8">
        <f t="shared" si="90"/>
        <v>2.8502295699234246E-6</v>
      </c>
      <c r="P205" s="8">
        <f t="shared" si="91"/>
        <v>5.9847340050885557E-3</v>
      </c>
      <c r="Q205" s="8">
        <v>1.905E-3</v>
      </c>
      <c r="R205">
        <v>0.15240000000000001</v>
      </c>
      <c r="S205" s="15">
        <v>3329451.42578125</v>
      </c>
      <c r="T205">
        <v>537.92469521286102</v>
      </c>
      <c r="U205" s="12">
        <f>+T205+BG205*S205*テーブル2[[#This Row],[Pw]]*R205/(N205*O205*K205)</f>
        <v>569.88828393948222</v>
      </c>
      <c r="V205">
        <v>0.03</v>
      </c>
      <c r="W205" s="8">
        <f t="shared" si="92"/>
        <v>66457.370377424828</v>
      </c>
      <c r="X205">
        <v>2.7537897758732419E-2</v>
      </c>
      <c r="Y205">
        <f t="shared" si="93"/>
        <v>6.0260760524703603</v>
      </c>
      <c r="Z205">
        <f t="shared" si="94"/>
        <v>6.0260760849766344</v>
      </c>
      <c r="AA205">
        <f t="shared" si="95"/>
        <v>-3.250627411688356E-8</v>
      </c>
      <c r="AB205">
        <f t="shared" si="96"/>
        <v>7.0044354320592796E-6</v>
      </c>
      <c r="AC205">
        <v>737.3785646291351</v>
      </c>
      <c r="AD205">
        <f t="shared" si="97"/>
        <v>1949.5463069387731</v>
      </c>
      <c r="AE205">
        <f>+gettm2(AD205,AC205,AK205,AL205,テーブル2[[#This Row],[Fcorr]])</f>
        <v>569.88828393948211</v>
      </c>
      <c r="AF205" s="14">
        <f t="shared" si="98"/>
        <v>0</v>
      </c>
      <c r="AG205">
        <v>7.1328723961948813E-6</v>
      </c>
      <c r="AH205">
        <f t="shared" si="99"/>
        <v>28.481745638371329</v>
      </c>
      <c r="AI205">
        <f t="shared" si="100"/>
        <v>0.23394912642465096</v>
      </c>
      <c r="AJ205">
        <f t="shared" si="101"/>
        <v>14.599333373088974</v>
      </c>
      <c r="AK205">
        <f t="array" ref="AK205">+S205*テーブル2[[#This Row],[F_form]]/(E205*CpFromTP((テーブル2[[#This Row],[Tin]]+テーブル2[[#This Row],[Tf]])/2,テーブル2[[#This Row],[P]])*AI205)</f>
        <v>5.3647685667212466</v>
      </c>
      <c r="AL205">
        <f t="shared" si="102"/>
        <v>2.1883527698787133</v>
      </c>
      <c r="AM205">
        <f t="shared" si="103"/>
        <v>634.44823395019762</v>
      </c>
      <c r="AN205">
        <f t="shared" si="104"/>
        <v>-3.1871650207904167E-8</v>
      </c>
      <c r="AO205">
        <f t="shared" si="105"/>
        <v>1.2843696413560167E-7</v>
      </c>
      <c r="AP205">
        <v>1.861953158499333</v>
      </c>
      <c r="AQ205">
        <f t="shared" si="106"/>
        <v>2.5991257570707715E-5</v>
      </c>
      <c r="AR205">
        <f t="shared" si="107"/>
        <v>3.6306546801652415E-6</v>
      </c>
      <c r="AS205">
        <f t="shared" si="108"/>
        <v>7.4311070062846394</v>
      </c>
      <c r="AT205">
        <f t="shared" si="109"/>
        <v>6.9783741952806455</v>
      </c>
      <c r="AU205">
        <f t="shared" si="110"/>
        <v>1.6325845468502336</v>
      </c>
      <c r="AV205">
        <f t="shared" si="111"/>
        <v>0.22936861164909939</v>
      </c>
      <c r="AW205">
        <f t="shared" si="112"/>
        <v>6.9077984000852476E-3</v>
      </c>
      <c r="AX205">
        <f t="shared" si="113"/>
        <v>0.22936860189177832</v>
      </c>
      <c r="AY205">
        <f t="shared" si="114"/>
        <v>9.7573210622314832E-9</v>
      </c>
      <c r="AZ205">
        <f t="shared" si="115"/>
        <v>692257.60600924003</v>
      </c>
      <c r="BA205">
        <f t="shared" si="116"/>
        <v>1.3959136110414148E-5</v>
      </c>
      <c r="BB205" s="15">
        <f t="shared" si="117"/>
        <v>3314537.7806892479</v>
      </c>
      <c r="BC205" s="20">
        <f t="shared" si="118"/>
        <v>-14913.645092002116</v>
      </c>
      <c r="BD205" s="19">
        <f t="shared" si="119"/>
        <v>-0.44793100078048609</v>
      </c>
      <c r="BE205" s="15">
        <v>3375411.3</v>
      </c>
      <c r="BF205" s="16">
        <f>テーブル2[[#This Row],[q_P]]/テーブル2[[#This Row],[q_M]]</f>
        <v>0.98196559947798012</v>
      </c>
      <c r="BG205">
        <v>1</v>
      </c>
      <c r="BH205">
        <v>-0.13800000000000001</v>
      </c>
      <c r="BI205">
        <v>4.5999999999999999E-2</v>
      </c>
      <c r="BJ205">
        <v>5625</v>
      </c>
      <c r="BK205" s="22">
        <v>1</v>
      </c>
      <c r="BL205">
        <f>テーブル2[[#This Row],[Ts]]-テーブル2[[#This Row],[Tin]]</f>
        <v>96.523538705464944</v>
      </c>
      <c r="BM205">
        <f>テーブル2[[#This Row],[q_P]]*0.000001</f>
        <v>3.3145377806892475</v>
      </c>
      <c r="BN205">
        <f>テーブル2[[#This Row],[Tsub]]</f>
        <v>96.523538705464944</v>
      </c>
      <c r="BO205">
        <f>テーブル2[[#This Row],[Fcorr]]</f>
        <v>1</v>
      </c>
      <c r="BP205">
        <f>(テーブル2[[#This Row],[Tsub]]-40)^2</f>
        <v>3194.9104277881934</v>
      </c>
      <c r="BQ205">
        <v>1</v>
      </c>
      <c r="BR205">
        <v>0.15240000000000001</v>
      </c>
    </row>
    <row r="206" spans="1:70" x14ac:dyDescent="0.15">
      <c r="A206" s="9" t="s">
        <v>274</v>
      </c>
      <c r="B206">
        <v>18960582.556212999</v>
      </c>
      <c r="C206" s="22">
        <f t="array" ref="C206">TsatFromP(テーブル2[[#This Row],[P]])</f>
        <v>634.44823391832597</v>
      </c>
      <c r="D206">
        <f t="array" ref="D206">RhoGFromP(テーブル2[[#This Row],[P]])</f>
        <v>149.14958101226799</v>
      </c>
      <c r="E206">
        <f t="array" ref="E206">RhoFFromP(テーブル2[[#This Row],[P]])</f>
        <v>520.38377569771103</v>
      </c>
      <c r="F206">
        <f t="array" ref="F206">HgFromP(テーブル2[[#This Row],[P]])</f>
        <v>2467301.6327637699</v>
      </c>
      <c r="G206">
        <f t="array" ref="G206">HfFromP(テーブル2[[#This Row],[P]])</f>
        <v>1775044.0267545299</v>
      </c>
      <c r="H206">
        <f t="array" ref="H206">MuGFromP(テーブル2[[#This Row],[P]])</f>
        <v>2.5972810943896E-5</v>
      </c>
      <c r="I206">
        <f t="array" ref="I206">MuFFromP(テーブル2[[#This Row],[P]])</f>
        <v>5.9480773118925399E-5</v>
      </c>
      <c r="J206">
        <f t="array" ref="J206">KfFromP(テーブル2[[#This Row],[P]])</f>
        <v>0.43661798563056398</v>
      </c>
      <c r="K206">
        <f t="array" ref="K206">CpFFromP(テーブル2[[#This Row],[P]])</f>
        <v>16063.580349286</v>
      </c>
      <c r="L206">
        <f t="array" ref="L206">SigmaFromP(テーブル2[[#This Row],[P]])</f>
        <v>1.6624879026359001E-3</v>
      </c>
      <c r="M206">
        <v>205</v>
      </c>
      <c r="N206">
        <v>2685.3353999999999</v>
      </c>
      <c r="O206" s="8">
        <f t="shared" si="90"/>
        <v>2.8502295699234246E-6</v>
      </c>
      <c r="P206" s="8">
        <f t="shared" si="91"/>
        <v>5.9847340050885557E-3</v>
      </c>
      <c r="Q206" s="8">
        <v>1.905E-3</v>
      </c>
      <c r="R206">
        <v>0.15240000000000001</v>
      </c>
      <c r="S206" s="15">
        <v>3002368.1640625</v>
      </c>
      <c r="T206">
        <v>561.28950888079305</v>
      </c>
      <c r="U206" s="12">
        <f>+T206+BG206*S206*テーブル2[[#This Row],[Pw]]*R206/(N206*O206*K206)</f>
        <v>583.56221761103211</v>
      </c>
      <c r="V206">
        <v>0.03</v>
      </c>
      <c r="W206" s="8">
        <f t="shared" si="92"/>
        <v>86003.655782549788</v>
      </c>
      <c r="X206">
        <v>2.4878380745810669E-2</v>
      </c>
      <c r="Y206">
        <f t="shared" si="93"/>
        <v>6.3399954316979432</v>
      </c>
      <c r="Z206">
        <f t="shared" si="94"/>
        <v>6.3399954657620112</v>
      </c>
      <c r="AA206">
        <f t="shared" si="95"/>
        <v>-3.4064068010764004E-8</v>
      </c>
      <c r="AB206">
        <f t="shared" si="96"/>
        <v>4.6295021533103351E-6</v>
      </c>
      <c r="AC206">
        <v>700.19218316204831</v>
      </c>
      <c r="AD206">
        <f t="shared" si="97"/>
        <v>2398.0209791092771</v>
      </c>
      <c r="AE206">
        <f>+gettm2(AD206,AC206,AK206,AL206,テーブル2[[#This Row],[Fcorr]])</f>
        <v>583.56221761103211</v>
      </c>
      <c r="AF206" s="14">
        <f t="shared" si="98"/>
        <v>0</v>
      </c>
      <c r="AG206">
        <v>4.7256519565741301E-6</v>
      </c>
      <c r="AH206">
        <f t="shared" si="99"/>
        <v>43.092872993623338</v>
      </c>
      <c r="AI206">
        <f t="shared" si="100"/>
        <v>0.28776690823595841</v>
      </c>
      <c r="AJ206">
        <f t="shared" si="101"/>
        <v>11.897335991426317</v>
      </c>
      <c r="AK206">
        <f t="array" ref="AK206">+S206*テーブル2[[#This Row],[F_form]]/(E206*CpFromTP((テーブル2[[#This Row],[Tin]]+テーブル2[[#This Row],[Tf]])/2,テーブル2[[#This Row],[P]])*AI206)</f>
        <v>3.6735375386752014</v>
      </c>
      <c r="AL206">
        <f t="shared" si="102"/>
        <v>2.1883527698787133</v>
      </c>
      <c r="AM206">
        <f t="shared" si="103"/>
        <v>634.44823401952613</v>
      </c>
      <c r="AN206">
        <f t="shared" si="104"/>
        <v>-1.0120015758730005E-7</v>
      </c>
      <c r="AO206">
        <f t="shared" si="105"/>
        <v>9.6149803263795015E-8</v>
      </c>
      <c r="AP206">
        <v>1.982016925628435</v>
      </c>
      <c r="AQ206">
        <f t="shared" si="106"/>
        <v>2.2937711055083859E-5</v>
      </c>
      <c r="AR206">
        <f t="shared" si="107"/>
        <v>2.4109008799189625E-6</v>
      </c>
      <c r="AS206">
        <f t="shared" si="108"/>
        <v>6.0697017203135832</v>
      </c>
      <c r="AT206">
        <f t="shared" si="109"/>
        <v>5.9665473194135537</v>
      </c>
      <c r="AU206">
        <f t="shared" si="110"/>
        <v>1.7169748749511837</v>
      </c>
      <c r="AV206">
        <f t="shared" si="111"/>
        <v>0.26504205067725128</v>
      </c>
      <c r="AW206">
        <f t="shared" si="112"/>
        <v>4.5656310031009064E-3</v>
      </c>
      <c r="AX206">
        <f t="shared" si="113"/>
        <v>0.26504205034881945</v>
      </c>
      <c r="AY206">
        <f t="shared" si="114"/>
        <v>3.284318372820394E-10</v>
      </c>
      <c r="AZ206">
        <f t="shared" si="115"/>
        <v>692257.60600924003</v>
      </c>
      <c r="BA206">
        <f t="shared" si="116"/>
        <v>1.1572913812434289E-5</v>
      </c>
      <c r="BB206" s="15">
        <f t="shared" si="117"/>
        <v>2992934.1739844298</v>
      </c>
      <c r="BC206" s="20">
        <f t="shared" si="118"/>
        <v>-9433.990078070201</v>
      </c>
      <c r="BD206" s="19">
        <f t="shared" si="119"/>
        <v>-0.31421829577706029</v>
      </c>
      <c r="BE206" s="15">
        <v>3596232.6</v>
      </c>
      <c r="BF206" s="16">
        <f>テーブル2[[#This Row],[q_P]]/テーブル2[[#This Row],[q_M]]</f>
        <v>0.8322415446610516</v>
      </c>
      <c r="BG206">
        <v>1</v>
      </c>
      <c r="BH206">
        <v>-0.104</v>
      </c>
      <c r="BI206">
        <v>4.5999999999999999E-2</v>
      </c>
      <c r="BJ206">
        <v>5625</v>
      </c>
      <c r="BK206" s="22">
        <v>1</v>
      </c>
      <c r="BL206">
        <f>テーブル2[[#This Row],[Ts]]-テーブル2[[#This Row],[Tin]]</f>
        <v>73.158725037532918</v>
      </c>
      <c r="BM206">
        <f>テーブル2[[#This Row],[q_P]]*0.000001</f>
        <v>2.9929341739844295</v>
      </c>
      <c r="BN206">
        <f>テーブル2[[#This Row],[Tsub]]</f>
        <v>73.158725037532918</v>
      </c>
      <c r="BO206">
        <f>テーブル2[[#This Row],[Fcorr]]</f>
        <v>1</v>
      </c>
      <c r="BP206">
        <f>(テーブル2[[#This Row],[Tsub]]-40)^2</f>
        <v>1099.5010461147124</v>
      </c>
      <c r="BQ206">
        <v>1</v>
      </c>
      <c r="BR206">
        <v>0.15240000000000001</v>
      </c>
    </row>
    <row r="207" spans="1:70" x14ac:dyDescent="0.15">
      <c r="A207" s="9" t="s">
        <v>275</v>
      </c>
      <c r="B207">
        <v>18960582.556212999</v>
      </c>
      <c r="C207" s="22">
        <f t="array" ref="C207">TsatFromP(テーブル2[[#This Row],[P]])</f>
        <v>634.44823391832597</v>
      </c>
      <c r="D207">
        <f t="array" ref="D207">RhoGFromP(テーブル2[[#This Row],[P]])</f>
        <v>149.14958101226799</v>
      </c>
      <c r="E207">
        <f t="array" ref="E207">RhoFFromP(テーブル2[[#This Row],[P]])</f>
        <v>520.38377569771103</v>
      </c>
      <c r="F207">
        <f t="array" ref="F207">HgFromP(テーブル2[[#This Row],[P]])</f>
        <v>2467301.6327637699</v>
      </c>
      <c r="G207">
        <f t="array" ref="G207">HfFromP(テーブル2[[#This Row],[P]])</f>
        <v>1775044.0267545299</v>
      </c>
      <c r="H207">
        <f t="array" ref="H207">MuGFromP(テーブル2[[#This Row],[P]])</f>
        <v>2.5972810943896E-5</v>
      </c>
      <c r="I207">
        <f t="array" ref="I207">MuFFromP(テーブル2[[#This Row],[P]])</f>
        <v>5.9480773118925399E-5</v>
      </c>
      <c r="J207">
        <f t="array" ref="J207">KfFromP(テーブル2[[#This Row],[P]])</f>
        <v>0.43661798563056398</v>
      </c>
      <c r="K207">
        <f t="array" ref="K207">CpFFromP(テーブル2[[#This Row],[P]])</f>
        <v>16063.580349286</v>
      </c>
      <c r="L207">
        <f t="array" ref="L207">SigmaFromP(テーブル2[[#This Row],[P]])</f>
        <v>1.6624879026359001E-3</v>
      </c>
      <c r="M207">
        <v>206</v>
      </c>
      <c r="N207">
        <v>2698.8977</v>
      </c>
      <c r="O207" s="8">
        <f t="shared" si="90"/>
        <v>2.8502295699234246E-6</v>
      </c>
      <c r="P207" s="8">
        <f t="shared" si="91"/>
        <v>5.9847340050885557E-3</v>
      </c>
      <c r="Q207" s="8">
        <v>1.905E-3</v>
      </c>
      <c r="R207">
        <v>0.15240000000000001</v>
      </c>
      <c r="S207" s="15">
        <v>4171740.72265625</v>
      </c>
      <c r="T207">
        <v>525.63284033909497</v>
      </c>
      <c r="U207" s="12">
        <f>+T207+BG207*S207*テーブル2[[#This Row],[Pw]]*R207/(N207*O207*K207)</f>
        <v>556.42488400592742</v>
      </c>
      <c r="V207">
        <v>0.03</v>
      </c>
      <c r="W207" s="8">
        <f t="shared" si="92"/>
        <v>86438.017680441451</v>
      </c>
      <c r="X207">
        <v>2.4830525859102271E-2</v>
      </c>
      <c r="Y207">
        <f t="shared" si="93"/>
        <v>6.3461019016727107</v>
      </c>
      <c r="Z207">
        <f t="shared" si="94"/>
        <v>6.346101933090341</v>
      </c>
      <c r="AA207">
        <f t="shared" si="95"/>
        <v>-3.1417630275143438E-8</v>
      </c>
      <c r="AB207">
        <f t="shared" si="96"/>
        <v>4.5919242072455085E-6</v>
      </c>
      <c r="AC207">
        <v>735.4534969647093</v>
      </c>
      <c r="AD207">
        <f t="shared" si="97"/>
        <v>2407.8130717556137</v>
      </c>
      <c r="AE207">
        <f>+gettm2(AD207,AC207,AK207,AL207,テーブル2[[#This Row],[Fcorr]])</f>
        <v>556.42488400592731</v>
      </c>
      <c r="AF207" s="14">
        <f t="shared" si="98"/>
        <v>0</v>
      </c>
      <c r="AG207">
        <v>4.7219781386298901E-6</v>
      </c>
      <c r="AH207">
        <f t="shared" si="99"/>
        <v>43.445522903344767</v>
      </c>
      <c r="AI207">
        <f t="shared" si="100"/>
        <v>0.28894197728270338</v>
      </c>
      <c r="AJ207">
        <f t="shared" si="101"/>
        <v>11.936630642243873</v>
      </c>
      <c r="AK207">
        <f t="array" ref="AK207">+S207*テーブル2[[#This Row],[F_form]]/(E207*CpFromTP((テーブル2[[#This Row],[Tin]]+テーブル2[[#This Row],[Tf]])/2,テーブル2[[#This Row],[P]])*AI207)</f>
        <v>5.6370887193823682</v>
      </c>
      <c r="AL207">
        <f t="shared" si="102"/>
        <v>2.1883527698787133</v>
      </c>
      <c r="AM207">
        <f t="shared" si="103"/>
        <v>634.4482340835458</v>
      </c>
      <c r="AN207">
        <f t="shared" si="104"/>
        <v>-1.6521983070560964E-7</v>
      </c>
      <c r="AO207">
        <f t="shared" si="105"/>
        <v>1.3005393138438154E-7</v>
      </c>
      <c r="AP207">
        <v>2.0023275411607102</v>
      </c>
      <c r="AQ207">
        <f t="shared" si="106"/>
        <v>2.247473364682511E-5</v>
      </c>
      <c r="AR207">
        <f t="shared" si="107"/>
        <v>2.4260160350071358E-6</v>
      </c>
      <c r="AS207">
        <f t="shared" si="108"/>
        <v>6.1326961904240491</v>
      </c>
      <c r="AT207">
        <f t="shared" si="109"/>
        <v>6.0181724427732153</v>
      </c>
      <c r="AU207">
        <f t="shared" si="110"/>
        <v>1.73890264524317</v>
      </c>
      <c r="AV207">
        <f t="shared" si="111"/>
        <v>0.26342489591754026</v>
      </c>
      <c r="AW207">
        <f t="shared" si="112"/>
        <v>4.528571502985166E-3</v>
      </c>
      <c r="AX207">
        <f t="shared" si="113"/>
        <v>0.26342489168070349</v>
      </c>
      <c r="AY207">
        <f t="shared" si="114"/>
        <v>4.2368367703105037E-9</v>
      </c>
      <c r="AZ207">
        <f t="shared" si="115"/>
        <v>692257.60600924003</v>
      </c>
      <c r="BA207">
        <f t="shared" si="116"/>
        <v>1.1224304308273633E-5</v>
      </c>
      <c r="BB207" s="15">
        <f t="shared" si="117"/>
        <v>4174029.7140213419</v>
      </c>
      <c r="BC207" s="20">
        <f t="shared" si="118"/>
        <v>2288.9913650918752</v>
      </c>
      <c r="BD207" s="19">
        <f t="shared" si="119"/>
        <v>5.4868974782172411E-2</v>
      </c>
      <c r="BE207" s="15">
        <v>4511063.7</v>
      </c>
      <c r="BF207" s="16">
        <f>テーブル2[[#This Row],[q_P]]/テーブル2[[#This Row],[q_M]]</f>
        <v>0.92528724744484137</v>
      </c>
      <c r="BG207">
        <v>1</v>
      </c>
      <c r="BH207">
        <v>-0.20200000000000001</v>
      </c>
      <c r="BI207">
        <v>4.5999999999999999E-2</v>
      </c>
      <c r="BJ207">
        <v>5625</v>
      </c>
      <c r="BK207" s="22">
        <v>1</v>
      </c>
      <c r="BL207">
        <f>テーブル2[[#This Row],[Ts]]-テーブル2[[#This Row],[Tin]]</f>
        <v>108.815393579231</v>
      </c>
      <c r="BM207">
        <f>テーブル2[[#This Row],[q_P]]*0.000001</f>
        <v>4.1740297140213416</v>
      </c>
      <c r="BN207">
        <f>テーブル2[[#This Row],[Tsub]]</f>
        <v>108.815393579231</v>
      </c>
      <c r="BO207">
        <f>テーブル2[[#This Row],[Fcorr]]</f>
        <v>1</v>
      </c>
      <c r="BP207">
        <f>(テーブル2[[#This Row],[Tsub]]-40)^2</f>
        <v>4735.5583934644674</v>
      </c>
      <c r="BQ207">
        <v>1</v>
      </c>
      <c r="BR207">
        <v>0.15240000000000001</v>
      </c>
    </row>
    <row r="208" spans="1:70" x14ac:dyDescent="0.15">
      <c r="A208" s="9" t="s">
        <v>276</v>
      </c>
      <c r="B208">
        <v>18960582.556212999</v>
      </c>
      <c r="C208" s="22">
        <f t="array" ref="C208">TsatFromP(テーブル2[[#This Row],[P]])</f>
        <v>634.44823391832597</v>
      </c>
      <c r="D208">
        <f t="array" ref="D208">RhoGFromP(テーブル2[[#This Row],[P]])</f>
        <v>149.14958101226799</v>
      </c>
      <c r="E208">
        <f t="array" ref="E208">RhoFFromP(テーブル2[[#This Row],[P]])</f>
        <v>520.38377569771103</v>
      </c>
      <c r="F208">
        <f t="array" ref="F208">HgFromP(テーブル2[[#This Row],[P]])</f>
        <v>2467301.6327637699</v>
      </c>
      <c r="G208">
        <f t="array" ref="G208">HfFromP(テーブル2[[#This Row],[P]])</f>
        <v>1775044.0267545299</v>
      </c>
      <c r="H208">
        <f t="array" ref="H208">MuGFromP(テーブル2[[#This Row],[P]])</f>
        <v>2.5972810943896E-5</v>
      </c>
      <c r="I208">
        <f t="array" ref="I208">MuFFromP(テーブル2[[#This Row],[P]])</f>
        <v>5.9480773118925399E-5</v>
      </c>
      <c r="J208">
        <f t="array" ref="J208">KfFromP(テーブル2[[#This Row],[P]])</f>
        <v>0.43661798563056398</v>
      </c>
      <c r="K208">
        <f t="array" ref="K208">CpFFromP(テーブル2[[#This Row],[P]])</f>
        <v>16063.580349286</v>
      </c>
      <c r="L208">
        <f t="array" ref="L208">SigmaFromP(テーブル2[[#This Row],[P]])</f>
        <v>1.6624879026359001E-3</v>
      </c>
      <c r="M208">
        <v>207</v>
      </c>
      <c r="N208">
        <v>2726.0223000000001</v>
      </c>
      <c r="O208" s="8">
        <f t="shared" si="90"/>
        <v>2.8502295699234246E-6</v>
      </c>
      <c r="P208" s="8">
        <f t="shared" si="91"/>
        <v>5.9847340050885557E-3</v>
      </c>
      <c r="Q208" s="8">
        <v>1.905E-3</v>
      </c>
      <c r="R208">
        <v>0.15240000000000001</v>
      </c>
      <c r="S208" s="15">
        <v>5599682.6171875</v>
      </c>
      <c r="T208">
        <v>481.73347125662798</v>
      </c>
      <c r="U208" s="12">
        <f>+T208+BG208*S208*テーブル2[[#This Row],[Pw]]*R208/(N208*O208*K208)</f>
        <v>522.65403768029626</v>
      </c>
      <c r="V208">
        <v>0.03</v>
      </c>
      <c r="W208" s="8">
        <f t="shared" si="92"/>
        <v>87306.741476224779</v>
      </c>
      <c r="X208">
        <v>2.4735969360292959E-2</v>
      </c>
      <c r="Y208">
        <f t="shared" si="93"/>
        <v>6.3582197371331333</v>
      </c>
      <c r="Z208">
        <f t="shared" si="94"/>
        <v>6.3582197634838256</v>
      </c>
      <c r="AA208">
        <f t="shared" si="95"/>
        <v>-2.6350692294840883E-8</v>
      </c>
      <c r="AB208">
        <f t="shared" si="96"/>
        <v>4.518202920192045E-6</v>
      </c>
      <c r="AC208">
        <v>779.03964791992109</v>
      </c>
      <c r="AD208">
        <f t="shared" si="97"/>
        <v>2427.3771390989714</v>
      </c>
      <c r="AE208">
        <f>+gettm2(AD208,AC208,AK208,AL208,テーブル2[[#This Row],[Fcorr]])</f>
        <v>522.65403768029614</v>
      </c>
      <c r="AF208" s="14">
        <f t="shared" si="98"/>
        <v>0</v>
      </c>
      <c r="AG208">
        <v>4.6871749131914986E-6</v>
      </c>
      <c r="AH208">
        <f t="shared" si="99"/>
        <v>44.154402057672165</v>
      </c>
      <c r="AI208">
        <f t="shared" si="100"/>
        <v>0.29128970118543973</v>
      </c>
      <c r="AJ208">
        <f t="shared" si="101"/>
        <v>11.944925177154067</v>
      </c>
      <c r="AK208">
        <f t="array" ref="AK208">+S208*テーブル2[[#This Row],[F_form]]/(E208*CpFromTP((テーブル2[[#This Row],[Tin]]+テーブル2[[#This Row],[Tf]])/2,テーブル2[[#This Row],[P]])*AI208)</f>
        <v>8.06760128503395</v>
      </c>
      <c r="AL208">
        <f t="shared" si="102"/>
        <v>2.1883527698787133</v>
      </c>
      <c r="AM208">
        <f t="shared" si="103"/>
        <v>634.44823388160466</v>
      </c>
      <c r="AN208">
        <f t="shared" si="104"/>
        <v>3.6721303331432864E-8</v>
      </c>
      <c r="AO208">
        <f t="shared" si="105"/>
        <v>1.689719929994536E-7</v>
      </c>
      <c r="AP208">
        <v>2.0282266702596732</v>
      </c>
      <c r="AQ208">
        <f t="shared" si="106"/>
        <v>2.1904422969598713E-5</v>
      </c>
      <c r="AR208">
        <f t="shared" si="107"/>
        <v>2.4280734530954761E-6</v>
      </c>
      <c r="AS208">
        <f t="shared" si="108"/>
        <v>6.1877690205743381</v>
      </c>
      <c r="AT208">
        <f t="shared" si="109"/>
        <v>6.0628730251114256</v>
      </c>
      <c r="AU208">
        <f t="shared" si="110"/>
        <v>1.7660524718099702</v>
      </c>
      <c r="AV208">
        <f t="shared" si="111"/>
        <v>0.26217419844970302</v>
      </c>
      <c r="AW208">
        <f t="shared" si="112"/>
        <v>4.4558673152316035E-3</v>
      </c>
      <c r="AX208">
        <f t="shared" si="113"/>
        <v>0.2621741879381001</v>
      </c>
      <c r="AY208">
        <f t="shared" si="114"/>
        <v>1.0511602921425833E-8</v>
      </c>
      <c r="AZ208">
        <f t="shared" si="115"/>
        <v>692257.60600924003</v>
      </c>
      <c r="BA208">
        <f t="shared" si="116"/>
        <v>1.0799790423224392E-5</v>
      </c>
      <c r="BB208" s="15">
        <f t="shared" si="117"/>
        <v>5636258.2334838584</v>
      </c>
      <c r="BC208" s="20">
        <f t="shared" si="118"/>
        <v>36575.616296358407</v>
      </c>
      <c r="BD208" s="19">
        <f t="shared" si="119"/>
        <v>0.65317302420130552</v>
      </c>
      <c r="BE208" s="15">
        <v>5236619.4000000004</v>
      </c>
      <c r="BF208" s="16">
        <f>テーブル2[[#This Row],[q_P]]/テーブル2[[#This Row],[q_M]]</f>
        <v>1.0763161885478747</v>
      </c>
      <c r="BG208">
        <v>1</v>
      </c>
      <c r="BH208">
        <v>-0.376</v>
      </c>
      <c r="BI208">
        <v>4.5999999999999999E-2</v>
      </c>
      <c r="BJ208">
        <v>5625</v>
      </c>
      <c r="BK208" s="22">
        <v>1</v>
      </c>
      <c r="BL208">
        <f>テーブル2[[#This Row],[Ts]]-テーブル2[[#This Row],[Tin]]</f>
        <v>152.71476266169799</v>
      </c>
      <c r="BM208">
        <f>テーブル2[[#This Row],[q_P]]*0.000001</f>
        <v>5.6362582334838578</v>
      </c>
      <c r="BN208">
        <f>テーブル2[[#This Row],[Tsub]]</f>
        <v>152.71476266169799</v>
      </c>
      <c r="BO208">
        <f>テーブル2[[#This Row],[Fcorr]]</f>
        <v>1</v>
      </c>
      <c r="BP208">
        <f>(テーブル2[[#This Row],[Tsub]]-40)^2</f>
        <v>12704.617721882907</v>
      </c>
      <c r="BQ208">
        <v>1</v>
      </c>
      <c r="BR208">
        <v>0.15240000000000001</v>
      </c>
    </row>
    <row r="209" spans="1:70" x14ac:dyDescent="0.15">
      <c r="A209" s="9" t="s">
        <v>277</v>
      </c>
      <c r="B209">
        <v>18960582.556212999</v>
      </c>
      <c r="C209" s="22">
        <f t="array" ref="C209">TsatFromP(テーブル2[[#This Row],[P]])</f>
        <v>634.44823391832597</v>
      </c>
      <c r="D209">
        <f t="array" ref="D209">RhoGFromP(テーブル2[[#This Row],[P]])</f>
        <v>149.14958101226799</v>
      </c>
      <c r="E209">
        <f t="array" ref="E209">RhoFFromP(テーブル2[[#This Row],[P]])</f>
        <v>520.38377569771103</v>
      </c>
      <c r="F209">
        <f t="array" ref="F209">HgFromP(テーブル2[[#This Row],[P]])</f>
        <v>2467301.6327637699</v>
      </c>
      <c r="G209">
        <f t="array" ref="G209">HfFromP(テーブル2[[#This Row],[P]])</f>
        <v>1775044.0267545299</v>
      </c>
      <c r="H209">
        <f t="array" ref="H209">MuGFromP(テーブル2[[#This Row],[P]])</f>
        <v>2.5972810943896E-5</v>
      </c>
      <c r="I209">
        <f t="array" ref="I209">MuFFromP(テーブル2[[#This Row],[P]])</f>
        <v>5.9480773118925399E-5</v>
      </c>
      <c r="J209">
        <f t="array" ref="J209">KfFromP(テーブル2[[#This Row],[P]])</f>
        <v>0.43661798563056398</v>
      </c>
      <c r="K209">
        <f t="array" ref="K209">CpFFromP(テーブル2[[#This Row],[P]])</f>
        <v>16063.580349286</v>
      </c>
      <c r="L209">
        <f t="array" ref="L209">SigmaFromP(テーブル2[[#This Row],[P]])</f>
        <v>1.6624879026359001E-3</v>
      </c>
      <c r="M209">
        <v>208</v>
      </c>
      <c r="N209">
        <v>2726.0223000000001</v>
      </c>
      <c r="O209" s="8">
        <f t="shared" si="90"/>
        <v>2.8502295699234246E-6</v>
      </c>
      <c r="P209" s="8">
        <f t="shared" si="91"/>
        <v>5.9847340050885557E-3</v>
      </c>
      <c r="Q209" s="8">
        <v>1.905E-3</v>
      </c>
      <c r="R209">
        <v>0.15240000000000001</v>
      </c>
      <c r="S209" s="15">
        <v>5580798.33984375</v>
      </c>
      <c r="T209">
        <v>482.30962211684403</v>
      </c>
      <c r="U209" s="12">
        <f>+T209+BG209*S209*テーブル2[[#This Row],[Pw]]*R209/(N209*O209*K209)</f>
        <v>523.09218869690756</v>
      </c>
      <c r="V209">
        <v>0.03</v>
      </c>
      <c r="W209" s="8">
        <f t="shared" si="92"/>
        <v>87306.741476224779</v>
      </c>
      <c r="X209">
        <v>2.4735969360292959E-2</v>
      </c>
      <c r="Y209">
        <f t="shared" si="93"/>
        <v>6.3582197371331333</v>
      </c>
      <c r="Z209">
        <f t="shared" si="94"/>
        <v>6.3582197634838256</v>
      </c>
      <c r="AA209">
        <f t="shared" si="95"/>
        <v>-2.6350692294840883E-8</v>
      </c>
      <c r="AB209">
        <f t="shared" si="96"/>
        <v>4.518202920192045E-6</v>
      </c>
      <c r="AC209">
        <v>778.42953571381645</v>
      </c>
      <c r="AD209">
        <f t="shared" si="97"/>
        <v>2427.3771390989714</v>
      </c>
      <c r="AE209">
        <f>+gettm2(AD209,AC209,AK209,AL209,テーブル2[[#This Row],[Fcorr]])</f>
        <v>523.09218869690767</v>
      </c>
      <c r="AF209" s="14">
        <f t="shared" si="98"/>
        <v>0</v>
      </c>
      <c r="AG209">
        <v>4.6854684467396084E-6</v>
      </c>
      <c r="AH209">
        <f t="shared" si="99"/>
        <v>44.154402057672165</v>
      </c>
      <c r="AI209">
        <f t="shared" si="100"/>
        <v>0.29128970118543973</v>
      </c>
      <c r="AJ209">
        <f t="shared" si="101"/>
        <v>11.940576371218151</v>
      </c>
      <c r="AK209">
        <f t="array" ref="AK209">+S209*テーブル2[[#This Row],[F_form]]/(E209*CpFromTP((テーブル2[[#This Row],[Tin]]+テーブル2[[#This Row],[Tf]])/2,テーブル2[[#This Row],[P]])*AI209)</f>
        <v>8.0346159325614241</v>
      </c>
      <c r="AL209">
        <f t="shared" si="102"/>
        <v>2.1883527698787133</v>
      </c>
      <c r="AM209">
        <f t="shared" si="103"/>
        <v>634.44823388054135</v>
      </c>
      <c r="AN209">
        <f t="shared" si="104"/>
        <v>3.7784616324643139E-8</v>
      </c>
      <c r="AO209">
        <f t="shared" si="105"/>
        <v>1.6726552654756335E-7</v>
      </c>
      <c r="AP209">
        <v>2.0273199640725679</v>
      </c>
      <c r="AQ209">
        <f t="shared" si="106"/>
        <v>2.1924020583699959E-5</v>
      </c>
      <c r="AR209">
        <f t="shared" si="107"/>
        <v>2.4263669866435859E-6</v>
      </c>
      <c r="AS209">
        <f t="shared" si="108"/>
        <v>6.1834202146384252</v>
      </c>
      <c r="AT209">
        <f t="shared" si="109"/>
        <v>6.059357755857711</v>
      </c>
      <c r="AU209">
        <f t="shared" si="110"/>
        <v>1.7650285100794694</v>
      </c>
      <c r="AV209">
        <f t="shared" si="111"/>
        <v>0.2622914539930985</v>
      </c>
      <c r="AW209">
        <f t="shared" si="112"/>
        <v>4.4558673152316035E-3</v>
      </c>
      <c r="AX209">
        <f t="shared" si="113"/>
        <v>0.26229144370557417</v>
      </c>
      <c r="AY209">
        <f t="shared" si="114"/>
        <v>1.0287524332408537E-8</v>
      </c>
      <c r="AZ209">
        <f t="shared" si="115"/>
        <v>692257.60600924003</v>
      </c>
      <c r="BA209">
        <f t="shared" si="116"/>
        <v>1.081428732130573E-5</v>
      </c>
      <c r="BB209" s="15">
        <f t="shared" si="117"/>
        <v>5571857.7715575127</v>
      </c>
      <c r="BC209" s="20">
        <f t="shared" si="118"/>
        <v>-8940.5682862373069</v>
      </c>
      <c r="BD209" s="19">
        <f t="shared" si="119"/>
        <v>-0.16020231769362989</v>
      </c>
      <c r="BE209" s="15">
        <v>5110435.8000000007</v>
      </c>
      <c r="BF209" s="16">
        <f>テーブル2[[#This Row],[q_P]]/テーブル2[[#This Row],[q_M]]</f>
        <v>1.0902901415095581</v>
      </c>
      <c r="BG209">
        <v>1</v>
      </c>
      <c r="BH209">
        <v>-0.39300000000000002</v>
      </c>
      <c r="BI209">
        <v>4.5999999999999999E-2</v>
      </c>
      <c r="BJ209">
        <v>5625</v>
      </c>
      <c r="BK209" s="22">
        <v>1</v>
      </c>
      <c r="BL209">
        <f>テーブル2[[#This Row],[Ts]]-テーブル2[[#This Row],[Tin]]</f>
        <v>152.13861180148194</v>
      </c>
      <c r="BM209">
        <f>テーブル2[[#This Row],[q_P]]*0.000001</f>
        <v>5.5718577715575126</v>
      </c>
      <c r="BN209">
        <f>テーブル2[[#This Row],[Tsub]]</f>
        <v>152.13861180148194</v>
      </c>
      <c r="BO209">
        <f>テーブル2[[#This Row],[Fcorr]]</f>
        <v>1</v>
      </c>
      <c r="BP209">
        <f>(テーブル2[[#This Row],[Tsub]]-40)^2</f>
        <v>12575.068256763465</v>
      </c>
      <c r="BQ209">
        <v>1</v>
      </c>
      <c r="BR209">
        <v>0.15240000000000001</v>
      </c>
    </row>
    <row r="210" spans="1:70" x14ac:dyDescent="0.15">
      <c r="A210" s="9" t="s">
        <v>278</v>
      </c>
      <c r="B210">
        <v>18960582.556212999</v>
      </c>
      <c r="C210" s="22">
        <f t="array" ref="C210">TsatFromP(テーブル2[[#This Row],[P]])</f>
        <v>634.44823391832597</v>
      </c>
      <c r="D210">
        <f t="array" ref="D210">RhoGFromP(テーブル2[[#This Row],[P]])</f>
        <v>149.14958101226799</v>
      </c>
      <c r="E210">
        <f t="array" ref="E210">RhoFFromP(テーブル2[[#This Row],[P]])</f>
        <v>520.38377569771103</v>
      </c>
      <c r="F210">
        <f t="array" ref="F210">HgFromP(テーブル2[[#This Row],[P]])</f>
        <v>2467301.6327637699</v>
      </c>
      <c r="G210">
        <f t="array" ref="G210">HfFromP(テーブル2[[#This Row],[P]])</f>
        <v>1775044.0267545299</v>
      </c>
      <c r="H210">
        <f t="array" ref="H210">MuGFromP(テーブル2[[#This Row],[P]])</f>
        <v>2.5972810943896E-5</v>
      </c>
      <c r="I210">
        <f t="array" ref="I210">MuFFromP(テーブル2[[#This Row],[P]])</f>
        <v>5.9480773118925399E-5</v>
      </c>
      <c r="J210">
        <f t="array" ref="J210">KfFromP(テーブル2[[#This Row],[P]])</f>
        <v>0.43661798563056398</v>
      </c>
      <c r="K210">
        <f t="array" ref="K210">CpFFromP(テーブル2[[#This Row],[P]])</f>
        <v>16063.580349286</v>
      </c>
      <c r="L210">
        <f t="array" ref="L210">SigmaFromP(テーブル2[[#This Row],[P]])</f>
        <v>1.6624879026359001E-3</v>
      </c>
      <c r="M210">
        <v>209</v>
      </c>
      <c r="N210">
        <v>2726.0223000000001</v>
      </c>
      <c r="O210" s="8">
        <f t="shared" si="90"/>
        <v>2.8502295699234246E-6</v>
      </c>
      <c r="P210" s="8">
        <f t="shared" si="91"/>
        <v>5.9847340050885557E-3</v>
      </c>
      <c r="Q210" s="8">
        <v>1.905E-3</v>
      </c>
      <c r="R210">
        <v>0.15240000000000001</v>
      </c>
      <c r="S210" s="15">
        <v>3080810.546875</v>
      </c>
      <c r="T210">
        <v>559.60722906880403</v>
      </c>
      <c r="U210" s="12">
        <f>+T210+BG210*S210*テーブル2[[#This Row],[Pw]]*R210/(N210*O210*K210)</f>
        <v>582.12073943012081</v>
      </c>
      <c r="V210">
        <v>0.03</v>
      </c>
      <c r="W210" s="8">
        <f t="shared" si="92"/>
        <v>87306.741476224779</v>
      </c>
      <c r="X210">
        <v>2.4735969360292959E-2</v>
      </c>
      <c r="Y210">
        <f t="shared" si="93"/>
        <v>6.3582197371331333</v>
      </c>
      <c r="Z210">
        <f t="shared" si="94"/>
        <v>6.3582197634838256</v>
      </c>
      <c r="AA210">
        <f t="shared" si="95"/>
        <v>-2.6350692294840883E-8</v>
      </c>
      <c r="AB210">
        <f t="shared" si="96"/>
        <v>4.518202920192045E-6</v>
      </c>
      <c r="AC210">
        <v>701.28132171557729</v>
      </c>
      <c r="AD210">
        <f t="shared" si="97"/>
        <v>2427.3771390989714</v>
      </c>
      <c r="AE210">
        <f>+gettm2(AD210,AC210,AK210,AL210,テーブル2[[#This Row],[Fcorr]])</f>
        <v>582.12073943012081</v>
      </c>
      <c r="AF210" s="14">
        <f t="shared" si="98"/>
        <v>0</v>
      </c>
      <c r="AG210">
        <v>4.6166259228747248E-6</v>
      </c>
      <c r="AH210">
        <f t="shared" si="99"/>
        <v>44.154402057672165</v>
      </c>
      <c r="AI210">
        <f t="shared" si="100"/>
        <v>0.29128970118543973</v>
      </c>
      <c r="AJ210">
        <f t="shared" si="101"/>
        <v>11.765136194181414</v>
      </c>
      <c r="AK210">
        <f t="array" ref="AK210">+S210*テーブル2[[#This Row],[F_form]]/(E210*CpFromTP((テーブル2[[#This Row],[Tin]]+テーブル2[[#This Row],[Tf]])/2,テーブル2[[#This Row],[P]])*AI210)</f>
        <v>3.7495866709252836</v>
      </c>
      <c r="AL210">
        <f t="shared" si="102"/>
        <v>2.1883527698787133</v>
      </c>
      <c r="AM210">
        <f t="shared" si="103"/>
        <v>634.44823386674284</v>
      </c>
      <c r="AN210">
        <f t="shared" si="104"/>
        <v>5.1583128879428841E-8</v>
      </c>
      <c r="AO210">
        <f t="shared" si="105"/>
        <v>9.8423002682679744E-8</v>
      </c>
      <c r="AP210">
        <v>1.990280364754464</v>
      </c>
      <c r="AQ210">
        <f t="shared" si="106"/>
        <v>2.2747636432460722E-5</v>
      </c>
      <c r="AR210">
        <f t="shared" si="107"/>
        <v>2.3575244627787023E-6</v>
      </c>
      <c r="AS210">
        <f t="shared" si="108"/>
        <v>6.0079800376016852</v>
      </c>
      <c r="AT210">
        <f t="shared" si="109"/>
        <v>5.9154429591005471</v>
      </c>
      <c r="AU210">
        <f t="shared" si="110"/>
        <v>1.7231076119359117</v>
      </c>
      <c r="AV210">
        <f t="shared" si="111"/>
        <v>0.26717275281855235</v>
      </c>
      <c r="AW210">
        <f t="shared" si="112"/>
        <v>4.4558673152316035E-3</v>
      </c>
      <c r="AX210">
        <f t="shared" si="113"/>
        <v>0.26717275095829379</v>
      </c>
      <c r="AY210">
        <f t="shared" si="114"/>
        <v>1.8602585583060716E-9</v>
      </c>
      <c r="AZ210">
        <f t="shared" si="115"/>
        <v>692257.60600924003</v>
      </c>
      <c r="BA210">
        <f t="shared" si="116"/>
        <v>1.1429362835153651E-5</v>
      </c>
      <c r="BB210" s="15">
        <f t="shared" si="117"/>
        <v>3102173.4337624102</v>
      </c>
      <c r="BC210" s="20">
        <f t="shared" si="118"/>
        <v>21362.88688741019</v>
      </c>
      <c r="BD210" s="19">
        <f t="shared" si="119"/>
        <v>0.69341774063580419</v>
      </c>
      <c r="BE210" s="15">
        <v>3785508</v>
      </c>
      <c r="BF210" s="16">
        <f>テーブル2[[#This Row],[q_P]]/テーブル2[[#This Row],[q_M]]</f>
        <v>0.81948669340083558</v>
      </c>
      <c r="BG210">
        <v>1</v>
      </c>
      <c r="BH210">
        <v>-9.2999999999999999E-2</v>
      </c>
      <c r="BI210">
        <v>4.5999999999999999E-2</v>
      </c>
      <c r="BJ210">
        <v>5625</v>
      </c>
      <c r="BK210" s="22">
        <v>1</v>
      </c>
      <c r="BL210">
        <f>テーブル2[[#This Row],[Ts]]-テーブル2[[#This Row],[Tin]]</f>
        <v>74.841004849521937</v>
      </c>
      <c r="BM210">
        <f>テーブル2[[#This Row],[q_P]]*0.000001</f>
        <v>3.1021734337624101</v>
      </c>
      <c r="BN210">
        <f>テーブル2[[#This Row],[Tsub]]</f>
        <v>74.841004849521937</v>
      </c>
      <c r="BO210">
        <f>テーブル2[[#This Row],[Fcorr]]</f>
        <v>1</v>
      </c>
      <c r="BP210">
        <f>(テーブル2[[#This Row],[Tsub]]-40)^2</f>
        <v>1213.8956189244111</v>
      </c>
      <c r="BQ210">
        <v>1</v>
      </c>
      <c r="BR210">
        <v>0.15240000000000001</v>
      </c>
    </row>
    <row r="211" spans="1:70" x14ac:dyDescent="0.15">
      <c r="A211" s="9" t="s">
        <v>279</v>
      </c>
      <c r="B211">
        <v>18960582.556212999</v>
      </c>
      <c r="C211" s="22">
        <f t="array" ref="C211">TsatFromP(テーブル2[[#This Row],[P]])</f>
        <v>634.44823391832597</v>
      </c>
      <c r="D211">
        <f t="array" ref="D211">RhoGFromP(テーブル2[[#This Row],[P]])</f>
        <v>149.14958101226799</v>
      </c>
      <c r="E211">
        <f t="array" ref="E211">RhoFFromP(テーブル2[[#This Row],[P]])</f>
        <v>520.38377569771103</v>
      </c>
      <c r="F211">
        <f t="array" ref="F211">HgFromP(テーブル2[[#This Row],[P]])</f>
        <v>2467301.6327637699</v>
      </c>
      <c r="G211">
        <f t="array" ref="G211">HfFromP(テーブル2[[#This Row],[P]])</f>
        <v>1775044.0267545299</v>
      </c>
      <c r="H211">
        <f t="array" ref="H211">MuGFromP(テーブル2[[#This Row],[P]])</f>
        <v>2.5972810943896E-5</v>
      </c>
      <c r="I211">
        <f t="array" ref="I211">MuFFromP(テーブル2[[#This Row],[P]])</f>
        <v>5.9480773118925399E-5</v>
      </c>
      <c r="J211">
        <f t="array" ref="J211">KfFromP(テーブル2[[#This Row],[P]])</f>
        <v>0.43661798563056398</v>
      </c>
      <c r="K211">
        <f t="array" ref="K211">CpFFromP(テーブル2[[#This Row],[P]])</f>
        <v>16063.580349286</v>
      </c>
      <c r="L211">
        <f t="array" ref="L211">SigmaFromP(テーブル2[[#This Row],[P]])</f>
        <v>1.6624879026359001E-3</v>
      </c>
      <c r="M211">
        <v>210</v>
      </c>
      <c r="N211">
        <v>2739.5846000000001</v>
      </c>
      <c r="O211" s="8">
        <f t="shared" si="90"/>
        <v>2.8502295699234246E-6</v>
      </c>
      <c r="P211" s="8">
        <f t="shared" si="91"/>
        <v>5.9847340050885557E-3</v>
      </c>
      <c r="Q211" s="8">
        <v>1.905E-3</v>
      </c>
      <c r="R211">
        <v>0.15240000000000001</v>
      </c>
      <c r="S211" s="15">
        <v>4507299.8046875</v>
      </c>
      <c r="T211">
        <v>516.17931085542295</v>
      </c>
      <c r="U211" s="12">
        <f>+T211+BG211*S211*テーブル2[[#This Row],[Pw]]*R211/(N211*O211*K211)</f>
        <v>548.95405864845645</v>
      </c>
      <c r="V211">
        <v>0.03</v>
      </c>
      <c r="W211" s="8">
        <f t="shared" si="92"/>
        <v>87741.103374116457</v>
      </c>
      <c r="X211">
        <v>2.468925762544872E-2</v>
      </c>
      <c r="Y211">
        <f t="shared" si="93"/>
        <v>6.3642317268426769</v>
      </c>
      <c r="Z211">
        <f t="shared" si="94"/>
        <v>6.3642317508062174</v>
      </c>
      <c r="AA211">
        <f t="shared" si="95"/>
        <v>-2.3963540485283374E-8</v>
      </c>
      <c r="AB211">
        <f t="shared" si="96"/>
        <v>4.4820429169196439E-6</v>
      </c>
      <c r="AC211">
        <v>743.97533892875151</v>
      </c>
      <c r="AD211">
        <f t="shared" si="97"/>
        <v>2437.1492054158384</v>
      </c>
      <c r="AE211">
        <f>+gettm2(AD211,AC211,AK211,AL211,テーブル2[[#This Row],[Fcorr]])</f>
        <v>548.95406008820964</v>
      </c>
      <c r="AF211" s="14">
        <f t="shared" si="98"/>
        <v>1.4397531913346029E-6</v>
      </c>
      <c r="AG211">
        <v>4.619110652165609E-6</v>
      </c>
      <c r="AH211">
        <f t="shared" si="99"/>
        <v>44.510628749939897</v>
      </c>
      <c r="AI211">
        <f t="shared" si="100"/>
        <v>0.29246236703598044</v>
      </c>
      <c r="AJ211">
        <f t="shared" si="101"/>
        <v>11.818857591237007</v>
      </c>
      <c r="AK211">
        <f t="array" ref="AK211">+S211*テーブル2[[#This Row],[F_form]]/(E211*CpFromTP((テーブル2[[#This Row],[Tin]]+テーブル2[[#This Row],[Tf]])/2,テーブル2[[#This Row],[P]])*AI211)</f>
        <v>6.1346958209654234</v>
      </c>
      <c r="AL211">
        <f t="shared" si="102"/>
        <v>2.1883527698787133</v>
      </c>
      <c r="AM211">
        <f t="shared" si="103"/>
        <v>634.44823383720404</v>
      </c>
      <c r="AN211">
        <f t="shared" si="104"/>
        <v>8.1121925177285448E-8</v>
      </c>
      <c r="AO211">
        <f t="shared" si="105"/>
        <v>1.3706773524596512E-7</v>
      </c>
      <c r="AP211">
        <v>2.013742939234977</v>
      </c>
      <c r="AQ211">
        <f t="shared" si="106"/>
        <v>2.2220648733605146E-5</v>
      </c>
      <c r="AR211">
        <f t="shared" si="107"/>
        <v>2.378089193705787E-6</v>
      </c>
      <c r="AS211">
        <f t="shared" si="108"/>
        <v>6.0847855001029405</v>
      </c>
      <c r="AT211">
        <f t="shared" si="109"/>
        <v>5.9789573760941055</v>
      </c>
      <c r="AU211">
        <f t="shared" si="110"/>
        <v>1.7486200266197169</v>
      </c>
      <c r="AV211">
        <f t="shared" si="111"/>
        <v>0.26512291261526011</v>
      </c>
      <c r="AW211">
        <f t="shared" si="112"/>
        <v>4.4202061951920217E-3</v>
      </c>
      <c r="AX211">
        <f t="shared" si="113"/>
        <v>0.26512290553248474</v>
      </c>
      <c r="AY211">
        <f t="shared" si="114"/>
        <v>7.0827753662072723E-9</v>
      </c>
      <c r="AZ211">
        <f t="shared" si="115"/>
        <v>692257.60600924003</v>
      </c>
      <c r="BA211">
        <f t="shared" si="116"/>
        <v>1.1034501127560399E-5</v>
      </c>
      <c r="BB211" s="15">
        <f t="shared" si="117"/>
        <v>4474804.0003333921</v>
      </c>
      <c r="BC211" s="20">
        <f t="shared" si="118"/>
        <v>-32495.804354107939</v>
      </c>
      <c r="BD211" s="19">
        <f t="shared" si="119"/>
        <v>-0.72095946048037374</v>
      </c>
      <c r="BE211" s="15">
        <v>4574155.5</v>
      </c>
      <c r="BF211" s="16">
        <f>テーブル2[[#This Row],[q_P]]/テーブル2[[#This Row],[q_M]]</f>
        <v>0.97827981587713664</v>
      </c>
      <c r="BG211">
        <v>1</v>
      </c>
      <c r="BH211">
        <v>-0.26700000000000002</v>
      </c>
      <c r="BI211">
        <v>4.5999999999999999E-2</v>
      </c>
      <c r="BJ211">
        <v>5625</v>
      </c>
      <c r="BK211" s="22">
        <v>1</v>
      </c>
      <c r="BL211">
        <f>テーブル2[[#This Row],[Ts]]-テーブル2[[#This Row],[Tin]]</f>
        <v>118.26892306290301</v>
      </c>
      <c r="BM211">
        <f>テーブル2[[#This Row],[q_P]]*0.000001</f>
        <v>4.4748040003333918</v>
      </c>
      <c r="BN211">
        <f>テーブル2[[#This Row],[Tsub]]</f>
        <v>118.26892306290301</v>
      </c>
      <c r="BO211">
        <f>テーブル2[[#This Row],[Fcorr]]</f>
        <v>1</v>
      </c>
      <c r="BP211">
        <f>(テーブル2[[#This Row],[Tsub]]-40)^2</f>
        <v>6126.0243174266316</v>
      </c>
      <c r="BQ211">
        <v>1</v>
      </c>
      <c r="BR211">
        <v>0.15240000000000001</v>
      </c>
    </row>
    <row r="212" spans="1:70" x14ac:dyDescent="0.15">
      <c r="A212" s="9" t="s">
        <v>280</v>
      </c>
      <c r="B212">
        <v>18960582.556212999</v>
      </c>
      <c r="C212" s="22">
        <f t="array" ref="C212">TsatFromP(テーブル2[[#This Row],[P]])</f>
        <v>634.44823391832597</v>
      </c>
      <c r="D212">
        <f t="array" ref="D212">RhoGFromP(テーブル2[[#This Row],[P]])</f>
        <v>149.14958101226799</v>
      </c>
      <c r="E212">
        <f t="array" ref="E212">RhoFFromP(テーブル2[[#This Row],[P]])</f>
        <v>520.38377569771103</v>
      </c>
      <c r="F212">
        <f t="array" ref="F212">HgFromP(テーブル2[[#This Row],[P]])</f>
        <v>2467301.6327637699</v>
      </c>
      <c r="G212">
        <f t="array" ref="G212">HfFromP(テーブル2[[#This Row],[P]])</f>
        <v>1775044.0267545299</v>
      </c>
      <c r="H212">
        <f t="array" ref="H212">MuGFromP(テーブル2[[#This Row],[P]])</f>
        <v>2.5972810943896E-5</v>
      </c>
      <c r="I212">
        <f t="array" ref="I212">MuFFromP(テーブル2[[#This Row],[P]])</f>
        <v>5.9480773118925399E-5</v>
      </c>
      <c r="J212">
        <f t="array" ref="J212">KfFromP(テーブル2[[#This Row],[P]])</f>
        <v>0.43661798563056398</v>
      </c>
      <c r="K212">
        <f t="array" ref="K212">CpFFromP(テーブル2[[#This Row],[P]])</f>
        <v>16063.580349286</v>
      </c>
      <c r="L212">
        <f t="array" ref="L212">SigmaFromP(テーブル2[[#This Row],[P]])</f>
        <v>1.6624879026359001E-3</v>
      </c>
      <c r="M212">
        <v>211</v>
      </c>
      <c r="N212">
        <v>2766.7091999999998</v>
      </c>
      <c r="O212" s="8">
        <f t="shared" si="90"/>
        <v>2.8502295699234246E-6</v>
      </c>
      <c r="P212" s="8">
        <f t="shared" si="91"/>
        <v>5.9847340050885557E-3</v>
      </c>
      <c r="Q212" s="8">
        <v>1.905E-3</v>
      </c>
      <c r="R212">
        <v>0.15240000000000001</v>
      </c>
      <c r="S212" s="15">
        <v>4529089.35546875</v>
      </c>
      <c r="T212">
        <v>516.17931085542295</v>
      </c>
      <c r="U212" s="12">
        <f>+T212+BG212*S212*テーブル2[[#This Row],[Pw]]*R212/(N212*O212*K212)</f>
        <v>548.78962655413113</v>
      </c>
      <c r="V212">
        <v>0.03</v>
      </c>
      <c r="W212" s="8">
        <f t="shared" si="92"/>
        <v>88609.827169899771</v>
      </c>
      <c r="X212">
        <v>2.459694256493547E-2</v>
      </c>
      <c r="Y212">
        <f t="shared" si="93"/>
        <v>6.3761633767970558</v>
      </c>
      <c r="Z212">
        <f t="shared" si="94"/>
        <v>6.3761633963344897</v>
      </c>
      <c r="AA212">
        <f t="shared" si="95"/>
        <v>-1.9537433892935496E-8</v>
      </c>
      <c r="AB212">
        <f t="shared" si="96"/>
        <v>4.411083909332042E-6</v>
      </c>
      <c r="AC212">
        <v>743.35466623393108</v>
      </c>
      <c r="AD212">
        <f t="shared" si="97"/>
        <v>2456.6736283613895</v>
      </c>
      <c r="AE212">
        <f>+gettm2(AD212,AC212,AK212,AL212,テーブル2[[#This Row],[Fcorr]])</f>
        <v>548.78962655413113</v>
      </c>
      <c r="AF212" s="14">
        <f t="shared" si="98"/>
        <v>0</v>
      </c>
      <c r="AG212">
        <v>4.5485534710139848E-6</v>
      </c>
      <c r="AH212">
        <f t="shared" si="99"/>
        <v>45.226650051759606</v>
      </c>
      <c r="AI212">
        <f t="shared" si="100"/>
        <v>0.29480533353839167</v>
      </c>
      <c r="AJ212">
        <f t="shared" si="101"/>
        <v>11.73156048234301</v>
      </c>
      <c r="AK212">
        <f t="array" ref="AK212">+S212*テーブル2[[#This Row],[F_form]]/(E212*CpFromTP((テーブル2[[#This Row],[Tin]]+テーブル2[[#This Row],[Tf]])/2,テーブル2[[#This Row],[P]])*AI212)</f>
        <v>6.1164363946280487</v>
      </c>
      <c r="AL212">
        <f t="shared" si="102"/>
        <v>2.1883527698787133</v>
      </c>
      <c r="AM212">
        <f t="shared" si="103"/>
        <v>634.44823379382638</v>
      </c>
      <c r="AN212">
        <f t="shared" si="104"/>
        <v>1.2449959285731893E-7</v>
      </c>
      <c r="AO212">
        <f t="shared" si="105"/>
        <v>1.3746956168194281E-7</v>
      </c>
      <c r="AP212">
        <v>2.0190324935065709</v>
      </c>
      <c r="AQ212">
        <f t="shared" si="106"/>
        <v>2.2104371890163183E-5</v>
      </c>
      <c r="AR212">
        <f t="shared" si="107"/>
        <v>2.3430115163479638E-6</v>
      </c>
      <c r="AS212">
        <f t="shared" si="108"/>
        <v>6.0430599508231735</v>
      </c>
      <c r="AT212">
        <f t="shared" si="109"/>
        <v>5.9445524901784239</v>
      </c>
      <c r="AU212">
        <f t="shared" si="110"/>
        <v>1.7524857796035269</v>
      </c>
      <c r="AV212">
        <f t="shared" si="111"/>
        <v>0.26654671390304396</v>
      </c>
      <c r="AW212">
        <f t="shared" si="112"/>
        <v>4.3502261769821646E-3</v>
      </c>
      <c r="AX212">
        <f t="shared" si="113"/>
        <v>0.26654670528736879</v>
      </c>
      <c r="AY212">
        <f t="shared" si="114"/>
        <v>8.6156751732957559E-9</v>
      </c>
      <c r="AZ212">
        <f t="shared" si="115"/>
        <v>692257.60600924003</v>
      </c>
      <c r="BA212">
        <f t="shared" si="116"/>
        <v>1.0948002056060642E-5</v>
      </c>
      <c r="BB212" s="15">
        <f t="shared" si="117"/>
        <v>4523380.9181830715</v>
      </c>
      <c r="BC212" s="20">
        <f t="shared" si="118"/>
        <v>-5708.4372856784612</v>
      </c>
      <c r="BD212" s="19">
        <f t="shared" si="119"/>
        <v>-0.12603940522360596</v>
      </c>
      <c r="BE212" s="15">
        <v>4479517.8</v>
      </c>
      <c r="BF212" s="16">
        <f>テーブル2[[#This Row],[q_P]]/テーブル2[[#This Row],[q_M]]</f>
        <v>1.0097919285381725</v>
      </c>
      <c r="BG212">
        <v>1</v>
      </c>
      <c r="BH212">
        <v>-0.28999999999999998</v>
      </c>
      <c r="BI212">
        <v>4.5999999999999999E-2</v>
      </c>
      <c r="BJ212">
        <v>5625</v>
      </c>
      <c r="BK212" s="22">
        <v>1</v>
      </c>
      <c r="BL212">
        <f>テーブル2[[#This Row],[Ts]]-テーブル2[[#This Row],[Tin]]</f>
        <v>118.26892306290301</v>
      </c>
      <c r="BM212">
        <f>テーブル2[[#This Row],[q_P]]*0.000001</f>
        <v>4.5233809181830713</v>
      </c>
      <c r="BN212">
        <f>テーブル2[[#This Row],[Tsub]]</f>
        <v>118.26892306290301</v>
      </c>
      <c r="BO212">
        <f>テーブル2[[#This Row],[Fcorr]]</f>
        <v>1</v>
      </c>
      <c r="BP212">
        <f>(テーブル2[[#This Row],[Tsub]]-40)^2</f>
        <v>6126.0243174266316</v>
      </c>
      <c r="BQ212">
        <v>1</v>
      </c>
      <c r="BR212">
        <v>0.15240000000000001</v>
      </c>
    </row>
    <row r="213" spans="1:70" x14ac:dyDescent="0.15">
      <c r="A213" s="9" t="s">
        <v>281</v>
      </c>
      <c r="B213">
        <v>18960582.556212999</v>
      </c>
      <c r="C213" s="22">
        <f t="array" ref="C213">TsatFromP(テーブル2[[#This Row],[P]])</f>
        <v>634.44823391832597</v>
      </c>
      <c r="D213">
        <f t="array" ref="D213">RhoGFromP(テーブル2[[#This Row],[P]])</f>
        <v>149.14958101226799</v>
      </c>
      <c r="E213">
        <f t="array" ref="E213">RhoFFromP(テーブル2[[#This Row],[P]])</f>
        <v>520.38377569771103</v>
      </c>
      <c r="F213">
        <f t="array" ref="F213">HgFromP(テーブル2[[#This Row],[P]])</f>
        <v>2467301.6327637699</v>
      </c>
      <c r="G213">
        <f t="array" ref="G213">HfFromP(テーブル2[[#This Row],[P]])</f>
        <v>1775044.0267545299</v>
      </c>
      <c r="H213">
        <f t="array" ref="H213">MuGFromP(テーブル2[[#This Row],[P]])</f>
        <v>2.5972810943896E-5</v>
      </c>
      <c r="I213">
        <f t="array" ref="I213">MuFFromP(テーブル2[[#This Row],[P]])</f>
        <v>5.9480773118925399E-5</v>
      </c>
      <c r="J213">
        <f t="array" ref="J213">KfFromP(テーブル2[[#This Row],[P]])</f>
        <v>0.43661798563056398</v>
      </c>
      <c r="K213">
        <f t="array" ref="K213">CpFFromP(テーブル2[[#This Row],[P]])</f>
        <v>16063.580349286</v>
      </c>
      <c r="L213">
        <f t="array" ref="L213">SigmaFromP(テーブル2[[#This Row],[P]])</f>
        <v>1.6624879026359001E-3</v>
      </c>
      <c r="M213">
        <v>212</v>
      </c>
      <c r="N213">
        <v>3377.0127000000002</v>
      </c>
      <c r="O213" s="8">
        <f t="shared" si="90"/>
        <v>2.8502295699234246E-6</v>
      </c>
      <c r="P213" s="8">
        <f t="shared" si="91"/>
        <v>5.9847340050885557E-3</v>
      </c>
      <c r="Q213" s="8">
        <v>1.905E-3</v>
      </c>
      <c r="R213">
        <v>0.15240000000000001</v>
      </c>
      <c r="S213" s="15">
        <v>3469864.55078125</v>
      </c>
      <c r="T213">
        <v>558.46565244536998</v>
      </c>
      <c r="U213" s="12">
        <f>+T213+BG213*S213*テーブル2[[#This Row],[Pw]]*R213/(N213*O213*K213)</f>
        <v>578.93422027787256</v>
      </c>
      <c r="V213">
        <v>0.03</v>
      </c>
      <c r="W213" s="8">
        <f t="shared" si="92"/>
        <v>108156.11257502473</v>
      </c>
      <c r="X213">
        <v>2.2842853749085991E-2</v>
      </c>
      <c r="Y213">
        <f t="shared" si="93"/>
        <v>6.6164467317851292</v>
      </c>
      <c r="Z213">
        <f t="shared" si="94"/>
        <v>6.6164467598196168</v>
      </c>
      <c r="AA213">
        <f t="shared" si="95"/>
        <v>-2.8034487620232085E-8</v>
      </c>
      <c r="AB213">
        <f t="shared" si="96"/>
        <v>3.1881425212607506E-6</v>
      </c>
      <c r="AC213">
        <v>694.2883105142472</v>
      </c>
      <c r="AD213">
        <f t="shared" si="97"/>
        <v>2889.6900303443431</v>
      </c>
      <c r="AE213">
        <f>+gettm2(AD213,AC213,AK213,AL213,テーブル2[[#This Row],[Fcorr]])</f>
        <v>578.9342212207556</v>
      </c>
      <c r="AF213" s="14">
        <f t="shared" si="98"/>
        <v>9.4288304808287648E-7</v>
      </c>
      <c r="AG213">
        <v>3.2848665206392089E-6</v>
      </c>
      <c r="AH213">
        <f t="shared" si="99"/>
        <v>62.575166256186158</v>
      </c>
      <c r="AI213">
        <f t="shared" si="100"/>
        <v>0.34676809462331676</v>
      </c>
      <c r="AJ213">
        <f t="shared" si="101"/>
        <v>9.9656126359086947</v>
      </c>
      <c r="AK213">
        <f t="array" ref="AK213">+S213*テーブル2[[#This Row],[F_form]]/(E213*CpFromTP((テーブル2[[#This Row],[Tin]]+テーブル2[[#This Row],[Tf]])/2,テーブル2[[#This Row],[P]])*AI213)</f>
        <v>3.5798880412753786</v>
      </c>
      <c r="AL213">
        <f t="shared" si="102"/>
        <v>2.1883527698787133</v>
      </c>
      <c r="AM213">
        <f t="shared" si="103"/>
        <v>634.44823386842995</v>
      </c>
      <c r="AN213">
        <f t="shared" si="104"/>
        <v>4.9896016207640059E-8</v>
      </c>
      <c r="AO213">
        <f t="shared" si="105"/>
        <v>9.6723999378458327E-8</v>
      </c>
      <c r="AP213">
        <v>2.0813508315570259</v>
      </c>
      <c r="AQ213">
        <f t="shared" si="106"/>
        <v>2.0800521028343358E-5</v>
      </c>
      <c r="AR213">
        <f t="shared" si="107"/>
        <v>1.6907952600088336E-6</v>
      </c>
      <c r="AS213">
        <f t="shared" si="108"/>
        <v>5.1295267256703383</v>
      </c>
      <c r="AT213">
        <f t="shared" si="109"/>
        <v>5.1250669936110018</v>
      </c>
      <c r="AU213">
        <f t="shared" si="110"/>
        <v>1.7772097161913374</v>
      </c>
      <c r="AV213">
        <f t="shared" si="111"/>
        <v>0.30414111536568855</v>
      </c>
      <c r="AW213">
        <f t="shared" si="112"/>
        <v>3.1441571588781228E-3</v>
      </c>
      <c r="AX213">
        <f t="shared" si="113"/>
        <v>0.30414111373362585</v>
      </c>
      <c r="AY213">
        <f t="shared" si="114"/>
        <v>1.6320627072019533E-9</v>
      </c>
      <c r="AZ213">
        <f t="shared" si="115"/>
        <v>692257.60600924003</v>
      </c>
      <c r="BA213">
        <f t="shared" si="116"/>
        <v>9.9937601642981131E-6</v>
      </c>
      <c r="BB213" s="15">
        <f t="shared" si="117"/>
        <v>3486557.2980555505</v>
      </c>
      <c r="BC213" s="20">
        <f t="shared" si="118"/>
        <v>16692.747274300549</v>
      </c>
      <c r="BD213" s="19">
        <f t="shared" si="119"/>
        <v>0.48107777782110051</v>
      </c>
      <c r="BE213" s="15">
        <v>4258696.5</v>
      </c>
      <c r="BF213" s="16">
        <f>テーブル2[[#This Row],[q_P]]/テーブル2[[#This Row],[q_M]]</f>
        <v>0.81869118826747822</v>
      </c>
      <c r="BG213">
        <v>1</v>
      </c>
      <c r="BH213">
        <v>-0.161</v>
      </c>
      <c r="BI213">
        <v>4.5999999999999999E-2</v>
      </c>
      <c r="BJ213">
        <v>5625</v>
      </c>
      <c r="BK213" s="22">
        <v>1</v>
      </c>
      <c r="BL213">
        <f>テーブル2[[#This Row],[Ts]]-テーブル2[[#This Row],[Tin]]</f>
        <v>75.982581472955985</v>
      </c>
      <c r="BM213">
        <f>テーブル2[[#This Row],[q_P]]*0.000001</f>
        <v>3.4865572980555504</v>
      </c>
      <c r="BN213">
        <f>テーブル2[[#This Row],[Tsub]]</f>
        <v>75.982581472955985</v>
      </c>
      <c r="BO213">
        <f>テーブル2[[#This Row],[Fcorr]]</f>
        <v>1</v>
      </c>
      <c r="BP213">
        <f>(テーブル2[[#This Row],[Tsub]]-40)^2</f>
        <v>1294.7461694579154</v>
      </c>
      <c r="BQ213">
        <v>1</v>
      </c>
      <c r="BR213">
        <v>0.15240000000000001</v>
      </c>
    </row>
    <row r="214" spans="1:70" x14ac:dyDescent="0.15">
      <c r="A214" s="9" t="s">
        <v>282</v>
      </c>
      <c r="B214">
        <v>18960582.556212999</v>
      </c>
      <c r="C214" s="22">
        <f t="array" ref="C214">TsatFromP(テーブル2[[#This Row],[P]])</f>
        <v>634.44823391832597</v>
      </c>
      <c r="D214">
        <f t="array" ref="D214">RhoGFromP(テーブル2[[#This Row],[P]])</f>
        <v>149.14958101226799</v>
      </c>
      <c r="E214">
        <f t="array" ref="E214">RhoFFromP(テーブル2[[#This Row],[P]])</f>
        <v>520.38377569771103</v>
      </c>
      <c r="F214">
        <f t="array" ref="F214">HgFromP(テーブル2[[#This Row],[P]])</f>
        <v>2467301.6327637699</v>
      </c>
      <c r="G214">
        <f t="array" ref="G214">HfFromP(テーブル2[[#This Row],[P]])</f>
        <v>1775044.0267545299</v>
      </c>
      <c r="H214">
        <f t="array" ref="H214">MuGFromP(テーブル2[[#This Row],[P]])</f>
        <v>2.5972810943896E-5</v>
      </c>
      <c r="I214">
        <f t="array" ref="I214">MuFFromP(テーブル2[[#This Row],[P]])</f>
        <v>5.9480773118925399E-5</v>
      </c>
      <c r="J214">
        <f t="array" ref="J214">KfFromP(テーブル2[[#This Row],[P]])</f>
        <v>0.43661798563056398</v>
      </c>
      <c r="K214">
        <f t="array" ref="K214">CpFFromP(テーブル2[[#This Row],[P]])</f>
        <v>16063.580349286</v>
      </c>
      <c r="L214">
        <f t="array" ref="L214">SigmaFromP(テーブル2[[#This Row],[P]])</f>
        <v>1.6624879026359001E-3</v>
      </c>
      <c r="M214">
        <v>213</v>
      </c>
      <c r="N214">
        <v>3458.3865000000001</v>
      </c>
      <c r="O214" s="8">
        <f t="shared" si="90"/>
        <v>2.8502295699234246E-6</v>
      </c>
      <c r="P214" s="8">
        <f t="shared" si="91"/>
        <v>5.9847340050885557E-3</v>
      </c>
      <c r="Q214" s="8">
        <v>1.905E-3</v>
      </c>
      <c r="R214">
        <v>0.15240000000000001</v>
      </c>
      <c r="S214" s="15">
        <v>3695875.87890625</v>
      </c>
      <c r="T214">
        <v>553.48995463629501</v>
      </c>
      <c r="U214" s="12">
        <f>+T214+BG214*S214*テーブル2[[#This Row],[Pw]]*R214/(N214*O214*K214)</f>
        <v>574.77876918332436</v>
      </c>
      <c r="V214">
        <v>0.03</v>
      </c>
      <c r="W214" s="8">
        <f t="shared" si="92"/>
        <v>110762.28396237471</v>
      </c>
      <c r="X214">
        <v>2.264701976543209E-2</v>
      </c>
      <c r="Y214">
        <f t="shared" si="93"/>
        <v>6.6449921225727904</v>
      </c>
      <c r="Z214">
        <f t="shared" si="94"/>
        <v>6.6449921260745981</v>
      </c>
      <c r="AA214">
        <f t="shared" si="95"/>
        <v>-3.5018077326753883E-9</v>
      </c>
      <c r="AB214">
        <f t="shared" si="96"/>
        <v>3.0661638644763181E-6</v>
      </c>
      <c r="AC214">
        <v>697.63178377571069</v>
      </c>
      <c r="AD214">
        <f t="shared" si="97"/>
        <v>2946.6085378586245</v>
      </c>
      <c r="AE214">
        <f>+gettm2(AD214,AC214,AK214,AL214,テーブル2[[#This Row],[Fcorr]])</f>
        <v>574.77877015964202</v>
      </c>
      <c r="AF214" s="14">
        <f t="shared" si="98"/>
        <v>9.7631766493577743E-7</v>
      </c>
      <c r="AG214">
        <v>3.1667926678027158E-6</v>
      </c>
      <c r="AH214">
        <f t="shared" si="99"/>
        <v>65.064542253478393</v>
      </c>
      <c r="AI214">
        <f t="shared" si="100"/>
        <v>0.35359841974202105</v>
      </c>
      <c r="AJ214">
        <f t="shared" si="101"/>
        <v>9.796638648373305</v>
      </c>
      <c r="AK214">
        <f t="array" ref="AK214">+S214*テーブル2[[#This Row],[F_form]]/(E214*CpFromTP((テーブル2[[#This Row],[Tin]]+テーブル2[[#This Row],[Tf]])/2,テーブル2[[#This Row],[P]])*AI214)</f>
        <v>3.8067603629505764</v>
      </c>
      <c r="AL214">
        <f t="shared" si="102"/>
        <v>2.1883527698787133</v>
      </c>
      <c r="AM214">
        <f t="shared" si="103"/>
        <v>634.44823405418833</v>
      </c>
      <c r="AN214">
        <f t="shared" si="104"/>
        <v>-1.3586236491391901E-7</v>
      </c>
      <c r="AO214">
        <f t="shared" si="105"/>
        <v>1.0062880332639771E-7</v>
      </c>
      <c r="AP214">
        <v>2.0942074905509638</v>
      </c>
      <c r="AQ214">
        <f t="shared" si="106"/>
        <v>2.0545909844962193E-5</v>
      </c>
      <c r="AR214">
        <f t="shared" si="107"/>
        <v>1.6337107355645568E-6</v>
      </c>
      <c r="AS214">
        <f t="shared" si="108"/>
        <v>5.0539695557016451</v>
      </c>
      <c r="AT214">
        <f t="shared" si="109"/>
        <v>5.0508699257262819</v>
      </c>
      <c r="AU214">
        <f t="shared" si="110"/>
        <v>1.7859796240593124</v>
      </c>
      <c r="AV214">
        <f t="shared" si="111"/>
        <v>0.30822786649165135</v>
      </c>
      <c r="AW214">
        <f t="shared" si="112"/>
        <v>3.0238613865274412E-3</v>
      </c>
      <c r="AX214">
        <f t="shared" si="113"/>
        <v>0.30822786457552914</v>
      </c>
      <c r="AY214">
        <f t="shared" si="114"/>
        <v>1.9161222053476479E-9</v>
      </c>
      <c r="AZ214">
        <f t="shared" si="115"/>
        <v>692257.60600924003</v>
      </c>
      <c r="BA214">
        <f t="shared" si="116"/>
        <v>9.8108281713560215E-6</v>
      </c>
      <c r="BB214" s="15">
        <f t="shared" si="117"/>
        <v>3694946.2287502117</v>
      </c>
      <c r="BC214" s="20">
        <f t="shared" si="118"/>
        <v>-929.65015603834763</v>
      </c>
      <c r="BD214" s="19">
        <f t="shared" si="119"/>
        <v>-2.5153716913065446E-2</v>
      </c>
      <c r="BE214" s="15">
        <v>4668793.1999999993</v>
      </c>
      <c r="BF214" s="16">
        <f>テーブル2[[#This Row],[q_P]]/テーブル2[[#This Row],[q_M]]</f>
        <v>0.79141355602347352</v>
      </c>
      <c r="BG214">
        <v>1</v>
      </c>
      <c r="BH214">
        <v>-0.156</v>
      </c>
      <c r="BI214">
        <v>4.5999999999999999E-2</v>
      </c>
      <c r="BJ214">
        <v>5625</v>
      </c>
      <c r="BK214" s="22">
        <v>1</v>
      </c>
      <c r="BL214">
        <f>テーブル2[[#This Row],[Ts]]-テーブル2[[#This Row],[Tin]]</f>
        <v>80.958279282030958</v>
      </c>
      <c r="BM214">
        <f>テーブル2[[#This Row],[q_P]]*0.000001</f>
        <v>3.6949462287502115</v>
      </c>
      <c r="BN214">
        <f>テーブル2[[#This Row],[Tsub]]</f>
        <v>80.958279282030958</v>
      </c>
      <c r="BO214">
        <f>テーブル2[[#This Row],[Fcorr]]</f>
        <v>1</v>
      </c>
      <c r="BP214">
        <f>(テーブル2[[#This Row],[Tsub]]-40)^2</f>
        <v>1677.5806417448464</v>
      </c>
      <c r="BQ214">
        <v>1</v>
      </c>
      <c r="BR214">
        <v>0.15240000000000001</v>
      </c>
    </row>
    <row r="215" spans="1:70" x14ac:dyDescent="0.15">
      <c r="A215" s="9" t="s">
        <v>283</v>
      </c>
      <c r="B215">
        <v>18960582.556212999</v>
      </c>
      <c r="C215" s="22">
        <f t="array" ref="C215">TsatFromP(テーブル2[[#This Row],[P]])</f>
        <v>634.44823391832597</v>
      </c>
      <c r="D215">
        <f t="array" ref="D215">RhoGFromP(テーブル2[[#This Row],[P]])</f>
        <v>149.14958101226799</v>
      </c>
      <c r="E215">
        <f t="array" ref="E215">RhoFFromP(テーブル2[[#This Row],[P]])</f>
        <v>520.38377569771103</v>
      </c>
      <c r="F215">
        <f t="array" ref="F215">HgFromP(テーブル2[[#This Row],[P]])</f>
        <v>2467301.6327637699</v>
      </c>
      <c r="G215">
        <f t="array" ref="G215">HfFromP(テーブル2[[#This Row],[P]])</f>
        <v>1775044.0267545299</v>
      </c>
      <c r="H215">
        <f t="array" ref="H215">MuGFromP(テーブル2[[#This Row],[P]])</f>
        <v>2.5972810943896E-5</v>
      </c>
      <c r="I215">
        <f t="array" ref="I215">MuFFromP(テーブル2[[#This Row],[P]])</f>
        <v>5.9480773118925399E-5</v>
      </c>
      <c r="J215">
        <f t="array" ref="J215">KfFromP(テーブル2[[#This Row],[P]])</f>
        <v>0.43661798563056398</v>
      </c>
      <c r="K215">
        <f t="array" ref="K215">CpFFromP(テーブル2[[#This Row],[P]])</f>
        <v>16063.580349286</v>
      </c>
      <c r="L215">
        <f t="array" ref="L215">SigmaFromP(テーブル2[[#This Row],[P]])</f>
        <v>1.6624879026359001E-3</v>
      </c>
      <c r="M215">
        <v>214</v>
      </c>
      <c r="N215">
        <v>3485.5111000000002</v>
      </c>
      <c r="O215" s="8">
        <f t="shared" si="90"/>
        <v>2.8502295699234246E-6</v>
      </c>
      <c r="P215" s="8">
        <f t="shared" si="91"/>
        <v>5.9847340050885557E-3</v>
      </c>
      <c r="Q215" s="8">
        <v>1.905E-3</v>
      </c>
      <c r="R215">
        <v>0.15240000000000001</v>
      </c>
      <c r="S215" s="15">
        <v>3753381.34765625</v>
      </c>
      <c r="T215">
        <v>552.32824485842298</v>
      </c>
      <c r="U215" s="12">
        <f>+T215+BG215*S215*テーブル2[[#This Row],[Pw]]*R215/(N215*O215*K215)</f>
        <v>573.78005031173211</v>
      </c>
      <c r="V215">
        <v>0.03</v>
      </c>
      <c r="W215" s="8">
        <f t="shared" si="92"/>
        <v>111631.00775815806</v>
      </c>
      <c r="X215">
        <v>2.2583366906340469E-2</v>
      </c>
      <c r="Y215">
        <f t="shared" si="93"/>
        <v>6.6543502294361172</v>
      </c>
      <c r="Z215">
        <f t="shared" si="94"/>
        <v>6.6543502370940963</v>
      </c>
      <c r="AA215">
        <f t="shared" si="95"/>
        <v>-7.6579791397080044E-9</v>
      </c>
      <c r="AB215">
        <f t="shared" si="96"/>
        <v>3.0271353797416429E-6</v>
      </c>
      <c r="AC215">
        <v>698.30483455653734</v>
      </c>
      <c r="AD215">
        <f t="shared" si="97"/>
        <v>2965.5428349452282</v>
      </c>
      <c r="AE215">
        <f>+gettm2(AD215,AC215,AK215,AL215,テーブル2[[#This Row],[Fcorr]])</f>
        <v>573.78005031173211</v>
      </c>
      <c r="AF215" s="14">
        <f t="shared" si="98"/>
        <v>0</v>
      </c>
      <c r="AG215">
        <v>3.128421966787275E-6</v>
      </c>
      <c r="AH215">
        <f t="shared" si="99"/>
        <v>65.903411407168264</v>
      </c>
      <c r="AI215">
        <f t="shared" si="100"/>
        <v>0.35587057006084638</v>
      </c>
      <c r="AJ215">
        <f t="shared" si="101"/>
        <v>9.740125300043319</v>
      </c>
      <c r="AK215">
        <f t="array" ref="AK215">+S215*テーブル2[[#This Row],[F_form]]/(E215*CpFromTP((テーブル2[[#This Row],[Tin]]+テーブル2[[#This Row],[Tf]])/2,テーブル2[[#This Row],[P]])*AI215)</f>
        <v>3.856619998827405</v>
      </c>
      <c r="AL215">
        <f t="shared" si="102"/>
        <v>2.1883527698787133</v>
      </c>
      <c r="AM215">
        <f t="shared" si="103"/>
        <v>634.4482338708782</v>
      </c>
      <c r="AN215">
        <f t="shared" si="104"/>
        <v>4.7447770157305058E-8</v>
      </c>
      <c r="AO215">
        <f t="shared" si="105"/>
        <v>1.0128658704563214E-7</v>
      </c>
      <c r="AP215">
        <v>2.0978640071565589</v>
      </c>
      <c r="AQ215">
        <f t="shared" si="106"/>
        <v>2.0474350402939727E-5</v>
      </c>
      <c r="AR215">
        <f t="shared" si="107"/>
        <v>1.6148542769164536E-6</v>
      </c>
      <c r="AS215">
        <f t="shared" si="108"/>
        <v>5.0277370397797849</v>
      </c>
      <c r="AT215">
        <f t="shared" si="109"/>
        <v>5.0248499509582674</v>
      </c>
      <c r="AU215">
        <f t="shared" si="110"/>
        <v>1.7881962165177345</v>
      </c>
      <c r="AV215">
        <f t="shared" si="111"/>
        <v>0.30966779063882433</v>
      </c>
      <c r="AW215">
        <f t="shared" si="112"/>
        <v>2.985371360168717E-3</v>
      </c>
      <c r="AX215">
        <f t="shared" si="113"/>
        <v>0.3096677886463734</v>
      </c>
      <c r="AY215">
        <f t="shared" si="114"/>
        <v>1.9924509264690471E-9</v>
      </c>
      <c r="AZ215">
        <f t="shared" si="115"/>
        <v>692257.60600924003</v>
      </c>
      <c r="BA215">
        <f t="shared" si="116"/>
        <v>9.7596175600965794E-6</v>
      </c>
      <c r="BB215" s="15">
        <f t="shared" si="117"/>
        <v>3738613.9456288228</v>
      </c>
      <c r="BC215" s="20">
        <f t="shared" si="118"/>
        <v>-14767.402027427219</v>
      </c>
      <c r="BD215" s="19">
        <f t="shared" si="119"/>
        <v>-0.39344262305370414</v>
      </c>
      <c r="BE215" s="15">
        <v>4542609.5999999996</v>
      </c>
      <c r="BF215" s="16">
        <f>テーブル2[[#This Row],[q_P]]/テーブル2[[#This Row],[q_M]]</f>
        <v>0.82301018023402739</v>
      </c>
      <c r="BG215">
        <v>1</v>
      </c>
      <c r="BH215">
        <v>-0.186</v>
      </c>
      <c r="BI215">
        <v>4.5999999999999999E-2</v>
      </c>
      <c r="BJ215">
        <v>5625</v>
      </c>
      <c r="BK215" s="22">
        <v>1</v>
      </c>
      <c r="BL215">
        <f>テーブル2[[#This Row],[Ts]]-テーブル2[[#This Row],[Tin]]</f>
        <v>82.119989059902991</v>
      </c>
      <c r="BM215">
        <f>テーブル2[[#This Row],[q_P]]*0.000001</f>
        <v>3.7386139456288228</v>
      </c>
      <c r="BN215">
        <f>テーブル2[[#This Row],[Tsub]]</f>
        <v>82.119989059902991</v>
      </c>
      <c r="BO215">
        <f>テーブル2[[#This Row],[Fcorr]]</f>
        <v>1</v>
      </c>
      <c r="BP215">
        <f>(テーブル2[[#This Row],[Tsub]]-40)^2</f>
        <v>1774.0934784063477</v>
      </c>
      <c r="BQ215">
        <v>1</v>
      </c>
      <c r="BR215">
        <v>0.15240000000000001</v>
      </c>
    </row>
    <row r="216" spans="1:70" x14ac:dyDescent="0.15">
      <c r="A216" s="9" t="s">
        <v>284</v>
      </c>
      <c r="B216">
        <v>18960582.556212999</v>
      </c>
      <c r="C216" s="22">
        <f t="array" ref="C216">TsatFromP(テーブル2[[#This Row],[P]])</f>
        <v>634.44823391832597</v>
      </c>
      <c r="D216">
        <f t="array" ref="D216">RhoGFromP(テーブル2[[#This Row],[P]])</f>
        <v>149.14958101226799</v>
      </c>
      <c r="E216">
        <f t="array" ref="E216">RhoFFromP(テーブル2[[#This Row],[P]])</f>
        <v>520.38377569771103</v>
      </c>
      <c r="F216">
        <f t="array" ref="F216">HgFromP(テーブル2[[#This Row],[P]])</f>
        <v>2467301.6327637699</v>
      </c>
      <c r="G216">
        <f t="array" ref="G216">HfFromP(テーブル2[[#This Row],[P]])</f>
        <v>1775044.0267545299</v>
      </c>
      <c r="H216">
        <f t="array" ref="H216">MuGFromP(テーブル2[[#This Row],[P]])</f>
        <v>2.5972810943896E-5</v>
      </c>
      <c r="I216">
        <f t="array" ref="I216">MuFFromP(テーブル2[[#This Row],[P]])</f>
        <v>5.9480773118925399E-5</v>
      </c>
      <c r="J216">
        <f t="array" ref="J216">KfFromP(テーブル2[[#This Row],[P]])</f>
        <v>0.43661798563056398</v>
      </c>
      <c r="K216">
        <f t="array" ref="K216">CpFFromP(テーブル2[[#This Row],[P]])</f>
        <v>16063.580349286</v>
      </c>
      <c r="L216">
        <f t="array" ref="L216">SigmaFromP(テーブル2[[#This Row],[P]])</f>
        <v>1.6624879026359001E-3</v>
      </c>
      <c r="M216">
        <v>215</v>
      </c>
      <c r="N216">
        <v>3499.0734000000002</v>
      </c>
      <c r="O216" s="8">
        <f t="shared" ref="O216:O225" si="120">PI()*Q216^2/4</f>
        <v>2.8502295699234246E-6</v>
      </c>
      <c r="P216" s="8">
        <f t="shared" ref="P216:P225" si="121">PI()*Q216</f>
        <v>5.9847340050885557E-3</v>
      </c>
      <c r="Q216" s="8">
        <v>1.905E-3</v>
      </c>
      <c r="R216">
        <v>0.15240000000000001</v>
      </c>
      <c r="S216" s="15">
        <v>3819602.63671875</v>
      </c>
      <c r="T216">
        <v>550.74250143598601</v>
      </c>
      <c r="U216" s="12">
        <f>+T216+BG216*S216*テーブル2[[#This Row],[Pw]]*R216/(N216*O216*K216)</f>
        <v>572.48816978035006</v>
      </c>
      <c r="V216">
        <v>0.03</v>
      </c>
      <c r="W216" s="8">
        <f t="shared" si="92"/>
        <v>112065.36965604972</v>
      </c>
      <c r="X216">
        <v>2.2551835812529709E-2</v>
      </c>
      <c r="Y216">
        <f t="shared" si="93"/>
        <v>6.6590005305057609</v>
      </c>
      <c r="Z216">
        <f t="shared" si="94"/>
        <v>6.6590005392263913</v>
      </c>
      <c r="AA216">
        <f t="shared" si="95"/>
        <v>-8.7206304399956025E-9</v>
      </c>
      <c r="AB216">
        <f t="shared" si="96"/>
        <v>3.007914367342506E-6</v>
      </c>
      <c r="AC216">
        <v>699.4912749550258</v>
      </c>
      <c r="AD216">
        <f t="shared" si="97"/>
        <v>2975.0028723136088</v>
      </c>
      <c r="AE216">
        <f>+gettm2(AD216,AC216,AK216,AL216,テーブル2[[#This Row],[Fcorr]])</f>
        <v>572.4881707752628</v>
      </c>
      <c r="AF216" s="14">
        <f t="shared" si="98"/>
        <v>9.9491273886087583E-7</v>
      </c>
      <c r="AG216">
        <v>3.1106916129621949E-6</v>
      </c>
      <c r="AH216">
        <f t="shared" si="99"/>
        <v>66.324543837517922</v>
      </c>
      <c r="AI216">
        <f t="shared" si="100"/>
        <v>0.35700579186624803</v>
      </c>
      <c r="AJ216">
        <f t="shared" si="101"/>
        <v>9.7158178303878024</v>
      </c>
      <c r="AK216">
        <f t="array" ref="AK216">+S216*テーブル2[[#This Row],[F_form]]/(E216*CpFromTP((テーブル2[[#This Row],[Tin]]+テーブル2[[#This Row],[Tf]])/2,テーブル2[[#This Row],[P]])*AI216)</f>
        <v>3.9323910926272414</v>
      </c>
      <c r="AL216">
        <f t="shared" si="102"/>
        <v>2.1883527698787133</v>
      </c>
      <c r="AM216">
        <f t="shared" si="103"/>
        <v>634.44823385057759</v>
      </c>
      <c r="AN216">
        <f t="shared" si="104"/>
        <v>6.7748374021903146E-8</v>
      </c>
      <c r="AO216">
        <f t="shared" si="105"/>
        <v>1.0277724561968892E-7</v>
      </c>
      <c r="AP216">
        <v>2.10080783312518</v>
      </c>
      <c r="AQ216">
        <f t="shared" si="106"/>
        <v>2.0417009894446049E-5</v>
      </c>
      <c r="AR216">
        <f t="shared" si="107"/>
        <v>1.6067344292909419E-6</v>
      </c>
      <c r="AS216">
        <f t="shared" si="108"/>
        <v>5.0184142175178152</v>
      </c>
      <c r="AT216">
        <f t="shared" si="109"/>
        <v>5.0155699543710988</v>
      </c>
      <c r="AU216">
        <f t="shared" si="110"/>
        <v>1.7905875232208157</v>
      </c>
      <c r="AV216">
        <f t="shared" si="111"/>
        <v>0.31022030990436433</v>
      </c>
      <c r="AW216">
        <f t="shared" si="112"/>
        <v>2.9664155313961272E-3</v>
      </c>
      <c r="AX216">
        <f t="shared" si="113"/>
        <v>0.31022030787314103</v>
      </c>
      <c r="AY216">
        <f t="shared" si="114"/>
        <v>2.0312233006691827E-9</v>
      </c>
      <c r="AZ216">
        <f t="shared" si="115"/>
        <v>692257.60600924003</v>
      </c>
      <c r="BA216">
        <f t="shared" si="116"/>
        <v>9.7186470711476393E-6</v>
      </c>
      <c r="BB216" s="15">
        <f t="shared" si="117"/>
        <v>3809628.6789195514</v>
      </c>
      <c r="BC216" s="20">
        <f t="shared" si="118"/>
        <v>-9973.9577991985716</v>
      </c>
      <c r="BD216" s="19">
        <f t="shared" si="119"/>
        <v>-0.26112553445524778</v>
      </c>
      <c r="BE216" s="15">
        <v>4542609.5999999996</v>
      </c>
      <c r="BF216" s="16">
        <f>テーブル2[[#This Row],[q_P]]/テーブル2[[#This Row],[q_M]]</f>
        <v>0.83864320608126919</v>
      </c>
      <c r="BG216">
        <v>1</v>
      </c>
      <c r="BH216">
        <v>-0.19900000000000001</v>
      </c>
      <c r="BI216">
        <v>4.5999999999999999E-2</v>
      </c>
      <c r="BJ216">
        <v>5625</v>
      </c>
      <c r="BK216" s="22">
        <v>1</v>
      </c>
      <c r="BL216">
        <f>テーブル2[[#This Row],[Ts]]-テーブル2[[#This Row],[Tin]]</f>
        <v>83.705732482339954</v>
      </c>
      <c r="BM216">
        <f>テーブル2[[#This Row],[q_P]]*0.000001</f>
        <v>3.8096286789195513</v>
      </c>
      <c r="BN216">
        <f>テーブル2[[#This Row],[Tsub]]</f>
        <v>83.705732482339954</v>
      </c>
      <c r="BO216">
        <f>テーブル2[[#This Row],[Fcorr]]</f>
        <v>1</v>
      </c>
      <c r="BP216">
        <f>(テーブル2[[#This Row],[Tsub]]-40)^2</f>
        <v>1910.1910518178659</v>
      </c>
      <c r="BQ216">
        <v>1</v>
      </c>
      <c r="BR216">
        <v>0.15240000000000001</v>
      </c>
    </row>
    <row r="217" spans="1:70" x14ac:dyDescent="0.15">
      <c r="A217" s="9" t="s">
        <v>285</v>
      </c>
      <c r="B217">
        <v>18960582.556212999</v>
      </c>
      <c r="C217" s="22">
        <f t="array" ref="C217">TsatFromP(テーブル2[[#This Row],[P]])</f>
        <v>634.44823391832597</v>
      </c>
      <c r="D217">
        <f t="array" ref="D217">RhoGFromP(テーブル2[[#This Row],[P]])</f>
        <v>149.14958101226799</v>
      </c>
      <c r="E217">
        <f t="array" ref="E217">RhoFFromP(テーブル2[[#This Row],[P]])</f>
        <v>520.38377569771103</v>
      </c>
      <c r="F217">
        <f t="array" ref="F217">HgFromP(テーブル2[[#This Row],[P]])</f>
        <v>2467301.6327637699</v>
      </c>
      <c r="G217">
        <f t="array" ref="G217">HfFromP(テーブル2[[#This Row],[P]])</f>
        <v>1775044.0267545299</v>
      </c>
      <c r="H217">
        <f t="array" ref="H217">MuGFromP(テーブル2[[#This Row],[P]])</f>
        <v>2.5972810943896E-5</v>
      </c>
      <c r="I217">
        <f t="array" ref="I217">MuFFromP(テーブル2[[#This Row],[P]])</f>
        <v>5.9480773118925399E-5</v>
      </c>
      <c r="J217">
        <f t="array" ref="J217">KfFromP(テーブル2[[#This Row],[P]])</f>
        <v>0.43661798563056398</v>
      </c>
      <c r="K217">
        <f t="array" ref="K217">CpFFromP(テーブル2[[#This Row],[P]])</f>
        <v>16063.580349286</v>
      </c>
      <c r="L217">
        <f t="array" ref="L217">SigmaFromP(テーブル2[[#This Row],[P]])</f>
        <v>1.6624879026359001E-3</v>
      </c>
      <c r="M217">
        <v>216</v>
      </c>
      <c r="N217">
        <v>1939.4088999999999</v>
      </c>
      <c r="O217" s="8">
        <f t="shared" si="120"/>
        <v>2.8502295699234246E-6</v>
      </c>
      <c r="P217" s="8">
        <f t="shared" si="121"/>
        <v>5.9847340050885557E-3</v>
      </c>
      <c r="Q217" s="8">
        <v>1.905E-3</v>
      </c>
      <c r="R217">
        <v>0.69596000000000002</v>
      </c>
      <c r="S217" s="15">
        <v>4757805.95703125</v>
      </c>
      <c r="T217">
        <v>299.02073658241198</v>
      </c>
      <c r="U217" s="12">
        <f>+T217+BG217*S217*テーブル2[[#This Row],[Pw]]*R217/(N217*O217*K217)</f>
        <v>522.19508849638578</v>
      </c>
      <c r="V217">
        <v>0.03</v>
      </c>
      <c r="W217" s="8">
        <f t="shared" si="92"/>
        <v>62113.751398508175</v>
      </c>
      <c r="X217">
        <v>2.8309260195252369E-2</v>
      </c>
      <c r="Y217">
        <f t="shared" si="93"/>
        <v>5.943410674618657</v>
      </c>
      <c r="Z217">
        <f t="shared" si="94"/>
        <v>5.9434106924163812</v>
      </c>
      <c r="AA217">
        <f t="shared" si="95"/>
        <v>-1.7797724183310493E-8</v>
      </c>
      <c r="AB217">
        <f t="shared" si="96"/>
        <v>7.799848836613821E-6</v>
      </c>
      <c r="AC217">
        <v>824.76654334572231</v>
      </c>
      <c r="AD217">
        <f t="shared" si="97"/>
        <v>1847.4684496557447</v>
      </c>
      <c r="AE217">
        <f>+gettm2(AD217,AC217,AK217,AL217,テーブル2[[#This Row],[Fcorr]])</f>
        <v>522.19509074405119</v>
      </c>
      <c r="AF217" s="14">
        <f t="shared" si="98"/>
        <v>2.2476654066849733E-6</v>
      </c>
      <c r="AG217">
        <v>7.9907672512179862E-6</v>
      </c>
      <c r="AH217">
        <f t="shared" si="99"/>
        <v>25.577232648385159</v>
      </c>
      <c r="AI217">
        <f t="shared" si="100"/>
        <v>0.22169959664755975</v>
      </c>
      <c r="AJ217">
        <f t="shared" si="101"/>
        <v>15.498887543483034</v>
      </c>
      <c r="AK217">
        <f t="array" ref="AK217">+S217*テーブル2[[#This Row],[F_form]]/(E217*CpFromTP((テーブル2[[#This Row],[Tin]]+テーブル2[[#This Row],[Tf]])/2,テーブル2[[#This Row],[P]])*AI217)</f>
        <v>9.7343649639911831</v>
      </c>
      <c r="AL217">
        <f t="shared" si="102"/>
        <v>2.1883527698787133</v>
      </c>
      <c r="AM217">
        <f t="shared" si="103"/>
        <v>634.44823391337695</v>
      </c>
      <c r="AN217">
        <f t="shared" si="104"/>
        <v>4.949015419697389E-9</v>
      </c>
      <c r="AO217">
        <f t="shared" si="105"/>
        <v>1.9091841460416513E-7</v>
      </c>
      <c r="AP217">
        <v>1.8397548148463749</v>
      </c>
      <c r="AQ217">
        <f t="shared" si="106"/>
        <v>2.6622258678238806E-5</v>
      </c>
      <c r="AR217">
        <f t="shared" si="107"/>
        <v>4.0908428329110756E-6</v>
      </c>
      <c r="AS217">
        <f t="shared" si="108"/>
        <v>7.9345963950693328</v>
      </c>
      <c r="AT217">
        <f t="shared" si="109"/>
        <v>7.3061624439967954</v>
      </c>
      <c r="AU217">
        <f t="shared" si="110"/>
        <v>1.6197732668756388</v>
      </c>
      <c r="AV217">
        <f t="shared" si="111"/>
        <v>0.2199815479707361</v>
      </c>
      <c r="AW217">
        <f t="shared" si="112"/>
        <v>7.6922378451602441E-3</v>
      </c>
      <c r="AX217">
        <f t="shared" si="113"/>
        <v>0.21998154374930939</v>
      </c>
      <c r="AY217">
        <f t="shared" si="114"/>
        <v>4.2214267081952528E-9</v>
      </c>
      <c r="AZ217">
        <f t="shared" si="115"/>
        <v>692257.60600924003</v>
      </c>
      <c r="BA217">
        <f t="shared" si="116"/>
        <v>1.4470547087798678E-5</v>
      </c>
      <c r="BB217" s="15">
        <f t="shared" si="117"/>
        <v>4752852.6740098186</v>
      </c>
      <c r="BC217" s="20">
        <f t="shared" si="118"/>
        <v>-4953.2830214314163</v>
      </c>
      <c r="BD217" s="19">
        <f t="shared" si="119"/>
        <v>-0.10410855478692409</v>
      </c>
      <c r="BE217" s="15">
        <v>2082029.4</v>
      </c>
      <c r="BF217" s="16">
        <f>テーブル2[[#This Row],[q_P]]/テーブル2[[#This Row],[q_M]]</f>
        <v>2.2827980594365376</v>
      </c>
      <c r="BG217">
        <v>1</v>
      </c>
      <c r="BH217">
        <v>-0.113</v>
      </c>
      <c r="BI217">
        <v>4.5999999999999999E-2</v>
      </c>
      <c r="BJ217">
        <v>5625</v>
      </c>
      <c r="BK217" s="22">
        <v>1</v>
      </c>
      <c r="BL217">
        <f>テーブル2[[#This Row],[Ts]]-テーブル2[[#This Row],[Tin]]</f>
        <v>335.42749733591398</v>
      </c>
      <c r="BM217">
        <f>テーブル2[[#This Row],[q_P]]*0.000001</f>
        <v>4.7528526740098185</v>
      </c>
      <c r="BN217">
        <f>テーブル2[[#This Row],[Tsub]]</f>
        <v>335.42749733591398</v>
      </c>
      <c r="BO217">
        <f>テーブル2[[#This Row],[Fcorr]]</f>
        <v>1</v>
      </c>
      <c r="BP217">
        <f>(テーブル2[[#This Row],[Tsub]]-40)^2</f>
        <v>87277.40618216146</v>
      </c>
      <c r="BQ217">
        <v>1</v>
      </c>
      <c r="BR217">
        <v>0.69596000000000002</v>
      </c>
    </row>
    <row r="218" spans="1:70" x14ac:dyDescent="0.15">
      <c r="A218" s="9" t="s">
        <v>286</v>
      </c>
      <c r="B218">
        <v>18960582.556212999</v>
      </c>
      <c r="C218" s="22">
        <f t="array" ref="C218">TsatFromP(テーブル2[[#This Row],[P]])</f>
        <v>634.44823391832597</v>
      </c>
      <c r="D218">
        <f t="array" ref="D218">RhoGFromP(テーブル2[[#This Row],[P]])</f>
        <v>149.14958101226799</v>
      </c>
      <c r="E218">
        <f t="array" ref="E218">RhoFFromP(テーブル2[[#This Row],[P]])</f>
        <v>520.38377569771103</v>
      </c>
      <c r="F218">
        <f t="array" ref="F218">HgFromP(テーブル2[[#This Row],[P]])</f>
        <v>2467301.6327637699</v>
      </c>
      <c r="G218">
        <f t="array" ref="G218">HfFromP(テーブル2[[#This Row],[P]])</f>
        <v>1775044.0267545299</v>
      </c>
      <c r="H218">
        <f t="array" ref="H218">MuGFromP(テーブル2[[#This Row],[P]])</f>
        <v>2.5972810943896E-5</v>
      </c>
      <c r="I218">
        <f t="array" ref="I218">MuFFromP(テーブル2[[#This Row],[P]])</f>
        <v>5.9480773118925399E-5</v>
      </c>
      <c r="J218">
        <f t="array" ref="J218">KfFromP(テーブル2[[#This Row],[P]])</f>
        <v>0.43661798563056398</v>
      </c>
      <c r="K218">
        <f t="array" ref="K218">CpFFromP(テーブル2[[#This Row],[P]])</f>
        <v>16063.580349286</v>
      </c>
      <c r="L218">
        <f t="array" ref="L218">SigmaFromP(テーブル2[[#This Row],[P]])</f>
        <v>1.6624879026359001E-3</v>
      </c>
      <c r="M218">
        <v>217</v>
      </c>
      <c r="N218">
        <v>1980.0958000000001</v>
      </c>
      <c r="O218" s="8">
        <f t="shared" si="120"/>
        <v>2.8502295699234246E-6</v>
      </c>
      <c r="P218" s="8">
        <f t="shared" si="121"/>
        <v>5.9847340050885557E-3</v>
      </c>
      <c r="Q218" s="8">
        <v>1.905E-3</v>
      </c>
      <c r="R218">
        <v>0.69596000000000002</v>
      </c>
      <c r="S218" s="15">
        <v>4869246.34765625</v>
      </c>
      <c r="T218">
        <v>296.26172292177802</v>
      </c>
      <c r="U218" s="12">
        <f>+T218+BG218*S218*テーブル2[[#This Row],[Pw]]*R218/(N218*O218*K218)</f>
        <v>519.97022270798618</v>
      </c>
      <c r="V218">
        <v>0.03</v>
      </c>
      <c r="W218" s="8">
        <f t="shared" si="92"/>
        <v>63416.837092183174</v>
      </c>
      <c r="X218">
        <v>2.8068795115359171E-2</v>
      </c>
      <c r="Y218">
        <f t="shared" si="93"/>
        <v>5.968814950259774</v>
      </c>
      <c r="Z218">
        <f t="shared" si="94"/>
        <v>5.9688149656214256</v>
      </c>
      <c r="AA218">
        <f t="shared" si="95"/>
        <v>-1.5361651506395901E-8</v>
      </c>
      <c r="AB218">
        <f t="shared" si="96"/>
        <v>7.5467037009651267E-6</v>
      </c>
      <c r="AC218">
        <v>825.31097339210407</v>
      </c>
      <c r="AD218">
        <f t="shared" si="97"/>
        <v>1878.1984331468373</v>
      </c>
      <c r="AE218">
        <f>+gettm2(AD218,AC218,AK218,AL218,テーブル2[[#This Row],[Fcorr]])</f>
        <v>519.97022270798607</v>
      </c>
      <c r="AF218" s="14">
        <f t="shared" si="98"/>
        <v>0</v>
      </c>
      <c r="AG218">
        <v>7.7373697165469102E-6</v>
      </c>
      <c r="AH218">
        <f t="shared" si="99"/>
        <v>26.435190279273151</v>
      </c>
      <c r="AI218">
        <f t="shared" si="100"/>
        <v>0.22538725093266049</v>
      </c>
      <c r="AJ218">
        <f t="shared" si="101"/>
        <v>15.257024334169234</v>
      </c>
      <c r="AK218">
        <f t="array" ref="AK218">+S218*テーブル2[[#This Row],[F_form]]/(E218*CpFromTP((テーブル2[[#This Row],[Tin]]+テーブル2[[#This Row],[Tf]])/2,テーブル2[[#This Row],[P]])*AI218)</f>
        <v>9.810132377163173</v>
      </c>
      <c r="AL218">
        <f t="shared" si="102"/>
        <v>2.1883527698787133</v>
      </c>
      <c r="AM218">
        <f t="shared" si="103"/>
        <v>634.44823380953187</v>
      </c>
      <c r="AN218">
        <f t="shared" si="104"/>
        <v>1.0879409728659084E-7</v>
      </c>
      <c r="AO218">
        <f t="shared" si="105"/>
        <v>1.9066601558178352E-7</v>
      </c>
      <c r="AP218">
        <v>1.8519804458428031</v>
      </c>
      <c r="AQ218">
        <f t="shared" si="106"/>
        <v>2.6271931413437306E-5</v>
      </c>
      <c r="AR218">
        <f t="shared" si="107"/>
        <v>3.9640178660643473E-6</v>
      </c>
      <c r="AS218">
        <f t="shared" si="108"/>
        <v>7.8164956902972458</v>
      </c>
      <c r="AT218">
        <f t="shared" si="109"/>
        <v>7.2311816633771677</v>
      </c>
      <c r="AU218">
        <f t="shared" si="110"/>
        <v>1.6298161561032429</v>
      </c>
      <c r="AV218">
        <f t="shared" si="111"/>
        <v>0.22216428973956015</v>
      </c>
      <c r="AW218">
        <f t="shared" si="112"/>
        <v>7.4425852386104377E-3</v>
      </c>
      <c r="AX218">
        <f t="shared" si="113"/>
        <v>0.22216428345028794</v>
      </c>
      <c r="AY218">
        <f t="shared" si="114"/>
        <v>6.2892722141327795E-9</v>
      </c>
      <c r="AZ218">
        <f t="shared" si="115"/>
        <v>692257.60600924003</v>
      </c>
      <c r="BA218">
        <f t="shared" si="116"/>
        <v>1.4185857886572567E-5</v>
      </c>
      <c r="BB218" s="15">
        <f t="shared" si="117"/>
        <v>4841825.9114256492</v>
      </c>
      <c r="BC218" s="20">
        <f t="shared" si="118"/>
        <v>-27420.436230600812</v>
      </c>
      <c r="BD218" s="19">
        <f t="shared" si="119"/>
        <v>-0.56313511933523941</v>
      </c>
      <c r="BE218" s="15">
        <v>2082029.4</v>
      </c>
      <c r="BF218" s="16">
        <f>テーブル2[[#This Row],[q_P]]/テーブル2[[#This Row],[q_M]]</f>
        <v>2.3255319600317121</v>
      </c>
      <c r="BG218">
        <v>1</v>
      </c>
      <c r="BH218">
        <v>-0.17599999999999999</v>
      </c>
      <c r="BI218">
        <v>4.5999999999999999E-2</v>
      </c>
      <c r="BJ218">
        <v>5625</v>
      </c>
      <c r="BK218" s="22">
        <v>1</v>
      </c>
      <c r="BL218">
        <f>テーブル2[[#This Row],[Ts]]-テーブル2[[#This Row],[Tin]]</f>
        <v>338.18651099654795</v>
      </c>
      <c r="BM218">
        <f>テーブル2[[#This Row],[q_P]]*0.000001</f>
        <v>4.8418259114256488</v>
      </c>
      <c r="BN218">
        <f>テーブル2[[#This Row],[Tsub]]</f>
        <v>338.18651099654795</v>
      </c>
      <c r="BO218">
        <f>テーブル2[[#This Row],[Fcorr]]</f>
        <v>1</v>
      </c>
      <c r="BP218">
        <f>(テーブル2[[#This Row],[Tsub]]-40)^2</f>
        <v>88915.195340294405</v>
      </c>
      <c r="BQ218">
        <v>1</v>
      </c>
      <c r="BR218">
        <v>0.69596000000000002</v>
      </c>
    </row>
    <row r="219" spans="1:70" x14ac:dyDescent="0.15">
      <c r="A219" s="9" t="s">
        <v>287</v>
      </c>
      <c r="B219">
        <v>18960582.556212999</v>
      </c>
      <c r="C219" s="22">
        <f t="array" ref="C219">TsatFromP(テーブル2[[#This Row],[P]])</f>
        <v>634.44823391832597</v>
      </c>
      <c r="D219">
        <f t="array" ref="D219">RhoGFromP(テーブル2[[#This Row],[P]])</f>
        <v>149.14958101226799</v>
      </c>
      <c r="E219">
        <f t="array" ref="E219">RhoFFromP(テーブル2[[#This Row],[P]])</f>
        <v>520.38377569771103</v>
      </c>
      <c r="F219">
        <f t="array" ref="F219">HgFromP(テーブル2[[#This Row],[P]])</f>
        <v>2467301.6327637699</v>
      </c>
      <c r="G219">
        <f t="array" ref="G219">HfFromP(テーブル2[[#This Row],[P]])</f>
        <v>1775044.0267545299</v>
      </c>
      <c r="H219">
        <f t="array" ref="H219">MuGFromP(テーブル2[[#This Row],[P]])</f>
        <v>2.5972810943896E-5</v>
      </c>
      <c r="I219">
        <f t="array" ref="I219">MuFFromP(テーブル2[[#This Row],[P]])</f>
        <v>5.9480773118925399E-5</v>
      </c>
      <c r="J219">
        <f t="array" ref="J219">KfFromP(テーブル2[[#This Row],[P]])</f>
        <v>0.43661798563056398</v>
      </c>
      <c r="K219">
        <f t="array" ref="K219">CpFFromP(テーブル2[[#This Row],[P]])</f>
        <v>16063.580349286</v>
      </c>
      <c r="L219">
        <f t="array" ref="L219">SigmaFromP(テーブル2[[#This Row],[P]])</f>
        <v>1.6624879026359001E-3</v>
      </c>
      <c r="M219">
        <v>218</v>
      </c>
      <c r="N219">
        <v>2183.5302999999999</v>
      </c>
      <c r="O219" s="8">
        <f t="shared" si="120"/>
        <v>2.8502295699234246E-6</v>
      </c>
      <c r="P219" s="8">
        <f t="shared" si="121"/>
        <v>5.9847340050885557E-3</v>
      </c>
      <c r="Q219" s="8">
        <v>1.905E-3</v>
      </c>
      <c r="R219">
        <v>0.69596000000000002</v>
      </c>
      <c r="S219" s="15">
        <v>5206018.06640625</v>
      </c>
      <c r="T219">
        <v>297.89465084985301</v>
      </c>
      <c r="U219" s="12">
        <f>+T219+BG219*S219*テーブル2[[#This Row],[Pw]]*R219/(N219*O219*K219)</f>
        <v>514.79157281219193</v>
      </c>
      <c r="V219">
        <v>0.03</v>
      </c>
      <c r="W219" s="8">
        <f t="shared" si="92"/>
        <v>69932.265560558153</v>
      </c>
      <c r="X219">
        <v>2.6977699453061811E-2</v>
      </c>
      <c r="Y219">
        <f t="shared" si="93"/>
        <v>6.0883210266442163</v>
      </c>
      <c r="Z219">
        <f t="shared" si="94"/>
        <v>6.0883210344052818</v>
      </c>
      <c r="AA219">
        <f t="shared" si="95"/>
        <v>-7.7610655679904994E-9</v>
      </c>
      <c r="AB219">
        <f t="shared" si="96"/>
        <v>6.4569900462768678E-6</v>
      </c>
      <c r="AC219">
        <v>818.92667708811109</v>
      </c>
      <c r="AD219">
        <f t="shared" si="97"/>
        <v>2030.509683425191</v>
      </c>
      <c r="AE219">
        <f>+gettm2(AD219,AC219,AK219,AL219,テーブル2[[#This Row],[Fcorr]])</f>
        <v>514.79157500145857</v>
      </c>
      <c r="AF219" s="14">
        <f t="shared" si="98"/>
        <v>2.1892666381972958E-6</v>
      </c>
      <c r="AG219">
        <v>6.6449034299615249E-6</v>
      </c>
      <c r="AH219">
        <f t="shared" si="99"/>
        <v>30.896524059432281</v>
      </c>
      <c r="AI219">
        <f t="shared" si="100"/>
        <v>0.24366487984583013</v>
      </c>
      <c r="AJ219">
        <f t="shared" si="101"/>
        <v>14.165397123319833</v>
      </c>
      <c r="AK219">
        <f t="array" ref="AK219">+S219*テーブル2[[#This Row],[F_form]]/(E219*CpFromTP((テーブル2[[#This Row],[Tin]]+テーブル2[[#This Row],[Tf]])/2,テーブル2[[#This Row],[P]])*AI219)</f>
        <v>9.7092053180152558</v>
      </c>
      <c r="AL219">
        <f t="shared" si="102"/>
        <v>2.1883527698787133</v>
      </c>
      <c r="AM219">
        <f t="shared" si="103"/>
        <v>634.44823397229902</v>
      </c>
      <c r="AN219">
        <f t="shared" si="104"/>
        <v>-5.3973053582012653E-8</v>
      </c>
      <c r="AO219">
        <f t="shared" si="105"/>
        <v>1.8791338368465703E-7</v>
      </c>
      <c r="AP219">
        <v>1.9088777488394839</v>
      </c>
      <c r="AQ219">
        <f t="shared" si="106"/>
        <v>2.4729114434388177E-5</v>
      </c>
      <c r="AR219">
        <f t="shared" si="107"/>
        <v>3.4164084068230909E-6</v>
      </c>
      <c r="AS219">
        <f t="shared" si="108"/>
        <v>7.2829924961569716</v>
      </c>
      <c r="AT219">
        <f t="shared" si="109"/>
        <v>6.8777091745608114</v>
      </c>
      <c r="AU219">
        <f t="shared" si="110"/>
        <v>1.6758561796339235</v>
      </c>
      <c r="AV219">
        <f t="shared" si="111"/>
        <v>0.23302156920556039</v>
      </c>
      <c r="AW219">
        <f t="shared" si="112"/>
        <v>6.3679058710266979E-3</v>
      </c>
      <c r="AX219">
        <f t="shared" si="113"/>
        <v>0.23302156388499778</v>
      </c>
      <c r="AY219">
        <f t="shared" si="114"/>
        <v>5.3205626016072927E-9</v>
      </c>
      <c r="AZ219">
        <f t="shared" si="115"/>
        <v>692257.60600924003</v>
      </c>
      <c r="BA219">
        <f t="shared" si="116"/>
        <v>1.2954792128213774E-5</v>
      </c>
      <c r="BB219" s="15">
        <f t="shared" si="117"/>
        <v>5225390.4604399959</v>
      </c>
      <c r="BC219" s="20">
        <f t="shared" si="118"/>
        <v>19372.394033745863</v>
      </c>
      <c r="BD219" s="19">
        <f t="shared" si="119"/>
        <v>0.37211538236398706</v>
      </c>
      <c r="BE219" s="15">
        <v>2397488.4</v>
      </c>
      <c r="BF219" s="16">
        <f>テーブル2[[#This Row],[q_P]]/テーブル2[[#This Row],[q_M]]</f>
        <v>2.1795269000842699</v>
      </c>
      <c r="BG219">
        <v>1</v>
      </c>
      <c r="BH219">
        <v>-6.9000000000000006E-2</v>
      </c>
      <c r="BI219">
        <v>4.5999999999999999E-2</v>
      </c>
      <c r="BJ219">
        <v>5625</v>
      </c>
      <c r="BK219" s="22">
        <v>1</v>
      </c>
      <c r="BL219">
        <f>テーブル2[[#This Row],[Ts]]-テーブル2[[#This Row],[Tin]]</f>
        <v>336.55358306847296</v>
      </c>
      <c r="BM219">
        <f>テーブル2[[#This Row],[q_P]]*0.000001</f>
        <v>5.2253904604399954</v>
      </c>
      <c r="BN219">
        <f>テーブル2[[#This Row],[Tsub]]</f>
        <v>336.55358306847296</v>
      </c>
      <c r="BO219">
        <f>テーブル2[[#This Row],[Fcorr]]</f>
        <v>1</v>
      </c>
      <c r="BP219">
        <f>(テーブル2[[#This Row],[Tsub]]-40)^2</f>
        <v>87944.027630749697</v>
      </c>
      <c r="BQ219">
        <v>1</v>
      </c>
      <c r="BR219">
        <v>0.69596000000000002</v>
      </c>
    </row>
    <row r="220" spans="1:70" x14ac:dyDescent="0.15">
      <c r="A220" s="9" t="s">
        <v>288</v>
      </c>
      <c r="B220">
        <v>18960582.556212999</v>
      </c>
      <c r="C220" s="22">
        <f t="array" ref="C220">TsatFromP(テーブル2[[#This Row],[P]])</f>
        <v>634.44823391832597</v>
      </c>
      <c r="D220">
        <f t="array" ref="D220">RhoGFromP(テーブル2[[#This Row],[P]])</f>
        <v>149.14958101226799</v>
      </c>
      <c r="E220">
        <f t="array" ref="E220">RhoFFromP(テーブル2[[#This Row],[P]])</f>
        <v>520.38377569771103</v>
      </c>
      <c r="F220">
        <f t="array" ref="F220">HgFromP(テーブル2[[#This Row],[P]])</f>
        <v>2467301.6327637699</v>
      </c>
      <c r="G220">
        <f t="array" ref="G220">HfFromP(テーブル2[[#This Row],[P]])</f>
        <v>1775044.0267545299</v>
      </c>
      <c r="H220">
        <f t="array" ref="H220">MuGFromP(テーブル2[[#This Row],[P]])</f>
        <v>2.5972810943896E-5</v>
      </c>
      <c r="I220">
        <f t="array" ref="I220">MuFFromP(テーブル2[[#This Row],[P]])</f>
        <v>5.9480773118925399E-5</v>
      </c>
      <c r="J220">
        <f t="array" ref="J220">KfFromP(テーブル2[[#This Row],[P]])</f>
        <v>0.43661798563056398</v>
      </c>
      <c r="K220">
        <f t="array" ref="K220">CpFFromP(テーブル2[[#This Row],[P]])</f>
        <v>16063.580349286</v>
      </c>
      <c r="L220">
        <f t="array" ref="L220">SigmaFromP(テーブル2[[#This Row],[P]])</f>
        <v>1.6624879026359001E-3</v>
      </c>
      <c r="M220">
        <v>219</v>
      </c>
      <c r="N220">
        <v>2237.7795000000001</v>
      </c>
      <c r="O220" s="8">
        <f t="shared" si="120"/>
        <v>2.8502295699234246E-6</v>
      </c>
      <c r="P220" s="8">
        <f t="shared" si="121"/>
        <v>5.9847340050885557E-3</v>
      </c>
      <c r="Q220" s="8">
        <v>1.905E-3</v>
      </c>
      <c r="R220">
        <v>0.69596000000000002</v>
      </c>
      <c r="S220" s="15">
        <v>5308802.63671875</v>
      </c>
      <c r="T220">
        <v>297.33158579482898</v>
      </c>
      <c r="U220" s="12">
        <f>+T220+BG220*S220*テーブル2[[#This Row],[Pw]]*R220/(N220*O220*K220)</f>
        <v>513.1488733100789</v>
      </c>
      <c r="V220">
        <v>0.03</v>
      </c>
      <c r="W220" s="8">
        <f t="shared" si="92"/>
        <v>71669.713152124823</v>
      </c>
      <c r="X220">
        <v>2.6714291734591781E-2</v>
      </c>
      <c r="Y220">
        <f t="shared" si="93"/>
        <v>6.1182633683354553</v>
      </c>
      <c r="Z220">
        <f t="shared" si="94"/>
        <v>6.1182633714951056</v>
      </c>
      <c r="AA220">
        <f t="shared" si="95"/>
        <v>-3.1596503191622105E-9</v>
      </c>
      <c r="AB220">
        <f t="shared" si="96"/>
        <v>6.2083362143430346E-6</v>
      </c>
      <c r="AC220">
        <v>817.88575613791932</v>
      </c>
      <c r="AD220">
        <f t="shared" si="97"/>
        <v>2070.7730741799423</v>
      </c>
      <c r="AE220">
        <f>+gettm2(AD220,AC220,AK220,AL220,テーブル2[[#This Row],[Fcorr]])</f>
        <v>513.14887331007878</v>
      </c>
      <c r="AF220" s="14">
        <f t="shared" si="98"/>
        <v>0</v>
      </c>
      <c r="AG220">
        <v>6.3966377394363868E-6</v>
      </c>
      <c r="AH220">
        <f t="shared" si="99"/>
        <v>32.133979447731782</v>
      </c>
      <c r="AI220">
        <f t="shared" si="100"/>
        <v>0.24849656045810511</v>
      </c>
      <c r="AJ220">
        <f t="shared" si="101"/>
        <v>13.906546137646322</v>
      </c>
      <c r="AK220">
        <f t="array" ref="AK220">+S220*テーブル2[[#This Row],[F_form]]/(E220*CpFromTP((テーブル2[[#This Row],[Tin]]+テーブル2[[#This Row],[Tf]])/2,テーブル2[[#This Row],[P]])*AI220)</f>
        <v>9.7128660529816955</v>
      </c>
      <c r="AL220">
        <f t="shared" si="102"/>
        <v>2.1883527698787133</v>
      </c>
      <c r="AM220">
        <f t="shared" si="103"/>
        <v>634.44823382026959</v>
      </c>
      <c r="AN220">
        <f t="shared" si="104"/>
        <v>9.8056375463784207E-8</v>
      </c>
      <c r="AO220">
        <f t="shared" si="105"/>
        <v>1.8830152509335223E-7</v>
      </c>
      <c r="AP220">
        <v>1.92341716461832</v>
      </c>
      <c r="AQ220">
        <f t="shared" si="106"/>
        <v>2.4356664871989077E-5</v>
      </c>
      <c r="AR220">
        <f t="shared" si="107"/>
        <v>3.2924696322648695E-6</v>
      </c>
      <c r="AS220">
        <f t="shared" si="108"/>
        <v>7.157960590077928</v>
      </c>
      <c r="AT220">
        <f t="shared" si="109"/>
        <v>6.7911255330585369</v>
      </c>
      <c r="AU220">
        <f t="shared" si="110"/>
        <v>1.687571336604262</v>
      </c>
      <c r="AV220">
        <f t="shared" si="111"/>
        <v>0.23584582801405807</v>
      </c>
      <c r="AW220">
        <f t="shared" si="112"/>
        <v>6.1226826037029799E-3</v>
      </c>
      <c r="AX220">
        <f t="shared" si="113"/>
        <v>0.23584582091738984</v>
      </c>
      <c r="AY220">
        <f t="shared" si="114"/>
        <v>7.0966682252926461E-9</v>
      </c>
      <c r="AZ220">
        <f t="shared" si="115"/>
        <v>692257.60600924003</v>
      </c>
      <c r="BA220">
        <f t="shared" si="116"/>
        <v>1.2663225284683563E-5</v>
      </c>
      <c r="BB220" s="15">
        <f t="shared" si="117"/>
        <v>5356745.1889211992</v>
      </c>
      <c r="BC220" s="20">
        <f t="shared" si="118"/>
        <v>47942.55220244918</v>
      </c>
      <c r="BD220" s="19">
        <f t="shared" si="119"/>
        <v>0.90307655950233967</v>
      </c>
      <c r="BE220" s="15">
        <v>2397488.4</v>
      </c>
      <c r="BF220" s="16">
        <f>テーブル2[[#This Row],[q_P]]/テーブル2[[#This Row],[q_M]]</f>
        <v>2.2343153730884366</v>
      </c>
      <c r="BG220">
        <v>1</v>
      </c>
      <c r="BH220">
        <v>-0.128</v>
      </c>
      <c r="BI220">
        <v>4.5999999999999999E-2</v>
      </c>
      <c r="BJ220">
        <v>5625</v>
      </c>
      <c r="BK220" s="22">
        <v>1</v>
      </c>
      <c r="BL220">
        <f>テーブル2[[#This Row],[Ts]]-テーブル2[[#This Row],[Tin]]</f>
        <v>337.11664812349699</v>
      </c>
      <c r="BM220">
        <f>テーブル2[[#This Row],[q_P]]*0.000001</f>
        <v>5.3567451889211988</v>
      </c>
      <c r="BN220">
        <f>テーブル2[[#This Row],[Tsub]]</f>
        <v>337.11664812349699</v>
      </c>
      <c r="BO220">
        <f>テーブル2[[#This Row],[Fcorr]]</f>
        <v>1</v>
      </c>
      <c r="BP220">
        <f>(テーブル2[[#This Row],[Tsub]]-40)^2</f>
        <v>88278.302592141932</v>
      </c>
      <c r="BQ220">
        <v>1</v>
      </c>
      <c r="BR220">
        <v>0.69596000000000002</v>
      </c>
    </row>
    <row r="221" spans="1:70" x14ac:dyDescent="0.15">
      <c r="A221" s="9" t="s">
        <v>289</v>
      </c>
      <c r="B221">
        <v>18960582.556212999</v>
      </c>
      <c r="C221" s="22">
        <f t="array" ref="C221">TsatFromP(テーブル2[[#This Row],[P]])</f>
        <v>634.44823391832597</v>
      </c>
      <c r="D221">
        <f t="array" ref="D221">RhoGFromP(テーブル2[[#This Row],[P]])</f>
        <v>149.14958101226799</v>
      </c>
      <c r="E221">
        <f t="array" ref="E221">RhoFFromP(テーブル2[[#This Row],[P]])</f>
        <v>520.38377569771103</v>
      </c>
      <c r="F221">
        <f t="array" ref="F221">HgFromP(テーブル2[[#This Row],[P]])</f>
        <v>2467301.6327637699</v>
      </c>
      <c r="G221">
        <f t="array" ref="G221">HfFromP(テーブル2[[#This Row],[P]])</f>
        <v>1775044.0267545299</v>
      </c>
      <c r="H221">
        <f t="array" ref="H221">MuGFromP(テーブル2[[#This Row],[P]])</f>
        <v>2.5972810943896E-5</v>
      </c>
      <c r="I221">
        <f t="array" ref="I221">MuFFromP(テーブル2[[#This Row],[P]])</f>
        <v>5.9480773118925399E-5</v>
      </c>
      <c r="J221">
        <f t="array" ref="J221">KfFromP(テーブル2[[#This Row],[P]])</f>
        <v>0.43661798563056398</v>
      </c>
      <c r="K221">
        <f t="array" ref="K221">CpFFromP(テーブル2[[#This Row],[P]])</f>
        <v>16063.580349286</v>
      </c>
      <c r="L221">
        <f t="array" ref="L221">SigmaFromP(テーブル2[[#This Row],[P]])</f>
        <v>1.6624879026359001E-3</v>
      </c>
      <c r="M221">
        <v>220</v>
      </c>
      <c r="N221">
        <v>2793.8337999999999</v>
      </c>
      <c r="O221" s="8">
        <f t="shared" si="120"/>
        <v>2.8502295699234246E-6</v>
      </c>
      <c r="P221" s="8">
        <f t="shared" si="121"/>
        <v>5.9847340050885557E-3</v>
      </c>
      <c r="Q221" s="8">
        <v>1.905E-3</v>
      </c>
      <c r="R221">
        <v>0.69596000000000002</v>
      </c>
      <c r="S221" s="15">
        <v>6217053.22265625</v>
      </c>
      <c r="T221">
        <v>298.45770121924102</v>
      </c>
      <c r="U221" s="12">
        <f>+T221+BG221*S221*テーブル2[[#This Row],[Pw]]*R221/(N221*O221*K221)</f>
        <v>500.89519821428632</v>
      </c>
      <c r="V221">
        <v>0.03</v>
      </c>
      <c r="W221" s="8">
        <f t="shared" si="92"/>
        <v>89478.550965683113</v>
      </c>
      <c r="X221">
        <v>2.4506073586138089E-2</v>
      </c>
      <c r="Y221">
        <f t="shared" si="93"/>
        <v>6.3879739049883169</v>
      </c>
      <c r="Z221">
        <f t="shared" si="94"/>
        <v>6.3879739206029766</v>
      </c>
      <c r="AA221">
        <f t="shared" si="95"/>
        <v>-1.5614659787388518E-8</v>
      </c>
      <c r="AB221">
        <f t="shared" si="96"/>
        <v>4.3418879052211344E-6</v>
      </c>
      <c r="AC221">
        <v>804.34668939333199</v>
      </c>
      <c r="AD221">
        <f t="shared" si="97"/>
        <v>2476.1720656518692</v>
      </c>
      <c r="AE221">
        <f>+gettm2(AD221,AC221,AK221,AL221,テーブル2[[#This Row],[Fcorr]])</f>
        <v>500.89519821428627</v>
      </c>
      <c r="AF221" s="14">
        <f t="shared" si="98"/>
        <v>0</v>
      </c>
      <c r="AG221">
        <v>4.5237369909956687E-6</v>
      </c>
      <c r="AH221">
        <f t="shared" si="99"/>
        <v>45.947420263063528</v>
      </c>
      <c r="AI221">
        <f t="shared" si="100"/>
        <v>0.29714518171461496</v>
      </c>
      <c r="AJ221">
        <f t="shared" si="101"/>
        <v>11.760158708093979</v>
      </c>
      <c r="AK221">
        <f t="array" ref="AK221">+S221*テーブル2[[#This Row],[F_form]]/(E221*CpFromTP((テーブル2[[#This Row],[Tin]]+テーブル2[[#This Row],[Tf]])/2,テーブル2[[#This Row],[P]])*AI221)</f>
        <v>9.533411290394687</v>
      </c>
      <c r="AL221">
        <f t="shared" si="102"/>
        <v>2.1883527698787133</v>
      </c>
      <c r="AM221">
        <f t="shared" si="103"/>
        <v>634.44823377510977</v>
      </c>
      <c r="AN221">
        <f t="shared" si="104"/>
        <v>1.4321619801194174E-7</v>
      </c>
      <c r="AO221">
        <f t="shared" si="105"/>
        <v>1.8184908577453431E-7</v>
      </c>
      <c r="AP221">
        <v>2.0490560465612608</v>
      </c>
      <c r="AQ221">
        <f t="shared" si="106"/>
        <v>2.1461354103123956E-5</v>
      </c>
      <c r="AR221">
        <f t="shared" si="107"/>
        <v>2.3527930383851015E-6</v>
      </c>
      <c r="AS221">
        <f t="shared" si="108"/>
        <v>6.1164518613221777</v>
      </c>
      <c r="AT221">
        <f t="shared" si="109"/>
        <v>6.0049108358792296</v>
      </c>
      <c r="AU221">
        <f t="shared" si="110"/>
        <v>1.784330321507394</v>
      </c>
      <c r="AV221">
        <f t="shared" si="111"/>
        <v>0.26472572505386682</v>
      </c>
      <c r="AW221">
        <f t="shared" si="112"/>
        <v>4.2819848388863276E-3</v>
      </c>
      <c r="AX221">
        <f t="shared" si="113"/>
        <v>0.26472572450722531</v>
      </c>
      <c r="AY221">
        <f t="shared" si="114"/>
        <v>5.4664150983541049E-10</v>
      </c>
      <c r="AZ221">
        <f t="shared" si="115"/>
        <v>692257.60600924003</v>
      </c>
      <c r="BA221">
        <f t="shared" si="116"/>
        <v>1.0473776029279697E-5</v>
      </c>
      <c r="BB221" s="15">
        <f t="shared" si="117"/>
        <v>6254596.8717347672</v>
      </c>
      <c r="BC221" s="20">
        <f t="shared" si="118"/>
        <v>37543.649078517221</v>
      </c>
      <c r="BD221" s="19">
        <f t="shared" si="119"/>
        <v>0.60388173840462334</v>
      </c>
      <c r="BE221" s="15">
        <v>2996860.5</v>
      </c>
      <c r="BF221" s="16">
        <f>テーブル2[[#This Row],[q_P]]/テーブル2[[#This Row],[q_M]]</f>
        <v>2.0870497214450814</v>
      </c>
      <c r="BG221">
        <v>1</v>
      </c>
      <c r="BH221">
        <v>-0.11899999999999999</v>
      </c>
      <c r="BI221">
        <v>4.5999999999999999E-2</v>
      </c>
      <c r="BJ221">
        <v>5625</v>
      </c>
      <c r="BK221" s="22">
        <v>1</v>
      </c>
      <c r="BL221">
        <f>テーブル2[[#This Row],[Ts]]-テーブル2[[#This Row],[Tin]]</f>
        <v>335.99053269908495</v>
      </c>
      <c r="BM221">
        <f>テーブル2[[#This Row],[q_P]]*0.000001</f>
        <v>6.2545968717347673</v>
      </c>
      <c r="BN221">
        <f>テーブル2[[#This Row],[Tsub]]</f>
        <v>335.99053269908495</v>
      </c>
      <c r="BO221">
        <f>テーブル2[[#This Row],[Fcorr]]</f>
        <v>1</v>
      </c>
      <c r="BP221">
        <f>(テーブル2[[#This Row],[Tsub]]-40)^2</f>
        <v>87610.395447488074</v>
      </c>
      <c r="BQ221">
        <v>1</v>
      </c>
      <c r="BR221">
        <v>0.69596000000000002</v>
      </c>
    </row>
    <row r="222" spans="1:70" x14ac:dyDescent="0.15">
      <c r="A222" s="9" t="s">
        <v>290</v>
      </c>
      <c r="B222">
        <v>18960582.556212999</v>
      </c>
      <c r="C222" s="22">
        <f t="array" ref="C222">TsatFromP(テーブル2[[#This Row],[P]])</f>
        <v>634.44823391832597</v>
      </c>
      <c r="D222">
        <f t="array" ref="D222">RhoGFromP(テーブル2[[#This Row],[P]])</f>
        <v>149.14958101226799</v>
      </c>
      <c r="E222">
        <f t="array" ref="E222">RhoFFromP(テーブル2[[#This Row],[P]])</f>
        <v>520.38377569771103</v>
      </c>
      <c r="F222">
        <f t="array" ref="F222">HgFromP(テーブル2[[#This Row],[P]])</f>
        <v>2467301.6327637699</v>
      </c>
      <c r="G222">
        <f t="array" ref="G222">HfFromP(テーブル2[[#This Row],[P]])</f>
        <v>1775044.0267545299</v>
      </c>
      <c r="H222">
        <f t="array" ref="H222">MuGFromP(テーブル2[[#This Row],[P]])</f>
        <v>2.5972810943896E-5</v>
      </c>
      <c r="I222">
        <f t="array" ref="I222">MuFFromP(テーブル2[[#This Row],[P]])</f>
        <v>5.9480773118925399E-5</v>
      </c>
      <c r="J222">
        <f t="array" ref="J222">KfFromP(テーブル2[[#This Row],[P]])</f>
        <v>0.43661798563056398</v>
      </c>
      <c r="K222">
        <f t="array" ref="K222">CpFFromP(テーブル2[[#This Row],[P]])</f>
        <v>16063.580349286</v>
      </c>
      <c r="L222">
        <f t="array" ref="L222">SigmaFromP(テーブル2[[#This Row],[P]])</f>
        <v>1.6624879026359001E-3</v>
      </c>
      <c r="M222">
        <v>221</v>
      </c>
      <c r="N222">
        <v>2861.6453000000001</v>
      </c>
      <c r="O222" s="8">
        <f t="shared" si="120"/>
        <v>2.8502295699234246E-6</v>
      </c>
      <c r="P222" s="8">
        <f t="shared" si="121"/>
        <v>5.9847340050885557E-3</v>
      </c>
      <c r="Q222" s="8">
        <v>1.905E-3</v>
      </c>
      <c r="R222">
        <v>0.69596000000000002</v>
      </c>
      <c r="S222" s="15">
        <v>6336169.43359375</v>
      </c>
      <c r="T222">
        <v>297.89465084985301</v>
      </c>
      <c r="U222" s="12">
        <f>+T222+BG222*S222*テーブル2[[#This Row],[Pw]]*R222/(N222*O222*K222)</f>
        <v>499.32176043104226</v>
      </c>
      <c r="V222">
        <v>0.03</v>
      </c>
      <c r="W222" s="8">
        <f t="shared" si="92"/>
        <v>91650.360455141446</v>
      </c>
      <c r="X222">
        <v>2.428498830340196E-2</v>
      </c>
      <c r="Y222">
        <f t="shared" si="93"/>
        <v>6.416985392635616</v>
      </c>
      <c r="Z222">
        <f t="shared" si="94"/>
        <v>6.416985400684486</v>
      </c>
      <c r="AA222">
        <f t="shared" si="95"/>
        <v>-8.0488700149317083E-9</v>
      </c>
      <c r="AB222">
        <f t="shared" si="96"/>
        <v>4.1762257979177299E-6</v>
      </c>
      <c r="AC222">
        <v>803.22431206662066</v>
      </c>
      <c r="AD222">
        <f t="shared" si="97"/>
        <v>2524.8067203953942</v>
      </c>
      <c r="AE222">
        <f>+gettm2(AD222,AC222,AK222,AL222,テーブル2[[#This Row],[Fcorr]])</f>
        <v>499.32176043104204</v>
      </c>
      <c r="AF222" s="14">
        <f t="shared" si="98"/>
        <v>0</v>
      </c>
      <c r="AG222">
        <v>4.3579957719578812E-6</v>
      </c>
      <c r="AH222">
        <f t="shared" si="99"/>
        <v>47.770057935032668</v>
      </c>
      <c r="AI222">
        <f t="shared" si="100"/>
        <v>0.30298142933320998</v>
      </c>
      <c r="AJ222">
        <f t="shared" si="101"/>
        <v>11.551807887132778</v>
      </c>
      <c r="AK222">
        <f t="array" ref="AK222">+S222*テーブル2[[#This Row],[F_form]]/(E222*CpFromTP((テーブル2[[#This Row],[Tin]]+テーブル2[[#This Row],[Tf]])/2,テーブル2[[#This Row],[P]])*AI222)</f>
        <v>9.5327603657751858</v>
      </c>
      <c r="AL222">
        <f t="shared" si="102"/>
        <v>2.1883527698787133</v>
      </c>
      <c r="AM222">
        <f t="shared" si="103"/>
        <v>634.44823371085658</v>
      </c>
      <c r="AN222">
        <f t="shared" si="104"/>
        <v>2.0746938389493152E-7</v>
      </c>
      <c r="AO222">
        <f t="shared" si="105"/>
        <v>1.817699740401513E-7</v>
      </c>
      <c r="AP222">
        <v>2.0626425005871099</v>
      </c>
      <c r="AQ222">
        <f t="shared" si="106"/>
        <v>2.11795569598776E-5</v>
      </c>
      <c r="AR222">
        <f t="shared" si="107"/>
        <v>2.2698828729990163E-6</v>
      </c>
      <c r="AS222">
        <f t="shared" si="108"/>
        <v>6.0168142070953499</v>
      </c>
      <c r="AT222">
        <f t="shared" si="109"/>
        <v>5.9227895888251387</v>
      </c>
      <c r="AU222">
        <f t="shared" si="110"/>
        <v>1.7944952552620956</v>
      </c>
      <c r="AV222">
        <f t="shared" si="111"/>
        <v>0.26814724532501422</v>
      </c>
      <c r="AW222">
        <f t="shared" si="112"/>
        <v>4.1186082968530501E-3</v>
      </c>
      <c r="AX222">
        <f t="shared" si="113"/>
        <v>0.26814724458671307</v>
      </c>
      <c r="AY222">
        <f t="shared" si="114"/>
        <v>7.3830114244444189E-10</v>
      </c>
      <c r="AZ222">
        <f t="shared" si="115"/>
        <v>692257.60600924003</v>
      </c>
      <c r="BA222">
        <f t="shared" si="116"/>
        <v>1.0268166661866542E-5</v>
      </c>
      <c r="BB222" s="15">
        <f t="shared" si="117"/>
        <v>6377063.1859234963</v>
      </c>
      <c r="BC222" s="20">
        <f t="shared" si="118"/>
        <v>40893.752329746261</v>
      </c>
      <c r="BD222" s="19">
        <f t="shared" si="119"/>
        <v>0.64540181190439116</v>
      </c>
      <c r="BE222" s="15">
        <v>2776039.2</v>
      </c>
      <c r="BF222" s="16">
        <f>テーブル2[[#This Row],[q_P]]/テーブル2[[#This Row],[q_M]]</f>
        <v>2.297180524656675</v>
      </c>
      <c r="BG222">
        <v>1</v>
      </c>
      <c r="BH222">
        <v>-0.33800000000000002</v>
      </c>
      <c r="BI222">
        <v>4.5999999999999999E-2</v>
      </c>
      <c r="BJ222">
        <v>5625</v>
      </c>
      <c r="BK222" s="22">
        <v>1</v>
      </c>
      <c r="BL222">
        <f>テーブル2[[#This Row],[Ts]]-テーブル2[[#This Row],[Tin]]</f>
        <v>336.55358306847296</v>
      </c>
      <c r="BM222">
        <f>テーブル2[[#This Row],[q_P]]*0.000001</f>
        <v>6.3770631859234959</v>
      </c>
      <c r="BN222">
        <f>テーブル2[[#This Row],[Tsub]]</f>
        <v>336.55358306847296</v>
      </c>
      <c r="BO222">
        <f>テーブル2[[#This Row],[Fcorr]]</f>
        <v>1</v>
      </c>
      <c r="BP222">
        <f>(テーブル2[[#This Row],[Tsub]]-40)^2</f>
        <v>87944.027630749697</v>
      </c>
      <c r="BQ222">
        <v>1</v>
      </c>
      <c r="BR222">
        <v>0.69596000000000002</v>
      </c>
    </row>
    <row r="223" spans="1:70" x14ac:dyDescent="0.15">
      <c r="A223" s="9" t="s">
        <v>291</v>
      </c>
      <c r="B223">
        <v>18960582.556212999</v>
      </c>
      <c r="C223" s="22">
        <f t="array" ref="C223">TsatFromP(テーブル2[[#This Row],[P]])</f>
        <v>634.44823391832597</v>
      </c>
      <c r="D223">
        <f t="array" ref="D223">RhoGFromP(テーブル2[[#This Row],[P]])</f>
        <v>149.14958101226799</v>
      </c>
      <c r="E223">
        <f t="array" ref="E223">RhoFFromP(テーブル2[[#This Row],[P]])</f>
        <v>520.38377569771103</v>
      </c>
      <c r="F223">
        <f t="array" ref="F223">HgFromP(テーブル2[[#This Row],[P]])</f>
        <v>2467301.6327637699</v>
      </c>
      <c r="G223">
        <f t="array" ref="G223">HfFromP(テーブル2[[#This Row],[P]])</f>
        <v>1775044.0267545299</v>
      </c>
      <c r="H223">
        <f t="array" ref="H223">MuGFromP(テーブル2[[#This Row],[P]])</f>
        <v>2.5972810943896E-5</v>
      </c>
      <c r="I223">
        <f t="array" ref="I223">MuFFromP(テーブル2[[#This Row],[P]])</f>
        <v>5.9480773118925399E-5</v>
      </c>
      <c r="J223">
        <f t="array" ref="J223">KfFromP(テーブル2[[#This Row],[P]])</f>
        <v>0.43661798563056398</v>
      </c>
      <c r="K223">
        <f t="array" ref="K223">CpFFromP(テーブル2[[#This Row],[P]])</f>
        <v>16063.580349286</v>
      </c>
      <c r="L223">
        <f t="array" ref="L223">SigmaFromP(テーブル2[[#This Row],[P]])</f>
        <v>1.6624879026359001E-3</v>
      </c>
      <c r="M223">
        <v>222</v>
      </c>
      <c r="N223">
        <v>3471.9488000000001</v>
      </c>
      <c r="O223" s="8">
        <f t="shared" si="120"/>
        <v>2.8502295699234246E-6</v>
      </c>
      <c r="P223" s="8">
        <f t="shared" si="121"/>
        <v>5.9847340050885557E-3</v>
      </c>
      <c r="Q223" s="8">
        <v>1.905E-3</v>
      </c>
      <c r="R223">
        <v>0.69596000000000002</v>
      </c>
      <c r="S223" s="15">
        <v>7260546.38671875</v>
      </c>
      <c r="T223">
        <v>299.02073658241198</v>
      </c>
      <c r="U223" s="12">
        <f>+T223+BG223*S223*テーブル2[[#This Row],[Pw]]*R223/(N223*O223*K223)</f>
        <v>489.261216608371</v>
      </c>
      <c r="V223">
        <v>0.03</v>
      </c>
      <c r="W223" s="8">
        <f t="shared" si="92"/>
        <v>111196.64586026638</v>
      </c>
      <c r="X223">
        <v>2.2615094215070311E-2</v>
      </c>
      <c r="Y223">
        <f t="shared" si="93"/>
        <v>6.6496808099286682</v>
      </c>
      <c r="Z223">
        <f t="shared" si="94"/>
        <v>6.6496808158942153</v>
      </c>
      <c r="AA223">
        <f t="shared" si="95"/>
        <v>-5.9655471673636384E-9</v>
      </c>
      <c r="AB223">
        <f t="shared" si="96"/>
        <v>3.0465509744099373E-6</v>
      </c>
      <c r="AC223">
        <v>790.92049740726429</v>
      </c>
      <c r="AD223">
        <f t="shared" si="97"/>
        <v>2956.0780652656936</v>
      </c>
      <c r="AE223">
        <f>+gettm2(AD223,AC223,AK223,AL223,テーブル2[[#This Row],[Fcorr]])</f>
        <v>489.26121660837094</v>
      </c>
      <c r="AF223" s="14">
        <f t="shared" si="98"/>
        <v>0</v>
      </c>
      <c r="AG223">
        <v>3.224412197281791E-6</v>
      </c>
      <c r="AH223">
        <f t="shared" si="99"/>
        <v>65.483410582009824</v>
      </c>
      <c r="AI223">
        <f t="shared" si="100"/>
        <v>0.3547347803694415</v>
      </c>
      <c r="AJ223">
        <f t="shared" si="101"/>
        <v>10.006944010246574</v>
      </c>
      <c r="AK223">
        <f t="array" ref="AK223">+S223*テーブル2[[#This Row],[F_form]]/(E223*CpFromTP((テーブル2[[#This Row],[Tin]]+テーブル2[[#This Row],[Tf]])/2,テーブル2[[#This Row],[P]])*AI223)</f>
        <v>9.3449473760680473</v>
      </c>
      <c r="AL223">
        <f t="shared" si="102"/>
        <v>2.1883527698787133</v>
      </c>
      <c r="AM223">
        <f t="shared" si="103"/>
        <v>634.44823399622726</v>
      </c>
      <c r="AN223">
        <f t="shared" si="104"/>
        <v>-7.7901290751469787E-8</v>
      </c>
      <c r="AO223">
        <f t="shared" si="105"/>
        <v>1.7786122287185373E-7</v>
      </c>
      <c r="AP223">
        <v>2.167855753000727</v>
      </c>
      <c r="AQ223">
        <f t="shared" si="106"/>
        <v>1.9173616331603264E-5</v>
      </c>
      <c r="AR223">
        <f t="shared" si="107"/>
        <v>1.7011367100768224E-6</v>
      </c>
      <c r="AS223">
        <f t="shared" si="108"/>
        <v>5.2794676269567891</v>
      </c>
      <c r="AT223">
        <f t="shared" si="109"/>
        <v>5.2691263220339088</v>
      </c>
      <c r="AU223">
        <f t="shared" si="110"/>
        <v>1.8691423685855417</v>
      </c>
      <c r="AV223">
        <f t="shared" si="111"/>
        <v>0.29871338441518525</v>
      </c>
      <c r="AW223">
        <f t="shared" si="112"/>
        <v>3.0045190866467833E-3</v>
      </c>
      <c r="AX223">
        <f t="shared" si="113"/>
        <v>0.29871338330912067</v>
      </c>
      <c r="AY223">
        <f t="shared" si="114"/>
        <v>1.1060645732641206E-9</v>
      </c>
      <c r="AZ223">
        <f t="shared" si="115"/>
        <v>692257.60600924003</v>
      </c>
      <c r="BA223">
        <f t="shared" si="116"/>
        <v>8.8445074378511177E-6</v>
      </c>
      <c r="BB223" s="15">
        <f t="shared" si="117"/>
        <v>7244344.6957942601</v>
      </c>
      <c r="BC223" s="20">
        <f t="shared" si="118"/>
        <v>-16201.690924489871</v>
      </c>
      <c r="BD223" s="19">
        <f t="shared" si="119"/>
        <v>-0.22314699282311012</v>
      </c>
      <c r="BE223" s="15">
        <v>3533140.8</v>
      </c>
      <c r="BF223" s="16">
        <f>テーブル2[[#This Row],[q_P]]/テーブル2[[#This Row],[q_M]]</f>
        <v>2.0503979620043054</v>
      </c>
      <c r="BG223">
        <v>1</v>
      </c>
      <c r="BH223">
        <v>-0.23100000000000001</v>
      </c>
      <c r="BI223">
        <v>4.5999999999999999E-2</v>
      </c>
      <c r="BJ223">
        <v>5625</v>
      </c>
      <c r="BK223" s="22">
        <v>1</v>
      </c>
      <c r="BL223">
        <f>テーブル2[[#This Row],[Ts]]-テーブル2[[#This Row],[Tin]]</f>
        <v>335.42749733591398</v>
      </c>
      <c r="BM223">
        <f>テーブル2[[#This Row],[q_P]]*0.000001</f>
        <v>7.2443446957942594</v>
      </c>
      <c r="BN223">
        <f>テーブル2[[#This Row],[Tsub]]</f>
        <v>335.42749733591398</v>
      </c>
      <c r="BO223">
        <f>テーブル2[[#This Row],[Fcorr]]</f>
        <v>1</v>
      </c>
      <c r="BP223">
        <f>(テーブル2[[#This Row],[Tsub]]-40)^2</f>
        <v>87277.40618216146</v>
      </c>
      <c r="BQ223">
        <v>1</v>
      </c>
      <c r="BR223">
        <v>0.69596000000000002</v>
      </c>
    </row>
    <row r="224" spans="1:70" x14ac:dyDescent="0.15">
      <c r="A224" s="9" t="s">
        <v>292</v>
      </c>
      <c r="B224">
        <v>18960582.556212999</v>
      </c>
      <c r="C224" s="22">
        <f t="array" ref="C224">TsatFromP(テーブル2[[#This Row],[P]])</f>
        <v>634.44823391832597</v>
      </c>
      <c r="D224">
        <f t="array" ref="D224">RhoGFromP(テーブル2[[#This Row],[P]])</f>
        <v>149.14958101226799</v>
      </c>
      <c r="E224">
        <f t="array" ref="E224">RhoFFromP(テーブル2[[#This Row],[P]])</f>
        <v>520.38377569771103</v>
      </c>
      <c r="F224">
        <f t="array" ref="F224">HgFromP(テーブル2[[#This Row],[P]])</f>
        <v>2467301.6327637699</v>
      </c>
      <c r="G224">
        <f t="array" ref="G224">HfFromP(テーブル2[[#This Row],[P]])</f>
        <v>1775044.0267545299</v>
      </c>
      <c r="H224">
        <f t="array" ref="H224">MuGFromP(テーブル2[[#This Row],[P]])</f>
        <v>2.5972810943896E-5</v>
      </c>
      <c r="I224">
        <f t="array" ref="I224">MuFFromP(テーブル2[[#This Row],[P]])</f>
        <v>5.9480773118925399E-5</v>
      </c>
      <c r="J224">
        <f t="array" ref="J224">KfFromP(テーブル2[[#This Row],[P]])</f>
        <v>0.43661798563056398</v>
      </c>
      <c r="K224">
        <f t="array" ref="K224">CpFFromP(テーブル2[[#This Row],[P]])</f>
        <v>16063.580349286</v>
      </c>
      <c r="L224">
        <f t="array" ref="L224">SigmaFromP(テーブル2[[#This Row],[P]])</f>
        <v>1.6624879026359001E-3</v>
      </c>
      <c r="M224">
        <v>223</v>
      </c>
      <c r="N224">
        <v>3648.2586999999999</v>
      </c>
      <c r="O224" s="8">
        <f t="shared" si="120"/>
        <v>2.8502295699234246E-6</v>
      </c>
      <c r="P224" s="8">
        <f t="shared" si="121"/>
        <v>5.9847340050885557E-3</v>
      </c>
      <c r="Q224" s="8">
        <v>1.905E-3</v>
      </c>
      <c r="R224">
        <v>0.69596000000000002</v>
      </c>
      <c r="S224" s="15">
        <v>7583984.375</v>
      </c>
      <c r="T224">
        <v>296.26172292177802</v>
      </c>
      <c r="U224" s="12">
        <f>+T224+BG224*S224*テーブル2[[#This Row],[Pw]]*R224/(N224*O224*K224)</f>
        <v>485.37357309828786</v>
      </c>
      <c r="V224">
        <v>0.03</v>
      </c>
      <c r="W224" s="8">
        <f t="shared" si="92"/>
        <v>116843.35053285804</v>
      </c>
      <c r="X224">
        <v>2.2217391970833882E-2</v>
      </c>
      <c r="Y224">
        <f t="shared" si="93"/>
        <v>6.7089331033772375</v>
      </c>
      <c r="Z224">
        <f t="shared" si="94"/>
        <v>6.7089331074216236</v>
      </c>
      <c r="AA224">
        <f t="shared" si="95"/>
        <v>-4.0443861593075781E-9</v>
      </c>
      <c r="AB224">
        <f t="shared" si="96"/>
        <v>2.8085951652339211E-6</v>
      </c>
      <c r="AC224">
        <v>789.22604747791456</v>
      </c>
      <c r="AD224">
        <f t="shared" si="97"/>
        <v>3078.7579867486661</v>
      </c>
      <c r="AE224">
        <f>+gettm2(AD224,AC224,AK224,AL224,テーブル2[[#This Row],[Fcorr]])</f>
        <v>485.37357309828798</v>
      </c>
      <c r="AF224" s="14">
        <f t="shared" si="98"/>
        <v>0</v>
      </c>
      <c r="AG224">
        <v>2.9866244859684379E-6</v>
      </c>
      <c r="AH224">
        <f t="shared" si="99"/>
        <v>71.031436209031654</v>
      </c>
      <c r="AI224">
        <f t="shared" si="100"/>
        <v>0.36945659557261706</v>
      </c>
      <c r="AJ224">
        <f t="shared" si="101"/>
        <v>9.6536419838262013</v>
      </c>
      <c r="AK224">
        <f t="array" ref="AK224">+S224*テーブル2[[#This Row],[F_form]]/(E224*CpFromTP((テーブル2[[#This Row],[Tin]]+テーブル2[[#This Row],[Tf]])/2,テーブル2[[#This Row],[P]])*AI224)</f>
        <v>9.3829056901855044</v>
      </c>
      <c r="AL224">
        <f t="shared" si="102"/>
        <v>2.1883527698787133</v>
      </c>
      <c r="AM224">
        <f t="shared" si="103"/>
        <v>634.44823392618332</v>
      </c>
      <c r="AN224">
        <f t="shared" si="104"/>
        <v>-7.8573521022917703E-9</v>
      </c>
      <c r="AO224">
        <f t="shared" si="105"/>
        <v>1.7802932073451678E-7</v>
      </c>
      <c r="AP224">
        <v>2.1953057784014569</v>
      </c>
      <c r="AQ224">
        <f t="shared" si="106"/>
        <v>1.8697121675960991E-5</v>
      </c>
      <c r="AR224">
        <f t="shared" si="107"/>
        <v>1.5823269033514773E-6</v>
      </c>
      <c r="AS224">
        <f t="shared" si="108"/>
        <v>5.1145423531135386</v>
      </c>
      <c r="AT224">
        <f t="shared" si="109"/>
        <v>5.1104396193435928</v>
      </c>
      <c r="AU224">
        <f t="shared" si="110"/>
        <v>1.8880856236421049</v>
      </c>
      <c r="AV224">
        <f t="shared" si="111"/>
        <v>0.30722015475935205</v>
      </c>
      <c r="AW224">
        <f t="shared" si="112"/>
        <v>2.7698462462928514E-3</v>
      </c>
      <c r="AX224">
        <f t="shared" si="113"/>
        <v>0.30722014808514947</v>
      </c>
      <c r="AY224">
        <f t="shared" si="114"/>
        <v>6.6742025794930271E-9</v>
      </c>
      <c r="AZ224">
        <f t="shared" si="115"/>
        <v>692257.60600924003</v>
      </c>
      <c r="BA224">
        <f t="shared" si="116"/>
        <v>8.5168644203977657E-6</v>
      </c>
      <c r="BB224" s="15">
        <f t="shared" si="117"/>
        <v>7530144.0635849703</v>
      </c>
      <c r="BC224" s="20">
        <f t="shared" si="118"/>
        <v>-53840.31141502969</v>
      </c>
      <c r="BD224" s="19">
        <f t="shared" si="119"/>
        <v>-0.70992118064628384</v>
      </c>
      <c r="BE224" s="15">
        <v>3533140.8</v>
      </c>
      <c r="BF224" s="16">
        <f>テーブル2[[#This Row],[q_P]]/テーブル2[[#This Row],[q_M]]</f>
        <v>2.1312889833275173</v>
      </c>
      <c r="BG224">
        <v>1</v>
      </c>
      <c r="BH224">
        <v>-0.35099999999999998</v>
      </c>
      <c r="BI224">
        <v>4.5999999999999999E-2</v>
      </c>
      <c r="BJ224">
        <v>5625</v>
      </c>
      <c r="BK224" s="22">
        <v>1</v>
      </c>
      <c r="BL224">
        <f>テーブル2[[#This Row],[Ts]]-テーブル2[[#This Row],[Tin]]</f>
        <v>338.18651099654795</v>
      </c>
      <c r="BM224">
        <f>テーブル2[[#This Row],[q_P]]*0.000001</f>
        <v>7.5301440635849701</v>
      </c>
      <c r="BN224">
        <f>テーブル2[[#This Row],[Tsub]]</f>
        <v>338.18651099654795</v>
      </c>
      <c r="BO224">
        <f>テーブル2[[#This Row],[Fcorr]]</f>
        <v>1</v>
      </c>
      <c r="BP224">
        <f>(テーブル2[[#This Row],[Tsub]]-40)^2</f>
        <v>88915.195340294405</v>
      </c>
      <c r="BQ224">
        <v>1</v>
      </c>
      <c r="BR224">
        <v>0.69596000000000002</v>
      </c>
    </row>
    <row r="225" spans="1:70" x14ac:dyDescent="0.15">
      <c r="A225" s="9" t="s">
        <v>293</v>
      </c>
      <c r="B225">
        <v>18960582.556212999</v>
      </c>
      <c r="C225" s="22">
        <f t="array" ref="C225">TsatFromP(テーブル2[[#This Row],[P]])</f>
        <v>634.44823391832597</v>
      </c>
      <c r="D225">
        <f t="array" ref="D225">RhoGFromP(テーブル2[[#This Row],[P]])</f>
        <v>149.14958101226799</v>
      </c>
      <c r="E225">
        <f t="array" ref="E225">RhoFFromP(テーブル2[[#This Row],[P]])</f>
        <v>520.38377569771103</v>
      </c>
      <c r="F225">
        <f t="array" ref="F225">HgFromP(テーブル2[[#This Row],[P]])</f>
        <v>2467301.6327637699</v>
      </c>
      <c r="G225">
        <f t="array" ref="G225">HfFromP(テーブル2[[#This Row],[P]])</f>
        <v>1775044.0267545299</v>
      </c>
      <c r="H225">
        <f t="array" ref="H225">MuGFromP(テーブル2[[#This Row],[P]])</f>
        <v>2.5972810943896E-5</v>
      </c>
      <c r="I225">
        <f t="array" ref="I225">MuFFromP(テーブル2[[#This Row],[P]])</f>
        <v>5.9480773118925399E-5</v>
      </c>
      <c r="J225">
        <f t="array" ref="J225">KfFromP(テーブル2[[#This Row],[P]])</f>
        <v>0.43661798563056398</v>
      </c>
      <c r="K225">
        <f t="array" ref="K225">CpFFromP(テーブル2[[#This Row],[P]])</f>
        <v>16063.580349286</v>
      </c>
      <c r="L225">
        <f t="array" ref="L225">SigmaFromP(テーブル2[[#This Row],[P]])</f>
        <v>1.6624879026359001E-3</v>
      </c>
      <c r="M225">
        <v>224</v>
      </c>
      <c r="N225">
        <v>3783.8816999999999</v>
      </c>
      <c r="O225" s="8">
        <f t="shared" si="120"/>
        <v>2.8502295699234246E-6</v>
      </c>
      <c r="P225" s="8">
        <f t="shared" si="121"/>
        <v>5.9847340050885557E-3</v>
      </c>
      <c r="Q225" s="8">
        <v>1.905E-3</v>
      </c>
      <c r="R225">
        <v>0.69596000000000002</v>
      </c>
      <c r="S225" s="15">
        <v>7711816.40625</v>
      </c>
      <c r="T225">
        <v>299.58375662661598</v>
      </c>
      <c r="U225" s="12">
        <f>+T225+BG225*S225*テーブル2[[#This Row],[Pw]]*R225/(N225*O225*K225)</f>
        <v>484.99073347646276</v>
      </c>
      <c r="V225">
        <v>0.03</v>
      </c>
      <c r="W225" s="8">
        <f t="shared" si="92"/>
        <v>121186.96951177469</v>
      </c>
      <c r="X225">
        <v>2.1931702987100093E-2</v>
      </c>
      <c r="Y225">
        <f t="shared" si="93"/>
        <v>6.7524880163745182</v>
      </c>
      <c r="Z225">
        <f t="shared" si="94"/>
        <v>6.7524880375115002</v>
      </c>
      <c r="AA225">
        <f t="shared" si="95"/>
        <v>-2.1136981942504462E-8</v>
      </c>
      <c r="AB225">
        <f t="shared" si="96"/>
        <v>2.6448802811588879E-6</v>
      </c>
      <c r="AC225">
        <v>785.38105102733152</v>
      </c>
      <c r="AD225">
        <f t="shared" si="97"/>
        <v>3172.6131066587318</v>
      </c>
      <c r="AE225">
        <f>+gettm2(AD225,AC225,AK225,AL225,テーブル2[[#This Row],[Fcorr]])</f>
        <v>484.99073347646271</v>
      </c>
      <c r="AF225" s="14">
        <f t="shared" si="98"/>
        <v>0</v>
      </c>
      <c r="AG225">
        <v>2.8221507772346966E-6</v>
      </c>
      <c r="AH225">
        <f t="shared" si="99"/>
        <v>75.428196027419119</v>
      </c>
      <c r="AI225">
        <f t="shared" si="100"/>
        <v>0.38071938180923576</v>
      </c>
      <c r="AJ225">
        <f t="shared" si="101"/>
        <v>9.4000971599180314</v>
      </c>
      <c r="AK225">
        <f t="array" ref="AK225">+S225*テーブル2[[#This Row],[F_form]]/(E225*CpFromTP((テーブル2[[#This Row],[Tin]]+テーブル2[[#This Row],[Tf]])/2,テーブル2[[#This Row],[P]])*AI225)</f>
        <v>9.254236485263327</v>
      </c>
      <c r="AL225">
        <f t="shared" si="102"/>
        <v>2.1883527698787133</v>
      </c>
      <c r="AM225">
        <f t="shared" si="103"/>
        <v>634.44823376319073</v>
      </c>
      <c r="AN225">
        <f t="shared" si="104"/>
        <v>1.5513523976551369E-7</v>
      </c>
      <c r="AO225">
        <f t="shared" si="105"/>
        <v>1.7727049607580871E-7</v>
      </c>
      <c r="AP225">
        <v>2.2154990355576487</v>
      </c>
      <c r="AQ225">
        <f t="shared" si="106"/>
        <v>1.835784356644749E-5</v>
      </c>
      <c r="AR225">
        <f t="shared" si="107"/>
        <v>1.4997106366552527E-6</v>
      </c>
      <c r="AS225">
        <f t="shared" si="108"/>
        <v>4.9952772934886776</v>
      </c>
      <c r="AT225">
        <f t="shared" si="109"/>
        <v>4.9952772934886776</v>
      </c>
      <c r="AU225">
        <f t="shared" si="110"/>
        <v>1.9017988831427217</v>
      </c>
      <c r="AV225">
        <f t="shared" si="111"/>
        <v>0.31370015241492699</v>
      </c>
      <c r="AW225">
        <f t="shared" si="112"/>
        <v>2.608390062528563E-3</v>
      </c>
      <c r="AX225">
        <f t="shared" si="113"/>
        <v>0.31370013959615872</v>
      </c>
      <c r="AY225">
        <f t="shared" si="114"/>
        <v>1.2818768269085012E-8</v>
      </c>
      <c r="AZ225">
        <f t="shared" si="115"/>
        <v>692257.60600924003</v>
      </c>
      <c r="BA225">
        <f t="shared" si="116"/>
        <v>8.2860986494750413E-6</v>
      </c>
      <c r="BB225" s="15">
        <f t="shared" si="117"/>
        <v>7706866.6504259864</v>
      </c>
      <c r="BC225" s="20">
        <f t="shared" si="118"/>
        <v>-4949.7558240136132</v>
      </c>
      <c r="BD225" s="19">
        <f t="shared" si="119"/>
        <v>-6.4184046445946386E-2</v>
      </c>
      <c r="BE225" s="15">
        <v>3564686.7</v>
      </c>
      <c r="BF225" s="16">
        <f>テーブル2[[#This Row],[q_P]]/テーブル2[[#This Row],[q_M]]</f>
        <v>2.1620039288238111</v>
      </c>
      <c r="BG225">
        <v>1</v>
      </c>
      <c r="BH225">
        <v>-0.38700000000000001</v>
      </c>
      <c r="BI225">
        <v>4.5999999999999999E-2</v>
      </c>
      <c r="BJ225">
        <v>5625</v>
      </c>
      <c r="BK225" s="22">
        <v>1</v>
      </c>
      <c r="BL225">
        <f>テーブル2[[#This Row],[Ts]]-テーブル2[[#This Row],[Tin]]</f>
        <v>334.86447729170999</v>
      </c>
      <c r="BM225">
        <f>テーブル2[[#This Row],[q_P]]*0.000001</f>
        <v>7.7068666504259857</v>
      </c>
      <c r="BN225">
        <f>テーブル2[[#This Row],[Tsub]]</f>
        <v>334.86447729170999</v>
      </c>
      <c r="BO225">
        <f>テーブル2[[#This Row],[Fcorr]]</f>
        <v>1</v>
      </c>
      <c r="BP225">
        <f>(テーブル2[[#This Row],[Tsub]]-40)^2</f>
        <v>86945.059968513349</v>
      </c>
      <c r="BQ225">
        <v>1</v>
      </c>
      <c r="BR225">
        <v>0.69596000000000002</v>
      </c>
    </row>
  </sheetData>
  <phoneticPr fontId="1"/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_Log"/>
  <dimension ref="A1:O252"/>
  <sheetViews>
    <sheetView topLeftCell="A49" workbookViewId="0">
      <selection activeCell="J25" sqref="J25"/>
    </sheetView>
  </sheetViews>
  <sheetFormatPr defaultRowHeight="13.5" x14ac:dyDescent="0.15"/>
  <sheetData>
    <row r="1" spans="1:15" x14ac:dyDescent="0.15">
      <c r="A1" t="s">
        <v>311</v>
      </c>
      <c r="B1" t="s">
        <v>0</v>
      </c>
      <c r="C1" t="s">
        <v>341</v>
      </c>
      <c r="D1" t="s">
        <v>342</v>
      </c>
      <c r="E1" t="s">
        <v>343</v>
      </c>
      <c r="F1" t="s">
        <v>344</v>
      </c>
      <c r="G1" t="s">
        <v>18</v>
      </c>
      <c r="H1" t="s">
        <v>53</v>
      </c>
      <c r="I1" t="s">
        <v>40</v>
      </c>
      <c r="J1" t="s">
        <v>32</v>
      </c>
      <c r="K1" t="s">
        <v>57</v>
      </c>
      <c r="L1" t="s">
        <v>345</v>
      </c>
      <c r="M1" t="s">
        <v>346</v>
      </c>
      <c r="N1" t="s">
        <v>347</v>
      </c>
      <c r="O1" t="s">
        <v>348</v>
      </c>
    </row>
    <row r="2" spans="1:15" x14ac:dyDescent="0.15">
      <c r="A2">
        <v>226</v>
      </c>
      <c r="B2" t="s">
        <v>357</v>
      </c>
      <c r="C2" t="s">
        <v>349</v>
      </c>
      <c r="D2">
        <v>0</v>
      </c>
      <c r="E2">
        <v>100000</v>
      </c>
      <c r="F2">
        <v>12000000</v>
      </c>
      <c r="G2">
        <v>100000</v>
      </c>
      <c r="H2">
        <v>-6414.2830362473405</v>
      </c>
      <c r="I2">
        <v>-2.4567120867144757E-5</v>
      </c>
      <c r="J2">
        <v>-1.4322075325391635E-5</v>
      </c>
      <c r="K2">
        <v>-1.6266539959227261E-3</v>
      </c>
      <c r="L2">
        <v>-106.41428303624734</v>
      </c>
      <c r="M2">
        <v>0</v>
      </c>
      <c r="O2" t="s">
        <v>350</v>
      </c>
    </row>
    <row r="3" spans="1:15" x14ac:dyDescent="0.15">
      <c r="A3">
        <v>226</v>
      </c>
      <c r="B3" t="s">
        <v>357</v>
      </c>
      <c r="C3" t="s">
        <v>349</v>
      </c>
      <c r="D3">
        <v>0</v>
      </c>
      <c r="E3">
        <v>100000</v>
      </c>
      <c r="F3">
        <v>12000000</v>
      </c>
      <c r="G3">
        <v>12000000</v>
      </c>
      <c r="H3">
        <v>4372393205230.0781</v>
      </c>
      <c r="I3">
        <v>3.4171022507675413E-3</v>
      </c>
      <c r="J3">
        <v>3.4273472963092942E-3</v>
      </c>
      <c r="K3">
        <v>1108833.3394146506</v>
      </c>
      <c r="L3">
        <v>36436510.043583982</v>
      </c>
      <c r="M3">
        <v>0</v>
      </c>
      <c r="O3" t="s">
        <v>351</v>
      </c>
    </row>
    <row r="4" spans="1:15" x14ac:dyDescent="0.15">
      <c r="A4">
        <v>226</v>
      </c>
      <c r="B4" t="s">
        <v>357</v>
      </c>
      <c r="C4" t="s">
        <v>352</v>
      </c>
      <c r="D4">
        <v>1</v>
      </c>
      <c r="E4">
        <v>100000</v>
      </c>
      <c r="F4">
        <v>12000000</v>
      </c>
      <c r="G4">
        <v>6050000</v>
      </c>
      <c r="H4">
        <v>2855376678399.5669</v>
      </c>
      <c r="I4">
        <v>2.4360704506175218E-3</v>
      </c>
      <c r="J4">
        <v>2.4463154961592748E-3</v>
      </c>
      <c r="K4">
        <v>724119.88331911701</v>
      </c>
      <c r="L4">
        <v>47196208.733877137</v>
      </c>
      <c r="M4">
        <v>0</v>
      </c>
    </row>
    <row r="5" spans="1:15" x14ac:dyDescent="0.15">
      <c r="A5">
        <v>226</v>
      </c>
      <c r="B5" t="s">
        <v>357</v>
      </c>
      <c r="C5" t="s">
        <v>352</v>
      </c>
      <c r="D5">
        <v>2</v>
      </c>
      <c r="E5">
        <v>100000</v>
      </c>
      <c r="F5">
        <v>6050000</v>
      </c>
      <c r="G5">
        <v>3075000</v>
      </c>
      <c r="H5">
        <v>1283315936539.2656</v>
      </c>
      <c r="I5">
        <v>1.2977165200969173E-3</v>
      </c>
      <c r="J5">
        <v>1.3079615656386705E-3</v>
      </c>
      <c r="K5">
        <v>325447.28450651671</v>
      </c>
      <c r="L5">
        <v>41733751.594772868</v>
      </c>
      <c r="M5">
        <v>0</v>
      </c>
    </row>
    <row r="6" spans="1:15" x14ac:dyDescent="0.15">
      <c r="A6">
        <v>226</v>
      </c>
      <c r="B6" t="s">
        <v>357</v>
      </c>
      <c r="C6" t="s">
        <v>352</v>
      </c>
      <c r="D6">
        <v>3</v>
      </c>
      <c r="E6">
        <v>100000</v>
      </c>
      <c r="F6">
        <v>3075000</v>
      </c>
      <c r="G6">
        <v>1587500</v>
      </c>
      <c r="H6">
        <v>344709171746.32697</v>
      </c>
      <c r="I6">
        <v>4.6834816062965053E-4</v>
      </c>
      <c r="J6">
        <v>4.7859320617140366E-4</v>
      </c>
      <c r="K6">
        <v>87417.806243303115</v>
      </c>
      <c r="L6">
        <v>21713863.574571777</v>
      </c>
      <c r="M6">
        <v>0</v>
      </c>
    </row>
    <row r="7" spans="1:15" x14ac:dyDescent="0.15">
      <c r="A7">
        <v>226</v>
      </c>
      <c r="B7" t="s">
        <v>357</v>
      </c>
      <c r="C7" t="s">
        <v>352</v>
      </c>
      <c r="D7">
        <v>4</v>
      </c>
      <c r="E7">
        <v>100000</v>
      </c>
      <c r="F7">
        <v>1587500</v>
      </c>
      <c r="G7">
        <v>843750</v>
      </c>
      <c r="H7">
        <v>28552103360.662727</v>
      </c>
      <c r="I7">
        <v>7.1645659285164205E-5</v>
      </c>
      <c r="J7">
        <v>8.1890704826917334E-5</v>
      </c>
      <c r="K7">
        <v>7240.7769911558025</v>
      </c>
      <c r="L7">
        <v>3383852.9908933602</v>
      </c>
      <c r="M7">
        <v>0</v>
      </c>
    </row>
    <row r="8" spans="1:15" x14ac:dyDescent="0.15">
      <c r="A8">
        <v>226</v>
      </c>
      <c r="B8" t="s">
        <v>357</v>
      </c>
      <c r="C8" t="s">
        <v>352</v>
      </c>
      <c r="D8">
        <v>5</v>
      </c>
      <c r="E8">
        <v>100000</v>
      </c>
      <c r="F8">
        <v>843750</v>
      </c>
      <c r="G8">
        <v>471875</v>
      </c>
      <c r="H8">
        <v>-44230288.834802136</v>
      </c>
      <c r="I8">
        <v>-3.6332501074134715E-6</v>
      </c>
      <c r="J8">
        <v>6.611795434339651E-6</v>
      </c>
      <c r="K8">
        <v>-11.216744828279335</v>
      </c>
      <c r="L8">
        <v>-9473.3062431368762</v>
      </c>
      <c r="M8">
        <v>0</v>
      </c>
    </row>
    <row r="9" spans="1:15" x14ac:dyDescent="0.15">
      <c r="A9">
        <v>226</v>
      </c>
      <c r="B9" t="s">
        <v>357</v>
      </c>
      <c r="C9" t="s">
        <v>352</v>
      </c>
      <c r="D9">
        <v>6</v>
      </c>
      <c r="E9">
        <v>471875</v>
      </c>
      <c r="F9">
        <v>843750</v>
      </c>
      <c r="G9">
        <v>657812.5</v>
      </c>
      <c r="H9">
        <v>4499949710.9194002</v>
      </c>
      <c r="I9">
        <v>1.8206828504221098E-5</v>
      </c>
      <c r="J9">
        <v>2.8451874045974221E-5</v>
      </c>
      <c r="K9">
        <v>1141.1815065461819</v>
      </c>
      <c r="L9">
        <v>683977.86579297297</v>
      </c>
      <c r="M9">
        <v>0</v>
      </c>
    </row>
    <row r="10" spans="1:15" x14ac:dyDescent="0.15">
      <c r="A10">
        <v>226</v>
      </c>
      <c r="B10" t="s">
        <v>357</v>
      </c>
      <c r="C10" t="s">
        <v>352</v>
      </c>
      <c r="D10">
        <v>7</v>
      </c>
      <c r="E10">
        <v>471875</v>
      </c>
      <c r="F10">
        <v>657812.5</v>
      </c>
      <c r="G10">
        <v>564843.75</v>
      </c>
      <c r="H10">
        <v>349061391.42267644</v>
      </c>
      <c r="I10">
        <v>2.6912480654659841E-6</v>
      </c>
      <c r="J10">
        <v>1.2936293607219107E-5</v>
      </c>
      <c r="K10">
        <v>88.521523601527036</v>
      </c>
      <c r="L10">
        <v>61697.867361137738</v>
      </c>
      <c r="M10">
        <v>0</v>
      </c>
    </row>
    <row r="11" spans="1:15" x14ac:dyDescent="0.15">
      <c r="A11">
        <v>226</v>
      </c>
      <c r="B11" t="s">
        <v>357</v>
      </c>
      <c r="C11" t="s">
        <v>352</v>
      </c>
      <c r="D11">
        <v>8</v>
      </c>
      <c r="E11">
        <v>471875</v>
      </c>
      <c r="F11">
        <v>564843.75</v>
      </c>
      <c r="G11">
        <v>518359.375</v>
      </c>
      <c r="H11">
        <v>-74759654.339370787</v>
      </c>
      <c r="I11">
        <v>-1.3954883706190383E-6</v>
      </c>
      <c r="J11">
        <v>8.8495571711340842E-6</v>
      </c>
      <c r="K11">
        <v>-18.958952976930959</v>
      </c>
      <c r="L11">
        <v>-14522.359842410642</v>
      </c>
      <c r="M11">
        <v>0</v>
      </c>
    </row>
    <row r="12" spans="1:15" x14ac:dyDescent="0.15">
      <c r="A12">
        <v>226</v>
      </c>
      <c r="B12" t="s">
        <v>357</v>
      </c>
      <c r="C12" t="s">
        <v>352</v>
      </c>
      <c r="D12">
        <v>9</v>
      </c>
      <c r="E12">
        <v>518359.375</v>
      </c>
      <c r="F12">
        <v>564843.75</v>
      </c>
      <c r="G12">
        <v>541601.5625</v>
      </c>
      <c r="H12">
        <v>-4806738.1809369214</v>
      </c>
      <c r="I12">
        <v>-6.0555057334439759E-8</v>
      </c>
      <c r="J12">
        <v>1.0184490484418683E-5</v>
      </c>
      <c r="K12">
        <v>-1.2189826712027672</v>
      </c>
      <c r="L12">
        <v>-987.50448923177203</v>
      </c>
      <c r="M12">
        <v>0</v>
      </c>
    </row>
    <row r="13" spans="1:15" x14ac:dyDescent="0.15">
      <c r="A13">
        <v>226</v>
      </c>
      <c r="B13" t="s">
        <v>357</v>
      </c>
      <c r="C13" t="s">
        <v>352</v>
      </c>
      <c r="D13">
        <v>10</v>
      </c>
      <c r="E13">
        <v>541601.5625</v>
      </c>
      <c r="F13">
        <v>564843.75</v>
      </c>
      <c r="G13">
        <v>553222.65625</v>
      </c>
      <c r="H13">
        <v>131389376.28728248</v>
      </c>
      <c r="I13">
        <v>1.2619581799610342E-6</v>
      </c>
      <c r="J13">
        <v>1.1507003721714157E-5</v>
      </c>
      <c r="K13">
        <v>33.320178225958358</v>
      </c>
      <c r="L13">
        <v>23649.818414506135</v>
      </c>
      <c r="M13">
        <v>0</v>
      </c>
    </row>
    <row r="14" spans="1:15" x14ac:dyDescent="0.15">
      <c r="A14">
        <v>226</v>
      </c>
      <c r="B14" t="s">
        <v>357</v>
      </c>
      <c r="C14" t="s">
        <v>352</v>
      </c>
      <c r="D14">
        <v>11</v>
      </c>
      <c r="E14">
        <v>541601.5625</v>
      </c>
      <c r="F14">
        <v>553222.65625</v>
      </c>
      <c r="G14">
        <v>547412.109375</v>
      </c>
      <c r="H14">
        <v>53830429.13853322</v>
      </c>
      <c r="I14">
        <v>5.8752267681521117E-7</v>
      </c>
      <c r="J14">
        <v>1.0832568218568334E-5</v>
      </c>
      <c r="K14">
        <v>13.651328163351362</v>
      </c>
      <c r="L14">
        <v>9733.6204509603103</v>
      </c>
      <c r="M14">
        <v>0</v>
      </c>
    </row>
    <row r="15" spans="1:15" x14ac:dyDescent="0.15">
      <c r="A15">
        <v>226</v>
      </c>
      <c r="B15" t="s">
        <v>357</v>
      </c>
      <c r="C15" t="s">
        <v>352</v>
      </c>
      <c r="D15">
        <v>12</v>
      </c>
      <c r="E15">
        <v>541601.5625</v>
      </c>
      <c r="F15">
        <v>547412.109375</v>
      </c>
      <c r="G15">
        <v>544506.8359375</v>
      </c>
      <c r="H15">
        <v>22239377.371194381</v>
      </c>
      <c r="I15">
        <v>2.6021124422503483E-7</v>
      </c>
      <c r="J15">
        <v>1.0505256785978157E-5</v>
      </c>
      <c r="K15">
        <v>5.6398777327498992</v>
      </c>
      <c r="L15">
        <v>3984.3155500341741</v>
      </c>
      <c r="M15">
        <v>0</v>
      </c>
    </row>
    <row r="16" spans="1:15" x14ac:dyDescent="0.15">
      <c r="A16">
        <v>226</v>
      </c>
      <c r="B16" t="s">
        <v>357</v>
      </c>
      <c r="C16" t="s">
        <v>352</v>
      </c>
      <c r="D16">
        <v>13</v>
      </c>
      <c r="E16">
        <v>541601.5625</v>
      </c>
      <c r="F16">
        <v>544506.8359375</v>
      </c>
      <c r="G16">
        <v>543054.19921875</v>
      </c>
      <c r="H16">
        <v>8159899.5800604792</v>
      </c>
      <c r="I16">
        <v>9.9011720118475746E-8</v>
      </c>
      <c r="J16">
        <v>1.0344057261871598E-5</v>
      </c>
      <c r="K16">
        <v>2.0693401247225101</v>
      </c>
      <c r="L16">
        <v>1402.593956883032</v>
      </c>
      <c r="M16">
        <v>0</v>
      </c>
    </row>
    <row r="17" spans="1:15" x14ac:dyDescent="0.15">
      <c r="A17">
        <v>226</v>
      </c>
      <c r="B17" t="s">
        <v>357</v>
      </c>
      <c r="C17" t="s">
        <v>352</v>
      </c>
      <c r="D17">
        <v>14</v>
      </c>
      <c r="E17">
        <v>541601.5625</v>
      </c>
      <c r="F17">
        <v>543054.19921875</v>
      </c>
      <c r="G17">
        <v>542327.880859375</v>
      </c>
      <c r="H17">
        <v>1538981.6782408229</v>
      </c>
      <c r="I17">
        <v>1.9024794600759065E-8</v>
      </c>
      <c r="J17">
        <v>1.0264070336353882E-5</v>
      </c>
      <c r="K17">
        <v>0.39028379047440659</v>
      </c>
      <c r="L17">
        <v>183.77329150073314</v>
      </c>
      <c r="M17">
        <v>0</v>
      </c>
    </row>
    <row r="18" spans="1:15" x14ac:dyDescent="0.15">
      <c r="A18">
        <v>226</v>
      </c>
      <c r="B18" t="s">
        <v>357</v>
      </c>
      <c r="C18" t="s">
        <v>352</v>
      </c>
      <c r="D18">
        <v>15</v>
      </c>
      <c r="E18">
        <v>541601.5625</v>
      </c>
      <c r="F18">
        <v>542327.880859375</v>
      </c>
      <c r="G18">
        <v>541964.7216796875</v>
      </c>
      <c r="H18">
        <v>-1667963.3930423518</v>
      </c>
      <c r="I18">
        <v>-2.081436966027214E-8</v>
      </c>
      <c r="J18">
        <v>1.022423117209285E-5</v>
      </c>
      <c r="K18">
        <v>-0.42299338881879467</v>
      </c>
      <c r="L18">
        <v>-407.76235543024018</v>
      </c>
      <c r="M18">
        <v>0</v>
      </c>
    </row>
    <row r="19" spans="1:15" x14ac:dyDescent="0.15">
      <c r="A19">
        <v>226</v>
      </c>
      <c r="B19" t="s">
        <v>357</v>
      </c>
      <c r="C19" t="s">
        <v>352</v>
      </c>
      <c r="D19">
        <v>16</v>
      </c>
      <c r="E19">
        <v>541964.7216796875</v>
      </c>
      <c r="F19">
        <v>542327.880859375</v>
      </c>
      <c r="G19">
        <v>542146.30126953125</v>
      </c>
      <c r="H19">
        <v>-73002.166403048221</v>
      </c>
      <c r="I19">
        <v>-9.0669924251158391E-10</v>
      </c>
      <c r="J19">
        <v>1.0244138842510611E-5</v>
      </c>
      <c r="K19">
        <v>-1.8513256278133949E-2</v>
      </c>
      <c r="L19">
        <v>-113.46539969600471</v>
      </c>
      <c r="M19">
        <v>0</v>
      </c>
    </row>
    <row r="20" spans="1:15" x14ac:dyDescent="0.15">
      <c r="A20">
        <v>226</v>
      </c>
      <c r="B20" t="s">
        <v>357</v>
      </c>
      <c r="C20" t="s">
        <v>352</v>
      </c>
      <c r="D20">
        <v>17</v>
      </c>
      <c r="E20">
        <v>542146.30126953125</v>
      </c>
      <c r="F20">
        <v>542327.880859375</v>
      </c>
      <c r="G20">
        <v>542237.09106445313</v>
      </c>
      <c r="H20">
        <v>730907.99294745526</v>
      </c>
      <c r="I20">
        <v>9.0566719260760475E-9</v>
      </c>
      <c r="J20">
        <v>1.0254102213679199E-5</v>
      </c>
      <c r="K20">
        <v>0.1853573346640813</v>
      </c>
      <c r="L20">
        <v>34.794908904631853</v>
      </c>
      <c r="M20">
        <v>0</v>
      </c>
    </row>
    <row r="21" spans="1:15" x14ac:dyDescent="0.15">
      <c r="A21">
        <v>226</v>
      </c>
      <c r="B21" t="s">
        <v>357</v>
      </c>
      <c r="C21" t="s">
        <v>352</v>
      </c>
      <c r="D21">
        <v>18</v>
      </c>
      <c r="E21">
        <v>542146.30126953125</v>
      </c>
      <c r="F21">
        <v>542237.09106445313</v>
      </c>
      <c r="G21">
        <v>542191.69616699219</v>
      </c>
      <c r="H21">
        <v>328286.97486195882</v>
      </c>
      <c r="I21">
        <v>4.0725861357920537E-9</v>
      </c>
      <c r="J21">
        <v>1.0249118127888915E-5</v>
      </c>
      <c r="K21">
        <v>8.3253158061607713E-2</v>
      </c>
      <c r="L21">
        <v>-39.451862287310249</v>
      </c>
      <c r="M21">
        <v>0</v>
      </c>
    </row>
    <row r="22" spans="1:15" x14ac:dyDescent="0.15">
      <c r="A22">
        <v>226</v>
      </c>
      <c r="B22" t="s">
        <v>357</v>
      </c>
      <c r="C22" t="s">
        <v>352</v>
      </c>
      <c r="D22">
        <v>19</v>
      </c>
      <c r="E22">
        <v>542191.69616699219</v>
      </c>
      <c r="F22">
        <v>542237.09106445313</v>
      </c>
      <c r="G22">
        <v>542214.39361572266</v>
      </c>
      <c r="H22">
        <v>529398.38790083304</v>
      </c>
      <c r="I22">
        <v>6.5636272469113237E-9</v>
      </c>
      <c r="J22">
        <v>1.0251609169000034E-5</v>
      </c>
      <c r="K22">
        <v>0.13425475587022923</v>
      </c>
      <c r="L22">
        <v>-2.3636417376209593</v>
      </c>
      <c r="M22">
        <v>0</v>
      </c>
    </row>
    <row r="23" spans="1:15" x14ac:dyDescent="0.15">
      <c r="A23">
        <v>226</v>
      </c>
      <c r="B23" t="s">
        <v>357</v>
      </c>
      <c r="C23" t="s">
        <v>352</v>
      </c>
      <c r="D23">
        <v>20</v>
      </c>
      <c r="E23">
        <v>542214.39361572266</v>
      </c>
      <c r="F23">
        <v>542237.09106445313</v>
      </c>
      <c r="G23">
        <v>542225.74234008789</v>
      </c>
      <c r="H23">
        <v>630054.69850649883</v>
      </c>
      <c r="I23">
        <v>7.8092968326621886E-9</v>
      </c>
      <c r="J23">
        <v>1.0252854838585785E-5</v>
      </c>
      <c r="K23">
        <v>0.15978106784247686</v>
      </c>
      <c r="L23">
        <v>16.197858070582711</v>
      </c>
      <c r="M23">
        <v>0</v>
      </c>
    </row>
    <row r="24" spans="1:15" x14ac:dyDescent="0.15">
      <c r="A24">
        <v>226</v>
      </c>
      <c r="B24" t="s">
        <v>357</v>
      </c>
      <c r="C24" t="s">
        <v>352</v>
      </c>
      <c r="D24">
        <v>21</v>
      </c>
      <c r="E24">
        <v>542214.39361572266</v>
      </c>
      <c r="F24">
        <v>542225.74234008789</v>
      </c>
      <c r="G24">
        <v>542220.06797790527</v>
      </c>
      <c r="H24">
        <v>579847.92015619797</v>
      </c>
      <c r="I24">
        <v>7.1880554837287493E-9</v>
      </c>
      <c r="J24">
        <v>1.0252233597236851E-5</v>
      </c>
      <c r="K24">
        <v>0.14704869289668654</v>
      </c>
      <c r="L24">
        <v>6.9395904726687432</v>
      </c>
      <c r="M24">
        <v>0</v>
      </c>
    </row>
    <row r="25" spans="1:15" x14ac:dyDescent="0.15">
      <c r="A25">
        <v>226</v>
      </c>
      <c r="B25" t="s">
        <v>357</v>
      </c>
      <c r="C25" t="s">
        <v>352</v>
      </c>
      <c r="D25">
        <v>22</v>
      </c>
      <c r="E25">
        <v>542214.39361572266</v>
      </c>
      <c r="F25">
        <v>542220.06797790527</v>
      </c>
      <c r="G25">
        <v>542217.23079681396</v>
      </c>
      <c r="H25">
        <v>554556.17706975515</v>
      </c>
      <c r="I25">
        <v>6.8750353297017066E-9</v>
      </c>
      <c r="J25">
        <v>1.0251920577082824E-5</v>
      </c>
      <c r="K25">
        <v>0.14063473911215219</v>
      </c>
      <c r="L25">
        <v>2.275646285679362</v>
      </c>
      <c r="M25">
        <v>0</v>
      </c>
    </row>
    <row r="26" spans="1:15" x14ac:dyDescent="0.15">
      <c r="A26">
        <v>226</v>
      </c>
      <c r="B26" t="s">
        <v>357</v>
      </c>
      <c r="C26" t="s">
        <v>352</v>
      </c>
      <c r="D26">
        <v>23</v>
      </c>
      <c r="E26">
        <v>542214.39361572266</v>
      </c>
      <c r="F26">
        <v>542217.23079681396</v>
      </c>
      <c r="G26">
        <v>542215.81220626831</v>
      </c>
      <c r="H26">
        <v>542106.48603272776</v>
      </c>
      <c r="I26">
        <v>6.7209363049471115E-9</v>
      </c>
      <c r="J26">
        <v>1.025176647805807E-5</v>
      </c>
      <c r="K26">
        <v>0.13747751334600763</v>
      </c>
      <c r="L26">
        <v>-2.0162852332857535E-2</v>
      </c>
      <c r="M26">
        <v>0</v>
      </c>
    </row>
    <row r="27" spans="1:15" x14ac:dyDescent="0.15">
      <c r="A27">
        <v>226</v>
      </c>
      <c r="B27" t="s">
        <v>357</v>
      </c>
      <c r="C27" t="s">
        <v>353</v>
      </c>
      <c r="D27">
        <v>23</v>
      </c>
      <c r="E27">
        <v>542214.39361572266</v>
      </c>
      <c r="F27">
        <v>542217.23079681396</v>
      </c>
      <c r="G27">
        <v>542215.81220626831</v>
      </c>
      <c r="H27">
        <v>542106.48603272776</v>
      </c>
      <c r="I27">
        <v>6.7209363049471115E-9</v>
      </c>
      <c r="J27">
        <v>1.025176647805807E-5</v>
      </c>
      <c r="K27">
        <v>0.13747751334600763</v>
      </c>
      <c r="L27">
        <v>-2.0162852332857535E-2</v>
      </c>
      <c r="M27">
        <v>0</v>
      </c>
      <c r="N27" t="s">
        <v>354</v>
      </c>
      <c r="O27" t="s">
        <v>355</v>
      </c>
    </row>
    <row r="28" spans="1:15" x14ac:dyDescent="0.15">
      <c r="A28">
        <v>227</v>
      </c>
      <c r="B28" t="s">
        <v>358</v>
      </c>
      <c r="C28" t="s">
        <v>349</v>
      </c>
      <c r="D28">
        <v>0</v>
      </c>
      <c r="E28">
        <v>100000</v>
      </c>
      <c r="F28">
        <v>12000000</v>
      </c>
      <c r="G28">
        <v>100000</v>
      </c>
      <c r="H28">
        <v>3.6382387670569107</v>
      </c>
      <c r="I28">
        <v>-8.1818556365163993E-4</v>
      </c>
      <c r="J28">
        <v>-8.0641865009988553E-4</v>
      </c>
      <c r="K28">
        <v>1.1768529469164531E-6</v>
      </c>
      <c r="L28">
        <v>-99.996361761232947</v>
      </c>
      <c r="M28">
        <v>0</v>
      </c>
      <c r="O28" t="s">
        <v>350</v>
      </c>
    </row>
    <row r="29" spans="1:15" x14ac:dyDescent="0.15">
      <c r="A29">
        <v>227</v>
      </c>
      <c r="B29" t="s">
        <v>358</v>
      </c>
      <c r="C29" t="s">
        <v>349</v>
      </c>
      <c r="D29">
        <v>0</v>
      </c>
      <c r="E29">
        <v>100000</v>
      </c>
      <c r="F29">
        <v>12000000</v>
      </c>
      <c r="G29">
        <v>12000000</v>
      </c>
      <c r="H29">
        <v>4.6088090412911657E+18</v>
      </c>
      <c r="I29">
        <v>536.87091023308653</v>
      </c>
      <c r="J29">
        <v>536.87092200000006</v>
      </c>
      <c r="K29">
        <v>1490801140136.8972</v>
      </c>
      <c r="L29">
        <v>38406742010659.711</v>
      </c>
      <c r="M29">
        <v>5</v>
      </c>
      <c r="O29" t="s">
        <v>351</v>
      </c>
    </row>
    <row r="30" spans="1:15" x14ac:dyDescent="0.15">
      <c r="A30">
        <v>227</v>
      </c>
      <c r="B30" t="s">
        <v>358</v>
      </c>
      <c r="C30" t="s">
        <v>352</v>
      </c>
      <c r="D30">
        <v>1</v>
      </c>
      <c r="E30">
        <v>100000</v>
      </c>
      <c r="F30">
        <v>12000000</v>
      </c>
      <c r="G30">
        <v>6050000</v>
      </c>
      <c r="H30">
        <v>3247843653546.1436</v>
      </c>
      <c r="I30">
        <v>3.2206745238907842E-3</v>
      </c>
      <c r="J30">
        <v>3.2324414374425387E-3</v>
      </c>
      <c r="K30">
        <v>1050572.7137561145</v>
      </c>
      <c r="L30">
        <v>53683266.174316421</v>
      </c>
      <c r="M30">
        <v>0</v>
      </c>
    </row>
    <row r="31" spans="1:15" x14ac:dyDescent="0.15">
      <c r="A31">
        <v>227</v>
      </c>
      <c r="B31" t="s">
        <v>358</v>
      </c>
      <c r="C31" t="s">
        <v>352</v>
      </c>
      <c r="D31">
        <v>2</v>
      </c>
      <c r="E31">
        <v>100000</v>
      </c>
      <c r="F31">
        <v>6050000</v>
      </c>
      <c r="G31">
        <v>3075000</v>
      </c>
      <c r="H31">
        <v>-34995.262260721953</v>
      </c>
      <c r="I31">
        <v>-1.605395183756719E-5</v>
      </c>
      <c r="J31">
        <v>-4.2870382858128048E-6</v>
      </c>
      <c r="K31">
        <v>-1.1319839119014189E-2</v>
      </c>
      <c r="L31">
        <v>-101.13805730929177</v>
      </c>
      <c r="M31">
        <v>0</v>
      </c>
    </row>
    <row r="32" spans="1:15" x14ac:dyDescent="0.15">
      <c r="A32">
        <v>227</v>
      </c>
      <c r="B32" t="s">
        <v>358</v>
      </c>
      <c r="C32" t="s">
        <v>352</v>
      </c>
      <c r="D32">
        <v>3</v>
      </c>
      <c r="E32">
        <v>3075000</v>
      </c>
      <c r="F32">
        <v>6050000</v>
      </c>
      <c r="G32">
        <v>4562500</v>
      </c>
      <c r="H32">
        <v>-87720626.151135504</v>
      </c>
      <c r="I32">
        <v>-2.2481611305974303E-6</v>
      </c>
      <c r="J32">
        <v>9.518752421156953E-6</v>
      </c>
      <c r="K32">
        <v>-28.374794509385612</v>
      </c>
      <c r="L32">
        <v>-2022.6438608468056</v>
      </c>
      <c r="M32">
        <v>0</v>
      </c>
    </row>
    <row r="33" spans="1:13" x14ac:dyDescent="0.15">
      <c r="A33">
        <v>227</v>
      </c>
      <c r="B33" t="s">
        <v>358</v>
      </c>
      <c r="C33" t="s">
        <v>352</v>
      </c>
      <c r="D33">
        <v>4</v>
      </c>
      <c r="E33">
        <v>4562500</v>
      </c>
      <c r="F33">
        <v>6050000</v>
      </c>
      <c r="G33">
        <v>5306250</v>
      </c>
      <c r="H33">
        <v>107028416799.13631</v>
      </c>
      <c r="I33">
        <v>2.2805993722318084E-4</v>
      </c>
      <c r="J33">
        <v>2.3982685077493523E-4</v>
      </c>
      <c r="K33">
        <v>34620.242314595656</v>
      </c>
      <c r="L33">
        <v>2016925.5227163497</v>
      </c>
      <c r="M33">
        <v>0</v>
      </c>
    </row>
    <row r="34" spans="1:13" x14ac:dyDescent="0.15">
      <c r="A34">
        <v>227</v>
      </c>
      <c r="B34" t="s">
        <v>358</v>
      </c>
      <c r="C34" t="s">
        <v>352</v>
      </c>
      <c r="D34">
        <v>5</v>
      </c>
      <c r="E34">
        <v>4562500</v>
      </c>
      <c r="F34">
        <v>5306250</v>
      </c>
      <c r="G34">
        <v>4934375</v>
      </c>
      <c r="H34">
        <v>10008938522.94104</v>
      </c>
      <c r="I34">
        <v>3.8867898959557685E-5</v>
      </c>
      <c r="J34">
        <v>5.0634812511312067E-5</v>
      </c>
      <c r="K34">
        <v>3237.5689311224696</v>
      </c>
      <c r="L34">
        <v>202741.05936295964</v>
      </c>
      <c r="M34">
        <v>0</v>
      </c>
    </row>
    <row r="35" spans="1:13" x14ac:dyDescent="0.15">
      <c r="A35">
        <v>227</v>
      </c>
      <c r="B35" t="s">
        <v>358</v>
      </c>
      <c r="C35" t="s">
        <v>352</v>
      </c>
      <c r="D35">
        <v>6</v>
      </c>
      <c r="E35">
        <v>4562500</v>
      </c>
      <c r="F35">
        <v>4934375</v>
      </c>
      <c r="G35">
        <v>4748437.5</v>
      </c>
      <c r="H35">
        <v>1576930282.1428027</v>
      </c>
      <c r="I35">
        <v>9.6367716025056294E-6</v>
      </c>
      <c r="J35">
        <v>2.1403685154260013E-5</v>
      </c>
      <c r="K35">
        <v>510.08610716409368</v>
      </c>
      <c r="L35">
        <v>33109.456418933652</v>
      </c>
      <c r="M35">
        <v>0</v>
      </c>
    </row>
    <row r="36" spans="1:13" x14ac:dyDescent="0.15">
      <c r="A36">
        <v>227</v>
      </c>
      <c r="B36" t="s">
        <v>358</v>
      </c>
      <c r="C36" t="s">
        <v>352</v>
      </c>
      <c r="D36">
        <v>7</v>
      </c>
      <c r="E36">
        <v>4562500</v>
      </c>
      <c r="F36">
        <v>4748437.5</v>
      </c>
      <c r="G36">
        <v>4655468.75</v>
      </c>
      <c r="H36">
        <v>177334177.02215922</v>
      </c>
      <c r="I36">
        <v>1.8184794271982435E-6</v>
      </c>
      <c r="J36">
        <v>1.3585392978952627E-5</v>
      </c>
      <c r="K36">
        <v>57.361889139110353</v>
      </c>
      <c r="L36">
        <v>3709.1583585897602</v>
      </c>
      <c r="M36">
        <v>0</v>
      </c>
    </row>
    <row r="37" spans="1:13" x14ac:dyDescent="0.15">
      <c r="A37">
        <v>227</v>
      </c>
      <c r="B37" t="s">
        <v>358</v>
      </c>
      <c r="C37" t="s">
        <v>352</v>
      </c>
      <c r="D37">
        <v>8</v>
      </c>
      <c r="E37">
        <v>4562500</v>
      </c>
      <c r="F37">
        <v>4655468.75</v>
      </c>
      <c r="G37">
        <v>4608984.375</v>
      </c>
      <c r="H37">
        <v>-58113025.572934844</v>
      </c>
      <c r="I37">
        <v>-1.0131651221671706E-6</v>
      </c>
      <c r="J37">
        <v>1.0753748429587213E-5</v>
      </c>
      <c r="K37">
        <v>-18.797690250291861</v>
      </c>
      <c r="L37">
        <v>-1360.8640178550149</v>
      </c>
      <c r="M37">
        <v>0</v>
      </c>
    </row>
    <row r="38" spans="1:13" x14ac:dyDescent="0.15">
      <c r="A38">
        <v>227</v>
      </c>
      <c r="B38" t="s">
        <v>358</v>
      </c>
      <c r="C38" t="s">
        <v>352</v>
      </c>
      <c r="D38">
        <v>9</v>
      </c>
      <c r="E38">
        <v>4608984.375</v>
      </c>
      <c r="F38">
        <v>4655468.75</v>
      </c>
      <c r="G38">
        <v>4632226.5625</v>
      </c>
      <c r="H38">
        <v>25079102.559226409</v>
      </c>
      <c r="I38">
        <v>3.2668945771645007E-7</v>
      </c>
      <c r="J38">
        <v>1.2093603009470833E-5</v>
      </c>
      <c r="K38">
        <v>8.1122811455062163</v>
      </c>
      <c r="L38">
        <v>441.4049209564414</v>
      </c>
      <c r="M38">
        <v>0</v>
      </c>
    </row>
    <row r="39" spans="1:13" x14ac:dyDescent="0.15">
      <c r="A39">
        <v>227</v>
      </c>
      <c r="B39" t="s">
        <v>358</v>
      </c>
      <c r="C39" t="s">
        <v>352</v>
      </c>
      <c r="D39">
        <v>10</v>
      </c>
      <c r="E39">
        <v>4608984.375</v>
      </c>
      <c r="F39">
        <v>4632226.5625</v>
      </c>
      <c r="G39">
        <v>4620605.46875</v>
      </c>
      <c r="H39">
        <v>-24167087.949649472</v>
      </c>
      <c r="I39">
        <v>-3.6132735802604093E-7</v>
      </c>
      <c r="J39">
        <v>1.1405586193728342E-5</v>
      </c>
      <c r="K39">
        <v>-7.8172738220094935</v>
      </c>
      <c r="L39">
        <v>-623.02859686021475</v>
      </c>
      <c r="M39">
        <v>0</v>
      </c>
    </row>
    <row r="40" spans="1:13" x14ac:dyDescent="0.15">
      <c r="A40">
        <v>227</v>
      </c>
      <c r="B40" t="s">
        <v>358</v>
      </c>
      <c r="C40" t="s">
        <v>352</v>
      </c>
      <c r="D40">
        <v>11</v>
      </c>
      <c r="E40">
        <v>4620605.46875</v>
      </c>
      <c r="F40">
        <v>4632226.5625</v>
      </c>
      <c r="G40">
        <v>4626416.015625</v>
      </c>
      <c r="H40">
        <v>-1575911.8056700032</v>
      </c>
      <c r="I40">
        <v>-2.1953908284925839E-8</v>
      </c>
      <c r="J40">
        <v>1.1744959643469457E-5</v>
      </c>
      <c r="K40">
        <v>-0.50975666286009902</v>
      </c>
      <c r="L40">
        <v>-134.06333975041602</v>
      </c>
      <c r="M40">
        <v>0</v>
      </c>
    </row>
    <row r="41" spans="1:13" x14ac:dyDescent="0.15">
      <c r="A41">
        <v>227</v>
      </c>
      <c r="B41" t="s">
        <v>358</v>
      </c>
      <c r="C41" t="s">
        <v>352</v>
      </c>
      <c r="D41">
        <v>12</v>
      </c>
      <c r="E41">
        <v>4626416.015625</v>
      </c>
      <c r="F41">
        <v>4632226.5625</v>
      </c>
      <c r="G41">
        <v>4629321.2890625</v>
      </c>
      <c r="H41">
        <v>11228449.611283539</v>
      </c>
      <c r="I41">
        <v>1.5119539768183406E-7</v>
      </c>
      <c r="J41">
        <v>1.1918108949436217E-5</v>
      </c>
      <c r="K41">
        <v>3.632041452032396</v>
      </c>
      <c r="L41">
        <v>142.55066585705595</v>
      </c>
      <c r="M41">
        <v>0</v>
      </c>
    </row>
    <row r="42" spans="1:13" x14ac:dyDescent="0.15">
      <c r="A42">
        <v>227</v>
      </c>
      <c r="B42" t="s">
        <v>358</v>
      </c>
      <c r="C42" t="s">
        <v>352</v>
      </c>
      <c r="D42">
        <v>13</v>
      </c>
      <c r="E42">
        <v>4626416.015625</v>
      </c>
      <c r="F42">
        <v>4629321.2890625</v>
      </c>
      <c r="G42">
        <v>4627868.65234375</v>
      </c>
      <c r="H42">
        <v>4697419.1887796558</v>
      </c>
      <c r="I42">
        <v>6.4329739799783703E-8</v>
      </c>
      <c r="J42">
        <v>1.1831243291554167E-5</v>
      </c>
      <c r="K42">
        <v>1.5194636661213827</v>
      </c>
      <c r="L42">
        <v>1.5028632327471629</v>
      </c>
      <c r="M42">
        <v>0</v>
      </c>
    </row>
    <row r="43" spans="1:13" x14ac:dyDescent="0.15">
      <c r="A43">
        <v>227</v>
      </c>
      <c r="B43" t="s">
        <v>358</v>
      </c>
      <c r="C43" t="s">
        <v>352</v>
      </c>
      <c r="D43">
        <v>14</v>
      </c>
      <c r="E43">
        <v>4626416.015625</v>
      </c>
      <c r="F43">
        <v>4627868.65234375</v>
      </c>
      <c r="G43">
        <v>4627142.333984375</v>
      </c>
      <c r="H43">
        <v>1528742.5356208261</v>
      </c>
      <c r="I43">
        <v>2.1114885424362018E-8</v>
      </c>
      <c r="J43">
        <v>1.1788028437178745E-5</v>
      </c>
      <c r="K43">
        <v>0.49449892470285961</v>
      </c>
      <c r="L43">
        <v>-66.961411055094018</v>
      </c>
      <c r="M43">
        <v>0</v>
      </c>
    </row>
    <row r="44" spans="1:13" x14ac:dyDescent="0.15">
      <c r="A44">
        <v>227</v>
      </c>
      <c r="B44" t="s">
        <v>358</v>
      </c>
      <c r="C44" t="s">
        <v>352</v>
      </c>
      <c r="D44">
        <v>15</v>
      </c>
      <c r="E44">
        <v>4627142.333984375</v>
      </c>
      <c r="F44">
        <v>4627868.65234375</v>
      </c>
      <c r="G44">
        <v>4627505.4931640625</v>
      </c>
      <c r="H44">
        <v>3105026.0469611315</v>
      </c>
      <c r="I44">
        <v>4.2703725423353305E-8</v>
      </c>
      <c r="J44">
        <v>1.1809617277177737E-5</v>
      </c>
      <c r="K44">
        <v>1.0043758223637753</v>
      </c>
      <c r="L44">
        <v>-32.900651300187519</v>
      </c>
      <c r="M44">
        <v>0</v>
      </c>
    </row>
    <row r="45" spans="1:13" x14ac:dyDescent="0.15">
      <c r="A45">
        <v>227</v>
      </c>
      <c r="B45" t="s">
        <v>358</v>
      </c>
      <c r="C45" t="s">
        <v>352</v>
      </c>
      <c r="D45">
        <v>16</v>
      </c>
      <c r="E45">
        <v>4627505.4931640625</v>
      </c>
      <c r="F45">
        <v>4627868.65234375</v>
      </c>
      <c r="G45">
        <v>4627687.0727539063</v>
      </c>
      <c r="H45">
        <v>3899242.0742641892</v>
      </c>
      <c r="I45">
        <v>5.3512584451286777E-8</v>
      </c>
      <c r="J45">
        <v>1.182042613620567E-5</v>
      </c>
      <c r="K45">
        <v>1.2612791022372871</v>
      </c>
      <c r="L45">
        <v>-15.741016776577855</v>
      </c>
      <c r="M45">
        <v>0</v>
      </c>
    </row>
    <row r="46" spans="1:13" x14ac:dyDescent="0.15">
      <c r="A46">
        <v>227</v>
      </c>
      <c r="B46" t="s">
        <v>358</v>
      </c>
      <c r="C46" t="s">
        <v>352</v>
      </c>
      <c r="D46">
        <v>17</v>
      </c>
      <c r="E46">
        <v>4627687.0727539063</v>
      </c>
      <c r="F46">
        <v>4627868.65234375</v>
      </c>
      <c r="G46">
        <v>4627777.8625488281</v>
      </c>
      <c r="H46">
        <v>4297827.6701032789</v>
      </c>
      <c r="I46">
        <v>5.8920024267888763E-8</v>
      </c>
      <c r="J46">
        <v>1.1825833576022272E-5</v>
      </c>
      <c r="K46">
        <v>1.3902086923755215</v>
      </c>
      <c r="L46">
        <v>-7.129775936648425</v>
      </c>
      <c r="M46">
        <v>0</v>
      </c>
    </row>
    <row r="47" spans="1:13" x14ac:dyDescent="0.15">
      <c r="A47">
        <v>227</v>
      </c>
      <c r="B47" t="s">
        <v>358</v>
      </c>
      <c r="C47" t="s">
        <v>352</v>
      </c>
      <c r="D47">
        <v>18</v>
      </c>
      <c r="E47">
        <v>4627777.8625488281</v>
      </c>
      <c r="F47">
        <v>4627868.65234375</v>
      </c>
      <c r="G47">
        <v>4627823.2574462891</v>
      </c>
      <c r="H47">
        <v>4497497.6309254663</v>
      </c>
      <c r="I47">
        <v>6.1624597515023711E-8</v>
      </c>
      <c r="J47">
        <v>1.1828538149269407E-5</v>
      </c>
      <c r="K47">
        <v>1.4547954874841804</v>
      </c>
      <c r="L47">
        <v>-2.816132321197129</v>
      </c>
      <c r="M47">
        <v>0</v>
      </c>
    </row>
    <row r="48" spans="1:13" x14ac:dyDescent="0.15">
      <c r="A48">
        <v>227</v>
      </c>
      <c r="B48" t="s">
        <v>358</v>
      </c>
      <c r="C48" t="s">
        <v>352</v>
      </c>
      <c r="D48">
        <v>19</v>
      </c>
      <c r="E48">
        <v>4627823.2574462891</v>
      </c>
      <c r="F48">
        <v>4627868.65234375</v>
      </c>
      <c r="G48">
        <v>4627845.9548950195</v>
      </c>
      <c r="H48">
        <v>4597426.9529416263</v>
      </c>
      <c r="I48">
        <v>6.2977097520754483E-8</v>
      </c>
      <c r="J48">
        <v>1.1829890649275138E-5</v>
      </c>
      <c r="K48">
        <v>1.4871194015062426</v>
      </c>
      <c r="L48">
        <v>-0.65730368404371964</v>
      </c>
      <c r="M48">
        <v>0</v>
      </c>
    </row>
    <row r="49" spans="1:15" x14ac:dyDescent="0.15">
      <c r="A49">
        <v>227</v>
      </c>
      <c r="B49" t="s">
        <v>358</v>
      </c>
      <c r="C49" t="s">
        <v>353</v>
      </c>
      <c r="D49">
        <v>19</v>
      </c>
      <c r="E49">
        <v>4627823.2574462891</v>
      </c>
      <c r="F49">
        <v>4627868.65234375</v>
      </c>
      <c r="G49">
        <v>4627845.9548950195</v>
      </c>
      <c r="H49">
        <v>4597426.9529416263</v>
      </c>
      <c r="I49">
        <v>6.2977097520754483E-8</v>
      </c>
      <c r="J49">
        <v>1.1829890649275138E-5</v>
      </c>
      <c r="K49">
        <v>1.4871194015062426</v>
      </c>
      <c r="L49">
        <v>-0.65730368404371964</v>
      </c>
      <c r="M49">
        <v>0</v>
      </c>
      <c r="N49" t="s">
        <v>354</v>
      </c>
      <c r="O49" t="s">
        <v>355</v>
      </c>
    </row>
    <row r="50" spans="1:15" x14ac:dyDescent="0.15">
      <c r="A50">
        <v>228</v>
      </c>
      <c r="B50" t="s">
        <v>359</v>
      </c>
      <c r="C50" t="s">
        <v>349</v>
      </c>
      <c r="D50">
        <v>0</v>
      </c>
      <c r="E50">
        <v>100000</v>
      </c>
      <c r="F50">
        <v>12000000</v>
      </c>
      <c r="G50">
        <v>100000</v>
      </c>
      <c r="H50">
        <v>347.77709739261297</v>
      </c>
      <c r="I50">
        <v>-7.863120494911947E-5</v>
      </c>
      <c r="J50">
        <v>-6.8958170249395324E-5</v>
      </c>
      <c r="K50">
        <v>1.1024478534218805E-4</v>
      </c>
      <c r="L50">
        <v>-99.652222902607392</v>
      </c>
      <c r="M50">
        <v>0</v>
      </c>
      <c r="O50" t="s">
        <v>350</v>
      </c>
    </row>
    <row r="51" spans="1:15" x14ac:dyDescent="0.15">
      <c r="A51">
        <v>228</v>
      </c>
      <c r="B51" t="s">
        <v>359</v>
      </c>
      <c r="C51" t="s">
        <v>349</v>
      </c>
      <c r="D51">
        <v>0</v>
      </c>
      <c r="E51">
        <v>100000</v>
      </c>
      <c r="F51">
        <v>12000000</v>
      </c>
      <c r="G51">
        <v>12000000</v>
      </c>
      <c r="H51">
        <v>217927539957630.97</v>
      </c>
      <c r="I51">
        <v>7.6626868462091172E-2</v>
      </c>
      <c r="J51">
        <v>7.6636541496790903E-2</v>
      </c>
      <c r="K51">
        <v>69082682.680675134</v>
      </c>
      <c r="L51">
        <v>1816062732.980258</v>
      </c>
      <c r="M51">
        <v>0</v>
      </c>
      <c r="O51" t="s">
        <v>351</v>
      </c>
    </row>
    <row r="52" spans="1:15" x14ac:dyDescent="0.15">
      <c r="A52">
        <v>228</v>
      </c>
      <c r="B52" t="s">
        <v>359</v>
      </c>
      <c r="C52" t="s">
        <v>352</v>
      </c>
      <c r="D52">
        <v>1</v>
      </c>
      <c r="E52">
        <v>100000</v>
      </c>
      <c r="F52">
        <v>12000000</v>
      </c>
      <c r="G52">
        <v>6050000</v>
      </c>
      <c r="H52">
        <v>44547224598386.297</v>
      </c>
      <c r="I52">
        <v>2.068066258765586E-2</v>
      </c>
      <c r="J52">
        <v>2.0690335622355584E-2</v>
      </c>
      <c r="K52">
        <v>14121399.167050647</v>
      </c>
      <c r="L52">
        <v>736317661.95679832</v>
      </c>
      <c r="M52">
        <v>0</v>
      </c>
    </row>
    <row r="53" spans="1:15" x14ac:dyDescent="0.15">
      <c r="A53">
        <v>228</v>
      </c>
      <c r="B53" t="s">
        <v>359</v>
      </c>
      <c r="C53" t="s">
        <v>352</v>
      </c>
      <c r="D53">
        <v>2</v>
      </c>
      <c r="E53">
        <v>100000</v>
      </c>
      <c r="F53">
        <v>6050000</v>
      </c>
      <c r="G53">
        <v>3075000</v>
      </c>
      <c r="H53">
        <v>1991819723475.5088</v>
      </c>
      <c r="I53">
        <v>1.703738420512404E-3</v>
      </c>
      <c r="J53">
        <v>1.7134114552121282E-3</v>
      </c>
      <c r="K53">
        <v>631403.67638124409</v>
      </c>
      <c r="L53">
        <v>64774525.153675079</v>
      </c>
      <c r="M53">
        <v>0</v>
      </c>
    </row>
    <row r="54" spans="1:15" x14ac:dyDescent="0.15">
      <c r="A54">
        <v>228</v>
      </c>
      <c r="B54" t="s">
        <v>359</v>
      </c>
      <c r="C54" t="s">
        <v>352</v>
      </c>
      <c r="D54">
        <v>3</v>
      </c>
      <c r="E54">
        <v>100000</v>
      </c>
      <c r="F54">
        <v>3075000</v>
      </c>
      <c r="G54">
        <v>1587500</v>
      </c>
      <c r="H54">
        <v>12948823693.968922</v>
      </c>
      <c r="I54">
        <v>3.7258817923230001E-5</v>
      </c>
      <c r="J54">
        <v>4.6931852622954154E-5</v>
      </c>
      <c r="K54">
        <v>4104.7564640631335</v>
      </c>
      <c r="L54">
        <v>815573.93347835727</v>
      </c>
      <c r="M54">
        <v>0</v>
      </c>
    </row>
    <row r="55" spans="1:15" x14ac:dyDescent="0.15">
      <c r="A55">
        <v>228</v>
      </c>
      <c r="B55" t="s">
        <v>359</v>
      </c>
      <c r="C55" t="s">
        <v>352</v>
      </c>
      <c r="D55">
        <v>4</v>
      </c>
      <c r="E55">
        <v>100000</v>
      </c>
      <c r="F55">
        <v>1587500</v>
      </c>
      <c r="G55">
        <v>843750</v>
      </c>
      <c r="H55">
        <v>-222457.86727514799</v>
      </c>
      <c r="I55">
        <v>-8.7021948512509779E-6</v>
      </c>
      <c r="J55">
        <v>9.7083984847317167E-7</v>
      </c>
      <c r="K55">
        <v>-7.0518789216712147E-2</v>
      </c>
      <c r="L55">
        <v>-126.36537686223976</v>
      </c>
      <c r="M55">
        <v>0</v>
      </c>
    </row>
    <row r="56" spans="1:15" x14ac:dyDescent="0.15">
      <c r="A56">
        <v>228</v>
      </c>
      <c r="B56" t="s">
        <v>359</v>
      </c>
      <c r="C56" t="s">
        <v>352</v>
      </c>
      <c r="D56">
        <v>5</v>
      </c>
      <c r="E56">
        <v>843750</v>
      </c>
      <c r="F56">
        <v>1587500</v>
      </c>
      <c r="G56">
        <v>1215625</v>
      </c>
      <c r="H56">
        <v>-75567817.167164966</v>
      </c>
      <c r="I56">
        <v>-2.5002912964757456E-6</v>
      </c>
      <c r="J56">
        <v>7.1727434032484042E-6</v>
      </c>
      <c r="K56">
        <v>-23.954877548957224</v>
      </c>
      <c r="L56">
        <v>-6316.3757052680694</v>
      </c>
      <c r="M56">
        <v>0</v>
      </c>
    </row>
    <row r="57" spans="1:15" x14ac:dyDescent="0.15">
      <c r="A57">
        <v>228</v>
      </c>
      <c r="B57" t="s">
        <v>359</v>
      </c>
      <c r="C57" t="s">
        <v>352</v>
      </c>
      <c r="D57">
        <v>6</v>
      </c>
      <c r="E57">
        <v>1215625</v>
      </c>
      <c r="F57">
        <v>1587500</v>
      </c>
      <c r="G57">
        <v>1401562.5</v>
      </c>
      <c r="H57">
        <v>1780875678.6345513</v>
      </c>
      <c r="I57">
        <v>8.4349611316028955E-6</v>
      </c>
      <c r="J57">
        <v>1.8107995831327045E-5</v>
      </c>
      <c r="K57">
        <v>564.53475051735768</v>
      </c>
      <c r="L57">
        <v>126963.59357035818</v>
      </c>
      <c r="M57">
        <v>0</v>
      </c>
    </row>
    <row r="58" spans="1:15" x14ac:dyDescent="0.15">
      <c r="A58">
        <v>228</v>
      </c>
      <c r="B58" t="s">
        <v>359</v>
      </c>
      <c r="C58" t="s">
        <v>352</v>
      </c>
      <c r="D58">
        <v>7</v>
      </c>
      <c r="E58">
        <v>1215625</v>
      </c>
      <c r="F58">
        <v>1401562.5</v>
      </c>
      <c r="G58">
        <v>1308593.75</v>
      </c>
      <c r="H58">
        <v>49317597.494689144</v>
      </c>
      <c r="I58">
        <v>5.1782033179715933E-7</v>
      </c>
      <c r="J58">
        <v>1.0190855031521309E-5</v>
      </c>
      <c r="K58">
        <v>15.633599768809622</v>
      </c>
      <c r="L58">
        <v>3668.7477488478867</v>
      </c>
      <c r="M58">
        <v>0</v>
      </c>
    </row>
    <row r="59" spans="1:15" x14ac:dyDescent="0.15">
      <c r="A59">
        <v>228</v>
      </c>
      <c r="B59" t="s">
        <v>359</v>
      </c>
      <c r="C59" t="s">
        <v>352</v>
      </c>
      <c r="D59">
        <v>8</v>
      </c>
      <c r="E59">
        <v>1215625</v>
      </c>
      <c r="F59">
        <v>1308593.75</v>
      </c>
      <c r="G59">
        <v>1262109.375</v>
      </c>
      <c r="H59">
        <v>-69750325.048352405</v>
      </c>
      <c r="I59">
        <v>-1.1944781952530087E-6</v>
      </c>
      <c r="J59">
        <v>8.4785565044711411E-6</v>
      </c>
      <c r="K59">
        <v>-22.11074182329634</v>
      </c>
      <c r="L59">
        <v>-5626.4881499158819</v>
      </c>
      <c r="M59">
        <v>0</v>
      </c>
    </row>
    <row r="60" spans="1:15" x14ac:dyDescent="0.15">
      <c r="A60">
        <v>228</v>
      </c>
      <c r="B60" t="s">
        <v>359</v>
      </c>
      <c r="C60" t="s">
        <v>352</v>
      </c>
      <c r="D60">
        <v>9</v>
      </c>
      <c r="E60">
        <v>1262109.375</v>
      </c>
      <c r="F60">
        <v>1308593.75</v>
      </c>
      <c r="G60">
        <v>1285351.5625</v>
      </c>
      <c r="H60">
        <v>-36358656.554982625</v>
      </c>
      <c r="I60">
        <v>-4.9383482438010979E-7</v>
      </c>
      <c r="J60">
        <v>9.17919987534404E-6</v>
      </c>
      <c r="K60">
        <v>-11.525636153979638</v>
      </c>
      <c r="L60">
        <v>-2928.693535351938</v>
      </c>
      <c r="M60">
        <v>0</v>
      </c>
    </row>
    <row r="61" spans="1:15" x14ac:dyDescent="0.15">
      <c r="A61">
        <v>228</v>
      </c>
      <c r="B61" t="s">
        <v>359</v>
      </c>
      <c r="C61" t="s">
        <v>352</v>
      </c>
      <c r="D61">
        <v>10</v>
      </c>
      <c r="E61">
        <v>1285351.5625</v>
      </c>
      <c r="F61">
        <v>1308593.75</v>
      </c>
      <c r="G61">
        <v>1296972.65625</v>
      </c>
      <c r="H61">
        <v>-10717618.328257166</v>
      </c>
      <c r="I61">
        <v>-1.3162152471652918E-7</v>
      </c>
      <c r="J61">
        <v>9.5414131750076206E-6</v>
      </c>
      <c r="K61">
        <v>-3.39746792079388</v>
      </c>
      <c r="L61">
        <v>-926.35653701794581</v>
      </c>
      <c r="M61">
        <v>0</v>
      </c>
    </row>
    <row r="62" spans="1:15" x14ac:dyDescent="0.15">
      <c r="A62">
        <v>228</v>
      </c>
      <c r="B62" t="s">
        <v>359</v>
      </c>
      <c r="C62" t="s">
        <v>352</v>
      </c>
      <c r="D62">
        <v>11</v>
      </c>
      <c r="E62">
        <v>1296972.65625</v>
      </c>
      <c r="F62">
        <v>1308593.75</v>
      </c>
      <c r="G62">
        <v>1302783.203125</v>
      </c>
      <c r="H62">
        <v>11467831.484762277</v>
      </c>
      <c r="I62">
        <v>1.3172610941509834E-7</v>
      </c>
      <c r="J62">
        <v>9.8047608091392481E-6</v>
      </c>
      <c r="K62">
        <v>3.6352842951896371</v>
      </c>
      <c r="L62">
        <v>780.25632025760444</v>
      </c>
      <c r="M62">
        <v>0</v>
      </c>
    </row>
    <row r="63" spans="1:15" x14ac:dyDescent="0.15">
      <c r="A63">
        <v>228</v>
      </c>
      <c r="B63" t="s">
        <v>359</v>
      </c>
      <c r="C63" t="s">
        <v>352</v>
      </c>
      <c r="D63">
        <v>12</v>
      </c>
      <c r="E63">
        <v>1296972.65625</v>
      </c>
      <c r="F63">
        <v>1302783.203125</v>
      </c>
      <c r="G63">
        <v>1299877.9296875</v>
      </c>
      <c r="H63">
        <v>-3321796.3589725071</v>
      </c>
      <c r="I63">
        <v>-3.9832376462465321E-8</v>
      </c>
      <c r="J63">
        <v>9.6332023232616845E-6</v>
      </c>
      <c r="K63">
        <v>-1.0530041491834143</v>
      </c>
      <c r="L63">
        <v>-355.54679274930766</v>
      </c>
      <c r="M63">
        <v>0</v>
      </c>
    </row>
    <row r="64" spans="1:15" x14ac:dyDescent="0.15">
      <c r="A64">
        <v>228</v>
      </c>
      <c r="B64" t="s">
        <v>359</v>
      </c>
      <c r="C64" t="s">
        <v>352</v>
      </c>
      <c r="D64">
        <v>13</v>
      </c>
      <c r="E64">
        <v>1299877.9296875</v>
      </c>
      <c r="F64">
        <v>1302783.203125</v>
      </c>
      <c r="G64">
        <v>1301330.56640625</v>
      </c>
      <c r="H64">
        <v>3146193.5433873073</v>
      </c>
      <c r="I64">
        <v>3.6997858902414806E-8</v>
      </c>
      <c r="J64">
        <v>9.7100325586265646E-6</v>
      </c>
      <c r="K64">
        <v>0.99733833664194316</v>
      </c>
      <c r="L64">
        <v>141.76743593104283</v>
      </c>
      <c r="M64">
        <v>0</v>
      </c>
    </row>
    <row r="65" spans="1:15" x14ac:dyDescent="0.15">
      <c r="A65">
        <v>228</v>
      </c>
      <c r="B65" t="s">
        <v>359</v>
      </c>
      <c r="C65" t="s">
        <v>352</v>
      </c>
      <c r="D65">
        <v>14</v>
      </c>
      <c r="E65">
        <v>1299877.9296875</v>
      </c>
      <c r="F65">
        <v>1301330.56640625</v>
      </c>
      <c r="G65">
        <v>1300604.248046875</v>
      </c>
      <c r="H65">
        <v>-848582.70194686612</v>
      </c>
      <c r="I65">
        <v>-1.0098503569834944E-8</v>
      </c>
      <c r="J65">
        <v>9.6629361961543149E-6</v>
      </c>
      <c r="K65">
        <v>-0.26899936345035841</v>
      </c>
      <c r="L65">
        <v>-165.24526605392745</v>
      </c>
      <c r="M65">
        <v>0</v>
      </c>
    </row>
    <row r="66" spans="1:15" x14ac:dyDescent="0.15">
      <c r="A66">
        <v>228</v>
      </c>
      <c r="B66" t="s">
        <v>359</v>
      </c>
      <c r="C66" t="s">
        <v>352</v>
      </c>
      <c r="D66">
        <v>15</v>
      </c>
      <c r="E66">
        <v>1300604.248046875</v>
      </c>
      <c r="F66">
        <v>1301330.56640625</v>
      </c>
      <c r="G66">
        <v>1300967.4072265625</v>
      </c>
      <c r="H66">
        <v>1135113.0692608608</v>
      </c>
      <c r="I66">
        <v>1.3427959654584563E-8</v>
      </c>
      <c r="J66">
        <v>9.6864626593787344E-6</v>
      </c>
      <c r="K66">
        <v>0.35982903301565683</v>
      </c>
      <c r="L66">
        <v>-12.748539052125407</v>
      </c>
      <c r="M66">
        <v>0</v>
      </c>
    </row>
    <row r="67" spans="1:15" x14ac:dyDescent="0.15">
      <c r="A67">
        <v>228</v>
      </c>
      <c r="B67" t="s">
        <v>359</v>
      </c>
      <c r="C67" t="s">
        <v>352</v>
      </c>
      <c r="D67">
        <v>16</v>
      </c>
      <c r="E67">
        <v>1300967.4072265625</v>
      </c>
      <c r="F67">
        <v>1301330.56640625</v>
      </c>
      <c r="G67">
        <v>1301148.9868164063</v>
      </c>
      <c r="H67">
        <v>2137172.8729767851</v>
      </c>
      <c r="I67">
        <v>2.5206887882350286E-8</v>
      </c>
      <c r="J67">
        <v>9.6982415876065001E-6</v>
      </c>
      <c r="K67">
        <v>0.67748039300726404</v>
      </c>
      <c r="L67">
        <v>64.252740818399673</v>
      </c>
      <c r="M67">
        <v>0</v>
      </c>
    </row>
    <row r="68" spans="1:15" x14ac:dyDescent="0.15">
      <c r="A68">
        <v>228</v>
      </c>
      <c r="B68" t="s">
        <v>359</v>
      </c>
      <c r="C68" t="s">
        <v>352</v>
      </c>
      <c r="D68">
        <v>17</v>
      </c>
      <c r="E68">
        <v>1300967.4072265625</v>
      </c>
      <c r="F68">
        <v>1301148.9868164063</v>
      </c>
      <c r="G68">
        <v>1301058.1970214844</v>
      </c>
      <c r="H68">
        <v>1635323.9888040952</v>
      </c>
      <c r="I68">
        <v>1.9316508030341702E-8</v>
      </c>
      <c r="J68">
        <v>9.6923512077544915E-6</v>
      </c>
      <c r="K68">
        <v>0.51839509692356067</v>
      </c>
      <c r="L68">
        <v>25.691840115057595</v>
      </c>
      <c r="M68">
        <v>0</v>
      </c>
    </row>
    <row r="69" spans="1:15" x14ac:dyDescent="0.15">
      <c r="A69">
        <v>228</v>
      </c>
      <c r="B69" t="s">
        <v>359</v>
      </c>
      <c r="C69" t="s">
        <v>352</v>
      </c>
      <c r="D69">
        <v>18</v>
      </c>
      <c r="E69">
        <v>1300967.4072265625</v>
      </c>
      <c r="F69">
        <v>1301058.1970214844</v>
      </c>
      <c r="G69">
        <v>1301012.8021240234</v>
      </c>
      <c r="H69">
        <v>1384923.8211864217</v>
      </c>
      <c r="I69">
        <v>1.6370945092226979E-8</v>
      </c>
      <c r="J69">
        <v>9.6894056448163768E-6</v>
      </c>
      <c r="K69">
        <v>0.43901864305232113</v>
      </c>
      <c r="L69">
        <v>6.4496689752326617</v>
      </c>
      <c r="M69">
        <v>0</v>
      </c>
    </row>
    <row r="70" spans="1:15" x14ac:dyDescent="0.15">
      <c r="A70">
        <v>228</v>
      </c>
      <c r="B70" t="s">
        <v>359</v>
      </c>
      <c r="C70" t="s">
        <v>352</v>
      </c>
      <c r="D70">
        <v>19</v>
      </c>
      <c r="E70">
        <v>1300967.4072265625</v>
      </c>
      <c r="F70">
        <v>1301012.8021240234</v>
      </c>
      <c r="G70">
        <v>1300990.104675293</v>
      </c>
      <c r="H70">
        <v>1259924.8496088875</v>
      </c>
      <c r="I70">
        <v>1.4898894841782262E-8</v>
      </c>
      <c r="J70">
        <v>9.6879335945659321E-6</v>
      </c>
      <c r="K70">
        <v>0.3993941683733504</v>
      </c>
      <c r="L70">
        <v>-3.1564617531548995</v>
      </c>
      <c r="M70">
        <v>0</v>
      </c>
    </row>
    <row r="71" spans="1:15" x14ac:dyDescent="0.15">
      <c r="A71">
        <v>228</v>
      </c>
      <c r="B71" t="s">
        <v>359</v>
      </c>
      <c r="C71" t="s">
        <v>352</v>
      </c>
      <c r="D71">
        <v>20</v>
      </c>
      <c r="E71">
        <v>1300990.104675293</v>
      </c>
      <c r="F71">
        <v>1301012.8021240234</v>
      </c>
      <c r="G71">
        <v>1301001.4533996582</v>
      </c>
      <c r="H71">
        <v>1322490.9031547531</v>
      </c>
      <c r="I71">
        <v>1.5635840227136858E-8</v>
      </c>
      <c r="J71">
        <v>9.6886705399512867E-6</v>
      </c>
      <c r="K71">
        <v>0.4192275075856936</v>
      </c>
      <c r="L71">
        <v>1.6517621635964108</v>
      </c>
      <c r="M71">
        <v>0</v>
      </c>
    </row>
    <row r="72" spans="1:15" x14ac:dyDescent="0.15">
      <c r="A72">
        <v>228</v>
      </c>
      <c r="B72" t="s">
        <v>359</v>
      </c>
      <c r="C72" t="s">
        <v>352</v>
      </c>
      <c r="D72">
        <v>21</v>
      </c>
      <c r="E72">
        <v>1300990.104675293</v>
      </c>
      <c r="F72">
        <v>1301001.4533996582</v>
      </c>
      <c r="G72">
        <v>1300995.7790374756</v>
      </c>
      <c r="H72">
        <v>1291164.5305648043</v>
      </c>
      <c r="I72">
        <v>1.5266891151383371E-8</v>
      </c>
      <c r="J72">
        <v>9.6883015908755332E-6</v>
      </c>
      <c r="K72">
        <v>0.40929709742464293</v>
      </c>
      <c r="L72">
        <v>-0.75567105067356755</v>
      </c>
      <c r="M72">
        <v>0</v>
      </c>
    </row>
    <row r="73" spans="1:15" x14ac:dyDescent="0.15">
      <c r="A73">
        <v>228</v>
      </c>
      <c r="B73" t="s">
        <v>359</v>
      </c>
      <c r="C73" t="s">
        <v>353</v>
      </c>
      <c r="D73">
        <v>21</v>
      </c>
      <c r="E73">
        <v>1300990.104675293</v>
      </c>
      <c r="F73">
        <v>1301001.4533996582</v>
      </c>
      <c r="G73">
        <v>1300995.7790374756</v>
      </c>
      <c r="H73">
        <v>1291164.5305648043</v>
      </c>
      <c r="I73">
        <v>1.5266891151383371E-8</v>
      </c>
      <c r="J73">
        <v>9.6883015908755332E-6</v>
      </c>
      <c r="K73">
        <v>0.40929709742464293</v>
      </c>
      <c r="L73">
        <v>-0.75567105067356755</v>
      </c>
      <c r="M73">
        <v>0</v>
      </c>
      <c r="N73" t="s">
        <v>354</v>
      </c>
      <c r="O73" t="s">
        <v>355</v>
      </c>
    </row>
    <row r="74" spans="1:15" x14ac:dyDescent="0.15">
      <c r="A74">
        <v>229</v>
      </c>
      <c r="B74" t="s">
        <v>294</v>
      </c>
      <c r="C74" t="s">
        <v>349</v>
      </c>
      <c r="D74">
        <v>0</v>
      </c>
      <c r="E74">
        <v>100000</v>
      </c>
      <c r="F74">
        <v>12000000</v>
      </c>
      <c r="G74">
        <v>100000</v>
      </c>
      <c r="H74">
        <v>-0.95087756596177087</v>
      </c>
      <c r="I74">
        <v>-4.4623486859902701E-4</v>
      </c>
      <c r="J74">
        <v>-4.440708426668319E-4</v>
      </c>
      <c r="K74">
        <v>-7.3698452868880204E-8</v>
      </c>
      <c r="L74">
        <v>-100.00095087756596</v>
      </c>
      <c r="M74">
        <v>0</v>
      </c>
      <c r="O74" t="s">
        <v>350</v>
      </c>
    </row>
    <row r="75" spans="1:15" x14ac:dyDescent="0.15">
      <c r="A75">
        <v>229</v>
      </c>
      <c r="B75" t="s">
        <v>294</v>
      </c>
      <c r="C75" t="s">
        <v>349</v>
      </c>
      <c r="D75">
        <v>0</v>
      </c>
      <c r="E75">
        <v>100000</v>
      </c>
      <c r="F75">
        <v>12000000</v>
      </c>
      <c r="G75">
        <v>12000000</v>
      </c>
      <c r="H75">
        <v>-3711744.5229170215</v>
      </c>
      <c r="I75">
        <v>-1.2042185600152369E-6</v>
      </c>
      <c r="J75">
        <v>9.5980737217986021E-7</v>
      </c>
      <c r="K75">
        <v>-0.28768144141337559</v>
      </c>
      <c r="L75">
        <v>-130.93120435764186</v>
      </c>
      <c r="M75">
        <v>0</v>
      </c>
      <c r="O75" t="s">
        <v>351</v>
      </c>
    </row>
    <row r="76" spans="1:15" x14ac:dyDescent="0.15">
      <c r="A76">
        <v>229</v>
      </c>
      <c r="B76" t="s">
        <v>294</v>
      </c>
      <c r="C76" t="s">
        <v>349</v>
      </c>
      <c r="D76">
        <v>1</v>
      </c>
      <c r="E76">
        <v>100000</v>
      </c>
      <c r="F76">
        <v>18000000</v>
      </c>
      <c r="G76">
        <v>18000000</v>
      </c>
      <c r="H76">
        <v>9104484266.49296</v>
      </c>
      <c r="I76">
        <v>4.957995867934031E-6</v>
      </c>
      <c r="J76">
        <v>7.1220218001291277E-6</v>
      </c>
      <c r="K76">
        <v>705.64963211737938</v>
      </c>
      <c r="L76">
        <v>50480.468147183114</v>
      </c>
      <c r="M76">
        <v>0</v>
      </c>
      <c r="O76" t="s">
        <v>356</v>
      </c>
    </row>
    <row r="77" spans="1:15" x14ac:dyDescent="0.15">
      <c r="A77">
        <v>229</v>
      </c>
      <c r="B77" t="s">
        <v>294</v>
      </c>
      <c r="C77" t="s">
        <v>352</v>
      </c>
      <c r="D77">
        <v>1</v>
      </c>
      <c r="E77">
        <v>100000</v>
      </c>
      <c r="F77">
        <v>18000000</v>
      </c>
      <c r="G77">
        <v>9050000</v>
      </c>
      <c r="H77">
        <v>-153590.60818002012</v>
      </c>
      <c r="I77">
        <v>-2.449901337129279E-6</v>
      </c>
      <c r="J77">
        <v>-2.8587540493418196E-7</v>
      </c>
      <c r="K77">
        <v>-1.1904151073970068E-2</v>
      </c>
      <c r="L77">
        <v>-101.69713379204443</v>
      </c>
      <c r="M77">
        <v>0</v>
      </c>
    </row>
    <row r="78" spans="1:15" x14ac:dyDescent="0.15">
      <c r="A78">
        <v>229</v>
      </c>
      <c r="B78" t="s">
        <v>294</v>
      </c>
      <c r="C78" t="s">
        <v>352</v>
      </c>
      <c r="D78">
        <v>2</v>
      </c>
      <c r="E78">
        <v>9050000</v>
      </c>
      <c r="F78">
        <v>18000000</v>
      </c>
      <c r="G78">
        <v>13525000</v>
      </c>
      <c r="H78">
        <v>-32012951.204112545</v>
      </c>
      <c r="I78">
        <v>-4.4216830248042499E-7</v>
      </c>
      <c r="J78">
        <v>1.7218576297146721E-6</v>
      </c>
      <c r="K78">
        <v>-2.4811869161343783</v>
      </c>
      <c r="L78">
        <v>-336.6946484592425</v>
      </c>
      <c r="M78">
        <v>0</v>
      </c>
    </row>
    <row r="79" spans="1:15" x14ac:dyDescent="0.15">
      <c r="A79">
        <v>229</v>
      </c>
      <c r="B79" t="s">
        <v>294</v>
      </c>
      <c r="C79" t="s">
        <v>352</v>
      </c>
      <c r="D79">
        <v>3</v>
      </c>
      <c r="E79">
        <v>13525000</v>
      </c>
      <c r="F79">
        <v>18000000</v>
      </c>
      <c r="G79">
        <v>15762500</v>
      </c>
      <c r="H79">
        <v>872068486.29711962</v>
      </c>
      <c r="I79">
        <v>1.2210331698371728E-6</v>
      </c>
      <c r="J79">
        <v>3.3850591020322699E-6</v>
      </c>
      <c r="K79">
        <v>67.590298200796852</v>
      </c>
      <c r="L79">
        <v>5432.5518559690381</v>
      </c>
      <c r="M79">
        <v>0</v>
      </c>
    </row>
    <row r="80" spans="1:15" x14ac:dyDescent="0.15">
      <c r="A80">
        <v>229</v>
      </c>
      <c r="B80" t="s">
        <v>294</v>
      </c>
      <c r="C80" t="s">
        <v>352</v>
      </c>
      <c r="D80">
        <v>4</v>
      </c>
      <c r="E80">
        <v>13525000</v>
      </c>
      <c r="F80">
        <v>15762500</v>
      </c>
      <c r="G80">
        <v>14643750</v>
      </c>
      <c r="H80">
        <v>104464761.97275795</v>
      </c>
      <c r="I80">
        <v>3.078066077386307E-7</v>
      </c>
      <c r="J80">
        <v>2.4718325399337278E-6</v>
      </c>
      <c r="K80">
        <v>8.0966168645707821</v>
      </c>
      <c r="L80">
        <v>613.3743882049198</v>
      </c>
      <c r="M80">
        <v>0</v>
      </c>
    </row>
    <row r="81" spans="1:15" x14ac:dyDescent="0.15">
      <c r="A81">
        <v>229</v>
      </c>
      <c r="B81" t="s">
        <v>294</v>
      </c>
      <c r="C81" t="s">
        <v>352</v>
      </c>
      <c r="D81">
        <v>5</v>
      </c>
      <c r="E81">
        <v>13525000</v>
      </c>
      <c r="F81">
        <v>14643750</v>
      </c>
      <c r="G81">
        <v>14084375</v>
      </c>
      <c r="H81">
        <v>-16299322.742090799</v>
      </c>
      <c r="I81">
        <v>-8.7674942737203238E-8</v>
      </c>
      <c r="J81">
        <v>2.0763509894578939E-6</v>
      </c>
      <c r="K81">
        <v>-1.2632907872714925</v>
      </c>
      <c r="L81">
        <v>-215.72627640268595</v>
      </c>
      <c r="M81">
        <v>0</v>
      </c>
    </row>
    <row r="82" spans="1:15" x14ac:dyDescent="0.15">
      <c r="A82">
        <v>229</v>
      </c>
      <c r="B82" t="s">
        <v>294</v>
      </c>
      <c r="C82" t="s">
        <v>352</v>
      </c>
      <c r="D82">
        <v>6</v>
      </c>
      <c r="E82">
        <v>14084375</v>
      </c>
      <c r="F82">
        <v>14643750</v>
      </c>
      <c r="G82">
        <v>14364062.5</v>
      </c>
      <c r="H82">
        <v>27168371.215376887</v>
      </c>
      <c r="I82">
        <v>1.0494541414815012E-7</v>
      </c>
      <c r="J82">
        <v>2.2689713463432472E-6</v>
      </c>
      <c r="K82">
        <v>2.1057042433380895</v>
      </c>
      <c r="L82">
        <v>89.141276817591731</v>
      </c>
      <c r="M82">
        <v>0</v>
      </c>
    </row>
    <row r="83" spans="1:15" x14ac:dyDescent="0.15">
      <c r="A83">
        <v>229</v>
      </c>
      <c r="B83" t="s">
        <v>294</v>
      </c>
      <c r="C83" t="s">
        <v>352</v>
      </c>
      <c r="D83">
        <v>7</v>
      </c>
      <c r="E83">
        <v>14084375</v>
      </c>
      <c r="F83">
        <v>14364062.5</v>
      </c>
      <c r="G83">
        <v>14224218.75</v>
      </c>
      <c r="H83">
        <v>1628327.7871446728</v>
      </c>
      <c r="I83">
        <v>7.3560929636716003E-9</v>
      </c>
      <c r="J83">
        <v>2.1713820251587687E-6</v>
      </c>
      <c r="K83">
        <v>0.12620472179779491</v>
      </c>
      <c r="L83">
        <v>-88.55242726673707</v>
      </c>
      <c r="M83">
        <v>0</v>
      </c>
    </row>
    <row r="84" spans="1:15" x14ac:dyDescent="0.15">
      <c r="A84">
        <v>229</v>
      </c>
      <c r="B84" t="s">
        <v>294</v>
      </c>
      <c r="C84" t="s">
        <v>352</v>
      </c>
      <c r="D84">
        <v>8</v>
      </c>
      <c r="E84">
        <v>14224218.75</v>
      </c>
      <c r="F84">
        <v>14364062.5</v>
      </c>
      <c r="G84">
        <v>14294140.625</v>
      </c>
      <c r="H84">
        <v>13393237.377202904</v>
      </c>
      <c r="I84">
        <v>5.5834345982802935E-8</v>
      </c>
      <c r="J84">
        <v>2.2198602781779E-6</v>
      </c>
      <c r="K84">
        <v>1.0380525410830828</v>
      </c>
      <c r="L84">
        <v>-6.3026051823041733</v>
      </c>
      <c r="M84">
        <v>0</v>
      </c>
    </row>
    <row r="85" spans="1:15" x14ac:dyDescent="0.15">
      <c r="A85">
        <v>229</v>
      </c>
      <c r="B85" t="s">
        <v>294</v>
      </c>
      <c r="C85" t="s">
        <v>352</v>
      </c>
      <c r="D85">
        <v>9</v>
      </c>
      <c r="E85">
        <v>14294140.625</v>
      </c>
      <c r="F85">
        <v>14364062.5</v>
      </c>
      <c r="G85">
        <v>14329101.5625</v>
      </c>
      <c r="H85">
        <v>20022611.757511299</v>
      </c>
      <c r="I85">
        <v>8.0309646588175386E-8</v>
      </c>
      <c r="J85">
        <v>2.2443355787832725E-6</v>
      </c>
      <c r="K85">
        <v>1.5518669929185811</v>
      </c>
      <c r="L85">
        <v>39.733895179524097</v>
      </c>
      <c r="M85">
        <v>0</v>
      </c>
    </row>
    <row r="86" spans="1:15" x14ac:dyDescent="0.15">
      <c r="A86">
        <v>229</v>
      </c>
      <c r="B86" t="s">
        <v>294</v>
      </c>
      <c r="C86" t="s">
        <v>352</v>
      </c>
      <c r="D86">
        <v>10</v>
      </c>
      <c r="E86">
        <v>14294140.625</v>
      </c>
      <c r="F86">
        <v>14329101.5625</v>
      </c>
      <c r="G86">
        <v>14311621.09375</v>
      </c>
      <c r="H86">
        <v>16644193.317710144</v>
      </c>
      <c r="I86">
        <v>6.8051905817672832E-8</v>
      </c>
      <c r="J86">
        <v>2.2320778380127699E-6</v>
      </c>
      <c r="K86">
        <v>1.290020230443746</v>
      </c>
      <c r="L86">
        <v>16.298448712974924</v>
      </c>
      <c r="M86">
        <v>0</v>
      </c>
    </row>
    <row r="87" spans="1:15" x14ac:dyDescent="0.15">
      <c r="A87">
        <v>229</v>
      </c>
      <c r="B87" t="s">
        <v>294</v>
      </c>
      <c r="C87" t="s">
        <v>352</v>
      </c>
      <c r="D87">
        <v>11</v>
      </c>
      <c r="E87">
        <v>14294140.625</v>
      </c>
      <c r="F87">
        <v>14311621.09375</v>
      </c>
      <c r="G87">
        <v>14302880.859375</v>
      </c>
      <c r="H87">
        <v>15002888.348731169</v>
      </c>
      <c r="I87">
        <v>6.1938110092723172E-8</v>
      </c>
      <c r="J87">
        <v>2.2259640422878203E-6</v>
      </c>
      <c r="K87">
        <v>1.1628097027903688</v>
      </c>
      <c r="L87">
        <v>4.8941712948503024</v>
      </c>
      <c r="M87">
        <v>0</v>
      </c>
    </row>
    <row r="88" spans="1:15" x14ac:dyDescent="0.15">
      <c r="A88">
        <v>229</v>
      </c>
      <c r="B88" t="s">
        <v>294</v>
      </c>
      <c r="C88" t="s">
        <v>352</v>
      </c>
      <c r="D88">
        <v>12</v>
      </c>
      <c r="E88">
        <v>14294140.625</v>
      </c>
      <c r="F88">
        <v>14302880.859375</v>
      </c>
      <c r="G88">
        <v>14298510.7421875</v>
      </c>
      <c r="H88">
        <v>14194133.410645558</v>
      </c>
      <c r="I88">
        <v>5.8885028240145576E-8</v>
      </c>
      <c r="J88">
        <v>2.2229109604352427E-6</v>
      </c>
      <c r="K88">
        <v>1.1001265668950657</v>
      </c>
      <c r="L88">
        <v>-0.72998743312461889</v>
      </c>
      <c r="M88">
        <v>0</v>
      </c>
    </row>
    <row r="89" spans="1:15" x14ac:dyDescent="0.15">
      <c r="A89">
        <v>229</v>
      </c>
      <c r="B89" t="s">
        <v>294</v>
      </c>
      <c r="C89" t="s">
        <v>353</v>
      </c>
      <c r="D89">
        <v>12</v>
      </c>
      <c r="E89">
        <v>14294140.625</v>
      </c>
      <c r="F89">
        <v>14302880.859375</v>
      </c>
      <c r="G89">
        <v>14298510.7421875</v>
      </c>
      <c r="H89">
        <v>14194133.410645558</v>
      </c>
      <c r="I89">
        <v>5.8885028240145576E-8</v>
      </c>
      <c r="J89">
        <v>2.2229109604352427E-6</v>
      </c>
      <c r="K89">
        <v>1.1001265668950657</v>
      </c>
      <c r="L89">
        <v>-0.72998743312461889</v>
      </c>
      <c r="M89">
        <v>0</v>
      </c>
      <c r="N89" t="s">
        <v>354</v>
      </c>
      <c r="O89" t="s">
        <v>355</v>
      </c>
    </row>
    <row r="90" spans="1:15" x14ac:dyDescent="0.15">
      <c r="A90">
        <v>230</v>
      </c>
      <c r="B90" t="s">
        <v>360</v>
      </c>
      <c r="C90" t="s">
        <v>349</v>
      </c>
      <c r="D90">
        <v>0</v>
      </c>
      <c r="E90">
        <v>100000</v>
      </c>
      <c r="F90">
        <v>12000000</v>
      </c>
      <c r="G90">
        <v>100000</v>
      </c>
      <c r="H90">
        <v>92.264787366829466</v>
      </c>
      <c r="I90">
        <v>-2.7132149338469078E-4</v>
      </c>
      <c r="J90">
        <v>-2.4953272032342949E-4</v>
      </c>
      <c r="K90">
        <v>2.8674304391077289E-5</v>
      </c>
      <c r="L90">
        <v>-99.90773521263317</v>
      </c>
      <c r="M90">
        <v>0</v>
      </c>
      <c r="O90" t="s">
        <v>350</v>
      </c>
    </row>
    <row r="91" spans="1:15" x14ac:dyDescent="0.15">
      <c r="A91">
        <v>230</v>
      </c>
      <c r="B91" t="s">
        <v>360</v>
      </c>
      <c r="C91" t="s">
        <v>349</v>
      </c>
      <c r="D91">
        <v>0</v>
      </c>
      <c r="E91">
        <v>100000</v>
      </c>
      <c r="F91">
        <v>12000000</v>
      </c>
      <c r="G91">
        <v>12000000</v>
      </c>
      <c r="H91">
        <v>76332837213393.25</v>
      </c>
      <c r="I91">
        <v>9.3595211173836082E-2</v>
      </c>
      <c r="J91">
        <v>9.3616999946897345E-2</v>
      </c>
      <c r="K91">
        <v>23722929.101750601</v>
      </c>
      <c r="L91">
        <v>636106876.77827704</v>
      </c>
      <c r="M91">
        <v>0</v>
      </c>
      <c r="O91" t="s">
        <v>351</v>
      </c>
    </row>
    <row r="92" spans="1:15" x14ac:dyDescent="0.15">
      <c r="A92">
        <v>230</v>
      </c>
      <c r="B92" t="s">
        <v>360</v>
      </c>
      <c r="C92" t="s">
        <v>352</v>
      </c>
      <c r="D92">
        <v>1</v>
      </c>
      <c r="E92">
        <v>100000</v>
      </c>
      <c r="F92">
        <v>12000000</v>
      </c>
      <c r="G92">
        <v>6050000</v>
      </c>
      <c r="H92">
        <v>468052351716.41467</v>
      </c>
      <c r="I92">
        <v>1.5271594737189774E-3</v>
      </c>
      <c r="J92">
        <v>1.5489482467802387E-3</v>
      </c>
      <c r="K92">
        <v>145462.5972389236</v>
      </c>
      <c r="L92">
        <v>7736302.5077093337</v>
      </c>
      <c r="M92">
        <v>0</v>
      </c>
    </row>
    <row r="93" spans="1:15" x14ac:dyDescent="0.15">
      <c r="A93">
        <v>230</v>
      </c>
      <c r="B93" t="s">
        <v>360</v>
      </c>
      <c r="C93" t="s">
        <v>352</v>
      </c>
      <c r="D93">
        <v>2</v>
      </c>
      <c r="E93">
        <v>100000</v>
      </c>
      <c r="F93">
        <v>6050000</v>
      </c>
      <c r="G93">
        <v>3075000</v>
      </c>
      <c r="H93">
        <v>-80450723.759243786</v>
      </c>
      <c r="I93">
        <v>-2.4667856496372794E-6</v>
      </c>
      <c r="J93">
        <v>1.932198741162403E-5</v>
      </c>
      <c r="K93">
        <v>-25.002697208668611</v>
      </c>
      <c r="L93">
        <v>-2716.2836994876029</v>
      </c>
      <c r="M93">
        <v>0</v>
      </c>
    </row>
    <row r="94" spans="1:15" x14ac:dyDescent="0.15">
      <c r="A94">
        <v>230</v>
      </c>
      <c r="B94" t="s">
        <v>360</v>
      </c>
      <c r="C94" t="s">
        <v>352</v>
      </c>
      <c r="D94">
        <v>3</v>
      </c>
      <c r="E94">
        <v>3075000</v>
      </c>
      <c r="F94">
        <v>6050000</v>
      </c>
      <c r="G94">
        <v>4562500</v>
      </c>
      <c r="H94">
        <v>55840288026.097084</v>
      </c>
      <c r="I94">
        <v>2.9642954674438617E-4</v>
      </c>
      <c r="J94">
        <v>3.1821831980564745E-4</v>
      </c>
      <c r="K94">
        <v>17354.198300806838</v>
      </c>
      <c r="L94">
        <v>1223796.7238596622</v>
      </c>
      <c r="M94">
        <v>0</v>
      </c>
    </row>
    <row r="95" spans="1:15" x14ac:dyDescent="0.15">
      <c r="A95">
        <v>230</v>
      </c>
      <c r="B95" t="s">
        <v>360</v>
      </c>
      <c r="C95" t="s">
        <v>352</v>
      </c>
      <c r="D95">
        <v>4</v>
      </c>
      <c r="E95">
        <v>3075000</v>
      </c>
      <c r="F95">
        <v>4562500</v>
      </c>
      <c r="G95">
        <v>3818750</v>
      </c>
      <c r="H95">
        <v>9653659329.4841385</v>
      </c>
      <c r="I95">
        <v>7.8785025896052635E-5</v>
      </c>
      <c r="J95">
        <v>1.0057379895731394E-4</v>
      </c>
      <c r="K95">
        <v>3000.1907986936867</v>
      </c>
      <c r="L95">
        <v>252696.31632037024</v>
      </c>
      <c r="M95">
        <v>0</v>
      </c>
    </row>
    <row r="96" spans="1:15" x14ac:dyDescent="0.15">
      <c r="A96">
        <v>230</v>
      </c>
      <c r="B96" t="s">
        <v>360</v>
      </c>
      <c r="C96" t="s">
        <v>352</v>
      </c>
      <c r="D96">
        <v>5</v>
      </c>
      <c r="E96">
        <v>3075000</v>
      </c>
      <c r="F96">
        <v>3818750</v>
      </c>
      <c r="G96">
        <v>3446875</v>
      </c>
      <c r="H96">
        <v>2258015257.6229568</v>
      </c>
      <c r="I96">
        <v>2.6113866122369387E-5</v>
      </c>
      <c r="J96">
        <v>4.7902639183630696E-5</v>
      </c>
      <c r="K96">
        <v>701.75219240850879</v>
      </c>
      <c r="L96">
        <v>65409.055524872725</v>
      </c>
      <c r="M96">
        <v>0</v>
      </c>
    </row>
    <row r="97" spans="1:15" x14ac:dyDescent="0.15">
      <c r="A97">
        <v>230</v>
      </c>
      <c r="B97" t="s">
        <v>360</v>
      </c>
      <c r="C97" t="s">
        <v>352</v>
      </c>
      <c r="D97">
        <v>6</v>
      </c>
      <c r="E97">
        <v>3075000</v>
      </c>
      <c r="F97">
        <v>3446875</v>
      </c>
      <c r="G97">
        <v>3260937.5</v>
      </c>
      <c r="H97">
        <v>625958016.38095808</v>
      </c>
      <c r="I97">
        <v>9.3864892659917021E-6</v>
      </c>
      <c r="J97">
        <v>3.1175262327253011E-5</v>
      </c>
      <c r="K97">
        <v>194.53695402104648</v>
      </c>
      <c r="L97">
        <v>19095.645926392583</v>
      </c>
      <c r="M97">
        <v>0</v>
      </c>
    </row>
    <row r="98" spans="1:15" x14ac:dyDescent="0.15">
      <c r="A98">
        <v>230</v>
      </c>
      <c r="B98" t="s">
        <v>360</v>
      </c>
      <c r="C98" t="s">
        <v>352</v>
      </c>
      <c r="D98">
        <v>7</v>
      </c>
      <c r="E98">
        <v>3075000</v>
      </c>
      <c r="F98">
        <v>3260937.5</v>
      </c>
      <c r="G98">
        <v>3167968.75</v>
      </c>
      <c r="H98">
        <v>157993389.5562734</v>
      </c>
      <c r="I98">
        <v>2.918317471422921E-6</v>
      </c>
      <c r="J98">
        <v>2.470709053268423E-5</v>
      </c>
      <c r="K98">
        <v>49.101620165261032</v>
      </c>
      <c r="L98">
        <v>4887.2142695938337</v>
      </c>
      <c r="M98">
        <v>0</v>
      </c>
    </row>
    <row r="99" spans="1:15" x14ac:dyDescent="0.15">
      <c r="A99">
        <v>230</v>
      </c>
      <c r="B99" t="s">
        <v>360</v>
      </c>
      <c r="C99" t="s">
        <v>352</v>
      </c>
      <c r="D99">
        <v>8</v>
      </c>
      <c r="E99">
        <v>3075000</v>
      </c>
      <c r="F99">
        <v>3167968.75</v>
      </c>
      <c r="G99">
        <v>3121484.375</v>
      </c>
      <c r="H99">
        <v>4242538.2691875715</v>
      </c>
      <c r="I99">
        <v>9.8160186698169832E-8</v>
      </c>
      <c r="J99">
        <v>2.1886933247959479E-5</v>
      </c>
      <c r="K99">
        <v>1.3185077123497952</v>
      </c>
      <c r="L99">
        <v>35.914128008011303</v>
      </c>
      <c r="M99">
        <v>0</v>
      </c>
    </row>
    <row r="100" spans="1:15" x14ac:dyDescent="0.15">
      <c r="A100">
        <v>230</v>
      </c>
      <c r="B100" t="s">
        <v>360</v>
      </c>
      <c r="C100" t="s">
        <v>352</v>
      </c>
      <c r="D100">
        <v>9</v>
      </c>
      <c r="E100">
        <v>3075000</v>
      </c>
      <c r="F100">
        <v>3121484.375</v>
      </c>
      <c r="G100">
        <v>3098242.1875</v>
      </c>
      <c r="H100">
        <v>-46023594.074326038</v>
      </c>
      <c r="I100">
        <v>-1.2152050622993361E-6</v>
      </c>
      <c r="J100">
        <v>2.0573567998961973E-5</v>
      </c>
      <c r="K100">
        <v>-14.303339153774012</v>
      </c>
      <c r="L100">
        <v>-1585.4743847982684</v>
      </c>
      <c r="M100">
        <v>0</v>
      </c>
    </row>
    <row r="101" spans="1:15" x14ac:dyDescent="0.15">
      <c r="A101">
        <v>230</v>
      </c>
      <c r="B101" t="s">
        <v>360</v>
      </c>
      <c r="C101" t="s">
        <v>352</v>
      </c>
      <c r="D101">
        <v>10</v>
      </c>
      <c r="E101">
        <v>3098242.1875</v>
      </c>
      <c r="F101">
        <v>3121484.375</v>
      </c>
      <c r="G101">
        <v>3109863.28125</v>
      </c>
      <c r="H101">
        <v>-22958748.966152783</v>
      </c>
      <c r="I101">
        <v>-5.6637061860794787E-7</v>
      </c>
      <c r="J101">
        <v>2.1222402442653361E-5</v>
      </c>
      <c r="K101">
        <v>-7.1351831514703488</v>
      </c>
      <c r="L101">
        <v>-838.2558939029816</v>
      </c>
      <c r="M101">
        <v>0</v>
      </c>
    </row>
    <row r="102" spans="1:15" x14ac:dyDescent="0.15">
      <c r="A102">
        <v>230</v>
      </c>
      <c r="B102" t="s">
        <v>360</v>
      </c>
      <c r="C102" t="s">
        <v>352</v>
      </c>
      <c r="D102">
        <v>11</v>
      </c>
      <c r="E102">
        <v>3109863.28125</v>
      </c>
      <c r="F102">
        <v>3121484.375</v>
      </c>
      <c r="G102">
        <v>3115673.828125</v>
      </c>
      <c r="H102">
        <v>-9886235.5356464293</v>
      </c>
      <c r="I102">
        <v>-2.3608290879812907E-7</v>
      </c>
      <c r="J102">
        <v>2.155269015246318E-5</v>
      </c>
      <c r="K102">
        <v>-3.0724714717429267</v>
      </c>
      <c r="L102">
        <v>-417.30649872281163</v>
      </c>
      <c r="M102">
        <v>0</v>
      </c>
    </row>
    <row r="103" spans="1:15" x14ac:dyDescent="0.15">
      <c r="A103">
        <v>230</v>
      </c>
      <c r="B103" t="s">
        <v>360</v>
      </c>
      <c r="C103" t="s">
        <v>352</v>
      </c>
      <c r="D103">
        <v>12</v>
      </c>
      <c r="E103">
        <v>3115673.828125</v>
      </c>
      <c r="F103">
        <v>3121484.375</v>
      </c>
      <c r="G103">
        <v>3118579.1015625</v>
      </c>
      <c r="H103">
        <v>-2955268.4975184598</v>
      </c>
      <c r="I103">
        <v>-6.9457723474552737E-8</v>
      </c>
      <c r="J103">
        <v>2.1719315337786756E-5</v>
      </c>
      <c r="K103">
        <v>-0.91844647209008046</v>
      </c>
      <c r="L103">
        <v>-194.76330089038893</v>
      </c>
      <c r="M103">
        <v>0</v>
      </c>
    </row>
    <row r="104" spans="1:15" x14ac:dyDescent="0.15">
      <c r="A104">
        <v>230</v>
      </c>
      <c r="B104" t="s">
        <v>360</v>
      </c>
      <c r="C104" t="s">
        <v>352</v>
      </c>
      <c r="D104">
        <v>13</v>
      </c>
      <c r="E104">
        <v>3118579.1015625</v>
      </c>
      <c r="F104">
        <v>3121484.375</v>
      </c>
      <c r="G104">
        <v>3120031.73828125</v>
      </c>
      <c r="H104">
        <v>610101.09228357452</v>
      </c>
      <c r="I104">
        <v>1.4226778691410285E-8</v>
      </c>
      <c r="J104">
        <v>2.1802999839952719E-5</v>
      </c>
      <c r="K104">
        <v>0.18960889553577814</v>
      </c>
      <c r="L104">
        <v>-80.4456767282866</v>
      </c>
      <c r="M104">
        <v>0</v>
      </c>
    </row>
    <row r="105" spans="1:15" x14ac:dyDescent="0.15">
      <c r="A105">
        <v>230</v>
      </c>
      <c r="B105" t="s">
        <v>360</v>
      </c>
      <c r="C105" t="s">
        <v>352</v>
      </c>
      <c r="D105">
        <v>14</v>
      </c>
      <c r="E105">
        <v>3120031.73828125</v>
      </c>
      <c r="F105">
        <v>3121484.375</v>
      </c>
      <c r="G105">
        <v>3120758.056640625</v>
      </c>
      <c r="H105">
        <v>2417846.5635535889</v>
      </c>
      <c r="I105">
        <v>5.6160769963542202E-8</v>
      </c>
      <c r="J105">
        <v>2.1844933831224851E-5</v>
      </c>
      <c r="K105">
        <v>0.75142500527976042</v>
      </c>
      <c r="L105">
        <v>-22.523741998881292</v>
      </c>
      <c r="M105">
        <v>0</v>
      </c>
    </row>
    <row r="106" spans="1:15" x14ac:dyDescent="0.15">
      <c r="A106">
        <v>230</v>
      </c>
      <c r="B106" t="s">
        <v>360</v>
      </c>
      <c r="C106" t="s">
        <v>352</v>
      </c>
      <c r="D106">
        <v>15</v>
      </c>
      <c r="E106">
        <v>3120758.056640625</v>
      </c>
      <c r="F106">
        <v>3121484.375</v>
      </c>
      <c r="G106">
        <v>3121121.2158203125</v>
      </c>
      <c r="H106">
        <v>3328123.1215672954</v>
      </c>
      <c r="I106">
        <v>7.7153491033217069E-8</v>
      </c>
      <c r="J106">
        <v>2.1865926552294526E-5</v>
      </c>
      <c r="K106">
        <v>1.034323257684242</v>
      </c>
      <c r="L106">
        <v>6.6322930585884778</v>
      </c>
      <c r="M106">
        <v>0</v>
      </c>
    </row>
    <row r="107" spans="1:15" x14ac:dyDescent="0.15">
      <c r="A107">
        <v>230</v>
      </c>
      <c r="B107" t="s">
        <v>360</v>
      </c>
      <c r="C107" t="s">
        <v>352</v>
      </c>
      <c r="D107">
        <v>16</v>
      </c>
      <c r="E107">
        <v>3120758.056640625</v>
      </c>
      <c r="F107">
        <v>3121121.2158203125</v>
      </c>
      <c r="G107">
        <v>3120939.6362304688</v>
      </c>
      <c r="H107">
        <v>2872424.5997136291</v>
      </c>
      <c r="I107">
        <v>6.6654387671606028E-8</v>
      </c>
      <c r="J107">
        <v>2.1855427448932915E-5</v>
      </c>
      <c r="K107">
        <v>0.89270001766912732</v>
      </c>
      <c r="L107">
        <v>-7.9628274008208919</v>
      </c>
      <c r="M107">
        <v>0</v>
      </c>
    </row>
    <row r="108" spans="1:15" x14ac:dyDescent="0.15">
      <c r="A108">
        <v>230</v>
      </c>
      <c r="B108" t="s">
        <v>360</v>
      </c>
      <c r="C108" t="s">
        <v>352</v>
      </c>
      <c r="D108">
        <v>17</v>
      </c>
      <c r="E108">
        <v>3120939.6362304688</v>
      </c>
      <c r="F108">
        <v>3121121.2158203125</v>
      </c>
      <c r="G108">
        <v>3121030.4260253906</v>
      </c>
      <c r="H108">
        <v>3100107.7760538389</v>
      </c>
      <c r="I108">
        <v>7.1902655565043077E-8</v>
      </c>
      <c r="J108">
        <v>2.1860675716826352E-5</v>
      </c>
      <c r="K108">
        <v>0.96346002145204013</v>
      </c>
      <c r="L108">
        <v>-0.67037635381839478</v>
      </c>
      <c r="M108">
        <v>0</v>
      </c>
    </row>
    <row r="109" spans="1:15" x14ac:dyDescent="0.15">
      <c r="A109">
        <v>230</v>
      </c>
      <c r="B109" t="s">
        <v>360</v>
      </c>
      <c r="C109" t="s">
        <v>353</v>
      </c>
      <c r="D109">
        <v>17</v>
      </c>
      <c r="E109">
        <v>3120939.6362304688</v>
      </c>
      <c r="F109">
        <v>3121121.2158203125</v>
      </c>
      <c r="G109">
        <v>3121030.4260253906</v>
      </c>
      <c r="H109">
        <v>3100107.7760538389</v>
      </c>
      <c r="I109">
        <v>7.1902655565043077E-8</v>
      </c>
      <c r="J109">
        <v>2.1860675716826352E-5</v>
      </c>
      <c r="K109">
        <v>0.96346002145204013</v>
      </c>
      <c r="L109">
        <v>-0.67037635381839478</v>
      </c>
      <c r="M109">
        <v>0</v>
      </c>
      <c r="N109" t="s">
        <v>354</v>
      </c>
      <c r="O109" t="s">
        <v>355</v>
      </c>
    </row>
    <row r="110" spans="1:15" x14ac:dyDescent="0.15">
      <c r="A110">
        <v>231</v>
      </c>
      <c r="B110" t="s">
        <v>361</v>
      </c>
      <c r="C110" t="s">
        <v>349</v>
      </c>
      <c r="D110">
        <v>0</v>
      </c>
      <c r="E110">
        <v>100000</v>
      </c>
      <c r="F110">
        <v>12000000</v>
      </c>
      <c r="G110">
        <v>100000</v>
      </c>
      <c r="H110">
        <v>-300.30416051017659</v>
      </c>
      <c r="I110">
        <v>-4.257100496975694E-4</v>
      </c>
      <c r="J110">
        <v>-3.4756363728800552E-4</v>
      </c>
      <c r="K110">
        <v>-1.1623435903070523E-4</v>
      </c>
      <c r="L110">
        <v>-100.30030416051018</v>
      </c>
      <c r="M110">
        <v>0</v>
      </c>
      <c r="O110" t="s">
        <v>350</v>
      </c>
    </row>
    <row r="111" spans="1:15" x14ac:dyDescent="0.15">
      <c r="A111">
        <v>231</v>
      </c>
      <c r="B111" t="s">
        <v>361</v>
      </c>
      <c r="C111" t="s">
        <v>349</v>
      </c>
      <c r="D111">
        <v>0</v>
      </c>
      <c r="E111">
        <v>100000</v>
      </c>
      <c r="F111">
        <v>12000000</v>
      </c>
      <c r="G111">
        <v>12000000</v>
      </c>
      <c r="H111">
        <v>55740881115875.258</v>
      </c>
      <c r="I111">
        <v>0.38712109584459847</v>
      </c>
      <c r="J111">
        <v>0.38719924225700803</v>
      </c>
      <c r="K111">
        <v>21574811.275686417</v>
      </c>
      <c r="L111">
        <v>464507242.63229382</v>
      </c>
      <c r="M111">
        <v>0</v>
      </c>
      <c r="O111" t="s">
        <v>351</v>
      </c>
    </row>
    <row r="112" spans="1:15" x14ac:dyDescent="0.15">
      <c r="A112">
        <v>231</v>
      </c>
      <c r="B112" t="s">
        <v>361</v>
      </c>
      <c r="C112" t="s">
        <v>352</v>
      </c>
      <c r="D112">
        <v>1</v>
      </c>
      <c r="E112">
        <v>100000</v>
      </c>
      <c r="F112">
        <v>12000000</v>
      </c>
      <c r="G112">
        <v>6050000</v>
      </c>
      <c r="H112">
        <v>662889510718.57275</v>
      </c>
      <c r="I112">
        <v>1.0096413244044533E-2</v>
      </c>
      <c r="J112">
        <v>1.0174559656454097E-2</v>
      </c>
      <c r="K112">
        <v>256574.99135427413</v>
      </c>
      <c r="L112">
        <v>10956751.416835913</v>
      </c>
      <c r="M112">
        <v>0</v>
      </c>
    </row>
    <row r="113" spans="1:13" x14ac:dyDescent="0.15">
      <c r="A113">
        <v>231</v>
      </c>
      <c r="B113" t="s">
        <v>361</v>
      </c>
      <c r="C113" t="s">
        <v>352</v>
      </c>
      <c r="D113">
        <v>2</v>
      </c>
      <c r="E113">
        <v>100000</v>
      </c>
      <c r="F113">
        <v>6050000</v>
      </c>
      <c r="G113">
        <v>3075000</v>
      </c>
      <c r="H113">
        <v>5530246844.9510612</v>
      </c>
      <c r="I113">
        <v>2.359230751054038E-4</v>
      </c>
      <c r="J113">
        <v>3.1406948751496768E-4</v>
      </c>
      <c r="K113">
        <v>2140.5121268131193</v>
      </c>
      <c r="L113">
        <v>179745.42585206704</v>
      </c>
      <c r="M113">
        <v>0</v>
      </c>
    </row>
    <row r="114" spans="1:13" x14ac:dyDescent="0.15">
      <c r="A114">
        <v>231</v>
      </c>
      <c r="B114" t="s">
        <v>361</v>
      </c>
      <c r="C114" t="s">
        <v>352</v>
      </c>
      <c r="D114">
        <v>3</v>
      </c>
      <c r="E114">
        <v>100000</v>
      </c>
      <c r="F114">
        <v>3075000</v>
      </c>
      <c r="G114">
        <v>1587500</v>
      </c>
      <c r="H114">
        <v>83814.575241436221</v>
      </c>
      <c r="I114">
        <v>-7.2592573897102149E-5</v>
      </c>
      <c r="J114">
        <v>5.5538385124617414E-6</v>
      </c>
      <c r="K114">
        <v>3.2440887312611896E-2</v>
      </c>
      <c r="L114">
        <v>-94.720341717074888</v>
      </c>
      <c r="M114">
        <v>0</v>
      </c>
    </row>
    <row r="115" spans="1:13" x14ac:dyDescent="0.15">
      <c r="A115">
        <v>231</v>
      </c>
      <c r="B115" t="s">
        <v>361</v>
      </c>
      <c r="C115" t="s">
        <v>352</v>
      </c>
      <c r="D115">
        <v>4</v>
      </c>
      <c r="E115">
        <v>1587500</v>
      </c>
      <c r="F115">
        <v>3075000</v>
      </c>
      <c r="G115">
        <v>2331250</v>
      </c>
      <c r="H115">
        <v>-38228988.31921307</v>
      </c>
      <c r="I115">
        <v>-3.5531677535599174E-5</v>
      </c>
      <c r="J115">
        <v>4.2614734873964716E-5</v>
      </c>
      <c r="K115">
        <v>-14.796737901090346</v>
      </c>
      <c r="L115">
        <v>-1739.8493648992201</v>
      </c>
      <c r="M115">
        <v>0</v>
      </c>
    </row>
    <row r="116" spans="1:13" x14ac:dyDescent="0.15">
      <c r="A116">
        <v>231</v>
      </c>
      <c r="B116" t="s">
        <v>361</v>
      </c>
      <c r="C116" t="s">
        <v>352</v>
      </c>
      <c r="D116">
        <v>5</v>
      </c>
      <c r="E116">
        <v>2331250</v>
      </c>
      <c r="F116">
        <v>3075000</v>
      </c>
      <c r="G116">
        <v>2703125</v>
      </c>
      <c r="H116">
        <v>857824588.0026772</v>
      </c>
      <c r="I116">
        <v>5.3748497706133483E-5</v>
      </c>
      <c r="J116">
        <v>1.3189491011569737E-4</v>
      </c>
      <c r="K116">
        <v>332.02567349675826</v>
      </c>
      <c r="L116">
        <v>31634.551232468984</v>
      </c>
      <c r="M116">
        <v>0</v>
      </c>
    </row>
    <row r="117" spans="1:13" x14ac:dyDescent="0.15">
      <c r="A117">
        <v>231</v>
      </c>
      <c r="B117" t="s">
        <v>361</v>
      </c>
      <c r="C117" t="s">
        <v>352</v>
      </c>
      <c r="D117">
        <v>6</v>
      </c>
      <c r="E117">
        <v>2331250</v>
      </c>
      <c r="F117">
        <v>2703125</v>
      </c>
      <c r="G117">
        <v>2517187.5</v>
      </c>
      <c r="H117">
        <v>-1173346.2384796487</v>
      </c>
      <c r="I117">
        <v>-1.0334156108602363E-7</v>
      </c>
      <c r="J117">
        <v>7.8043070848477866E-5</v>
      </c>
      <c r="K117">
        <v>-0.45415004480482135</v>
      </c>
      <c r="L117">
        <v>-146.61338253426288</v>
      </c>
      <c r="M117">
        <v>0</v>
      </c>
    </row>
    <row r="118" spans="1:13" x14ac:dyDescent="0.15">
      <c r="A118">
        <v>231</v>
      </c>
      <c r="B118" t="s">
        <v>361</v>
      </c>
      <c r="C118" t="s">
        <v>352</v>
      </c>
      <c r="D118">
        <v>7</v>
      </c>
      <c r="E118">
        <v>2517187.5</v>
      </c>
      <c r="F118">
        <v>2703125</v>
      </c>
      <c r="G118">
        <v>2610156.25</v>
      </c>
      <c r="H118">
        <v>334002110.71218246</v>
      </c>
      <c r="I118">
        <v>2.4223169298096309E-5</v>
      </c>
      <c r="J118">
        <v>1.023695817076602E-4</v>
      </c>
      <c r="K118">
        <v>129.27733397891959</v>
      </c>
      <c r="L118">
        <v>12696.249677090498</v>
      </c>
      <c r="M118">
        <v>0</v>
      </c>
    </row>
    <row r="119" spans="1:13" x14ac:dyDescent="0.15">
      <c r="A119">
        <v>231</v>
      </c>
      <c r="B119" t="s">
        <v>361</v>
      </c>
      <c r="C119" t="s">
        <v>352</v>
      </c>
      <c r="D119">
        <v>8</v>
      </c>
      <c r="E119">
        <v>2517187.5</v>
      </c>
      <c r="F119">
        <v>2610156.25</v>
      </c>
      <c r="G119">
        <v>2563671.875</v>
      </c>
      <c r="H119">
        <v>144400408.47276333</v>
      </c>
      <c r="I119">
        <v>1.1447303881045924E-5</v>
      </c>
      <c r="J119">
        <v>8.9593716290609814E-5</v>
      </c>
      <c r="K119">
        <v>55.890963661939949</v>
      </c>
      <c r="L119">
        <v>5532.5620248403802</v>
      </c>
      <c r="M119">
        <v>0</v>
      </c>
    </row>
    <row r="120" spans="1:13" x14ac:dyDescent="0.15">
      <c r="A120">
        <v>231</v>
      </c>
      <c r="B120" t="s">
        <v>361</v>
      </c>
      <c r="C120" t="s">
        <v>352</v>
      </c>
      <c r="D120">
        <v>9</v>
      </c>
      <c r="E120">
        <v>2517187.5</v>
      </c>
      <c r="F120">
        <v>2563671.875</v>
      </c>
      <c r="G120">
        <v>2540429.6875</v>
      </c>
      <c r="H120">
        <v>66274381.008065529</v>
      </c>
      <c r="I120">
        <v>5.5242841594620569E-6</v>
      </c>
      <c r="J120">
        <v>8.3670696569025947E-5</v>
      </c>
      <c r="K120">
        <v>25.651859712973216</v>
      </c>
      <c r="L120">
        <v>2508.7862747850813</v>
      </c>
      <c r="M120">
        <v>0</v>
      </c>
    </row>
    <row r="121" spans="1:13" x14ac:dyDescent="0.15">
      <c r="A121">
        <v>231</v>
      </c>
      <c r="B121" t="s">
        <v>361</v>
      </c>
      <c r="C121" t="s">
        <v>352</v>
      </c>
      <c r="D121">
        <v>10</v>
      </c>
      <c r="E121">
        <v>2517187.5</v>
      </c>
      <c r="F121">
        <v>2540429.6875</v>
      </c>
      <c r="G121">
        <v>2528808.59375</v>
      </c>
      <c r="H121">
        <v>31227310.228333712</v>
      </c>
      <c r="I121">
        <v>2.6738179992830753E-6</v>
      </c>
      <c r="J121">
        <v>8.0820230408846965E-5</v>
      </c>
      <c r="K121">
        <v>12.08670030570673</v>
      </c>
      <c r="L121">
        <v>1134.8625477433372</v>
      </c>
      <c r="M121">
        <v>0</v>
      </c>
    </row>
    <row r="122" spans="1:13" x14ac:dyDescent="0.15">
      <c r="A122">
        <v>231</v>
      </c>
      <c r="B122" t="s">
        <v>361</v>
      </c>
      <c r="C122" t="s">
        <v>352</v>
      </c>
      <c r="D122">
        <v>11</v>
      </c>
      <c r="E122">
        <v>2517187.5</v>
      </c>
      <c r="F122">
        <v>2528808.59375</v>
      </c>
      <c r="G122">
        <v>2522998.046875</v>
      </c>
      <c r="H122">
        <v>14697965.843409002</v>
      </c>
      <c r="I122">
        <v>1.2761542371388139E-6</v>
      </c>
      <c r="J122">
        <v>7.9422566646702704E-5</v>
      </c>
      <c r="K122">
        <v>5.68892763910259</v>
      </c>
      <c r="L122">
        <v>482.55954108303757</v>
      </c>
      <c r="M122">
        <v>0</v>
      </c>
    </row>
    <row r="123" spans="1:13" x14ac:dyDescent="0.15">
      <c r="A123">
        <v>231</v>
      </c>
      <c r="B123" t="s">
        <v>361</v>
      </c>
      <c r="C123" t="s">
        <v>352</v>
      </c>
      <c r="D123">
        <v>12</v>
      </c>
      <c r="E123">
        <v>2517187.5</v>
      </c>
      <c r="F123">
        <v>2522998.046875</v>
      </c>
      <c r="G123">
        <v>2520092.7734375</v>
      </c>
      <c r="H123">
        <v>6680193.1378530599</v>
      </c>
      <c r="I123">
        <v>5.8413954299767407E-7</v>
      </c>
      <c r="J123">
        <v>7.8730551952561564E-5</v>
      </c>
      <c r="K123">
        <v>2.5856050953824639</v>
      </c>
      <c r="L123">
        <v>165.07727049830109</v>
      </c>
      <c r="M123">
        <v>0</v>
      </c>
    </row>
    <row r="124" spans="1:13" x14ac:dyDescent="0.15">
      <c r="A124">
        <v>231</v>
      </c>
      <c r="B124" t="s">
        <v>361</v>
      </c>
      <c r="C124" t="s">
        <v>352</v>
      </c>
      <c r="D124">
        <v>13</v>
      </c>
      <c r="E124">
        <v>2517187.5</v>
      </c>
      <c r="F124">
        <v>2520092.7734375</v>
      </c>
      <c r="G124">
        <v>2518640.13671875</v>
      </c>
      <c r="H124">
        <v>2732946.9306490389</v>
      </c>
      <c r="I124">
        <v>2.3983600330772714E-7</v>
      </c>
      <c r="J124">
        <v>7.8386248412871617E-5</v>
      </c>
      <c r="K124">
        <v>1.0578019771995781</v>
      </c>
      <c r="L124">
        <v>8.5088294594353933</v>
      </c>
      <c r="M124">
        <v>0</v>
      </c>
    </row>
    <row r="125" spans="1:13" x14ac:dyDescent="0.15">
      <c r="A125">
        <v>231</v>
      </c>
      <c r="B125" t="s">
        <v>361</v>
      </c>
      <c r="C125" t="s">
        <v>352</v>
      </c>
      <c r="D125">
        <v>14</v>
      </c>
      <c r="E125">
        <v>2517187.5</v>
      </c>
      <c r="F125">
        <v>2518640.13671875</v>
      </c>
      <c r="G125">
        <v>2517913.818359375</v>
      </c>
      <c r="H125">
        <v>774678.85178651114</v>
      </c>
      <c r="I125">
        <v>6.8106167460307626E-8</v>
      </c>
      <c r="J125">
        <v>7.8214518577024198E-5</v>
      </c>
      <c r="K125">
        <v>0.29984366396747419</v>
      </c>
      <c r="L125">
        <v>-69.233305519119114</v>
      </c>
      <c r="M125">
        <v>0</v>
      </c>
    </row>
    <row r="126" spans="1:13" x14ac:dyDescent="0.15">
      <c r="A126">
        <v>231</v>
      </c>
      <c r="B126" t="s">
        <v>361</v>
      </c>
      <c r="C126" t="s">
        <v>352</v>
      </c>
      <c r="D126">
        <v>15</v>
      </c>
      <c r="E126">
        <v>2517913.818359375</v>
      </c>
      <c r="F126">
        <v>2518640.13671875</v>
      </c>
      <c r="G126">
        <v>2518276.9775390625</v>
      </c>
      <c r="H126">
        <v>1752600.0656595447</v>
      </c>
      <c r="I126">
        <v>1.5394175817797558E-7</v>
      </c>
      <c r="J126">
        <v>7.8300354167741866E-5</v>
      </c>
      <c r="K126">
        <v>0.67835338985323768</v>
      </c>
      <c r="L126">
        <v>-30.404793384870665</v>
      </c>
      <c r="M126">
        <v>0</v>
      </c>
    </row>
    <row r="127" spans="1:13" x14ac:dyDescent="0.15">
      <c r="A127">
        <v>231</v>
      </c>
      <c r="B127" t="s">
        <v>361</v>
      </c>
      <c r="C127" t="s">
        <v>352</v>
      </c>
      <c r="D127">
        <v>16</v>
      </c>
      <c r="E127">
        <v>2518276.9775390625</v>
      </c>
      <c r="F127">
        <v>2518640.13671875</v>
      </c>
      <c r="G127">
        <v>2518458.5571289063</v>
      </c>
      <c r="H127">
        <v>2242419.3317597401</v>
      </c>
      <c r="I127">
        <v>1.9687708161950036E-7</v>
      </c>
      <c r="J127">
        <v>7.834328949118339E-5</v>
      </c>
      <c r="K127">
        <v>0.86794060149667174</v>
      </c>
      <c r="L127">
        <v>-10.960641960448077</v>
      </c>
      <c r="M127">
        <v>0</v>
      </c>
    </row>
    <row r="128" spans="1:13" x14ac:dyDescent="0.15">
      <c r="A128">
        <v>231</v>
      </c>
      <c r="B128" t="s">
        <v>361</v>
      </c>
      <c r="C128" t="s">
        <v>352</v>
      </c>
      <c r="D128">
        <v>17</v>
      </c>
      <c r="E128">
        <v>2518458.5571289063</v>
      </c>
      <c r="F128">
        <v>2518640.13671875</v>
      </c>
      <c r="G128">
        <v>2518549.3469238281</v>
      </c>
      <c r="H128">
        <v>2487603.0704970346</v>
      </c>
      <c r="I128">
        <v>2.1835433661456459E-7</v>
      </c>
      <c r="J128">
        <v>7.8364766746178455E-5</v>
      </c>
      <c r="K128">
        <v>0.96284030141579946</v>
      </c>
      <c r="L128">
        <v>-1.2287341705093655</v>
      </c>
      <c r="M128">
        <v>0</v>
      </c>
    </row>
    <row r="129" spans="1:15" x14ac:dyDescent="0.15">
      <c r="A129">
        <v>231</v>
      </c>
      <c r="B129" t="s">
        <v>361</v>
      </c>
      <c r="C129" t="s">
        <v>352</v>
      </c>
      <c r="D129">
        <v>18</v>
      </c>
      <c r="E129">
        <v>2518549.3469238281</v>
      </c>
      <c r="F129">
        <v>2518640.13671875</v>
      </c>
      <c r="G129">
        <v>2518594.7418212891</v>
      </c>
      <c r="H129">
        <v>2610323.0539586572</v>
      </c>
      <c r="I129">
        <v>2.2910057842910375E-7</v>
      </c>
      <c r="J129">
        <v>7.8375512987992994E-5</v>
      </c>
      <c r="K129">
        <v>1.0103397386320117</v>
      </c>
      <c r="L129">
        <v>3.6420433432270252</v>
      </c>
      <c r="M129">
        <v>0</v>
      </c>
    </row>
    <row r="130" spans="1:15" x14ac:dyDescent="0.15">
      <c r="A130">
        <v>231</v>
      </c>
      <c r="B130" t="s">
        <v>361</v>
      </c>
      <c r="C130" t="s">
        <v>352</v>
      </c>
      <c r="D130">
        <v>19</v>
      </c>
      <c r="E130">
        <v>2518549.3469238281</v>
      </c>
      <c r="F130">
        <v>2518594.7418212891</v>
      </c>
      <c r="G130">
        <v>2518572.0443725586</v>
      </c>
      <c r="H130">
        <v>2548924.0236816951</v>
      </c>
      <c r="I130">
        <v>2.2372433966574964E-7</v>
      </c>
      <c r="J130">
        <v>7.837013674922964E-5</v>
      </c>
      <c r="K130">
        <v>0.98657490994224162</v>
      </c>
      <c r="L130">
        <v>1.2051265071791097</v>
      </c>
      <c r="M130">
        <v>0</v>
      </c>
    </row>
    <row r="131" spans="1:15" x14ac:dyDescent="0.15">
      <c r="A131">
        <v>231</v>
      </c>
      <c r="B131" t="s">
        <v>361</v>
      </c>
      <c r="C131" t="s">
        <v>352</v>
      </c>
      <c r="D131">
        <v>20</v>
      </c>
      <c r="E131">
        <v>2518549.3469238281</v>
      </c>
      <c r="F131">
        <v>2518572.0443725586</v>
      </c>
      <c r="G131">
        <v>2518560.6956481934</v>
      </c>
      <c r="H131">
        <v>2518330.3461123421</v>
      </c>
      <c r="I131">
        <v>2.2104526295092255E-7</v>
      </c>
      <c r="J131">
        <v>7.8367457672514813E-5</v>
      </c>
      <c r="K131">
        <v>0.9747334606042618</v>
      </c>
      <c r="L131">
        <v>-9.146078403005865E-3</v>
      </c>
      <c r="M131">
        <v>0</v>
      </c>
    </row>
    <row r="132" spans="1:15" x14ac:dyDescent="0.15">
      <c r="A132">
        <v>231</v>
      </c>
      <c r="B132" t="s">
        <v>361</v>
      </c>
      <c r="C132" t="s">
        <v>353</v>
      </c>
      <c r="D132">
        <v>20</v>
      </c>
      <c r="E132">
        <v>2518549.3469238281</v>
      </c>
      <c r="F132">
        <v>2518572.0443725586</v>
      </c>
      <c r="G132">
        <v>2518560.6956481934</v>
      </c>
      <c r="H132">
        <v>2518330.3461123421</v>
      </c>
      <c r="I132">
        <v>2.2104526295092255E-7</v>
      </c>
      <c r="J132">
        <v>7.8367457672514813E-5</v>
      </c>
      <c r="K132">
        <v>0.9747334606042618</v>
      </c>
      <c r="L132">
        <v>-9.146078403005865E-3</v>
      </c>
      <c r="M132">
        <v>0</v>
      </c>
      <c r="N132" t="s">
        <v>354</v>
      </c>
      <c r="O132" t="s">
        <v>355</v>
      </c>
    </row>
    <row r="133" spans="1:15" x14ac:dyDescent="0.15">
      <c r="A133">
        <v>232</v>
      </c>
      <c r="B133" t="s">
        <v>362</v>
      </c>
      <c r="C133" t="s">
        <v>349</v>
      </c>
      <c r="D133">
        <v>0</v>
      </c>
      <c r="E133">
        <v>100000</v>
      </c>
      <c r="F133">
        <v>12000000</v>
      </c>
      <c r="G133">
        <v>100000</v>
      </c>
      <c r="H133">
        <v>3757.2762693861146</v>
      </c>
      <c r="I133">
        <v>-3.9333322088164777E-4</v>
      </c>
      <c r="J133">
        <v>-1.6370917886452608E-4</v>
      </c>
      <c r="K133">
        <v>4.4112984681886989E-3</v>
      </c>
      <c r="L133">
        <v>-96.242723730613889</v>
      </c>
      <c r="M133">
        <v>0</v>
      </c>
      <c r="O133" t="s">
        <v>350</v>
      </c>
    </row>
    <row r="134" spans="1:15" x14ac:dyDescent="0.15">
      <c r="A134">
        <v>232</v>
      </c>
      <c r="B134" t="s">
        <v>362</v>
      </c>
      <c r="C134" t="s">
        <v>349</v>
      </c>
      <c r="D134">
        <v>0</v>
      </c>
      <c r="E134">
        <v>100000</v>
      </c>
      <c r="F134">
        <v>12000000</v>
      </c>
      <c r="G134">
        <v>12000000</v>
      </c>
      <c r="H134">
        <v>332309814544509.06</v>
      </c>
      <c r="I134">
        <v>7.3599346868368256</v>
      </c>
      <c r="J134">
        <v>7.3601643108788428</v>
      </c>
      <c r="K134">
        <v>390154375.34056383</v>
      </c>
      <c r="L134">
        <v>2769248354.5375757</v>
      </c>
      <c r="M134">
        <v>0</v>
      </c>
      <c r="O134" t="s">
        <v>351</v>
      </c>
    </row>
    <row r="135" spans="1:15" x14ac:dyDescent="0.15">
      <c r="A135">
        <v>232</v>
      </c>
      <c r="B135" t="s">
        <v>362</v>
      </c>
      <c r="C135" t="s">
        <v>352</v>
      </c>
      <c r="D135">
        <v>1</v>
      </c>
      <c r="E135">
        <v>100000</v>
      </c>
      <c r="F135">
        <v>12000000</v>
      </c>
      <c r="G135">
        <v>6050000</v>
      </c>
      <c r="H135">
        <v>126675972122854.48</v>
      </c>
      <c r="I135">
        <v>3.219782353711282</v>
      </c>
      <c r="J135">
        <v>3.2200119777532992</v>
      </c>
      <c r="K135">
        <v>148726226.58465388</v>
      </c>
      <c r="L135">
        <v>2093817621.0389171</v>
      </c>
      <c r="M135">
        <v>0</v>
      </c>
    </row>
    <row r="136" spans="1:15" x14ac:dyDescent="0.15">
      <c r="A136">
        <v>232</v>
      </c>
      <c r="B136" t="s">
        <v>362</v>
      </c>
      <c r="C136" t="s">
        <v>352</v>
      </c>
      <c r="D136">
        <v>2</v>
      </c>
      <c r="E136">
        <v>100000</v>
      </c>
      <c r="F136">
        <v>6050000</v>
      </c>
      <c r="G136">
        <v>3075000</v>
      </c>
      <c r="H136">
        <v>18934681081660.816</v>
      </c>
      <c r="I136">
        <v>0.64143943249352309</v>
      </c>
      <c r="J136">
        <v>0.64166905653554018</v>
      </c>
      <c r="K136">
        <v>22230606.338888928</v>
      </c>
      <c r="L136">
        <v>615761886.39547372</v>
      </c>
      <c r="M136">
        <v>0</v>
      </c>
    </row>
    <row r="137" spans="1:15" x14ac:dyDescent="0.15">
      <c r="A137">
        <v>232</v>
      </c>
      <c r="B137" t="s">
        <v>362</v>
      </c>
      <c r="C137" t="s">
        <v>352</v>
      </c>
      <c r="D137">
        <v>3</v>
      </c>
      <c r="E137">
        <v>100000</v>
      </c>
      <c r="F137">
        <v>3075000</v>
      </c>
      <c r="G137">
        <v>1587500</v>
      </c>
      <c r="H137">
        <v>168712757972.80545</v>
      </c>
      <c r="I137">
        <v>1.2990659625288236E-2</v>
      </c>
      <c r="J137">
        <v>1.3220283667305358E-2</v>
      </c>
      <c r="K137">
        <v>198080.27875760279</v>
      </c>
      <c r="L137">
        <v>10627475.305373572</v>
      </c>
      <c r="M137">
        <v>0</v>
      </c>
    </row>
    <row r="138" spans="1:15" x14ac:dyDescent="0.15">
      <c r="A138">
        <v>232</v>
      </c>
      <c r="B138" t="s">
        <v>362</v>
      </c>
      <c r="C138" t="s">
        <v>352</v>
      </c>
      <c r="D138">
        <v>4</v>
      </c>
      <c r="E138">
        <v>100000</v>
      </c>
      <c r="F138">
        <v>1587500</v>
      </c>
      <c r="G138">
        <v>843750</v>
      </c>
      <c r="H138">
        <v>-40637037.493332706</v>
      </c>
      <c r="I138">
        <v>-1.2908961612250689E-5</v>
      </c>
      <c r="J138">
        <v>2.1671508040487099E-4</v>
      </c>
      <c r="K138">
        <v>-47.710652183517553</v>
      </c>
      <c r="L138">
        <v>-4916.2414806912839</v>
      </c>
      <c r="M138">
        <v>0</v>
      </c>
    </row>
    <row r="139" spans="1:15" x14ac:dyDescent="0.15">
      <c r="A139">
        <v>232</v>
      </c>
      <c r="B139" t="s">
        <v>362</v>
      </c>
      <c r="C139" t="s">
        <v>352</v>
      </c>
      <c r="D139">
        <v>5</v>
      </c>
      <c r="E139">
        <v>843750</v>
      </c>
      <c r="F139">
        <v>1587500</v>
      </c>
      <c r="G139">
        <v>1215625</v>
      </c>
      <c r="H139">
        <v>20892875482.902817</v>
      </c>
      <c r="I139">
        <v>2.4402400953782749E-3</v>
      </c>
      <c r="J139">
        <v>2.6698641373953968E-3</v>
      </c>
      <c r="K139">
        <v>24529.660053143984</v>
      </c>
      <c r="L139">
        <v>1718594.1271282523</v>
      </c>
      <c r="M139">
        <v>0</v>
      </c>
    </row>
    <row r="140" spans="1:15" x14ac:dyDescent="0.15">
      <c r="A140">
        <v>232</v>
      </c>
      <c r="B140" t="s">
        <v>362</v>
      </c>
      <c r="C140" t="s">
        <v>352</v>
      </c>
      <c r="D140">
        <v>6</v>
      </c>
      <c r="E140">
        <v>843750</v>
      </c>
      <c r="F140">
        <v>1215625</v>
      </c>
      <c r="G140">
        <v>1029687.5</v>
      </c>
      <c r="H140">
        <v>4257025327.4693017</v>
      </c>
      <c r="I140">
        <v>6.9018057446143934E-4</v>
      </c>
      <c r="J140">
        <v>9.1980461647856099E-4</v>
      </c>
      <c r="K140">
        <v>4998.0379295276171</v>
      </c>
      <c r="L140">
        <v>413328.8633657592</v>
      </c>
      <c r="M140">
        <v>0</v>
      </c>
    </row>
    <row r="141" spans="1:15" x14ac:dyDescent="0.15">
      <c r="A141">
        <v>232</v>
      </c>
      <c r="B141" t="s">
        <v>362</v>
      </c>
      <c r="C141" t="s">
        <v>352</v>
      </c>
      <c r="D141">
        <v>7</v>
      </c>
      <c r="E141">
        <v>843750</v>
      </c>
      <c r="F141">
        <v>1029687.5</v>
      </c>
      <c r="G141">
        <v>936718.75</v>
      </c>
      <c r="H141">
        <v>1184431488.4572184</v>
      </c>
      <c r="I141">
        <v>2.4585599782623539E-4</v>
      </c>
      <c r="J141">
        <v>4.754800398433571E-4</v>
      </c>
      <c r="K141">
        <v>1390.603308379945</v>
      </c>
      <c r="L141">
        <v>126344.72937658378</v>
      </c>
      <c r="M141">
        <v>0</v>
      </c>
    </row>
    <row r="142" spans="1:15" x14ac:dyDescent="0.15">
      <c r="A142">
        <v>232</v>
      </c>
      <c r="B142" t="s">
        <v>362</v>
      </c>
      <c r="C142" t="s">
        <v>352</v>
      </c>
      <c r="D142">
        <v>8</v>
      </c>
      <c r="E142">
        <v>843750</v>
      </c>
      <c r="F142">
        <v>936718.75</v>
      </c>
      <c r="G142">
        <v>890234.375</v>
      </c>
      <c r="H142">
        <v>394411401.62565607</v>
      </c>
      <c r="I142">
        <v>9.7324578977810362E-5</v>
      </c>
      <c r="J142">
        <v>3.2694862099493205E-4</v>
      </c>
      <c r="K142">
        <v>463.06587194656407</v>
      </c>
      <c r="L142">
        <v>44204.220630174619</v>
      </c>
      <c r="M142">
        <v>0</v>
      </c>
    </row>
    <row r="143" spans="1:15" x14ac:dyDescent="0.15">
      <c r="A143">
        <v>232</v>
      </c>
      <c r="B143" t="s">
        <v>362</v>
      </c>
      <c r="C143" t="s">
        <v>352</v>
      </c>
      <c r="D143">
        <v>9</v>
      </c>
      <c r="E143">
        <v>843750</v>
      </c>
      <c r="F143">
        <v>890234.375</v>
      </c>
      <c r="G143">
        <v>866992.1875</v>
      </c>
      <c r="H143">
        <v>137379361.31535426</v>
      </c>
      <c r="I143">
        <v>3.7887685883710977E-5</v>
      </c>
      <c r="J143">
        <v>2.6751172790083266E-4</v>
      </c>
      <c r="K143">
        <v>161.29273513075452</v>
      </c>
      <c r="L143">
        <v>15745.513177170846</v>
      </c>
      <c r="M143">
        <v>0</v>
      </c>
    </row>
    <row r="144" spans="1:15" x14ac:dyDescent="0.15">
      <c r="A144">
        <v>232</v>
      </c>
      <c r="B144" t="s">
        <v>362</v>
      </c>
      <c r="C144" t="s">
        <v>352</v>
      </c>
      <c r="D144">
        <v>10</v>
      </c>
      <c r="E144">
        <v>843750</v>
      </c>
      <c r="F144">
        <v>866992.1875</v>
      </c>
      <c r="G144">
        <v>855371.09375</v>
      </c>
      <c r="H144">
        <v>38937230.900008507</v>
      </c>
      <c r="I144">
        <v>1.1468366974188985E-5</v>
      </c>
      <c r="J144">
        <v>2.4109240899131067E-4</v>
      </c>
      <c r="K144">
        <v>45.714963369670166</v>
      </c>
      <c r="L144">
        <v>4452.0863616404513</v>
      </c>
      <c r="M144">
        <v>0</v>
      </c>
    </row>
    <row r="145" spans="1:15" x14ac:dyDescent="0.15">
      <c r="A145">
        <v>232</v>
      </c>
      <c r="B145" t="s">
        <v>362</v>
      </c>
      <c r="C145" t="s">
        <v>352</v>
      </c>
      <c r="D145">
        <v>11</v>
      </c>
      <c r="E145">
        <v>843750</v>
      </c>
      <c r="F145">
        <v>855371.09375</v>
      </c>
      <c r="G145">
        <v>849560.546875</v>
      </c>
      <c r="H145">
        <v>-3171145.3287125081</v>
      </c>
      <c r="I145">
        <v>-9.6860190034820173E-7</v>
      </c>
      <c r="J145">
        <v>2.2865544011677348E-4</v>
      </c>
      <c r="K145">
        <v>-3.7231407881642991</v>
      </c>
      <c r="L145">
        <v>-473.26890241986416</v>
      </c>
      <c r="M145">
        <v>0</v>
      </c>
    </row>
    <row r="146" spans="1:15" x14ac:dyDescent="0.15">
      <c r="A146">
        <v>232</v>
      </c>
      <c r="B146" t="s">
        <v>362</v>
      </c>
      <c r="C146" t="s">
        <v>352</v>
      </c>
      <c r="D146">
        <v>12</v>
      </c>
      <c r="E146">
        <v>849560.546875</v>
      </c>
      <c r="F146">
        <v>855371.09375</v>
      </c>
      <c r="G146">
        <v>852465.8203125</v>
      </c>
      <c r="H146">
        <v>17302506.169145066</v>
      </c>
      <c r="I146">
        <v>5.1879712238503699E-6</v>
      </c>
      <c r="J146">
        <v>2.3481201324097205E-4</v>
      </c>
      <c r="K146">
        <v>20.314321728661653</v>
      </c>
      <c r="L146">
        <v>1929.7008697430533</v>
      </c>
      <c r="M146">
        <v>0</v>
      </c>
    </row>
    <row r="147" spans="1:15" x14ac:dyDescent="0.15">
      <c r="A147">
        <v>232</v>
      </c>
      <c r="B147" t="s">
        <v>362</v>
      </c>
      <c r="C147" t="s">
        <v>352</v>
      </c>
      <c r="D147">
        <v>13</v>
      </c>
      <c r="E147">
        <v>849560.546875</v>
      </c>
      <c r="F147">
        <v>852465.8203125</v>
      </c>
      <c r="G147">
        <v>851013.18359375</v>
      </c>
      <c r="H147">
        <v>6919945.1025217874</v>
      </c>
      <c r="I147">
        <v>2.0939887392368826E-6</v>
      </c>
      <c r="J147">
        <v>2.3171803075635857E-4</v>
      </c>
      <c r="K147">
        <v>8.1244872727157098</v>
      </c>
      <c r="L147">
        <v>713.14193903547994</v>
      </c>
      <c r="M147">
        <v>0</v>
      </c>
    </row>
    <row r="148" spans="1:15" x14ac:dyDescent="0.15">
      <c r="A148">
        <v>232</v>
      </c>
      <c r="B148" t="s">
        <v>362</v>
      </c>
      <c r="C148" t="s">
        <v>352</v>
      </c>
      <c r="D148">
        <v>14</v>
      </c>
      <c r="E148">
        <v>849560.546875</v>
      </c>
      <c r="F148">
        <v>851013.18359375</v>
      </c>
      <c r="G148">
        <v>850286.865234375</v>
      </c>
      <c r="H148">
        <v>1837981.6909534771</v>
      </c>
      <c r="I148">
        <v>5.5876879499988739E-7</v>
      </c>
      <c r="J148">
        <v>2.3018281081212157E-4</v>
      </c>
      <c r="K148">
        <v>2.1579157976548426</v>
      </c>
      <c r="L148">
        <v>116.16018853200227</v>
      </c>
      <c r="M148">
        <v>0</v>
      </c>
    </row>
    <row r="149" spans="1:15" x14ac:dyDescent="0.15">
      <c r="A149">
        <v>232</v>
      </c>
      <c r="B149" t="s">
        <v>362</v>
      </c>
      <c r="C149" t="s">
        <v>352</v>
      </c>
      <c r="D149">
        <v>15</v>
      </c>
      <c r="E149">
        <v>849560.546875</v>
      </c>
      <c r="F149">
        <v>850286.865234375</v>
      </c>
      <c r="G149">
        <v>849923.7060546875</v>
      </c>
      <c r="H149">
        <v>-675604.47959987505</v>
      </c>
      <c r="I149">
        <v>-2.0587336617452199E-7</v>
      </c>
      <c r="J149">
        <v>2.2941816865094716E-4</v>
      </c>
      <c r="K149">
        <v>-0.79320571400177864</v>
      </c>
      <c r="L149">
        <v>-179.49001478450396</v>
      </c>
      <c r="M149">
        <v>0</v>
      </c>
    </row>
    <row r="150" spans="1:15" x14ac:dyDescent="0.15">
      <c r="A150">
        <v>232</v>
      </c>
      <c r="B150" t="s">
        <v>362</v>
      </c>
      <c r="C150" t="s">
        <v>352</v>
      </c>
      <c r="D150">
        <v>16</v>
      </c>
      <c r="E150">
        <v>849923.7060546875</v>
      </c>
      <c r="F150">
        <v>850286.865234375</v>
      </c>
      <c r="G150">
        <v>850105.28564453125</v>
      </c>
      <c r="H150">
        <v>578883.31376165897</v>
      </c>
      <c r="I150">
        <v>1.7619344739932749E-7</v>
      </c>
      <c r="J150">
        <v>2.2980023546452101E-4</v>
      </c>
      <c r="K150">
        <v>0.67964847196983746</v>
      </c>
      <c r="L150">
        <v>-31.904515412727697</v>
      </c>
      <c r="M150">
        <v>0</v>
      </c>
    </row>
    <row r="151" spans="1:15" x14ac:dyDescent="0.15">
      <c r="A151">
        <v>232</v>
      </c>
      <c r="B151" t="s">
        <v>362</v>
      </c>
      <c r="C151" t="s">
        <v>352</v>
      </c>
      <c r="D151">
        <v>17</v>
      </c>
      <c r="E151">
        <v>850105.28564453125</v>
      </c>
      <c r="F151">
        <v>850286.865234375</v>
      </c>
      <c r="G151">
        <v>850196.07543945313</v>
      </c>
      <c r="H151">
        <v>1207864.1903691674</v>
      </c>
      <c r="I151">
        <v>3.6742000611466371E-7</v>
      </c>
      <c r="J151">
        <v>2.2999146202323635E-4</v>
      </c>
      <c r="K151">
        <v>1.4181148977969755</v>
      </c>
      <c r="L151">
        <v>42.068897429906528</v>
      </c>
      <c r="M151">
        <v>0</v>
      </c>
    </row>
    <row r="152" spans="1:15" x14ac:dyDescent="0.15">
      <c r="A152">
        <v>232</v>
      </c>
      <c r="B152" t="s">
        <v>362</v>
      </c>
      <c r="C152" t="s">
        <v>352</v>
      </c>
      <c r="D152">
        <v>18</v>
      </c>
      <c r="E152">
        <v>850105.28564453125</v>
      </c>
      <c r="F152">
        <v>850196.07543945313</v>
      </c>
      <c r="G152">
        <v>850150.68054199219</v>
      </c>
      <c r="H152">
        <v>893297.01420604833</v>
      </c>
      <c r="I152">
        <v>2.7181131195900534E-7</v>
      </c>
      <c r="J152">
        <v>2.2989585332908069E-4</v>
      </c>
      <c r="K152">
        <v>1.0487915894054065</v>
      </c>
      <c r="L152">
        <v>5.0751395783803037</v>
      </c>
      <c r="M152">
        <v>0</v>
      </c>
    </row>
    <row r="153" spans="1:15" x14ac:dyDescent="0.15">
      <c r="A153">
        <v>232</v>
      </c>
      <c r="B153" t="s">
        <v>362</v>
      </c>
      <c r="C153" t="s">
        <v>352</v>
      </c>
      <c r="D153">
        <v>19</v>
      </c>
      <c r="E153">
        <v>850105.28564453125</v>
      </c>
      <c r="F153">
        <v>850150.68054199219</v>
      </c>
      <c r="G153">
        <v>850127.98309326172</v>
      </c>
      <c r="H153">
        <v>736087.2786748471</v>
      </c>
      <c r="I153">
        <v>2.2400848700577917E-7</v>
      </c>
      <c r="J153">
        <v>2.2984805050412746E-4</v>
      </c>
      <c r="K153">
        <v>0.86421664313816116</v>
      </c>
      <c r="L153">
        <v>-13.414533656858111</v>
      </c>
      <c r="M153">
        <v>0</v>
      </c>
    </row>
    <row r="154" spans="1:15" x14ac:dyDescent="0.15">
      <c r="A154">
        <v>232</v>
      </c>
      <c r="B154" t="s">
        <v>362</v>
      </c>
      <c r="C154" t="s">
        <v>352</v>
      </c>
      <c r="D154">
        <v>20</v>
      </c>
      <c r="E154">
        <v>850127.98309326172</v>
      </c>
      <c r="F154">
        <v>850150.68054199219</v>
      </c>
      <c r="G154">
        <v>850139.33181762695</v>
      </c>
      <c r="H154">
        <v>814617.95865326747</v>
      </c>
      <c r="I154">
        <v>2.4788908626791843E-7</v>
      </c>
      <c r="J154">
        <v>2.298719311033896E-4</v>
      </c>
      <c r="K154">
        <v>0.95641701475236329</v>
      </c>
      <c r="L154">
        <v>-4.1783001720922108</v>
      </c>
      <c r="M154">
        <v>0</v>
      </c>
    </row>
    <row r="155" spans="1:15" x14ac:dyDescent="0.15">
      <c r="A155">
        <v>232</v>
      </c>
      <c r="B155" t="s">
        <v>362</v>
      </c>
      <c r="C155" t="s">
        <v>352</v>
      </c>
      <c r="D155">
        <v>21</v>
      </c>
      <c r="E155">
        <v>850139.33181762695</v>
      </c>
      <c r="F155">
        <v>850150.68054199219</v>
      </c>
      <c r="G155">
        <v>850145.00617980957</v>
      </c>
      <c r="H155">
        <v>853922.60365851759</v>
      </c>
      <c r="I155">
        <v>2.5984003002124971E-7</v>
      </c>
      <c r="J155">
        <v>2.2988388204714293E-4</v>
      </c>
      <c r="K155">
        <v>1.0025633473276596</v>
      </c>
      <c r="L155">
        <v>0.44434742911482095</v>
      </c>
      <c r="M155">
        <v>0</v>
      </c>
    </row>
    <row r="156" spans="1:15" x14ac:dyDescent="0.15">
      <c r="A156">
        <v>232</v>
      </c>
      <c r="B156" t="s">
        <v>362</v>
      </c>
      <c r="C156" t="s">
        <v>353</v>
      </c>
      <c r="D156">
        <v>21</v>
      </c>
      <c r="E156">
        <v>850139.33181762695</v>
      </c>
      <c r="F156">
        <v>850150.68054199219</v>
      </c>
      <c r="G156">
        <v>850145.00617980957</v>
      </c>
      <c r="H156">
        <v>853922.60365851759</v>
      </c>
      <c r="I156">
        <v>2.5984003002124971E-7</v>
      </c>
      <c r="J156">
        <v>2.2988388204714293E-4</v>
      </c>
      <c r="K156">
        <v>1.0025633473276596</v>
      </c>
      <c r="L156">
        <v>0.44434742911482095</v>
      </c>
      <c r="M156">
        <v>0</v>
      </c>
      <c r="N156" t="s">
        <v>354</v>
      </c>
      <c r="O156" t="s">
        <v>355</v>
      </c>
    </row>
    <row r="157" spans="1:15" x14ac:dyDescent="0.15">
      <c r="A157">
        <v>233</v>
      </c>
      <c r="B157" t="s">
        <v>363</v>
      </c>
      <c r="C157" t="s">
        <v>349</v>
      </c>
      <c r="D157">
        <v>0</v>
      </c>
      <c r="E157">
        <v>100000</v>
      </c>
      <c r="F157">
        <v>12000000</v>
      </c>
      <c r="G157">
        <v>100000</v>
      </c>
      <c r="H157">
        <v>-8.1447259938140224</v>
      </c>
      <c r="I157">
        <v>-1.5685167381352335E-4</v>
      </c>
      <c r="J157">
        <v>-1.5462533897838803E-4</v>
      </c>
      <c r="K157">
        <v>-1.2594464162230852E-6</v>
      </c>
      <c r="L157">
        <v>-100.00814472599382</v>
      </c>
      <c r="M157">
        <v>0</v>
      </c>
      <c r="O157" t="s">
        <v>350</v>
      </c>
    </row>
    <row r="158" spans="1:15" x14ac:dyDescent="0.15">
      <c r="A158">
        <v>233</v>
      </c>
      <c r="B158" t="s">
        <v>363</v>
      </c>
      <c r="C158" t="s">
        <v>349</v>
      </c>
      <c r="D158">
        <v>0</v>
      </c>
      <c r="E158">
        <v>100000</v>
      </c>
      <c r="F158">
        <v>12000000</v>
      </c>
      <c r="G158">
        <v>12000000</v>
      </c>
      <c r="H158">
        <v>83126490915699.938</v>
      </c>
      <c r="I158">
        <v>5.0459487489159655E-3</v>
      </c>
      <c r="J158">
        <v>5.0481750837511009E-3</v>
      </c>
      <c r="K158">
        <v>12854129.304840272</v>
      </c>
      <c r="L158">
        <v>692720657.63083279</v>
      </c>
      <c r="M158">
        <v>0</v>
      </c>
      <c r="O158" t="s">
        <v>351</v>
      </c>
    </row>
    <row r="159" spans="1:15" x14ac:dyDescent="0.15">
      <c r="A159">
        <v>233</v>
      </c>
      <c r="B159" t="s">
        <v>363</v>
      </c>
      <c r="C159" t="s">
        <v>352</v>
      </c>
      <c r="D159">
        <v>1</v>
      </c>
      <c r="E159">
        <v>100000</v>
      </c>
      <c r="F159">
        <v>12000000</v>
      </c>
      <c r="G159">
        <v>6050000</v>
      </c>
      <c r="H159">
        <v>334036494119.33429</v>
      </c>
      <c r="I159">
        <v>6.9095984254249164E-5</v>
      </c>
      <c r="J159">
        <v>7.1322319089384478E-5</v>
      </c>
      <c r="K159">
        <v>51653.18829950138</v>
      </c>
      <c r="L159">
        <v>5521164.3656088309</v>
      </c>
      <c r="M159">
        <v>0</v>
      </c>
    </row>
    <row r="160" spans="1:15" x14ac:dyDescent="0.15">
      <c r="A160">
        <v>233</v>
      </c>
      <c r="B160" t="s">
        <v>363</v>
      </c>
      <c r="C160" t="s">
        <v>352</v>
      </c>
      <c r="D160">
        <v>2</v>
      </c>
      <c r="E160">
        <v>100000</v>
      </c>
      <c r="F160">
        <v>6050000</v>
      </c>
      <c r="G160">
        <v>3075000</v>
      </c>
      <c r="H160">
        <v>-578707.38587478944</v>
      </c>
      <c r="I160">
        <v>-1.8364198404557519E-6</v>
      </c>
      <c r="J160">
        <v>3.8991499467955991E-7</v>
      </c>
      <c r="K160">
        <v>-8.9487472474261393E-2</v>
      </c>
      <c r="L160">
        <v>-118.81975238617201</v>
      </c>
      <c r="M160">
        <v>0</v>
      </c>
    </row>
    <row r="161" spans="1:15" x14ac:dyDescent="0.15">
      <c r="A161">
        <v>233</v>
      </c>
      <c r="B161" t="s">
        <v>363</v>
      </c>
      <c r="C161" t="s">
        <v>352</v>
      </c>
      <c r="D161">
        <v>3</v>
      </c>
      <c r="E161">
        <v>3075000</v>
      </c>
      <c r="F161">
        <v>6050000</v>
      </c>
      <c r="G161">
        <v>4562500</v>
      </c>
      <c r="H161">
        <v>4168892263.7218776</v>
      </c>
      <c r="I161">
        <v>3.062373455673077E-6</v>
      </c>
      <c r="J161">
        <v>5.2887082908083888E-6</v>
      </c>
      <c r="K161">
        <v>644.64985380139899</v>
      </c>
      <c r="L161">
        <v>91272.981122671292</v>
      </c>
      <c r="M161">
        <v>0</v>
      </c>
    </row>
    <row r="162" spans="1:15" x14ac:dyDescent="0.15">
      <c r="A162">
        <v>233</v>
      </c>
      <c r="B162" t="s">
        <v>363</v>
      </c>
      <c r="C162" t="s">
        <v>352</v>
      </c>
      <c r="D162">
        <v>4</v>
      </c>
      <c r="E162">
        <v>3075000</v>
      </c>
      <c r="F162">
        <v>4562500</v>
      </c>
      <c r="G162">
        <v>3818750</v>
      </c>
      <c r="H162">
        <v>-34450120.841866292</v>
      </c>
      <c r="I162">
        <v>-3.8430958577619983E-7</v>
      </c>
      <c r="J162">
        <v>1.842025249359112E-6</v>
      </c>
      <c r="K162">
        <v>-5.327138232236944</v>
      </c>
      <c r="L162">
        <v>-1002.1308240095919</v>
      </c>
      <c r="M162">
        <v>0</v>
      </c>
    </row>
    <row r="163" spans="1:15" x14ac:dyDescent="0.15">
      <c r="A163">
        <v>233</v>
      </c>
      <c r="B163" t="s">
        <v>363</v>
      </c>
      <c r="C163" t="s">
        <v>352</v>
      </c>
      <c r="D163">
        <v>5</v>
      </c>
      <c r="E163">
        <v>3818750</v>
      </c>
      <c r="F163">
        <v>4562500</v>
      </c>
      <c r="G163">
        <v>4190625</v>
      </c>
      <c r="H163">
        <v>514778306.92056465</v>
      </c>
      <c r="I163">
        <v>9.1163645887505724E-7</v>
      </c>
      <c r="J163">
        <v>3.1379712940103691E-6</v>
      </c>
      <c r="K163">
        <v>79.601903648190017</v>
      </c>
      <c r="L163">
        <v>12184.046101012729</v>
      </c>
      <c r="M163">
        <v>0</v>
      </c>
    </row>
    <row r="164" spans="1:15" x14ac:dyDescent="0.15">
      <c r="A164">
        <v>233</v>
      </c>
      <c r="B164" t="s">
        <v>363</v>
      </c>
      <c r="C164" t="s">
        <v>352</v>
      </c>
      <c r="D164">
        <v>6</v>
      </c>
      <c r="E164">
        <v>3818750</v>
      </c>
      <c r="F164">
        <v>4190625</v>
      </c>
      <c r="G164">
        <v>4004687.5</v>
      </c>
      <c r="H164">
        <v>59351443.872754283</v>
      </c>
      <c r="I164">
        <v>2.0395510059923795E-7</v>
      </c>
      <c r="J164">
        <v>2.4302899357345498E-6</v>
      </c>
      <c r="K164">
        <v>9.1777136934967611</v>
      </c>
      <c r="L164">
        <v>1382.0493202716636</v>
      </c>
      <c r="M164">
        <v>0</v>
      </c>
    </row>
    <row r="165" spans="1:15" x14ac:dyDescent="0.15">
      <c r="A165">
        <v>233</v>
      </c>
      <c r="B165" t="s">
        <v>363</v>
      </c>
      <c r="C165" t="s">
        <v>352</v>
      </c>
      <c r="D165">
        <v>7</v>
      </c>
      <c r="E165">
        <v>3818750</v>
      </c>
      <c r="F165">
        <v>4004687.5</v>
      </c>
      <c r="G165">
        <v>3911718.75</v>
      </c>
      <c r="H165">
        <v>-18687555.970251061</v>
      </c>
      <c r="I165">
        <v>-1.0448024088326893E-7</v>
      </c>
      <c r="J165">
        <v>2.1218545942520429E-6</v>
      </c>
      <c r="K165">
        <v>-2.8897197293778527</v>
      </c>
      <c r="L165">
        <v>-577.73260718836343</v>
      </c>
      <c r="M165">
        <v>0</v>
      </c>
    </row>
    <row r="166" spans="1:15" x14ac:dyDescent="0.15">
      <c r="A166">
        <v>233</v>
      </c>
      <c r="B166" t="s">
        <v>363</v>
      </c>
      <c r="C166" t="s">
        <v>352</v>
      </c>
      <c r="D166">
        <v>8</v>
      </c>
      <c r="E166">
        <v>3911718.75</v>
      </c>
      <c r="F166">
        <v>4004687.5</v>
      </c>
      <c r="G166">
        <v>3958203.125</v>
      </c>
      <c r="H166">
        <v>10709060.451692702</v>
      </c>
      <c r="I166">
        <v>4.606710654081378E-8</v>
      </c>
      <c r="J166">
        <v>2.2724019416761256E-6</v>
      </c>
      <c r="K166">
        <v>1.6559780914968276</v>
      </c>
      <c r="L166">
        <v>170.55358488437105</v>
      </c>
      <c r="M166">
        <v>0</v>
      </c>
    </row>
    <row r="167" spans="1:15" x14ac:dyDescent="0.15">
      <c r="A167">
        <v>233</v>
      </c>
      <c r="B167" t="s">
        <v>363</v>
      </c>
      <c r="C167" t="s">
        <v>352</v>
      </c>
      <c r="D167">
        <v>9</v>
      </c>
      <c r="E167">
        <v>3911718.75</v>
      </c>
      <c r="F167">
        <v>3958203.125</v>
      </c>
      <c r="G167">
        <v>3934960.9375</v>
      </c>
      <c r="H167">
        <v>-6173905.7324593784</v>
      </c>
      <c r="I167">
        <v>-3.0115260990336753E-8</v>
      </c>
      <c r="J167">
        <v>2.1962195741449751E-6</v>
      </c>
      <c r="K167">
        <v>-0.95469184043156619</v>
      </c>
      <c r="L167">
        <v>-256.89878071272159</v>
      </c>
      <c r="M167">
        <v>0</v>
      </c>
    </row>
    <row r="168" spans="1:15" x14ac:dyDescent="0.15">
      <c r="A168">
        <v>233</v>
      </c>
      <c r="B168" t="s">
        <v>363</v>
      </c>
      <c r="C168" t="s">
        <v>352</v>
      </c>
      <c r="D168">
        <v>10</v>
      </c>
      <c r="E168">
        <v>3934960.9375</v>
      </c>
      <c r="F168">
        <v>3958203.125</v>
      </c>
      <c r="G168">
        <v>3946582.03125</v>
      </c>
      <c r="H168">
        <v>1693486.6202668985</v>
      </c>
      <c r="I168">
        <v>7.7477013045003754E-9</v>
      </c>
      <c r="J168">
        <v>2.2340825364398122E-6</v>
      </c>
      <c r="K168">
        <v>0.2618695406618724</v>
      </c>
      <c r="L168">
        <v>-57.089790434926776</v>
      </c>
      <c r="M168">
        <v>0</v>
      </c>
    </row>
    <row r="169" spans="1:15" x14ac:dyDescent="0.15">
      <c r="A169">
        <v>233</v>
      </c>
      <c r="B169" t="s">
        <v>363</v>
      </c>
      <c r="C169" t="s">
        <v>352</v>
      </c>
      <c r="D169">
        <v>11</v>
      </c>
      <c r="E169">
        <v>3946582.03125</v>
      </c>
      <c r="F169">
        <v>3958203.125</v>
      </c>
      <c r="G169">
        <v>3952392.578125</v>
      </c>
      <c r="H169">
        <v>6054290.6592524862</v>
      </c>
      <c r="I169">
        <v>2.6850219543823163E-8</v>
      </c>
      <c r="J169">
        <v>2.253185054679135E-6</v>
      </c>
      <c r="K169">
        <v>0.93619535873394966</v>
      </c>
      <c r="L169">
        <v>53.180397432195832</v>
      </c>
      <c r="M169">
        <v>0</v>
      </c>
    </row>
    <row r="170" spans="1:15" x14ac:dyDescent="0.15">
      <c r="A170">
        <v>233</v>
      </c>
      <c r="B170" t="s">
        <v>363</v>
      </c>
      <c r="C170" t="s">
        <v>352</v>
      </c>
      <c r="D170">
        <v>12</v>
      </c>
      <c r="E170">
        <v>3946582.03125</v>
      </c>
      <c r="F170">
        <v>3952392.578125</v>
      </c>
      <c r="G170">
        <v>3949487.3046875</v>
      </c>
      <c r="H170">
        <v>3837556.2685720571</v>
      </c>
      <c r="I170">
        <v>1.7284602023879207E-8</v>
      </c>
      <c r="J170">
        <v>2.243619437159191E-6</v>
      </c>
      <c r="K170">
        <v>0.5934142527542805</v>
      </c>
      <c r="L170">
        <v>-2.8340649679414356</v>
      </c>
      <c r="M170">
        <v>0</v>
      </c>
    </row>
    <row r="171" spans="1:15" x14ac:dyDescent="0.15">
      <c r="A171">
        <v>233</v>
      </c>
      <c r="B171" t="s">
        <v>363</v>
      </c>
      <c r="C171" t="s">
        <v>352</v>
      </c>
      <c r="D171">
        <v>13</v>
      </c>
      <c r="E171">
        <v>3949487.3046875</v>
      </c>
      <c r="F171">
        <v>3952392.578125</v>
      </c>
      <c r="G171">
        <v>3950939.94140625</v>
      </c>
      <c r="H171">
        <v>4936798.8292394197</v>
      </c>
      <c r="I171">
        <v>2.2063873738460999E-8</v>
      </c>
      <c r="J171">
        <v>2.2483987088737728E-6</v>
      </c>
      <c r="K171">
        <v>0.7633938327479951</v>
      </c>
      <c r="L171">
        <v>24.952515159779292</v>
      </c>
      <c r="M171">
        <v>0</v>
      </c>
    </row>
    <row r="172" spans="1:15" x14ac:dyDescent="0.15">
      <c r="A172">
        <v>233</v>
      </c>
      <c r="B172" t="s">
        <v>363</v>
      </c>
      <c r="C172" t="s">
        <v>352</v>
      </c>
      <c r="D172">
        <v>14</v>
      </c>
      <c r="E172">
        <v>3949487.3046875</v>
      </c>
      <c r="F172">
        <v>3950939.94140625</v>
      </c>
      <c r="G172">
        <v>3950213.623046875</v>
      </c>
      <c r="H172">
        <v>4384892.5762840975</v>
      </c>
      <c r="I172">
        <v>1.9673308169286045E-8</v>
      </c>
      <c r="J172">
        <v>2.2460081433045979E-6</v>
      </c>
      <c r="K172">
        <v>0.67805070973764181</v>
      </c>
      <c r="L172">
        <v>11.00393534924692</v>
      </c>
      <c r="M172">
        <v>0</v>
      </c>
    </row>
    <row r="173" spans="1:15" x14ac:dyDescent="0.15">
      <c r="A173">
        <v>233</v>
      </c>
      <c r="B173" t="s">
        <v>363</v>
      </c>
      <c r="C173" t="s">
        <v>352</v>
      </c>
      <c r="D173">
        <v>15</v>
      </c>
      <c r="E173">
        <v>3949487.3046875</v>
      </c>
      <c r="F173">
        <v>3950213.623046875</v>
      </c>
      <c r="G173">
        <v>3949850.4638671875</v>
      </c>
      <c r="H173">
        <v>4110672.8818220138</v>
      </c>
      <c r="I173">
        <v>1.8478804901487524E-8</v>
      </c>
      <c r="J173">
        <v>2.2448136400367994E-6</v>
      </c>
      <c r="K173">
        <v>0.63564719466416131</v>
      </c>
      <c r="L173">
        <v>4.0716077589775272</v>
      </c>
      <c r="M173">
        <v>0</v>
      </c>
    </row>
    <row r="174" spans="1:15" x14ac:dyDescent="0.15">
      <c r="A174">
        <v>233</v>
      </c>
      <c r="B174" t="s">
        <v>363</v>
      </c>
      <c r="C174" t="s">
        <v>352</v>
      </c>
      <c r="D174">
        <v>16</v>
      </c>
      <c r="E174">
        <v>3949487.3046875</v>
      </c>
      <c r="F174">
        <v>3949850.4638671875</v>
      </c>
      <c r="G174">
        <v>3949668.8842773438</v>
      </c>
      <c r="H174">
        <v>3973980.9427016047</v>
      </c>
      <c r="I174">
        <v>1.788168415513188E-8</v>
      </c>
      <c r="J174">
        <v>2.2442165192904437E-6</v>
      </c>
      <c r="K174">
        <v>0.61451005966630667</v>
      </c>
      <c r="L174">
        <v>0.61554674927412856</v>
      </c>
      <c r="M174">
        <v>0</v>
      </c>
    </row>
    <row r="175" spans="1:15" x14ac:dyDescent="0.15">
      <c r="A175">
        <v>233</v>
      </c>
      <c r="B175" t="s">
        <v>363</v>
      </c>
      <c r="C175" t="s">
        <v>353</v>
      </c>
      <c r="D175">
        <v>16</v>
      </c>
      <c r="E175">
        <v>3949487.3046875</v>
      </c>
      <c r="F175">
        <v>3949850.4638671875</v>
      </c>
      <c r="G175">
        <v>3949668.8842773438</v>
      </c>
      <c r="H175">
        <v>3973980.9427016047</v>
      </c>
      <c r="I175">
        <v>1.788168415513188E-8</v>
      </c>
      <c r="J175">
        <v>2.2442165192904437E-6</v>
      </c>
      <c r="K175">
        <v>0.61451005966630667</v>
      </c>
      <c r="L175">
        <v>0.61554674927412856</v>
      </c>
      <c r="M175">
        <v>0</v>
      </c>
      <c r="N175" t="s">
        <v>354</v>
      </c>
      <c r="O175" t="s">
        <v>355</v>
      </c>
    </row>
    <row r="176" spans="1:15" x14ac:dyDescent="0.15">
      <c r="A176">
        <v>234</v>
      </c>
      <c r="B176" t="s">
        <v>295</v>
      </c>
      <c r="C176" t="s">
        <v>349</v>
      </c>
      <c r="D176">
        <v>0</v>
      </c>
      <c r="E176">
        <v>100000</v>
      </c>
      <c r="F176">
        <v>12000000</v>
      </c>
      <c r="G176">
        <v>100000</v>
      </c>
      <c r="H176">
        <v>-1.4487341598228487</v>
      </c>
      <c r="I176">
        <v>-5.648702001688435E-4</v>
      </c>
      <c r="J176">
        <v>-5.6095477651213878E-4</v>
      </c>
      <c r="K176">
        <v>-9.8129576635546413E-8</v>
      </c>
      <c r="L176">
        <v>-100.00144873415982</v>
      </c>
      <c r="M176">
        <v>0</v>
      </c>
      <c r="O176" t="s">
        <v>350</v>
      </c>
    </row>
    <row r="177" spans="1:15" x14ac:dyDescent="0.15">
      <c r="A177">
        <v>234</v>
      </c>
      <c r="B177" t="s">
        <v>295</v>
      </c>
      <c r="C177" t="s">
        <v>349</v>
      </c>
      <c r="D177">
        <v>0</v>
      </c>
      <c r="E177">
        <v>100000</v>
      </c>
      <c r="F177">
        <v>12000000</v>
      </c>
      <c r="G177">
        <v>12000000</v>
      </c>
      <c r="H177">
        <v>-3044679.4154719091</v>
      </c>
      <c r="I177">
        <v>-2.2869257381554433E-6</v>
      </c>
      <c r="J177">
        <v>1.6284979185492316E-6</v>
      </c>
      <c r="K177">
        <v>-0.20623045298231621</v>
      </c>
      <c r="L177">
        <v>-125.37232846226591</v>
      </c>
      <c r="M177">
        <v>0</v>
      </c>
      <c r="O177" t="s">
        <v>351</v>
      </c>
    </row>
    <row r="178" spans="1:15" x14ac:dyDescent="0.15">
      <c r="A178">
        <v>234</v>
      </c>
      <c r="B178" t="s">
        <v>295</v>
      </c>
      <c r="C178" t="s">
        <v>349</v>
      </c>
      <c r="D178">
        <v>1</v>
      </c>
      <c r="E178">
        <v>100000</v>
      </c>
      <c r="F178">
        <v>18000000</v>
      </c>
      <c r="G178">
        <v>18000000</v>
      </c>
      <c r="H178">
        <v>7646889583.3429079</v>
      </c>
      <c r="I178">
        <v>8.7227530671651238E-6</v>
      </c>
      <c r="J178">
        <v>1.2638176723869799E-5</v>
      </c>
      <c r="K178">
        <v>517.95978738015447</v>
      </c>
      <c r="L178">
        <v>42382.719907460596</v>
      </c>
      <c r="M178">
        <v>0</v>
      </c>
      <c r="O178" t="s">
        <v>356</v>
      </c>
    </row>
    <row r="179" spans="1:15" x14ac:dyDescent="0.15">
      <c r="A179">
        <v>234</v>
      </c>
      <c r="B179" t="s">
        <v>295</v>
      </c>
      <c r="C179" t="s">
        <v>352</v>
      </c>
      <c r="D179">
        <v>1</v>
      </c>
      <c r="E179">
        <v>100000</v>
      </c>
      <c r="F179">
        <v>18000000</v>
      </c>
      <c r="G179">
        <v>9050000</v>
      </c>
      <c r="H179">
        <v>-186690.17312073839</v>
      </c>
      <c r="I179">
        <v>-3.9708064642781189E-6</v>
      </c>
      <c r="J179">
        <v>-5.5382807573444536E-8</v>
      </c>
      <c r="K179">
        <v>-1.2645403248167403E-2</v>
      </c>
      <c r="L179">
        <v>-102.06287484111313</v>
      </c>
      <c r="M179">
        <v>0</v>
      </c>
    </row>
    <row r="180" spans="1:15" x14ac:dyDescent="0.15">
      <c r="A180">
        <v>234</v>
      </c>
      <c r="B180" t="s">
        <v>295</v>
      </c>
      <c r="C180" t="s">
        <v>352</v>
      </c>
      <c r="D180">
        <v>2</v>
      </c>
      <c r="E180">
        <v>9050000</v>
      </c>
      <c r="F180">
        <v>18000000</v>
      </c>
      <c r="G180">
        <v>13525000</v>
      </c>
      <c r="H180">
        <v>-38914145.959053874</v>
      </c>
      <c r="I180">
        <v>-1.0739978921926705E-6</v>
      </c>
      <c r="J180">
        <v>2.8414257645120042E-6</v>
      </c>
      <c r="K180">
        <v>-2.6358380812686559</v>
      </c>
      <c r="L180">
        <v>-387.72011799670145</v>
      </c>
      <c r="M180">
        <v>0</v>
      </c>
    </row>
    <row r="181" spans="1:15" x14ac:dyDescent="0.15">
      <c r="A181">
        <v>234</v>
      </c>
      <c r="B181" t="s">
        <v>295</v>
      </c>
      <c r="C181" t="s">
        <v>352</v>
      </c>
      <c r="D181">
        <v>3</v>
      </c>
      <c r="E181">
        <v>13525000</v>
      </c>
      <c r="F181">
        <v>18000000</v>
      </c>
      <c r="G181">
        <v>15762500</v>
      </c>
      <c r="H181">
        <v>506662884.90162081</v>
      </c>
      <c r="I181">
        <v>1.4656707551224785E-6</v>
      </c>
      <c r="J181">
        <v>5.3810944118271533E-6</v>
      </c>
      <c r="K181">
        <v>34.318659538213851</v>
      </c>
      <c r="L181">
        <v>3114.3561294313772</v>
      </c>
      <c r="M181">
        <v>0</v>
      </c>
    </row>
    <row r="182" spans="1:15" x14ac:dyDescent="0.15">
      <c r="A182">
        <v>234</v>
      </c>
      <c r="B182" t="s">
        <v>295</v>
      </c>
      <c r="C182" t="s">
        <v>352</v>
      </c>
      <c r="D182">
        <v>4</v>
      </c>
      <c r="E182">
        <v>13525000</v>
      </c>
      <c r="F182">
        <v>15762500</v>
      </c>
      <c r="G182">
        <v>14643750</v>
      </c>
      <c r="H182">
        <v>14399359.8233959</v>
      </c>
      <c r="I182">
        <v>8.4735099926780847E-8</v>
      </c>
      <c r="J182">
        <v>4.0001587566314556E-6</v>
      </c>
      <c r="K182">
        <v>0.97533634705315309</v>
      </c>
      <c r="L182">
        <v>-1.6689043216669199</v>
      </c>
      <c r="M182">
        <v>0</v>
      </c>
    </row>
    <row r="183" spans="1:15" x14ac:dyDescent="0.15">
      <c r="A183">
        <v>234</v>
      </c>
      <c r="B183" t="s">
        <v>295</v>
      </c>
      <c r="C183" t="s">
        <v>352</v>
      </c>
      <c r="D183">
        <v>5</v>
      </c>
      <c r="E183">
        <v>14643750</v>
      </c>
      <c r="F183">
        <v>15762500</v>
      </c>
      <c r="G183">
        <v>15203125</v>
      </c>
      <c r="H183">
        <v>190607994.80653635</v>
      </c>
      <c r="I183">
        <v>7.4805805649271566E-7</v>
      </c>
      <c r="J183">
        <v>4.6634817131973904E-6</v>
      </c>
      <c r="K183">
        <v>12.910775732659609</v>
      </c>
      <c r="L183">
        <v>1153.7422063328188</v>
      </c>
      <c r="M183">
        <v>0</v>
      </c>
    </row>
    <row r="184" spans="1:15" x14ac:dyDescent="0.15">
      <c r="A184">
        <v>234</v>
      </c>
      <c r="B184" t="s">
        <v>295</v>
      </c>
      <c r="C184" t="s">
        <v>352</v>
      </c>
      <c r="D184">
        <v>6</v>
      </c>
      <c r="E184">
        <v>14643750</v>
      </c>
      <c r="F184">
        <v>15203125</v>
      </c>
      <c r="G184">
        <v>14923437.5</v>
      </c>
      <c r="H184">
        <v>86586507.951768115</v>
      </c>
      <c r="I184">
        <v>4.0951068153660231E-7</v>
      </c>
      <c r="J184">
        <v>4.324934338241277E-6</v>
      </c>
      <c r="K184">
        <v>5.8649113158872126</v>
      </c>
      <c r="L184">
        <v>480.20484859314831</v>
      </c>
      <c r="M184">
        <v>0</v>
      </c>
    </row>
    <row r="185" spans="1:15" x14ac:dyDescent="0.15">
      <c r="A185">
        <v>234</v>
      </c>
      <c r="B185" t="s">
        <v>295</v>
      </c>
      <c r="C185" t="s">
        <v>352</v>
      </c>
      <c r="D185">
        <v>7</v>
      </c>
      <c r="E185">
        <v>14643750</v>
      </c>
      <c r="F185">
        <v>14923437.5</v>
      </c>
      <c r="G185">
        <v>14783593.75</v>
      </c>
      <c r="H185">
        <v>46729955.470157258</v>
      </c>
      <c r="I185">
        <v>2.4539553370089267E-7</v>
      </c>
      <c r="J185">
        <v>4.1608191904055674E-6</v>
      </c>
      <c r="K185">
        <v>3.1652396096225095</v>
      </c>
      <c r="L185">
        <v>216.09334144586634</v>
      </c>
      <c r="M185">
        <v>0</v>
      </c>
    </row>
    <row r="186" spans="1:15" x14ac:dyDescent="0.15">
      <c r="A186">
        <v>234</v>
      </c>
      <c r="B186" t="s">
        <v>295</v>
      </c>
      <c r="C186" t="s">
        <v>352</v>
      </c>
      <c r="D186">
        <v>8</v>
      </c>
      <c r="E186">
        <v>14643750</v>
      </c>
      <c r="F186">
        <v>14783593.75</v>
      </c>
      <c r="G186">
        <v>14713671.875</v>
      </c>
      <c r="H186">
        <v>29653272.693911228</v>
      </c>
      <c r="I186">
        <v>1.6463755088356223E-7</v>
      </c>
      <c r="J186">
        <v>4.080061207588237E-6</v>
      </c>
      <c r="K186">
        <v>2.0085555901213348</v>
      </c>
      <c r="L186">
        <v>101.53550348159594</v>
      </c>
      <c r="M186">
        <v>0</v>
      </c>
    </row>
    <row r="187" spans="1:15" x14ac:dyDescent="0.15">
      <c r="A187">
        <v>234</v>
      </c>
      <c r="B187" t="s">
        <v>295</v>
      </c>
      <c r="C187" t="s">
        <v>352</v>
      </c>
      <c r="D187">
        <v>9</v>
      </c>
      <c r="E187">
        <v>14643750</v>
      </c>
      <c r="F187">
        <v>14713671.875</v>
      </c>
      <c r="G187">
        <v>14678710.9375</v>
      </c>
      <c r="H187">
        <v>21801732.710680261</v>
      </c>
      <c r="I187">
        <v>1.2457748532710126E-7</v>
      </c>
      <c r="J187">
        <v>4.040001142031776E-6</v>
      </c>
      <c r="K187">
        <v>1.4767338688845462</v>
      </c>
      <c r="L187">
        <v>48.526207808772455</v>
      </c>
      <c r="M187">
        <v>0</v>
      </c>
    </row>
    <row r="188" spans="1:15" x14ac:dyDescent="0.15">
      <c r="A188">
        <v>234</v>
      </c>
      <c r="B188" t="s">
        <v>295</v>
      </c>
      <c r="C188" t="s">
        <v>352</v>
      </c>
      <c r="D188">
        <v>10</v>
      </c>
      <c r="E188">
        <v>14643750</v>
      </c>
      <c r="F188">
        <v>14678710.9375</v>
      </c>
      <c r="G188">
        <v>14661230.46875</v>
      </c>
      <c r="H188">
        <v>18044874.00956098</v>
      </c>
      <c r="I188">
        <v>1.0462911937784624E-7</v>
      </c>
      <c r="J188">
        <v>4.020052776082521E-6</v>
      </c>
      <c r="K188">
        <v>1.2222641641973291</v>
      </c>
      <c r="L188">
        <v>23.078851042026255</v>
      </c>
      <c r="M188">
        <v>0</v>
      </c>
    </row>
    <row r="189" spans="1:15" x14ac:dyDescent="0.15">
      <c r="A189">
        <v>234</v>
      </c>
      <c r="B189" t="s">
        <v>295</v>
      </c>
      <c r="C189" t="s">
        <v>352</v>
      </c>
      <c r="D189">
        <v>11</v>
      </c>
      <c r="E189">
        <v>14643750</v>
      </c>
      <c r="F189">
        <v>14661230.46875</v>
      </c>
      <c r="G189">
        <v>14652490.234375</v>
      </c>
      <c r="H189">
        <v>16208244.60719708</v>
      </c>
      <c r="I189">
        <v>9.4675246655434424E-8</v>
      </c>
      <c r="J189">
        <v>4.0100989033601092E-6</v>
      </c>
      <c r="K189">
        <v>1.0978606188896072</v>
      </c>
      <c r="L189">
        <v>10.617678960619626</v>
      </c>
      <c r="M189">
        <v>0</v>
      </c>
    </row>
    <row r="190" spans="1:15" x14ac:dyDescent="0.15">
      <c r="A190">
        <v>234</v>
      </c>
      <c r="B190" t="s">
        <v>295</v>
      </c>
      <c r="C190" t="s">
        <v>352</v>
      </c>
      <c r="D190">
        <v>12</v>
      </c>
      <c r="E190">
        <v>14643750</v>
      </c>
      <c r="F190">
        <v>14652490.234375</v>
      </c>
      <c r="G190">
        <v>14648120.1171875</v>
      </c>
      <c r="H190">
        <v>15300339.503008176</v>
      </c>
      <c r="I190">
        <v>8.9703446262529573E-8</v>
      </c>
      <c r="J190">
        <v>4.0051271029672043E-6</v>
      </c>
      <c r="K190">
        <v>1.0363639371863174</v>
      </c>
      <c r="L190">
        <v>4.4525808131200968</v>
      </c>
      <c r="M190">
        <v>0</v>
      </c>
    </row>
    <row r="191" spans="1:15" x14ac:dyDescent="0.15">
      <c r="A191">
        <v>234</v>
      </c>
      <c r="B191" t="s">
        <v>295</v>
      </c>
      <c r="C191" t="s">
        <v>352</v>
      </c>
      <c r="D191">
        <v>13</v>
      </c>
      <c r="E191">
        <v>14643750</v>
      </c>
      <c r="F191">
        <v>14648120.1171875</v>
      </c>
      <c r="G191">
        <v>14645935.05859375</v>
      </c>
      <c r="H191">
        <v>14848986.846368833</v>
      </c>
      <c r="I191">
        <v>8.7218851964571127E-8</v>
      </c>
      <c r="J191">
        <v>4.0026425086692459E-6</v>
      </c>
      <c r="K191">
        <v>1.005791699478632</v>
      </c>
      <c r="L191">
        <v>1.3864037151792397</v>
      </c>
      <c r="M191">
        <v>0</v>
      </c>
    </row>
    <row r="192" spans="1:15" x14ac:dyDescent="0.15">
      <c r="A192">
        <v>234</v>
      </c>
      <c r="B192" t="s">
        <v>295</v>
      </c>
      <c r="C192" t="s">
        <v>352</v>
      </c>
      <c r="D192">
        <v>14</v>
      </c>
      <c r="E192">
        <v>14643750</v>
      </c>
      <c r="F192">
        <v>14645935.05859375</v>
      </c>
      <c r="G192">
        <v>14644842.529296875</v>
      </c>
      <c r="H192">
        <v>14623983.675563609</v>
      </c>
      <c r="I192">
        <v>8.5977013904271249E-8</v>
      </c>
      <c r="J192">
        <v>4.001400670608946E-6</v>
      </c>
      <c r="K192">
        <v>0.99055117674844939</v>
      </c>
      <c r="L192">
        <v>-0.14243139652432468</v>
      </c>
      <c r="M192">
        <v>0</v>
      </c>
    </row>
    <row r="193" spans="1:15" x14ac:dyDescent="0.15">
      <c r="A193">
        <v>234</v>
      </c>
      <c r="B193" t="s">
        <v>295</v>
      </c>
      <c r="C193" t="s">
        <v>353</v>
      </c>
      <c r="D193">
        <v>14</v>
      </c>
      <c r="E193">
        <v>14643750</v>
      </c>
      <c r="F193">
        <v>14645935.05859375</v>
      </c>
      <c r="G193">
        <v>14644842.529296875</v>
      </c>
      <c r="H193">
        <v>14623983.675563609</v>
      </c>
      <c r="I193">
        <v>8.5977013904271249E-8</v>
      </c>
      <c r="J193">
        <v>4.001400670608946E-6</v>
      </c>
      <c r="K193">
        <v>0.99055117674844939</v>
      </c>
      <c r="L193">
        <v>-0.14243139652432468</v>
      </c>
      <c r="M193">
        <v>0</v>
      </c>
      <c r="N193" t="s">
        <v>354</v>
      </c>
      <c r="O193" t="s">
        <v>355</v>
      </c>
    </row>
    <row r="194" spans="1:15" x14ac:dyDescent="0.15">
      <c r="A194">
        <v>235</v>
      </c>
      <c r="B194" t="s">
        <v>364</v>
      </c>
      <c r="C194" t="s">
        <v>349</v>
      </c>
      <c r="D194">
        <v>0</v>
      </c>
      <c r="E194">
        <v>100000</v>
      </c>
      <c r="F194">
        <v>12000000</v>
      </c>
      <c r="G194">
        <v>100000</v>
      </c>
      <c r="H194">
        <v>-7.2274770709100684</v>
      </c>
      <c r="I194">
        <v>-3.8772822969262576E-4</v>
      </c>
      <c r="J194">
        <v>-3.8088075774781561E-4</v>
      </c>
      <c r="K194">
        <v>-7.8462284494931317E-7</v>
      </c>
      <c r="L194">
        <v>-100.00722747707091</v>
      </c>
      <c r="M194">
        <v>0</v>
      </c>
      <c r="O194" t="s">
        <v>350</v>
      </c>
    </row>
    <row r="195" spans="1:15" x14ac:dyDescent="0.15">
      <c r="A195">
        <v>235</v>
      </c>
      <c r="B195" t="s">
        <v>364</v>
      </c>
      <c r="C195" t="s">
        <v>349</v>
      </c>
      <c r="D195">
        <v>0</v>
      </c>
      <c r="E195">
        <v>100000</v>
      </c>
      <c r="F195">
        <v>12000000</v>
      </c>
      <c r="G195">
        <v>12000000</v>
      </c>
      <c r="H195">
        <v>995276074173.81201</v>
      </c>
      <c r="I195">
        <v>6.4017934139047909E-4</v>
      </c>
      <c r="J195">
        <v>6.4702681333528918E-4</v>
      </c>
      <c r="K195">
        <v>108048.26319980406</v>
      </c>
      <c r="L195">
        <v>8293867.2847817671</v>
      </c>
      <c r="M195">
        <v>0</v>
      </c>
      <c r="O195" t="s">
        <v>351</v>
      </c>
    </row>
    <row r="196" spans="1:15" x14ac:dyDescent="0.15">
      <c r="A196">
        <v>235</v>
      </c>
      <c r="B196" t="s">
        <v>364</v>
      </c>
      <c r="C196" t="s">
        <v>352</v>
      </c>
      <c r="D196">
        <v>1</v>
      </c>
      <c r="E196">
        <v>100000</v>
      </c>
      <c r="F196">
        <v>12000000</v>
      </c>
      <c r="G196">
        <v>6050000</v>
      </c>
      <c r="H196">
        <v>-44644238.741876192</v>
      </c>
      <c r="I196">
        <v>-2.1824076970790315E-6</v>
      </c>
      <c r="J196">
        <v>4.6650642477310937E-6</v>
      </c>
      <c r="K196">
        <v>-4.8466275670711303</v>
      </c>
      <c r="L196">
        <v>-837.92130151861477</v>
      </c>
      <c r="M196">
        <v>0</v>
      </c>
    </row>
    <row r="197" spans="1:15" x14ac:dyDescent="0.15">
      <c r="A197">
        <v>235</v>
      </c>
      <c r="B197" t="s">
        <v>364</v>
      </c>
      <c r="C197" t="s">
        <v>352</v>
      </c>
      <c r="D197">
        <v>2</v>
      </c>
      <c r="E197">
        <v>6050000</v>
      </c>
      <c r="F197">
        <v>12000000</v>
      </c>
      <c r="G197">
        <v>9025000</v>
      </c>
      <c r="H197">
        <v>76003156871.558212</v>
      </c>
      <c r="I197">
        <v>9.0978938215811108E-5</v>
      </c>
      <c r="J197">
        <v>9.7826410160621228E-5</v>
      </c>
      <c r="K197">
        <v>8250.9861442122819</v>
      </c>
      <c r="L197">
        <v>842040.2423441353</v>
      </c>
      <c r="M197">
        <v>0</v>
      </c>
    </row>
    <row r="198" spans="1:15" x14ac:dyDescent="0.15">
      <c r="A198">
        <v>235</v>
      </c>
      <c r="B198" t="s">
        <v>364</v>
      </c>
      <c r="C198" t="s">
        <v>352</v>
      </c>
      <c r="D198">
        <v>3</v>
      </c>
      <c r="E198">
        <v>6050000</v>
      </c>
      <c r="F198">
        <v>9025000</v>
      </c>
      <c r="G198">
        <v>7537500</v>
      </c>
      <c r="H198">
        <v>7005790549.3703728</v>
      </c>
      <c r="I198">
        <v>1.5750696340642479E-5</v>
      </c>
      <c r="J198">
        <v>2.2598168285452603E-5</v>
      </c>
      <c r="K198">
        <v>760.55631280942066</v>
      </c>
      <c r="L198">
        <v>92845.811600270288</v>
      </c>
      <c r="M198">
        <v>0</v>
      </c>
    </row>
    <row r="199" spans="1:15" x14ac:dyDescent="0.15">
      <c r="A199">
        <v>235</v>
      </c>
      <c r="B199" t="s">
        <v>364</v>
      </c>
      <c r="C199" t="s">
        <v>352</v>
      </c>
      <c r="D199">
        <v>4</v>
      </c>
      <c r="E199">
        <v>6050000</v>
      </c>
      <c r="F199">
        <v>7537500</v>
      </c>
      <c r="G199">
        <v>6793750</v>
      </c>
      <c r="H199">
        <v>322961019.41842282</v>
      </c>
      <c r="I199">
        <v>1.7645733170904492E-6</v>
      </c>
      <c r="J199">
        <v>8.6120452619005744E-6</v>
      </c>
      <c r="K199">
        <v>35.061002806046311</v>
      </c>
      <c r="L199">
        <v>4653.7960539970236</v>
      </c>
      <c r="M199">
        <v>0</v>
      </c>
    </row>
    <row r="200" spans="1:15" x14ac:dyDescent="0.15">
      <c r="A200">
        <v>235</v>
      </c>
      <c r="B200" t="s">
        <v>364</v>
      </c>
      <c r="C200" t="s">
        <v>352</v>
      </c>
      <c r="D200">
        <v>5</v>
      </c>
      <c r="E200">
        <v>6050000</v>
      </c>
      <c r="F200">
        <v>6793750</v>
      </c>
      <c r="G200">
        <v>6421875</v>
      </c>
      <c r="H200">
        <v>-44364196.503476761</v>
      </c>
      <c r="I200">
        <v>-5.0606305284370106E-7</v>
      </c>
      <c r="J200">
        <v>6.3414088919664241E-6</v>
      </c>
      <c r="K200">
        <v>-4.8162258742475972</v>
      </c>
      <c r="L200">
        <v>-790.82933728041667</v>
      </c>
      <c r="M200">
        <v>0</v>
      </c>
    </row>
    <row r="201" spans="1:15" x14ac:dyDescent="0.15">
      <c r="A201">
        <v>235</v>
      </c>
      <c r="B201" t="s">
        <v>364</v>
      </c>
      <c r="C201" t="s">
        <v>352</v>
      </c>
      <c r="D201">
        <v>6</v>
      </c>
      <c r="E201">
        <v>6421875</v>
      </c>
      <c r="F201">
        <v>6793750</v>
      </c>
      <c r="G201">
        <v>6607812.5</v>
      </c>
      <c r="H201">
        <v>59087650.577006541</v>
      </c>
      <c r="I201">
        <v>4.5865056230341945E-7</v>
      </c>
      <c r="J201">
        <v>7.3061225071135446E-6</v>
      </c>
      <c r="K201">
        <v>6.4146202114846771</v>
      </c>
      <c r="L201">
        <v>794.20894701546911</v>
      </c>
      <c r="M201">
        <v>0</v>
      </c>
    </row>
    <row r="202" spans="1:15" x14ac:dyDescent="0.15">
      <c r="A202">
        <v>235</v>
      </c>
      <c r="B202" t="s">
        <v>364</v>
      </c>
      <c r="C202" t="s">
        <v>352</v>
      </c>
      <c r="D202">
        <v>7</v>
      </c>
      <c r="E202">
        <v>6421875</v>
      </c>
      <c r="F202">
        <v>6607812.5</v>
      </c>
      <c r="G202">
        <v>6514843.75</v>
      </c>
      <c r="H202">
        <v>-3712075.3433888182</v>
      </c>
      <c r="I202">
        <v>-3.4419467056910065E-8</v>
      </c>
      <c r="J202">
        <v>6.8130524777532151E-6</v>
      </c>
      <c r="K202">
        <v>-0.40298697429546981</v>
      </c>
      <c r="L202">
        <v>-156.97873173687117</v>
      </c>
      <c r="M202">
        <v>0</v>
      </c>
    </row>
    <row r="203" spans="1:15" x14ac:dyDescent="0.15">
      <c r="A203">
        <v>235</v>
      </c>
      <c r="B203" t="s">
        <v>364</v>
      </c>
      <c r="C203" t="s">
        <v>352</v>
      </c>
      <c r="D203">
        <v>8</v>
      </c>
      <c r="E203">
        <v>6514843.75</v>
      </c>
      <c r="F203">
        <v>6607812.5</v>
      </c>
      <c r="G203">
        <v>6561328.125</v>
      </c>
      <c r="H203">
        <v>24767863.453079116</v>
      </c>
      <c r="I203">
        <v>2.0945309708392643E-7</v>
      </c>
      <c r="J203">
        <v>7.0569250418940516E-6</v>
      </c>
      <c r="K203">
        <v>2.6888264459653333</v>
      </c>
      <c r="L203">
        <v>277.48246972603761</v>
      </c>
      <c r="M203">
        <v>0</v>
      </c>
    </row>
    <row r="204" spans="1:15" x14ac:dyDescent="0.15">
      <c r="A204">
        <v>235</v>
      </c>
      <c r="B204" t="s">
        <v>364</v>
      </c>
      <c r="C204" t="s">
        <v>352</v>
      </c>
      <c r="D204">
        <v>9</v>
      </c>
      <c r="E204">
        <v>6514843.75</v>
      </c>
      <c r="F204">
        <v>6561328.125</v>
      </c>
      <c r="G204">
        <v>6538085.9375</v>
      </c>
      <c r="H204">
        <v>9816069.6404001769</v>
      </c>
      <c r="I204">
        <v>8.6848140157739865E-8</v>
      </c>
      <c r="J204">
        <v>6.934320084967865E-6</v>
      </c>
      <c r="K204">
        <v>1.065643295980953</v>
      </c>
      <c r="L204">
        <v>50.13674849544109</v>
      </c>
      <c r="M204">
        <v>0</v>
      </c>
    </row>
    <row r="205" spans="1:15" x14ac:dyDescent="0.15">
      <c r="A205">
        <v>235</v>
      </c>
      <c r="B205" t="s">
        <v>364</v>
      </c>
      <c r="C205" t="s">
        <v>352</v>
      </c>
      <c r="D205">
        <v>10</v>
      </c>
      <c r="E205">
        <v>6514843.75</v>
      </c>
      <c r="F205">
        <v>6538085.9375</v>
      </c>
      <c r="G205">
        <v>6526464.84375</v>
      </c>
      <c r="H205">
        <v>2876261.0743988291</v>
      </c>
      <c r="I205">
        <v>2.6045818620915194E-8</v>
      </c>
      <c r="J205">
        <v>6.8735177634310403E-6</v>
      </c>
      <c r="K205">
        <v>0.31225005971933284</v>
      </c>
      <c r="L205">
        <v>-55.929264260831033</v>
      </c>
      <c r="M205">
        <v>0</v>
      </c>
    </row>
    <row r="206" spans="1:15" x14ac:dyDescent="0.15">
      <c r="A206">
        <v>235</v>
      </c>
      <c r="B206" t="s">
        <v>364</v>
      </c>
      <c r="C206" t="s">
        <v>352</v>
      </c>
      <c r="D206">
        <v>11</v>
      </c>
      <c r="E206">
        <v>6526464.84375</v>
      </c>
      <c r="F206">
        <v>6538085.9375</v>
      </c>
      <c r="G206">
        <v>6532275.390625</v>
      </c>
      <c r="H206">
        <v>6301955.7769833757</v>
      </c>
      <c r="I206">
        <v>5.6405073001747516E-8</v>
      </c>
      <c r="J206">
        <v>6.9038770178118727E-6</v>
      </c>
      <c r="K206">
        <v>0.68414723726807136</v>
      </c>
      <c r="L206">
        <v>-3.5258711531386866</v>
      </c>
      <c r="M206">
        <v>0</v>
      </c>
    </row>
    <row r="207" spans="1:15" x14ac:dyDescent="0.15">
      <c r="A207">
        <v>235</v>
      </c>
      <c r="B207" t="s">
        <v>364</v>
      </c>
      <c r="C207" t="s">
        <v>352</v>
      </c>
      <c r="D207">
        <v>12</v>
      </c>
      <c r="E207">
        <v>6532275.390625</v>
      </c>
      <c r="F207">
        <v>6538085.9375</v>
      </c>
      <c r="G207">
        <v>6535180.6640625</v>
      </c>
      <c r="H207">
        <v>8047902.7230513906</v>
      </c>
      <c r="I207">
        <v>7.1615953561537143E-8</v>
      </c>
      <c r="J207">
        <v>6.9190878983716623E-6</v>
      </c>
      <c r="K207">
        <v>0.87368915438714634</v>
      </c>
      <c r="L207">
        <v>23.147364040101824</v>
      </c>
      <c r="M207">
        <v>0</v>
      </c>
    </row>
    <row r="208" spans="1:15" x14ac:dyDescent="0.15">
      <c r="A208">
        <v>235</v>
      </c>
      <c r="B208" t="s">
        <v>364</v>
      </c>
      <c r="C208" t="s">
        <v>352</v>
      </c>
      <c r="D208">
        <v>13</v>
      </c>
      <c r="E208">
        <v>6532275.390625</v>
      </c>
      <c r="F208">
        <v>6535180.6640625</v>
      </c>
      <c r="G208">
        <v>6533728.02734375</v>
      </c>
      <c r="H208">
        <v>7172170.988403271</v>
      </c>
      <c r="I208">
        <v>6.4007976386562827E-8</v>
      </c>
      <c r="J208">
        <v>6.911479921196688E-6</v>
      </c>
      <c r="K208">
        <v>0.77861875591883489</v>
      </c>
      <c r="L208">
        <v>9.771495819654989</v>
      </c>
      <c r="M208">
        <v>0</v>
      </c>
    </row>
    <row r="209" spans="1:15" x14ac:dyDescent="0.15">
      <c r="A209">
        <v>235</v>
      </c>
      <c r="B209" t="s">
        <v>364</v>
      </c>
      <c r="C209" t="s">
        <v>352</v>
      </c>
      <c r="D209">
        <v>14</v>
      </c>
      <c r="E209">
        <v>6532275.390625</v>
      </c>
      <c r="F209">
        <v>6533728.02734375</v>
      </c>
      <c r="G209">
        <v>6533001.708984375</v>
      </c>
      <c r="H209">
        <v>6736372.7635972556</v>
      </c>
      <c r="I209">
        <v>6.0205876360224058E-8</v>
      </c>
      <c r="J209">
        <v>6.9076778211703492E-6</v>
      </c>
      <c r="K209">
        <v>0.73130802222624081</v>
      </c>
      <c r="L209">
        <v>3.1129802757161191</v>
      </c>
      <c r="M209">
        <v>0</v>
      </c>
    </row>
    <row r="210" spans="1:15" x14ac:dyDescent="0.15">
      <c r="A210">
        <v>235</v>
      </c>
      <c r="B210" t="s">
        <v>364</v>
      </c>
      <c r="C210" t="s">
        <v>352</v>
      </c>
      <c r="D210">
        <v>15</v>
      </c>
      <c r="E210">
        <v>6532275.390625</v>
      </c>
      <c r="F210">
        <v>6533001.708984375</v>
      </c>
      <c r="G210">
        <v>6532638.5498046875</v>
      </c>
      <c r="H210">
        <v>6518966.8516864572</v>
      </c>
      <c r="I210">
        <v>5.8305095304318072E-8</v>
      </c>
      <c r="J210">
        <v>6.9057770401144432E-6</v>
      </c>
      <c r="K210">
        <v>0.70770619776680033</v>
      </c>
      <c r="L210">
        <v>-0.20928294155566105</v>
      </c>
      <c r="M210">
        <v>0</v>
      </c>
    </row>
    <row r="211" spans="1:15" x14ac:dyDescent="0.15">
      <c r="A211">
        <v>235</v>
      </c>
      <c r="B211" t="s">
        <v>364</v>
      </c>
      <c r="C211" t="s">
        <v>353</v>
      </c>
      <c r="D211">
        <v>15</v>
      </c>
      <c r="E211">
        <v>6532275.390625</v>
      </c>
      <c r="F211">
        <v>6533001.708984375</v>
      </c>
      <c r="G211">
        <v>6532638.5498046875</v>
      </c>
      <c r="H211">
        <v>6518966.8516864572</v>
      </c>
      <c r="I211">
        <v>5.8305095304318072E-8</v>
      </c>
      <c r="J211">
        <v>6.9057770401144432E-6</v>
      </c>
      <c r="K211">
        <v>0.70770619776680033</v>
      </c>
      <c r="L211">
        <v>-0.20928294155566105</v>
      </c>
      <c r="M211">
        <v>0</v>
      </c>
      <c r="N211" t="s">
        <v>354</v>
      </c>
      <c r="O211" t="s">
        <v>355</v>
      </c>
    </row>
    <row r="212" spans="1:15" x14ac:dyDescent="0.15">
      <c r="A212">
        <v>236</v>
      </c>
      <c r="B212" t="s">
        <v>365</v>
      </c>
      <c r="C212" t="s">
        <v>349</v>
      </c>
      <c r="D212">
        <v>0</v>
      </c>
      <c r="E212">
        <v>100000</v>
      </c>
      <c r="F212">
        <v>12000000</v>
      </c>
      <c r="G212">
        <v>100000</v>
      </c>
      <c r="H212">
        <v>-116.20816876663454</v>
      </c>
      <c r="I212">
        <v>-9.8186158487673206E-5</v>
      </c>
      <c r="J212">
        <v>-9.1544674627246769E-5</v>
      </c>
      <c r="K212">
        <v>-1.1694541017418413E-5</v>
      </c>
      <c r="L212">
        <v>-100.11620816876663</v>
      </c>
      <c r="M212">
        <v>0</v>
      </c>
      <c r="O212" t="s">
        <v>350</v>
      </c>
    </row>
    <row r="213" spans="1:15" x14ac:dyDescent="0.15">
      <c r="A213">
        <v>236</v>
      </c>
      <c r="B213" t="s">
        <v>365</v>
      </c>
      <c r="C213" t="s">
        <v>349</v>
      </c>
      <c r="D213">
        <v>0</v>
      </c>
      <c r="E213">
        <v>100000</v>
      </c>
      <c r="F213">
        <v>12000000</v>
      </c>
      <c r="G213">
        <v>12000000</v>
      </c>
      <c r="H213">
        <v>973562119548.18555</v>
      </c>
      <c r="I213">
        <v>6.0560938292299139E-4</v>
      </c>
      <c r="J213">
        <v>6.1225086678341788E-4</v>
      </c>
      <c r="K213">
        <v>97973.853825412021</v>
      </c>
      <c r="L213">
        <v>8112917.6629015459</v>
      </c>
      <c r="M213">
        <v>0</v>
      </c>
      <c r="O213" t="s">
        <v>351</v>
      </c>
    </row>
    <row r="214" spans="1:15" x14ac:dyDescent="0.15">
      <c r="A214">
        <v>236</v>
      </c>
      <c r="B214" t="s">
        <v>365</v>
      </c>
      <c r="C214" t="s">
        <v>352</v>
      </c>
      <c r="D214">
        <v>1</v>
      </c>
      <c r="E214">
        <v>100000</v>
      </c>
      <c r="F214">
        <v>12000000</v>
      </c>
      <c r="G214">
        <v>6050000</v>
      </c>
      <c r="H214">
        <v>144327169588.12451</v>
      </c>
      <c r="I214">
        <v>1.4147335538934486E-4</v>
      </c>
      <c r="J214">
        <v>1.4811483924977129E-4</v>
      </c>
      <c r="K214">
        <v>14524.280199834237</v>
      </c>
      <c r="L214">
        <v>2385473.0510433805</v>
      </c>
      <c r="M214">
        <v>0</v>
      </c>
    </row>
    <row r="215" spans="1:15" x14ac:dyDescent="0.15">
      <c r="A215">
        <v>236</v>
      </c>
      <c r="B215" t="s">
        <v>365</v>
      </c>
      <c r="C215" t="s">
        <v>352</v>
      </c>
      <c r="D215">
        <v>2</v>
      </c>
      <c r="E215">
        <v>100000</v>
      </c>
      <c r="F215">
        <v>6050000</v>
      </c>
      <c r="G215">
        <v>3075000</v>
      </c>
      <c r="H215">
        <v>885533087.06015408</v>
      </c>
      <c r="I215">
        <v>3.4173516258405521E-6</v>
      </c>
      <c r="J215">
        <v>1.0058835486266992E-5</v>
      </c>
      <c r="K215">
        <v>89.11510368692332</v>
      </c>
      <c r="L215">
        <v>28697.823969435904</v>
      </c>
      <c r="M215">
        <v>0</v>
      </c>
    </row>
    <row r="216" spans="1:15" x14ac:dyDescent="0.15">
      <c r="A216">
        <v>236</v>
      </c>
      <c r="B216" t="s">
        <v>365</v>
      </c>
      <c r="C216" t="s">
        <v>352</v>
      </c>
      <c r="D216">
        <v>3</v>
      </c>
      <c r="E216">
        <v>100000</v>
      </c>
      <c r="F216">
        <v>3075000</v>
      </c>
      <c r="G216">
        <v>1587500</v>
      </c>
      <c r="H216">
        <v>-266073.92736099986</v>
      </c>
      <c r="I216">
        <v>-5.9438178214709384E-6</v>
      </c>
      <c r="J216">
        <v>6.9766603895550097E-7</v>
      </c>
      <c r="K216">
        <v>-2.677619387874065E-2</v>
      </c>
      <c r="L216">
        <v>-116.7605623534488</v>
      </c>
      <c r="M216">
        <v>0</v>
      </c>
    </row>
    <row r="217" spans="1:15" x14ac:dyDescent="0.15">
      <c r="A217">
        <v>236</v>
      </c>
      <c r="B217" t="s">
        <v>365</v>
      </c>
      <c r="C217" t="s">
        <v>352</v>
      </c>
      <c r="D217">
        <v>4</v>
      </c>
      <c r="E217">
        <v>1587500</v>
      </c>
      <c r="F217">
        <v>3075000</v>
      </c>
      <c r="G217">
        <v>2331250</v>
      </c>
      <c r="H217">
        <v>-17979098.196988944</v>
      </c>
      <c r="I217">
        <v>-2.7960756722473981E-6</v>
      </c>
      <c r="J217">
        <v>3.8454081881790417E-6</v>
      </c>
      <c r="K217">
        <v>-1.80931601928185</v>
      </c>
      <c r="L217">
        <v>-871.22137038022277</v>
      </c>
      <c r="M217">
        <v>0</v>
      </c>
    </row>
    <row r="218" spans="1:15" x14ac:dyDescent="0.15">
      <c r="A218">
        <v>236</v>
      </c>
      <c r="B218" t="s">
        <v>365</v>
      </c>
      <c r="C218" t="s">
        <v>352</v>
      </c>
      <c r="D218">
        <v>5</v>
      </c>
      <c r="E218">
        <v>2331250</v>
      </c>
      <c r="F218">
        <v>3075000</v>
      </c>
      <c r="G218">
        <v>2703125</v>
      </c>
      <c r="H218">
        <v>-40372064.663127959</v>
      </c>
      <c r="I218">
        <v>-4.3990237701131663E-7</v>
      </c>
      <c r="J218">
        <v>6.2015814834151231E-6</v>
      </c>
      <c r="K218">
        <v>-4.0628190872617571</v>
      </c>
      <c r="L218">
        <v>-1593.5330280001094</v>
      </c>
      <c r="M218">
        <v>0</v>
      </c>
    </row>
    <row r="219" spans="1:15" x14ac:dyDescent="0.15">
      <c r="A219">
        <v>236</v>
      </c>
      <c r="B219" t="s">
        <v>365</v>
      </c>
      <c r="C219" t="s">
        <v>352</v>
      </c>
      <c r="D219">
        <v>6</v>
      </c>
      <c r="E219">
        <v>2703125</v>
      </c>
      <c r="F219">
        <v>3075000</v>
      </c>
      <c r="G219">
        <v>2889062.5</v>
      </c>
      <c r="H219">
        <v>135850627.54544663</v>
      </c>
      <c r="I219">
        <v>8.9393651982402335E-7</v>
      </c>
      <c r="J219">
        <v>7.5354203802504631E-6</v>
      </c>
      <c r="K219">
        <v>13.67124835486096</v>
      </c>
      <c r="L219">
        <v>4602.239136240446</v>
      </c>
      <c r="M219">
        <v>0</v>
      </c>
    </row>
    <row r="220" spans="1:15" x14ac:dyDescent="0.15">
      <c r="A220">
        <v>236</v>
      </c>
      <c r="B220" t="s">
        <v>365</v>
      </c>
      <c r="C220" t="s">
        <v>352</v>
      </c>
      <c r="D220">
        <v>7</v>
      </c>
      <c r="E220">
        <v>2703125</v>
      </c>
      <c r="F220">
        <v>2889062.5</v>
      </c>
      <c r="G220">
        <v>2796093.75</v>
      </c>
      <c r="H220">
        <v>26241631.500506632</v>
      </c>
      <c r="I220">
        <v>2.1590536733510106E-7</v>
      </c>
      <c r="J220">
        <v>6.8573892277615408E-6</v>
      </c>
      <c r="K220">
        <v>2.6408112201038811</v>
      </c>
      <c r="L220">
        <v>838.51043086472453</v>
      </c>
      <c r="M220">
        <v>0</v>
      </c>
    </row>
    <row r="221" spans="1:15" x14ac:dyDescent="0.15">
      <c r="A221">
        <v>236</v>
      </c>
      <c r="B221" t="s">
        <v>365</v>
      </c>
      <c r="C221" t="s">
        <v>352</v>
      </c>
      <c r="D221">
        <v>8</v>
      </c>
      <c r="E221">
        <v>2703125</v>
      </c>
      <c r="F221">
        <v>2796093.75</v>
      </c>
      <c r="G221">
        <v>2749609.375</v>
      </c>
      <c r="H221">
        <v>-12243149.649328174</v>
      </c>
      <c r="I221">
        <v>-1.1491286542257704E-7</v>
      </c>
      <c r="J221">
        <v>6.5265709950038627E-6</v>
      </c>
      <c r="K221">
        <v>-1.2320821959081518</v>
      </c>
      <c r="L221">
        <v>-545.26869018724426</v>
      </c>
      <c r="M221">
        <v>0</v>
      </c>
    </row>
    <row r="222" spans="1:15" x14ac:dyDescent="0.15">
      <c r="A222">
        <v>236</v>
      </c>
      <c r="B222" t="s">
        <v>365</v>
      </c>
      <c r="C222" t="s">
        <v>352</v>
      </c>
      <c r="D222">
        <v>9</v>
      </c>
      <c r="E222">
        <v>2749609.375</v>
      </c>
      <c r="F222">
        <v>2796093.75</v>
      </c>
      <c r="G222">
        <v>2772851.5625</v>
      </c>
      <c r="H222">
        <v>5676379.9962453442</v>
      </c>
      <c r="I222">
        <v>4.9784754795070334E-8</v>
      </c>
      <c r="J222">
        <v>6.6912686152215101E-6</v>
      </c>
      <c r="K222">
        <v>0.57123917708274052</v>
      </c>
      <c r="L222">
        <v>104.71272508823105</v>
      </c>
      <c r="M222">
        <v>0</v>
      </c>
    </row>
    <row r="223" spans="1:15" x14ac:dyDescent="0.15">
      <c r="A223">
        <v>236</v>
      </c>
      <c r="B223" t="s">
        <v>365</v>
      </c>
      <c r="C223" t="s">
        <v>352</v>
      </c>
      <c r="D223">
        <v>10</v>
      </c>
      <c r="E223">
        <v>2749609.375</v>
      </c>
      <c r="F223">
        <v>2772851.5625</v>
      </c>
      <c r="G223">
        <v>2761230.46875</v>
      </c>
      <c r="H223">
        <v>-3610805.8461400387</v>
      </c>
      <c r="I223">
        <v>-3.2743920870791156E-8</v>
      </c>
      <c r="J223">
        <v>6.6087399395556486E-6</v>
      </c>
      <c r="K223">
        <v>-0.36337133199661031</v>
      </c>
      <c r="L223">
        <v>-230.76799952068612</v>
      </c>
      <c r="M223">
        <v>0</v>
      </c>
    </row>
    <row r="224" spans="1:15" x14ac:dyDescent="0.15">
      <c r="A224">
        <v>236</v>
      </c>
      <c r="B224" t="s">
        <v>365</v>
      </c>
      <c r="C224" t="s">
        <v>352</v>
      </c>
      <c r="D224">
        <v>11</v>
      </c>
      <c r="E224">
        <v>2761230.46875</v>
      </c>
      <c r="F224">
        <v>2772851.5625</v>
      </c>
      <c r="G224">
        <v>2767041.015625</v>
      </c>
      <c r="H224">
        <v>950517.47894119902</v>
      </c>
      <c r="I224">
        <v>8.4758134733934124E-9</v>
      </c>
      <c r="J224">
        <v>6.6499596738998332E-6</v>
      </c>
      <c r="K224">
        <v>9.5654769911859755E-2</v>
      </c>
      <c r="L224">
        <v>-65.648594524844697</v>
      </c>
      <c r="M224">
        <v>0</v>
      </c>
    </row>
    <row r="225" spans="1:15" x14ac:dyDescent="0.15">
      <c r="A225">
        <v>236</v>
      </c>
      <c r="B225" t="s">
        <v>365</v>
      </c>
      <c r="C225" t="s">
        <v>352</v>
      </c>
      <c r="D225">
        <v>12</v>
      </c>
      <c r="E225">
        <v>2767041.015625</v>
      </c>
      <c r="F225">
        <v>2772851.5625</v>
      </c>
      <c r="G225">
        <v>2769946.2890625</v>
      </c>
      <c r="H225">
        <v>3292840.4861647831</v>
      </c>
      <c r="I225">
        <v>2.9119260545161682E-8</v>
      </c>
      <c r="J225">
        <v>6.6706031209716014E-6</v>
      </c>
      <c r="K225">
        <v>0.33137307418208328</v>
      </c>
      <c r="L225">
        <v>18.877412864177192</v>
      </c>
      <c r="M225">
        <v>0</v>
      </c>
    </row>
    <row r="226" spans="1:15" x14ac:dyDescent="0.15">
      <c r="A226">
        <v>236</v>
      </c>
      <c r="B226" t="s">
        <v>365</v>
      </c>
      <c r="C226" t="s">
        <v>352</v>
      </c>
      <c r="D226">
        <v>13</v>
      </c>
      <c r="E226">
        <v>2767041.015625</v>
      </c>
      <c r="F226">
        <v>2769946.2890625</v>
      </c>
      <c r="G226">
        <v>2768493.65234375</v>
      </c>
      <c r="H226">
        <v>2116529.6945090871</v>
      </c>
      <c r="I226">
        <v>1.8794745680937865E-8</v>
      </c>
      <c r="J226">
        <v>6.6602786061073776E-6</v>
      </c>
      <c r="K226">
        <v>0.21299572645987069</v>
      </c>
      <c r="L226">
        <v>-23.549411329974461</v>
      </c>
      <c r="M226">
        <v>0</v>
      </c>
    </row>
    <row r="227" spans="1:15" x14ac:dyDescent="0.15">
      <c r="A227">
        <v>236</v>
      </c>
      <c r="B227" t="s">
        <v>365</v>
      </c>
      <c r="C227" t="s">
        <v>352</v>
      </c>
      <c r="D227">
        <v>14</v>
      </c>
      <c r="E227">
        <v>2768493.65234375</v>
      </c>
      <c r="F227">
        <v>2769946.2890625</v>
      </c>
      <c r="G227">
        <v>2769219.970703125</v>
      </c>
      <c r="H227">
        <v>2703396.9636380924</v>
      </c>
      <c r="I227">
        <v>2.3956305805389738E-8</v>
      </c>
      <c r="J227">
        <v>6.6654401662318295E-6</v>
      </c>
      <c r="K227">
        <v>0.2720547704449095</v>
      </c>
      <c r="L227">
        <v>-2.3769511906387009</v>
      </c>
      <c r="M227">
        <v>0</v>
      </c>
    </row>
    <row r="228" spans="1:15" x14ac:dyDescent="0.15">
      <c r="A228">
        <v>236</v>
      </c>
      <c r="B228" t="s">
        <v>365</v>
      </c>
      <c r="C228" t="s">
        <v>352</v>
      </c>
      <c r="D228">
        <v>15</v>
      </c>
      <c r="E228">
        <v>2769219.970703125</v>
      </c>
      <c r="F228">
        <v>2769946.2890625</v>
      </c>
      <c r="G228">
        <v>2769583.1298828125</v>
      </c>
      <c r="H228">
        <v>2997768.1812316352</v>
      </c>
      <c r="I228">
        <v>2.6537360054457949E-8</v>
      </c>
      <c r="J228">
        <v>6.6680212204808977E-6</v>
      </c>
      <c r="K228">
        <v>0.30167864555654883</v>
      </c>
      <c r="L228">
        <v>8.2389674058448534</v>
      </c>
      <c r="M228">
        <v>0</v>
      </c>
    </row>
    <row r="229" spans="1:15" x14ac:dyDescent="0.15">
      <c r="A229">
        <v>236</v>
      </c>
      <c r="B229" t="s">
        <v>365</v>
      </c>
      <c r="C229" t="s">
        <v>352</v>
      </c>
      <c r="D229">
        <v>16</v>
      </c>
      <c r="E229">
        <v>2769219.970703125</v>
      </c>
      <c r="F229">
        <v>2769583.1298828125</v>
      </c>
      <c r="G229">
        <v>2769401.5502929688</v>
      </c>
      <c r="H229">
        <v>2850516.2578161322</v>
      </c>
      <c r="I229">
        <v>2.5246913785879302E-8</v>
      </c>
      <c r="J229">
        <v>6.6667307742123191E-6</v>
      </c>
      <c r="K229">
        <v>0.28686003446790403</v>
      </c>
      <c r="L229">
        <v>2.9289615843026615</v>
      </c>
      <c r="M229">
        <v>0</v>
      </c>
    </row>
    <row r="230" spans="1:15" x14ac:dyDescent="0.15">
      <c r="A230">
        <v>236</v>
      </c>
      <c r="B230" t="s">
        <v>365</v>
      </c>
      <c r="C230" t="s">
        <v>352</v>
      </c>
      <c r="D230">
        <v>17</v>
      </c>
      <c r="E230">
        <v>2769219.970703125</v>
      </c>
      <c r="F230">
        <v>2769401.5502929688</v>
      </c>
      <c r="G230">
        <v>2769310.7604980469</v>
      </c>
      <c r="H230">
        <v>2776908.1240802016</v>
      </c>
      <c r="I230">
        <v>2.460135012902998E-8</v>
      </c>
      <c r="J230">
        <v>6.6660852105554697E-6</v>
      </c>
      <c r="K230">
        <v>0.27945252303108659</v>
      </c>
      <c r="L230">
        <v>0.27434131591603639</v>
      </c>
      <c r="M230">
        <v>0</v>
      </c>
    </row>
    <row r="231" spans="1:15" x14ac:dyDescent="0.15">
      <c r="A231">
        <v>236</v>
      </c>
      <c r="B231" t="s">
        <v>365</v>
      </c>
      <c r="C231" t="s">
        <v>353</v>
      </c>
      <c r="D231">
        <v>17</v>
      </c>
      <c r="E231">
        <v>2769219.970703125</v>
      </c>
      <c r="F231">
        <v>2769401.5502929688</v>
      </c>
      <c r="G231">
        <v>2769310.7604980469</v>
      </c>
      <c r="H231">
        <v>2776908.1240802016</v>
      </c>
      <c r="I231">
        <v>2.460135012902998E-8</v>
      </c>
      <c r="J231">
        <v>6.6660852105554697E-6</v>
      </c>
      <c r="K231">
        <v>0.27945252303108659</v>
      </c>
      <c r="L231">
        <v>0.27434131591603639</v>
      </c>
      <c r="M231">
        <v>0</v>
      </c>
      <c r="N231" t="s">
        <v>354</v>
      </c>
      <c r="O231" t="s">
        <v>355</v>
      </c>
    </row>
    <row r="232" spans="1:15" x14ac:dyDescent="0.15">
      <c r="A232">
        <v>237</v>
      </c>
      <c r="B232" t="s">
        <v>70</v>
      </c>
      <c r="C232" t="s">
        <v>349</v>
      </c>
      <c r="D232">
        <v>0</v>
      </c>
      <c r="E232">
        <v>100000</v>
      </c>
      <c r="F232">
        <v>12000000</v>
      </c>
      <c r="G232">
        <v>100000</v>
      </c>
      <c r="H232">
        <v>-49.975863607293881</v>
      </c>
      <c r="I232">
        <v>-3.2120718791598958E-4</v>
      </c>
      <c r="J232">
        <v>-3.026442801904594E-4</v>
      </c>
      <c r="K232">
        <v>-1.2376772716327112E-5</v>
      </c>
      <c r="L232">
        <v>-100.04997586360729</v>
      </c>
      <c r="M232">
        <v>0</v>
      </c>
      <c r="O232" t="s">
        <v>350</v>
      </c>
    </row>
    <row r="233" spans="1:15" x14ac:dyDescent="0.15">
      <c r="A233">
        <v>237</v>
      </c>
      <c r="B233" t="s">
        <v>70</v>
      </c>
      <c r="C233" t="s">
        <v>349</v>
      </c>
      <c r="D233">
        <v>0</v>
      </c>
      <c r="E233">
        <v>100000</v>
      </c>
      <c r="F233">
        <v>12000000</v>
      </c>
      <c r="G233">
        <v>12000000</v>
      </c>
      <c r="H233">
        <v>7942256584855.2656</v>
      </c>
      <c r="I233">
        <v>1.1864014270305132E-2</v>
      </c>
      <c r="J233">
        <v>1.1882577178030661E-2</v>
      </c>
      <c r="K233">
        <v>1966939.588636931</v>
      </c>
      <c r="L233">
        <v>66185371.540460549</v>
      </c>
      <c r="M233">
        <v>0</v>
      </c>
      <c r="O233" t="s">
        <v>351</v>
      </c>
    </row>
    <row r="234" spans="1:15" x14ac:dyDescent="0.15">
      <c r="A234">
        <v>237</v>
      </c>
      <c r="B234" t="s">
        <v>70</v>
      </c>
      <c r="C234" t="s">
        <v>352</v>
      </c>
      <c r="D234">
        <v>1</v>
      </c>
      <c r="E234">
        <v>100000</v>
      </c>
      <c r="F234">
        <v>12000000</v>
      </c>
      <c r="G234">
        <v>6050000</v>
      </c>
      <c r="H234">
        <v>55881154262.522484</v>
      </c>
      <c r="I234">
        <v>2.4382512111362906E-4</v>
      </c>
      <c r="J234">
        <v>2.6238802883915921E-4</v>
      </c>
      <c r="K234">
        <v>13839.247498912913</v>
      </c>
      <c r="L234">
        <v>923555.44235574349</v>
      </c>
      <c r="M234">
        <v>0</v>
      </c>
    </row>
    <row r="235" spans="1:15" x14ac:dyDescent="0.15">
      <c r="A235">
        <v>237</v>
      </c>
      <c r="B235" t="s">
        <v>70</v>
      </c>
      <c r="C235" t="s">
        <v>352</v>
      </c>
      <c r="D235">
        <v>2</v>
      </c>
      <c r="E235">
        <v>100000</v>
      </c>
      <c r="F235">
        <v>6050000</v>
      </c>
      <c r="G235">
        <v>3075000</v>
      </c>
      <c r="H235">
        <v>-407244.27738409961</v>
      </c>
      <c r="I235">
        <v>-1.4284704435446428E-5</v>
      </c>
      <c r="J235">
        <v>4.278203290083724E-6</v>
      </c>
      <c r="K235">
        <v>-0.10085608326480709</v>
      </c>
      <c r="L235">
        <v>-113.24371633769429</v>
      </c>
      <c r="M235">
        <v>0</v>
      </c>
    </row>
    <row r="236" spans="1:15" x14ac:dyDescent="0.15">
      <c r="A236">
        <v>237</v>
      </c>
      <c r="B236" t="s">
        <v>70</v>
      </c>
      <c r="C236" t="s">
        <v>352</v>
      </c>
      <c r="D236">
        <v>3</v>
      </c>
      <c r="E236">
        <v>3075000</v>
      </c>
      <c r="F236">
        <v>6050000</v>
      </c>
      <c r="G236">
        <v>4562500</v>
      </c>
      <c r="H236">
        <v>2423635837.4877157</v>
      </c>
      <c r="I236">
        <v>2.2860684444666719E-5</v>
      </c>
      <c r="J236">
        <v>4.142359217019687E-5</v>
      </c>
      <c r="K236">
        <v>600.22554374333208</v>
      </c>
      <c r="L236">
        <v>53020.785479182807</v>
      </c>
      <c r="M236">
        <v>0</v>
      </c>
    </row>
    <row r="237" spans="1:15" x14ac:dyDescent="0.15">
      <c r="A237">
        <v>237</v>
      </c>
      <c r="B237" t="s">
        <v>70</v>
      </c>
      <c r="C237" t="s">
        <v>352</v>
      </c>
      <c r="D237">
        <v>4</v>
      </c>
      <c r="E237">
        <v>3075000</v>
      </c>
      <c r="F237">
        <v>4562500</v>
      </c>
      <c r="G237">
        <v>3818750</v>
      </c>
      <c r="H237">
        <v>-54255484.250255771</v>
      </c>
      <c r="I237">
        <v>-6.9501453772950355E-6</v>
      </c>
      <c r="J237">
        <v>1.1612762348235115E-5</v>
      </c>
      <c r="K237">
        <v>-13.436642185042214</v>
      </c>
      <c r="L237">
        <v>-1520.7655450148811</v>
      </c>
      <c r="M237">
        <v>0</v>
      </c>
    </row>
    <row r="238" spans="1:15" x14ac:dyDescent="0.15">
      <c r="A238">
        <v>237</v>
      </c>
      <c r="B238" t="s">
        <v>70</v>
      </c>
      <c r="C238" t="s">
        <v>352</v>
      </c>
      <c r="D238">
        <v>5</v>
      </c>
      <c r="E238">
        <v>3818750</v>
      </c>
      <c r="F238">
        <v>4562500</v>
      </c>
      <c r="G238">
        <v>4190625</v>
      </c>
      <c r="H238">
        <v>202894929.31284666</v>
      </c>
      <c r="I238">
        <v>3.081251411241875E-6</v>
      </c>
      <c r="J238">
        <v>2.1644159136772026E-5</v>
      </c>
      <c r="K238">
        <v>50.247944590473388</v>
      </c>
      <c r="L238">
        <v>4741.6388799486149</v>
      </c>
      <c r="M238">
        <v>0</v>
      </c>
    </row>
    <row r="239" spans="1:15" x14ac:dyDescent="0.15">
      <c r="A239">
        <v>237</v>
      </c>
      <c r="B239" t="s">
        <v>70</v>
      </c>
      <c r="C239" t="s">
        <v>352</v>
      </c>
      <c r="D239">
        <v>6</v>
      </c>
      <c r="E239">
        <v>3818750</v>
      </c>
      <c r="F239">
        <v>4190625</v>
      </c>
      <c r="G239">
        <v>4004687.5</v>
      </c>
      <c r="H239">
        <v>-101039827.84520838</v>
      </c>
      <c r="I239">
        <v>-3.5751530664895765E-6</v>
      </c>
      <c r="J239">
        <v>1.4987754659040574E-5</v>
      </c>
      <c r="K239">
        <v>-25.023018999004321</v>
      </c>
      <c r="L239">
        <v>-2623.0390097906111</v>
      </c>
      <c r="M239">
        <v>0</v>
      </c>
    </row>
    <row r="240" spans="1:15" x14ac:dyDescent="0.15">
      <c r="A240">
        <v>237</v>
      </c>
      <c r="B240" t="s">
        <v>70</v>
      </c>
      <c r="C240" t="s">
        <v>352</v>
      </c>
      <c r="D240">
        <v>7</v>
      </c>
      <c r="E240">
        <v>4004687.5</v>
      </c>
      <c r="F240">
        <v>4190625</v>
      </c>
      <c r="G240">
        <v>4097656.25</v>
      </c>
      <c r="H240">
        <v>-22331614.471533567</v>
      </c>
      <c r="I240">
        <v>-4.7991197190453523E-7</v>
      </c>
      <c r="J240">
        <v>1.8082995753625616E-5</v>
      </c>
      <c r="K240">
        <v>-5.5305360778692627</v>
      </c>
      <c r="L240">
        <v>-644.9850624130213</v>
      </c>
      <c r="M240">
        <v>0</v>
      </c>
    </row>
    <row r="241" spans="1:15" x14ac:dyDescent="0.15">
      <c r="A241">
        <v>237</v>
      </c>
      <c r="B241" t="s">
        <v>70</v>
      </c>
      <c r="C241" t="s">
        <v>352</v>
      </c>
      <c r="D241">
        <v>8</v>
      </c>
      <c r="E241">
        <v>4097656.25</v>
      </c>
      <c r="F241">
        <v>4190625</v>
      </c>
      <c r="G241">
        <v>4144140.625</v>
      </c>
      <c r="H241">
        <v>69523233.527074844</v>
      </c>
      <c r="I241">
        <v>1.2396331965174961E-6</v>
      </c>
      <c r="J241">
        <v>1.9802540922047647E-5</v>
      </c>
      <c r="K241">
        <v>17.217776697772837</v>
      </c>
      <c r="L241">
        <v>1577.6272771167085</v>
      </c>
      <c r="M241">
        <v>0</v>
      </c>
    </row>
    <row r="242" spans="1:15" x14ac:dyDescent="0.15">
      <c r="A242">
        <v>237</v>
      </c>
      <c r="B242" t="s">
        <v>70</v>
      </c>
      <c r="C242" t="s">
        <v>352</v>
      </c>
      <c r="D242">
        <v>9</v>
      </c>
      <c r="E242">
        <v>4097656.25</v>
      </c>
      <c r="F242">
        <v>4144140.625</v>
      </c>
      <c r="G242">
        <v>4120898.4375</v>
      </c>
      <c r="H242">
        <v>18713434.251469955</v>
      </c>
      <c r="I242">
        <v>3.649316269245363E-7</v>
      </c>
      <c r="J242">
        <v>1.8927839352454687E-5</v>
      </c>
      <c r="K242">
        <v>4.6344756399281373</v>
      </c>
      <c r="L242">
        <v>354.11054252583614</v>
      </c>
      <c r="M242">
        <v>0</v>
      </c>
    </row>
    <row r="243" spans="1:15" x14ac:dyDescent="0.15">
      <c r="A243">
        <v>237</v>
      </c>
      <c r="B243" t="s">
        <v>70</v>
      </c>
      <c r="C243" t="s">
        <v>352</v>
      </c>
      <c r="D243">
        <v>10</v>
      </c>
      <c r="E243">
        <v>4097656.25</v>
      </c>
      <c r="F243">
        <v>4120898.4375</v>
      </c>
      <c r="G243">
        <v>4109277.34375</v>
      </c>
      <c r="H243">
        <v>-2991571.9904287742</v>
      </c>
      <c r="I243">
        <v>-6.1179277707481351E-8</v>
      </c>
      <c r="J243">
        <v>1.850172844782267E-5</v>
      </c>
      <c r="K243">
        <v>-0.74087777413942213</v>
      </c>
      <c r="L243">
        <v>-172.80044008172877</v>
      </c>
      <c r="M243">
        <v>0</v>
      </c>
    </row>
    <row r="244" spans="1:15" x14ac:dyDescent="0.15">
      <c r="A244">
        <v>237</v>
      </c>
      <c r="B244" t="s">
        <v>70</v>
      </c>
      <c r="C244" t="s">
        <v>352</v>
      </c>
      <c r="D244">
        <v>11</v>
      </c>
      <c r="E244">
        <v>4109277.34375</v>
      </c>
      <c r="F244">
        <v>4120898.4375</v>
      </c>
      <c r="G244">
        <v>4115087.890625</v>
      </c>
      <c r="H244">
        <v>7560521.113945541</v>
      </c>
      <c r="I244">
        <v>1.5094771270493382E-7</v>
      </c>
      <c r="J244">
        <v>1.8713855438235085E-5</v>
      </c>
      <c r="K244">
        <v>1.8724008889491039</v>
      </c>
      <c r="L244">
        <v>83.726844113583397</v>
      </c>
      <c r="M244">
        <v>0</v>
      </c>
    </row>
    <row r="245" spans="1:15" x14ac:dyDescent="0.15">
      <c r="A245">
        <v>237</v>
      </c>
      <c r="B245" t="s">
        <v>70</v>
      </c>
      <c r="C245" t="s">
        <v>352</v>
      </c>
      <c r="D245">
        <v>12</v>
      </c>
      <c r="E245">
        <v>4109277.34375</v>
      </c>
      <c r="F245">
        <v>4115087.890625</v>
      </c>
      <c r="G245">
        <v>4112182.6171875</v>
      </c>
      <c r="H245">
        <v>2210013.8170410092</v>
      </c>
      <c r="I245">
        <v>4.4653713750698079E-8</v>
      </c>
      <c r="J245">
        <v>1.8607561439280849E-5</v>
      </c>
      <c r="K245">
        <v>0.54732098135202623</v>
      </c>
      <c r="L245">
        <v>-46.256914568824925</v>
      </c>
      <c r="M245">
        <v>0</v>
      </c>
    </row>
    <row r="246" spans="1:15" x14ac:dyDescent="0.15">
      <c r="A246">
        <v>237</v>
      </c>
      <c r="B246" t="s">
        <v>70</v>
      </c>
      <c r="C246" t="s">
        <v>352</v>
      </c>
      <c r="D246">
        <v>13</v>
      </c>
      <c r="E246">
        <v>4112182.6171875</v>
      </c>
      <c r="F246">
        <v>4115087.890625</v>
      </c>
      <c r="G246">
        <v>4113635.25390625</v>
      </c>
      <c r="H246">
        <v>4866531.7595030377</v>
      </c>
      <c r="I246">
        <v>9.7742077239378278E-8</v>
      </c>
      <c r="J246">
        <v>1.8660649802769529E-5</v>
      </c>
      <c r="K246">
        <v>1.2052209438030768</v>
      </c>
      <c r="L246">
        <v>18.302461427075912</v>
      </c>
      <c r="M246">
        <v>0</v>
      </c>
    </row>
    <row r="247" spans="1:15" x14ac:dyDescent="0.15">
      <c r="A247">
        <v>237</v>
      </c>
      <c r="B247" t="s">
        <v>70</v>
      </c>
      <c r="C247" t="s">
        <v>352</v>
      </c>
      <c r="D247">
        <v>14</v>
      </c>
      <c r="E247">
        <v>4112182.6171875</v>
      </c>
      <c r="F247">
        <v>4113635.25390625</v>
      </c>
      <c r="G247">
        <v>4112908.935546875</v>
      </c>
      <c r="H247">
        <v>3533636.3235847694</v>
      </c>
      <c r="I247">
        <v>7.1184006682889879E-8</v>
      </c>
      <c r="J247">
        <v>1.8634091732213041E-5</v>
      </c>
      <c r="K247">
        <v>0.87512271889551441</v>
      </c>
      <c r="L247">
        <v>-14.084255718758877</v>
      </c>
      <c r="M247">
        <v>0</v>
      </c>
    </row>
    <row r="248" spans="1:15" x14ac:dyDescent="0.15">
      <c r="A248">
        <v>237</v>
      </c>
      <c r="B248" t="s">
        <v>70</v>
      </c>
      <c r="C248" t="s">
        <v>352</v>
      </c>
      <c r="D248">
        <v>15</v>
      </c>
      <c r="E248">
        <v>4112908.935546875</v>
      </c>
      <c r="F248">
        <v>4113635.25390625</v>
      </c>
      <c r="G248">
        <v>4113272.0947265625</v>
      </c>
      <c r="H248">
        <v>4198949.5727712745</v>
      </c>
      <c r="I248">
        <v>8.4460081388437589E-8</v>
      </c>
      <c r="J248">
        <v>1.8647367806918588E-5</v>
      </c>
      <c r="K248">
        <v>1.0398908744805373</v>
      </c>
      <c r="L248">
        <v>2.0829518707151697</v>
      </c>
      <c r="M248">
        <v>0</v>
      </c>
    </row>
    <row r="249" spans="1:15" x14ac:dyDescent="0.15">
      <c r="A249">
        <v>237</v>
      </c>
      <c r="B249" t="s">
        <v>70</v>
      </c>
      <c r="C249" t="s">
        <v>352</v>
      </c>
      <c r="D249">
        <v>16</v>
      </c>
      <c r="E249">
        <v>4112908.935546875</v>
      </c>
      <c r="F249">
        <v>4113272.0947265625</v>
      </c>
      <c r="G249">
        <v>4113090.5151367188</v>
      </c>
      <c r="H249">
        <v>3866001.2092258106</v>
      </c>
      <c r="I249">
        <v>7.7821139825456524E-8</v>
      </c>
      <c r="J249">
        <v>1.8640728865355607E-5</v>
      </c>
      <c r="K249">
        <v>0.95743454607656286</v>
      </c>
      <c r="L249">
        <v>-6.0073879969717838</v>
      </c>
      <c r="M249">
        <v>0</v>
      </c>
    </row>
    <row r="250" spans="1:15" x14ac:dyDescent="0.15">
      <c r="A250">
        <v>237</v>
      </c>
      <c r="B250" t="s">
        <v>70</v>
      </c>
      <c r="C250" t="s">
        <v>352</v>
      </c>
      <c r="D250">
        <v>17</v>
      </c>
      <c r="E250">
        <v>4113090.5151367188</v>
      </c>
      <c r="F250">
        <v>4113272.0947265625</v>
      </c>
      <c r="G250">
        <v>4113181.3049316406</v>
      </c>
      <c r="H250">
        <v>4032336.6155306413</v>
      </c>
      <c r="I250">
        <v>8.1139072040662048E-8</v>
      </c>
      <c r="J250">
        <v>1.8644046797570813E-5</v>
      </c>
      <c r="K250">
        <v>0.99862834183945093</v>
      </c>
      <c r="L250">
        <v>-1.9655026950566903</v>
      </c>
      <c r="M250">
        <v>0</v>
      </c>
    </row>
    <row r="251" spans="1:15" x14ac:dyDescent="0.15">
      <c r="A251">
        <v>237</v>
      </c>
      <c r="B251" t="s">
        <v>70</v>
      </c>
      <c r="C251" t="s">
        <v>352</v>
      </c>
      <c r="D251">
        <v>18</v>
      </c>
      <c r="E251">
        <v>4113181.3049316406</v>
      </c>
      <c r="F251">
        <v>4113272.0947265625</v>
      </c>
      <c r="G251">
        <v>4113226.6998291016</v>
      </c>
      <c r="H251">
        <v>4115657.7649999326</v>
      </c>
      <c r="I251">
        <v>8.2800176440983223E-8</v>
      </c>
      <c r="J251">
        <v>1.8645707901971134E-5</v>
      </c>
      <c r="K251">
        <v>1.01926324146916</v>
      </c>
      <c r="L251">
        <v>5.9103602797581131E-2</v>
      </c>
      <c r="M251">
        <v>0</v>
      </c>
    </row>
    <row r="252" spans="1:15" x14ac:dyDescent="0.15">
      <c r="A252">
        <v>237</v>
      </c>
      <c r="B252" t="s">
        <v>70</v>
      </c>
      <c r="C252" t="s">
        <v>353</v>
      </c>
      <c r="D252">
        <v>18</v>
      </c>
      <c r="E252">
        <v>4113181.3049316406</v>
      </c>
      <c r="F252">
        <v>4113272.0947265625</v>
      </c>
      <c r="G252">
        <v>4113226.6998291016</v>
      </c>
      <c r="H252">
        <v>4115657.7649999326</v>
      </c>
      <c r="I252">
        <v>8.2800176440983223E-8</v>
      </c>
      <c r="J252">
        <v>1.8645707901971134E-5</v>
      </c>
      <c r="K252">
        <v>1.01926324146916</v>
      </c>
      <c r="L252">
        <v>5.9103602797581131E-2</v>
      </c>
      <c r="M252">
        <v>0</v>
      </c>
      <c r="N252" t="s">
        <v>354</v>
      </c>
      <c r="O252" t="s">
        <v>355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0"/>
  <sheetViews>
    <sheetView workbookViewId="0"/>
  </sheetViews>
  <sheetFormatPr defaultRowHeight="13.5" x14ac:dyDescent="0.15"/>
  <cols>
    <col min="1" max="1" width="26.625" style="10" customWidth="1"/>
    <col min="2" max="2" width="70" style="10" customWidth="1"/>
  </cols>
  <sheetData>
    <row r="1" spans="1:2" x14ac:dyDescent="0.15">
      <c r="A1" s="34" t="s">
        <v>312</v>
      </c>
      <c r="B1" s="34" t="s">
        <v>313</v>
      </c>
    </row>
    <row r="2" spans="1:2" x14ac:dyDescent="0.15">
      <c r="A2" t="s">
        <v>314</v>
      </c>
      <c r="B2" s="33">
        <v>46185.767939814818</v>
      </c>
    </row>
    <row r="3" spans="1:2" x14ac:dyDescent="0.15">
      <c r="A3" t="s">
        <v>315</v>
      </c>
      <c r="B3" t="s">
        <v>316</v>
      </c>
    </row>
    <row r="4" spans="1:2" x14ac:dyDescent="0.15">
      <c r="A4" t="s">
        <v>317</v>
      </c>
      <c r="B4" t="s">
        <v>318</v>
      </c>
    </row>
    <row r="5" spans="1:2" x14ac:dyDescent="0.15">
      <c r="A5" t="s">
        <v>319</v>
      </c>
      <c r="B5" t="s">
        <v>320</v>
      </c>
    </row>
    <row r="6" spans="1:2" x14ac:dyDescent="0.15">
      <c r="A6" t="s">
        <v>321</v>
      </c>
      <c r="B6">
        <v>88</v>
      </c>
    </row>
    <row r="7" spans="1:2" x14ac:dyDescent="0.15">
      <c r="A7" t="s">
        <v>322</v>
      </c>
      <c r="B7">
        <v>225</v>
      </c>
    </row>
    <row r="8" spans="1:2" x14ac:dyDescent="0.15">
      <c r="A8" t="s">
        <v>323</v>
      </c>
      <c r="B8">
        <v>138</v>
      </c>
    </row>
    <row r="9" spans="1:2" x14ac:dyDescent="0.15">
      <c r="A9" t="s">
        <v>324</v>
      </c>
      <c r="B9">
        <v>16</v>
      </c>
    </row>
    <row r="10" spans="1:2" x14ac:dyDescent="0.15">
      <c r="A10" t="s">
        <v>325</v>
      </c>
      <c r="B10">
        <v>30</v>
      </c>
    </row>
    <row r="11" spans="1:2" x14ac:dyDescent="0.15">
      <c r="A11" t="s">
        <v>326</v>
      </c>
      <c r="B11">
        <v>30</v>
      </c>
    </row>
    <row r="12" spans="1:2" x14ac:dyDescent="0.15">
      <c r="A12" t="s">
        <v>327</v>
      </c>
      <c r="B12">
        <v>30</v>
      </c>
    </row>
    <row r="13" spans="1:2" x14ac:dyDescent="0.15">
      <c r="A13" t="s">
        <v>328</v>
      </c>
      <c r="B13">
        <v>2</v>
      </c>
    </row>
    <row r="14" spans="1:2" x14ac:dyDescent="0.15">
      <c r="A14" t="s">
        <v>329</v>
      </c>
      <c r="B14">
        <v>30</v>
      </c>
    </row>
    <row r="15" spans="1:2" x14ac:dyDescent="0.15">
      <c r="A15" t="s">
        <v>330</v>
      </c>
      <c r="B15">
        <v>0</v>
      </c>
    </row>
    <row r="16" spans="1:2" x14ac:dyDescent="0.15">
      <c r="A16" t="s">
        <v>331</v>
      </c>
      <c r="B16" t="s">
        <v>332</v>
      </c>
    </row>
    <row r="17" spans="1:2" x14ac:dyDescent="0.15">
      <c r="A17" t="s">
        <v>333</v>
      </c>
      <c r="B17" t="s">
        <v>334</v>
      </c>
    </row>
    <row r="18" spans="1:2" x14ac:dyDescent="0.15">
      <c r="A18" t="s">
        <v>335</v>
      </c>
      <c r="B18" t="s">
        <v>336</v>
      </c>
    </row>
    <row r="19" spans="1:2" x14ac:dyDescent="0.15">
      <c r="A19" t="s">
        <v>337</v>
      </c>
      <c r="B19" t="s">
        <v>338</v>
      </c>
    </row>
    <row r="20" spans="1:2" x14ac:dyDescent="0.15">
      <c r="A20" t="s">
        <v>339</v>
      </c>
      <c r="B20" t="s">
        <v>340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SatProp</vt:lpstr>
      <vt:lpstr>Cp_T_low</vt:lpstr>
      <vt:lpstr>Cp_T_mid</vt:lpstr>
      <vt:lpstr>Cp_T_high</vt:lpstr>
      <vt:lpstr>tm</vt:lpstr>
      <vt:lpstr>Log</vt:lpstr>
      <vt:lpstr>TM_import_log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2026-06-26T04:08:46Z</dcterms:modified>
</cp:coreProperties>
</file>